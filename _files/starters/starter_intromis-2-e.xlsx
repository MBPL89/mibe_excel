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845557DE-54D5-4E44-945F-7B9731B6DEDD}" xr6:coauthVersionLast="40" xr6:coauthVersionMax="40" xr10:uidLastSave="{00000000-0000-0000-0000-000000000000}"/>
  <workbookProtection lockStructure="1"/>
  <bookViews>
    <workbookView xWindow="0" yWindow="460" windowWidth="28800" windowHeight="16460" tabRatio="500" xr2:uid="{00000000-000D-0000-FFFF-FFFF00000000}"/>
  </bookViews>
  <sheets>
    <sheet name="Advanced Calculations" sheetId="1" r:id="rId1"/>
    <sheet name="Results" sheetId="2" r:id="rId2"/>
  </sheets>
  <definedNames>
    <definedName name="storeUnits">'Advanced Calculations'!$A$2:$A$101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7" i="1" l="1"/>
  <c r="D105" i="1"/>
  <c r="C105" i="1"/>
  <c r="D104" i="1"/>
  <c r="F4" i="1" s="1"/>
  <c r="C104" i="1"/>
  <c r="D103" i="1"/>
  <c r="C103" i="1"/>
  <c r="D102" i="1"/>
  <c r="C102" i="1"/>
  <c r="F5" i="1"/>
  <c r="F3" i="1"/>
  <c r="F2" i="1"/>
</calcChain>
</file>

<file path=xl/sharedStrings.xml><?xml version="1.0" encoding="utf-8"?>
<sst xmlns="http://schemas.openxmlformats.org/spreadsheetml/2006/main" count="214" uniqueCount="113">
  <si>
    <t>Restaurant Name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</si>
  <si>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</si>
  <si>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</si>
  <si>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</si>
  <si>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</si>
  <si>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</si>
  <si>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</si>
  <si>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</si>
  <si>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</si>
  <si>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</si>
  <si>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</si>
  <si>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</si>
  <si>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</si>
  <si>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</si>
  <si>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</si>
  <si>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</si>
  <si>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</si>
  <si>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</si>
  <si>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</si>
  <si>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</si>
  <si>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</si>
  <si>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</si>
  <si>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</si>
  <si>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</si>
  <si>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</si>
  <si>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</si>
  <si>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</si>
  <si>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</si>
  <si>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</si>
  <si>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</si>
  <si>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</si>
  <si>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</si>
  <si>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</si>
  <si>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</si>
  <si>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</si>
  <si>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</si>
  <si>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</si>
  <si>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</si>
  <si>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</si>
  <si>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</si>
  <si>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</si>
  <si>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</si>
  <si>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</si>
  <si>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</si>
  <si>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</si>
  <si>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</si>
  <si>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</si>
  <si>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</si>
  <si>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</si>
  <si>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</si>
  <si>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</si>
  <si>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</si>
  <si>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</si>
  <si>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</si>
  <si>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</si>
  <si>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</si>
  <si>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</si>
  <si>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</si>
  <si>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</si>
  <si>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</si>
  <si>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</si>
  <si>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</si>
  <si>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</si>
  <si>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</si>
  <si>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</si>
  <si>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</si>
  <si>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</si>
  <si>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</si>
  <si>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</si>
  <si>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</si>
  <si>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</si>
  <si>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</si>
  <si>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</si>
  <si>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</si>
  <si>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</si>
  <si>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</si>
  <si>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</si>
  <si>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</si>
  <si>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</si>
  <si>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</si>
  <si>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</si>
  <si>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</si>
  <si>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</si>
  <si>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</si>
  <si>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</si>
  <si>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</si>
  <si>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</si>
  <si>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</si>
  <si>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</si>
  <si>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</si>
  <si>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</si>
  <si>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</si>
  <si>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</si>
  <si>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</si>
  <si>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</si>
  <si>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</si>
  <si>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</si>
  <si>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</si>
  <si>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</si>
  <si>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</si>
  <si>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</si>
  <si>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Total</t>
  </si>
  <si>
    <t>Average</t>
  </si>
  <si>
    <t>Max</t>
  </si>
  <si>
    <t>Restaurant with lowest number of units</t>
  </si>
  <si>
    <t>Restaurant with highest number of units</t>
  </si>
  <si>
    <t>Restaurant with lowest revenue in 2015</t>
  </si>
  <si>
    <t>Restaurant with highest revenue in 2015</t>
  </si>
  <si>
    <t>Min</t>
  </si>
  <si>
    <t>Units</t>
  </si>
  <si>
    <t>Note: This is a preliminary analysis</t>
  </si>
  <si>
    <t>Rank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</si>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</sst>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4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/>
  </sheetViews>
  <sheetFormatPr baseColWidth="10" defaultRowHeight="16" x14ac:dyDescent="0.2"/>
  <cols>
    <col min="1" max="1" width="8" bestFit="1" customWidth="1"/>
    <col min="2" max="2" width="40.1640625" bestFit="1" customWidth="1"/>
    <col min="3" max="3" width="18.6640625" bestFit="1" customWidth="1"/>
    <col min="4" max="4" width="15.33203125" bestFit="1" customWidth="1"/>
    <col min="5" max="5" width="40.1640625" bestFit="1" customWidth="1"/>
    <col min="6" max="6" width="22.5" bestFit="1" customWidth="1"/>
    <col min="7" max="7" width="35" bestFit="1" customWidth="1"/>
    <col min="16" max="16" width="15" bestFit="1" customWidth="1"/>
  </cols>
  <sheetData>
    <row r="1" spans="1:7" ht="21" x14ac:dyDescent="0.25">
      <c r="A1" s="6" t="s">
        <v>111</v>
      </c>
      <c r="B1" s="6" t="s">
        <v>0</v>
      </c>
      <c r="C1" s="6" t="s">
        <v>109</v>
      </c>
      <c r="D1" s="6" t="s">
        <v>112</v>
      </c>
      <c r="E1" s="6" t="s">
        <v>0</v>
      </c>
    </row>
    <row r="2" spans="1:7" x14ac:dyDescent="0.2">
      <c r="A2">
        <v>1</v>
      </c>
      <c r="B2" t="s">
        <v>42</v>
      </c>
      <c r="C2" s="1">
        <v>15605</v>
      </c>
      <c r="D2" s="2">
        <v>13400000000</v>
      </c>
      <c r="E2" t="s">
        <v>42</v>
      </c>
      <c r="F2" t="str">
        <f>VLOOKUP(C104,$C$1:$E$101,3,FALSE)</f>
        <v>America’s Incredible Pizza</v>
      </c>
      <c r="G2" t="s">
        <v>104</v>
      </c>
    </row>
    <row r="3" spans="1:7" x14ac:dyDescent="0.2">
      <c r="A3">
        <v>2</v>
      </c>
      <c r="B3" t="s">
        <v>43</v>
      </c>
      <c r="C3" s="1">
        <v>11629</v>
      </c>
      <c r="D3" s="2">
        <v>8900000000</v>
      </c>
      <c r="E3" t="s">
        <v>43</v>
      </c>
      <c r="F3" t="str">
        <f>VLOOKUP(C105,$C$1:$E$101,3,FALSE)</f>
        <v>Pizza Hut</v>
      </c>
      <c r="G3" t="s">
        <v>105</v>
      </c>
    </row>
    <row r="4" spans="1:7" x14ac:dyDescent="0.2">
      <c r="A4">
        <v>3</v>
      </c>
      <c r="B4" t="s">
        <v>1</v>
      </c>
      <c r="C4" s="1">
        <v>4059</v>
      </c>
      <c r="D4" s="2">
        <v>3400000000</v>
      </c>
      <c r="E4" t="s">
        <v>1</v>
      </c>
      <c r="F4" t="str">
        <f>VLOOKUP(D104,$D$1:$E$101,2,FALSE)</f>
        <v>Fresh Brothers</v>
      </c>
      <c r="G4" t="s">
        <v>106</v>
      </c>
    </row>
    <row r="5" spans="1:7" x14ac:dyDescent="0.2">
      <c r="A5">
        <v>4</v>
      </c>
      <c r="B5" t="s">
        <v>2</v>
      </c>
      <c r="C5">
        <v>4708</v>
      </c>
      <c r="D5" s="2">
        <v>3332000000</v>
      </c>
      <c r="E5" t="s">
        <v>2</v>
      </c>
      <c r="F5" t="str">
        <f>VLOOKUP(D105,$D$1:$E$101,2,FALSE)</f>
        <v>Pizza Hut</v>
      </c>
      <c r="G5" t="s">
        <v>107</v>
      </c>
    </row>
    <row r="6" spans="1:7" x14ac:dyDescent="0.2">
      <c r="A6">
        <v>5</v>
      </c>
      <c r="B6" t="s">
        <v>44</v>
      </c>
      <c r="C6">
        <v>1425</v>
      </c>
      <c r="D6" s="2">
        <v>785360000</v>
      </c>
      <c r="E6" t="s">
        <v>44</v>
      </c>
    </row>
    <row r="7" spans="1:7" x14ac:dyDescent="0.2">
      <c r="A7">
        <v>6</v>
      </c>
      <c r="B7" t="s">
        <v>45</v>
      </c>
      <c r="C7">
        <v>290</v>
      </c>
      <c r="D7" s="2">
        <v>745000000</v>
      </c>
      <c r="E7" t="s">
        <v>45</v>
      </c>
    </row>
    <row r="8" spans="1:7" x14ac:dyDescent="0.2">
      <c r="A8">
        <v>7</v>
      </c>
      <c r="B8" t="s">
        <v>46</v>
      </c>
      <c r="C8">
        <v>820</v>
      </c>
      <c r="D8" s="2">
        <v>602000000</v>
      </c>
      <c r="E8" t="s">
        <v>46</v>
      </c>
    </row>
    <row r="9" spans="1:7" x14ac:dyDescent="0.2">
      <c r="A9">
        <v>8</v>
      </c>
      <c r="B9" t="s">
        <v>47</v>
      </c>
      <c r="C9">
        <v>519</v>
      </c>
      <c r="D9" s="2">
        <v>475000000</v>
      </c>
      <c r="E9" t="s">
        <v>47</v>
      </c>
    </row>
    <row r="10" spans="1:7" x14ac:dyDescent="0.2">
      <c r="A10">
        <v>9</v>
      </c>
      <c r="B10" t="s">
        <v>48</v>
      </c>
      <c r="C10">
        <v>577</v>
      </c>
      <c r="D10" s="2">
        <v>405000000</v>
      </c>
      <c r="E10" t="s">
        <v>48</v>
      </c>
    </row>
    <row r="11" spans="1:7" x14ac:dyDescent="0.2">
      <c r="A11">
        <v>10</v>
      </c>
      <c r="B11" t="s">
        <v>3</v>
      </c>
      <c r="C11">
        <v>640</v>
      </c>
      <c r="D11" s="2">
        <v>380000000</v>
      </c>
      <c r="E11" t="s">
        <v>3</v>
      </c>
    </row>
    <row r="12" spans="1:7" x14ac:dyDescent="0.2">
      <c r="A12">
        <v>11</v>
      </c>
      <c r="B12" t="s">
        <v>49</v>
      </c>
      <c r="C12">
        <v>439</v>
      </c>
      <c r="D12" s="2">
        <v>378000000</v>
      </c>
      <c r="E12" t="s">
        <v>49</v>
      </c>
    </row>
    <row r="13" spans="1:7" x14ac:dyDescent="0.2">
      <c r="A13">
        <v>12</v>
      </c>
      <c r="B13" t="s">
        <v>4</v>
      </c>
      <c r="C13">
        <v>375</v>
      </c>
      <c r="D13" s="2">
        <v>350000000</v>
      </c>
      <c r="E13" t="s">
        <v>4</v>
      </c>
    </row>
    <row r="14" spans="1:7" x14ac:dyDescent="0.2">
      <c r="A14">
        <v>13</v>
      </c>
      <c r="B14" t="s">
        <v>5</v>
      </c>
      <c r="C14">
        <v>551</v>
      </c>
      <c r="D14" s="2">
        <v>337069011</v>
      </c>
      <c r="E14" t="s">
        <v>5</v>
      </c>
    </row>
    <row r="15" spans="1:7" x14ac:dyDescent="0.2">
      <c r="A15">
        <v>14</v>
      </c>
      <c r="B15" t="s">
        <v>50</v>
      </c>
      <c r="C15">
        <v>620</v>
      </c>
      <c r="D15" s="2">
        <v>325600000</v>
      </c>
      <c r="E15" t="s">
        <v>50</v>
      </c>
    </row>
    <row r="16" spans="1:7" x14ac:dyDescent="0.2">
      <c r="A16">
        <v>15</v>
      </c>
      <c r="B16" t="s">
        <v>51</v>
      </c>
      <c r="C16">
        <v>96</v>
      </c>
      <c r="D16" s="2">
        <v>320000000</v>
      </c>
      <c r="E16" t="s">
        <v>51</v>
      </c>
    </row>
    <row r="17" spans="1:5" x14ac:dyDescent="0.2">
      <c r="A17">
        <v>16</v>
      </c>
      <c r="B17" t="s">
        <v>6</v>
      </c>
      <c r="C17">
        <v>190</v>
      </c>
      <c r="D17" s="2">
        <v>222274500</v>
      </c>
      <c r="E17" t="s">
        <v>6</v>
      </c>
    </row>
    <row r="18" spans="1:5" x14ac:dyDescent="0.2">
      <c r="A18">
        <v>17</v>
      </c>
      <c r="B18" t="s">
        <v>52</v>
      </c>
      <c r="C18">
        <v>149</v>
      </c>
      <c r="D18" s="2">
        <v>210500000</v>
      </c>
      <c r="E18" t="s">
        <v>52</v>
      </c>
    </row>
    <row r="19" spans="1:5" x14ac:dyDescent="0.2">
      <c r="A19">
        <v>18</v>
      </c>
      <c r="B19" t="s">
        <v>53</v>
      </c>
      <c r="C19">
        <v>142</v>
      </c>
      <c r="D19" s="2">
        <v>198000000</v>
      </c>
      <c r="E19" t="s">
        <v>53</v>
      </c>
    </row>
    <row r="20" spans="1:5" x14ac:dyDescent="0.2">
      <c r="A20">
        <v>19</v>
      </c>
      <c r="B20" t="s">
        <v>54</v>
      </c>
      <c r="C20">
        <v>175</v>
      </c>
      <c r="D20" s="2">
        <v>191000000</v>
      </c>
      <c r="E20" t="s">
        <v>54</v>
      </c>
    </row>
    <row r="21" spans="1:5" x14ac:dyDescent="0.2">
      <c r="A21">
        <v>20</v>
      </c>
      <c r="B21" t="s">
        <v>7</v>
      </c>
      <c r="C21">
        <v>88</v>
      </c>
      <c r="D21" s="2">
        <v>188000000</v>
      </c>
      <c r="E21" t="s">
        <v>7</v>
      </c>
    </row>
    <row r="22" spans="1:5" x14ac:dyDescent="0.2">
      <c r="A22">
        <v>21</v>
      </c>
      <c r="B22" t="s">
        <v>8</v>
      </c>
      <c r="C22">
        <v>126</v>
      </c>
      <c r="D22" s="2">
        <v>188000000</v>
      </c>
      <c r="E22" t="s">
        <v>8</v>
      </c>
    </row>
    <row r="23" spans="1:5" x14ac:dyDescent="0.2">
      <c r="A23">
        <v>22</v>
      </c>
      <c r="B23" t="s">
        <v>9</v>
      </c>
      <c r="C23">
        <v>153</v>
      </c>
      <c r="D23" s="2">
        <v>175000000</v>
      </c>
      <c r="E23" t="s">
        <v>9</v>
      </c>
    </row>
    <row r="24" spans="1:5" x14ac:dyDescent="0.2">
      <c r="A24">
        <v>23</v>
      </c>
      <c r="B24" t="s">
        <v>55</v>
      </c>
      <c r="C24">
        <v>110</v>
      </c>
      <c r="D24" s="2">
        <v>145000000</v>
      </c>
      <c r="E24" t="s">
        <v>55</v>
      </c>
    </row>
    <row r="25" spans="1:5" x14ac:dyDescent="0.2">
      <c r="A25">
        <v>24</v>
      </c>
      <c r="B25" t="s">
        <v>10</v>
      </c>
      <c r="C25">
        <v>66</v>
      </c>
      <c r="D25" s="2">
        <v>143599000</v>
      </c>
      <c r="E25" t="s">
        <v>10</v>
      </c>
    </row>
    <row r="26" spans="1:5" x14ac:dyDescent="0.2">
      <c r="A26">
        <v>25</v>
      </c>
      <c r="B26" t="s">
        <v>11</v>
      </c>
      <c r="C26">
        <v>250</v>
      </c>
      <c r="D26" s="2">
        <v>131250000</v>
      </c>
      <c r="E26" t="s">
        <v>11</v>
      </c>
    </row>
    <row r="27" spans="1:5" x14ac:dyDescent="0.2">
      <c r="A27">
        <v>26</v>
      </c>
      <c r="B27" t="s">
        <v>12</v>
      </c>
      <c r="C27">
        <v>170</v>
      </c>
      <c r="D27" s="2">
        <v>130000000</v>
      </c>
      <c r="E27" t="s">
        <v>12</v>
      </c>
    </row>
    <row r="28" spans="1:5" x14ac:dyDescent="0.2">
      <c r="A28">
        <v>27</v>
      </c>
      <c r="B28" t="s">
        <v>56</v>
      </c>
      <c r="C28">
        <v>143</v>
      </c>
      <c r="D28" s="2">
        <v>122000000</v>
      </c>
      <c r="E28" t="s">
        <v>56</v>
      </c>
    </row>
    <row r="29" spans="1:5" x14ac:dyDescent="0.2">
      <c r="A29">
        <v>28</v>
      </c>
      <c r="B29" t="s">
        <v>57</v>
      </c>
      <c r="C29">
        <v>217</v>
      </c>
      <c r="D29" s="2">
        <v>120854000</v>
      </c>
      <c r="E29" t="s">
        <v>57</v>
      </c>
    </row>
    <row r="30" spans="1:5" x14ac:dyDescent="0.2">
      <c r="A30">
        <v>29</v>
      </c>
      <c r="B30" t="s">
        <v>58</v>
      </c>
      <c r="C30">
        <v>151</v>
      </c>
      <c r="D30" s="2">
        <v>114500000</v>
      </c>
      <c r="E30" t="s">
        <v>58</v>
      </c>
    </row>
    <row r="31" spans="1:5" x14ac:dyDescent="0.2">
      <c r="A31">
        <v>30</v>
      </c>
      <c r="B31" t="s">
        <v>13</v>
      </c>
      <c r="C31">
        <v>102</v>
      </c>
      <c r="D31" s="2">
        <v>110000000</v>
      </c>
      <c r="E31" t="s">
        <v>13</v>
      </c>
    </row>
    <row r="32" spans="1:5" x14ac:dyDescent="0.2">
      <c r="A32">
        <v>31</v>
      </c>
      <c r="B32" t="s">
        <v>14</v>
      </c>
      <c r="C32">
        <v>271</v>
      </c>
      <c r="D32" s="2">
        <v>105806602</v>
      </c>
      <c r="E32" t="s">
        <v>14</v>
      </c>
    </row>
    <row r="33" spans="1:5" x14ac:dyDescent="0.2">
      <c r="A33">
        <v>32</v>
      </c>
      <c r="B33" t="s">
        <v>15</v>
      </c>
      <c r="C33">
        <v>95</v>
      </c>
      <c r="D33" s="2">
        <v>93815000</v>
      </c>
      <c r="E33" t="s">
        <v>15</v>
      </c>
    </row>
    <row r="34" spans="1:5" x14ac:dyDescent="0.2">
      <c r="A34">
        <v>33</v>
      </c>
      <c r="B34" t="s">
        <v>59</v>
      </c>
      <c r="C34">
        <v>47</v>
      </c>
      <c r="D34" s="2">
        <v>90795000</v>
      </c>
      <c r="E34" t="s">
        <v>59</v>
      </c>
    </row>
    <row r="35" spans="1:5" x14ac:dyDescent="0.2">
      <c r="A35">
        <v>34</v>
      </c>
      <c r="B35" t="s">
        <v>60</v>
      </c>
      <c r="C35">
        <v>103</v>
      </c>
      <c r="D35" s="2">
        <v>82400000</v>
      </c>
      <c r="E35" t="s">
        <v>60</v>
      </c>
    </row>
    <row r="36" spans="1:5" x14ac:dyDescent="0.2">
      <c r="A36">
        <v>35</v>
      </c>
      <c r="B36" t="s">
        <v>61</v>
      </c>
      <c r="C36">
        <v>2215</v>
      </c>
      <c r="D36" s="2">
        <v>80000000</v>
      </c>
      <c r="E36" t="s">
        <v>61</v>
      </c>
    </row>
    <row r="37" spans="1:5" x14ac:dyDescent="0.2">
      <c r="A37">
        <v>36</v>
      </c>
      <c r="B37" t="s">
        <v>62</v>
      </c>
      <c r="C37">
        <v>395</v>
      </c>
      <c r="D37" s="2">
        <v>79142000</v>
      </c>
      <c r="E37" t="s">
        <v>62</v>
      </c>
    </row>
    <row r="38" spans="1:5" x14ac:dyDescent="0.2">
      <c r="A38">
        <v>37</v>
      </c>
      <c r="B38" t="s">
        <v>63</v>
      </c>
      <c r="C38">
        <v>74</v>
      </c>
      <c r="D38" s="2">
        <v>76000000</v>
      </c>
      <c r="E38" t="s">
        <v>63</v>
      </c>
    </row>
    <row r="39" spans="1:5" x14ac:dyDescent="0.2">
      <c r="A39">
        <v>38</v>
      </c>
      <c r="B39" t="s">
        <v>16</v>
      </c>
      <c r="C39">
        <v>108</v>
      </c>
      <c r="D39" s="2">
        <v>67000000</v>
      </c>
      <c r="E39" t="s">
        <v>16</v>
      </c>
    </row>
    <row r="40" spans="1:5" x14ac:dyDescent="0.2">
      <c r="A40">
        <v>39</v>
      </c>
      <c r="B40" t="s">
        <v>17</v>
      </c>
      <c r="C40">
        <v>65</v>
      </c>
      <c r="D40" s="2">
        <v>63610000</v>
      </c>
      <c r="E40" t="s">
        <v>17</v>
      </c>
    </row>
    <row r="41" spans="1:5" x14ac:dyDescent="0.2">
      <c r="A41">
        <v>40</v>
      </c>
      <c r="B41" t="s">
        <v>64</v>
      </c>
      <c r="C41">
        <v>90</v>
      </c>
      <c r="D41" s="2">
        <v>62000000</v>
      </c>
      <c r="E41" t="s">
        <v>64</v>
      </c>
    </row>
    <row r="42" spans="1:5" x14ac:dyDescent="0.2">
      <c r="A42">
        <v>41</v>
      </c>
      <c r="B42" t="s">
        <v>18</v>
      </c>
      <c r="C42">
        <v>108</v>
      </c>
      <c r="D42" s="2">
        <v>60311704</v>
      </c>
      <c r="E42" t="s">
        <v>18</v>
      </c>
    </row>
    <row r="43" spans="1:5" x14ac:dyDescent="0.2">
      <c r="A43">
        <v>42</v>
      </c>
      <c r="B43" t="s">
        <v>65</v>
      </c>
      <c r="C43">
        <v>59</v>
      </c>
      <c r="D43" s="2">
        <v>59000000</v>
      </c>
      <c r="E43" t="s">
        <v>65</v>
      </c>
    </row>
    <row r="44" spans="1:5" x14ac:dyDescent="0.2">
      <c r="A44">
        <v>43</v>
      </c>
      <c r="B44" t="s">
        <v>66</v>
      </c>
      <c r="C44">
        <v>30</v>
      </c>
      <c r="D44" s="2">
        <v>52727000</v>
      </c>
      <c r="E44" t="s">
        <v>66</v>
      </c>
    </row>
    <row r="45" spans="1:5" x14ac:dyDescent="0.2">
      <c r="A45">
        <v>44</v>
      </c>
      <c r="B45" t="s">
        <v>67</v>
      </c>
      <c r="C45">
        <v>47</v>
      </c>
      <c r="D45" s="2">
        <v>51000000</v>
      </c>
      <c r="E45" t="s">
        <v>67</v>
      </c>
    </row>
    <row r="46" spans="1:5" x14ac:dyDescent="0.2">
      <c r="A46">
        <v>45</v>
      </c>
      <c r="B46" t="s">
        <v>68</v>
      </c>
      <c r="C46">
        <v>206</v>
      </c>
      <c r="D46" s="2">
        <v>49500000</v>
      </c>
      <c r="E46" t="s">
        <v>68</v>
      </c>
    </row>
    <row r="47" spans="1:5" x14ac:dyDescent="0.2">
      <c r="A47">
        <v>46</v>
      </c>
      <c r="B47" t="s">
        <v>69</v>
      </c>
      <c r="C47">
        <v>95</v>
      </c>
      <c r="D47" s="2">
        <v>48560000</v>
      </c>
      <c r="E47" t="s">
        <v>69</v>
      </c>
    </row>
    <row r="48" spans="1:5" x14ac:dyDescent="0.2">
      <c r="A48">
        <v>47</v>
      </c>
      <c r="B48" t="s">
        <v>19</v>
      </c>
      <c r="C48">
        <v>21</v>
      </c>
      <c r="D48" s="2">
        <v>47500000</v>
      </c>
      <c r="E48" t="s">
        <v>19</v>
      </c>
    </row>
    <row r="49" spans="1:5" x14ac:dyDescent="0.2">
      <c r="A49">
        <v>48</v>
      </c>
      <c r="B49" t="s">
        <v>20</v>
      </c>
      <c r="C49">
        <v>22</v>
      </c>
      <c r="D49" s="2">
        <v>47480200</v>
      </c>
      <c r="E49" t="s">
        <v>20</v>
      </c>
    </row>
    <row r="50" spans="1:5" x14ac:dyDescent="0.2">
      <c r="A50">
        <v>49</v>
      </c>
      <c r="B50" t="s">
        <v>70</v>
      </c>
      <c r="C50">
        <v>72</v>
      </c>
      <c r="D50" s="2">
        <v>46350000</v>
      </c>
      <c r="E50" t="s">
        <v>70</v>
      </c>
    </row>
    <row r="51" spans="1:5" x14ac:dyDescent="0.2">
      <c r="A51">
        <v>50</v>
      </c>
      <c r="B51" t="s">
        <v>71</v>
      </c>
      <c r="C51">
        <v>68</v>
      </c>
      <c r="D51" s="2">
        <v>44500000</v>
      </c>
      <c r="E51" t="s">
        <v>71</v>
      </c>
    </row>
    <row r="52" spans="1:5" x14ac:dyDescent="0.2">
      <c r="A52">
        <v>51</v>
      </c>
      <c r="B52" t="s">
        <v>72</v>
      </c>
      <c r="C52">
        <v>22</v>
      </c>
      <c r="D52" s="2">
        <v>44000000</v>
      </c>
      <c r="E52" t="s">
        <v>72</v>
      </c>
    </row>
    <row r="53" spans="1:5" x14ac:dyDescent="0.2">
      <c r="A53">
        <v>52</v>
      </c>
      <c r="B53" t="s">
        <v>21</v>
      </c>
      <c r="C53">
        <v>89</v>
      </c>
      <c r="D53" s="2">
        <v>44000000</v>
      </c>
      <c r="E53" t="s">
        <v>21</v>
      </c>
    </row>
    <row r="54" spans="1:5" x14ac:dyDescent="0.2">
      <c r="A54">
        <v>53</v>
      </c>
      <c r="B54" t="s">
        <v>22</v>
      </c>
      <c r="C54">
        <v>61</v>
      </c>
      <c r="D54" s="2">
        <v>43588069</v>
      </c>
      <c r="E54" t="s">
        <v>22</v>
      </c>
    </row>
    <row r="55" spans="1:5" x14ac:dyDescent="0.2">
      <c r="A55">
        <v>54</v>
      </c>
      <c r="B55" t="s">
        <v>73</v>
      </c>
      <c r="C55">
        <v>48</v>
      </c>
      <c r="D55" s="2">
        <v>42000000</v>
      </c>
      <c r="E55" t="s">
        <v>73</v>
      </c>
    </row>
    <row r="56" spans="1:5" x14ac:dyDescent="0.2">
      <c r="A56">
        <v>55</v>
      </c>
      <c r="B56" t="s">
        <v>23</v>
      </c>
      <c r="C56">
        <v>35</v>
      </c>
      <c r="D56" s="2">
        <v>41000000</v>
      </c>
      <c r="E56" t="s">
        <v>23</v>
      </c>
    </row>
    <row r="57" spans="1:5" x14ac:dyDescent="0.2">
      <c r="A57">
        <v>56</v>
      </c>
      <c r="B57" t="s">
        <v>24</v>
      </c>
      <c r="C57">
        <v>37</v>
      </c>
      <c r="D57" s="2">
        <v>41000000</v>
      </c>
      <c r="E57" t="s">
        <v>24</v>
      </c>
    </row>
    <row r="58" spans="1:5" x14ac:dyDescent="0.2">
      <c r="A58">
        <v>57</v>
      </c>
      <c r="B58" t="s">
        <v>74</v>
      </c>
      <c r="C58">
        <v>45</v>
      </c>
      <c r="D58" s="2">
        <v>41000000</v>
      </c>
      <c r="E58" t="s">
        <v>74</v>
      </c>
    </row>
    <row r="59" spans="1:5" x14ac:dyDescent="0.2">
      <c r="A59">
        <v>58</v>
      </c>
      <c r="B59" t="s">
        <v>75</v>
      </c>
      <c r="C59">
        <v>40</v>
      </c>
      <c r="D59" s="2">
        <v>40800000</v>
      </c>
      <c r="E59" t="s">
        <v>75</v>
      </c>
    </row>
    <row r="60" spans="1:5" x14ac:dyDescent="0.2">
      <c r="A60">
        <v>59</v>
      </c>
      <c r="B60" t="s">
        <v>25</v>
      </c>
      <c r="C60">
        <v>40</v>
      </c>
      <c r="D60" s="2">
        <v>40400000</v>
      </c>
      <c r="E60" t="s">
        <v>25</v>
      </c>
    </row>
    <row r="61" spans="1:5" x14ac:dyDescent="0.2">
      <c r="A61">
        <v>60</v>
      </c>
      <c r="B61" t="s">
        <v>76</v>
      </c>
      <c r="C61">
        <v>18</v>
      </c>
      <c r="D61" s="2">
        <v>40000000</v>
      </c>
      <c r="E61" t="s">
        <v>76</v>
      </c>
    </row>
    <row r="62" spans="1:5" x14ac:dyDescent="0.2">
      <c r="A62">
        <v>61</v>
      </c>
      <c r="B62" t="s">
        <v>77</v>
      </c>
      <c r="C62">
        <v>26</v>
      </c>
      <c r="D62" s="2">
        <v>40000000</v>
      </c>
      <c r="E62" t="s">
        <v>77</v>
      </c>
    </row>
    <row r="63" spans="1:5" x14ac:dyDescent="0.2">
      <c r="A63">
        <v>62</v>
      </c>
      <c r="B63" t="s">
        <v>78</v>
      </c>
      <c r="C63">
        <v>67</v>
      </c>
      <c r="D63" s="2">
        <v>39500000</v>
      </c>
      <c r="E63" t="s">
        <v>78</v>
      </c>
    </row>
    <row r="64" spans="1:5" x14ac:dyDescent="0.2">
      <c r="A64">
        <v>63</v>
      </c>
      <c r="B64" t="s">
        <v>79</v>
      </c>
      <c r="C64">
        <v>78</v>
      </c>
      <c r="D64" s="2">
        <v>39390000</v>
      </c>
      <c r="E64" t="s">
        <v>79</v>
      </c>
    </row>
    <row r="65" spans="1:5" x14ac:dyDescent="0.2">
      <c r="A65">
        <v>64</v>
      </c>
      <c r="B65" t="s">
        <v>26</v>
      </c>
      <c r="C65">
        <v>24</v>
      </c>
      <c r="D65" s="2">
        <v>39000000</v>
      </c>
      <c r="E65" t="s">
        <v>26</v>
      </c>
    </row>
    <row r="66" spans="1:5" x14ac:dyDescent="0.2">
      <c r="A66">
        <v>65</v>
      </c>
      <c r="B66" t="s">
        <v>80</v>
      </c>
      <c r="C66">
        <v>41</v>
      </c>
      <c r="D66" s="2">
        <v>37800000</v>
      </c>
      <c r="E66" t="s">
        <v>80</v>
      </c>
    </row>
    <row r="67" spans="1:5" x14ac:dyDescent="0.2">
      <c r="A67">
        <v>66</v>
      </c>
      <c r="B67" t="s">
        <v>81</v>
      </c>
      <c r="C67">
        <v>36</v>
      </c>
      <c r="D67" s="2">
        <v>37000000</v>
      </c>
      <c r="E67" t="s">
        <v>81</v>
      </c>
    </row>
    <row r="68" spans="1:5" x14ac:dyDescent="0.2">
      <c r="A68">
        <v>67</v>
      </c>
      <c r="B68" t="s">
        <v>82</v>
      </c>
      <c r="C68">
        <v>40</v>
      </c>
      <c r="D68" s="2">
        <v>37000000</v>
      </c>
      <c r="E68" t="s">
        <v>82</v>
      </c>
    </row>
    <row r="69" spans="1:5" x14ac:dyDescent="0.2">
      <c r="A69">
        <v>68</v>
      </c>
      <c r="B69" t="s">
        <v>27</v>
      </c>
      <c r="C69">
        <v>34</v>
      </c>
      <c r="D69" s="2">
        <v>36800000</v>
      </c>
      <c r="E69" t="s">
        <v>27</v>
      </c>
    </row>
    <row r="70" spans="1:5" x14ac:dyDescent="0.2">
      <c r="A70">
        <v>69</v>
      </c>
      <c r="B70" t="s">
        <v>28</v>
      </c>
      <c r="C70">
        <v>57</v>
      </c>
      <c r="D70" s="2">
        <v>36550000</v>
      </c>
      <c r="E70" t="s">
        <v>28</v>
      </c>
    </row>
    <row r="71" spans="1:5" x14ac:dyDescent="0.2">
      <c r="A71">
        <v>70</v>
      </c>
      <c r="B71" t="s">
        <v>29</v>
      </c>
      <c r="C71">
        <v>14</v>
      </c>
      <c r="D71" s="2">
        <v>35600000</v>
      </c>
      <c r="E71" t="s">
        <v>29</v>
      </c>
    </row>
    <row r="72" spans="1:5" x14ac:dyDescent="0.2">
      <c r="A72">
        <v>71</v>
      </c>
      <c r="B72" t="s">
        <v>83</v>
      </c>
      <c r="C72">
        <v>74</v>
      </c>
      <c r="D72" s="2">
        <v>35150000</v>
      </c>
      <c r="E72" t="s">
        <v>83</v>
      </c>
    </row>
    <row r="73" spans="1:5" x14ac:dyDescent="0.2">
      <c r="A73">
        <v>72</v>
      </c>
      <c r="B73" t="s">
        <v>84</v>
      </c>
      <c r="C73">
        <v>11</v>
      </c>
      <c r="D73" s="2">
        <v>35000000</v>
      </c>
      <c r="E73" t="s">
        <v>84</v>
      </c>
    </row>
    <row r="74" spans="1:5" x14ac:dyDescent="0.2">
      <c r="A74">
        <v>73</v>
      </c>
      <c r="B74" t="s">
        <v>85</v>
      </c>
      <c r="C74">
        <v>17</v>
      </c>
      <c r="D74" s="2">
        <v>32867000</v>
      </c>
      <c r="E74" t="s">
        <v>85</v>
      </c>
    </row>
    <row r="75" spans="1:5" x14ac:dyDescent="0.2">
      <c r="A75">
        <v>74</v>
      </c>
      <c r="B75" t="s">
        <v>86</v>
      </c>
      <c r="C75">
        <v>23</v>
      </c>
      <c r="D75" s="2">
        <v>32857000</v>
      </c>
      <c r="E75" t="s">
        <v>86</v>
      </c>
    </row>
    <row r="76" spans="1:5" x14ac:dyDescent="0.2">
      <c r="A76">
        <v>75</v>
      </c>
      <c r="B76" t="s">
        <v>30</v>
      </c>
      <c r="C76">
        <v>17</v>
      </c>
      <c r="D76" s="2">
        <v>32633488</v>
      </c>
      <c r="E76" t="s">
        <v>30</v>
      </c>
    </row>
    <row r="77" spans="1:5" x14ac:dyDescent="0.2">
      <c r="A77">
        <v>76</v>
      </c>
      <c r="B77" t="s">
        <v>31</v>
      </c>
      <c r="C77">
        <v>45</v>
      </c>
      <c r="D77" s="2">
        <v>32077000</v>
      </c>
      <c r="E77" t="s">
        <v>31</v>
      </c>
    </row>
    <row r="78" spans="1:5" x14ac:dyDescent="0.2">
      <c r="A78">
        <v>77</v>
      </c>
      <c r="B78" t="s">
        <v>87</v>
      </c>
      <c r="C78">
        <v>49</v>
      </c>
      <c r="D78" s="2">
        <v>32000000</v>
      </c>
      <c r="E78" t="s">
        <v>87</v>
      </c>
    </row>
    <row r="79" spans="1:5" x14ac:dyDescent="0.2">
      <c r="A79">
        <v>78</v>
      </c>
      <c r="B79" t="s">
        <v>88</v>
      </c>
      <c r="C79">
        <v>21</v>
      </c>
      <c r="D79" s="2">
        <v>31500000</v>
      </c>
      <c r="E79" t="s">
        <v>88</v>
      </c>
    </row>
    <row r="80" spans="1:5" x14ac:dyDescent="0.2">
      <c r="A80">
        <v>79</v>
      </c>
      <c r="B80" t="s">
        <v>32</v>
      </c>
      <c r="C80">
        <v>15</v>
      </c>
      <c r="D80" s="2">
        <v>30296000</v>
      </c>
      <c r="E80" t="s">
        <v>32</v>
      </c>
    </row>
    <row r="81" spans="1:5" x14ac:dyDescent="0.2">
      <c r="A81">
        <v>80</v>
      </c>
      <c r="B81" t="s">
        <v>33</v>
      </c>
      <c r="C81">
        <v>11</v>
      </c>
      <c r="D81" s="2">
        <v>30000000</v>
      </c>
      <c r="E81" t="s">
        <v>33</v>
      </c>
    </row>
    <row r="82" spans="1:5" x14ac:dyDescent="0.2">
      <c r="A82">
        <v>81</v>
      </c>
      <c r="B82" t="s">
        <v>34</v>
      </c>
      <c r="C82">
        <v>51</v>
      </c>
      <c r="D82" s="2">
        <v>30000000</v>
      </c>
      <c r="E82" t="s">
        <v>34</v>
      </c>
    </row>
    <row r="83" spans="1:5" x14ac:dyDescent="0.2">
      <c r="A83">
        <v>82</v>
      </c>
      <c r="B83" t="s">
        <v>89</v>
      </c>
      <c r="C83">
        <v>34</v>
      </c>
      <c r="D83" s="2">
        <v>29700000</v>
      </c>
      <c r="E83" t="s">
        <v>89</v>
      </c>
    </row>
    <row r="84" spans="1:5" x14ac:dyDescent="0.2">
      <c r="A84">
        <v>83</v>
      </c>
      <c r="B84" t="s">
        <v>90</v>
      </c>
      <c r="C84">
        <v>13</v>
      </c>
      <c r="D84" s="2">
        <v>29000000</v>
      </c>
      <c r="E84" t="s">
        <v>90</v>
      </c>
    </row>
    <row r="85" spans="1:5" x14ac:dyDescent="0.2">
      <c r="A85">
        <v>84</v>
      </c>
      <c r="B85" t="s">
        <v>91</v>
      </c>
      <c r="C85">
        <v>39</v>
      </c>
      <c r="D85" s="2">
        <v>29000000</v>
      </c>
      <c r="E85" t="s">
        <v>91</v>
      </c>
    </row>
    <row r="86" spans="1:5" x14ac:dyDescent="0.2">
      <c r="A86">
        <v>85</v>
      </c>
      <c r="B86" t="s">
        <v>92</v>
      </c>
      <c r="C86">
        <v>19</v>
      </c>
      <c r="D86" s="2">
        <v>28500000</v>
      </c>
      <c r="E86" t="s">
        <v>92</v>
      </c>
    </row>
    <row r="87" spans="1:5" x14ac:dyDescent="0.2">
      <c r="A87">
        <v>86</v>
      </c>
      <c r="B87" t="s">
        <v>35</v>
      </c>
      <c r="C87">
        <v>35</v>
      </c>
      <c r="D87" s="2">
        <v>27600000</v>
      </c>
      <c r="E87" t="s">
        <v>35</v>
      </c>
    </row>
    <row r="88" spans="1:5" x14ac:dyDescent="0.2">
      <c r="A88">
        <v>87</v>
      </c>
      <c r="B88" t="s">
        <v>93</v>
      </c>
      <c r="C88">
        <v>15</v>
      </c>
      <c r="D88" s="2">
        <v>25380000</v>
      </c>
      <c r="E88" t="s">
        <v>93</v>
      </c>
    </row>
    <row r="89" spans="1:5" x14ac:dyDescent="0.2">
      <c r="A89">
        <v>88</v>
      </c>
      <c r="B89" t="s">
        <v>94</v>
      </c>
      <c r="C89">
        <v>33</v>
      </c>
      <c r="D89" s="2">
        <v>25235000</v>
      </c>
      <c r="E89" t="s">
        <v>94</v>
      </c>
    </row>
    <row r="90" spans="1:5" x14ac:dyDescent="0.2">
      <c r="A90">
        <v>89</v>
      </c>
      <c r="B90" t="s">
        <v>95</v>
      </c>
      <c r="C90">
        <v>41</v>
      </c>
      <c r="D90" s="2">
        <v>25000000</v>
      </c>
      <c r="E90" t="s">
        <v>95</v>
      </c>
    </row>
    <row r="91" spans="1:5" x14ac:dyDescent="0.2">
      <c r="A91">
        <v>90</v>
      </c>
      <c r="B91" t="s">
        <v>96</v>
      </c>
      <c r="C91">
        <v>20</v>
      </c>
      <c r="D91" s="2">
        <v>24705000</v>
      </c>
      <c r="E91" t="s">
        <v>96</v>
      </c>
    </row>
    <row r="92" spans="1:5" x14ac:dyDescent="0.2">
      <c r="A92">
        <v>91</v>
      </c>
      <c r="B92" t="s">
        <v>36</v>
      </c>
      <c r="C92">
        <v>33</v>
      </c>
      <c r="D92" s="2">
        <v>23650000</v>
      </c>
      <c r="E92" t="s">
        <v>36</v>
      </c>
    </row>
    <row r="93" spans="1:5" x14ac:dyDescent="0.2">
      <c r="A93">
        <v>92</v>
      </c>
      <c r="B93" t="s">
        <v>37</v>
      </c>
      <c r="C93">
        <v>63</v>
      </c>
      <c r="D93" s="2">
        <v>23635000</v>
      </c>
      <c r="E93" t="s">
        <v>37</v>
      </c>
    </row>
    <row r="94" spans="1:5" x14ac:dyDescent="0.2">
      <c r="A94">
        <v>93</v>
      </c>
      <c r="B94" t="s">
        <v>38</v>
      </c>
      <c r="C94">
        <v>58</v>
      </c>
      <c r="D94" s="2">
        <v>23500000</v>
      </c>
      <c r="E94" t="s">
        <v>38</v>
      </c>
    </row>
    <row r="95" spans="1:5" x14ac:dyDescent="0.2">
      <c r="A95">
        <v>94</v>
      </c>
      <c r="B95" t="s">
        <v>97</v>
      </c>
      <c r="C95">
        <v>37</v>
      </c>
      <c r="D95" s="2">
        <v>23000000</v>
      </c>
      <c r="E95" t="s">
        <v>97</v>
      </c>
    </row>
    <row r="96" spans="1:5" x14ac:dyDescent="0.2">
      <c r="A96">
        <v>95</v>
      </c>
      <c r="B96" t="s">
        <v>98</v>
      </c>
      <c r="C96">
        <v>48</v>
      </c>
      <c r="D96" s="2">
        <v>21000000</v>
      </c>
      <c r="E96" t="s">
        <v>98</v>
      </c>
    </row>
    <row r="97" spans="1:16" x14ac:dyDescent="0.2">
      <c r="A97">
        <v>96</v>
      </c>
      <c r="B97" t="s">
        <v>99</v>
      </c>
      <c r="C97">
        <v>35</v>
      </c>
      <c r="D97" s="2">
        <v>20500000</v>
      </c>
      <c r="E97" t="s">
        <v>99</v>
      </c>
    </row>
    <row r="98" spans="1:16" x14ac:dyDescent="0.2">
      <c r="A98">
        <v>97</v>
      </c>
      <c r="B98" t="s">
        <v>39</v>
      </c>
      <c r="C98">
        <v>30</v>
      </c>
      <c r="D98" s="2">
        <v>20000000</v>
      </c>
      <c r="E98" t="s">
        <v>39</v>
      </c>
    </row>
    <row r="99" spans="1:16" x14ac:dyDescent="0.2">
      <c r="A99">
        <v>98</v>
      </c>
      <c r="B99" t="s">
        <v>40</v>
      </c>
      <c r="C99">
        <v>46</v>
      </c>
      <c r="D99" s="2">
        <v>19980000</v>
      </c>
      <c r="E99" t="s">
        <v>40</v>
      </c>
    </row>
    <row r="100" spans="1:16" x14ac:dyDescent="0.2">
      <c r="A100">
        <v>99</v>
      </c>
      <c r="B100" t="s">
        <v>100</v>
      </c>
      <c r="C100">
        <v>35</v>
      </c>
      <c r="D100" s="2">
        <v>19022000</v>
      </c>
      <c r="E100" t="s">
        <v>100</v>
      </c>
    </row>
    <row r="101" spans="1:16" x14ac:dyDescent="0.2">
      <c r="A101">
        <v>100</v>
      </c>
      <c r="B101" t="s">
        <v>41</v>
      </c>
      <c r="C101">
        <v>13</v>
      </c>
      <c r="D101" s="2">
        <v>19019254</v>
      </c>
      <c r="E101" t="s">
        <v>41</v>
      </c>
    </row>
    <row r="102" spans="1:16" x14ac:dyDescent="0.2">
      <c r="A102" s="3" t="s">
        <v>101</v>
      </c>
      <c r="C102">
        <f>SUM(C2:C101)</f>
        <v>50609</v>
      </c>
      <c r="D102" s="2">
        <f>SUM(D2:D101)</f>
        <v>39440738828</v>
      </c>
    </row>
    <row r="103" spans="1:16" x14ac:dyDescent="0.2">
      <c r="A103" s="3" t="s">
        <v>102</v>
      </c>
      <c r="C103">
        <f>AVERAGE(C2:C101)</f>
        <v>506.09</v>
      </c>
      <c r="D103" s="2">
        <f>AVERAGE(D2:D101)</f>
        <v>394407388.27999997</v>
      </c>
    </row>
    <row r="104" spans="1:16" x14ac:dyDescent="0.2">
      <c r="A104" s="3" t="s">
        <v>108</v>
      </c>
      <c r="C104">
        <f>MIN(C2:C101)</f>
        <v>11</v>
      </c>
      <c r="D104" s="2">
        <f>MIN(D2:D101)</f>
        <v>19019254</v>
      </c>
    </row>
    <row r="105" spans="1:16" x14ac:dyDescent="0.2">
      <c r="A105" s="3" t="s">
        <v>103</v>
      </c>
      <c r="C105">
        <f>MAX(C2:C101)</f>
        <v>15605</v>
      </c>
      <c r="D105" s="2">
        <f>MAX(D2:D101)</f>
        <v>13400000000</v>
      </c>
    </row>
    <row r="107" spans="1:16" x14ac:dyDescent="0.2">
      <c r="B107">
        <v>92</v>
      </c>
      <c r="C107" t="str">
        <f>VLOOKUP(B107,A2:B101,2,FALSE)</f>
        <v>Snappy Tomato Pizza</v>
      </c>
    </row>
    <row r="108" spans="1:16" x14ac:dyDescent="0.2">
      <c r="P108" s="4"/>
    </row>
    <row r="109" spans="1:16" x14ac:dyDescent="0.2">
      <c r="P109" s="4"/>
    </row>
    <row r="110" spans="1:16" x14ac:dyDescent="0.2">
      <c r="P110" s="4"/>
    </row>
    <row r="111" spans="1:16" x14ac:dyDescent="0.2">
      <c r="P111" s="4"/>
    </row>
    <row r="112" spans="1:16" x14ac:dyDescent="0.2">
      <c r="P1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2"/>
  <sheetViews>
    <sheetView workbookViewId="0">
      <selection activeCell="A12" sqref="A12"/>
    </sheetView>
  </sheetViews>
  <sheetFormatPr baseColWidth="10" defaultRowHeight="16" x14ac:dyDescent="0.2"/>
  <sheetData>
    <row r="12" spans="1:1" x14ac:dyDescent="0.2">
      <c r="A12" s="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Advanced Calculations</vt:lpstr>
      <vt:lpstr>Results</vt:lpstr>
      <vt:lpstr>storeUnits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2018-01-03T10:05:41Z</dcterms:created>
  <dcterms:modified xsi:type="dcterms:W3CDTF">2018-12-08T20:58:56Z</dcterms:modified>
</cp:coreProperties>
</file>