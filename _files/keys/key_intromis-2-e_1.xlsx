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Biagio/Desktop/isds1001website/views/media/datafiles/excel/excel22018/"/>
    </mc:Choice>
  </mc:AlternateContent>
  <workbookProtection lockStructure="1"/>
  <bookViews>
    <workbookView xWindow="0" yWindow="460" windowWidth="28800" windowHeight="16420" tabRatio="500" activeTab="1"/>
  </bookViews>
  <sheets>
    <sheet name="Advanced Calculations" sheetId="1" r:id="rId1"/>
    <sheet name="Results" sheetId="2" r:id="rId2"/>
  </sheets>
  <definedNames>
    <definedName name="storeUnits">'Advanced Calculations'!$A$2:$A$101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2" l="1"/>
  <c r="B9" i="2"/>
  <c r="B10" i="2"/>
  <c r="B11" i="2"/>
  <c r="B8" i="2"/>
  <c r="B6" i="2"/>
  <c r="B7" i="2"/>
  <c r="B5" i="2"/>
</calcChain>
</file>

<file path=xl/sharedStrings.xml><?xml version="1.0" encoding="utf-8"?>
<sst xmlns="http://schemas.openxmlformats.org/spreadsheetml/2006/main" count="227" uniqueCount="121">
  <si>
    <t>Restaurant Name</t>
  </si>
  <si>
    <t>2015 Gross Sales</t>
  </si>
  <si>
    <t>Little Caesars Pizza</t>
  </si>
  <si>
    <t>Papa Johns' International</t>
  </si>
  <si>
    <t>Marco’s Pizza</t>
  </si>
  <si>
    <t>Jet’s Pizza</t>
  </si>
  <si>
    <t>Hungry Howie’s Pizza</t>
  </si>
  <si>
    <t>Pizza Ranch</t>
  </si>
  <si>
    <t>Bertucci’s Italian</t>
  </si>
  <si>
    <t>Rosati's Pizza</t>
  </si>
  <si>
    <t>Donatos Pizza</t>
  </si>
  <si>
    <t>LaRosa’s Pizzeria</t>
  </si>
  <si>
    <t>Fox's Pizza Den</t>
  </si>
  <si>
    <t>Mountain Mike’s Pizza</t>
  </si>
  <si>
    <t>Ledo Pizza</t>
  </si>
  <si>
    <t>Villa Fresh Italian Kitchen</t>
  </si>
  <si>
    <t>Imo’s Pizza</t>
  </si>
  <si>
    <t>Giovanni’s Pizza</t>
  </si>
  <si>
    <t>Monical’s Pizza</t>
  </si>
  <si>
    <t>Pizza Factory “We Toss’em, They’re Awesome”</t>
  </si>
  <si>
    <t>Grotto Pizza</t>
  </si>
  <si>
    <t>Beggars Pizza</t>
  </si>
  <si>
    <t>Vocelli Pizza</t>
  </si>
  <si>
    <t>Pizza Guys</t>
  </si>
  <si>
    <t>Salvatore’s Old Fashioned Pizzeria</t>
  </si>
  <si>
    <t>Valentino’s</t>
  </si>
  <si>
    <t>Happy Joe’s Pizza</t>
  </si>
  <si>
    <t>Pizza My Heart</t>
  </si>
  <si>
    <t>Nancy’s Pizza</t>
  </si>
  <si>
    <t>Ameci Pizza and Pasta</t>
  </si>
  <si>
    <t>Hideaway Pizza</t>
  </si>
  <si>
    <t>Oggi’s Pizza &amp; Brewing Company</t>
  </si>
  <si>
    <t>Johnny’s Pizza House</t>
  </si>
  <si>
    <t>Minsky’s Pizza Café/Bar</t>
  </si>
  <si>
    <t>Buddy’s Pizza</t>
  </si>
  <si>
    <t>Cottage Inn Pizza</t>
  </si>
  <si>
    <t>Abby’s Legendary Pizza</t>
  </si>
  <si>
    <t>Romeo’s Pizza</t>
  </si>
  <si>
    <t>Snappy Tomato Pizza</t>
  </si>
  <si>
    <t>Pizza Plus</t>
  </si>
  <si>
    <t>Samuel Mancino’s Italian Eateries</t>
  </si>
  <si>
    <t>Figaro’s Pizza</t>
  </si>
  <si>
    <t>Fresh Brothers</t>
  </si>
  <si>
    <t>Pizza Hut</t>
  </si>
  <si>
    <t>Domino's</t>
  </si>
  <si>
    <t>Papa Murphy’s International</t>
  </si>
  <si>
    <t>California Pizza Kitchen</t>
  </si>
  <si>
    <t>Sbarro</t>
  </si>
  <si>
    <t>CiCi’s Pizza</t>
  </si>
  <si>
    <t>Chuck E. Cheese’s</t>
  </si>
  <si>
    <t>Round Table Pizza</t>
  </si>
  <si>
    <t>Godfather’s Pizza</t>
  </si>
  <si>
    <t>Old Chicago/Rock Bottom Restaurant</t>
  </si>
  <si>
    <t>Uno Chicago Grill</t>
  </si>
  <si>
    <t>Peter Piper Pizza</t>
  </si>
  <si>
    <t>Mellow Mushroom</t>
  </si>
  <si>
    <t>Gatti’s Pizza</t>
  </si>
  <si>
    <t>Mazzio’s Italian Eatery</t>
  </si>
  <si>
    <t>Pizza Inn/Pive Five Pizza</t>
  </si>
  <si>
    <t>Papa Gino’s Pizzeria</t>
  </si>
  <si>
    <t>Giordano’s Restaurant &amp; Pizzeria</t>
  </si>
  <si>
    <t>Famous Famiglia</t>
  </si>
  <si>
    <t>Noble Roman’s Pizza</t>
  </si>
  <si>
    <t>Pizza Pro</t>
  </si>
  <si>
    <t>Johnny’s NY Style Pizza/Johnny Busco’s Pizza</t>
  </si>
  <si>
    <t>Pizza Patron</t>
  </si>
  <si>
    <t>Shakey’s Pizza</t>
  </si>
  <si>
    <t>Breadeaux Pizza</t>
  </si>
  <si>
    <t>Pieology Pizzeria</t>
  </si>
  <si>
    <t>Simple Simon’s Pizza</t>
  </si>
  <si>
    <t>zpizza</t>
  </si>
  <si>
    <t>Pizza Boli’s</t>
  </si>
  <si>
    <t>Me-N-Ed’s Pizzeria/Blast 825 Pizza</t>
  </si>
  <si>
    <t>The Rock Wood Fired Kitchen</t>
  </si>
  <si>
    <t>Jerry’s Subs &amp; Pizza</t>
  </si>
  <si>
    <t>Blackjack Pizza</t>
  </si>
  <si>
    <t>Aurelio’s Pizza</t>
  </si>
  <si>
    <t>Izzy’s</t>
  </si>
  <si>
    <t>Brixx Wood-Fired Pizza</t>
  </si>
  <si>
    <t>Toppers Pizza</t>
  </si>
  <si>
    <t>Pizza King</t>
  </si>
  <si>
    <t>Buscemi’s Pizza</t>
  </si>
  <si>
    <t>Lamppost Pizza</t>
  </si>
  <si>
    <t>Rocky Rococo</t>
  </si>
  <si>
    <t>East of Chicago Pizza</t>
  </si>
  <si>
    <t>America’s Incredible Pizza</t>
  </si>
  <si>
    <t>Belleria Pizzeria</t>
  </si>
  <si>
    <t>Pizzeria Regina/Polcari’s Restaurant</t>
  </si>
  <si>
    <t>Stevi’ B’s Pizza</t>
  </si>
  <si>
    <t>Davanni’s Pizza &amp; Hot Hoagies</t>
  </si>
  <si>
    <t>Russo’s New York Pizzeria/New York Pizzeria</t>
  </si>
  <si>
    <t>mamma ilardo’s pizzeria</t>
  </si>
  <si>
    <t>Jimmy’s Pizza</t>
  </si>
  <si>
    <t>Mary’s Pizza Shack</t>
  </si>
  <si>
    <t>Oregano’s Pizza Bistro</t>
  </si>
  <si>
    <t>Cassano’s Pizza King</t>
  </si>
  <si>
    <t>Extreme Pizza</t>
  </si>
  <si>
    <t>Dion’s Pizza</t>
  </si>
  <si>
    <t>La Pizza Loca</t>
  </si>
  <si>
    <t>DoubleDave’s Pieworks</t>
  </si>
  <si>
    <t>BC Pizza</t>
  </si>
  <si>
    <t>Straw Hat Pizza</t>
  </si>
  <si>
    <t>Total</t>
  </si>
  <si>
    <t>Average</t>
  </si>
  <si>
    <t>Max</t>
  </si>
  <si>
    <t>Results Page</t>
  </si>
  <si>
    <t>Average number of units:</t>
  </si>
  <si>
    <t>Minimum number of units:</t>
  </si>
  <si>
    <t>Maximum number of units:</t>
  </si>
  <si>
    <t>The chain with the lowest number of units is:</t>
  </si>
  <si>
    <t>The chain with the greatest number of units is:</t>
  </si>
  <si>
    <t>The chain with the lowest gross sales is:</t>
  </si>
  <si>
    <t>Restaurant with lowest number of units</t>
  </si>
  <si>
    <t>Restaurant with highest number of units</t>
  </si>
  <si>
    <t>Restaurant with lowest revenue in 2015</t>
  </si>
  <si>
    <t>Restaurant with highest revenue in 2015</t>
  </si>
  <si>
    <t>Min</t>
  </si>
  <si>
    <t>The chain with the greatest gross sales is:</t>
  </si>
  <si>
    <t>Current Date</t>
  </si>
  <si>
    <t>Units</t>
  </si>
  <si>
    <t>Note: This is a preliminary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</si>
</sst>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[$-F800]dddd\,\ mmmm\ dd\,\ yyyy"/>
  </numFmts>
  <fonts count="7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6" fontId="3" fillId="0" borderId="0" xfId="0" applyNumberFormat="1" applyFont="1"/>
    <xf numFmtId="0" fontId="4" fillId="0" borderId="0" xfId="0" applyFont="1"/>
    <xf numFmtId="44" fontId="3" fillId="0" borderId="0" xfId="0" applyNumberFormat="1" applyFont="1"/>
    <xf numFmtId="0" fontId="5" fillId="0" borderId="0" xfId="0" applyFont="1"/>
    <xf numFmtId="164" fontId="0" fillId="0" borderId="0" xfId="0" applyNumberFormat="1"/>
    <xf numFmtId="0" fontId="0" fillId="0" borderId="1" xfId="0" applyBorder="1"/>
    <xf numFmtId="0" fontId="6" fillId="0" borderId="0" xfId="0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2"/>
  <sheetViews>
    <sheetView workbookViewId="0">
      <selection activeCell="B12" sqref="B12"/>
    </sheetView>
  </sheetViews>
  <sheetFormatPr baseColWidth="10" defaultRowHeight="16" x14ac:dyDescent="0.2"/>
  <cols>
    <col min="1" max="1" width="7.83203125" bestFit="1" customWidth="1"/>
    <col min="2" max="2" width="39.1640625" bestFit="1" customWidth="1"/>
    <col min="3" max="3" width="18.33203125" bestFit="1" customWidth="1"/>
    <col min="4" max="4" width="19.5" bestFit="1" customWidth="1"/>
    <col min="5" max="5" width="39.1640625" bestFit="1" customWidth="1"/>
    <col min="6" max="6" width="22.1640625" bestFit="1" customWidth="1"/>
    <col min="7" max="7" width="34" bestFit="1" customWidth="1"/>
  </cols>
  <sheetData>
    <row r="1" spans="1:16" ht="21" x14ac:dyDescent="0.25">
      <c r="A1" s="2">
        <v>2015</v>
      </c>
      <c r="B1" s="2" t="s">
        <v>0</v>
      </c>
      <c r="C1" s="2" t="s">
        <v>119</v>
      </c>
      <c r="D1" s="2" t="s">
        <v>1</v>
      </c>
      <c r="E1" s="2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>
        <v>1</v>
      </c>
      <c r="B2" s="3" t="s">
        <v>43</v>
      </c>
      <c r="C2" s="4">
        <v>15605</v>
      </c>
      <c r="D2" s="5">
        <v>13400000000</v>
      </c>
      <c r="E2" s="3" t="s">
        <v>43</v>
      </c>
      <c r="F2" s="3" t="s">
        <v>85</v>
      </c>
      <c r="G2" s="3" t="s">
        <v>112</v>
      </c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>
        <v>2</v>
      </c>
      <c r="B3" s="3" t="s">
        <v>44</v>
      </c>
      <c r="C3" s="4">
        <v>11629</v>
      </c>
      <c r="D3" s="5">
        <v>8900000000</v>
      </c>
      <c r="E3" s="3" t="s">
        <v>44</v>
      </c>
      <c r="F3" s="3" t="s">
        <v>43</v>
      </c>
      <c r="G3" s="3" t="s">
        <v>113</v>
      </c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>
        <v>3</v>
      </c>
      <c r="B4" s="3" t="s">
        <v>2</v>
      </c>
      <c r="C4" s="4">
        <v>4059</v>
      </c>
      <c r="D4" s="5">
        <v>3400000000</v>
      </c>
      <c r="E4" s="3" t="s">
        <v>2</v>
      </c>
      <c r="F4" s="3" t="s">
        <v>42</v>
      </c>
      <c r="G4" s="3" t="s">
        <v>114</v>
      </c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>
        <v>4</v>
      </c>
      <c r="B5" s="3" t="s">
        <v>3</v>
      </c>
      <c r="C5" s="3">
        <v>4708</v>
      </c>
      <c r="D5" s="5">
        <v>3332000000</v>
      </c>
      <c r="E5" s="3" t="s">
        <v>3</v>
      </c>
      <c r="F5" s="3" t="s">
        <v>43</v>
      </c>
      <c r="G5" s="3" t="s">
        <v>115</v>
      </c>
      <c r="H5" s="3"/>
      <c r="I5" s="3"/>
      <c r="J5" s="3"/>
      <c r="K5" s="3"/>
      <c r="L5" s="3"/>
      <c r="M5" s="3"/>
      <c r="N5" s="3"/>
      <c r="O5" s="3"/>
      <c r="P5" s="3"/>
    </row>
    <row r="6" spans="1:16" x14ac:dyDescent="0.2">
      <c r="A6" s="3">
        <v>5</v>
      </c>
      <c r="B6" s="3" t="s">
        <v>45</v>
      </c>
      <c r="C6" s="3">
        <v>1425</v>
      </c>
      <c r="D6" s="5">
        <v>785360000</v>
      </c>
      <c r="E6" s="3" t="s">
        <v>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">
      <c r="A7" s="3">
        <v>6</v>
      </c>
      <c r="B7" s="3" t="s">
        <v>46</v>
      </c>
      <c r="C7" s="3">
        <v>290</v>
      </c>
      <c r="D7" s="5">
        <v>745000000</v>
      </c>
      <c r="E7" s="3" t="s">
        <v>46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">
      <c r="A8" s="3">
        <v>7</v>
      </c>
      <c r="B8" s="3" t="s">
        <v>47</v>
      </c>
      <c r="C8" s="3">
        <v>820</v>
      </c>
      <c r="D8" s="5">
        <v>602000000</v>
      </c>
      <c r="E8" s="3" t="s">
        <v>47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">
      <c r="A9" s="3">
        <v>8</v>
      </c>
      <c r="B9" s="3" t="s">
        <v>48</v>
      </c>
      <c r="C9" s="3">
        <v>519</v>
      </c>
      <c r="D9" s="5">
        <v>475000000</v>
      </c>
      <c r="E9" s="3" t="s">
        <v>48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">
      <c r="A10" s="3">
        <v>9</v>
      </c>
      <c r="B10" s="3" t="s">
        <v>49</v>
      </c>
      <c r="C10" s="3">
        <v>577</v>
      </c>
      <c r="D10" s="5">
        <v>405000000</v>
      </c>
      <c r="E10" s="3" t="s">
        <v>49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2">
      <c r="A11" s="3">
        <v>10</v>
      </c>
      <c r="B11" s="3" t="s">
        <v>4</v>
      </c>
      <c r="C11" s="3">
        <v>640</v>
      </c>
      <c r="D11" s="5">
        <v>380000000</v>
      </c>
      <c r="E11" s="3" t="s">
        <v>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A12" s="3">
        <v>11</v>
      </c>
      <c r="B12" s="3" t="s">
        <v>50</v>
      </c>
      <c r="C12" s="3">
        <v>439</v>
      </c>
      <c r="D12" s="5">
        <v>378000000</v>
      </c>
      <c r="E12" s="3" t="s">
        <v>50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">
      <c r="A13" s="3">
        <v>12</v>
      </c>
      <c r="B13" s="3" t="s">
        <v>5</v>
      </c>
      <c r="C13" s="3">
        <v>375</v>
      </c>
      <c r="D13" s="5">
        <v>350000000</v>
      </c>
      <c r="E13" s="3" t="s">
        <v>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2">
      <c r="A14" s="3">
        <v>13</v>
      </c>
      <c r="B14" s="3" t="s">
        <v>6</v>
      </c>
      <c r="C14" s="3">
        <v>551</v>
      </c>
      <c r="D14" s="5">
        <v>337069011</v>
      </c>
      <c r="E14" s="3" t="s">
        <v>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2">
      <c r="A15" s="3">
        <v>14</v>
      </c>
      <c r="B15" s="3" t="s">
        <v>51</v>
      </c>
      <c r="C15" s="3">
        <v>620</v>
      </c>
      <c r="D15" s="5">
        <v>325600000</v>
      </c>
      <c r="E15" s="3" t="s">
        <v>51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">
      <c r="A16" s="3">
        <v>15</v>
      </c>
      <c r="B16" s="3" t="s">
        <v>52</v>
      </c>
      <c r="C16" s="3">
        <v>96</v>
      </c>
      <c r="D16" s="5">
        <v>320000000</v>
      </c>
      <c r="E16" s="3" t="s">
        <v>52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">
      <c r="A17" s="3">
        <v>16</v>
      </c>
      <c r="B17" s="3" t="s">
        <v>7</v>
      </c>
      <c r="C17" s="3">
        <v>190</v>
      </c>
      <c r="D17" s="5">
        <v>222274500</v>
      </c>
      <c r="E17" s="3" t="s">
        <v>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">
      <c r="A18" s="3">
        <v>17</v>
      </c>
      <c r="B18" s="3" t="s">
        <v>53</v>
      </c>
      <c r="C18" s="3">
        <v>149</v>
      </c>
      <c r="D18" s="5">
        <v>210500000</v>
      </c>
      <c r="E18" s="3" t="s">
        <v>53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">
      <c r="A19" s="3">
        <v>18</v>
      </c>
      <c r="B19" s="3" t="s">
        <v>54</v>
      </c>
      <c r="C19" s="3">
        <v>142</v>
      </c>
      <c r="D19" s="5">
        <v>198000000</v>
      </c>
      <c r="E19" s="3" t="s">
        <v>54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">
      <c r="A20" s="3">
        <v>19</v>
      </c>
      <c r="B20" s="3" t="s">
        <v>55</v>
      </c>
      <c r="C20" s="3">
        <v>175</v>
      </c>
      <c r="D20" s="5">
        <v>191000000</v>
      </c>
      <c r="E20" s="3" t="s">
        <v>55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">
      <c r="A21" s="3">
        <v>20</v>
      </c>
      <c r="B21" s="3" t="s">
        <v>8</v>
      </c>
      <c r="C21" s="3">
        <v>88</v>
      </c>
      <c r="D21" s="5">
        <v>188000000</v>
      </c>
      <c r="E21" s="3" t="s">
        <v>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">
      <c r="A22" s="3">
        <v>21</v>
      </c>
      <c r="B22" s="3" t="s">
        <v>9</v>
      </c>
      <c r="C22" s="3">
        <v>126</v>
      </c>
      <c r="D22" s="5">
        <v>188000000</v>
      </c>
      <c r="E22" s="3" t="s">
        <v>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">
      <c r="A23" s="3">
        <v>22</v>
      </c>
      <c r="B23" s="3" t="s">
        <v>10</v>
      </c>
      <c r="C23" s="3">
        <v>153</v>
      </c>
      <c r="D23" s="5">
        <v>175000000</v>
      </c>
      <c r="E23" s="3" t="s">
        <v>10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">
      <c r="A24" s="3">
        <v>23</v>
      </c>
      <c r="B24" s="3" t="s">
        <v>56</v>
      </c>
      <c r="C24" s="3">
        <v>110</v>
      </c>
      <c r="D24" s="5">
        <v>145000000</v>
      </c>
      <c r="E24" s="3" t="s">
        <v>56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3">
        <v>24</v>
      </c>
      <c r="B25" s="3" t="s">
        <v>11</v>
      </c>
      <c r="C25" s="3">
        <v>66</v>
      </c>
      <c r="D25" s="5">
        <v>143599000</v>
      </c>
      <c r="E25" s="3" t="s">
        <v>11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3">
        <v>25</v>
      </c>
      <c r="B26" s="3" t="s">
        <v>12</v>
      </c>
      <c r="C26" s="3">
        <v>250</v>
      </c>
      <c r="D26" s="5">
        <v>131250000</v>
      </c>
      <c r="E26" s="3" t="s">
        <v>12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3">
        <v>26</v>
      </c>
      <c r="B27" s="3" t="s">
        <v>13</v>
      </c>
      <c r="C27" s="3">
        <v>170</v>
      </c>
      <c r="D27" s="5">
        <v>130000000</v>
      </c>
      <c r="E27" s="3" t="s">
        <v>13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3">
        <v>27</v>
      </c>
      <c r="B28" s="3" t="s">
        <v>57</v>
      </c>
      <c r="C28" s="3">
        <v>143</v>
      </c>
      <c r="D28" s="5">
        <v>122000000</v>
      </c>
      <c r="E28" s="3" t="s">
        <v>57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3">
        <v>28</v>
      </c>
      <c r="B29" s="3" t="s">
        <v>58</v>
      </c>
      <c r="C29" s="3">
        <v>217</v>
      </c>
      <c r="D29" s="5">
        <v>120854000</v>
      </c>
      <c r="E29" s="3" t="s">
        <v>58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3">
        <v>29</v>
      </c>
      <c r="B30" s="3" t="s">
        <v>59</v>
      </c>
      <c r="C30" s="3">
        <v>151</v>
      </c>
      <c r="D30" s="5">
        <v>114500000</v>
      </c>
      <c r="E30" s="3" t="s">
        <v>59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3">
        <v>30</v>
      </c>
      <c r="B31" s="3" t="s">
        <v>14</v>
      </c>
      <c r="C31" s="3">
        <v>102</v>
      </c>
      <c r="D31" s="5">
        <v>110000000</v>
      </c>
      <c r="E31" s="3" t="s">
        <v>14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3">
        <v>31</v>
      </c>
      <c r="B32" s="3" t="s">
        <v>15</v>
      </c>
      <c r="C32" s="3">
        <v>271</v>
      </c>
      <c r="D32" s="5">
        <v>105806602</v>
      </c>
      <c r="E32" s="3" t="s">
        <v>15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3">
        <v>32</v>
      </c>
      <c r="B33" s="3" t="s">
        <v>16</v>
      </c>
      <c r="C33" s="3">
        <v>95</v>
      </c>
      <c r="D33" s="5">
        <v>93815000</v>
      </c>
      <c r="E33" s="3" t="s">
        <v>16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3">
        <v>33</v>
      </c>
      <c r="B34" s="3" t="s">
        <v>60</v>
      </c>
      <c r="C34" s="3">
        <v>47</v>
      </c>
      <c r="D34" s="5">
        <v>90795000</v>
      </c>
      <c r="E34" s="3" t="s">
        <v>60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3">
        <v>34</v>
      </c>
      <c r="B35" s="3" t="s">
        <v>61</v>
      </c>
      <c r="C35" s="3">
        <v>103</v>
      </c>
      <c r="D35" s="5">
        <v>82400000</v>
      </c>
      <c r="E35" s="3" t="s">
        <v>61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3">
        <v>35</v>
      </c>
      <c r="B36" s="3" t="s">
        <v>62</v>
      </c>
      <c r="C36" s="3">
        <v>2215</v>
      </c>
      <c r="D36" s="5">
        <v>80000000</v>
      </c>
      <c r="E36" s="3" t="s">
        <v>62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3">
        <v>36</v>
      </c>
      <c r="B37" s="3" t="s">
        <v>63</v>
      </c>
      <c r="C37" s="3">
        <v>395</v>
      </c>
      <c r="D37" s="5">
        <v>79142000</v>
      </c>
      <c r="E37" s="3" t="s">
        <v>63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3">
        <v>37</v>
      </c>
      <c r="B38" s="3" t="s">
        <v>64</v>
      </c>
      <c r="C38" s="3">
        <v>74</v>
      </c>
      <c r="D38" s="5">
        <v>76000000</v>
      </c>
      <c r="E38" s="3" t="s">
        <v>64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3">
        <v>38</v>
      </c>
      <c r="B39" s="3" t="s">
        <v>17</v>
      </c>
      <c r="C39" s="3">
        <v>108</v>
      </c>
      <c r="D39" s="5">
        <v>67000000</v>
      </c>
      <c r="E39" s="3" t="s">
        <v>17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3">
        <v>39</v>
      </c>
      <c r="B40" s="3" t="s">
        <v>18</v>
      </c>
      <c r="C40" s="3">
        <v>65</v>
      </c>
      <c r="D40" s="5">
        <v>63610000</v>
      </c>
      <c r="E40" s="3" t="s">
        <v>18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3">
        <v>40</v>
      </c>
      <c r="B41" s="3" t="s">
        <v>65</v>
      </c>
      <c r="C41" s="3">
        <v>90</v>
      </c>
      <c r="D41" s="5">
        <v>62000000</v>
      </c>
      <c r="E41" s="3" t="s">
        <v>65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3">
        <v>41</v>
      </c>
      <c r="B42" s="3" t="s">
        <v>19</v>
      </c>
      <c r="C42" s="3">
        <v>108</v>
      </c>
      <c r="D42" s="5">
        <v>60311704</v>
      </c>
      <c r="E42" s="3" t="s">
        <v>19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3">
        <v>42</v>
      </c>
      <c r="B43" s="3" t="s">
        <v>66</v>
      </c>
      <c r="C43" s="3">
        <v>59</v>
      </c>
      <c r="D43" s="5">
        <v>59000000</v>
      </c>
      <c r="E43" s="3" t="s">
        <v>66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3">
        <v>43</v>
      </c>
      <c r="B44" s="3" t="s">
        <v>67</v>
      </c>
      <c r="C44" s="3">
        <v>30</v>
      </c>
      <c r="D44" s="5">
        <v>52727000</v>
      </c>
      <c r="E44" s="3" t="s">
        <v>67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3">
        <v>44</v>
      </c>
      <c r="B45" s="3" t="s">
        <v>68</v>
      </c>
      <c r="C45" s="3">
        <v>47</v>
      </c>
      <c r="D45" s="5">
        <v>51000000</v>
      </c>
      <c r="E45" s="3" t="s">
        <v>68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3">
        <v>45</v>
      </c>
      <c r="B46" s="3" t="s">
        <v>69</v>
      </c>
      <c r="C46" s="3">
        <v>206</v>
      </c>
      <c r="D46" s="5">
        <v>49500000</v>
      </c>
      <c r="E46" s="3" t="s">
        <v>69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3">
        <v>46</v>
      </c>
      <c r="B47" s="3" t="s">
        <v>70</v>
      </c>
      <c r="C47" s="3">
        <v>95</v>
      </c>
      <c r="D47" s="5">
        <v>48560000</v>
      </c>
      <c r="E47" s="3" t="s">
        <v>70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3">
        <v>47</v>
      </c>
      <c r="B48" s="3" t="s">
        <v>20</v>
      </c>
      <c r="C48" s="3">
        <v>21</v>
      </c>
      <c r="D48" s="5">
        <v>47500000</v>
      </c>
      <c r="E48" s="3" t="s">
        <v>20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3">
        <v>48</v>
      </c>
      <c r="B49" s="3" t="s">
        <v>21</v>
      </c>
      <c r="C49" s="3">
        <v>22</v>
      </c>
      <c r="D49" s="5">
        <v>47480200</v>
      </c>
      <c r="E49" s="3" t="s">
        <v>21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3">
        <v>49</v>
      </c>
      <c r="B50" s="3" t="s">
        <v>71</v>
      </c>
      <c r="C50" s="3">
        <v>72</v>
      </c>
      <c r="D50" s="5">
        <v>46350000</v>
      </c>
      <c r="E50" s="3" t="s">
        <v>71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3">
        <v>50</v>
      </c>
      <c r="B51" s="3" t="s">
        <v>72</v>
      </c>
      <c r="C51" s="3">
        <v>68</v>
      </c>
      <c r="D51" s="5">
        <v>44500000</v>
      </c>
      <c r="E51" s="3" t="s">
        <v>72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3">
        <v>51</v>
      </c>
      <c r="B52" s="3" t="s">
        <v>73</v>
      </c>
      <c r="C52" s="3">
        <v>22</v>
      </c>
      <c r="D52" s="5">
        <v>44000000</v>
      </c>
      <c r="E52" s="3" t="s">
        <v>73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3">
        <v>52</v>
      </c>
      <c r="B53" s="3" t="s">
        <v>22</v>
      </c>
      <c r="C53" s="3">
        <v>89</v>
      </c>
      <c r="D53" s="5">
        <v>44000000</v>
      </c>
      <c r="E53" s="3" t="s">
        <v>22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3">
        <v>53</v>
      </c>
      <c r="B54" s="3" t="s">
        <v>23</v>
      </c>
      <c r="C54" s="3">
        <v>61</v>
      </c>
      <c r="D54" s="5">
        <v>43588069</v>
      </c>
      <c r="E54" s="3" t="s">
        <v>23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3">
        <v>54</v>
      </c>
      <c r="B55" s="3" t="s">
        <v>74</v>
      </c>
      <c r="C55" s="3">
        <v>48</v>
      </c>
      <c r="D55" s="5">
        <v>42000000</v>
      </c>
      <c r="E55" s="3" t="s">
        <v>74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3">
        <v>55</v>
      </c>
      <c r="B56" s="3" t="s">
        <v>24</v>
      </c>
      <c r="C56" s="3">
        <v>35</v>
      </c>
      <c r="D56" s="5">
        <v>41000000</v>
      </c>
      <c r="E56" s="3" t="s">
        <v>24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3">
        <v>56</v>
      </c>
      <c r="B57" s="3" t="s">
        <v>25</v>
      </c>
      <c r="C57" s="3">
        <v>37</v>
      </c>
      <c r="D57" s="5">
        <v>41000000</v>
      </c>
      <c r="E57" s="3" t="s">
        <v>25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3">
        <v>57</v>
      </c>
      <c r="B58" s="3" t="s">
        <v>75</v>
      </c>
      <c r="C58" s="3">
        <v>45</v>
      </c>
      <c r="D58" s="5">
        <v>41000000</v>
      </c>
      <c r="E58" s="3" t="s">
        <v>75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3">
        <v>58</v>
      </c>
      <c r="B59" s="3" t="s">
        <v>76</v>
      </c>
      <c r="C59" s="3">
        <v>40</v>
      </c>
      <c r="D59" s="5">
        <v>40800000</v>
      </c>
      <c r="E59" s="3" t="s">
        <v>76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3">
        <v>59</v>
      </c>
      <c r="B60" s="3" t="s">
        <v>26</v>
      </c>
      <c r="C60" s="3">
        <v>40</v>
      </c>
      <c r="D60" s="5">
        <v>40400000</v>
      </c>
      <c r="E60" s="3" t="s">
        <v>26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3">
        <v>60</v>
      </c>
      <c r="B61" s="3" t="s">
        <v>77</v>
      </c>
      <c r="C61" s="3">
        <v>18</v>
      </c>
      <c r="D61" s="5">
        <v>40000000</v>
      </c>
      <c r="E61" s="3" t="s">
        <v>77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3">
        <v>61</v>
      </c>
      <c r="B62" s="3" t="s">
        <v>78</v>
      </c>
      <c r="C62" s="3">
        <v>26</v>
      </c>
      <c r="D62" s="5">
        <v>40000000</v>
      </c>
      <c r="E62" s="3" t="s">
        <v>78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3">
        <v>62</v>
      </c>
      <c r="B63" s="3" t="s">
        <v>79</v>
      </c>
      <c r="C63" s="3">
        <v>67</v>
      </c>
      <c r="D63" s="5">
        <v>39500000</v>
      </c>
      <c r="E63" s="3" t="s">
        <v>79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3">
        <v>63</v>
      </c>
      <c r="B64" s="3" t="s">
        <v>80</v>
      </c>
      <c r="C64" s="3">
        <v>78</v>
      </c>
      <c r="D64" s="5">
        <v>39390000</v>
      </c>
      <c r="E64" s="3" t="s">
        <v>80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3">
        <v>64</v>
      </c>
      <c r="B65" s="3" t="s">
        <v>27</v>
      </c>
      <c r="C65" s="3">
        <v>24</v>
      </c>
      <c r="D65" s="5">
        <v>39000000</v>
      </c>
      <c r="E65" s="3" t="s">
        <v>27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3">
        <v>65</v>
      </c>
      <c r="B66" s="3" t="s">
        <v>81</v>
      </c>
      <c r="C66" s="3">
        <v>41</v>
      </c>
      <c r="D66" s="5">
        <v>37800000</v>
      </c>
      <c r="E66" s="3" t="s">
        <v>81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3">
        <v>66</v>
      </c>
      <c r="B67" s="3" t="s">
        <v>82</v>
      </c>
      <c r="C67" s="3">
        <v>36</v>
      </c>
      <c r="D67" s="5">
        <v>37000000</v>
      </c>
      <c r="E67" s="3" t="s">
        <v>82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3">
        <v>67</v>
      </c>
      <c r="B68" s="3" t="s">
        <v>83</v>
      </c>
      <c r="C68" s="3">
        <v>40</v>
      </c>
      <c r="D68" s="5">
        <v>37000000</v>
      </c>
      <c r="E68" s="3" t="s">
        <v>83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3">
        <v>68</v>
      </c>
      <c r="B69" s="3" t="s">
        <v>28</v>
      </c>
      <c r="C69" s="3">
        <v>34</v>
      </c>
      <c r="D69" s="5">
        <v>36800000</v>
      </c>
      <c r="E69" s="3" t="s">
        <v>28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3">
        <v>69</v>
      </c>
      <c r="B70" s="3" t="s">
        <v>29</v>
      </c>
      <c r="C70" s="3">
        <v>57</v>
      </c>
      <c r="D70" s="5">
        <v>36550000</v>
      </c>
      <c r="E70" s="3" t="s">
        <v>29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3">
        <v>70</v>
      </c>
      <c r="B71" s="3" t="s">
        <v>30</v>
      </c>
      <c r="C71" s="3">
        <v>14</v>
      </c>
      <c r="D71" s="5">
        <v>35600000</v>
      </c>
      <c r="E71" s="3" t="s">
        <v>30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3">
        <v>71</v>
      </c>
      <c r="B72" s="3" t="s">
        <v>84</v>
      </c>
      <c r="C72" s="3">
        <v>74</v>
      </c>
      <c r="D72" s="5">
        <v>35150000</v>
      </c>
      <c r="E72" s="3" t="s">
        <v>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3">
        <v>72</v>
      </c>
      <c r="B73" s="3" t="s">
        <v>85</v>
      </c>
      <c r="C73" s="3">
        <v>11</v>
      </c>
      <c r="D73" s="5">
        <v>35000000</v>
      </c>
      <c r="E73" s="3" t="s">
        <v>85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3">
        <v>73</v>
      </c>
      <c r="B74" s="3" t="s">
        <v>86</v>
      </c>
      <c r="C74" s="3">
        <v>17</v>
      </c>
      <c r="D74" s="5">
        <v>32867000</v>
      </c>
      <c r="E74" s="3" t="s">
        <v>86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3">
        <v>74</v>
      </c>
      <c r="B75" s="3" t="s">
        <v>87</v>
      </c>
      <c r="C75" s="3">
        <v>23</v>
      </c>
      <c r="D75" s="5">
        <v>32857000</v>
      </c>
      <c r="E75" s="3" t="s">
        <v>87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3">
        <v>75</v>
      </c>
      <c r="B76" s="3" t="s">
        <v>31</v>
      </c>
      <c r="C76" s="3">
        <v>17</v>
      </c>
      <c r="D76" s="5">
        <v>32633488</v>
      </c>
      <c r="E76" s="3" t="s">
        <v>31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3">
        <v>76</v>
      </c>
      <c r="B77" s="3" t="s">
        <v>32</v>
      </c>
      <c r="C77" s="3">
        <v>45</v>
      </c>
      <c r="D77" s="5">
        <v>32077000</v>
      </c>
      <c r="E77" s="3" t="s">
        <v>32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3">
        <v>77</v>
      </c>
      <c r="B78" s="3" t="s">
        <v>88</v>
      </c>
      <c r="C78" s="3">
        <v>49</v>
      </c>
      <c r="D78" s="5">
        <v>32000000</v>
      </c>
      <c r="E78" s="3" t="s">
        <v>88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3">
        <v>78</v>
      </c>
      <c r="B79" s="3" t="s">
        <v>89</v>
      </c>
      <c r="C79" s="3">
        <v>21</v>
      </c>
      <c r="D79" s="5">
        <v>31500000</v>
      </c>
      <c r="E79" s="3" t="s">
        <v>89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3">
        <v>79</v>
      </c>
      <c r="B80" s="3" t="s">
        <v>33</v>
      </c>
      <c r="C80" s="3">
        <v>15</v>
      </c>
      <c r="D80" s="5">
        <v>30296000</v>
      </c>
      <c r="E80" s="3" t="s">
        <v>33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3">
        <v>80</v>
      </c>
      <c r="B81" s="3" t="s">
        <v>34</v>
      </c>
      <c r="C81" s="3">
        <v>11</v>
      </c>
      <c r="D81" s="5">
        <v>30000000</v>
      </c>
      <c r="E81" s="3" t="s">
        <v>34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3">
        <v>81</v>
      </c>
      <c r="B82" s="3" t="s">
        <v>35</v>
      </c>
      <c r="C82" s="3">
        <v>51</v>
      </c>
      <c r="D82" s="5">
        <v>30000000</v>
      </c>
      <c r="E82" s="3" t="s">
        <v>35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3">
        <v>82</v>
      </c>
      <c r="B83" s="3" t="s">
        <v>90</v>
      </c>
      <c r="C83" s="3">
        <v>34</v>
      </c>
      <c r="D83" s="5">
        <v>29700000</v>
      </c>
      <c r="E83" s="3" t="s">
        <v>90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3">
        <v>83</v>
      </c>
      <c r="B84" s="3" t="s">
        <v>91</v>
      </c>
      <c r="C84" s="3">
        <v>13</v>
      </c>
      <c r="D84" s="5">
        <v>29000000</v>
      </c>
      <c r="E84" s="3" t="s">
        <v>91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3">
        <v>84</v>
      </c>
      <c r="B85" s="3" t="s">
        <v>92</v>
      </c>
      <c r="C85" s="3">
        <v>39</v>
      </c>
      <c r="D85" s="5">
        <v>29000000</v>
      </c>
      <c r="E85" s="3" t="s">
        <v>92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3">
        <v>85</v>
      </c>
      <c r="B86" s="3" t="s">
        <v>93</v>
      </c>
      <c r="C86" s="3">
        <v>19</v>
      </c>
      <c r="D86" s="5">
        <v>28500000</v>
      </c>
      <c r="E86" s="3" t="s">
        <v>93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3">
        <v>86</v>
      </c>
      <c r="B87" s="3" t="s">
        <v>36</v>
      </c>
      <c r="C87" s="3">
        <v>35</v>
      </c>
      <c r="D87" s="5">
        <v>27600000</v>
      </c>
      <c r="E87" s="3" t="s">
        <v>36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3">
        <v>87</v>
      </c>
      <c r="B88" s="3" t="s">
        <v>94</v>
      </c>
      <c r="C88" s="3">
        <v>15</v>
      </c>
      <c r="D88" s="5">
        <v>25380000</v>
      </c>
      <c r="E88" s="3" t="s">
        <v>94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3">
        <v>88</v>
      </c>
      <c r="B89" s="3" t="s">
        <v>95</v>
      </c>
      <c r="C89" s="3">
        <v>33</v>
      </c>
      <c r="D89" s="5">
        <v>25235000</v>
      </c>
      <c r="E89" s="3" t="s">
        <v>95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3">
        <v>89</v>
      </c>
      <c r="B90" s="3" t="s">
        <v>96</v>
      </c>
      <c r="C90" s="3">
        <v>41</v>
      </c>
      <c r="D90" s="5">
        <v>25000000</v>
      </c>
      <c r="E90" s="3" t="s">
        <v>96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3">
        <v>90</v>
      </c>
      <c r="B91" s="3" t="s">
        <v>97</v>
      </c>
      <c r="C91" s="3">
        <v>20</v>
      </c>
      <c r="D91" s="5">
        <v>24705000</v>
      </c>
      <c r="E91" s="3" t="s">
        <v>97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3">
        <v>91</v>
      </c>
      <c r="B92" s="3" t="s">
        <v>37</v>
      </c>
      <c r="C92" s="3">
        <v>33</v>
      </c>
      <c r="D92" s="5">
        <v>23650000</v>
      </c>
      <c r="E92" s="3" t="s">
        <v>37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3">
        <v>92</v>
      </c>
      <c r="B93" s="3" t="s">
        <v>38</v>
      </c>
      <c r="C93" s="3">
        <v>63</v>
      </c>
      <c r="D93" s="5">
        <v>23635000</v>
      </c>
      <c r="E93" s="3" t="s">
        <v>38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3">
        <v>93</v>
      </c>
      <c r="B94" s="3" t="s">
        <v>39</v>
      </c>
      <c r="C94" s="3">
        <v>58</v>
      </c>
      <c r="D94" s="5">
        <v>23500000</v>
      </c>
      <c r="E94" s="3" t="s">
        <v>39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3">
        <v>94</v>
      </c>
      <c r="B95" s="3" t="s">
        <v>98</v>
      </c>
      <c r="C95" s="3">
        <v>37</v>
      </c>
      <c r="D95" s="5">
        <v>23000000</v>
      </c>
      <c r="E95" s="3" t="s">
        <v>98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3">
        <v>95</v>
      </c>
      <c r="B96" s="3" t="s">
        <v>99</v>
      </c>
      <c r="C96" s="3">
        <v>48</v>
      </c>
      <c r="D96" s="5">
        <v>21000000</v>
      </c>
      <c r="E96" s="3" t="s">
        <v>99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3">
        <v>96</v>
      </c>
      <c r="B97" s="3" t="s">
        <v>100</v>
      </c>
      <c r="C97" s="3">
        <v>35</v>
      </c>
      <c r="D97" s="5">
        <v>20500000</v>
      </c>
      <c r="E97" s="3" t="s">
        <v>100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3">
        <v>97</v>
      </c>
      <c r="B98" s="3" t="s">
        <v>40</v>
      </c>
      <c r="C98" s="3">
        <v>30</v>
      </c>
      <c r="D98" s="5">
        <v>20000000</v>
      </c>
      <c r="E98" s="3" t="s">
        <v>40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3">
        <v>98</v>
      </c>
      <c r="B99" s="3" t="s">
        <v>41</v>
      </c>
      <c r="C99" s="3">
        <v>46</v>
      </c>
      <c r="D99" s="5">
        <v>19980000</v>
      </c>
      <c r="E99" s="3" t="s">
        <v>41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3">
        <v>99</v>
      </c>
      <c r="B100" s="3" t="s">
        <v>101</v>
      </c>
      <c r="C100" s="3">
        <v>35</v>
      </c>
      <c r="D100" s="5">
        <v>19022000</v>
      </c>
      <c r="E100" s="3" t="s">
        <v>101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3">
        <v>100</v>
      </c>
      <c r="B101" s="3" t="s">
        <v>42</v>
      </c>
      <c r="C101" s="3">
        <v>13</v>
      </c>
      <c r="D101" s="5">
        <v>19019254</v>
      </c>
      <c r="E101" s="3" t="s">
        <v>42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6" t="s">
        <v>102</v>
      </c>
      <c r="B102" s="3"/>
      <c r="C102" s="3">
        <v>50609</v>
      </c>
      <c r="D102" s="5">
        <v>39440738828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6" t="s">
        <v>103</v>
      </c>
      <c r="B103" s="6"/>
      <c r="C103" s="3">
        <v>506.09</v>
      </c>
      <c r="D103" s="5">
        <v>394407388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6" t="s">
        <v>116</v>
      </c>
      <c r="B104" s="3"/>
      <c r="C104" s="3">
        <v>11</v>
      </c>
      <c r="D104" s="5">
        <v>19019254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6" t="s">
        <v>104</v>
      </c>
      <c r="B105" s="3"/>
      <c r="C105" s="3">
        <v>15605</v>
      </c>
      <c r="D105" s="5">
        <v>13400000000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3"/>
      <c r="B107" s="3">
        <v>92</v>
      </c>
      <c r="C107" s="3" t="s">
        <v>38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7"/>
    </row>
    <row r="109" spans="1:1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7"/>
    </row>
    <row r="110" spans="1:1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7"/>
    </row>
    <row r="111" spans="1:1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7"/>
    </row>
    <row r="112" spans="1:1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8" sqref="D18"/>
    </sheetView>
  </sheetViews>
  <sheetFormatPr baseColWidth="10" defaultRowHeight="16" x14ac:dyDescent="0.2"/>
  <cols>
    <col min="1" max="1" width="39" bestFit="1" customWidth="1"/>
    <col min="2" max="2" width="22.5" bestFit="1" customWidth="1"/>
  </cols>
  <sheetData>
    <row r="1" spans="1:2" ht="21" x14ac:dyDescent="0.25">
      <c r="A1" s="1" t="s">
        <v>105</v>
      </c>
    </row>
    <row r="2" spans="1:2" x14ac:dyDescent="0.2">
      <c r="A2" s="8" t="s">
        <v>118</v>
      </c>
      <c r="B2" s="9">
        <f ca="1">TODAY()</f>
        <v>43116</v>
      </c>
    </row>
    <row r="3" spans="1:2" x14ac:dyDescent="0.2">
      <c r="A3" s="8"/>
      <c r="B3" s="9"/>
    </row>
    <row r="4" spans="1:2" x14ac:dyDescent="0.2">
      <c r="A4" s="8"/>
      <c r="B4" s="9"/>
    </row>
    <row r="5" spans="1:2" x14ac:dyDescent="0.2">
      <c r="A5" s="10" t="s">
        <v>106</v>
      </c>
      <c r="B5" s="10">
        <f>'Advanced Calculations'!C103</f>
        <v>506.09</v>
      </c>
    </row>
    <row r="6" spans="1:2" x14ac:dyDescent="0.2">
      <c r="A6" s="10" t="s">
        <v>107</v>
      </c>
      <c r="B6" s="10">
        <f>'Advanced Calculations'!C104</f>
        <v>11</v>
      </c>
    </row>
    <row r="7" spans="1:2" x14ac:dyDescent="0.2">
      <c r="A7" s="10" t="s">
        <v>108</v>
      </c>
      <c r="B7" s="10">
        <f>'Advanced Calculations'!C105</f>
        <v>15605</v>
      </c>
    </row>
    <row r="8" spans="1:2" x14ac:dyDescent="0.2">
      <c r="A8" s="10" t="s">
        <v>109</v>
      </c>
      <c r="B8" s="10" t="str">
        <f>'Advanced Calculations'!F2</f>
        <v>America’s Incredible Pizza</v>
      </c>
    </row>
    <row r="9" spans="1:2" x14ac:dyDescent="0.2">
      <c r="A9" s="10" t="s">
        <v>110</v>
      </c>
      <c r="B9" s="10" t="str">
        <f>'Advanced Calculations'!F3</f>
        <v>Pizza Hut</v>
      </c>
    </row>
    <row r="10" spans="1:2" x14ac:dyDescent="0.2">
      <c r="A10" s="10" t="s">
        <v>111</v>
      </c>
      <c r="B10" s="10" t="str">
        <f>'Advanced Calculations'!F4</f>
        <v>Fresh Brothers</v>
      </c>
    </row>
    <row r="11" spans="1:2" x14ac:dyDescent="0.2">
      <c r="A11" s="10" t="s">
        <v>117</v>
      </c>
      <c r="B11" s="10" t="str">
        <f>'Advanced Calculations'!F5</f>
        <v>Pizza Hut</v>
      </c>
    </row>
    <row r="12" spans="1:2" x14ac:dyDescent="0.2">
      <c r="A12" s="12"/>
      <c r="B12" s="12"/>
    </row>
    <row r="13" spans="1:2" x14ac:dyDescent="0.2">
      <c r="A13" s="12"/>
      <c r="B13" s="12"/>
    </row>
    <row r="14" spans="1:2" x14ac:dyDescent="0.2">
      <c r="A14" s="11" t="s">
        <v>120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Advanced Calculations</vt:lpstr>
      <vt:lpstr>Results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2018-01-03T10:05:41Z</dcterms:created>
  <dcterms:modified xsi:type="dcterms:W3CDTF">2018-01-16T23:58:02Z</dcterms:modified>
</cp:coreProperties>
</file>