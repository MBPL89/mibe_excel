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062F7F0F-5E4F-F74E-8921-5340DA6FFA44}" xr6:coauthVersionLast="45" xr6:coauthVersionMax="45" xr10:uidLastSave="{00000000-0000-0000-0000-000000000000}"/>
  <bookViews>
    <workbookView xWindow="7280" yWindow="4060" windowWidth="28800" windowHeight="16420" tabRatio="500" activeTab="1" xr2:uid="{00000000-000D-0000-FFFF-FFFF00000000}"/>
  </bookViews>
  <sheets>
    <sheet name="Calculations" sheetId="5" r:id="rId1"/>
    <sheet name="Result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6" l="1"/>
  <c r="C14" i="6"/>
  <c r="C11" i="6"/>
  <c r="C8" i="6"/>
  <c r="C5" i="6"/>
  <c r="C24" i="5"/>
  <c r="E7" i="5" s="1"/>
  <c r="D24" i="5"/>
  <c r="F9" i="5" s="1"/>
  <c r="D23" i="5"/>
  <c r="D25" i="5"/>
  <c r="A8" i="6" s="1"/>
  <c r="D26" i="5"/>
  <c r="A11" i="6" s="1"/>
  <c r="C26" i="5"/>
  <c r="C25" i="5"/>
  <c r="C23" i="5"/>
  <c r="F17" i="5" l="1"/>
  <c r="F5" i="5"/>
  <c r="E15" i="5"/>
  <c r="E3" i="5"/>
  <c r="F15" i="5"/>
  <c r="F3" i="5"/>
  <c r="E13" i="5"/>
  <c r="A5" i="6"/>
  <c r="E12" i="5"/>
  <c r="F13" i="5"/>
  <c r="E2" i="5"/>
  <c r="A14" i="6" s="1"/>
  <c r="E11" i="5"/>
  <c r="F20" i="5"/>
  <c r="F8" i="5"/>
  <c r="E18" i="5"/>
  <c r="E6" i="5"/>
  <c r="F19" i="5"/>
  <c r="F7" i="5"/>
  <c r="E17" i="5"/>
  <c r="E5" i="5"/>
  <c r="F18" i="5"/>
  <c r="F6" i="5"/>
  <c r="E16" i="5"/>
  <c r="E4" i="5"/>
  <c r="F16" i="5"/>
  <c r="E14" i="5"/>
  <c r="F14" i="5"/>
  <c r="F4" i="5"/>
  <c r="F12" i="5"/>
  <c r="E22" i="5"/>
  <c r="E10" i="5"/>
  <c r="F2" i="5"/>
  <c r="A17" i="6" s="1"/>
  <c r="F11" i="5"/>
  <c r="E21" i="5"/>
  <c r="E9" i="5"/>
  <c r="F22" i="5"/>
  <c r="F10" i="5"/>
  <c r="E20" i="5"/>
  <c r="E8" i="5"/>
  <c r="F21" i="5"/>
  <c r="E19" i="5"/>
</calcChain>
</file>

<file path=xl/sharedStrings.xml><?xml version="1.0" encoding="utf-8"?>
<sst xmlns="http://schemas.openxmlformats.org/spreadsheetml/2006/main" count="52" uniqueCount="48">
  <si>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</si>
  <si>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</si>
  <si>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</si>
  <si>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</si>
  <si>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</si>
  <si>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</si>
  <si>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</si>
  <si>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</si>
  <si>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Chain Name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</si>
  <si>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</si>
  <si>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</si>
  <si>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</si>
  <si>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</si>
  <si>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</si>
  <si>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</si>
  <si>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</si>
  <si>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</si>
  <si>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</si>
  <si>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</si>
  <si>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</si>
  <si>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</si>
  <si>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</si>
  <si>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Total</t>
  </si>
  <si>
    <t>Average</t>
  </si>
  <si>
    <t>Min</t>
  </si>
  <si>
    <t>Max</t>
  </si>
  <si>
    <t>Above Average Sales</t>
  </si>
  <si>
    <t>Average number of units</t>
  </si>
  <si>
    <t>Minimum number of units</t>
  </si>
  <si>
    <t>Maximum number of units</t>
  </si>
  <si>
    <t>Pizza Chains Descriptive Data</t>
  </si>
  <si>
    <t>The chain with the lowest number of units is:</t>
  </si>
  <si>
    <t>The chain with the highest number of units is:</t>
  </si>
  <si>
    <t>Number of chains with more units than: </t>
  </si>
  <si>
    <t>Results Page</t>
  </si>
  <si>
    <t>Pizza chain with lowest number of units</t>
  </si>
  <si>
    <t>Pizza chain with highest number of units</t>
  </si>
  <si>
    <t>Pizza chain with lowest revenue in 2015</t>
  </si>
  <si>
    <t>Pizza chain with highest revenue in 2015</t>
  </si>
  <si>
    <t>The chain with the lowest revenue is:</t>
  </si>
  <si>
    <t>The chain with the highest revenue is:</t>
  </si>
  <si>
    <t>Tops and Flops</t>
  </si>
  <si>
    <t>Number of Revenue Top Perfomers (exceed average by 20%)</t>
  </si>
  <si>
    <t>Number of Units Top Perfomers (exceed average by 20%)</t>
  </si>
  <si>
    <t>Rank</t>
  </si>
  <si>
    <t>Sales</t>
  </si>
  <si>
    <t>Units</t>
  </si>
  <si>
    <t>Above Average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</si>
</sst>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Tahoma"/>
      <family val="2"/>
    </font>
    <font>
      <i/>
      <sz val="20"/>
      <color theme="1"/>
      <name val="Tahoma"/>
      <family val="2"/>
    </font>
    <font>
      <sz val="8"/>
      <name val="Calibri"/>
      <family val="2"/>
      <scheme val="minor"/>
    </font>
    <font>
      <sz val="22"/>
      <color theme="1"/>
      <name val="Century Gothic"/>
      <family val="1"/>
    </font>
    <font>
      <i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4" fontId="0" fillId="0" borderId="0" xfId="0" applyNumberFormat="1"/>
    <xf numFmtId="0" fontId="2" fillId="0" borderId="0" xfId="0" applyFont="1"/>
    <xf numFmtId="0" fontId="4" fillId="0" borderId="1" xfId="0" applyFont="1" applyFill="1" applyBorder="1"/>
    <xf numFmtId="1" fontId="0" fillId="0" borderId="0" xfId="0" applyNumberFormat="1"/>
    <xf numFmtId="1" fontId="6" fillId="0" borderId="0" xfId="0" applyNumberFormat="1" applyFont="1"/>
    <xf numFmtId="0" fontId="7" fillId="0" borderId="2" xfId="0" applyFont="1" applyBorder="1"/>
    <xf numFmtId="0" fontId="7" fillId="0" borderId="2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D4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workbookViewId="0"/>
  </sheetViews>
  <sheetFormatPr baseColWidth="10" defaultRowHeight="16" x14ac:dyDescent="0.2"/>
  <cols>
    <col min="1" max="1" width="12.6640625" bestFit="1" customWidth="1"/>
    <col min="2" max="2" width="21.5" bestFit="1" customWidth="1"/>
    <col min="3" max="3" width="25.5" bestFit="1" customWidth="1"/>
    <col min="4" max="4" width="18" bestFit="1" customWidth="1"/>
    <col min="5" max="5" width="24.1640625" bestFit="1" customWidth="1"/>
    <col min="6" max="6" width="25.6640625" bestFit="1" customWidth="1"/>
    <col min="7" max="7" width="34" bestFit="1" customWidth="1"/>
    <col min="8" max="8" width="19.33203125" bestFit="1" customWidth="1"/>
  </cols>
  <sheetData>
    <row r="1" spans="1:8" ht="21" x14ac:dyDescent="0.25">
      <c r="A1" s="1" t="s">
        <v>44</v>
      </c>
      <c r="B1" s="1" t="s">
        <v>8</v>
      </c>
      <c r="C1" s="1" t="s">
        <v>45</v>
      </c>
      <c r="D1" s="1" t="s">
        <v>46</v>
      </c>
      <c r="E1" s="1" t="s">
        <v>26</v>
      </c>
      <c r="F1" s="1" t="s">
        <v>47</v>
      </c>
    </row>
    <row r="2" spans="1:8" x14ac:dyDescent="0.2">
      <c r="A2">
        <v>9</v>
      </c>
      <c r="B2" t="s">
        <v>0</v>
      </c>
      <c r="C2" s="2">
        <v>5510000</v>
      </c>
      <c r="D2" s="5">
        <v>7799</v>
      </c>
      <c r="E2" t="str">
        <f>IF(C2&gt;$C$24*1.2,"Top Performers", IF(C2&lt;$C$24*0.8, "Low Performers", "Average"))</f>
        <v>Top Performers</v>
      </c>
      <c r="F2" t="str">
        <f t="shared" ref="F2:F22" si="0">IF(D2&gt;$D$24*1.2,"Top Performers", IF(D2&lt;$D$24*0.8, "Low Performers", "Average"))</f>
        <v>Top Performers</v>
      </c>
      <c r="G2" t="s">
        <v>35</v>
      </c>
      <c r="H2" t="s">
        <v>15</v>
      </c>
    </row>
    <row r="3" spans="1:8" x14ac:dyDescent="0.2">
      <c r="A3">
        <v>12</v>
      </c>
      <c r="B3" t="s">
        <v>1</v>
      </c>
      <c r="C3" s="2">
        <v>4708587</v>
      </c>
      <c r="D3" s="5">
        <v>5200</v>
      </c>
      <c r="E3" t="str">
        <f t="shared" ref="E3:E22" si="1">IF(C3&gt;$C$24*1.2,"Top Performers", IF(C3&lt;$C$24*0.8, "Low Performers", "Average"))</f>
        <v>Top Performers</v>
      </c>
      <c r="F3" t="str">
        <f t="shared" si="0"/>
        <v>Top Performers</v>
      </c>
      <c r="G3" t="s">
        <v>36</v>
      </c>
      <c r="H3" t="s">
        <v>0</v>
      </c>
    </row>
    <row r="4" spans="1:8" x14ac:dyDescent="0.2">
      <c r="A4">
        <v>19</v>
      </c>
      <c r="B4" t="s">
        <v>2</v>
      </c>
      <c r="C4" s="2">
        <v>3500000</v>
      </c>
      <c r="D4" s="5">
        <v>4250</v>
      </c>
      <c r="E4" t="str">
        <f t="shared" si="1"/>
        <v>Top Performers</v>
      </c>
      <c r="F4" t="str">
        <f t="shared" si="0"/>
        <v>Top Performers</v>
      </c>
      <c r="G4" t="s">
        <v>37</v>
      </c>
      <c r="H4" t="s">
        <v>21</v>
      </c>
    </row>
    <row r="5" spans="1:8" x14ac:dyDescent="0.2">
      <c r="A5">
        <v>24</v>
      </c>
      <c r="B5" t="s">
        <v>3</v>
      </c>
      <c r="C5" s="2">
        <v>2816017</v>
      </c>
      <c r="D5" s="5">
        <v>3290</v>
      </c>
      <c r="E5" t="str">
        <f t="shared" si="1"/>
        <v>Top Performers</v>
      </c>
      <c r="F5" t="str">
        <f t="shared" si="0"/>
        <v>Top Performers</v>
      </c>
      <c r="G5" t="s">
        <v>38</v>
      </c>
      <c r="H5" t="s">
        <v>0</v>
      </c>
    </row>
    <row r="6" spans="1:8" x14ac:dyDescent="0.2">
      <c r="A6">
        <v>51</v>
      </c>
      <c r="B6" t="s">
        <v>4</v>
      </c>
      <c r="C6" s="2">
        <v>880429</v>
      </c>
      <c r="D6" s="5">
        <v>1496</v>
      </c>
      <c r="E6" t="str">
        <f t="shared" si="1"/>
        <v>Average</v>
      </c>
      <c r="F6" t="str">
        <f t="shared" si="0"/>
        <v>Average</v>
      </c>
    </row>
    <row r="7" spans="1:8" x14ac:dyDescent="0.2">
      <c r="A7">
        <v>89</v>
      </c>
      <c r="B7" t="s">
        <v>5</v>
      </c>
      <c r="C7" s="2">
        <v>430000</v>
      </c>
      <c r="D7" s="5">
        <v>445</v>
      </c>
      <c r="E7" t="str">
        <f t="shared" si="1"/>
        <v>Low Performers</v>
      </c>
      <c r="F7" t="str">
        <f t="shared" si="0"/>
        <v>Low Performers</v>
      </c>
    </row>
    <row r="8" spans="1:8" x14ac:dyDescent="0.2">
      <c r="A8">
        <v>90</v>
      </c>
      <c r="B8" t="s">
        <v>6</v>
      </c>
      <c r="C8" s="2">
        <v>424107</v>
      </c>
      <c r="D8" s="5">
        <v>437</v>
      </c>
      <c r="E8" t="str">
        <f t="shared" si="1"/>
        <v>Low Performers</v>
      </c>
      <c r="F8" t="str">
        <f t="shared" si="0"/>
        <v>Low Performers</v>
      </c>
    </row>
    <row r="9" spans="1:8" x14ac:dyDescent="0.2">
      <c r="A9">
        <v>92</v>
      </c>
      <c r="B9" t="s">
        <v>7</v>
      </c>
      <c r="C9" s="2">
        <v>417632</v>
      </c>
      <c r="D9" s="5">
        <v>667</v>
      </c>
      <c r="E9" t="str">
        <f t="shared" si="1"/>
        <v>Low Performers</v>
      </c>
      <c r="F9" t="str">
        <f t="shared" si="0"/>
        <v>Low Performers</v>
      </c>
    </row>
    <row r="10" spans="1:8" x14ac:dyDescent="0.2">
      <c r="A10">
        <v>101</v>
      </c>
      <c r="B10" t="s">
        <v>9</v>
      </c>
      <c r="C10" s="2">
        <v>364294</v>
      </c>
      <c r="D10" s="5">
        <v>553</v>
      </c>
      <c r="E10" t="str">
        <f t="shared" si="1"/>
        <v>Low Performers</v>
      </c>
      <c r="F10" t="str">
        <f t="shared" si="0"/>
        <v>Low Performers</v>
      </c>
    </row>
    <row r="11" spans="1:8" x14ac:dyDescent="0.2">
      <c r="A11">
        <v>107</v>
      </c>
      <c r="B11" t="s">
        <v>10</v>
      </c>
      <c r="C11" s="2">
        <v>342478</v>
      </c>
      <c r="D11" s="5">
        <v>548</v>
      </c>
      <c r="E11" t="str">
        <f t="shared" si="1"/>
        <v>Low Performers</v>
      </c>
      <c r="F11" t="str">
        <f t="shared" si="0"/>
        <v>Low Performers</v>
      </c>
    </row>
    <row r="12" spans="1:8" x14ac:dyDescent="0.2">
      <c r="A12">
        <v>108</v>
      </c>
      <c r="B12" t="s">
        <v>11</v>
      </c>
      <c r="C12" s="2">
        <v>339500</v>
      </c>
      <c r="D12" s="5">
        <v>384</v>
      </c>
      <c r="E12" t="str">
        <f t="shared" si="1"/>
        <v>Low Performers</v>
      </c>
      <c r="F12" t="str">
        <f t="shared" si="0"/>
        <v>Low Performers</v>
      </c>
    </row>
    <row r="13" spans="1:8" x14ac:dyDescent="0.2">
      <c r="A13">
        <v>122</v>
      </c>
      <c r="B13" t="s">
        <v>12</v>
      </c>
      <c r="C13" s="2">
        <v>299200</v>
      </c>
      <c r="D13" s="5">
        <v>550</v>
      </c>
      <c r="E13" t="str">
        <f t="shared" si="1"/>
        <v>Low Performers</v>
      </c>
      <c r="F13" t="str">
        <f t="shared" si="0"/>
        <v>Low Performers</v>
      </c>
    </row>
    <row r="14" spans="1:8" x14ac:dyDescent="0.2">
      <c r="A14">
        <v>140</v>
      </c>
      <c r="B14" t="s">
        <v>13</v>
      </c>
      <c r="C14" s="2">
        <v>250900</v>
      </c>
      <c r="D14" s="5">
        <v>550</v>
      </c>
      <c r="E14" t="str">
        <f t="shared" si="1"/>
        <v>Low Performers</v>
      </c>
      <c r="F14" t="str">
        <f t="shared" si="0"/>
        <v>Low Performers</v>
      </c>
    </row>
    <row r="15" spans="1:8" x14ac:dyDescent="0.2">
      <c r="A15">
        <v>156</v>
      </c>
      <c r="B15" t="s">
        <v>14</v>
      </c>
      <c r="C15" s="2">
        <v>228618</v>
      </c>
      <c r="D15" s="5">
        <v>192</v>
      </c>
      <c r="E15" t="str">
        <f t="shared" si="1"/>
        <v>Low Performers</v>
      </c>
      <c r="F15" t="str">
        <f t="shared" si="0"/>
        <v>Low Performers</v>
      </c>
    </row>
    <row r="16" spans="1:8" x14ac:dyDescent="0.2">
      <c r="A16">
        <v>179</v>
      </c>
      <c r="B16" t="s">
        <v>15</v>
      </c>
      <c r="C16" s="2">
        <v>190500</v>
      </c>
      <c r="D16" s="5">
        <v>94</v>
      </c>
      <c r="E16" t="str">
        <f t="shared" si="1"/>
        <v>Low Performers</v>
      </c>
      <c r="F16" t="str">
        <f t="shared" si="0"/>
        <v>Low Performers</v>
      </c>
    </row>
    <row r="17" spans="1:6" x14ac:dyDescent="0.2">
      <c r="A17">
        <v>183</v>
      </c>
      <c r="B17" t="s">
        <v>16</v>
      </c>
      <c r="C17" s="2">
        <v>183600</v>
      </c>
      <c r="D17" s="5">
        <v>153</v>
      </c>
      <c r="E17" t="str">
        <f t="shared" si="1"/>
        <v>Low Performers</v>
      </c>
      <c r="F17" t="str">
        <f t="shared" si="0"/>
        <v>Low Performers</v>
      </c>
    </row>
    <row r="18" spans="1:6" x14ac:dyDescent="0.2">
      <c r="A18">
        <v>211</v>
      </c>
      <c r="B18" t="s">
        <v>17</v>
      </c>
      <c r="C18" s="2">
        <v>148612</v>
      </c>
      <c r="D18" s="5">
        <v>245</v>
      </c>
      <c r="E18" t="str">
        <f t="shared" si="1"/>
        <v>Low Performers</v>
      </c>
      <c r="F18" t="str">
        <f t="shared" si="0"/>
        <v>Low Performers</v>
      </c>
    </row>
    <row r="19" spans="1:6" x14ac:dyDescent="0.2">
      <c r="A19">
        <v>217</v>
      </c>
      <c r="B19" t="s">
        <v>18</v>
      </c>
      <c r="C19" s="2">
        <v>144680</v>
      </c>
      <c r="D19" s="5">
        <v>163</v>
      </c>
      <c r="E19" t="str">
        <f t="shared" si="1"/>
        <v>Low Performers</v>
      </c>
      <c r="F19" t="str">
        <f t="shared" si="0"/>
        <v>Low Performers</v>
      </c>
    </row>
    <row r="20" spans="1:6" x14ac:dyDescent="0.2">
      <c r="A20">
        <v>237</v>
      </c>
      <c r="B20" t="s">
        <v>19</v>
      </c>
      <c r="C20" s="2">
        <v>124600</v>
      </c>
      <c r="D20" s="5">
        <v>133</v>
      </c>
      <c r="E20" t="str">
        <f t="shared" si="1"/>
        <v>Low Performers</v>
      </c>
      <c r="F20" t="str">
        <f t="shared" si="0"/>
        <v>Low Performers</v>
      </c>
    </row>
    <row r="21" spans="1:6" x14ac:dyDescent="0.2">
      <c r="A21">
        <v>238</v>
      </c>
      <c r="B21" t="s">
        <v>20</v>
      </c>
      <c r="C21" s="2">
        <v>124200</v>
      </c>
      <c r="D21" s="5">
        <v>242</v>
      </c>
      <c r="E21" t="str">
        <f t="shared" si="1"/>
        <v>Low Performers</v>
      </c>
      <c r="F21" t="str">
        <f t="shared" si="0"/>
        <v>Low Performers</v>
      </c>
    </row>
    <row r="22" spans="1:6" x14ac:dyDescent="0.2">
      <c r="A22">
        <v>246</v>
      </c>
      <c r="B22" t="s">
        <v>21</v>
      </c>
      <c r="C22" s="2">
        <v>122054</v>
      </c>
      <c r="D22" s="5">
        <v>164</v>
      </c>
      <c r="E22" t="str">
        <f t="shared" si="1"/>
        <v>Low Performers</v>
      </c>
      <c r="F22" t="str">
        <f t="shared" si="0"/>
        <v>Low Performers</v>
      </c>
    </row>
    <row r="23" spans="1:6" ht="19" x14ac:dyDescent="0.25">
      <c r="A23" s="3" t="s">
        <v>22</v>
      </c>
      <c r="C23" s="2">
        <f>SUM(C2:C22)</f>
        <v>21550008</v>
      </c>
      <c r="D23" s="5">
        <f>SUM(D2:D22)</f>
        <v>27555</v>
      </c>
    </row>
    <row r="24" spans="1:6" ht="19" x14ac:dyDescent="0.25">
      <c r="A24" s="3" t="s">
        <v>23</v>
      </c>
      <c r="C24" s="2">
        <f>AVERAGE(C2:C22)</f>
        <v>1026190.8571428572</v>
      </c>
      <c r="D24" s="5">
        <f>AVERAGE(D2:D22)</f>
        <v>1312.1428571428571</v>
      </c>
    </row>
    <row r="25" spans="1:6" ht="19" x14ac:dyDescent="0.25">
      <c r="A25" s="3" t="s">
        <v>24</v>
      </c>
      <c r="C25" s="2">
        <f>MIN(C2:C22)</f>
        <v>122054</v>
      </c>
      <c r="D25" s="5">
        <f>MIN(D2:D22)</f>
        <v>94</v>
      </c>
    </row>
    <row r="26" spans="1:6" ht="19" x14ac:dyDescent="0.25">
      <c r="A26" s="3" t="s">
        <v>25</v>
      </c>
      <c r="C26" s="2">
        <f>MAX(C2:C22)</f>
        <v>5510000</v>
      </c>
      <c r="D26" s="5">
        <f>MAX(D2:D22)</f>
        <v>7799</v>
      </c>
    </row>
    <row r="27" spans="1:6" x14ac:dyDescent="0.2">
      <c r="C27" s="2"/>
    </row>
    <row r="28" spans="1:6" x14ac:dyDescent="0.2">
      <c r="C28" s="2"/>
    </row>
    <row r="29" spans="1:6" x14ac:dyDescent="0.2">
      <c r="C29" s="2"/>
    </row>
    <row r="30" spans="1:6" x14ac:dyDescent="0.2">
      <c r="C30" s="2"/>
    </row>
    <row r="31" spans="1:6" x14ac:dyDescent="0.2">
      <c r="C31" s="2"/>
    </row>
    <row r="32" spans="1:6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</sheetData>
  <sheetProtection sheet="1" objects="1" scenarios="1" selectLockedCells="1" selectUnlockedCells="1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tabSelected="1" view="pageLayout" workbookViewId="0">
      <selection sqref="A1:J1"/>
    </sheetView>
  </sheetViews>
  <sheetFormatPr baseColWidth="10" defaultRowHeight="16" x14ac:dyDescent="0.2"/>
  <cols>
    <col min="1" max="1" width="84" bestFit="1" customWidth="1"/>
    <col min="3" max="3" width="61.6640625" bestFit="1" customWidth="1"/>
  </cols>
  <sheetData>
    <row r="1" spans="1:10" ht="44" customHeight="1" x14ac:dyDescent="0.4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</row>
    <row r="3" spans="1:10" ht="26" thickBot="1" x14ac:dyDescent="0.3">
      <c r="A3" s="4" t="s">
        <v>30</v>
      </c>
      <c r="C3" s="4" t="s">
        <v>41</v>
      </c>
    </row>
    <row r="4" spans="1:10" ht="33" customHeight="1" thickTop="1" x14ac:dyDescent="0.25">
      <c r="A4" s="7" t="s">
        <v>27</v>
      </c>
      <c r="C4" s="7" t="s">
        <v>31</v>
      </c>
    </row>
    <row r="5" spans="1:10" ht="28" x14ac:dyDescent="0.3">
      <c r="A5" s="6">
        <f>Calculations!D24</f>
        <v>1312.1428571428571</v>
      </c>
      <c r="C5" s="6" t="str">
        <f>Calculations!H2</f>
        <v>Peter Piper Pizza</v>
      </c>
    </row>
    <row r="7" spans="1:10" ht="33" customHeight="1" x14ac:dyDescent="0.25">
      <c r="A7" s="7" t="s">
        <v>28</v>
      </c>
      <c r="C7" s="7" t="s">
        <v>32</v>
      </c>
    </row>
    <row r="8" spans="1:10" ht="28" x14ac:dyDescent="0.3">
      <c r="A8" s="6">
        <f>Calculations!D25</f>
        <v>94</v>
      </c>
      <c r="C8" s="6" t="str">
        <f>Calculations!H3</f>
        <v>Pizza Hut</v>
      </c>
    </row>
    <row r="10" spans="1:10" ht="33" customHeight="1" x14ac:dyDescent="0.25">
      <c r="A10" s="7" t="s">
        <v>29</v>
      </c>
      <c r="C10" s="7" t="s">
        <v>39</v>
      </c>
    </row>
    <row r="11" spans="1:10" ht="28" x14ac:dyDescent="0.3">
      <c r="A11" s="6">
        <f>Calculations!D26</f>
        <v>7799</v>
      </c>
      <c r="C11" s="6" t="str">
        <f>Calculations!H4</f>
        <v>Mountain Mike's Pizza</v>
      </c>
    </row>
    <row r="13" spans="1:10" ht="33" customHeight="1" x14ac:dyDescent="0.25">
      <c r="A13" s="8" t="s">
        <v>42</v>
      </c>
      <c r="C13" s="7" t="s">
        <v>40</v>
      </c>
    </row>
    <row r="14" spans="1:10" ht="28" x14ac:dyDescent="0.3">
      <c r="A14" s="6">
        <f>COUNTIF(Calculations!E2:E22, "Top Performers")</f>
        <v>4</v>
      </c>
      <c r="C14" s="6" t="str">
        <f>Calculations!H5</f>
        <v>Pizza Hut</v>
      </c>
    </row>
    <row r="16" spans="1:10" ht="33" customHeight="1" x14ac:dyDescent="0.25">
      <c r="A16" s="8" t="s">
        <v>43</v>
      </c>
      <c r="C16" s="7" t="s">
        <v>33</v>
      </c>
      <c r="D16">
        <v>500</v>
      </c>
    </row>
    <row r="17" spans="1:3" ht="28" x14ac:dyDescent="0.3">
      <c r="A17" s="6">
        <f>COUNTIF(Calculations!F2:F22, "Top Performers")</f>
        <v>4</v>
      </c>
      <c r="C17" s="6">
        <f>COUNTIF(Calculations!D2:D22,"&gt;"&amp;D16)</f>
        <v>10</v>
      </c>
    </row>
  </sheetData>
  <mergeCells count="1">
    <mergeCell ref="A1:J1"/>
  </mergeCells>
  <phoneticPr fontId="5" type="noConversion"/>
  <pageMargins left="0.7" right="0.7" top="0.75" bottom="0.75" header="0.3" footer="0.3"/>
  <pageSetup scale="49" orientation="landscape" horizontalDpi="0" verticalDpi="0"/>
  <headerFooter>
    <oddFooter>&amp;LISDS1102&amp;C&amp;D&amp;R&amp;P</oddFooter>
  </headerFooter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2017-03-14T17:27:13Z</dcterms:created>
  <dcterms:modified xsi:type="dcterms:W3CDTF">2019-11-03T01:13:41Z</dcterms:modified>
</cp:coreProperties>
</file>