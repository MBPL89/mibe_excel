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68B28A65-B9C0-4520-9868-EA10C5A5CA64}" xr6:coauthVersionLast="45" xr6:coauthVersionMax="45" xr10:uidLastSave="{00000000-0000-0000-0000-000000000000}"/>
  <bookViews>
    <workbookView xWindow="-108" yWindow="-108" windowWidth="23256" windowHeight="12576" xr2:uid="{6D803B44-4F97-4F7B-B535-461F2CCCB5C0}"/>
  </bookViews>
  <sheets>
    <sheet name="Pizza Sales Calculations" sheetId="1" r:id="rId1"/>
    <sheet name="Parameters" sheetId="2" r:id="rId2"/>
  </sheets>
  <externalReferences>
    <externalReference r:id="rId3"/>
  </externalReferences>
  <calcPr calcId="191029" iterate="1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1501" i="1" l="1"/>
  <c r="W1501" i="1"/>
  <c r="V1501" i="1"/>
  <c r="U1501" i="1"/>
  <c r="T1501" i="1"/>
  <c r="S1501" i="1"/>
  <c r="R1501" i="1"/>
  <c r="P1501" i="1"/>
  <c r="O1501" i="1"/>
  <c r="N1501" i="1"/>
  <c r="Q1501" i="1" s="1"/>
  <c r="M1501" i="1"/>
  <c r="L1501" i="1"/>
  <c r="X1500" i="1"/>
  <c r="W1500" i="1"/>
  <c r="V1500" i="1"/>
  <c r="U1500" i="1"/>
  <c r="T1500" i="1"/>
  <c r="S1500" i="1"/>
  <c r="R1500" i="1"/>
  <c r="P1500" i="1"/>
  <c r="O1500" i="1"/>
  <c r="N1500" i="1"/>
  <c r="Q1500" i="1" s="1"/>
  <c r="M1500" i="1"/>
  <c r="L1500" i="1"/>
  <c r="X1499" i="1"/>
  <c r="W1499" i="1"/>
  <c r="V1499" i="1"/>
  <c r="U1499" i="1"/>
  <c r="T1499" i="1"/>
  <c r="S1499" i="1"/>
  <c r="R1499" i="1"/>
  <c r="P1499" i="1"/>
  <c r="O1499" i="1"/>
  <c r="N1499" i="1"/>
  <c r="Q1499" i="1" s="1"/>
  <c r="M1499" i="1"/>
  <c r="L1499" i="1"/>
  <c r="X1498" i="1"/>
  <c r="W1498" i="1"/>
  <c r="V1498" i="1"/>
  <c r="T1498" i="1"/>
  <c r="U1498" i="1" s="1"/>
  <c r="S1498" i="1"/>
  <c r="R1498" i="1"/>
  <c r="P1498" i="1"/>
  <c r="O1498" i="1"/>
  <c r="N1498" i="1"/>
  <c r="Q1498" i="1" s="1"/>
  <c r="M1498" i="1"/>
  <c r="L1498" i="1"/>
  <c r="X1497" i="1"/>
  <c r="W1497" i="1"/>
  <c r="V1497" i="1"/>
  <c r="U1497" i="1"/>
  <c r="T1497" i="1"/>
  <c r="S1497" i="1"/>
  <c r="R1497" i="1"/>
  <c r="P1497" i="1"/>
  <c r="O1497" i="1"/>
  <c r="N1497" i="1"/>
  <c r="Q1497" i="1" s="1"/>
  <c r="M1497" i="1"/>
  <c r="L1497" i="1"/>
  <c r="X1496" i="1"/>
  <c r="W1496" i="1"/>
  <c r="V1496" i="1"/>
  <c r="U1496" i="1"/>
  <c r="T1496" i="1"/>
  <c r="S1496" i="1"/>
  <c r="R1496" i="1"/>
  <c r="P1496" i="1"/>
  <c r="O1496" i="1"/>
  <c r="Q1496" i="1" s="1"/>
  <c r="N1496" i="1"/>
  <c r="M1496" i="1"/>
  <c r="L1496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X1494" i="1"/>
  <c r="W1494" i="1"/>
  <c r="V1494" i="1"/>
  <c r="T1494" i="1"/>
  <c r="U1494" i="1" s="1"/>
  <c r="S1494" i="1"/>
  <c r="R1494" i="1"/>
  <c r="Q1494" i="1"/>
  <c r="P1494" i="1"/>
  <c r="O1494" i="1"/>
  <c r="N1494" i="1"/>
  <c r="M1494" i="1"/>
  <c r="L1494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X1492" i="1"/>
  <c r="W1492" i="1"/>
  <c r="V1492" i="1"/>
  <c r="U1492" i="1"/>
  <c r="T1492" i="1"/>
  <c r="S1492" i="1"/>
  <c r="R1492" i="1"/>
  <c r="P1492" i="1"/>
  <c r="O1492" i="1"/>
  <c r="N1492" i="1"/>
  <c r="Q1492" i="1" s="1"/>
  <c r="M1492" i="1"/>
  <c r="L1492" i="1"/>
  <c r="X1491" i="1"/>
  <c r="W1491" i="1"/>
  <c r="V1491" i="1"/>
  <c r="U1491" i="1"/>
  <c r="T1491" i="1"/>
  <c r="S1491" i="1"/>
  <c r="R1491" i="1"/>
  <c r="P1491" i="1"/>
  <c r="O1491" i="1"/>
  <c r="N1491" i="1"/>
  <c r="Q1491" i="1" s="1"/>
  <c r="M1491" i="1"/>
  <c r="L1491" i="1"/>
  <c r="X1490" i="1"/>
  <c r="W1490" i="1"/>
  <c r="V1490" i="1"/>
  <c r="U1490" i="1"/>
  <c r="T1490" i="1"/>
  <c r="S1490" i="1"/>
  <c r="R1490" i="1"/>
  <c r="P1490" i="1"/>
  <c r="O1490" i="1"/>
  <c r="N1490" i="1"/>
  <c r="Q1490" i="1" s="1"/>
  <c r="M1490" i="1"/>
  <c r="L1490" i="1"/>
  <c r="X1489" i="1"/>
  <c r="W1489" i="1"/>
  <c r="V1489" i="1"/>
  <c r="U1489" i="1"/>
  <c r="T1489" i="1"/>
  <c r="S1489" i="1"/>
  <c r="R1489" i="1"/>
  <c r="P1489" i="1"/>
  <c r="O1489" i="1"/>
  <c r="N1489" i="1"/>
  <c r="Q1489" i="1" s="1"/>
  <c r="M1489" i="1"/>
  <c r="L1489" i="1"/>
  <c r="X1488" i="1"/>
  <c r="W1488" i="1"/>
  <c r="V1488" i="1"/>
  <c r="U1488" i="1"/>
  <c r="T1488" i="1"/>
  <c r="S1488" i="1"/>
  <c r="R1488" i="1"/>
  <c r="P1488" i="1"/>
  <c r="O1488" i="1"/>
  <c r="N1488" i="1"/>
  <c r="Q1488" i="1" s="1"/>
  <c r="M1488" i="1"/>
  <c r="L1488" i="1"/>
  <c r="X1487" i="1"/>
  <c r="W1487" i="1"/>
  <c r="V1487" i="1"/>
  <c r="U1487" i="1"/>
  <c r="T1487" i="1"/>
  <c r="S1487" i="1"/>
  <c r="R1487" i="1"/>
  <c r="P1487" i="1"/>
  <c r="O1487" i="1"/>
  <c r="N1487" i="1"/>
  <c r="Q1487" i="1" s="1"/>
  <c r="M1487" i="1"/>
  <c r="L1487" i="1"/>
  <c r="X1486" i="1"/>
  <c r="W1486" i="1"/>
  <c r="V1486" i="1"/>
  <c r="U1486" i="1"/>
  <c r="T1486" i="1"/>
  <c r="S1486" i="1"/>
  <c r="R1486" i="1"/>
  <c r="P1486" i="1"/>
  <c r="O1486" i="1"/>
  <c r="N1486" i="1"/>
  <c r="Q1486" i="1" s="1"/>
  <c r="M1486" i="1"/>
  <c r="L1486" i="1"/>
  <c r="X1485" i="1"/>
  <c r="W1485" i="1"/>
  <c r="V1485" i="1"/>
  <c r="U1485" i="1"/>
  <c r="T1485" i="1"/>
  <c r="S1485" i="1"/>
  <c r="R1485" i="1"/>
  <c r="P1485" i="1"/>
  <c r="O1485" i="1"/>
  <c r="N1485" i="1"/>
  <c r="Q1485" i="1" s="1"/>
  <c r="M1485" i="1"/>
  <c r="L1485" i="1"/>
  <c r="X1484" i="1"/>
  <c r="W1484" i="1"/>
  <c r="V1484" i="1"/>
  <c r="U1484" i="1"/>
  <c r="T1484" i="1"/>
  <c r="S1484" i="1"/>
  <c r="R1484" i="1"/>
  <c r="P1484" i="1"/>
  <c r="O1484" i="1"/>
  <c r="Q1484" i="1" s="1"/>
  <c r="N1484" i="1"/>
  <c r="M1484" i="1"/>
  <c r="L1484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X1482" i="1"/>
  <c r="W1482" i="1"/>
  <c r="V1482" i="1"/>
  <c r="T1482" i="1"/>
  <c r="U1482" i="1" s="1"/>
  <c r="S1482" i="1"/>
  <c r="R1482" i="1"/>
  <c r="Q1482" i="1"/>
  <c r="P1482" i="1"/>
  <c r="O1482" i="1"/>
  <c r="N1482" i="1"/>
  <c r="M1482" i="1"/>
  <c r="L1482" i="1"/>
  <c r="X1481" i="1"/>
  <c r="W1481" i="1"/>
  <c r="V1481" i="1"/>
  <c r="U1481" i="1"/>
  <c r="T1481" i="1"/>
  <c r="S1481" i="1"/>
  <c r="R1481" i="1"/>
  <c r="P1481" i="1"/>
  <c r="Q1481" i="1" s="1"/>
  <c r="O1481" i="1"/>
  <c r="N1481" i="1"/>
  <c r="M1481" i="1"/>
  <c r="L1481" i="1"/>
  <c r="X1480" i="1"/>
  <c r="W1480" i="1"/>
  <c r="V1480" i="1"/>
  <c r="T1480" i="1"/>
  <c r="U1480" i="1" s="1"/>
  <c r="S1480" i="1"/>
  <c r="R1480" i="1"/>
  <c r="P1480" i="1"/>
  <c r="O1480" i="1"/>
  <c r="N1480" i="1"/>
  <c r="Q1480" i="1" s="1"/>
  <c r="M1480" i="1"/>
  <c r="L1480" i="1"/>
  <c r="X1479" i="1"/>
  <c r="W1479" i="1"/>
  <c r="V1479" i="1"/>
  <c r="U1479" i="1"/>
  <c r="T1479" i="1"/>
  <c r="S1479" i="1"/>
  <c r="R1479" i="1"/>
  <c r="P1479" i="1"/>
  <c r="O1479" i="1"/>
  <c r="N1479" i="1"/>
  <c r="Q1479" i="1" s="1"/>
  <c r="M1479" i="1"/>
  <c r="L1479" i="1"/>
  <c r="X1478" i="1"/>
  <c r="W1478" i="1"/>
  <c r="V1478" i="1"/>
  <c r="U1478" i="1"/>
  <c r="T1478" i="1"/>
  <c r="S1478" i="1"/>
  <c r="R1478" i="1"/>
  <c r="P1478" i="1"/>
  <c r="O1478" i="1"/>
  <c r="N1478" i="1"/>
  <c r="Q1478" i="1" s="1"/>
  <c r="M1478" i="1"/>
  <c r="L1478" i="1"/>
  <c r="X1477" i="1"/>
  <c r="W1477" i="1"/>
  <c r="V1477" i="1"/>
  <c r="U1477" i="1"/>
  <c r="T1477" i="1"/>
  <c r="S1477" i="1"/>
  <c r="R1477" i="1"/>
  <c r="P1477" i="1"/>
  <c r="O1477" i="1"/>
  <c r="N1477" i="1"/>
  <c r="Q1477" i="1" s="1"/>
  <c r="M1477" i="1"/>
  <c r="L1477" i="1"/>
  <c r="X1476" i="1"/>
  <c r="W1476" i="1"/>
  <c r="V1476" i="1"/>
  <c r="U1476" i="1"/>
  <c r="T1476" i="1"/>
  <c r="S1476" i="1"/>
  <c r="R1476" i="1"/>
  <c r="P1476" i="1"/>
  <c r="O1476" i="1"/>
  <c r="N1476" i="1"/>
  <c r="Q1476" i="1" s="1"/>
  <c r="M1476" i="1"/>
  <c r="L1476" i="1"/>
  <c r="X1475" i="1"/>
  <c r="W1475" i="1"/>
  <c r="V1475" i="1"/>
  <c r="U1475" i="1"/>
  <c r="T1475" i="1"/>
  <c r="S1475" i="1"/>
  <c r="R1475" i="1"/>
  <c r="P1475" i="1"/>
  <c r="O1475" i="1"/>
  <c r="N1475" i="1"/>
  <c r="Q1475" i="1" s="1"/>
  <c r="M1475" i="1"/>
  <c r="L1475" i="1"/>
  <c r="X1474" i="1"/>
  <c r="W1474" i="1"/>
  <c r="V1474" i="1"/>
  <c r="U1474" i="1"/>
  <c r="T1474" i="1"/>
  <c r="S1474" i="1"/>
  <c r="R1474" i="1"/>
  <c r="P1474" i="1"/>
  <c r="O1474" i="1"/>
  <c r="N1474" i="1"/>
  <c r="Q1474" i="1" s="1"/>
  <c r="M1474" i="1"/>
  <c r="L1474" i="1"/>
  <c r="X1473" i="1"/>
  <c r="W1473" i="1"/>
  <c r="V1473" i="1"/>
  <c r="U1473" i="1"/>
  <c r="T1473" i="1"/>
  <c r="S1473" i="1"/>
  <c r="R1473" i="1"/>
  <c r="P1473" i="1"/>
  <c r="O1473" i="1"/>
  <c r="N1473" i="1"/>
  <c r="Q1473" i="1" s="1"/>
  <c r="M1473" i="1"/>
  <c r="L1473" i="1"/>
  <c r="X1472" i="1"/>
  <c r="W1472" i="1"/>
  <c r="V1472" i="1"/>
  <c r="U1472" i="1"/>
  <c r="T1472" i="1"/>
  <c r="S1472" i="1"/>
  <c r="R1472" i="1"/>
  <c r="P1472" i="1"/>
  <c r="O1472" i="1"/>
  <c r="N1472" i="1"/>
  <c r="Q1472" i="1" s="1"/>
  <c r="M1472" i="1"/>
  <c r="L1472" i="1"/>
  <c r="X1471" i="1"/>
  <c r="W1471" i="1"/>
  <c r="V1471" i="1"/>
  <c r="U1471" i="1"/>
  <c r="T1471" i="1"/>
  <c r="S1471" i="1"/>
  <c r="R1471" i="1"/>
  <c r="P1471" i="1"/>
  <c r="Q1471" i="1" s="1"/>
  <c r="O1471" i="1"/>
  <c r="N1471" i="1"/>
  <c r="M1471" i="1"/>
  <c r="L1471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X1469" i="1"/>
  <c r="W1469" i="1"/>
  <c r="V1469" i="1"/>
  <c r="U1469" i="1"/>
  <c r="T1469" i="1"/>
  <c r="S1469" i="1"/>
  <c r="R1469" i="1"/>
  <c r="P1469" i="1"/>
  <c r="O1469" i="1"/>
  <c r="N1469" i="1"/>
  <c r="Q1469" i="1" s="1"/>
  <c r="M1469" i="1"/>
  <c r="L1469" i="1"/>
  <c r="X1468" i="1"/>
  <c r="W1468" i="1"/>
  <c r="V1468" i="1"/>
  <c r="T1468" i="1"/>
  <c r="U1468" i="1" s="1"/>
  <c r="S1468" i="1"/>
  <c r="R1468" i="1"/>
  <c r="P1468" i="1"/>
  <c r="O1468" i="1"/>
  <c r="N1468" i="1"/>
  <c r="Q1468" i="1" s="1"/>
  <c r="M1468" i="1"/>
  <c r="L1468" i="1"/>
  <c r="X1467" i="1"/>
  <c r="W1467" i="1"/>
  <c r="V1467" i="1"/>
  <c r="U1467" i="1"/>
  <c r="T1467" i="1"/>
  <c r="S1467" i="1"/>
  <c r="R1467" i="1"/>
  <c r="P1467" i="1"/>
  <c r="O1467" i="1"/>
  <c r="N1467" i="1"/>
  <c r="Q1467" i="1" s="1"/>
  <c r="M1467" i="1"/>
  <c r="L1467" i="1"/>
  <c r="X1466" i="1"/>
  <c r="W1466" i="1"/>
  <c r="V1466" i="1"/>
  <c r="U1466" i="1"/>
  <c r="T1466" i="1"/>
  <c r="S1466" i="1"/>
  <c r="R1466" i="1"/>
  <c r="P1466" i="1"/>
  <c r="Q1466" i="1" s="1"/>
  <c r="O1466" i="1"/>
  <c r="N1466" i="1"/>
  <c r="M1466" i="1"/>
  <c r="L1466" i="1"/>
  <c r="X1465" i="1"/>
  <c r="W1465" i="1"/>
  <c r="V1465" i="1"/>
  <c r="U1465" i="1"/>
  <c r="T1465" i="1"/>
  <c r="S1465" i="1"/>
  <c r="R1465" i="1"/>
  <c r="P1465" i="1"/>
  <c r="O1465" i="1"/>
  <c r="N1465" i="1"/>
  <c r="Q1465" i="1" s="1"/>
  <c r="M1465" i="1"/>
  <c r="L1465" i="1"/>
  <c r="X1464" i="1"/>
  <c r="W1464" i="1"/>
  <c r="V1464" i="1"/>
  <c r="U1464" i="1"/>
  <c r="T1464" i="1"/>
  <c r="S1464" i="1"/>
  <c r="R1464" i="1"/>
  <c r="P1464" i="1"/>
  <c r="O1464" i="1"/>
  <c r="N1464" i="1"/>
  <c r="Q1464" i="1" s="1"/>
  <c r="M1464" i="1"/>
  <c r="L1464" i="1"/>
  <c r="X1463" i="1"/>
  <c r="W1463" i="1"/>
  <c r="V1463" i="1"/>
  <c r="U1463" i="1"/>
  <c r="T1463" i="1"/>
  <c r="S1463" i="1"/>
  <c r="R1463" i="1"/>
  <c r="P1463" i="1"/>
  <c r="O1463" i="1"/>
  <c r="N1463" i="1"/>
  <c r="Q1463" i="1" s="1"/>
  <c r="M1463" i="1"/>
  <c r="L1463" i="1"/>
  <c r="X1462" i="1"/>
  <c r="W1462" i="1"/>
  <c r="V1462" i="1"/>
  <c r="U1462" i="1"/>
  <c r="T1462" i="1"/>
  <c r="S1462" i="1"/>
  <c r="R1462" i="1"/>
  <c r="P1462" i="1"/>
  <c r="O1462" i="1"/>
  <c r="N1462" i="1"/>
  <c r="Q1462" i="1" s="1"/>
  <c r="M1462" i="1"/>
  <c r="L1462" i="1"/>
  <c r="X1461" i="1"/>
  <c r="W1461" i="1"/>
  <c r="V1461" i="1"/>
  <c r="U1461" i="1"/>
  <c r="T1461" i="1"/>
  <c r="S1461" i="1"/>
  <c r="R1461" i="1"/>
  <c r="P1461" i="1"/>
  <c r="O1461" i="1"/>
  <c r="N1461" i="1"/>
  <c r="Q1461" i="1" s="1"/>
  <c r="M1461" i="1"/>
  <c r="L1461" i="1"/>
  <c r="X1460" i="1"/>
  <c r="W1460" i="1"/>
  <c r="V1460" i="1"/>
  <c r="U1460" i="1"/>
  <c r="T1460" i="1"/>
  <c r="S1460" i="1"/>
  <c r="R1460" i="1"/>
  <c r="P1460" i="1"/>
  <c r="O1460" i="1"/>
  <c r="N1460" i="1"/>
  <c r="Q1460" i="1" s="1"/>
  <c r="M1460" i="1"/>
  <c r="L1460" i="1"/>
  <c r="X1459" i="1"/>
  <c r="W1459" i="1"/>
  <c r="V1459" i="1"/>
  <c r="U1459" i="1"/>
  <c r="T1459" i="1"/>
  <c r="S1459" i="1"/>
  <c r="R1459" i="1"/>
  <c r="P1459" i="1"/>
  <c r="Q1459" i="1" s="1"/>
  <c r="O1459" i="1"/>
  <c r="N1459" i="1"/>
  <c r="M1459" i="1"/>
  <c r="L1459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X1457" i="1"/>
  <c r="W1457" i="1"/>
  <c r="V1457" i="1"/>
  <c r="U1457" i="1"/>
  <c r="T1457" i="1"/>
  <c r="S1457" i="1"/>
  <c r="R1457" i="1"/>
  <c r="P1457" i="1"/>
  <c r="O1457" i="1"/>
  <c r="N1457" i="1"/>
  <c r="Q1457" i="1" s="1"/>
  <c r="M1457" i="1"/>
  <c r="L1457" i="1"/>
  <c r="X1456" i="1"/>
  <c r="W1456" i="1"/>
  <c r="V1456" i="1"/>
  <c r="U1456" i="1"/>
  <c r="T1456" i="1"/>
  <c r="S1456" i="1"/>
  <c r="R1456" i="1"/>
  <c r="P1456" i="1"/>
  <c r="O1456" i="1"/>
  <c r="Q1456" i="1" s="1"/>
  <c r="N1456" i="1"/>
  <c r="M1456" i="1"/>
  <c r="L1456" i="1"/>
  <c r="X1455" i="1"/>
  <c r="W1455" i="1"/>
  <c r="V1455" i="1"/>
  <c r="U1455" i="1"/>
  <c r="T1455" i="1"/>
  <c r="S1455" i="1"/>
  <c r="R1455" i="1"/>
  <c r="P1455" i="1"/>
  <c r="O1455" i="1"/>
  <c r="N1455" i="1"/>
  <c r="Q1455" i="1" s="1"/>
  <c r="M1455" i="1"/>
  <c r="L1455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X1453" i="1"/>
  <c r="W1453" i="1"/>
  <c r="V1453" i="1"/>
  <c r="T1453" i="1"/>
  <c r="U1453" i="1" s="1"/>
  <c r="S1453" i="1"/>
  <c r="R1453" i="1"/>
  <c r="P1453" i="1"/>
  <c r="O1453" i="1"/>
  <c r="N1453" i="1"/>
  <c r="Q1453" i="1" s="1"/>
  <c r="M1453" i="1"/>
  <c r="L1453" i="1"/>
  <c r="X1452" i="1"/>
  <c r="W1452" i="1"/>
  <c r="V1452" i="1"/>
  <c r="U1452" i="1"/>
  <c r="T1452" i="1"/>
  <c r="S1452" i="1"/>
  <c r="R1452" i="1"/>
  <c r="P1452" i="1"/>
  <c r="O1452" i="1"/>
  <c r="N1452" i="1"/>
  <c r="Q1452" i="1" s="1"/>
  <c r="M1452" i="1"/>
  <c r="L1452" i="1"/>
  <c r="X1451" i="1"/>
  <c r="W1451" i="1"/>
  <c r="V1451" i="1"/>
  <c r="T1451" i="1"/>
  <c r="U1451" i="1" s="1"/>
  <c r="S1451" i="1"/>
  <c r="R1451" i="1"/>
  <c r="P1451" i="1"/>
  <c r="O1451" i="1"/>
  <c r="Q1451" i="1" s="1"/>
  <c r="N1451" i="1"/>
  <c r="M1451" i="1"/>
  <c r="L1451" i="1"/>
  <c r="X1450" i="1"/>
  <c r="W1450" i="1"/>
  <c r="V1450" i="1"/>
  <c r="U1450" i="1"/>
  <c r="T1450" i="1"/>
  <c r="S1450" i="1"/>
  <c r="R1450" i="1"/>
  <c r="P1450" i="1"/>
  <c r="O1450" i="1"/>
  <c r="N1450" i="1"/>
  <c r="Q1450" i="1" s="1"/>
  <c r="M1450" i="1"/>
  <c r="L1450" i="1"/>
  <c r="X1449" i="1"/>
  <c r="W1449" i="1"/>
  <c r="V1449" i="1"/>
  <c r="U1449" i="1"/>
  <c r="T1449" i="1"/>
  <c r="S1449" i="1"/>
  <c r="R1449" i="1"/>
  <c r="P1449" i="1"/>
  <c r="O1449" i="1"/>
  <c r="N1449" i="1"/>
  <c r="Q1449" i="1" s="1"/>
  <c r="M1449" i="1"/>
  <c r="L1449" i="1"/>
  <c r="X1448" i="1"/>
  <c r="W1448" i="1"/>
  <c r="V1448" i="1"/>
  <c r="U1448" i="1"/>
  <c r="T1448" i="1"/>
  <c r="S1448" i="1"/>
  <c r="R1448" i="1"/>
  <c r="P1448" i="1"/>
  <c r="O1448" i="1"/>
  <c r="N1448" i="1"/>
  <c r="Q1448" i="1" s="1"/>
  <c r="M1448" i="1"/>
  <c r="L1448" i="1"/>
  <c r="X1447" i="1"/>
  <c r="W1447" i="1"/>
  <c r="V1447" i="1"/>
  <c r="U1447" i="1"/>
  <c r="T1447" i="1"/>
  <c r="S1447" i="1"/>
  <c r="R1447" i="1"/>
  <c r="P1447" i="1"/>
  <c r="Q1447" i="1" s="1"/>
  <c r="O1447" i="1"/>
  <c r="N1447" i="1"/>
  <c r="M1447" i="1"/>
  <c r="L1447" i="1"/>
  <c r="X1446" i="1"/>
  <c r="W1446" i="1"/>
  <c r="V1446" i="1"/>
  <c r="T1446" i="1"/>
  <c r="U1446" i="1" s="1"/>
  <c r="S1446" i="1"/>
  <c r="R1446" i="1"/>
  <c r="Q1446" i="1"/>
  <c r="P1446" i="1"/>
  <c r="O1446" i="1"/>
  <c r="N1446" i="1"/>
  <c r="M1446" i="1"/>
  <c r="L1446" i="1"/>
  <c r="X1445" i="1"/>
  <c r="W1445" i="1"/>
  <c r="V1445" i="1"/>
  <c r="U1445" i="1"/>
  <c r="T1445" i="1"/>
  <c r="S1445" i="1"/>
  <c r="R1445" i="1"/>
  <c r="P1445" i="1"/>
  <c r="O1445" i="1"/>
  <c r="N1445" i="1"/>
  <c r="Q1445" i="1" s="1"/>
  <c r="M1445" i="1"/>
  <c r="L1445" i="1"/>
  <c r="X1444" i="1"/>
  <c r="W1444" i="1"/>
  <c r="V1444" i="1"/>
  <c r="U1444" i="1"/>
  <c r="T1444" i="1"/>
  <c r="S1444" i="1"/>
  <c r="R1444" i="1"/>
  <c r="P1444" i="1"/>
  <c r="O1444" i="1"/>
  <c r="Q1444" i="1" s="1"/>
  <c r="N1444" i="1"/>
  <c r="M1444" i="1"/>
  <c r="L1444" i="1"/>
  <c r="X1443" i="1"/>
  <c r="W1443" i="1"/>
  <c r="V1443" i="1"/>
  <c r="U1443" i="1"/>
  <c r="T1443" i="1"/>
  <c r="S1443" i="1"/>
  <c r="R1443" i="1"/>
  <c r="P1443" i="1"/>
  <c r="O1443" i="1"/>
  <c r="N1443" i="1"/>
  <c r="Q1443" i="1" s="1"/>
  <c r="M1443" i="1"/>
  <c r="L1443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X1441" i="1"/>
  <c r="W1441" i="1"/>
  <c r="V1441" i="1"/>
  <c r="U1441" i="1"/>
  <c r="T1441" i="1"/>
  <c r="S1441" i="1"/>
  <c r="R1441" i="1"/>
  <c r="P1441" i="1"/>
  <c r="O1441" i="1"/>
  <c r="N1441" i="1"/>
  <c r="Q1441" i="1" s="1"/>
  <c r="M1441" i="1"/>
  <c r="L1441" i="1"/>
  <c r="X1440" i="1"/>
  <c r="W1440" i="1"/>
  <c r="V1440" i="1"/>
  <c r="U1440" i="1"/>
  <c r="T1440" i="1"/>
  <c r="S1440" i="1"/>
  <c r="R1440" i="1"/>
  <c r="P1440" i="1"/>
  <c r="O1440" i="1"/>
  <c r="N1440" i="1"/>
  <c r="Q1440" i="1" s="1"/>
  <c r="M1440" i="1"/>
  <c r="L1440" i="1"/>
  <c r="X1439" i="1"/>
  <c r="W1439" i="1"/>
  <c r="V1439" i="1"/>
  <c r="U1439" i="1"/>
  <c r="T1439" i="1"/>
  <c r="S1439" i="1"/>
  <c r="R1439" i="1"/>
  <c r="P1439" i="1"/>
  <c r="O1439" i="1"/>
  <c r="Q1439" i="1" s="1"/>
  <c r="N1439" i="1"/>
  <c r="M1439" i="1"/>
  <c r="L1439" i="1"/>
  <c r="X1438" i="1"/>
  <c r="W1438" i="1"/>
  <c r="V1438" i="1"/>
  <c r="U1438" i="1"/>
  <c r="T1438" i="1"/>
  <c r="S1438" i="1"/>
  <c r="R1438" i="1"/>
  <c r="P1438" i="1"/>
  <c r="O1438" i="1"/>
  <c r="N1438" i="1"/>
  <c r="Q1438" i="1" s="1"/>
  <c r="M1438" i="1"/>
  <c r="L1438" i="1"/>
  <c r="X1437" i="1"/>
  <c r="W1437" i="1"/>
  <c r="V1437" i="1"/>
  <c r="U1437" i="1"/>
  <c r="T1437" i="1"/>
  <c r="S1437" i="1"/>
  <c r="R1437" i="1"/>
  <c r="P1437" i="1"/>
  <c r="O1437" i="1"/>
  <c r="N1437" i="1"/>
  <c r="Q1437" i="1" s="1"/>
  <c r="M1437" i="1"/>
  <c r="L1437" i="1"/>
  <c r="X1436" i="1"/>
  <c r="W1436" i="1"/>
  <c r="V1436" i="1"/>
  <c r="U1436" i="1"/>
  <c r="T1436" i="1"/>
  <c r="S1436" i="1"/>
  <c r="R1436" i="1"/>
  <c r="P1436" i="1"/>
  <c r="O1436" i="1"/>
  <c r="N1436" i="1"/>
  <c r="Q1436" i="1" s="1"/>
  <c r="M1436" i="1"/>
  <c r="L1436" i="1"/>
  <c r="X1435" i="1"/>
  <c r="W1435" i="1"/>
  <c r="V1435" i="1"/>
  <c r="U1435" i="1"/>
  <c r="T1435" i="1"/>
  <c r="S1435" i="1"/>
  <c r="R1435" i="1"/>
  <c r="P1435" i="1"/>
  <c r="Q1435" i="1" s="1"/>
  <c r="O1435" i="1"/>
  <c r="N1435" i="1"/>
  <c r="M1435" i="1"/>
  <c r="L1435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X1433" i="1"/>
  <c r="W1433" i="1"/>
  <c r="V1433" i="1"/>
  <c r="U1433" i="1"/>
  <c r="T1433" i="1"/>
  <c r="S1433" i="1"/>
  <c r="R1433" i="1"/>
  <c r="P1433" i="1"/>
  <c r="O1433" i="1"/>
  <c r="N1433" i="1"/>
  <c r="Q1433" i="1" s="1"/>
  <c r="M1433" i="1"/>
  <c r="L1433" i="1"/>
  <c r="X1432" i="1"/>
  <c r="W1432" i="1"/>
  <c r="V1432" i="1"/>
  <c r="U1432" i="1"/>
  <c r="T1432" i="1"/>
  <c r="S1432" i="1"/>
  <c r="R1432" i="1"/>
  <c r="P1432" i="1"/>
  <c r="O1432" i="1"/>
  <c r="Q1432" i="1" s="1"/>
  <c r="N1432" i="1"/>
  <c r="M1432" i="1"/>
  <c r="L1432" i="1"/>
  <c r="X1431" i="1"/>
  <c r="W1431" i="1"/>
  <c r="V1431" i="1"/>
  <c r="U1431" i="1"/>
  <c r="T1431" i="1"/>
  <c r="S1431" i="1"/>
  <c r="R1431" i="1"/>
  <c r="P1431" i="1"/>
  <c r="O1431" i="1"/>
  <c r="N1431" i="1"/>
  <c r="Q1431" i="1" s="1"/>
  <c r="M1431" i="1"/>
  <c r="L1431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X1429" i="1"/>
  <c r="W1429" i="1"/>
  <c r="V1429" i="1"/>
  <c r="U1429" i="1"/>
  <c r="T1429" i="1"/>
  <c r="S1429" i="1"/>
  <c r="R1429" i="1"/>
  <c r="P1429" i="1"/>
  <c r="O1429" i="1"/>
  <c r="N1429" i="1"/>
  <c r="Q1429" i="1" s="1"/>
  <c r="M1429" i="1"/>
  <c r="L1429" i="1"/>
  <c r="X1428" i="1"/>
  <c r="W1428" i="1"/>
  <c r="V1428" i="1"/>
  <c r="U1428" i="1"/>
  <c r="T1428" i="1"/>
  <c r="S1428" i="1"/>
  <c r="R1428" i="1"/>
  <c r="P1428" i="1"/>
  <c r="O1428" i="1"/>
  <c r="N1428" i="1"/>
  <c r="Q1428" i="1" s="1"/>
  <c r="M1428" i="1"/>
  <c r="L1428" i="1"/>
  <c r="X1427" i="1"/>
  <c r="W1427" i="1"/>
  <c r="V1427" i="1"/>
  <c r="T1427" i="1"/>
  <c r="U1427" i="1" s="1"/>
  <c r="S1427" i="1"/>
  <c r="R1427" i="1"/>
  <c r="P1427" i="1"/>
  <c r="O1427" i="1"/>
  <c r="Q1427" i="1" s="1"/>
  <c r="N1427" i="1"/>
  <c r="M1427" i="1"/>
  <c r="L1427" i="1"/>
  <c r="X1426" i="1"/>
  <c r="W1426" i="1"/>
  <c r="V1426" i="1"/>
  <c r="U1426" i="1"/>
  <c r="T1426" i="1"/>
  <c r="S1426" i="1"/>
  <c r="R1426" i="1"/>
  <c r="P1426" i="1"/>
  <c r="O1426" i="1"/>
  <c r="N1426" i="1"/>
  <c r="Q1426" i="1" s="1"/>
  <c r="M1426" i="1"/>
  <c r="L1426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X1424" i="1"/>
  <c r="W1424" i="1"/>
  <c r="V1424" i="1"/>
  <c r="U1424" i="1"/>
  <c r="T1424" i="1"/>
  <c r="S1424" i="1"/>
  <c r="R1424" i="1"/>
  <c r="P1424" i="1"/>
  <c r="O1424" i="1"/>
  <c r="N1424" i="1"/>
  <c r="Q1424" i="1" s="1"/>
  <c r="M1424" i="1"/>
  <c r="L1424" i="1"/>
  <c r="X1423" i="1"/>
  <c r="W1423" i="1"/>
  <c r="V1423" i="1"/>
  <c r="U1423" i="1"/>
  <c r="T1423" i="1"/>
  <c r="S1423" i="1"/>
  <c r="R1423" i="1"/>
  <c r="P1423" i="1"/>
  <c r="Q1423" i="1" s="1"/>
  <c r="O1423" i="1"/>
  <c r="N1423" i="1"/>
  <c r="M1423" i="1"/>
  <c r="L1423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X1421" i="1"/>
  <c r="W1421" i="1"/>
  <c r="V1421" i="1"/>
  <c r="U1421" i="1"/>
  <c r="T1421" i="1"/>
  <c r="S1421" i="1"/>
  <c r="R1421" i="1"/>
  <c r="P1421" i="1"/>
  <c r="O1421" i="1"/>
  <c r="N1421" i="1"/>
  <c r="Q1421" i="1" s="1"/>
  <c r="M1421" i="1"/>
  <c r="L1421" i="1"/>
  <c r="X1420" i="1"/>
  <c r="W1420" i="1"/>
  <c r="V1420" i="1"/>
  <c r="T1420" i="1"/>
  <c r="U1420" i="1" s="1"/>
  <c r="S1420" i="1"/>
  <c r="R1420" i="1"/>
  <c r="P1420" i="1"/>
  <c r="O1420" i="1"/>
  <c r="Q1420" i="1" s="1"/>
  <c r="N1420" i="1"/>
  <c r="M1420" i="1"/>
  <c r="L1420" i="1"/>
  <c r="X1419" i="1"/>
  <c r="W1419" i="1"/>
  <c r="V1419" i="1"/>
  <c r="U1419" i="1"/>
  <c r="T1419" i="1"/>
  <c r="S1419" i="1"/>
  <c r="R1419" i="1"/>
  <c r="P1419" i="1"/>
  <c r="O1419" i="1"/>
  <c r="N1419" i="1"/>
  <c r="Q1419" i="1" s="1"/>
  <c r="M1419" i="1"/>
  <c r="L1419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X1417" i="1"/>
  <c r="W1417" i="1"/>
  <c r="V1417" i="1"/>
  <c r="U1417" i="1"/>
  <c r="T1417" i="1"/>
  <c r="S1417" i="1"/>
  <c r="R1417" i="1"/>
  <c r="P1417" i="1"/>
  <c r="O1417" i="1"/>
  <c r="N1417" i="1"/>
  <c r="Q1417" i="1" s="1"/>
  <c r="M1417" i="1"/>
  <c r="L1417" i="1"/>
  <c r="X1416" i="1"/>
  <c r="W1416" i="1"/>
  <c r="V1416" i="1"/>
  <c r="U1416" i="1"/>
  <c r="T1416" i="1"/>
  <c r="S1416" i="1"/>
  <c r="R1416" i="1"/>
  <c r="P1416" i="1"/>
  <c r="O1416" i="1"/>
  <c r="N1416" i="1"/>
  <c r="Q1416" i="1" s="1"/>
  <c r="M1416" i="1"/>
  <c r="L1416" i="1"/>
  <c r="X1415" i="1"/>
  <c r="W1415" i="1"/>
  <c r="V1415" i="1"/>
  <c r="U1415" i="1"/>
  <c r="T1415" i="1"/>
  <c r="S1415" i="1"/>
  <c r="R1415" i="1"/>
  <c r="P1415" i="1"/>
  <c r="O1415" i="1"/>
  <c r="Q1415" i="1" s="1"/>
  <c r="N1415" i="1"/>
  <c r="M1415" i="1"/>
  <c r="L1415" i="1"/>
  <c r="X1414" i="1"/>
  <c r="W1414" i="1"/>
  <c r="V1414" i="1"/>
  <c r="U1414" i="1"/>
  <c r="T1414" i="1"/>
  <c r="S1414" i="1"/>
  <c r="R1414" i="1"/>
  <c r="P1414" i="1"/>
  <c r="O1414" i="1"/>
  <c r="N1414" i="1"/>
  <c r="Q1414" i="1" s="1"/>
  <c r="M1414" i="1"/>
  <c r="L1414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X1412" i="1"/>
  <c r="W1412" i="1"/>
  <c r="V1412" i="1"/>
  <c r="U1412" i="1"/>
  <c r="T1412" i="1"/>
  <c r="S1412" i="1"/>
  <c r="R1412" i="1"/>
  <c r="P1412" i="1"/>
  <c r="O1412" i="1"/>
  <c r="N1412" i="1"/>
  <c r="Q1412" i="1" s="1"/>
  <c r="M1412" i="1"/>
  <c r="L1412" i="1"/>
  <c r="X1411" i="1"/>
  <c r="W1411" i="1"/>
  <c r="V1411" i="1"/>
  <c r="U1411" i="1"/>
  <c r="T1411" i="1"/>
  <c r="S1411" i="1"/>
  <c r="R1411" i="1"/>
  <c r="P1411" i="1"/>
  <c r="Q1411" i="1" s="1"/>
  <c r="O1411" i="1"/>
  <c r="N1411" i="1"/>
  <c r="M1411" i="1"/>
  <c r="L1411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X1409" i="1"/>
  <c r="W1409" i="1"/>
  <c r="V1409" i="1"/>
  <c r="U1409" i="1"/>
  <c r="T1409" i="1"/>
  <c r="S1409" i="1"/>
  <c r="R1409" i="1"/>
  <c r="P1409" i="1"/>
  <c r="O1409" i="1"/>
  <c r="N1409" i="1"/>
  <c r="Q1409" i="1" s="1"/>
  <c r="M1409" i="1"/>
  <c r="L1409" i="1"/>
  <c r="X1408" i="1"/>
  <c r="W1408" i="1"/>
  <c r="V1408" i="1"/>
  <c r="U1408" i="1"/>
  <c r="T1408" i="1"/>
  <c r="S1408" i="1"/>
  <c r="R1408" i="1"/>
  <c r="P1408" i="1"/>
  <c r="O1408" i="1"/>
  <c r="Q1408" i="1" s="1"/>
  <c r="N1408" i="1"/>
  <c r="M1408" i="1"/>
  <c r="L1408" i="1"/>
  <c r="X1407" i="1"/>
  <c r="W1407" i="1"/>
  <c r="V1407" i="1"/>
  <c r="U1407" i="1"/>
  <c r="T1407" i="1"/>
  <c r="S1407" i="1"/>
  <c r="R1407" i="1"/>
  <c r="P1407" i="1"/>
  <c r="O1407" i="1"/>
  <c r="N1407" i="1"/>
  <c r="Q1407" i="1" s="1"/>
  <c r="M1407" i="1"/>
  <c r="L1407" i="1"/>
  <c r="X1406" i="1"/>
  <c r="W1406" i="1"/>
  <c r="V1406" i="1"/>
  <c r="U1406" i="1"/>
  <c r="T1406" i="1"/>
  <c r="S1406" i="1"/>
  <c r="R1406" i="1"/>
  <c r="P1406" i="1"/>
  <c r="O1406" i="1"/>
  <c r="Q1406" i="1" s="1"/>
  <c r="N1406" i="1"/>
  <c r="M1406" i="1"/>
  <c r="L1406" i="1"/>
  <c r="X1405" i="1"/>
  <c r="W1405" i="1"/>
  <c r="V1405" i="1"/>
  <c r="U1405" i="1"/>
  <c r="T1405" i="1"/>
  <c r="S1405" i="1"/>
  <c r="R1405" i="1"/>
  <c r="P1405" i="1"/>
  <c r="O1405" i="1"/>
  <c r="N1405" i="1"/>
  <c r="Q1405" i="1" s="1"/>
  <c r="M1405" i="1"/>
  <c r="L1405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X1403" i="1"/>
  <c r="W1403" i="1"/>
  <c r="V1403" i="1"/>
  <c r="U1403" i="1"/>
  <c r="T1403" i="1"/>
  <c r="S1403" i="1"/>
  <c r="R1403" i="1"/>
  <c r="P1403" i="1"/>
  <c r="O1403" i="1"/>
  <c r="Q1403" i="1" s="1"/>
  <c r="N1403" i="1"/>
  <c r="M1403" i="1"/>
  <c r="L1403" i="1"/>
  <c r="X1402" i="1"/>
  <c r="W1402" i="1"/>
  <c r="V1402" i="1"/>
  <c r="U1402" i="1"/>
  <c r="T1402" i="1"/>
  <c r="S1402" i="1"/>
  <c r="R1402" i="1"/>
  <c r="P1402" i="1"/>
  <c r="O1402" i="1"/>
  <c r="N1402" i="1"/>
  <c r="Q1402" i="1" s="1"/>
  <c r="M1402" i="1"/>
  <c r="L1402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X1400" i="1"/>
  <c r="W1400" i="1"/>
  <c r="V1400" i="1"/>
  <c r="U1400" i="1"/>
  <c r="T1400" i="1"/>
  <c r="S1400" i="1"/>
  <c r="R1400" i="1"/>
  <c r="P1400" i="1"/>
  <c r="O1400" i="1"/>
  <c r="N1400" i="1"/>
  <c r="Q1400" i="1" s="1"/>
  <c r="M1400" i="1"/>
  <c r="L1400" i="1"/>
  <c r="X1399" i="1"/>
  <c r="W1399" i="1"/>
  <c r="V1399" i="1"/>
  <c r="U1399" i="1"/>
  <c r="T1399" i="1"/>
  <c r="S1399" i="1"/>
  <c r="R1399" i="1"/>
  <c r="P1399" i="1"/>
  <c r="Q1399" i="1" s="1"/>
  <c r="O1399" i="1"/>
  <c r="N1399" i="1"/>
  <c r="M1399" i="1"/>
  <c r="L1399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X1397" i="1"/>
  <c r="W1397" i="1"/>
  <c r="V1397" i="1"/>
  <c r="U1397" i="1"/>
  <c r="T1397" i="1"/>
  <c r="S1397" i="1"/>
  <c r="R1397" i="1"/>
  <c r="P1397" i="1"/>
  <c r="O1397" i="1"/>
  <c r="N1397" i="1"/>
  <c r="Q1397" i="1" s="1"/>
  <c r="M1397" i="1"/>
  <c r="L1397" i="1"/>
  <c r="X1396" i="1"/>
  <c r="W1396" i="1"/>
  <c r="V1396" i="1"/>
  <c r="U1396" i="1"/>
  <c r="T1396" i="1"/>
  <c r="S1396" i="1"/>
  <c r="R1396" i="1"/>
  <c r="P1396" i="1"/>
  <c r="O1396" i="1"/>
  <c r="Q1396" i="1" s="1"/>
  <c r="N1396" i="1"/>
  <c r="M1396" i="1"/>
  <c r="L1396" i="1"/>
  <c r="X1395" i="1"/>
  <c r="W1395" i="1"/>
  <c r="V1395" i="1"/>
  <c r="U1395" i="1"/>
  <c r="T1395" i="1"/>
  <c r="S1395" i="1"/>
  <c r="R1395" i="1"/>
  <c r="P1395" i="1"/>
  <c r="O1395" i="1"/>
  <c r="N1395" i="1"/>
  <c r="Q1395" i="1" s="1"/>
  <c r="M1395" i="1"/>
  <c r="L1395" i="1"/>
  <c r="X1394" i="1"/>
  <c r="W1394" i="1"/>
  <c r="V1394" i="1"/>
  <c r="U1394" i="1"/>
  <c r="T1394" i="1"/>
  <c r="S1394" i="1"/>
  <c r="R1394" i="1"/>
  <c r="P1394" i="1"/>
  <c r="O1394" i="1"/>
  <c r="Q1394" i="1" s="1"/>
  <c r="N1394" i="1"/>
  <c r="M1394" i="1"/>
  <c r="L1394" i="1"/>
  <c r="X1393" i="1"/>
  <c r="W1393" i="1"/>
  <c r="V1393" i="1"/>
  <c r="U1393" i="1"/>
  <c r="T1393" i="1"/>
  <c r="S1393" i="1"/>
  <c r="R1393" i="1"/>
  <c r="P1393" i="1"/>
  <c r="O1393" i="1"/>
  <c r="N1393" i="1"/>
  <c r="Q1393" i="1" s="1"/>
  <c r="M1393" i="1"/>
  <c r="L1393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X1391" i="1"/>
  <c r="W1391" i="1"/>
  <c r="V1391" i="1"/>
  <c r="U1391" i="1"/>
  <c r="T1391" i="1"/>
  <c r="S1391" i="1"/>
  <c r="R1391" i="1"/>
  <c r="P1391" i="1"/>
  <c r="O1391" i="1"/>
  <c r="Q1391" i="1" s="1"/>
  <c r="N1391" i="1"/>
  <c r="M1391" i="1"/>
  <c r="L1391" i="1"/>
  <c r="X1390" i="1"/>
  <c r="W1390" i="1"/>
  <c r="V1390" i="1"/>
  <c r="U1390" i="1"/>
  <c r="T1390" i="1"/>
  <c r="S1390" i="1"/>
  <c r="R1390" i="1"/>
  <c r="P1390" i="1"/>
  <c r="O1390" i="1"/>
  <c r="N1390" i="1"/>
  <c r="Q1390" i="1" s="1"/>
  <c r="M1390" i="1"/>
  <c r="L1390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X1388" i="1"/>
  <c r="W1388" i="1"/>
  <c r="V1388" i="1"/>
  <c r="U1388" i="1"/>
  <c r="T1388" i="1"/>
  <c r="S1388" i="1"/>
  <c r="R1388" i="1"/>
  <c r="P1388" i="1"/>
  <c r="O1388" i="1"/>
  <c r="N1388" i="1"/>
  <c r="Q1388" i="1" s="1"/>
  <c r="M1388" i="1"/>
  <c r="L1388" i="1"/>
  <c r="X1387" i="1"/>
  <c r="W1387" i="1"/>
  <c r="V1387" i="1"/>
  <c r="T1387" i="1"/>
  <c r="U1387" i="1" s="1"/>
  <c r="S1387" i="1"/>
  <c r="R1387" i="1"/>
  <c r="P1387" i="1"/>
  <c r="O1387" i="1"/>
  <c r="N1387" i="1"/>
  <c r="Q1387" i="1" s="1"/>
  <c r="M1387" i="1"/>
  <c r="L1387" i="1"/>
  <c r="X1386" i="1"/>
  <c r="W1386" i="1"/>
  <c r="V1386" i="1"/>
  <c r="T1386" i="1"/>
  <c r="U1386" i="1" s="1"/>
  <c r="S1386" i="1"/>
  <c r="R1386" i="1"/>
  <c r="P1386" i="1"/>
  <c r="O1386" i="1"/>
  <c r="Q1386" i="1" s="1"/>
  <c r="N1386" i="1"/>
  <c r="M1386" i="1"/>
  <c r="L1386" i="1"/>
  <c r="X1385" i="1"/>
  <c r="W1385" i="1"/>
  <c r="V1385" i="1"/>
  <c r="U1385" i="1"/>
  <c r="T1385" i="1"/>
  <c r="S1385" i="1"/>
  <c r="R1385" i="1"/>
  <c r="P1385" i="1"/>
  <c r="O1385" i="1"/>
  <c r="N1385" i="1"/>
  <c r="Q1385" i="1" s="1"/>
  <c r="M1385" i="1"/>
  <c r="L1385" i="1"/>
  <c r="X1384" i="1"/>
  <c r="W1384" i="1"/>
  <c r="V1384" i="1"/>
  <c r="U1384" i="1"/>
  <c r="T1384" i="1"/>
  <c r="S1384" i="1"/>
  <c r="R1384" i="1"/>
  <c r="P1384" i="1"/>
  <c r="O1384" i="1"/>
  <c r="Q1384" i="1" s="1"/>
  <c r="N1384" i="1"/>
  <c r="M1384" i="1"/>
  <c r="L1384" i="1"/>
  <c r="X1383" i="1"/>
  <c r="W1383" i="1"/>
  <c r="V1383" i="1"/>
  <c r="T1383" i="1"/>
  <c r="U1383" i="1" s="1"/>
  <c r="S1383" i="1"/>
  <c r="R1383" i="1"/>
  <c r="P1383" i="1"/>
  <c r="O1383" i="1"/>
  <c r="N1383" i="1"/>
  <c r="Q1383" i="1" s="1"/>
  <c r="M1383" i="1"/>
  <c r="L1383" i="1"/>
  <c r="X1382" i="1"/>
  <c r="W1382" i="1"/>
  <c r="V1382" i="1"/>
  <c r="U1382" i="1"/>
  <c r="T1382" i="1"/>
  <c r="S1382" i="1"/>
  <c r="R1382" i="1"/>
  <c r="P1382" i="1"/>
  <c r="O1382" i="1"/>
  <c r="Q1382" i="1" s="1"/>
  <c r="N1382" i="1"/>
  <c r="M1382" i="1"/>
  <c r="L1382" i="1"/>
  <c r="X1381" i="1"/>
  <c r="W1381" i="1"/>
  <c r="V1381" i="1"/>
  <c r="U1381" i="1"/>
  <c r="T1381" i="1"/>
  <c r="S1381" i="1"/>
  <c r="R1381" i="1"/>
  <c r="P1381" i="1"/>
  <c r="O1381" i="1"/>
  <c r="N1381" i="1"/>
  <c r="Q1381" i="1" s="1"/>
  <c r="M1381" i="1"/>
  <c r="L1381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X1379" i="1"/>
  <c r="W1379" i="1"/>
  <c r="V1379" i="1"/>
  <c r="T1379" i="1"/>
  <c r="U1379" i="1" s="1"/>
  <c r="S1379" i="1"/>
  <c r="R1379" i="1"/>
  <c r="P1379" i="1"/>
  <c r="O1379" i="1"/>
  <c r="Q1379" i="1" s="1"/>
  <c r="N1379" i="1"/>
  <c r="M1379" i="1"/>
  <c r="L1379" i="1"/>
  <c r="X1378" i="1"/>
  <c r="W1378" i="1"/>
  <c r="V1378" i="1"/>
  <c r="U1378" i="1"/>
  <c r="T1378" i="1"/>
  <c r="S1378" i="1"/>
  <c r="R1378" i="1"/>
  <c r="P1378" i="1"/>
  <c r="O1378" i="1"/>
  <c r="N1378" i="1"/>
  <c r="Q1378" i="1" s="1"/>
  <c r="M1378" i="1"/>
  <c r="L1378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X1376" i="1"/>
  <c r="W1376" i="1"/>
  <c r="V1376" i="1"/>
  <c r="U1376" i="1"/>
  <c r="T1376" i="1"/>
  <c r="S1376" i="1"/>
  <c r="R1376" i="1"/>
  <c r="P1376" i="1"/>
  <c r="O1376" i="1"/>
  <c r="N1376" i="1"/>
  <c r="Q1376" i="1" s="1"/>
  <c r="M1376" i="1"/>
  <c r="L1376" i="1"/>
  <c r="X1375" i="1"/>
  <c r="W1375" i="1"/>
  <c r="V1375" i="1"/>
  <c r="U1375" i="1"/>
  <c r="T1375" i="1"/>
  <c r="S1375" i="1"/>
  <c r="R1375" i="1"/>
  <c r="P1375" i="1"/>
  <c r="O1375" i="1"/>
  <c r="N1375" i="1"/>
  <c r="Q1375" i="1" s="1"/>
  <c r="M1375" i="1"/>
  <c r="L1375" i="1"/>
  <c r="X1374" i="1"/>
  <c r="W1374" i="1"/>
  <c r="V1374" i="1"/>
  <c r="U1374" i="1"/>
  <c r="T1374" i="1"/>
  <c r="S1374" i="1"/>
  <c r="R1374" i="1"/>
  <c r="P1374" i="1"/>
  <c r="O1374" i="1"/>
  <c r="Q1374" i="1" s="1"/>
  <c r="N1374" i="1"/>
  <c r="M1374" i="1"/>
  <c r="L1374" i="1"/>
  <c r="X1373" i="1"/>
  <c r="W1373" i="1"/>
  <c r="V1373" i="1"/>
  <c r="U1373" i="1"/>
  <c r="T1373" i="1"/>
  <c r="S1373" i="1"/>
  <c r="R1373" i="1"/>
  <c r="P1373" i="1"/>
  <c r="O1373" i="1"/>
  <c r="N1373" i="1"/>
  <c r="Q1373" i="1" s="1"/>
  <c r="M1373" i="1"/>
  <c r="L1373" i="1"/>
  <c r="X1372" i="1"/>
  <c r="W1372" i="1"/>
  <c r="V1372" i="1"/>
  <c r="T1372" i="1"/>
  <c r="U1372" i="1" s="1"/>
  <c r="S1372" i="1"/>
  <c r="R1372" i="1"/>
  <c r="P1372" i="1"/>
  <c r="O1372" i="1"/>
  <c r="Q1372" i="1" s="1"/>
  <c r="N1372" i="1"/>
  <c r="M1372" i="1"/>
  <c r="L1372" i="1"/>
  <c r="X1371" i="1"/>
  <c r="W1371" i="1"/>
  <c r="V1371" i="1"/>
  <c r="U1371" i="1"/>
  <c r="T1371" i="1"/>
  <c r="S1371" i="1"/>
  <c r="R1371" i="1"/>
  <c r="P1371" i="1"/>
  <c r="O1371" i="1"/>
  <c r="N1371" i="1"/>
  <c r="Q1371" i="1" s="1"/>
  <c r="M1371" i="1"/>
  <c r="L1371" i="1"/>
  <c r="X1370" i="1"/>
  <c r="W1370" i="1"/>
  <c r="V1370" i="1"/>
  <c r="U1370" i="1"/>
  <c r="T1370" i="1"/>
  <c r="S1370" i="1"/>
  <c r="R1370" i="1"/>
  <c r="P1370" i="1"/>
  <c r="O1370" i="1"/>
  <c r="Q1370" i="1" s="1"/>
  <c r="N1370" i="1"/>
  <c r="M1370" i="1"/>
  <c r="L1370" i="1"/>
  <c r="X1369" i="1"/>
  <c r="W1369" i="1"/>
  <c r="V1369" i="1"/>
  <c r="U1369" i="1"/>
  <c r="T1369" i="1"/>
  <c r="S1369" i="1"/>
  <c r="R1369" i="1"/>
  <c r="P1369" i="1"/>
  <c r="O1369" i="1"/>
  <c r="N1369" i="1"/>
  <c r="Q1369" i="1" s="1"/>
  <c r="M1369" i="1"/>
  <c r="L1369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X1367" i="1"/>
  <c r="W1367" i="1"/>
  <c r="V1367" i="1"/>
  <c r="T1367" i="1"/>
  <c r="U1367" i="1" s="1"/>
  <c r="S1367" i="1"/>
  <c r="R1367" i="1"/>
  <c r="P1367" i="1"/>
  <c r="O1367" i="1"/>
  <c r="N1367" i="1"/>
  <c r="Q1367" i="1" s="1"/>
  <c r="M1367" i="1"/>
  <c r="L1367" i="1"/>
  <c r="X1366" i="1"/>
  <c r="W1366" i="1"/>
  <c r="V1366" i="1"/>
  <c r="U1366" i="1"/>
  <c r="T1366" i="1"/>
  <c r="S1366" i="1"/>
  <c r="R1366" i="1"/>
  <c r="P1366" i="1"/>
  <c r="O1366" i="1"/>
  <c r="Q1366" i="1" s="1"/>
  <c r="N1366" i="1"/>
  <c r="M1366" i="1"/>
  <c r="L1366" i="1"/>
  <c r="X1365" i="1"/>
  <c r="W1365" i="1"/>
  <c r="V1365" i="1"/>
  <c r="U1365" i="1"/>
  <c r="T1365" i="1"/>
  <c r="S1365" i="1"/>
  <c r="R1365" i="1"/>
  <c r="P1365" i="1"/>
  <c r="Q1365" i="1" s="1"/>
  <c r="O1365" i="1"/>
  <c r="N1365" i="1"/>
  <c r="M1365" i="1"/>
  <c r="L1365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X1363" i="1"/>
  <c r="W1363" i="1"/>
  <c r="V1363" i="1"/>
  <c r="U1363" i="1"/>
  <c r="T1363" i="1"/>
  <c r="S1363" i="1"/>
  <c r="R1363" i="1"/>
  <c r="P1363" i="1"/>
  <c r="O1363" i="1"/>
  <c r="N1363" i="1"/>
  <c r="Q1363" i="1" s="1"/>
  <c r="M1363" i="1"/>
  <c r="L1363" i="1"/>
  <c r="X1362" i="1"/>
  <c r="W1362" i="1"/>
  <c r="V1362" i="1"/>
  <c r="U1362" i="1"/>
  <c r="T1362" i="1"/>
  <c r="S1362" i="1"/>
  <c r="R1362" i="1"/>
  <c r="P1362" i="1"/>
  <c r="O1362" i="1"/>
  <c r="Q1362" i="1" s="1"/>
  <c r="N1362" i="1"/>
  <c r="M1362" i="1"/>
  <c r="L1362" i="1"/>
  <c r="X1361" i="1"/>
  <c r="W1361" i="1"/>
  <c r="V1361" i="1"/>
  <c r="T1361" i="1"/>
  <c r="U1361" i="1" s="1"/>
  <c r="S1361" i="1"/>
  <c r="R1361" i="1"/>
  <c r="P1361" i="1"/>
  <c r="O1361" i="1"/>
  <c r="N1361" i="1"/>
  <c r="Q1361" i="1" s="1"/>
  <c r="M1361" i="1"/>
  <c r="L1361" i="1"/>
  <c r="X1360" i="1"/>
  <c r="W1360" i="1"/>
  <c r="V1360" i="1"/>
  <c r="U1360" i="1"/>
  <c r="T1360" i="1"/>
  <c r="S1360" i="1"/>
  <c r="R1360" i="1"/>
  <c r="P1360" i="1"/>
  <c r="O1360" i="1"/>
  <c r="Q1360" i="1" s="1"/>
  <c r="N1360" i="1"/>
  <c r="M1360" i="1"/>
  <c r="L1360" i="1"/>
  <c r="X1359" i="1"/>
  <c r="W1359" i="1"/>
  <c r="V1359" i="1"/>
  <c r="U1359" i="1"/>
  <c r="T1359" i="1"/>
  <c r="S1359" i="1"/>
  <c r="R1359" i="1"/>
  <c r="P1359" i="1"/>
  <c r="O1359" i="1"/>
  <c r="N1359" i="1"/>
  <c r="Q1359" i="1" s="1"/>
  <c r="M1359" i="1"/>
  <c r="L1359" i="1"/>
  <c r="X1358" i="1"/>
  <c r="W1358" i="1"/>
  <c r="V1358" i="1"/>
  <c r="U1358" i="1"/>
  <c r="T1358" i="1"/>
  <c r="S1358" i="1"/>
  <c r="R1358" i="1"/>
  <c r="P1358" i="1"/>
  <c r="O1358" i="1"/>
  <c r="Q1358" i="1" s="1"/>
  <c r="N1358" i="1"/>
  <c r="M1358" i="1"/>
  <c r="L1358" i="1"/>
  <c r="X1357" i="1"/>
  <c r="W1357" i="1"/>
  <c r="V1357" i="1"/>
  <c r="U1357" i="1"/>
  <c r="T1357" i="1"/>
  <c r="S1357" i="1"/>
  <c r="R1357" i="1"/>
  <c r="P1357" i="1"/>
  <c r="O1357" i="1"/>
  <c r="N1357" i="1"/>
  <c r="Q1357" i="1" s="1"/>
  <c r="M1357" i="1"/>
  <c r="L1357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X1355" i="1"/>
  <c r="W1355" i="1"/>
  <c r="V1355" i="1"/>
  <c r="U1355" i="1"/>
  <c r="T1355" i="1"/>
  <c r="S1355" i="1"/>
  <c r="R1355" i="1"/>
  <c r="P1355" i="1"/>
  <c r="O1355" i="1"/>
  <c r="N1355" i="1"/>
  <c r="Q1355" i="1" s="1"/>
  <c r="M1355" i="1"/>
  <c r="L1355" i="1"/>
  <c r="X1354" i="1"/>
  <c r="W1354" i="1"/>
  <c r="V1354" i="1"/>
  <c r="U1354" i="1"/>
  <c r="T1354" i="1"/>
  <c r="S1354" i="1"/>
  <c r="R1354" i="1"/>
  <c r="P1354" i="1"/>
  <c r="O1354" i="1"/>
  <c r="Q1354" i="1" s="1"/>
  <c r="N1354" i="1"/>
  <c r="M1354" i="1"/>
  <c r="L1354" i="1"/>
  <c r="X1353" i="1"/>
  <c r="W1353" i="1"/>
  <c r="V1353" i="1"/>
  <c r="U1353" i="1"/>
  <c r="T1353" i="1"/>
  <c r="S1353" i="1"/>
  <c r="R1353" i="1"/>
  <c r="P1353" i="1"/>
  <c r="Q1353" i="1" s="1"/>
  <c r="O1353" i="1"/>
  <c r="N1353" i="1"/>
  <c r="M1353" i="1"/>
  <c r="L1353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X1351" i="1"/>
  <c r="W1351" i="1"/>
  <c r="V1351" i="1"/>
  <c r="U1351" i="1"/>
  <c r="T1351" i="1"/>
  <c r="S1351" i="1"/>
  <c r="R1351" i="1"/>
  <c r="P1351" i="1"/>
  <c r="O1351" i="1"/>
  <c r="N1351" i="1"/>
  <c r="Q1351" i="1" s="1"/>
  <c r="M1351" i="1"/>
  <c r="L1351" i="1"/>
  <c r="X1350" i="1"/>
  <c r="W1350" i="1"/>
  <c r="V1350" i="1"/>
  <c r="U1350" i="1"/>
  <c r="T1350" i="1"/>
  <c r="S1350" i="1"/>
  <c r="R1350" i="1"/>
  <c r="P1350" i="1"/>
  <c r="O1350" i="1"/>
  <c r="Q1350" i="1" s="1"/>
  <c r="N1350" i="1"/>
  <c r="M1350" i="1"/>
  <c r="L1350" i="1"/>
  <c r="X1349" i="1"/>
  <c r="W1349" i="1"/>
  <c r="V1349" i="1"/>
  <c r="U1349" i="1"/>
  <c r="T1349" i="1"/>
  <c r="S1349" i="1"/>
  <c r="R1349" i="1"/>
  <c r="P1349" i="1"/>
  <c r="O1349" i="1"/>
  <c r="N1349" i="1"/>
  <c r="Q1349" i="1" s="1"/>
  <c r="M1349" i="1"/>
  <c r="L1349" i="1"/>
  <c r="X1348" i="1"/>
  <c r="W1348" i="1"/>
  <c r="V1348" i="1"/>
  <c r="U1348" i="1"/>
  <c r="T1348" i="1"/>
  <c r="S1348" i="1"/>
  <c r="R1348" i="1"/>
  <c r="P1348" i="1"/>
  <c r="O1348" i="1"/>
  <c r="Q1348" i="1" s="1"/>
  <c r="N1348" i="1"/>
  <c r="M1348" i="1"/>
  <c r="L1348" i="1"/>
  <c r="X1347" i="1"/>
  <c r="W1347" i="1"/>
  <c r="V1347" i="1"/>
  <c r="U1347" i="1"/>
  <c r="T1347" i="1"/>
  <c r="S1347" i="1"/>
  <c r="R1347" i="1"/>
  <c r="P1347" i="1"/>
  <c r="O1347" i="1"/>
  <c r="N1347" i="1"/>
  <c r="Q1347" i="1" s="1"/>
  <c r="M1347" i="1"/>
  <c r="L1347" i="1"/>
  <c r="X1346" i="1"/>
  <c r="W1346" i="1"/>
  <c r="V1346" i="1"/>
  <c r="U1346" i="1"/>
  <c r="T1346" i="1"/>
  <c r="S1346" i="1"/>
  <c r="R1346" i="1"/>
  <c r="P1346" i="1"/>
  <c r="O1346" i="1"/>
  <c r="Q1346" i="1" s="1"/>
  <c r="N1346" i="1"/>
  <c r="M1346" i="1"/>
  <c r="L1346" i="1"/>
  <c r="X1345" i="1"/>
  <c r="W1345" i="1"/>
  <c r="V1345" i="1"/>
  <c r="U1345" i="1"/>
  <c r="T1345" i="1"/>
  <c r="S1345" i="1"/>
  <c r="R1345" i="1"/>
  <c r="P1345" i="1"/>
  <c r="O1345" i="1"/>
  <c r="N1345" i="1"/>
  <c r="Q1345" i="1" s="1"/>
  <c r="M1345" i="1"/>
  <c r="L1345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X1343" i="1"/>
  <c r="W1343" i="1"/>
  <c r="V1343" i="1"/>
  <c r="T1343" i="1"/>
  <c r="U1343" i="1" s="1"/>
  <c r="S1343" i="1"/>
  <c r="R1343" i="1"/>
  <c r="P1343" i="1"/>
  <c r="O1343" i="1"/>
  <c r="N1343" i="1"/>
  <c r="Q1343" i="1" s="1"/>
  <c r="M1343" i="1"/>
  <c r="L1343" i="1"/>
  <c r="X1342" i="1"/>
  <c r="W1342" i="1"/>
  <c r="V1342" i="1"/>
  <c r="U1342" i="1"/>
  <c r="T1342" i="1"/>
  <c r="S1342" i="1"/>
  <c r="R1342" i="1"/>
  <c r="P1342" i="1"/>
  <c r="O1342" i="1"/>
  <c r="Q1342" i="1" s="1"/>
  <c r="N1342" i="1"/>
  <c r="M1342" i="1"/>
  <c r="L1342" i="1"/>
  <c r="X1341" i="1"/>
  <c r="W1341" i="1"/>
  <c r="V1341" i="1"/>
  <c r="U1341" i="1"/>
  <c r="T1341" i="1"/>
  <c r="S1341" i="1"/>
  <c r="R1341" i="1"/>
  <c r="P1341" i="1"/>
  <c r="Q1341" i="1" s="1"/>
  <c r="O1341" i="1"/>
  <c r="N1341" i="1"/>
  <c r="M1341" i="1"/>
  <c r="L1341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X1339" i="1"/>
  <c r="W1339" i="1"/>
  <c r="V1339" i="1"/>
  <c r="U1339" i="1"/>
  <c r="T1339" i="1"/>
  <c r="S1339" i="1"/>
  <c r="R1339" i="1"/>
  <c r="P1339" i="1"/>
  <c r="O1339" i="1"/>
  <c r="N1339" i="1"/>
  <c r="Q1339" i="1" s="1"/>
  <c r="M1339" i="1"/>
  <c r="L1339" i="1"/>
  <c r="X1338" i="1"/>
  <c r="W1338" i="1"/>
  <c r="V1338" i="1"/>
  <c r="U1338" i="1"/>
  <c r="T1338" i="1"/>
  <c r="S1338" i="1"/>
  <c r="R1338" i="1"/>
  <c r="P1338" i="1"/>
  <c r="O1338" i="1"/>
  <c r="Q1338" i="1" s="1"/>
  <c r="N1338" i="1"/>
  <c r="M1338" i="1"/>
  <c r="L1338" i="1"/>
  <c r="X1337" i="1"/>
  <c r="W1337" i="1"/>
  <c r="V1337" i="1"/>
  <c r="U1337" i="1"/>
  <c r="T1337" i="1"/>
  <c r="S1337" i="1"/>
  <c r="R1337" i="1"/>
  <c r="P1337" i="1"/>
  <c r="O1337" i="1"/>
  <c r="N1337" i="1"/>
  <c r="Q1337" i="1" s="1"/>
  <c r="M1337" i="1"/>
  <c r="L1337" i="1"/>
  <c r="X1336" i="1"/>
  <c r="W1336" i="1"/>
  <c r="V1336" i="1"/>
  <c r="U1336" i="1"/>
  <c r="T1336" i="1"/>
  <c r="S1336" i="1"/>
  <c r="R1336" i="1"/>
  <c r="P1336" i="1"/>
  <c r="O1336" i="1"/>
  <c r="Q1336" i="1" s="1"/>
  <c r="N1336" i="1"/>
  <c r="M1336" i="1"/>
  <c r="L1336" i="1"/>
  <c r="X1335" i="1"/>
  <c r="W1335" i="1"/>
  <c r="V1335" i="1"/>
  <c r="U1335" i="1"/>
  <c r="T1335" i="1"/>
  <c r="S1335" i="1"/>
  <c r="R1335" i="1"/>
  <c r="P1335" i="1"/>
  <c r="O1335" i="1"/>
  <c r="N1335" i="1"/>
  <c r="Q1335" i="1" s="1"/>
  <c r="M1335" i="1"/>
  <c r="L1335" i="1"/>
  <c r="X1334" i="1"/>
  <c r="W1334" i="1"/>
  <c r="V1334" i="1"/>
  <c r="U1334" i="1"/>
  <c r="T1334" i="1"/>
  <c r="S1334" i="1"/>
  <c r="R1334" i="1"/>
  <c r="P1334" i="1"/>
  <c r="O1334" i="1"/>
  <c r="Q1334" i="1" s="1"/>
  <c r="N1334" i="1"/>
  <c r="M1334" i="1"/>
  <c r="L1334" i="1"/>
  <c r="X1333" i="1"/>
  <c r="W1333" i="1"/>
  <c r="V1333" i="1"/>
  <c r="T1333" i="1"/>
  <c r="U1333" i="1" s="1"/>
  <c r="S1333" i="1"/>
  <c r="R1333" i="1"/>
  <c r="P1333" i="1"/>
  <c r="O1333" i="1"/>
  <c r="N1333" i="1"/>
  <c r="Q1333" i="1" s="1"/>
  <c r="M1333" i="1"/>
  <c r="L1333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X1331" i="1"/>
  <c r="W1331" i="1"/>
  <c r="V1331" i="1"/>
  <c r="T1331" i="1"/>
  <c r="U1331" i="1" s="1"/>
  <c r="S1331" i="1"/>
  <c r="R1331" i="1"/>
  <c r="P1331" i="1"/>
  <c r="O1331" i="1"/>
  <c r="N1331" i="1"/>
  <c r="Q1331" i="1" s="1"/>
  <c r="M1331" i="1"/>
  <c r="L1331" i="1"/>
  <c r="X1330" i="1"/>
  <c r="W1330" i="1"/>
  <c r="V1330" i="1"/>
  <c r="U1330" i="1"/>
  <c r="T1330" i="1"/>
  <c r="S1330" i="1"/>
  <c r="R1330" i="1"/>
  <c r="P1330" i="1"/>
  <c r="O1330" i="1"/>
  <c r="Q1330" i="1" s="1"/>
  <c r="N1330" i="1"/>
  <c r="M1330" i="1"/>
  <c r="L1330" i="1"/>
  <c r="X1329" i="1"/>
  <c r="W1329" i="1"/>
  <c r="V1329" i="1"/>
  <c r="U1329" i="1"/>
  <c r="T1329" i="1"/>
  <c r="S1329" i="1"/>
  <c r="R1329" i="1"/>
  <c r="P1329" i="1"/>
  <c r="Q1329" i="1" s="1"/>
  <c r="O1329" i="1"/>
  <c r="N1329" i="1"/>
  <c r="M1329" i="1"/>
  <c r="L1329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X1327" i="1"/>
  <c r="W1327" i="1"/>
  <c r="V1327" i="1"/>
  <c r="T1327" i="1"/>
  <c r="U1327" i="1" s="1"/>
  <c r="S1327" i="1"/>
  <c r="R1327" i="1"/>
  <c r="P1327" i="1"/>
  <c r="O1327" i="1"/>
  <c r="N1327" i="1"/>
  <c r="Q1327" i="1" s="1"/>
  <c r="M1327" i="1"/>
  <c r="L1327" i="1"/>
  <c r="X1326" i="1"/>
  <c r="W1326" i="1"/>
  <c r="V1326" i="1"/>
  <c r="U1326" i="1"/>
  <c r="T1326" i="1"/>
  <c r="S1326" i="1"/>
  <c r="R1326" i="1"/>
  <c r="P1326" i="1"/>
  <c r="O1326" i="1"/>
  <c r="Q1326" i="1" s="1"/>
  <c r="N1326" i="1"/>
  <c r="M1326" i="1"/>
  <c r="L1326" i="1"/>
  <c r="X1325" i="1"/>
  <c r="W1325" i="1"/>
  <c r="V1325" i="1"/>
  <c r="T1325" i="1"/>
  <c r="U1325" i="1" s="1"/>
  <c r="S1325" i="1"/>
  <c r="R1325" i="1"/>
  <c r="P1325" i="1"/>
  <c r="O1325" i="1"/>
  <c r="N1325" i="1"/>
  <c r="Q1325" i="1" s="1"/>
  <c r="M1325" i="1"/>
  <c r="L1325" i="1"/>
  <c r="X1324" i="1"/>
  <c r="W1324" i="1"/>
  <c r="V1324" i="1"/>
  <c r="U1324" i="1"/>
  <c r="T1324" i="1"/>
  <c r="S1324" i="1"/>
  <c r="R1324" i="1"/>
  <c r="P1324" i="1"/>
  <c r="O1324" i="1"/>
  <c r="N1324" i="1"/>
  <c r="Q1324" i="1" s="1"/>
  <c r="M1324" i="1"/>
  <c r="L1324" i="1"/>
  <c r="X1323" i="1"/>
  <c r="W1323" i="1"/>
  <c r="V1323" i="1"/>
  <c r="U1323" i="1"/>
  <c r="T1323" i="1"/>
  <c r="S1323" i="1"/>
  <c r="R1323" i="1"/>
  <c r="P1323" i="1"/>
  <c r="O1323" i="1"/>
  <c r="N1323" i="1"/>
  <c r="Q1323" i="1" s="1"/>
  <c r="M1323" i="1"/>
  <c r="L1323" i="1"/>
  <c r="X1322" i="1"/>
  <c r="W1322" i="1"/>
  <c r="V1322" i="1"/>
  <c r="U1322" i="1"/>
  <c r="T1322" i="1"/>
  <c r="S1322" i="1"/>
  <c r="R1322" i="1"/>
  <c r="P1322" i="1"/>
  <c r="O1322" i="1"/>
  <c r="Q1322" i="1" s="1"/>
  <c r="N1322" i="1"/>
  <c r="M1322" i="1"/>
  <c r="L1322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X1319" i="1"/>
  <c r="W1319" i="1"/>
  <c r="V1319" i="1"/>
  <c r="U1319" i="1"/>
  <c r="T1319" i="1"/>
  <c r="S1319" i="1"/>
  <c r="R1319" i="1"/>
  <c r="P1319" i="1"/>
  <c r="O1319" i="1"/>
  <c r="N1319" i="1"/>
  <c r="Q1319" i="1" s="1"/>
  <c r="M1319" i="1"/>
  <c r="L1319" i="1"/>
  <c r="X1318" i="1"/>
  <c r="W1318" i="1"/>
  <c r="V1318" i="1"/>
  <c r="U1318" i="1"/>
  <c r="T1318" i="1"/>
  <c r="S1318" i="1"/>
  <c r="R1318" i="1"/>
  <c r="P1318" i="1"/>
  <c r="O1318" i="1"/>
  <c r="Q1318" i="1" s="1"/>
  <c r="N1318" i="1"/>
  <c r="M1318" i="1"/>
  <c r="L1318" i="1"/>
  <c r="X1317" i="1"/>
  <c r="W1317" i="1"/>
  <c r="V1317" i="1"/>
  <c r="U1317" i="1"/>
  <c r="T1317" i="1"/>
  <c r="S1317" i="1"/>
  <c r="R1317" i="1"/>
  <c r="P1317" i="1"/>
  <c r="Q1317" i="1" s="1"/>
  <c r="O1317" i="1"/>
  <c r="N1317" i="1"/>
  <c r="M1317" i="1"/>
  <c r="L1317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X1315" i="1"/>
  <c r="W1315" i="1"/>
  <c r="V1315" i="1"/>
  <c r="U1315" i="1"/>
  <c r="T1315" i="1"/>
  <c r="S1315" i="1"/>
  <c r="R1315" i="1"/>
  <c r="P1315" i="1"/>
  <c r="O1315" i="1"/>
  <c r="N1315" i="1"/>
  <c r="Q1315" i="1" s="1"/>
  <c r="M1315" i="1"/>
  <c r="L1315" i="1"/>
  <c r="X1314" i="1"/>
  <c r="W1314" i="1"/>
  <c r="V1314" i="1"/>
  <c r="T1314" i="1"/>
  <c r="U1314" i="1" s="1"/>
  <c r="S1314" i="1"/>
  <c r="R1314" i="1"/>
  <c r="P1314" i="1"/>
  <c r="O1314" i="1"/>
  <c r="Q1314" i="1" s="1"/>
  <c r="N1314" i="1"/>
  <c r="M1314" i="1"/>
  <c r="L1314" i="1"/>
  <c r="X1313" i="1"/>
  <c r="W1313" i="1"/>
  <c r="V1313" i="1"/>
  <c r="U1313" i="1"/>
  <c r="T1313" i="1"/>
  <c r="S1313" i="1"/>
  <c r="R1313" i="1"/>
  <c r="P1313" i="1"/>
  <c r="O1313" i="1"/>
  <c r="N1313" i="1"/>
  <c r="Q1313" i="1" s="1"/>
  <c r="M1313" i="1"/>
  <c r="L1313" i="1"/>
  <c r="X1312" i="1"/>
  <c r="W1312" i="1"/>
  <c r="V1312" i="1"/>
  <c r="U1312" i="1"/>
  <c r="T1312" i="1"/>
  <c r="S1312" i="1"/>
  <c r="R1312" i="1"/>
  <c r="P1312" i="1"/>
  <c r="O1312" i="1"/>
  <c r="N1312" i="1"/>
  <c r="Q1312" i="1" s="1"/>
  <c r="M1312" i="1"/>
  <c r="L1312" i="1"/>
  <c r="X1311" i="1"/>
  <c r="W1311" i="1"/>
  <c r="V1311" i="1"/>
  <c r="U1311" i="1"/>
  <c r="T1311" i="1"/>
  <c r="S1311" i="1"/>
  <c r="R1311" i="1"/>
  <c r="P1311" i="1"/>
  <c r="O1311" i="1"/>
  <c r="N1311" i="1"/>
  <c r="Q1311" i="1" s="1"/>
  <c r="M1311" i="1"/>
  <c r="L1311" i="1"/>
  <c r="X1310" i="1"/>
  <c r="W1310" i="1"/>
  <c r="V1310" i="1"/>
  <c r="U1310" i="1"/>
  <c r="T1310" i="1"/>
  <c r="S1310" i="1"/>
  <c r="R1310" i="1"/>
  <c r="P1310" i="1"/>
  <c r="O1310" i="1"/>
  <c r="Q1310" i="1" s="1"/>
  <c r="N1310" i="1"/>
  <c r="M1310" i="1"/>
  <c r="L1310" i="1"/>
  <c r="X1309" i="1"/>
  <c r="W1309" i="1"/>
  <c r="V1309" i="1"/>
  <c r="T1309" i="1"/>
  <c r="U1309" i="1" s="1"/>
  <c r="S1309" i="1"/>
  <c r="R1309" i="1"/>
  <c r="Q1309" i="1"/>
  <c r="P1309" i="1"/>
  <c r="O1309" i="1"/>
  <c r="N1309" i="1"/>
  <c r="M1309" i="1"/>
  <c r="L1309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X1307" i="1"/>
  <c r="W1307" i="1"/>
  <c r="V1307" i="1"/>
  <c r="U1307" i="1"/>
  <c r="T1307" i="1"/>
  <c r="S1307" i="1"/>
  <c r="R1307" i="1"/>
  <c r="P1307" i="1"/>
  <c r="O1307" i="1"/>
  <c r="N1307" i="1"/>
  <c r="Q1307" i="1" s="1"/>
  <c r="M1307" i="1"/>
  <c r="L1307" i="1"/>
  <c r="X1306" i="1"/>
  <c r="W1306" i="1"/>
  <c r="V1306" i="1"/>
  <c r="U1306" i="1"/>
  <c r="T1306" i="1"/>
  <c r="S1306" i="1"/>
  <c r="R1306" i="1"/>
  <c r="P1306" i="1"/>
  <c r="O1306" i="1"/>
  <c r="Q1306" i="1" s="1"/>
  <c r="N1306" i="1"/>
  <c r="M1306" i="1"/>
  <c r="L1306" i="1"/>
  <c r="X1305" i="1"/>
  <c r="W1305" i="1"/>
  <c r="V1305" i="1"/>
  <c r="U1305" i="1"/>
  <c r="T1305" i="1"/>
  <c r="S1305" i="1"/>
  <c r="R1305" i="1"/>
  <c r="P1305" i="1"/>
  <c r="Q1305" i="1" s="1"/>
  <c r="O1305" i="1"/>
  <c r="N1305" i="1"/>
  <c r="M1305" i="1"/>
  <c r="L1305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X1303" i="1"/>
  <c r="W1303" i="1"/>
  <c r="V1303" i="1"/>
  <c r="U1303" i="1"/>
  <c r="T1303" i="1"/>
  <c r="S1303" i="1"/>
  <c r="R1303" i="1"/>
  <c r="P1303" i="1"/>
  <c r="O1303" i="1"/>
  <c r="N1303" i="1"/>
  <c r="Q1303" i="1" s="1"/>
  <c r="M1303" i="1"/>
  <c r="L1303" i="1"/>
  <c r="X1302" i="1"/>
  <c r="W1302" i="1"/>
  <c r="V1302" i="1"/>
  <c r="T1302" i="1"/>
  <c r="U1302" i="1" s="1"/>
  <c r="S1302" i="1"/>
  <c r="R1302" i="1"/>
  <c r="P1302" i="1"/>
  <c r="O1302" i="1"/>
  <c r="Q1302" i="1" s="1"/>
  <c r="N1302" i="1"/>
  <c r="M1302" i="1"/>
  <c r="L1302" i="1"/>
  <c r="X1301" i="1"/>
  <c r="W1301" i="1"/>
  <c r="V1301" i="1"/>
  <c r="U1301" i="1"/>
  <c r="T1301" i="1"/>
  <c r="S1301" i="1"/>
  <c r="R1301" i="1"/>
  <c r="P1301" i="1"/>
  <c r="O1301" i="1"/>
  <c r="N1301" i="1"/>
  <c r="Q1301" i="1" s="1"/>
  <c r="M1301" i="1"/>
  <c r="L1301" i="1"/>
  <c r="X1300" i="1"/>
  <c r="W1300" i="1"/>
  <c r="V1300" i="1"/>
  <c r="U1300" i="1"/>
  <c r="T1300" i="1"/>
  <c r="S1300" i="1"/>
  <c r="R1300" i="1"/>
  <c r="P1300" i="1"/>
  <c r="O1300" i="1"/>
  <c r="N1300" i="1"/>
  <c r="Q1300" i="1" s="1"/>
  <c r="M1300" i="1"/>
  <c r="L1300" i="1"/>
  <c r="X1299" i="1"/>
  <c r="W1299" i="1"/>
  <c r="V1299" i="1"/>
  <c r="U1299" i="1"/>
  <c r="T1299" i="1"/>
  <c r="S1299" i="1"/>
  <c r="R1299" i="1"/>
  <c r="P1299" i="1"/>
  <c r="O1299" i="1"/>
  <c r="N1299" i="1"/>
  <c r="Q1299" i="1" s="1"/>
  <c r="M1299" i="1"/>
  <c r="L1299" i="1"/>
  <c r="X1298" i="1"/>
  <c r="W1298" i="1"/>
  <c r="V1298" i="1"/>
  <c r="U1298" i="1"/>
  <c r="T1298" i="1"/>
  <c r="S1298" i="1"/>
  <c r="R1298" i="1"/>
  <c r="P1298" i="1"/>
  <c r="O1298" i="1"/>
  <c r="Q1298" i="1" s="1"/>
  <c r="N1298" i="1"/>
  <c r="M1298" i="1"/>
  <c r="L1298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X1295" i="1"/>
  <c r="W1295" i="1"/>
  <c r="V1295" i="1"/>
  <c r="U1295" i="1"/>
  <c r="T1295" i="1"/>
  <c r="S1295" i="1"/>
  <c r="R1295" i="1"/>
  <c r="P1295" i="1"/>
  <c r="O1295" i="1"/>
  <c r="N1295" i="1"/>
  <c r="Q1295" i="1" s="1"/>
  <c r="M1295" i="1"/>
  <c r="L1295" i="1"/>
  <c r="X1294" i="1"/>
  <c r="W1294" i="1"/>
  <c r="V1294" i="1"/>
  <c r="U1294" i="1"/>
  <c r="T1294" i="1"/>
  <c r="S1294" i="1"/>
  <c r="R1294" i="1"/>
  <c r="P1294" i="1"/>
  <c r="O1294" i="1"/>
  <c r="Q1294" i="1" s="1"/>
  <c r="N1294" i="1"/>
  <c r="M1294" i="1"/>
  <c r="L1294" i="1"/>
  <c r="X1293" i="1"/>
  <c r="W1293" i="1"/>
  <c r="V1293" i="1"/>
  <c r="U1293" i="1"/>
  <c r="T1293" i="1"/>
  <c r="S1293" i="1"/>
  <c r="R1293" i="1"/>
  <c r="P1293" i="1"/>
  <c r="Q1293" i="1" s="1"/>
  <c r="O1293" i="1"/>
  <c r="N1293" i="1"/>
  <c r="M1293" i="1"/>
  <c r="L1293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X1291" i="1"/>
  <c r="W1291" i="1"/>
  <c r="V1291" i="1"/>
  <c r="U1291" i="1"/>
  <c r="T1291" i="1"/>
  <c r="S1291" i="1"/>
  <c r="R1291" i="1"/>
  <c r="P1291" i="1"/>
  <c r="O1291" i="1"/>
  <c r="N1291" i="1"/>
  <c r="Q1291" i="1" s="1"/>
  <c r="M1291" i="1"/>
  <c r="L1291" i="1"/>
  <c r="X1290" i="1"/>
  <c r="W1290" i="1"/>
  <c r="V1290" i="1"/>
  <c r="U1290" i="1"/>
  <c r="T1290" i="1"/>
  <c r="S1290" i="1"/>
  <c r="R1290" i="1"/>
  <c r="P1290" i="1"/>
  <c r="O1290" i="1"/>
  <c r="Q1290" i="1" s="1"/>
  <c r="N1290" i="1"/>
  <c r="M1290" i="1"/>
  <c r="L1290" i="1"/>
  <c r="X1289" i="1"/>
  <c r="W1289" i="1"/>
  <c r="V1289" i="1"/>
  <c r="U1289" i="1"/>
  <c r="T1289" i="1"/>
  <c r="S1289" i="1"/>
  <c r="R1289" i="1"/>
  <c r="P1289" i="1"/>
  <c r="O1289" i="1"/>
  <c r="N1289" i="1"/>
  <c r="Q1289" i="1" s="1"/>
  <c r="M1289" i="1"/>
  <c r="L1289" i="1"/>
  <c r="X1288" i="1"/>
  <c r="W1288" i="1"/>
  <c r="V1288" i="1"/>
  <c r="U1288" i="1"/>
  <c r="T1288" i="1"/>
  <c r="S1288" i="1"/>
  <c r="R1288" i="1"/>
  <c r="P1288" i="1"/>
  <c r="O1288" i="1"/>
  <c r="N1288" i="1"/>
  <c r="Q1288" i="1" s="1"/>
  <c r="M1288" i="1"/>
  <c r="L1288" i="1"/>
  <c r="X1287" i="1"/>
  <c r="W1287" i="1"/>
  <c r="V1287" i="1"/>
  <c r="T1287" i="1"/>
  <c r="U1287" i="1" s="1"/>
  <c r="S1287" i="1"/>
  <c r="R1287" i="1"/>
  <c r="P1287" i="1"/>
  <c r="O1287" i="1"/>
  <c r="N1287" i="1"/>
  <c r="Q1287" i="1" s="1"/>
  <c r="M1287" i="1"/>
  <c r="L1287" i="1"/>
  <c r="X1286" i="1"/>
  <c r="W1286" i="1"/>
  <c r="V1286" i="1"/>
  <c r="U1286" i="1"/>
  <c r="T1286" i="1"/>
  <c r="S1286" i="1"/>
  <c r="R1286" i="1"/>
  <c r="P1286" i="1"/>
  <c r="O1286" i="1"/>
  <c r="Q1286" i="1" s="1"/>
  <c r="N1286" i="1"/>
  <c r="M1286" i="1"/>
  <c r="L1286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X1283" i="1"/>
  <c r="W1283" i="1"/>
  <c r="V1283" i="1"/>
  <c r="U1283" i="1"/>
  <c r="T1283" i="1"/>
  <c r="S1283" i="1"/>
  <c r="R1283" i="1"/>
  <c r="P1283" i="1"/>
  <c r="O1283" i="1"/>
  <c r="N1283" i="1"/>
  <c r="Q1283" i="1" s="1"/>
  <c r="M1283" i="1"/>
  <c r="L1283" i="1"/>
  <c r="X1282" i="1"/>
  <c r="W1282" i="1"/>
  <c r="V1282" i="1"/>
  <c r="T1282" i="1"/>
  <c r="U1282" i="1" s="1"/>
  <c r="S1282" i="1"/>
  <c r="R1282" i="1"/>
  <c r="P1282" i="1"/>
  <c r="O1282" i="1"/>
  <c r="Q1282" i="1" s="1"/>
  <c r="N1282" i="1"/>
  <c r="M1282" i="1"/>
  <c r="L1282" i="1"/>
  <c r="X1281" i="1"/>
  <c r="W1281" i="1"/>
  <c r="V1281" i="1"/>
  <c r="U1281" i="1"/>
  <c r="T1281" i="1"/>
  <c r="S1281" i="1"/>
  <c r="R1281" i="1"/>
  <c r="P1281" i="1"/>
  <c r="Q1281" i="1" s="1"/>
  <c r="O1281" i="1"/>
  <c r="N1281" i="1"/>
  <c r="M1281" i="1"/>
  <c r="L1281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X1279" i="1"/>
  <c r="W1279" i="1"/>
  <c r="V1279" i="1"/>
  <c r="U1279" i="1"/>
  <c r="T1279" i="1"/>
  <c r="S1279" i="1"/>
  <c r="R1279" i="1"/>
  <c r="P1279" i="1"/>
  <c r="O1279" i="1"/>
  <c r="N1279" i="1"/>
  <c r="Q1279" i="1" s="1"/>
  <c r="M1279" i="1"/>
  <c r="L1279" i="1"/>
  <c r="X1278" i="1"/>
  <c r="W1278" i="1"/>
  <c r="V1278" i="1"/>
  <c r="U1278" i="1"/>
  <c r="T1278" i="1"/>
  <c r="S1278" i="1"/>
  <c r="R1278" i="1"/>
  <c r="P1278" i="1"/>
  <c r="O1278" i="1"/>
  <c r="Q1278" i="1" s="1"/>
  <c r="N1278" i="1"/>
  <c r="M1278" i="1"/>
  <c r="L1278" i="1"/>
  <c r="X1277" i="1"/>
  <c r="W1277" i="1"/>
  <c r="V1277" i="1"/>
  <c r="U1277" i="1"/>
  <c r="T1277" i="1"/>
  <c r="S1277" i="1"/>
  <c r="R1277" i="1"/>
  <c r="P1277" i="1"/>
  <c r="O1277" i="1"/>
  <c r="N1277" i="1"/>
  <c r="Q1277" i="1" s="1"/>
  <c r="M1277" i="1"/>
  <c r="L1277" i="1"/>
  <c r="X1276" i="1"/>
  <c r="W1276" i="1"/>
  <c r="V1276" i="1"/>
  <c r="U1276" i="1"/>
  <c r="T1276" i="1"/>
  <c r="S1276" i="1"/>
  <c r="R1276" i="1"/>
  <c r="P1276" i="1"/>
  <c r="O1276" i="1"/>
  <c r="N1276" i="1"/>
  <c r="Q1276" i="1" s="1"/>
  <c r="M1276" i="1"/>
  <c r="L1276" i="1"/>
  <c r="X1275" i="1"/>
  <c r="W1275" i="1"/>
  <c r="V1275" i="1"/>
  <c r="U1275" i="1"/>
  <c r="T1275" i="1"/>
  <c r="S1275" i="1"/>
  <c r="R1275" i="1"/>
  <c r="P1275" i="1"/>
  <c r="O1275" i="1"/>
  <c r="N1275" i="1"/>
  <c r="Q1275" i="1" s="1"/>
  <c r="M1275" i="1"/>
  <c r="L1275" i="1"/>
  <c r="X1274" i="1"/>
  <c r="W1274" i="1"/>
  <c r="V1274" i="1"/>
  <c r="U1274" i="1"/>
  <c r="T1274" i="1"/>
  <c r="S1274" i="1"/>
  <c r="R1274" i="1"/>
  <c r="P1274" i="1"/>
  <c r="O1274" i="1"/>
  <c r="Q1274" i="1" s="1"/>
  <c r="N1274" i="1"/>
  <c r="M1274" i="1"/>
  <c r="L1274" i="1"/>
  <c r="X1273" i="1"/>
  <c r="W1273" i="1"/>
  <c r="V1273" i="1"/>
  <c r="T1273" i="1"/>
  <c r="U1273" i="1" s="1"/>
  <c r="S1273" i="1"/>
  <c r="R1273" i="1"/>
  <c r="Q1273" i="1"/>
  <c r="P1273" i="1"/>
  <c r="O1273" i="1"/>
  <c r="N1273" i="1"/>
  <c r="M1273" i="1"/>
  <c r="L1273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X1271" i="1"/>
  <c r="W1271" i="1"/>
  <c r="V1271" i="1"/>
  <c r="U1271" i="1"/>
  <c r="T1271" i="1"/>
  <c r="S1271" i="1"/>
  <c r="R1271" i="1"/>
  <c r="P1271" i="1"/>
  <c r="O1271" i="1"/>
  <c r="N1271" i="1"/>
  <c r="Q1271" i="1" s="1"/>
  <c r="M1271" i="1"/>
  <c r="L1271" i="1"/>
  <c r="X1270" i="1"/>
  <c r="W1270" i="1"/>
  <c r="V1270" i="1"/>
  <c r="U1270" i="1"/>
  <c r="T1270" i="1"/>
  <c r="S1270" i="1"/>
  <c r="R1270" i="1"/>
  <c r="P1270" i="1"/>
  <c r="O1270" i="1"/>
  <c r="Q1270" i="1" s="1"/>
  <c r="N1270" i="1"/>
  <c r="M1270" i="1"/>
  <c r="L1270" i="1"/>
  <c r="X1269" i="1"/>
  <c r="W1269" i="1"/>
  <c r="V1269" i="1"/>
  <c r="U1269" i="1"/>
  <c r="T1269" i="1"/>
  <c r="S1269" i="1"/>
  <c r="R1269" i="1"/>
  <c r="P1269" i="1"/>
  <c r="Q1269" i="1" s="1"/>
  <c r="O1269" i="1"/>
  <c r="N1269" i="1"/>
  <c r="M1269" i="1"/>
  <c r="L1269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X1267" i="1"/>
  <c r="W1267" i="1"/>
  <c r="V1267" i="1"/>
  <c r="U1267" i="1"/>
  <c r="T1267" i="1"/>
  <c r="S1267" i="1"/>
  <c r="R1267" i="1"/>
  <c r="P1267" i="1"/>
  <c r="O1267" i="1"/>
  <c r="N1267" i="1"/>
  <c r="Q1267" i="1" s="1"/>
  <c r="M1267" i="1"/>
  <c r="L1267" i="1"/>
  <c r="X1266" i="1"/>
  <c r="W1266" i="1"/>
  <c r="V1266" i="1"/>
  <c r="U1266" i="1"/>
  <c r="T1266" i="1"/>
  <c r="S1266" i="1"/>
  <c r="R1266" i="1"/>
  <c r="P1266" i="1"/>
  <c r="O1266" i="1"/>
  <c r="N1266" i="1"/>
  <c r="Q1266" i="1" s="1"/>
  <c r="M1266" i="1"/>
  <c r="L1266" i="1"/>
  <c r="X1265" i="1"/>
  <c r="W1265" i="1"/>
  <c r="V1265" i="1"/>
  <c r="T1265" i="1"/>
  <c r="U1265" i="1" s="1"/>
  <c r="S1265" i="1"/>
  <c r="R1265" i="1"/>
  <c r="P1265" i="1"/>
  <c r="O1265" i="1"/>
  <c r="N1265" i="1"/>
  <c r="Q1265" i="1" s="1"/>
  <c r="M1265" i="1"/>
  <c r="L1265" i="1"/>
  <c r="X1264" i="1"/>
  <c r="W1264" i="1"/>
  <c r="V1264" i="1"/>
  <c r="U1264" i="1"/>
  <c r="T1264" i="1"/>
  <c r="S1264" i="1"/>
  <c r="R1264" i="1"/>
  <c r="P1264" i="1"/>
  <c r="O1264" i="1"/>
  <c r="N1264" i="1"/>
  <c r="Q1264" i="1" s="1"/>
  <c r="M1264" i="1"/>
  <c r="L1264" i="1"/>
  <c r="X1263" i="1"/>
  <c r="W1263" i="1"/>
  <c r="V1263" i="1"/>
  <c r="U1263" i="1"/>
  <c r="T1263" i="1"/>
  <c r="S1263" i="1"/>
  <c r="R1263" i="1"/>
  <c r="P1263" i="1"/>
  <c r="O1263" i="1"/>
  <c r="N1263" i="1"/>
  <c r="Q1263" i="1" s="1"/>
  <c r="M1263" i="1"/>
  <c r="L1263" i="1"/>
  <c r="X1262" i="1"/>
  <c r="W1262" i="1"/>
  <c r="V1262" i="1"/>
  <c r="U1262" i="1"/>
  <c r="T1262" i="1"/>
  <c r="S1262" i="1"/>
  <c r="R1262" i="1"/>
  <c r="P1262" i="1"/>
  <c r="O1262" i="1"/>
  <c r="Q1262" i="1" s="1"/>
  <c r="N1262" i="1"/>
  <c r="M1262" i="1"/>
  <c r="L1262" i="1"/>
  <c r="X1261" i="1"/>
  <c r="W1261" i="1"/>
  <c r="V1261" i="1"/>
  <c r="T1261" i="1"/>
  <c r="U1261" i="1" s="1"/>
  <c r="S1261" i="1"/>
  <c r="R1261" i="1"/>
  <c r="Q1261" i="1"/>
  <c r="P1261" i="1"/>
  <c r="O1261" i="1"/>
  <c r="N1261" i="1"/>
  <c r="M1261" i="1"/>
  <c r="L1261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X1259" i="1"/>
  <c r="W1259" i="1"/>
  <c r="V1259" i="1"/>
  <c r="T1259" i="1"/>
  <c r="U1259" i="1" s="1"/>
  <c r="S1259" i="1"/>
  <c r="R1259" i="1"/>
  <c r="P1259" i="1"/>
  <c r="O1259" i="1"/>
  <c r="N1259" i="1"/>
  <c r="Q1259" i="1" s="1"/>
  <c r="M1259" i="1"/>
  <c r="L1259" i="1"/>
  <c r="X1258" i="1"/>
  <c r="W1258" i="1"/>
  <c r="V1258" i="1"/>
  <c r="U1258" i="1"/>
  <c r="T1258" i="1"/>
  <c r="S1258" i="1"/>
  <c r="R1258" i="1"/>
  <c r="P1258" i="1"/>
  <c r="O1258" i="1"/>
  <c r="Q1258" i="1" s="1"/>
  <c r="N1258" i="1"/>
  <c r="M1258" i="1"/>
  <c r="L1258" i="1"/>
  <c r="X1257" i="1"/>
  <c r="W1257" i="1"/>
  <c r="V1257" i="1"/>
  <c r="U1257" i="1"/>
  <c r="T1257" i="1"/>
  <c r="S1257" i="1"/>
  <c r="R1257" i="1"/>
  <c r="P1257" i="1"/>
  <c r="Q1257" i="1" s="1"/>
  <c r="O1257" i="1"/>
  <c r="N1257" i="1"/>
  <c r="M1257" i="1"/>
  <c r="L1257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X1255" i="1"/>
  <c r="W1255" i="1"/>
  <c r="V1255" i="1"/>
  <c r="T1255" i="1"/>
  <c r="U1255" i="1" s="1"/>
  <c r="S1255" i="1"/>
  <c r="R1255" i="1"/>
  <c r="P1255" i="1"/>
  <c r="O1255" i="1"/>
  <c r="N1255" i="1"/>
  <c r="Q1255" i="1" s="1"/>
  <c r="M1255" i="1"/>
  <c r="L1255" i="1"/>
  <c r="X1254" i="1"/>
  <c r="W1254" i="1"/>
  <c r="V1254" i="1"/>
  <c r="T1254" i="1"/>
  <c r="U1254" i="1" s="1"/>
  <c r="S1254" i="1"/>
  <c r="R1254" i="1"/>
  <c r="P1254" i="1"/>
  <c r="O1254" i="1"/>
  <c r="N1254" i="1"/>
  <c r="Q1254" i="1" s="1"/>
  <c r="M1254" i="1"/>
  <c r="L1254" i="1"/>
  <c r="X1253" i="1"/>
  <c r="W1253" i="1"/>
  <c r="V1253" i="1"/>
  <c r="U1253" i="1"/>
  <c r="T1253" i="1"/>
  <c r="S1253" i="1"/>
  <c r="R1253" i="1"/>
  <c r="P1253" i="1"/>
  <c r="O1253" i="1"/>
  <c r="N1253" i="1"/>
  <c r="Q1253" i="1" s="1"/>
  <c r="M1253" i="1"/>
  <c r="L1253" i="1"/>
  <c r="X1252" i="1"/>
  <c r="W1252" i="1"/>
  <c r="V1252" i="1"/>
  <c r="U1252" i="1"/>
  <c r="T1252" i="1"/>
  <c r="S1252" i="1"/>
  <c r="R1252" i="1"/>
  <c r="P1252" i="1"/>
  <c r="O1252" i="1"/>
  <c r="N1252" i="1"/>
  <c r="Q1252" i="1" s="1"/>
  <c r="M1252" i="1"/>
  <c r="L1252" i="1"/>
  <c r="X1251" i="1"/>
  <c r="W1251" i="1"/>
  <c r="V1251" i="1"/>
  <c r="U1251" i="1"/>
  <c r="T1251" i="1"/>
  <c r="S1251" i="1"/>
  <c r="R1251" i="1"/>
  <c r="P1251" i="1"/>
  <c r="O1251" i="1"/>
  <c r="N1251" i="1"/>
  <c r="Q1251" i="1" s="1"/>
  <c r="M1251" i="1"/>
  <c r="L1251" i="1"/>
  <c r="X1250" i="1"/>
  <c r="W1250" i="1"/>
  <c r="V1250" i="1"/>
  <c r="U1250" i="1"/>
  <c r="T1250" i="1"/>
  <c r="S1250" i="1"/>
  <c r="R1250" i="1"/>
  <c r="P1250" i="1"/>
  <c r="O1250" i="1"/>
  <c r="Q1250" i="1" s="1"/>
  <c r="N1250" i="1"/>
  <c r="M1250" i="1"/>
  <c r="L1250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X1247" i="1"/>
  <c r="W1247" i="1"/>
  <c r="V1247" i="1"/>
  <c r="T1247" i="1"/>
  <c r="U1247" i="1" s="1"/>
  <c r="S1247" i="1"/>
  <c r="R1247" i="1"/>
  <c r="P1247" i="1"/>
  <c r="O1247" i="1"/>
  <c r="N1247" i="1"/>
  <c r="Q1247" i="1" s="1"/>
  <c r="M1247" i="1"/>
  <c r="L1247" i="1"/>
  <c r="X1246" i="1"/>
  <c r="W1246" i="1"/>
  <c r="V1246" i="1"/>
  <c r="U1246" i="1"/>
  <c r="T1246" i="1"/>
  <c r="S1246" i="1"/>
  <c r="R1246" i="1"/>
  <c r="P1246" i="1"/>
  <c r="O1246" i="1"/>
  <c r="Q1246" i="1" s="1"/>
  <c r="N1246" i="1"/>
  <c r="M1246" i="1"/>
  <c r="L1246" i="1"/>
  <c r="X1245" i="1"/>
  <c r="W1245" i="1"/>
  <c r="V1245" i="1"/>
  <c r="U1245" i="1"/>
  <c r="T1245" i="1"/>
  <c r="S1245" i="1"/>
  <c r="R1245" i="1"/>
  <c r="P1245" i="1"/>
  <c r="Q1245" i="1" s="1"/>
  <c r="O1245" i="1"/>
  <c r="N1245" i="1"/>
  <c r="M1245" i="1"/>
  <c r="L1245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X1243" i="1"/>
  <c r="W1243" i="1"/>
  <c r="V1243" i="1"/>
  <c r="U1243" i="1"/>
  <c r="T1243" i="1"/>
  <c r="S1243" i="1"/>
  <c r="R1243" i="1"/>
  <c r="P1243" i="1"/>
  <c r="O1243" i="1"/>
  <c r="N1243" i="1"/>
  <c r="Q1243" i="1" s="1"/>
  <c r="M1243" i="1"/>
  <c r="L1243" i="1"/>
  <c r="X1242" i="1"/>
  <c r="W1242" i="1"/>
  <c r="V1242" i="1"/>
  <c r="U1242" i="1"/>
  <c r="T1242" i="1"/>
  <c r="S1242" i="1"/>
  <c r="R1242" i="1"/>
  <c r="P1242" i="1"/>
  <c r="O1242" i="1"/>
  <c r="N1242" i="1"/>
  <c r="Q1242" i="1" s="1"/>
  <c r="M1242" i="1"/>
  <c r="L1242" i="1"/>
  <c r="X1241" i="1"/>
  <c r="W1241" i="1"/>
  <c r="V1241" i="1"/>
  <c r="U1241" i="1"/>
  <c r="T1241" i="1"/>
  <c r="S1241" i="1"/>
  <c r="R1241" i="1"/>
  <c r="P1241" i="1"/>
  <c r="O1241" i="1"/>
  <c r="N1241" i="1"/>
  <c r="Q1241" i="1" s="1"/>
  <c r="M1241" i="1"/>
  <c r="L1241" i="1"/>
  <c r="X1240" i="1"/>
  <c r="W1240" i="1"/>
  <c r="V1240" i="1"/>
  <c r="U1240" i="1"/>
  <c r="T1240" i="1"/>
  <c r="S1240" i="1"/>
  <c r="R1240" i="1"/>
  <c r="P1240" i="1"/>
  <c r="O1240" i="1"/>
  <c r="N1240" i="1"/>
  <c r="Q1240" i="1" s="1"/>
  <c r="M1240" i="1"/>
  <c r="L1240" i="1"/>
  <c r="X1239" i="1"/>
  <c r="W1239" i="1"/>
  <c r="V1239" i="1"/>
  <c r="U1239" i="1"/>
  <c r="T1239" i="1"/>
  <c r="S1239" i="1"/>
  <c r="R1239" i="1"/>
  <c r="P1239" i="1"/>
  <c r="O1239" i="1"/>
  <c r="N1239" i="1"/>
  <c r="Q1239" i="1" s="1"/>
  <c r="M1239" i="1"/>
  <c r="L1239" i="1"/>
  <c r="X1238" i="1"/>
  <c r="W1238" i="1"/>
  <c r="V1238" i="1"/>
  <c r="U1238" i="1"/>
  <c r="T1238" i="1"/>
  <c r="S1238" i="1"/>
  <c r="R1238" i="1"/>
  <c r="P1238" i="1"/>
  <c r="O1238" i="1"/>
  <c r="Q1238" i="1" s="1"/>
  <c r="N1238" i="1"/>
  <c r="M1238" i="1"/>
  <c r="L1238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X1235" i="1"/>
  <c r="W1235" i="1"/>
  <c r="V1235" i="1"/>
  <c r="T1235" i="1"/>
  <c r="U1235" i="1" s="1"/>
  <c r="S1235" i="1"/>
  <c r="R1235" i="1"/>
  <c r="P1235" i="1"/>
  <c r="O1235" i="1"/>
  <c r="N1235" i="1"/>
  <c r="Q1235" i="1" s="1"/>
  <c r="M1235" i="1"/>
  <c r="L1235" i="1"/>
  <c r="X1234" i="1"/>
  <c r="W1234" i="1"/>
  <c r="V1234" i="1"/>
  <c r="U1234" i="1"/>
  <c r="T1234" i="1"/>
  <c r="S1234" i="1"/>
  <c r="R1234" i="1"/>
  <c r="P1234" i="1"/>
  <c r="O1234" i="1"/>
  <c r="Q1234" i="1" s="1"/>
  <c r="N1234" i="1"/>
  <c r="M1234" i="1"/>
  <c r="L1234" i="1"/>
  <c r="X1233" i="1"/>
  <c r="W1233" i="1"/>
  <c r="V1233" i="1"/>
  <c r="U1233" i="1"/>
  <c r="T1233" i="1"/>
  <c r="S1233" i="1"/>
  <c r="R1233" i="1"/>
  <c r="P1233" i="1"/>
  <c r="Q1233" i="1" s="1"/>
  <c r="O1233" i="1"/>
  <c r="N1233" i="1"/>
  <c r="M1233" i="1"/>
  <c r="L1233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X1231" i="1"/>
  <c r="W1231" i="1"/>
  <c r="V1231" i="1"/>
  <c r="U1231" i="1"/>
  <c r="T1231" i="1"/>
  <c r="S1231" i="1"/>
  <c r="R1231" i="1"/>
  <c r="P1231" i="1"/>
  <c r="O1231" i="1"/>
  <c r="N1231" i="1"/>
  <c r="Q1231" i="1" s="1"/>
  <c r="M1231" i="1"/>
  <c r="L1231" i="1"/>
  <c r="X1230" i="1"/>
  <c r="W1230" i="1"/>
  <c r="V1230" i="1"/>
  <c r="U1230" i="1"/>
  <c r="T1230" i="1"/>
  <c r="S1230" i="1"/>
  <c r="R1230" i="1"/>
  <c r="P1230" i="1"/>
  <c r="O1230" i="1"/>
  <c r="N1230" i="1"/>
  <c r="Q1230" i="1" s="1"/>
  <c r="M1230" i="1"/>
  <c r="L1230" i="1"/>
  <c r="X1229" i="1"/>
  <c r="W1229" i="1"/>
  <c r="V1229" i="1"/>
  <c r="U1229" i="1"/>
  <c r="T1229" i="1"/>
  <c r="S1229" i="1"/>
  <c r="R1229" i="1"/>
  <c r="P1229" i="1"/>
  <c r="O1229" i="1"/>
  <c r="N1229" i="1"/>
  <c r="Q1229" i="1" s="1"/>
  <c r="M1229" i="1"/>
  <c r="L1229" i="1"/>
  <c r="X1228" i="1"/>
  <c r="W1228" i="1"/>
  <c r="V1228" i="1"/>
  <c r="U1228" i="1"/>
  <c r="T1228" i="1"/>
  <c r="S1228" i="1"/>
  <c r="R1228" i="1"/>
  <c r="P1228" i="1"/>
  <c r="O1228" i="1"/>
  <c r="N1228" i="1"/>
  <c r="Q1228" i="1" s="1"/>
  <c r="M1228" i="1"/>
  <c r="L1228" i="1"/>
  <c r="X1227" i="1"/>
  <c r="W1227" i="1"/>
  <c r="V1227" i="1"/>
  <c r="U1227" i="1"/>
  <c r="T1227" i="1"/>
  <c r="S1227" i="1"/>
  <c r="R1227" i="1"/>
  <c r="P1227" i="1"/>
  <c r="O1227" i="1"/>
  <c r="N1227" i="1"/>
  <c r="Q1227" i="1" s="1"/>
  <c r="M1227" i="1"/>
  <c r="L1227" i="1"/>
  <c r="X1226" i="1"/>
  <c r="W1226" i="1"/>
  <c r="V1226" i="1"/>
  <c r="U1226" i="1"/>
  <c r="T1226" i="1"/>
  <c r="S1226" i="1"/>
  <c r="R1226" i="1"/>
  <c r="P1226" i="1"/>
  <c r="O1226" i="1"/>
  <c r="Q1226" i="1" s="1"/>
  <c r="N1226" i="1"/>
  <c r="M1226" i="1"/>
  <c r="L1226" i="1"/>
  <c r="X1225" i="1"/>
  <c r="W1225" i="1"/>
  <c r="V1225" i="1"/>
  <c r="T1225" i="1"/>
  <c r="U1225" i="1" s="1"/>
  <c r="S1225" i="1"/>
  <c r="R1225" i="1"/>
  <c r="Q1225" i="1"/>
  <c r="P1225" i="1"/>
  <c r="O1225" i="1"/>
  <c r="N1225" i="1"/>
  <c r="M1225" i="1"/>
  <c r="L1225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X1223" i="1"/>
  <c r="W1223" i="1"/>
  <c r="V1223" i="1"/>
  <c r="T1223" i="1"/>
  <c r="U1223" i="1" s="1"/>
  <c r="S1223" i="1"/>
  <c r="R1223" i="1"/>
  <c r="P1223" i="1"/>
  <c r="O1223" i="1"/>
  <c r="N1223" i="1"/>
  <c r="Q1223" i="1" s="1"/>
  <c r="M1223" i="1"/>
  <c r="L1223" i="1"/>
  <c r="X1222" i="1"/>
  <c r="W1222" i="1"/>
  <c r="V1222" i="1"/>
  <c r="T1222" i="1"/>
  <c r="U1222" i="1" s="1"/>
  <c r="S1222" i="1"/>
  <c r="R1222" i="1"/>
  <c r="P1222" i="1"/>
  <c r="O1222" i="1"/>
  <c r="Q1222" i="1" s="1"/>
  <c r="N1222" i="1"/>
  <c r="M1222" i="1"/>
  <c r="L1222" i="1"/>
  <c r="X1221" i="1"/>
  <c r="W1221" i="1"/>
  <c r="V1221" i="1"/>
  <c r="U1221" i="1"/>
  <c r="T1221" i="1"/>
  <c r="S1221" i="1"/>
  <c r="R1221" i="1"/>
  <c r="P1221" i="1"/>
  <c r="Q1221" i="1" s="1"/>
  <c r="O1221" i="1"/>
  <c r="N1221" i="1"/>
  <c r="M1221" i="1"/>
  <c r="L1221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X1219" i="1"/>
  <c r="W1219" i="1"/>
  <c r="V1219" i="1"/>
  <c r="U1219" i="1"/>
  <c r="T1219" i="1"/>
  <c r="S1219" i="1"/>
  <c r="R1219" i="1"/>
  <c r="P1219" i="1"/>
  <c r="O1219" i="1"/>
  <c r="N1219" i="1"/>
  <c r="Q1219" i="1" s="1"/>
  <c r="M1219" i="1"/>
  <c r="L1219" i="1"/>
  <c r="X1218" i="1"/>
  <c r="W1218" i="1"/>
  <c r="V1218" i="1"/>
  <c r="U1218" i="1"/>
  <c r="T1218" i="1"/>
  <c r="S1218" i="1"/>
  <c r="R1218" i="1"/>
  <c r="P1218" i="1"/>
  <c r="O1218" i="1"/>
  <c r="N1218" i="1"/>
  <c r="Q1218" i="1" s="1"/>
  <c r="M1218" i="1"/>
  <c r="L1218" i="1"/>
  <c r="X1217" i="1"/>
  <c r="W1217" i="1"/>
  <c r="V1217" i="1"/>
  <c r="U1217" i="1"/>
  <c r="T1217" i="1"/>
  <c r="S1217" i="1"/>
  <c r="R1217" i="1"/>
  <c r="P1217" i="1"/>
  <c r="O1217" i="1"/>
  <c r="N1217" i="1"/>
  <c r="Q1217" i="1" s="1"/>
  <c r="M1217" i="1"/>
  <c r="L1217" i="1"/>
  <c r="X1216" i="1"/>
  <c r="W1216" i="1"/>
  <c r="V1216" i="1"/>
  <c r="U1216" i="1"/>
  <c r="T1216" i="1"/>
  <c r="S1216" i="1"/>
  <c r="R1216" i="1"/>
  <c r="P1216" i="1"/>
  <c r="O1216" i="1"/>
  <c r="N1216" i="1"/>
  <c r="Q1216" i="1" s="1"/>
  <c r="M1216" i="1"/>
  <c r="L1216" i="1"/>
  <c r="X1215" i="1"/>
  <c r="W1215" i="1"/>
  <c r="V1215" i="1"/>
  <c r="U1215" i="1"/>
  <c r="T1215" i="1"/>
  <c r="S1215" i="1"/>
  <c r="R1215" i="1"/>
  <c r="P1215" i="1"/>
  <c r="O1215" i="1"/>
  <c r="N1215" i="1"/>
  <c r="Q1215" i="1" s="1"/>
  <c r="M1215" i="1"/>
  <c r="L1215" i="1"/>
  <c r="X1214" i="1"/>
  <c r="W1214" i="1"/>
  <c r="V1214" i="1"/>
  <c r="U1214" i="1"/>
  <c r="T1214" i="1"/>
  <c r="S1214" i="1"/>
  <c r="R1214" i="1"/>
  <c r="P1214" i="1"/>
  <c r="O1214" i="1"/>
  <c r="Q1214" i="1" s="1"/>
  <c r="N1214" i="1"/>
  <c r="M1214" i="1"/>
  <c r="L1214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X1211" i="1"/>
  <c r="W1211" i="1"/>
  <c r="V1211" i="1"/>
  <c r="U1211" i="1"/>
  <c r="T1211" i="1"/>
  <c r="S1211" i="1"/>
  <c r="R1211" i="1"/>
  <c r="P1211" i="1"/>
  <c r="O1211" i="1"/>
  <c r="N1211" i="1"/>
  <c r="Q1211" i="1" s="1"/>
  <c r="M1211" i="1"/>
  <c r="L1211" i="1"/>
  <c r="X1210" i="1"/>
  <c r="W1210" i="1"/>
  <c r="V1210" i="1"/>
  <c r="T1210" i="1"/>
  <c r="U1210" i="1" s="1"/>
  <c r="S1210" i="1"/>
  <c r="R1210" i="1"/>
  <c r="P1210" i="1"/>
  <c r="O1210" i="1"/>
  <c r="Q1210" i="1" s="1"/>
  <c r="N1210" i="1"/>
  <c r="M1210" i="1"/>
  <c r="L1210" i="1"/>
  <c r="X1209" i="1"/>
  <c r="W1209" i="1"/>
  <c r="V1209" i="1"/>
  <c r="U1209" i="1"/>
  <c r="T1209" i="1"/>
  <c r="S1209" i="1"/>
  <c r="R1209" i="1"/>
  <c r="P1209" i="1"/>
  <c r="Q1209" i="1" s="1"/>
  <c r="O1209" i="1"/>
  <c r="N1209" i="1"/>
  <c r="M1209" i="1"/>
  <c r="L1209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X1207" i="1"/>
  <c r="W1207" i="1"/>
  <c r="V1207" i="1"/>
  <c r="T1207" i="1"/>
  <c r="U1207" i="1" s="1"/>
  <c r="S1207" i="1"/>
  <c r="R1207" i="1"/>
  <c r="P1207" i="1"/>
  <c r="O1207" i="1"/>
  <c r="N1207" i="1"/>
  <c r="Q1207" i="1" s="1"/>
  <c r="M1207" i="1"/>
  <c r="L1207" i="1"/>
  <c r="X1206" i="1"/>
  <c r="W1206" i="1"/>
  <c r="V1206" i="1"/>
  <c r="U1206" i="1"/>
  <c r="T1206" i="1"/>
  <c r="S1206" i="1"/>
  <c r="R1206" i="1"/>
  <c r="P1206" i="1"/>
  <c r="O1206" i="1"/>
  <c r="N1206" i="1"/>
  <c r="Q1206" i="1" s="1"/>
  <c r="M1206" i="1"/>
  <c r="L1206" i="1"/>
  <c r="X1205" i="1"/>
  <c r="W1205" i="1"/>
  <c r="V1205" i="1"/>
  <c r="U1205" i="1"/>
  <c r="T1205" i="1"/>
  <c r="S1205" i="1"/>
  <c r="R1205" i="1"/>
  <c r="P1205" i="1"/>
  <c r="O1205" i="1"/>
  <c r="N1205" i="1"/>
  <c r="Q1205" i="1" s="1"/>
  <c r="M1205" i="1"/>
  <c r="L1205" i="1"/>
  <c r="X1204" i="1"/>
  <c r="W1204" i="1"/>
  <c r="V1204" i="1"/>
  <c r="U1204" i="1"/>
  <c r="T1204" i="1"/>
  <c r="S1204" i="1"/>
  <c r="R1204" i="1"/>
  <c r="P1204" i="1"/>
  <c r="O1204" i="1"/>
  <c r="N1204" i="1"/>
  <c r="Q1204" i="1" s="1"/>
  <c r="M1204" i="1"/>
  <c r="L1204" i="1"/>
  <c r="X1203" i="1"/>
  <c r="W1203" i="1"/>
  <c r="V1203" i="1"/>
  <c r="U1203" i="1"/>
  <c r="T1203" i="1"/>
  <c r="S1203" i="1"/>
  <c r="R1203" i="1"/>
  <c r="P1203" i="1"/>
  <c r="O1203" i="1"/>
  <c r="N1203" i="1"/>
  <c r="Q1203" i="1" s="1"/>
  <c r="M1203" i="1"/>
  <c r="L1203" i="1"/>
  <c r="X1202" i="1"/>
  <c r="W1202" i="1"/>
  <c r="V1202" i="1"/>
  <c r="U1202" i="1"/>
  <c r="T1202" i="1"/>
  <c r="S1202" i="1"/>
  <c r="R1202" i="1"/>
  <c r="P1202" i="1"/>
  <c r="O1202" i="1"/>
  <c r="Q1202" i="1" s="1"/>
  <c r="N1202" i="1"/>
  <c r="M1202" i="1"/>
  <c r="L1202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X1199" i="1"/>
  <c r="W1199" i="1"/>
  <c r="V1199" i="1"/>
  <c r="T1199" i="1"/>
  <c r="U1199" i="1" s="1"/>
  <c r="S1199" i="1"/>
  <c r="R1199" i="1"/>
  <c r="P1199" i="1"/>
  <c r="O1199" i="1"/>
  <c r="N1199" i="1"/>
  <c r="Q1199" i="1" s="1"/>
  <c r="M1199" i="1"/>
  <c r="L1199" i="1"/>
  <c r="X1198" i="1"/>
  <c r="W1198" i="1"/>
  <c r="V1198" i="1"/>
  <c r="U1198" i="1"/>
  <c r="T1198" i="1"/>
  <c r="S1198" i="1"/>
  <c r="R1198" i="1"/>
  <c r="P1198" i="1"/>
  <c r="O1198" i="1"/>
  <c r="Q1198" i="1" s="1"/>
  <c r="N1198" i="1"/>
  <c r="M1198" i="1"/>
  <c r="L1198" i="1"/>
  <c r="X1197" i="1"/>
  <c r="W1197" i="1"/>
  <c r="V1197" i="1"/>
  <c r="U1197" i="1"/>
  <c r="T1197" i="1"/>
  <c r="S1197" i="1"/>
  <c r="R1197" i="1"/>
  <c r="P1197" i="1"/>
  <c r="Q1197" i="1" s="1"/>
  <c r="O1197" i="1"/>
  <c r="N1197" i="1"/>
  <c r="M1197" i="1"/>
  <c r="L1197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X1195" i="1"/>
  <c r="W1195" i="1"/>
  <c r="V1195" i="1"/>
  <c r="U1195" i="1"/>
  <c r="T1195" i="1"/>
  <c r="S1195" i="1"/>
  <c r="R1195" i="1"/>
  <c r="P1195" i="1"/>
  <c r="O1195" i="1"/>
  <c r="N1195" i="1"/>
  <c r="Q1195" i="1" s="1"/>
  <c r="M1195" i="1"/>
  <c r="L1195" i="1"/>
  <c r="X1194" i="1"/>
  <c r="W1194" i="1"/>
  <c r="V1194" i="1"/>
  <c r="U1194" i="1"/>
  <c r="T1194" i="1"/>
  <c r="S1194" i="1"/>
  <c r="R1194" i="1"/>
  <c r="P1194" i="1"/>
  <c r="O1194" i="1"/>
  <c r="N1194" i="1"/>
  <c r="Q1194" i="1" s="1"/>
  <c r="M1194" i="1"/>
  <c r="L1194" i="1"/>
  <c r="X1193" i="1"/>
  <c r="W1193" i="1"/>
  <c r="V1193" i="1"/>
  <c r="U1193" i="1"/>
  <c r="T1193" i="1"/>
  <c r="S1193" i="1"/>
  <c r="R1193" i="1"/>
  <c r="P1193" i="1"/>
  <c r="O1193" i="1"/>
  <c r="N1193" i="1"/>
  <c r="Q1193" i="1" s="1"/>
  <c r="M1193" i="1"/>
  <c r="L1193" i="1"/>
  <c r="X1192" i="1"/>
  <c r="W1192" i="1"/>
  <c r="V1192" i="1"/>
  <c r="U1192" i="1"/>
  <c r="T1192" i="1"/>
  <c r="S1192" i="1"/>
  <c r="R1192" i="1"/>
  <c r="P1192" i="1"/>
  <c r="O1192" i="1"/>
  <c r="N1192" i="1"/>
  <c r="Q1192" i="1" s="1"/>
  <c r="M1192" i="1"/>
  <c r="L1192" i="1"/>
  <c r="X1191" i="1"/>
  <c r="W1191" i="1"/>
  <c r="V1191" i="1"/>
  <c r="U1191" i="1"/>
  <c r="T1191" i="1"/>
  <c r="S1191" i="1"/>
  <c r="R1191" i="1"/>
  <c r="P1191" i="1"/>
  <c r="O1191" i="1"/>
  <c r="N1191" i="1"/>
  <c r="Q1191" i="1" s="1"/>
  <c r="M1191" i="1"/>
  <c r="L1191" i="1"/>
  <c r="X1190" i="1"/>
  <c r="W1190" i="1"/>
  <c r="V1190" i="1"/>
  <c r="U1190" i="1"/>
  <c r="T1190" i="1"/>
  <c r="S1190" i="1"/>
  <c r="R1190" i="1"/>
  <c r="P1190" i="1"/>
  <c r="O1190" i="1"/>
  <c r="Q1190" i="1" s="1"/>
  <c r="N1190" i="1"/>
  <c r="M1190" i="1"/>
  <c r="L1190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X1187" i="1"/>
  <c r="W1187" i="1"/>
  <c r="V1187" i="1"/>
  <c r="T1187" i="1"/>
  <c r="U1187" i="1" s="1"/>
  <c r="S1187" i="1"/>
  <c r="R1187" i="1"/>
  <c r="P1187" i="1"/>
  <c r="O1187" i="1"/>
  <c r="N1187" i="1"/>
  <c r="Q1187" i="1" s="1"/>
  <c r="M1187" i="1"/>
  <c r="L1187" i="1"/>
  <c r="X1186" i="1"/>
  <c r="W1186" i="1"/>
  <c r="V1186" i="1"/>
  <c r="T1186" i="1"/>
  <c r="U1186" i="1" s="1"/>
  <c r="S1186" i="1"/>
  <c r="R1186" i="1"/>
  <c r="P1186" i="1"/>
  <c r="O1186" i="1"/>
  <c r="Q1186" i="1" s="1"/>
  <c r="N1186" i="1"/>
  <c r="M1186" i="1"/>
  <c r="L1186" i="1"/>
  <c r="X1185" i="1"/>
  <c r="W1185" i="1"/>
  <c r="V1185" i="1"/>
  <c r="U1185" i="1"/>
  <c r="T1185" i="1"/>
  <c r="S1185" i="1"/>
  <c r="R1185" i="1"/>
  <c r="P1185" i="1"/>
  <c r="Q1185" i="1" s="1"/>
  <c r="O1185" i="1"/>
  <c r="N1185" i="1"/>
  <c r="M1185" i="1"/>
  <c r="L1185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X1183" i="1"/>
  <c r="W1183" i="1"/>
  <c r="V1183" i="1"/>
  <c r="U1183" i="1"/>
  <c r="T1183" i="1"/>
  <c r="S1183" i="1"/>
  <c r="R1183" i="1"/>
  <c r="P1183" i="1"/>
  <c r="O1183" i="1"/>
  <c r="N1183" i="1"/>
  <c r="Q1183" i="1" s="1"/>
  <c r="M1183" i="1"/>
  <c r="L1183" i="1"/>
  <c r="X1182" i="1"/>
  <c r="W1182" i="1"/>
  <c r="V1182" i="1"/>
  <c r="T1182" i="1"/>
  <c r="U1182" i="1" s="1"/>
  <c r="S1182" i="1"/>
  <c r="R1182" i="1"/>
  <c r="P1182" i="1"/>
  <c r="O1182" i="1"/>
  <c r="N1182" i="1"/>
  <c r="Q1182" i="1" s="1"/>
  <c r="M1182" i="1"/>
  <c r="L1182" i="1"/>
  <c r="X1181" i="1"/>
  <c r="W1181" i="1"/>
  <c r="V1181" i="1"/>
  <c r="U1181" i="1"/>
  <c r="T1181" i="1"/>
  <c r="S1181" i="1"/>
  <c r="R1181" i="1"/>
  <c r="P1181" i="1"/>
  <c r="O1181" i="1"/>
  <c r="N1181" i="1"/>
  <c r="Q1181" i="1" s="1"/>
  <c r="M1181" i="1"/>
  <c r="L1181" i="1"/>
  <c r="X1180" i="1"/>
  <c r="W1180" i="1"/>
  <c r="V1180" i="1"/>
  <c r="U1180" i="1"/>
  <c r="T1180" i="1"/>
  <c r="S1180" i="1"/>
  <c r="R1180" i="1"/>
  <c r="P1180" i="1"/>
  <c r="O1180" i="1"/>
  <c r="N1180" i="1"/>
  <c r="Q1180" i="1" s="1"/>
  <c r="M1180" i="1"/>
  <c r="L1180" i="1"/>
  <c r="X1179" i="1"/>
  <c r="W1179" i="1"/>
  <c r="V1179" i="1"/>
  <c r="U1179" i="1"/>
  <c r="T1179" i="1"/>
  <c r="S1179" i="1"/>
  <c r="R1179" i="1"/>
  <c r="P1179" i="1"/>
  <c r="O1179" i="1"/>
  <c r="N1179" i="1"/>
  <c r="Q1179" i="1" s="1"/>
  <c r="M1179" i="1"/>
  <c r="L1179" i="1"/>
  <c r="X1178" i="1"/>
  <c r="W1178" i="1"/>
  <c r="V1178" i="1"/>
  <c r="U1178" i="1"/>
  <c r="T1178" i="1"/>
  <c r="S1178" i="1"/>
  <c r="R1178" i="1"/>
  <c r="P1178" i="1"/>
  <c r="O1178" i="1"/>
  <c r="Q1178" i="1" s="1"/>
  <c r="N1178" i="1"/>
  <c r="M1178" i="1"/>
  <c r="L1178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X1175" i="1"/>
  <c r="W1175" i="1"/>
  <c r="V1175" i="1"/>
  <c r="U1175" i="1"/>
  <c r="T1175" i="1"/>
  <c r="S1175" i="1"/>
  <c r="R1175" i="1"/>
  <c r="P1175" i="1"/>
  <c r="O1175" i="1"/>
  <c r="N1175" i="1"/>
  <c r="Q1175" i="1" s="1"/>
  <c r="M1175" i="1"/>
  <c r="L1175" i="1"/>
  <c r="X1174" i="1"/>
  <c r="W1174" i="1"/>
  <c r="V1174" i="1"/>
  <c r="U1174" i="1"/>
  <c r="T1174" i="1"/>
  <c r="S1174" i="1"/>
  <c r="R1174" i="1"/>
  <c r="P1174" i="1"/>
  <c r="O1174" i="1"/>
  <c r="Q1174" i="1" s="1"/>
  <c r="N1174" i="1"/>
  <c r="M1174" i="1"/>
  <c r="L1174" i="1"/>
  <c r="X1173" i="1"/>
  <c r="W1173" i="1"/>
  <c r="V1173" i="1"/>
  <c r="U1173" i="1"/>
  <c r="T1173" i="1"/>
  <c r="S1173" i="1"/>
  <c r="R1173" i="1"/>
  <c r="P1173" i="1"/>
  <c r="Q1173" i="1" s="1"/>
  <c r="O1173" i="1"/>
  <c r="N1173" i="1"/>
  <c r="M1173" i="1"/>
  <c r="L1173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X1171" i="1"/>
  <c r="W1171" i="1"/>
  <c r="V1171" i="1"/>
  <c r="U1171" i="1"/>
  <c r="T1171" i="1"/>
  <c r="S1171" i="1"/>
  <c r="R1171" i="1"/>
  <c r="P1171" i="1"/>
  <c r="O1171" i="1"/>
  <c r="N1171" i="1"/>
  <c r="Q1171" i="1" s="1"/>
  <c r="M1171" i="1"/>
  <c r="L1171" i="1"/>
  <c r="X1170" i="1"/>
  <c r="W1170" i="1"/>
  <c r="V1170" i="1"/>
  <c r="U1170" i="1"/>
  <c r="T1170" i="1"/>
  <c r="S1170" i="1"/>
  <c r="R1170" i="1"/>
  <c r="P1170" i="1"/>
  <c r="O1170" i="1"/>
  <c r="N1170" i="1"/>
  <c r="Q1170" i="1" s="1"/>
  <c r="M1170" i="1"/>
  <c r="L1170" i="1"/>
  <c r="X1169" i="1"/>
  <c r="W1169" i="1"/>
  <c r="V1169" i="1"/>
  <c r="T1169" i="1"/>
  <c r="U1169" i="1" s="1"/>
  <c r="S1169" i="1"/>
  <c r="R1169" i="1"/>
  <c r="P1169" i="1"/>
  <c r="O1169" i="1"/>
  <c r="N1169" i="1"/>
  <c r="Q1169" i="1" s="1"/>
  <c r="M1169" i="1"/>
  <c r="L1169" i="1"/>
  <c r="X1168" i="1"/>
  <c r="W1168" i="1"/>
  <c r="V1168" i="1"/>
  <c r="U1168" i="1"/>
  <c r="T1168" i="1"/>
  <c r="S1168" i="1"/>
  <c r="R1168" i="1"/>
  <c r="P1168" i="1"/>
  <c r="O1168" i="1"/>
  <c r="N1168" i="1"/>
  <c r="Q1168" i="1" s="1"/>
  <c r="M1168" i="1"/>
  <c r="L1168" i="1"/>
  <c r="X1167" i="1"/>
  <c r="W1167" i="1"/>
  <c r="V1167" i="1"/>
  <c r="U1167" i="1"/>
  <c r="T1167" i="1"/>
  <c r="S1167" i="1"/>
  <c r="R1167" i="1"/>
  <c r="P1167" i="1"/>
  <c r="O1167" i="1"/>
  <c r="N1167" i="1"/>
  <c r="Q1167" i="1" s="1"/>
  <c r="M1167" i="1"/>
  <c r="L1167" i="1"/>
  <c r="X1166" i="1"/>
  <c r="W1166" i="1"/>
  <c r="V1166" i="1"/>
  <c r="U1166" i="1"/>
  <c r="T1166" i="1"/>
  <c r="S1166" i="1"/>
  <c r="R1166" i="1"/>
  <c r="P1166" i="1"/>
  <c r="O1166" i="1"/>
  <c r="Q1166" i="1" s="1"/>
  <c r="N1166" i="1"/>
  <c r="M1166" i="1"/>
  <c r="L1166" i="1"/>
  <c r="X1165" i="1"/>
  <c r="W1165" i="1"/>
  <c r="V1165" i="1"/>
  <c r="T1165" i="1"/>
  <c r="U1165" i="1" s="1"/>
  <c r="S1165" i="1"/>
  <c r="R1165" i="1"/>
  <c r="Q1165" i="1"/>
  <c r="P1165" i="1"/>
  <c r="O1165" i="1"/>
  <c r="N1165" i="1"/>
  <c r="M1165" i="1"/>
  <c r="L1165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X1163" i="1"/>
  <c r="W1163" i="1"/>
  <c r="V1163" i="1"/>
  <c r="U1163" i="1"/>
  <c r="T1163" i="1"/>
  <c r="S1163" i="1"/>
  <c r="R1163" i="1"/>
  <c r="P1163" i="1"/>
  <c r="O1163" i="1"/>
  <c r="N1163" i="1"/>
  <c r="Q1163" i="1" s="1"/>
  <c r="M1163" i="1"/>
  <c r="L1163" i="1"/>
  <c r="X1162" i="1"/>
  <c r="W1162" i="1"/>
  <c r="V1162" i="1"/>
  <c r="T1162" i="1"/>
  <c r="U1162" i="1" s="1"/>
  <c r="S1162" i="1"/>
  <c r="R1162" i="1"/>
  <c r="P1162" i="1"/>
  <c r="O1162" i="1"/>
  <c r="Q1162" i="1" s="1"/>
  <c r="N1162" i="1"/>
  <c r="M1162" i="1"/>
  <c r="L1162" i="1"/>
  <c r="X1161" i="1"/>
  <c r="W1161" i="1"/>
  <c r="V1161" i="1"/>
  <c r="U1161" i="1"/>
  <c r="T1161" i="1"/>
  <c r="S1161" i="1"/>
  <c r="R1161" i="1"/>
  <c r="P1161" i="1"/>
  <c r="Q1161" i="1" s="1"/>
  <c r="O1161" i="1"/>
  <c r="N1161" i="1"/>
  <c r="M1161" i="1"/>
  <c r="L1161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X1159" i="1"/>
  <c r="W1159" i="1"/>
  <c r="V1159" i="1"/>
  <c r="U1159" i="1"/>
  <c r="T1159" i="1"/>
  <c r="S1159" i="1"/>
  <c r="R1159" i="1"/>
  <c r="P1159" i="1"/>
  <c r="O1159" i="1"/>
  <c r="N1159" i="1"/>
  <c r="Q1159" i="1" s="1"/>
  <c r="M1159" i="1"/>
  <c r="L1159" i="1"/>
  <c r="X1158" i="1"/>
  <c r="W1158" i="1"/>
  <c r="V1158" i="1"/>
  <c r="U1158" i="1"/>
  <c r="T1158" i="1"/>
  <c r="S1158" i="1"/>
  <c r="R1158" i="1"/>
  <c r="P1158" i="1"/>
  <c r="O1158" i="1"/>
  <c r="N1158" i="1"/>
  <c r="Q1158" i="1" s="1"/>
  <c r="M1158" i="1"/>
  <c r="L1158" i="1"/>
  <c r="X1157" i="1"/>
  <c r="W1157" i="1"/>
  <c r="V1157" i="1"/>
  <c r="U1157" i="1"/>
  <c r="T1157" i="1"/>
  <c r="S1157" i="1"/>
  <c r="R1157" i="1"/>
  <c r="P1157" i="1"/>
  <c r="O1157" i="1"/>
  <c r="N1157" i="1"/>
  <c r="Q1157" i="1" s="1"/>
  <c r="M1157" i="1"/>
  <c r="L1157" i="1"/>
  <c r="X1156" i="1"/>
  <c r="W1156" i="1"/>
  <c r="V1156" i="1"/>
  <c r="U1156" i="1"/>
  <c r="T1156" i="1"/>
  <c r="S1156" i="1"/>
  <c r="R1156" i="1"/>
  <c r="P1156" i="1"/>
  <c r="O1156" i="1"/>
  <c r="N1156" i="1"/>
  <c r="Q1156" i="1" s="1"/>
  <c r="M1156" i="1"/>
  <c r="L1156" i="1"/>
  <c r="X1155" i="1"/>
  <c r="W1155" i="1"/>
  <c r="V1155" i="1"/>
  <c r="T1155" i="1"/>
  <c r="U1155" i="1" s="1"/>
  <c r="S1155" i="1"/>
  <c r="R1155" i="1"/>
  <c r="P1155" i="1"/>
  <c r="O1155" i="1"/>
  <c r="N1155" i="1"/>
  <c r="Q1155" i="1" s="1"/>
  <c r="M1155" i="1"/>
  <c r="L1155" i="1"/>
  <c r="X1154" i="1"/>
  <c r="W1154" i="1"/>
  <c r="V1154" i="1"/>
  <c r="U1154" i="1"/>
  <c r="T1154" i="1"/>
  <c r="S1154" i="1"/>
  <c r="R1154" i="1"/>
  <c r="P1154" i="1"/>
  <c r="O1154" i="1"/>
  <c r="Q1154" i="1" s="1"/>
  <c r="N1154" i="1"/>
  <c r="M1154" i="1"/>
  <c r="L1154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X1151" i="1"/>
  <c r="W1151" i="1"/>
  <c r="V1151" i="1"/>
  <c r="U1151" i="1"/>
  <c r="T1151" i="1"/>
  <c r="S1151" i="1"/>
  <c r="R1151" i="1"/>
  <c r="P1151" i="1"/>
  <c r="O1151" i="1"/>
  <c r="N1151" i="1"/>
  <c r="Q1151" i="1" s="1"/>
  <c r="M1151" i="1"/>
  <c r="L1151" i="1"/>
  <c r="X1150" i="1"/>
  <c r="W1150" i="1"/>
  <c r="V1150" i="1"/>
  <c r="T1150" i="1"/>
  <c r="U1150" i="1" s="1"/>
  <c r="S1150" i="1"/>
  <c r="R1150" i="1"/>
  <c r="P1150" i="1"/>
  <c r="O1150" i="1"/>
  <c r="Q1150" i="1" s="1"/>
  <c r="N1150" i="1"/>
  <c r="M1150" i="1"/>
  <c r="L1150" i="1"/>
  <c r="X1149" i="1"/>
  <c r="W1149" i="1"/>
  <c r="V1149" i="1"/>
  <c r="U1149" i="1"/>
  <c r="T1149" i="1"/>
  <c r="S1149" i="1"/>
  <c r="R1149" i="1"/>
  <c r="P1149" i="1"/>
  <c r="Q1149" i="1" s="1"/>
  <c r="O1149" i="1"/>
  <c r="N1149" i="1"/>
  <c r="M1149" i="1"/>
  <c r="L1149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X1147" i="1"/>
  <c r="W1147" i="1"/>
  <c r="V1147" i="1"/>
  <c r="T1147" i="1"/>
  <c r="U1147" i="1" s="1"/>
  <c r="S1147" i="1"/>
  <c r="R1147" i="1"/>
  <c r="P1147" i="1"/>
  <c r="O1147" i="1"/>
  <c r="N1147" i="1"/>
  <c r="Q1147" i="1" s="1"/>
  <c r="M1147" i="1"/>
  <c r="L1147" i="1"/>
  <c r="X1146" i="1"/>
  <c r="W1146" i="1"/>
  <c r="V1146" i="1"/>
  <c r="U1146" i="1"/>
  <c r="T1146" i="1"/>
  <c r="S1146" i="1"/>
  <c r="R1146" i="1"/>
  <c r="P1146" i="1"/>
  <c r="O1146" i="1"/>
  <c r="N1146" i="1"/>
  <c r="Q1146" i="1" s="1"/>
  <c r="M1146" i="1"/>
  <c r="L1146" i="1"/>
  <c r="X1145" i="1"/>
  <c r="W1145" i="1"/>
  <c r="V1145" i="1"/>
  <c r="U1145" i="1"/>
  <c r="T1145" i="1"/>
  <c r="S1145" i="1"/>
  <c r="R1145" i="1"/>
  <c r="P1145" i="1"/>
  <c r="O1145" i="1"/>
  <c r="N1145" i="1"/>
  <c r="Q1145" i="1" s="1"/>
  <c r="M1145" i="1"/>
  <c r="L1145" i="1"/>
  <c r="X1144" i="1"/>
  <c r="W1144" i="1"/>
  <c r="V1144" i="1"/>
  <c r="U1144" i="1"/>
  <c r="T1144" i="1"/>
  <c r="S1144" i="1"/>
  <c r="R1144" i="1"/>
  <c r="P1144" i="1"/>
  <c r="O1144" i="1"/>
  <c r="N1144" i="1"/>
  <c r="Q1144" i="1" s="1"/>
  <c r="M1144" i="1"/>
  <c r="L1144" i="1"/>
  <c r="X1143" i="1"/>
  <c r="W1143" i="1"/>
  <c r="V1143" i="1"/>
  <c r="U1143" i="1"/>
  <c r="T1143" i="1"/>
  <c r="S1143" i="1"/>
  <c r="R1143" i="1"/>
  <c r="P1143" i="1"/>
  <c r="O1143" i="1"/>
  <c r="N1143" i="1"/>
  <c r="Q1143" i="1" s="1"/>
  <c r="M1143" i="1"/>
  <c r="L1143" i="1"/>
  <c r="X1142" i="1"/>
  <c r="W1142" i="1"/>
  <c r="V1142" i="1"/>
  <c r="U1142" i="1"/>
  <c r="T1142" i="1"/>
  <c r="S1142" i="1"/>
  <c r="R1142" i="1"/>
  <c r="P1142" i="1"/>
  <c r="O1142" i="1"/>
  <c r="Q1142" i="1" s="1"/>
  <c r="N1142" i="1"/>
  <c r="M1142" i="1"/>
  <c r="L1142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X1139" i="1"/>
  <c r="W1139" i="1"/>
  <c r="V1139" i="1"/>
  <c r="T1139" i="1"/>
  <c r="U1139" i="1" s="1"/>
  <c r="S1139" i="1"/>
  <c r="R1139" i="1"/>
  <c r="P1139" i="1"/>
  <c r="O1139" i="1"/>
  <c r="N1139" i="1"/>
  <c r="Q1139" i="1" s="1"/>
  <c r="M1139" i="1"/>
  <c r="L1139" i="1"/>
  <c r="X1138" i="1"/>
  <c r="W1138" i="1"/>
  <c r="V1138" i="1"/>
  <c r="U1138" i="1"/>
  <c r="T1138" i="1"/>
  <c r="S1138" i="1"/>
  <c r="R1138" i="1"/>
  <c r="P1138" i="1"/>
  <c r="O1138" i="1"/>
  <c r="Q1138" i="1" s="1"/>
  <c r="N1138" i="1"/>
  <c r="M1138" i="1"/>
  <c r="L1138" i="1"/>
  <c r="X1137" i="1"/>
  <c r="W1137" i="1"/>
  <c r="V1137" i="1"/>
  <c r="U1137" i="1"/>
  <c r="T1137" i="1"/>
  <c r="S1137" i="1"/>
  <c r="R1137" i="1"/>
  <c r="P1137" i="1"/>
  <c r="Q1137" i="1" s="1"/>
  <c r="O1137" i="1"/>
  <c r="N1137" i="1"/>
  <c r="M1137" i="1"/>
  <c r="L1137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X1135" i="1"/>
  <c r="W1135" i="1"/>
  <c r="V1135" i="1"/>
  <c r="T1135" i="1"/>
  <c r="U1135" i="1" s="1"/>
  <c r="S1135" i="1"/>
  <c r="R1135" i="1"/>
  <c r="P1135" i="1"/>
  <c r="O1135" i="1"/>
  <c r="N1135" i="1"/>
  <c r="Q1135" i="1" s="1"/>
  <c r="M1135" i="1"/>
  <c r="L1135" i="1"/>
  <c r="X1134" i="1"/>
  <c r="W1134" i="1"/>
  <c r="V1134" i="1"/>
  <c r="T1134" i="1"/>
  <c r="U1134" i="1" s="1"/>
  <c r="S1134" i="1"/>
  <c r="R1134" i="1"/>
  <c r="P1134" i="1"/>
  <c r="O1134" i="1"/>
  <c r="N1134" i="1"/>
  <c r="Q1134" i="1" s="1"/>
  <c r="M1134" i="1"/>
  <c r="L1134" i="1"/>
  <c r="X1133" i="1"/>
  <c r="W1133" i="1"/>
  <c r="V1133" i="1"/>
  <c r="T1133" i="1"/>
  <c r="U1133" i="1" s="1"/>
  <c r="S1133" i="1"/>
  <c r="R1133" i="1"/>
  <c r="P1133" i="1"/>
  <c r="O1133" i="1"/>
  <c r="N1133" i="1"/>
  <c r="Q1133" i="1" s="1"/>
  <c r="M1133" i="1"/>
  <c r="L1133" i="1"/>
  <c r="X1132" i="1"/>
  <c r="W1132" i="1"/>
  <c r="V1132" i="1"/>
  <c r="U1132" i="1"/>
  <c r="T1132" i="1"/>
  <c r="S1132" i="1"/>
  <c r="R1132" i="1"/>
  <c r="P1132" i="1"/>
  <c r="O1132" i="1"/>
  <c r="N1132" i="1"/>
  <c r="Q1132" i="1" s="1"/>
  <c r="M1132" i="1"/>
  <c r="L1132" i="1"/>
  <c r="X1131" i="1"/>
  <c r="W1131" i="1"/>
  <c r="V1131" i="1"/>
  <c r="U1131" i="1"/>
  <c r="T1131" i="1"/>
  <c r="S1131" i="1"/>
  <c r="R1131" i="1"/>
  <c r="P1131" i="1"/>
  <c r="O1131" i="1"/>
  <c r="N1131" i="1"/>
  <c r="Q1131" i="1" s="1"/>
  <c r="M1131" i="1"/>
  <c r="L1131" i="1"/>
  <c r="X1130" i="1"/>
  <c r="W1130" i="1"/>
  <c r="V1130" i="1"/>
  <c r="U1130" i="1"/>
  <c r="T1130" i="1"/>
  <c r="S1130" i="1"/>
  <c r="R1130" i="1"/>
  <c r="P1130" i="1"/>
  <c r="O1130" i="1"/>
  <c r="Q1130" i="1" s="1"/>
  <c r="N1130" i="1"/>
  <c r="M1130" i="1"/>
  <c r="L1130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X1127" i="1"/>
  <c r="W1127" i="1"/>
  <c r="V1127" i="1"/>
  <c r="U1127" i="1"/>
  <c r="T1127" i="1"/>
  <c r="S1127" i="1"/>
  <c r="R1127" i="1"/>
  <c r="P1127" i="1"/>
  <c r="O1127" i="1"/>
  <c r="N1127" i="1"/>
  <c r="Q1127" i="1" s="1"/>
  <c r="M1127" i="1"/>
  <c r="L1127" i="1"/>
  <c r="X1126" i="1"/>
  <c r="W1126" i="1"/>
  <c r="V1126" i="1"/>
  <c r="U1126" i="1"/>
  <c r="T1126" i="1"/>
  <c r="S1126" i="1"/>
  <c r="R1126" i="1"/>
  <c r="P1126" i="1"/>
  <c r="O1126" i="1"/>
  <c r="Q1126" i="1" s="1"/>
  <c r="N1126" i="1"/>
  <c r="M1126" i="1"/>
  <c r="L1126" i="1"/>
  <c r="X1125" i="1"/>
  <c r="W1125" i="1"/>
  <c r="V1125" i="1"/>
  <c r="U1125" i="1"/>
  <c r="T1125" i="1"/>
  <c r="S1125" i="1"/>
  <c r="R1125" i="1"/>
  <c r="P1125" i="1"/>
  <c r="Q1125" i="1" s="1"/>
  <c r="O1125" i="1"/>
  <c r="N1125" i="1"/>
  <c r="M1125" i="1"/>
  <c r="L1125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X1123" i="1"/>
  <c r="W1123" i="1"/>
  <c r="V1123" i="1"/>
  <c r="U1123" i="1"/>
  <c r="T1123" i="1"/>
  <c r="S1123" i="1"/>
  <c r="R1123" i="1"/>
  <c r="P1123" i="1"/>
  <c r="O1123" i="1"/>
  <c r="N1123" i="1"/>
  <c r="Q1123" i="1" s="1"/>
  <c r="M1123" i="1"/>
  <c r="L1123" i="1"/>
  <c r="X1122" i="1"/>
  <c r="W1122" i="1"/>
  <c r="V1122" i="1"/>
  <c r="U1122" i="1"/>
  <c r="T1122" i="1"/>
  <c r="S1122" i="1"/>
  <c r="R1122" i="1"/>
  <c r="P1122" i="1"/>
  <c r="O1122" i="1"/>
  <c r="N1122" i="1"/>
  <c r="Q1122" i="1" s="1"/>
  <c r="M1122" i="1"/>
  <c r="L1122" i="1"/>
  <c r="X1121" i="1"/>
  <c r="W1121" i="1"/>
  <c r="V1121" i="1"/>
  <c r="U1121" i="1"/>
  <c r="T1121" i="1"/>
  <c r="S1121" i="1"/>
  <c r="R1121" i="1"/>
  <c r="P1121" i="1"/>
  <c r="O1121" i="1"/>
  <c r="N1121" i="1"/>
  <c r="Q1121" i="1" s="1"/>
  <c r="M1121" i="1"/>
  <c r="L1121" i="1"/>
  <c r="X1120" i="1"/>
  <c r="W1120" i="1"/>
  <c r="V1120" i="1"/>
  <c r="U1120" i="1"/>
  <c r="T1120" i="1"/>
  <c r="S1120" i="1"/>
  <c r="R1120" i="1"/>
  <c r="P1120" i="1"/>
  <c r="O1120" i="1"/>
  <c r="N1120" i="1"/>
  <c r="Q1120" i="1" s="1"/>
  <c r="M1120" i="1"/>
  <c r="L1120" i="1"/>
  <c r="X1119" i="1"/>
  <c r="W1119" i="1"/>
  <c r="V1119" i="1"/>
  <c r="U1119" i="1"/>
  <c r="T1119" i="1"/>
  <c r="S1119" i="1"/>
  <c r="R1119" i="1"/>
  <c r="P1119" i="1"/>
  <c r="O1119" i="1"/>
  <c r="N1119" i="1"/>
  <c r="Q1119" i="1" s="1"/>
  <c r="M1119" i="1"/>
  <c r="L1119" i="1"/>
  <c r="X1118" i="1"/>
  <c r="W1118" i="1"/>
  <c r="V1118" i="1"/>
  <c r="U1118" i="1"/>
  <c r="T1118" i="1"/>
  <c r="S1118" i="1"/>
  <c r="R1118" i="1"/>
  <c r="P1118" i="1"/>
  <c r="O1118" i="1"/>
  <c r="Q1118" i="1" s="1"/>
  <c r="N1118" i="1"/>
  <c r="M1118" i="1"/>
  <c r="L1118" i="1"/>
  <c r="X1117" i="1"/>
  <c r="W1117" i="1"/>
  <c r="V1117" i="1"/>
  <c r="T1117" i="1"/>
  <c r="U1117" i="1" s="1"/>
  <c r="S1117" i="1"/>
  <c r="R1117" i="1"/>
  <c r="Q1117" i="1"/>
  <c r="P1117" i="1"/>
  <c r="O1117" i="1"/>
  <c r="N1117" i="1"/>
  <c r="M1117" i="1"/>
  <c r="L1117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X1115" i="1"/>
  <c r="W1115" i="1"/>
  <c r="V1115" i="1"/>
  <c r="U1115" i="1"/>
  <c r="T1115" i="1"/>
  <c r="S1115" i="1"/>
  <c r="R1115" i="1"/>
  <c r="P1115" i="1"/>
  <c r="O1115" i="1"/>
  <c r="N1115" i="1"/>
  <c r="Q1115" i="1" s="1"/>
  <c r="M1115" i="1"/>
  <c r="L1115" i="1"/>
  <c r="X1114" i="1"/>
  <c r="W1114" i="1"/>
  <c r="V1114" i="1"/>
  <c r="U1114" i="1"/>
  <c r="T1114" i="1"/>
  <c r="S1114" i="1"/>
  <c r="R1114" i="1"/>
  <c r="P1114" i="1"/>
  <c r="O1114" i="1"/>
  <c r="Q1114" i="1" s="1"/>
  <c r="N1114" i="1"/>
  <c r="M1114" i="1"/>
  <c r="L1114" i="1"/>
  <c r="X1113" i="1"/>
  <c r="W1113" i="1"/>
  <c r="V1113" i="1"/>
  <c r="U1113" i="1"/>
  <c r="T1113" i="1"/>
  <c r="S1113" i="1"/>
  <c r="R1113" i="1"/>
  <c r="P1113" i="1"/>
  <c r="Q1113" i="1" s="1"/>
  <c r="O1113" i="1"/>
  <c r="N1113" i="1"/>
  <c r="M1113" i="1"/>
  <c r="L1113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X1111" i="1"/>
  <c r="W1111" i="1"/>
  <c r="V1111" i="1"/>
  <c r="U1111" i="1"/>
  <c r="T1111" i="1"/>
  <c r="S1111" i="1"/>
  <c r="R1111" i="1"/>
  <c r="P1111" i="1"/>
  <c r="O1111" i="1"/>
  <c r="N1111" i="1"/>
  <c r="Q1111" i="1" s="1"/>
  <c r="M1111" i="1"/>
  <c r="L1111" i="1"/>
  <c r="X1110" i="1"/>
  <c r="W1110" i="1"/>
  <c r="V1110" i="1"/>
  <c r="U1110" i="1"/>
  <c r="T1110" i="1"/>
  <c r="S1110" i="1"/>
  <c r="R1110" i="1"/>
  <c r="P1110" i="1"/>
  <c r="O1110" i="1"/>
  <c r="N1110" i="1"/>
  <c r="Q1110" i="1" s="1"/>
  <c r="M1110" i="1"/>
  <c r="L1110" i="1"/>
  <c r="X1109" i="1"/>
  <c r="W1109" i="1"/>
  <c r="V1109" i="1"/>
  <c r="U1109" i="1"/>
  <c r="T1109" i="1"/>
  <c r="S1109" i="1"/>
  <c r="R1109" i="1"/>
  <c r="P1109" i="1"/>
  <c r="O1109" i="1"/>
  <c r="N1109" i="1"/>
  <c r="Q1109" i="1" s="1"/>
  <c r="M1109" i="1"/>
  <c r="L1109" i="1"/>
  <c r="X1108" i="1"/>
  <c r="W1108" i="1"/>
  <c r="V1108" i="1"/>
  <c r="U1108" i="1"/>
  <c r="T1108" i="1"/>
  <c r="S1108" i="1"/>
  <c r="R1108" i="1"/>
  <c r="P1108" i="1"/>
  <c r="O1108" i="1"/>
  <c r="N1108" i="1"/>
  <c r="Q1108" i="1" s="1"/>
  <c r="M1108" i="1"/>
  <c r="L1108" i="1"/>
  <c r="X1107" i="1"/>
  <c r="W1107" i="1"/>
  <c r="V1107" i="1"/>
  <c r="U1107" i="1"/>
  <c r="T1107" i="1"/>
  <c r="S1107" i="1"/>
  <c r="R1107" i="1"/>
  <c r="P1107" i="1"/>
  <c r="O1107" i="1"/>
  <c r="N1107" i="1"/>
  <c r="Q1107" i="1" s="1"/>
  <c r="M1107" i="1"/>
  <c r="L1107" i="1"/>
  <c r="X1106" i="1"/>
  <c r="W1106" i="1"/>
  <c r="V1106" i="1"/>
  <c r="T1106" i="1"/>
  <c r="U1106" i="1" s="1"/>
  <c r="S1106" i="1"/>
  <c r="R1106" i="1"/>
  <c r="P1106" i="1"/>
  <c r="O1106" i="1"/>
  <c r="Q1106" i="1" s="1"/>
  <c r="N1106" i="1"/>
  <c r="M1106" i="1"/>
  <c r="L1106" i="1"/>
  <c r="X1105" i="1"/>
  <c r="W1105" i="1"/>
  <c r="V1105" i="1"/>
  <c r="T1105" i="1"/>
  <c r="U1105" i="1" s="1"/>
  <c r="S1105" i="1"/>
  <c r="R1105" i="1"/>
  <c r="Q1105" i="1"/>
  <c r="P1105" i="1"/>
  <c r="O1105" i="1"/>
  <c r="N1105" i="1"/>
  <c r="M1105" i="1"/>
  <c r="L1105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X1103" i="1"/>
  <c r="W1103" i="1"/>
  <c r="V1103" i="1"/>
  <c r="U1103" i="1"/>
  <c r="T1103" i="1"/>
  <c r="S1103" i="1"/>
  <c r="R1103" i="1"/>
  <c r="P1103" i="1"/>
  <c r="O1103" i="1"/>
  <c r="N1103" i="1"/>
  <c r="Q1103" i="1" s="1"/>
  <c r="M1103" i="1"/>
  <c r="L1103" i="1"/>
  <c r="X1102" i="1"/>
  <c r="W1102" i="1"/>
  <c r="V1102" i="1"/>
  <c r="U1102" i="1"/>
  <c r="T1102" i="1"/>
  <c r="S1102" i="1"/>
  <c r="R1102" i="1"/>
  <c r="P1102" i="1"/>
  <c r="O1102" i="1"/>
  <c r="Q1102" i="1" s="1"/>
  <c r="N1102" i="1"/>
  <c r="M1102" i="1"/>
  <c r="L1102" i="1"/>
  <c r="X1101" i="1"/>
  <c r="W1101" i="1"/>
  <c r="V1101" i="1"/>
  <c r="U1101" i="1"/>
  <c r="T1101" i="1"/>
  <c r="S1101" i="1"/>
  <c r="R1101" i="1"/>
  <c r="P1101" i="1"/>
  <c r="Q1101" i="1" s="1"/>
  <c r="O1101" i="1"/>
  <c r="N1101" i="1"/>
  <c r="M1101" i="1"/>
  <c r="L1101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X1099" i="1"/>
  <c r="W1099" i="1"/>
  <c r="V1099" i="1"/>
  <c r="U1099" i="1"/>
  <c r="T1099" i="1"/>
  <c r="S1099" i="1"/>
  <c r="R1099" i="1"/>
  <c r="P1099" i="1"/>
  <c r="O1099" i="1"/>
  <c r="N1099" i="1"/>
  <c r="Q1099" i="1" s="1"/>
  <c r="M1099" i="1"/>
  <c r="L1099" i="1"/>
  <c r="X1098" i="1"/>
  <c r="W1098" i="1"/>
  <c r="V1098" i="1"/>
  <c r="U1098" i="1"/>
  <c r="T1098" i="1"/>
  <c r="S1098" i="1"/>
  <c r="R1098" i="1"/>
  <c r="P1098" i="1"/>
  <c r="O1098" i="1"/>
  <c r="N1098" i="1"/>
  <c r="Q1098" i="1" s="1"/>
  <c r="M1098" i="1"/>
  <c r="L1098" i="1"/>
  <c r="X1097" i="1"/>
  <c r="W1097" i="1"/>
  <c r="V1097" i="1"/>
  <c r="U1097" i="1"/>
  <c r="T1097" i="1"/>
  <c r="S1097" i="1"/>
  <c r="R1097" i="1"/>
  <c r="P1097" i="1"/>
  <c r="O1097" i="1"/>
  <c r="N1097" i="1"/>
  <c r="Q1097" i="1" s="1"/>
  <c r="M1097" i="1"/>
  <c r="L1097" i="1"/>
  <c r="X1096" i="1"/>
  <c r="W1096" i="1"/>
  <c r="V1096" i="1"/>
  <c r="U1096" i="1"/>
  <c r="T1096" i="1"/>
  <c r="S1096" i="1"/>
  <c r="R1096" i="1"/>
  <c r="P1096" i="1"/>
  <c r="O1096" i="1"/>
  <c r="N1096" i="1"/>
  <c r="Q1096" i="1" s="1"/>
  <c r="M1096" i="1"/>
  <c r="L1096" i="1"/>
  <c r="X1095" i="1"/>
  <c r="W1095" i="1"/>
  <c r="V1095" i="1"/>
  <c r="U1095" i="1"/>
  <c r="T1095" i="1"/>
  <c r="S1095" i="1"/>
  <c r="R1095" i="1"/>
  <c r="P1095" i="1"/>
  <c r="O1095" i="1"/>
  <c r="N1095" i="1"/>
  <c r="Q1095" i="1" s="1"/>
  <c r="M1095" i="1"/>
  <c r="L1095" i="1"/>
  <c r="X1094" i="1"/>
  <c r="W1094" i="1"/>
  <c r="V1094" i="1"/>
  <c r="T1094" i="1"/>
  <c r="U1094" i="1" s="1"/>
  <c r="S1094" i="1"/>
  <c r="R1094" i="1"/>
  <c r="P1094" i="1"/>
  <c r="O1094" i="1"/>
  <c r="Q1094" i="1" s="1"/>
  <c r="N1094" i="1"/>
  <c r="M1094" i="1"/>
  <c r="L1094" i="1"/>
  <c r="X1093" i="1"/>
  <c r="W1093" i="1"/>
  <c r="V1093" i="1"/>
  <c r="T1093" i="1"/>
  <c r="U1093" i="1" s="1"/>
  <c r="S1093" i="1"/>
  <c r="R1093" i="1"/>
  <c r="Q1093" i="1"/>
  <c r="P1093" i="1"/>
  <c r="O1093" i="1"/>
  <c r="N1093" i="1"/>
  <c r="M1093" i="1"/>
  <c r="L1093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X1091" i="1"/>
  <c r="W1091" i="1"/>
  <c r="V1091" i="1"/>
  <c r="T1091" i="1"/>
  <c r="U1091" i="1" s="1"/>
  <c r="S1091" i="1"/>
  <c r="R1091" i="1"/>
  <c r="P1091" i="1"/>
  <c r="O1091" i="1"/>
  <c r="N1091" i="1"/>
  <c r="Q1091" i="1" s="1"/>
  <c r="M1091" i="1"/>
  <c r="L1091" i="1"/>
  <c r="X1090" i="1"/>
  <c r="W1090" i="1"/>
  <c r="V1090" i="1"/>
  <c r="U1090" i="1"/>
  <c r="T1090" i="1"/>
  <c r="S1090" i="1"/>
  <c r="R1090" i="1"/>
  <c r="P1090" i="1"/>
  <c r="O1090" i="1"/>
  <c r="Q1090" i="1" s="1"/>
  <c r="N1090" i="1"/>
  <c r="M1090" i="1"/>
  <c r="L1090" i="1"/>
  <c r="X1089" i="1"/>
  <c r="W1089" i="1"/>
  <c r="V1089" i="1"/>
  <c r="U1089" i="1"/>
  <c r="T1089" i="1"/>
  <c r="S1089" i="1"/>
  <c r="R1089" i="1"/>
  <c r="P1089" i="1"/>
  <c r="Q1089" i="1" s="1"/>
  <c r="O1089" i="1"/>
  <c r="N1089" i="1"/>
  <c r="M1089" i="1"/>
  <c r="L1089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X1087" i="1"/>
  <c r="W1087" i="1"/>
  <c r="V1087" i="1"/>
  <c r="U1087" i="1"/>
  <c r="T1087" i="1"/>
  <c r="S1087" i="1"/>
  <c r="R1087" i="1"/>
  <c r="P1087" i="1"/>
  <c r="O1087" i="1"/>
  <c r="N1087" i="1"/>
  <c r="Q1087" i="1" s="1"/>
  <c r="M1087" i="1"/>
  <c r="L1087" i="1"/>
  <c r="X1086" i="1"/>
  <c r="W1086" i="1"/>
  <c r="V1086" i="1"/>
  <c r="U1086" i="1"/>
  <c r="T1086" i="1"/>
  <c r="S1086" i="1"/>
  <c r="R1086" i="1"/>
  <c r="P1086" i="1"/>
  <c r="O1086" i="1"/>
  <c r="N1086" i="1"/>
  <c r="Q1086" i="1" s="1"/>
  <c r="M1086" i="1"/>
  <c r="L1086" i="1"/>
  <c r="X1085" i="1"/>
  <c r="W1085" i="1"/>
  <c r="V1085" i="1"/>
  <c r="U1085" i="1"/>
  <c r="T1085" i="1"/>
  <c r="S1085" i="1"/>
  <c r="R1085" i="1"/>
  <c r="P1085" i="1"/>
  <c r="O1085" i="1"/>
  <c r="N1085" i="1"/>
  <c r="Q1085" i="1" s="1"/>
  <c r="M1085" i="1"/>
  <c r="L1085" i="1"/>
  <c r="X1084" i="1"/>
  <c r="W1084" i="1"/>
  <c r="V1084" i="1"/>
  <c r="U1084" i="1"/>
  <c r="T1084" i="1"/>
  <c r="S1084" i="1"/>
  <c r="R1084" i="1"/>
  <c r="P1084" i="1"/>
  <c r="O1084" i="1"/>
  <c r="N1084" i="1"/>
  <c r="Q1084" i="1" s="1"/>
  <c r="M1084" i="1"/>
  <c r="L1084" i="1"/>
  <c r="X1083" i="1"/>
  <c r="W1083" i="1"/>
  <c r="V1083" i="1"/>
  <c r="U1083" i="1"/>
  <c r="T1083" i="1"/>
  <c r="S1083" i="1"/>
  <c r="R1083" i="1"/>
  <c r="P1083" i="1"/>
  <c r="O1083" i="1"/>
  <c r="N1083" i="1"/>
  <c r="Q1083" i="1" s="1"/>
  <c r="M1083" i="1"/>
  <c r="L1083" i="1"/>
  <c r="X1082" i="1"/>
  <c r="W1082" i="1"/>
  <c r="V1082" i="1"/>
  <c r="U1082" i="1"/>
  <c r="T1082" i="1"/>
  <c r="S1082" i="1"/>
  <c r="R1082" i="1"/>
  <c r="P1082" i="1"/>
  <c r="O1082" i="1"/>
  <c r="Q1082" i="1" s="1"/>
  <c r="N1082" i="1"/>
  <c r="M1082" i="1"/>
  <c r="L1082" i="1"/>
  <c r="X1081" i="1"/>
  <c r="W1081" i="1"/>
  <c r="V1081" i="1"/>
  <c r="T1081" i="1"/>
  <c r="U1081" i="1" s="1"/>
  <c r="S1081" i="1"/>
  <c r="R1081" i="1"/>
  <c r="Q1081" i="1"/>
  <c r="P1081" i="1"/>
  <c r="O1081" i="1"/>
  <c r="N1081" i="1"/>
  <c r="M1081" i="1"/>
  <c r="L1081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X1079" i="1"/>
  <c r="W1079" i="1"/>
  <c r="V1079" i="1"/>
  <c r="U1079" i="1"/>
  <c r="T1079" i="1"/>
  <c r="S1079" i="1"/>
  <c r="R1079" i="1"/>
  <c r="P1079" i="1"/>
  <c r="O1079" i="1"/>
  <c r="N1079" i="1"/>
  <c r="Q1079" i="1" s="1"/>
  <c r="M1079" i="1"/>
  <c r="L1079" i="1"/>
  <c r="X1078" i="1"/>
  <c r="W1078" i="1"/>
  <c r="V1078" i="1"/>
  <c r="U1078" i="1"/>
  <c r="T1078" i="1"/>
  <c r="S1078" i="1"/>
  <c r="R1078" i="1"/>
  <c r="P1078" i="1"/>
  <c r="O1078" i="1"/>
  <c r="Q1078" i="1" s="1"/>
  <c r="N1078" i="1"/>
  <c r="M1078" i="1"/>
  <c r="L1078" i="1"/>
  <c r="X1077" i="1"/>
  <c r="W1077" i="1"/>
  <c r="V1077" i="1"/>
  <c r="U1077" i="1"/>
  <c r="T1077" i="1"/>
  <c r="S1077" i="1"/>
  <c r="R1077" i="1"/>
  <c r="P1077" i="1"/>
  <c r="Q1077" i="1" s="1"/>
  <c r="O1077" i="1"/>
  <c r="N1077" i="1"/>
  <c r="M1077" i="1"/>
  <c r="L1077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X1075" i="1"/>
  <c r="W1075" i="1"/>
  <c r="V1075" i="1"/>
  <c r="U1075" i="1"/>
  <c r="T1075" i="1"/>
  <c r="S1075" i="1"/>
  <c r="R1075" i="1"/>
  <c r="P1075" i="1"/>
  <c r="O1075" i="1"/>
  <c r="N1075" i="1"/>
  <c r="Q1075" i="1" s="1"/>
  <c r="M1075" i="1"/>
  <c r="L1075" i="1"/>
  <c r="X1074" i="1"/>
  <c r="W1074" i="1"/>
  <c r="V1074" i="1"/>
  <c r="U1074" i="1"/>
  <c r="T1074" i="1"/>
  <c r="S1074" i="1"/>
  <c r="R1074" i="1"/>
  <c r="P1074" i="1"/>
  <c r="O1074" i="1"/>
  <c r="N1074" i="1"/>
  <c r="Q1074" i="1" s="1"/>
  <c r="M1074" i="1"/>
  <c r="L1074" i="1"/>
  <c r="X1073" i="1"/>
  <c r="W1073" i="1"/>
  <c r="V1073" i="1"/>
  <c r="T1073" i="1"/>
  <c r="U1073" i="1" s="1"/>
  <c r="S1073" i="1"/>
  <c r="R1073" i="1"/>
  <c r="P1073" i="1"/>
  <c r="O1073" i="1"/>
  <c r="N1073" i="1"/>
  <c r="Q1073" i="1" s="1"/>
  <c r="M1073" i="1"/>
  <c r="L1073" i="1"/>
  <c r="X1072" i="1"/>
  <c r="W1072" i="1"/>
  <c r="V1072" i="1"/>
  <c r="U1072" i="1"/>
  <c r="T1072" i="1"/>
  <c r="S1072" i="1"/>
  <c r="R1072" i="1"/>
  <c r="P1072" i="1"/>
  <c r="O1072" i="1"/>
  <c r="N1072" i="1"/>
  <c r="Q1072" i="1" s="1"/>
  <c r="M1072" i="1"/>
  <c r="L1072" i="1"/>
  <c r="X1071" i="1"/>
  <c r="W1071" i="1"/>
  <c r="V1071" i="1"/>
  <c r="U1071" i="1"/>
  <c r="T1071" i="1"/>
  <c r="S1071" i="1"/>
  <c r="R1071" i="1"/>
  <c r="P1071" i="1"/>
  <c r="O1071" i="1"/>
  <c r="N1071" i="1"/>
  <c r="Q1071" i="1" s="1"/>
  <c r="M1071" i="1"/>
  <c r="L1071" i="1"/>
  <c r="X1070" i="1"/>
  <c r="W1070" i="1"/>
  <c r="V1070" i="1"/>
  <c r="T1070" i="1"/>
  <c r="U1070" i="1" s="1"/>
  <c r="S1070" i="1"/>
  <c r="R1070" i="1"/>
  <c r="P1070" i="1"/>
  <c r="O1070" i="1"/>
  <c r="Q1070" i="1" s="1"/>
  <c r="N1070" i="1"/>
  <c r="M1070" i="1"/>
  <c r="L1070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X1067" i="1"/>
  <c r="W1067" i="1"/>
  <c r="V1067" i="1"/>
  <c r="U1067" i="1"/>
  <c r="T1067" i="1"/>
  <c r="S1067" i="1"/>
  <c r="R1067" i="1"/>
  <c r="P1067" i="1"/>
  <c r="O1067" i="1"/>
  <c r="N1067" i="1"/>
  <c r="Q1067" i="1" s="1"/>
  <c r="M1067" i="1"/>
  <c r="L1067" i="1"/>
  <c r="X1066" i="1"/>
  <c r="W1066" i="1"/>
  <c r="V1066" i="1"/>
  <c r="U1066" i="1"/>
  <c r="T1066" i="1"/>
  <c r="S1066" i="1"/>
  <c r="R1066" i="1"/>
  <c r="P1066" i="1"/>
  <c r="O1066" i="1"/>
  <c r="Q1066" i="1" s="1"/>
  <c r="N1066" i="1"/>
  <c r="M1066" i="1"/>
  <c r="L1066" i="1"/>
  <c r="X1065" i="1"/>
  <c r="W1065" i="1"/>
  <c r="V1065" i="1"/>
  <c r="U1065" i="1"/>
  <c r="T1065" i="1"/>
  <c r="S1065" i="1"/>
  <c r="R1065" i="1"/>
  <c r="P1065" i="1"/>
  <c r="Q1065" i="1" s="1"/>
  <c r="O1065" i="1"/>
  <c r="N1065" i="1"/>
  <c r="M1065" i="1"/>
  <c r="L1065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X1063" i="1"/>
  <c r="W1063" i="1"/>
  <c r="V1063" i="1"/>
  <c r="U1063" i="1"/>
  <c r="T1063" i="1"/>
  <c r="S1063" i="1"/>
  <c r="R1063" i="1"/>
  <c r="P1063" i="1"/>
  <c r="O1063" i="1"/>
  <c r="N1063" i="1"/>
  <c r="Q1063" i="1" s="1"/>
  <c r="M1063" i="1"/>
  <c r="L1063" i="1"/>
  <c r="X1062" i="1"/>
  <c r="W1062" i="1"/>
  <c r="V1062" i="1"/>
  <c r="T1062" i="1"/>
  <c r="U1062" i="1" s="1"/>
  <c r="S1062" i="1"/>
  <c r="R1062" i="1"/>
  <c r="P1062" i="1"/>
  <c r="O1062" i="1"/>
  <c r="N1062" i="1"/>
  <c r="Q1062" i="1" s="1"/>
  <c r="M1062" i="1"/>
  <c r="L1062" i="1"/>
  <c r="X1061" i="1"/>
  <c r="W1061" i="1"/>
  <c r="V1061" i="1"/>
  <c r="U1061" i="1"/>
  <c r="T1061" i="1"/>
  <c r="S1061" i="1"/>
  <c r="R1061" i="1"/>
  <c r="P1061" i="1"/>
  <c r="O1061" i="1"/>
  <c r="N1061" i="1"/>
  <c r="Q1061" i="1" s="1"/>
  <c r="M1061" i="1"/>
  <c r="L1061" i="1"/>
  <c r="X1060" i="1"/>
  <c r="W1060" i="1"/>
  <c r="V1060" i="1"/>
  <c r="U1060" i="1"/>
  <c r="T1060" i="1"/>
  <c r="S1060" i="1"/>
  <c r="R1060" i="1"/>
  <c r="P1060" i="1"/>
  <c r="O1060" i="1"/>
  <c r="N1060" i="1"/>
  <c r="Q1060" i="1" s="1"/>
  <c r="M1060" i="1"/>
  <c r="L1060" i="1"/>
  <c r="X1059" i="1"/>
  <c r="W1059" i="1"/>
  <c r="V1059" i="1"/>
  <c r="U1059" i="1"/>
  <c r="T1059" i="1"/>
  <c r="S1059" i="1"/>
  <c r="R1059" i="1"/>
  <c r="P1059" i="1"/>
  <c r="O1059" i="1"/>
  <c r="N1059" i="1"/>
  <c r="Q1059" i="1" s="1"/>
  <c r="M1059" i="1"/>
  <c r="L1059" i="1"/>
  <c r="X1058" i="1"/>
  <c r="W1058" i="1"/>
  <c r="V1058" i="1"/>
  <c r="U1058" i="1"/>
  <c r="T1058" i="1"/>
  <c r="S1058" i="1"/>
  <c r="R1058" i="1"/>
  <c r="P1058" i="1"/>
  <c r="O1058" i="1"/>
  <c r="Q1058" i="1" s="1"/>
  <c r="N1058" i="1"/>
  <c r="M1058" i="1"/>
  <c r="L1058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X1055" i="1"/>
  <c r="W1055" i="1"/>
  <c r="V1055" i="1"/>
  <c r="T1055" i="1"/>
  <c r="U1055" i="1" s="1"/>
  <c r="S1055" i="1"/>
  <c r="R1055" i="1"/>
  <c r="P1055" i="1"/>
  <c r="O1055" i="1"/>
  <c r="N1055" i="1"/>
  <c r="Q1055" i="1" s="1"/>
  <c r="M1055" i="1"/>
  <c r="L1055" i="1"/>
  <c r="X1054" i="1"/>
  <c r="W1054" i="1"/>
  <c r="V1054" i="1"/>
  <c r="U1054" i="1"/>
  <c r="T1054" i="1"/>
  <c r="S1054" i="1"/>
  <c r="R1054" i="1"/>
  <c r="P1054" i="1"/>
  <c r="O1054" i="1"/>
  <c r="Q1054" i="1" s="1"/>
  <c r="N1054" i="1"/>
  <c r="M1054" i="1"/>
  <c r="L1054" i="1"/>
  <c r="X1053" i="1"/>
  <c r="W1053" i="1"/>
  <c r="V1053" i="1"/>
  <c r="U1053" i="1"/>
  <c r="T1053" i="1"/>
  <c r="S1053" i="1"/>
  <c r="R1053" i="1"/>
  <c r="P1053" i="1"/>
  <c r="Q1053" i="1" s="1"/>
  <c r="O1053" i="1"/>
  <c r="N1053" i="1"/>
  <c r="M1053" i="1"/>
  <c r="L1053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X1051" i="1"/>
  <c r="W1051" i="1"/>
  <c r="V1051" i="1"/>
  <c r="T1051" i="1"/>
  <c r="U1051" i="1" s="1"/>
  <c r="S1051" i="1"/>
  <c r="R1051" i="1"/>
  <c r="P1051" i="1"/>
  <c r="O1051" i="1"/>
  <c r="N1051" i="1"/>
  <c r="Q1051" i="1" s="1"/>
  <c r="M1051" i="1"/>
  <c r="L1051" i="1"/>
  <c r="X1050" i="1"/>
  <c r="W1050" i="1"/>
  <c r="V1050" i="1"/>
  <c r="U1050" i="1"/>
  <c r="T1050" i="1"/>
  <c r="S1050" i="1"/>
  <c r="R1050" i="1"/>
  <c r="P1050" i="1"/>
  <c r="O1050" i="1"/>
  <c r="N1050" i="1"/>
  <c r="Q1050" i="1" s="1"/>
  <c r="M1050" i="1"/>
  <c r="L1050" i="1"/>
  <c r="X1049" i="1"/>
  <c r="W1049" i="1"/>
  <c r="V1049" i="1"/>
  <c r="U1049" i="1"/>
  <c r="T1049" i="1"/>
  <c r="S1049" i="1"/>
  <c r="R1049" i="1"/>
  <c r="P1049" i="1"/>
  <c r="O1049" i="1"/>
  <c r="N1049" i="1"/>
  <c r="Q1049" i="1" s="1"/>
  <c r="M1049" i="1"/>
  <c r="L1049" i="1"/>
  <c r="X1048" i="1"/>
  <c r="W1048" i="1"/>
  <c r="V1048" i="1"/>
  <c r="U1048" i="1"/>
  <c r="T1048" i="1"/>
  <c r="S1048" i="1"/>
  <c r="R1048" i="1"/>
  <c r="P1048" i="1"/>
  <c r="O1048" i="1"/>
  <c r="N1048" i="1"/>
  <c r="Q1048" i="1" s="1"/>
  <c r="M1048" i="1"/>
  <c r="L1048" i="1"/>
  <c r="X1047" i="1"/>
  <c r="W1047" i="1"/>
  <c r="V1047" i="1"/>
  <c r="U1047" i="1"/>
  <c r="T1047" i="1"/>
  <c r="S1047" i="1"/>
  <c r="R1047" i="1"/>
  <c r="P1047" i="1"/>
  <c r="O1047" i="1"/>
  <c r="N1047" i="1"/>
  <c r="Q1047" i="1" s="1"/>
  <c r="M1047" i="1"/>
  <c r="L1047" i="1"/>
  <c r="X1046" i="1"/>
  <c r="W1046" i="1"/>
  <c r="V1046" i="1"/>
  <c r="U1046" i="1"/>
  <c r="T1046" i="1"/>
  <c r="S1046" i="1"/>
  <c r="R1046" i="1"/>
  <c r="P1046" i="1"/>
  <c r="O1046" i="1"/>
  <c r="Q1046" i="1" s="1"/>
  <c r="N1046" i="1"/>
  <c r="M1046" i="1"/>
  <c r="L1046" i="1"/>
  <c r="X1045" i="1"/>
  <c r="W1045" i="1"/>
  <c r="V1045" i="1"/>
  <c r="T1045" i="1"/>
  <c r="U1045" i="1" s="1"/>
  <c r="S1045" i="1"/>
  <c r="R1045" i="1"/>
  <c r="Q1045" i="1"/>
  <c r="P1045" i="1"/>
  <c r="O1045" i="1"/>
  <c r="N1045" i="1"/>
  <c r="M1045" i="1"/>
  <c r="L1045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X1043" i="1"/>
  <c r="W1043" i="1"/>
  <c r="V1043" i="1"/>
  <c r="U1043" i="1"/>
  <c r="T1043" i="1"/>
  <c r="S1043" i="1"/>
  <c r="R1043" i="1"/>
  <c r="P1043" i="1"/>
  <c r="O1043" i="1"/>
  <c r="N1043" i="1"/>
  <c r="Q1043" i="1" s="1"/>
  <c r="M1043" i="1"/>
  <c r="L1043" i="1"/>
  <c r="X1042" i="1"/>
  <c r="W1042" i="1"/>
  <c r="V1042" i="1"/>
  <c r="U1042" i="1"/>
  <c r="T1042" i="1"/>
  <c r="S1042" i="1"/>
  <c r="R1042" i="1"/>
  <c r="P1042" i="1"/>
  <c r="O1042" i="1"/>
  <c r="Q1042" i="1" s="1"/>
  <c r="N1042" i="1"/>
  <c r="M1042" i="1"/>
  <c r="L1042" i="1"/>
  <c r="X1041" i="1"/>
  <c r="W1041" i="1"/>
  <c r="V1041" i="1"/>
  <c r="U1041" i="1"/>
  <c r="T1041" i="1"/>
  <c r="S1041" i="1"/>
  <c r="R1041" i="1"/>
  <c r="P1041" i="1"/>
  <c r="Q1041" i="1" s="1"/>
  <c r="O1041" i="1"/>
  <c r="N1041" i="1"/>
  <c r="M1041" i="1"/>
  <c r="L1041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X1039" i="1"/>
  <c r="W1039" i="1"/>
  <c r="V1039" i="1"/>
  <c r="U1039" i="1"/>
  <c r="T1039" i="1"/>
  <c r="S1039" i="1"/>
  <c r="R1039" i="1"/>
  <c r="P1039" i="1"/>
  <c r="O1039" i="1"/>
  <c r="N1039" i="1"/>
  <c r="Q1039" i="1" s="1"/>
  <c r="M1039" i="1"/>
  <c r="L1039" i="1"/>
  <c r="X1038" i="1"/>
  <c r="W1038" i="1"/>
  <c r="V1038" i="1"/>
  <c r="U1038" i="1"/>
  <c r="T1038" i="1"/>
  <c r="S1038" i="1"/>
  <c r="R1038" i="1"/>
  <c r="P1038" i="1"/>
  <c r="O1038" i="1"/>
  <c r="N1038" i="1"/>
  <c r="Q1038" i="1" s="1"/>
  <c r="M1038" i="1"/>
  <c r="L1038" i="1"/>
  <c r="X1037" i="1"/>
  <c r="W1037" i="1"/>
  <c r="V1037" i="1"/>
  <c r="T1037" i="1"/>
  <c r="U1037" i="1" s="1"/>
  <c r="S1037" i="1"/>
  <c r="R1037" i="1"/>
  <c r="P1037" i="1"/>
  <c r="O1037" i="1"/>
  <c r="N1037" i="1"/>
  <c r="Q1037" i="1" s="1"/>
  <c r="M1037" i="1"/>
  <c r="L1037" i="1"/>
  <c r="X1036" i="1"/>
  <c r="W1036" i="1"/>
  <c r="V1036" i="1"/>
  <c r="U1036" i="1"/>
  <c r="T1036" i="1"/>
  <c r="S1036" i="1"/>
  <c r="R1036" i="1"/>
  <c r="P1036" i="1"/>
  <c r="O1036" i="1"/>
  <c r="N1036" i="1"/>
  <c r="Q1036" i="1" s="1"/>
  <c r="M1036" i="1"/>
  <c r="L1036" i="1"/>
  <c r="X1035" i="1"/>
  <c r="W1035" i="1"/>
  <c r="V1035" i="1"/>
  <c r="T1035" i="1"/>
  <c r="U1035" i="1" s="1"/>
  <c r="S1035" i="1"/>
  <c r="R1035" i="1"/>
  <c r="P1035" i="1"/>
  <c r="O1035" i="1"/>
  <c r="N1035" i="1"/>
  <c r="Q1035" i="1" s="1"/>
  <c r="M1035" i="1"/>
  <c r="L1035" i="1"/>
  <c r="X1034" i="1"/>
  <c r="W1034" i="1"/>
  <c r="V1034" i="1"/>
  <c r="U1034" i="1"/>
  <c r="T1034" i="1"/>
  <c r="S1034" i="1"/>
  <c r="R1034" i="1"/>
  <c r="P1034" i="1"/>
  <c r="O1034" i="1"/>
  <c r="Q1034" i="1" s="1"/>
  <c r="N1034" i="1"/>
  <c r="M1034" i="1"/>
  <c r="L1034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X1032" i="1"/>
  <c r="W1032" i="1"/>
  <c r="V1032" i="1"/>
  <c r="T1032" i="1"/>
  <c r="U1032" i="1" s="1"/>
  <c r="S1032" i="1"/>
  <c r="R1032" i="1"/>
  <c r="Q1032" i="1"/>
  <c r="P1032" i="1"/>
  <c r="O1032" i="1"/>
  <c r="N1032" i="1"/>
  <c r="M1032" i="1"/>
  <c r="L1032" i="1"/>
  <c r="X1031" i="1"/>
  <c r="W1031" i="1"/>
  <c r="V1031" i="1"/>
  <c r="U1031" i="1"/>
  <c r="T1031" i="1"/>
  <c r="S1031" i="1"/>
  <c r="R1031" i="1"/>
  <c r="P1031" i="1"/>
  <c r="O1031" i="1"/>
  <c r="N1031" i="1"/>
  <c r="Q1031" i="1" s="1"/>
  <c r="M1031" i="1"/>
  <c r="L1031" i="1"/>
  <c r="X1030" i="1"/>
  <c r="W1030" i="1"/>
  <c r="V1030" i="1"/>
  <c r="U1030" i="1"/>
  <c r="T1030" i="1"/>
  <c r="S1030" i="1"/>
  <c r="R1030" i="1"/>
  <c r="P1030" i="1"/>
  <c r="O1030" i="1"/>
  <c r="Q1030" i="1" s="1"/>
  <c r="N1030" i="1"/>
  <c r="M1030" i="1"/>
  <c r="L1030" i="1"/>
  <c r="X1029" i="1"/>
  <c r="W1029" i="1"/>
  <c r="V1029" i="1"/>
  <c r="U1029" i="1"/>
  <c r="T1029" i="1"/>
  <c r="S1029" i="1"/>
  <c r="R1029" i="1"/>
  <c r="P1029" i="1"/>
  <c r="Q1029" i="1" s="1"/>
  <c r="O1029" i="1"/>
  <c r="N1029" i="1"/>
  <c r="M1029" i="1"/>
  <c r="L1029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X1027" i="1"/>
  <c r="W1027" i="1"/>
  <c r="V1027" i="1"/>
  <c r="U1027" i="1"/>
  <c r="T1027" i="1"/>
  <c r="S1027" i="1"/>
  <c r="R1027" i="1"/>
  <c r="P1027" i="1"/>
  <c r="O1027" i="1"/>
  <c r="N1027" i="1"/>
  <c r="Q1027" i="1" s="1"/>
  <c r="M1027" i="1"/>
  <c r="L1027" i="1"/>
  <c r="X1026" i="1"/>
  <c r="W1026" i="1"/>
  <c r="V1026" i="1"/>
  <c r="U1026" i="1"/>
  <c r="T1026" i="1"/>
  <c r="S1026" i="1"/>
  <c r="R1026" i="1"/>
  <c r="P1026" i="1"/>
  <c r="O1026" i="1"/>
  <c r="N1026" i="1"/>
  <c r="Q1026" i="1" s="1"/>
  <c r="M1026" i="1"/>
  <c r="L1026" i="1"/>
  <c r="X1025" i="1"/>
  <c r="W1025" i="1"/>
  <c r="V1025" i="1"/>
  <c r="U1025" i="1"/>
  <c r="T1025" i="1"/>
  <c r="S1025" i="1"/>
  <c r="R1025" i="1"/>
  <c r="P1025" i="1"/>
  <c r="O1025" i="1"/>
  <c r="N1025" i="1"/>
  <c r="Q1025" i="1" s="1"/>
  <c r="M1025" i="1"/>
  <c r="L1025" i="1"/>
  <c r="X1024" i="1"/>
  <c r="W1024" i="1"/>
  <c r="V1024" i="1"/>
  <c r="U1024" i="1"/>
  <c r="T1024" i="1"/>
  <c r="S1024" i="1"/>
  <c r="R1024" i="1"/>
  <c r="P1024" i="1"/>
  <c r="O1024" i="1"/>
  <c r="N1024" i="1"/>
  <c r="Q1024" i="1" s="1"/>
  <c r="M1024" i="1"/>
  <c r="L1024" i="1"/>
  <c r="X1023" i="1"/>
  <c r="W1023" i="1"/>
  <c r="V1023" i="1"/>
  <c r="U1023" i="1"/>
  <c r="T1023" i="1"/>
  <c r="S1023" i="1"/>
  <c r="R1023" i="1"/>
  <c r="P1023" i="1"/>
  <c r="O1023" i="1"/>
  <c r="N1023" i="1"/>
  <c r="Q1023" i="1" s="1"/>
  <c r="M1023" i="1"/>
  <c r="L1023" i="1"/>
  <c r="X1022" i="1"/>
  <c r="W1022" i="1"/>
  <c r="V1022" i="1"/>
  <c r="U1022" i="1"/>
  <c r="T1022" i="1"/>
  <c r="S1022" i="1"/>
  <c r="R1022" i="1"/>
  <c r="P1022" i="1"/>
  <c r="O1022" i="1"/>
  <c r="Q1022" i="1" s="1"/>
  <c r="N1022" i="1"/>
  <c r="M1022" i="1"/>
  <c r="L1022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X1019" i="1"/>
  <c r="W1019" i="1"/>
  <c r="V1019" i="1"/>
  <c r="U1019" i="1"/>
  <c r="T1019" i="1"/>
  <c r="S1019" i="1"/>
  <c r="R1019" i="1"/>
  <c r="P1019" i="1"/>
  <c r="O1019" i="1"/>
  <c r="N1019" i="1"/>
  <c r="Q1019" i="1" s="1"/>
  <c r="M1019" i="1"/>
  <c r="L1019" i="1"/>
  <c r="X1018" i="1"/>
  <c r="W1018" i="1"/>
  <c r="V1018" i="1"/>
  <c r="T1018" i="1"/>
  <c r="U1018" i="1" s="1"/>
  <c r="S1018" i="1"/>
  <c r="R1018" i="1"/>
  <c r="P1018" i="1"/>
  <c r="O1018" i="1"/>
  <c r="Q1018" i="1" s="1"/>
  <c r="N1018" i="1"/>
  <c r="M1018" i="1"/>
  <c r="L1018" i="1"/>
  <c r="X1017" i="1"/>
  <c r="W1017" i="1"/>
  <c r="V1017" i="1"/>
  <c r="U1017" i="1"/>
  <c r="T1017" i="1"/>
  <c r="S1017" i="1"/>
  <c r="R1017" i="1"/>
  <c r="P1017" i="1"/>
  <c r="Q1017" i="1" s="1"/>
  <c r="O1017" i="1"/>
  <c r="N1017" i="1"/>
  <c r="M1017" i="1"/>
  <c r="L1017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X1015" i="1"/>
  <c r="W1015" i="1"/>
  <c r="V1015" i="1"/>
  <c r="U1015" i="1"/>
  <c r="T1015" i="1"/>
  <c r="S1015" i="1"/>
  <c r="R1015" i="1"/>
  <c r="P1015" i="1"/>
  <c r="O1015" i="1"/>
  <c r="N1015" i="1"/>
  <c r="Q1015" i="1" s="1"/>
  <c r="M1015" i="1"/>
  <c r="L1015" i="1"/>
  <c r="X1014" i="1"/>
  <c r="W1014" i="1"/>
  <c r="V1014" i="1"/>
  <c r="T1014" i="1"/>
  <c r="U1014" i="1" s="1"/>
  <c r="S1014" i="1"/>
  <c r="R1014" i="1"/>
  <c r="P1014" i="1"/>
  <c r="O1014" i="1"/>
  <c r="N1014" i="1"/>
  <c r="Q1014" i="1" s="1"/>
  <c r="M1014" i="1"/>
  <c r="L1014" i="1"/>
  <c r="X1013" i="1"/>
  <c r="W1013" i="1"/>
  <c r="V1013" i="1"/>
  <c r="U1013" i="1"/>
  <c r="T1013" i="1"/>
  <c r="S1013" i="1"/>
  <c r="R1013" i="1"/>
  <c r="P1013" i="1"/>
  <c r="O1013" i="1"/>
  <c r="N1013" i="1"/>
  <c r="Q1013" i="1" s="1"/>
  <c r="M1013" i="1"/>
  <c r="L1013" i="1"/>
  <c r="X1012" i="1"/>
  <c r="W1012" i="1"/>
  <c r="V1012" i="1"/>
  <c r="U1012" i="1"/>
  <c r="T1012" i="1"/>
  <c r="S1012" i="1"/>
  <c r="R1012" i="1"/>
  <c r="P1012" i="1"/>
  <c r="O1012" i="1"/>
  <c r="N1012" i="1"/>
  <c r="Q1012" i="1" s="1"/>
  <c r="M1012" i="1"/>
  <c r="L1012" i="1"/>
  <c r="X1011" i="1"/>
  <c r="W1011" i="1"/>
  <c r="V1011" i="1"/>
  <c r="T1011" i="1"/>
  <c r="U1011" i="1" s="1"/>
  <c r="S1011" i="1"/>
  <c r="R1011" i="1"/>
  <c r="P1011" i="1"/>
  <c r="O1011" i="1"/>
  <c r="N1011" i="1"/>
  <c r="Q1011" i="1" s="1"/>
  <c r="M1011" i="1"/>
  <c r="L1011" i="1"/>
  <c r="X1010" i="1"/>
  <c r="W1010" i="1"/>
  <c r="V1010" i="1"/>
  <c r="T1010" i="1"/>
  <c r="U1010" i="1" s="1"/>
  <c r="S1010" i="1"/>
  <c r="R1010" i="1"/>
  <c r="P1010" i="1"/>
  <c r="O1010" i="1"/>
  <c r="Q1010" i="1" s="1"/>
  <c r="N1010" i="1"/>
  <c r="M1010" i="1"/>
  <c r="L1010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X1007" i="1"/>
  <c r="W1007" i="1"/>
  <c r="V1007" i="1"/>
  <c r="U1007" i="1"/>
  <c r="T1007" i="1"/>
  <c r="S1007" i="1"/>
  <c r="R1007" i="1"/>
  <c r="P1007" i="1"/>
  <c r="O1007" i="1"/>
  <c r="N1007" i="1"/>
  <c r="Q1007" i="1" s="1"/>
  <c r="M1007" i="1"/>
  <c r="L1007" i="1"/>
  <c r="X1006" i="1"/>
  <c r="W1006" i="1"/>
  <c r="V1006" i="1"/>
  <c r="U1006" i="1"/>
  <c r="T1006" i="1"/>
  <c r="S1006" i="1"/>
  <c r="R1006" i="1"/>
  <c r="P1006" i="1"/>
  <c r="O1006" i="1"/>
  <c r="Q1006" i="1" s="1"/>
  <c r="N1006" i="1"/>
  <c r="M1006" i="1"/>
  <c r="L1006" i="1"/>
  <c r="X1005" i="1"/>
  <c r="W1005" i="1"/>
  <c r="V1005" i="1"/>
  <c r="U1005" i="1"/>
  <c r="T1005" i="1"/>
  <c r="S1005" i="1"/>
  <c r="R1005" i="1"/>
  <c r="P1005" i="1"/>
  <c r="Q1005" i="1" s="1"/>
  <c r="O1005" i="1"/>
  <c r="N1005" i="1"/>
  <c r="M1005" i="1"/>
  <c r="L1005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X1003" i="1"/>
  <c r="W1003" i="1"/>
  <c r="V1003" i="1"/>
  <c r="T1003" i="1"/>
  <c r="U1003" i="1" s="1"/>
  <c r="S1003" i="1"/>
  <c r="R1003" i="1"/>
  <c r="P1003" i="1"/>
  <c r="O1003" i="1"/>
  <c r="N1003" i="1"/>
  <c r="Q1003" i="1" s="1"/>
  <c r="M1003" i="1"/>
  <c r="L1003" i="1"/>
  <c r="X1002" i="1"/>
  <c r="W1002" i="1"/>
  <c r="V1002" i="1"/>
  <c r="U1002" i="1"/>
  <c r="T1002" i="1"/>
  <c r="S1002" i="1"/>
  <c r="R1002" i="1"/>
  <c r="P1002" i="1"/>
  <c r="O1002" i="1"/>
  <c r="N1002" i="1"/>
  <c r="Q1002" i="1" s="1"/>
  <c r="M1002" i="1"/>
  <c r="L1002" i="1"/>
  <c r="X1001" i="1"/>
  <c r="W1001" i="1"/>
  <c r="V1001" i="1"/>
  <c r="T1001" i="1"/>
  <c r="U1001" i="1" s="1"/>
  <c r="S1001" i="1"/>
  <c r="R1001" i="1"/>
  <c r="P1001" i="1"/>
  <c r="O1001" i="1"/>
  <c r="N1001" i="1"/>
  <c r="Q1001" i="1" s="1"/>
  <c r="M1001" i="1"/>
  <c r="L1001" i="1"/>
  <c r="X1000" i="1"/>
  <c r="W1000" i="1"/>
  <c r="V1000" i="1"/>
  <c r="U1000" i="1"/>
  <c r="T1000" i="1"/>
  <c r="S1000" i="1"/>
  <c r="R1000" i="1"/>
  <c r="P1000" i="1"/>
  <c r="O1000" i="1"/>
  <c r="N1000" i="1"/>
  <c r="Q1000" i="1" s="1"/>
  <c r="M1000" i="1"/>
  <c r="L1000" i="1"/>
  <c r="X999" i="1"/>
  <c r="W999" i="1"/>
  <c r="V999" i="1"/>
  <c r="T999" i="1"/>
  <c r="U999" i="1" s="1"/>
  <c r="S999" i="1"/>
  <c r="R999" i="1"/>
  <c r="P999" i="1"/>
  <c r="O999" i="1"/>
  <c r="N999" i="1"/>
  <c r="M999" i="1"/>
  <c r="L999" i="1"/>
  <c r="X998" i="1"/>
  <c r="W998" i="1"/>
  <c r="V998" i="1"/>
  <c r="U998" i="1"/>
  <c r="T998" i="1"/>
  <c r="S998" i="1"/>
  <c r="R998" i="1"/>
  <c r="P998" i="1"/>
  <c r="O998" i="1"/>
  <c r="Q998" i="1" s="1"/>
  <c r="N998" i="1"/>
  <c r="M998" i="1"/>
  <c r="L998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X995" i="1"/>
  <c r="W995" i="1"/>
  <c r="V995" i="1"/>
  <c r="U995" i="1"/>
  <c r="T995" i="1"/>
  <c r="S995" i="1"/>
  <c r="R995" i="1"/>
  <c r="P995" i="1"/>
  <c r="O995" i="1"/>
  <c r="N995" i="1"/>
  <c r="Q995" i="1" s="1"/>
  <c r="M995" i="1"/>
  <c r="L995" i="1"/>
  <c r="X994" i="1"/>
  <c r="W994" i="1"/>
  <c r="V994" i="1"/>
  <c r="U994" i="1"/>
  <c r="T994" i="1"/>
  <c r="S994" i="1"/>
  <c r="R994" i="1"/>
  <c r="P994" i="1"/>
  <c r="O994" i="1"/>
  <c r="Q994" i="1" s="1"/>
  <c r="N994" i="1"/>
  <c r="M994" i="1"/>
  <c r="L994" i="1"/>
  <c r="X993" i="1"/>
  <c r="W993" i="1"/>
  <c r="V993" i="1"/>
  <c r="U993" i="1"/>
  <c r="T993" i="1"/>
  <c r="S993" i="1"/>
  <c r="R993" i="1"/>
  <c r="P993" i="1"/>
  <c r="Q993" i="1" s="1"/>
  <c r="O993" i="1"/>
  <c r="N993" i="1"/>
  <c r="M993" i="1"/>
  <c r="L993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X991" i="1"/>
  <c r="W991" i="1"/>
  <c r="V991" i="1"/>
  <c r="U991" i="1"/>
  <c r="T991" i="1"/>
  <c r="S991" i="1"/>
  <c r="R991" i="1"/>
  <c r="P991" i="1"/>
  <c r="O991" i="1"/>
  <c r="N991" i="1"/>
  <c r="Q991" i="1" s="1"/>
  <c r="M991" i="1"/>
  <c r="L991" i="1"/>
  <c r="X990" i="1"/>
  <c r="W990" i="1"/>
  <c r="V990" i="1"/>
  <c r="U990" i="1"/>
  <c r="T990" i="1"/>
  <c r="S990" i="1"/>
  <c r="R990" i="1"/>
  <c r="P990" i="1"/>
  <c r="O990" i="1"/>
  <c r="N990" i="1"/>
  <c r="Q990" i="1" s="1"/>
  <c r="M990" i="1"/>
  <c r="L990" i="1"/>
  <c r="X989" i="1"/>
  <c r="W989" i="1"/>
  <c r="V989" i="1"/>
  <c r="T989" i="1"/>
  <c r="U989" i="1" s="1"/>
  <c r="S989" i="1"/>
  <c r="R989" i="1"/>
  <c r="P989" i="1"/>
  <c r="O989" i="1"/>
  <c r="N989" i="1"/>
  <c r="Q989" i="1" s="1"/>
  <c r="M989" i="1"/>
  <c r="L989" i="1"/>
  <c r="X988" i="1"/>
  <c r="W988" i="1"/>
  <c r="V988" i="1"/>
  <c r="U988" i="1"/>
  <c r="T988" i="1"/>
  <c r="S988" i="1"/>
  <c r="R988" i="1"/>
  <c r="P988" i="1"/>
  <c r="O988" i="1"/>
  <c r="N988" i="1"/>
  <c r="Q988" i="1" s="1"/>
  <c r="M988" i="1"/>
  <c r="L988" i="1"/>
  <c r="X987" i="1"/>
  <c r="W987" i="1"/>
  <c r="V987" i="1"/>
  <c r="T987" i="1"/>
  <c r="U987" i="1" s="1"/>
  <c r="S987" i="1"/>
  <c r="R987" i="1"/>
  <c r="P987" i="1"/>
  <c r="O987" i="1"/>
  <c r="N987" i="1"/>
  <c r="Q987" i="1" s="1"/>
  <c r="M987" i="1"/>
  <c r="L987" i="1"/>
  <c r="X986" i="1"/>
  <c r="W986" i="1"/>
  <c r="V986" i="1"/>
  <c r="U986" i="1"/>
  <c r="T986" i="1"/>
  <c r="S986" i="1"/>
  <c r="R986" i="1"/>
  <c r="P986" i="1"/>
  <c r="O986" i="1"/>
  <c r="N986" i="1"/>
  <c r="M986" i="1"/>
  <c r="L986" i="1"/>
  <c r="X985" i="1"/>
  <c r="W985" i="1"/>
  <c r="V985" i="1"/>
  <c r="T985" i="1"/>
  <c r="U985" i="1" s="1"/>
  <c r="S985" i="1"/>
  <c r="R985" i="1"/>
  <c r="Q985" i="1"/>
  <c r="P985" i="1"/>
  <c r="O985" i="1"/>
  <c r="N985" i="1"/>
  <c r="M985" i="1"/>
  <c r="L985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X983" i="1"/>
  <c r="W983" i="1"/>
  <c r="V983" i="1"/>
  <c r="U983" i="1"/>
  <c r="T983" i="1"/>
  <c r="S983" i="1"/>
  <c r="R983" i="1"/>
  <c r="P983" i="1"/>
  <c r="O983" i="1"/>
  <c r="N983" i="1"/>
  <c r="Q983" i="1" s="1"/>
  <c r="M983" i="1"/>
  <c r="L983" i="1"/>
  <c r="X982" i="1"/>
  <c r="W982" i="1"/>
  <c r="V982" i="1"/>
  <c r="U982" i="1"/>
  <c r="T982" i="1"/>
  <c r="S982" i="1"/>
  <c r="R982" i="1"/>
  <c r="P982" i="1"/>
  <c r="O982" i="1"/>
  <c r="Q982" i="1" s="1"/>
  <c r="N982" i="1"/>
  <c r="M982" i="1"/>
  <c r="L982" i="1"/>
  <c r="X981" i="1"/>
  <c r="W981" i="1"/>
  <c r="V981" i="1"/>
  <c r="U981" i="1"/>
  <c r="T981" i="1"/>
  <c r="S981" i="1"/>
  <c r="R981" i="1"/>
  <c r="P981" i="1"/>
  <c r="Q981" i="1" s="1"/>
  <c r="O981" i="1"/>
  <c r="N981" i="1"/>
  <c r="M981" i="1"/>
  <c r="L981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X979" i="1"/>
  <c r="W979" i="1"/>
  <c r="V979" i="1"/>
  <c r="U979" i="1"/>
  <c r="T979" i="1"/>
  <c r="S979" i="1"/>
  <c r="R979" i="1"/>
  <c r="P979" i="1"/>
  <c r="O979" i="1"/>
  <c r="N979" i="1"/>
  <c r="Q979" i="1" s="1"/>
  <c r="M979" i="1"/>
  <c r="L979" i="1"/>
  <c r="X978" i="1"/>
  <c r="W978" i="1"/>
  <c r="V978" i="1"/>
  <c r="U978" i="1"/>
  <c r="T978" i="1"/>
  <c r="S978" i="1"/>
  <c r="R978" i="1"/>
  <c r="P978" i="1"/>
  <c r="O978" i="1"/>
  <c r="N978" i="1"/>
  <c r="Q978" i="1" s="1"/>
  <c r="M978" i="1"/>
  <c r="L978" i="1"/>
  <c r="X977" i="1"/>
  <c r="W977" i="1"/>
  <c r="V977" i="1"/>
  <c r="T977" i="1"/>
  <c r="U977" i="1" s="1"/>
  <c r="S977" i="1"/>
  <c r="R977" i="1"/>
  <c r="P977" i="1"/>
  <c r="O977" i="1"/>
  <c r="N977" i="1"/>
  <c r="Q977" i="1" s="1"/>
  <c r="M977" i="1"/>
  <c r="L977" i="1"/>
  <c r="X976" i="1"/>
  <c r="W976" i="1"/>
  <c r="V976" i="1"/>
  <c r="U976" i="1"/>
  <c r="T976" i="1"/>
  <c r="S976" i="1"/>
  <c r="R976" i="1"/>
  <c r="P976" i="1"/>
  <c r="O976" i="1"/>
  <c r="N976" i="1"/>
  <c r="Q976" i="1" s="1"/>
  <c r="M976" i="1"/>
  <c r="L976" i="1"/>
  <c r="X975" i="1"/>
  <c r="W975" i="1"/>
  <c r="V975" i="1"/>
  <c r="T975" i="1"/>
  <c r="U975" i="1" s="1"/>
  <c r="S975" i="1"/>
  <c r="R975" i="1"/>
  <c r="P975" i="1"/>
  <c r="O975" i="1"/>
  <c r="N975" i="1"/>
  <c r="M975" i="1"/>
  <c r="L975" i="1"/>
  <c r="X974" i="1"/>
  <c r="W974" i="1"/>
  <c r="V974" i="1"/>
  <c r="U974" i="1"/>
  <c r="T974" i="1"/>
  <c r="S974" i="1"/>
  <c r="R974" i="1"/>
  <c r="P974" i="1"/>
  <c r="O974" i="1"/>
  <c r="N974" i="1"/>
  <c r="M974" i="1"/>
  <c r="L974" i="1"/>
  <c r="X973" i="1"/>
  <c r="W973" i="1"/>
  <c r="V973" i="1"/>
  <c r="T973" i="1"/>
  <c r="U973" i="1" s="1"/>
  <c r="S973" i="1"/>
  <c r="R973" i="1"/>
  <c r="Q973" i="1"/>
  <c r="P973" i="1"/>
  <c r="O973" i="1"/>
  <c r="N973" i="1"/>
  <c r="M973" i="1"/>
  <c r="L973" i="1"/>
  <c r="X972" i="1"/>
  <c r="W972" i="1"/>
  <c r="V972" i="1"/>
  <c r="T972" i="1"/>
  <c r="U972" i="1" s="1"/>
  <c r="S972" i="1"/>
  <c r="R972" i="1"/>
  <c r="Q972" i="1"/>
  <c r="P972" i="1"/>
  <c r="O972" i="1"/>
  <c r="N972" i="1"/>
  <c r="M972" i="1"/>
  <c r="L972" i="1"/>
  <c r="X971" i="1"/>
  <c r="W971" i="1"/>
  <c r="V971" i="1"/>
  <c r="U971" i="1"/>
  <c r="T971" i="1"/>
  <c r="S971" i="1"/>
  <c r="R971" i="1"/>
  <c r="P971" i="1"/>
  <c r="O971" i="1"/>
  <c r="N971" i="1"/>
  <c r="Q971" i="1" s="1"/>
  <c r="M971" i="1"/>
  <c r="L971" i="1"/>
  <c r="X970" i="1"/>
  <c r="W970" i="1"/>
  <c r="V970" i="1"/>
  <c r="U970" i="1"/>
  <c r="T970" i="1"/>
  <c r="S970" i="1"/>
  <c r="R970" i="1"/>
  <c r="P970" i="1"/>
  <c r="O970" i="1"/>
  <c r="Q970" i="1" s="1"/>
  <c r="N970" i="1"/>
  <c r="M970" i="1"/>
  <c r="L970" i="1"/>
  <c r="X969" i="1"/>
  <c r="W969" i="1"/>
  <c r="V969" i="1"/>
  <c r="U969" i="1"/>
  <c r="T969" i="1"/>
  <c r="S969" i="1"/>
  <c r="R969" i="1"/>
  <c r="P969" i="1"/>
  <c r="Q969" i="1" s="1"/>
  <c r="O969" i="1"/>
  <c r="N969" i="1"/>
  <c r="M969" i="1"/>
  <c r="L969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X967" i="1"/>
  <c r="W967" i="1"/>
  <c r="V967" i="1"/>
  <c r="U967" i="1"/>
  <c r="T967" i="1"/>
  <c r="S967" i="1"/>
  <c r="R967" i="1"/>
  <c r="P967" i="1"/>
  <c r="O967" i="1"/>
  <c r="N967" i="1"/>
  <c r="Q967" i="1" s="1"/>
  <c r="M967" i="1"/>
  <c r="L967" i="1"/>
  <c r="X966" i="1"/>
  <c r="W966" i="1"/>
  <c r="V966" i="1"/>
  <c r="U966" i="1"/>
  <c r="T966" i="1"/>
  <c r="S966" i="1"/>
  <c r="R966" i="1"/>
  <c r="P966" i="1"/>
  <c r="O966" i="1"/>
  <c r="N966" i="1"/>
  <c r="Q966" i="1" s="1"/>
  <c r="M966" i="1"/>
  <c r="L966" i="1"/>
  <c r="X965" i="1"/>
  <c r="W965" i="1"/>
  <c r="V965" i="1"/>
  <c r="U965" i="1"/>
  <c r="T965" i="1"/>
  <c r="S965" i="1"/>
  <c r="R965" i="1"/>
  <c r="P965" i="1"/>
  <c r="O965" i="1"/>
  <c r="N965" i="1"/>
  <c r="Q965" i="1" s="1"/>
  <c r="M965" i="1"/>
  <c r="L965" i="1"/>
  <c r="X964" i="1"/>
  <c r="W964" i="1"/>
  <c r="V964" i="1"/>
  <c r="U964" i="1"/>
  <c r="T964" i="1"/>
  <c r="S964" i="1"/>
  <c r="R964" i="1"/>
  <c r="P964" i="1"/>
  <c r="O964" i="1"/>
  <c r="N964" i="1"/>
  <c r="Q964" i="1" s="1"/>
  <c r="M964" i="1"/>
  <c r="L964" i="1"/>
  <c r="X963" i="1"/>
  <c r="W963" i="1"/>
  <c r="V963" i="1"/>
  <c r="T963" i="1"/>
  <c r="U963" i="1" s="1"/>
  <c r="S963" i="1"/>
  <c r="R963" i="1"/>
  <c r="P963" i="1"/>
  <c r="O963" i="1"/>
  <c r="N963" i="1"/>
  <c r="M963" i="1"/>
  <c r="L963" i="1"/>
  <c r="X962" i="1"/>
  <c r="W962" i="1"/>
  <c r="V962" i="1"/>
  <c r="T962" i="1"/>
  <c r="U962" i="1" s="1"/>
  <c r="S962" i="1"/>
  <c r="R962" i="1"/>
  <c r="P962" i="1"/>
  <c r="O962" i="1"/>
  <c r="N962" i="1"/>
  <c r="M962" i="1"/>
  <c r="L962" i="1"/>
  <c r="X961" i="1"/>
  <c r="W961" i="1"/>
  <c r="V961" i="1"/>
  <c r="T961" i="1"/>
  <c r="U961" i="1" s="1"/>
  <c r="S961" i="1"/>
  <c r="R961" i="1"/>
  <c r="Q961" i="1"/>
  <c r="P961" i="1"/>
  <c r="O961" i="1"/>
  <c r="N961" i="1"/>
  <c r="M961" i="1"/>
  <c r="L961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X959" i="1"/>
  <c r="W959" i="1"/>
  <c r="V959" i="1"/>
  <c r="U959" i="1"/>
  <c r="T959" i="1"/>
  <c r="S959" i="1"/>
  <c r="R959" i="1"/>
  <c r="P959" i="1"/>
  <c r="O959" i="1"/>
  <c r="N959" i="1"/>
  <c r="Q959" i="1" s="1"/>
  <c r="M959" i="1"/>
  <c r="L959" i="1"/>
  <c r="X958" i="1"/>
  <c r="W958" i="1"/>
  <c r="V958" i="1"/>
  <c r="U958" i="1"/>
  <c r="T958" i="1"/>
  <c r="S958" i="1"/>
  <c r="R958" i="1"/>
  <c r="P958" i="1"/>
  <c r="O958" i="1"/>
  <c r="Q958" i="1" s="1"/>
  <c r="N958" i="1"/>
  <c r="M958" i="1"/>
  <c r="L958" i="1"/>
  <c r="X957" i="1"/>
  <c r="W957" i="1"/>
  <c r="V957" i="1"/>
  <c r="U957" i="1"/>
  <c r="T957" i="1"/>
  <c r="S957" i="1"/>
  <c r="R957" i="1"/>
  <c r="P957" i="1"/>
  <c r="Q957" i="1" s="1"/>
  <c r="O957" i="1"/>
  <c r="N957" i="1"/>
  <c r="M957" i="1"/>
  <c r="L957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X955" i="1"/>
  <c r="W955" i="1"/>
  <c r="V955" i="1"/>
  <c r="U955" i="1"/>
  <c r="T955" i="1"/>
  <c r="S955" i="1"/>
  <c r="R955" i="1"/>
  <c r="P955" i="1"/>
  <c r="O955" i="1"/>
  <c r="N955" i="1"/>
  <c r="Q955" i="1" s="1"/>
  <c r="M955" i="1"/>
  <c r="L955" i="1"/>
  <c r="X954" i="1"/>
  <c r="W954" i="1"/>
  <c r="V954" i="1"/>
  <c r="U954" i="1"/>
  <c r="T954" i="1"/>
  <c r="S954" i="1"/>
  <c r="R954" i="1"/>
  <c r="P954" i="1"/>
  <c r="O954" i="1"/>
  <c r="N954" i="1"/>
  <c r="Q954" i="1" s="1"/>
  <c r="M954" i="1"/>
  <c r="L954" i="1"/>
  <c r="X953" i="1"/>
  <c r="W953" i="1"/>
  <c r="V953" i="1"/>
  <c r="U953" i="1"/>
  <c r="T953" i="1"/>
  <c r="S953" i="1"/>
  <c r="R953" i="1"/>
  <c r="P953" i="1"/>
  <c r="O953" i="1"/>
  <c r="N953" i="1"/>
  <c r="Q953" i="1" s="1"/>
  <c r="M953" i="1"/>
  <c r="L953" i="1"/>
  <c r="X952" i="1"/>
  <c r="W952" i="1"/>
  <c r="V952" i="1"/>
  <c r="U952" i="1"/>
  <c r="T952" i="1"/>
  <c r="S952" i="1"/>
  <c r="R952" i="1"/>
  <c r="P952" i="1"/>
  <c r="O952" i="1"/>
  <c r="N952" i="1"/>
  <c r="Q952" i="1" s="1"/>
  <c r="M952" i="1"/>
  <c r="L952" i="1"/>
  <c r="X951" i="1"/>
  <c r="W951" i="1"/>
  <c r="V951" i="1"/>
  <c r="T951" i="1"/>
  <c r="U951" i="1" s="1"/>
  <c r="S951" i="1"/>
  <c r="R951" i="1"/>
  <c r="P951" i="1"/>
  <c r="O951" i="1"/>
  <c r="N951" i="1"/>
  <c r="M951" i="1"/>
  <c r="L951" i="1"/>
  <c r="X950" i="1"/>
  <c r="W950" i="1"/>
  <c r="V950" i="1"/>
  <c r="U950" i="1"/>
  <c r="T950" i="1"/>
  <c r="S950" i="1"/>
  <c r="R950" i="1"/>
  <c r="P950" i="1"/>
  <c r="O950" i="1"/>
  <c r="N950" i="1"/>
  <c r="M950" i="1"/>
  <c r="L950" i="1"/>
  <c r="X949" i="1"/>
  <c r="W949" i="1"/>
  <c r="V949" i="1"/>
  <c r="T949" i="1"/>
  <c r="U949" i="1" s="1"/>
  <c r="S949" i="1"/>
  <c r="R949" i="1"/>
  <c r="Q949" i="1"/>
  <c r="P949" i="1"/>
  <c r="O949" i="1"/>
  <c r="N949" i="1"/>
  <c r="M949" i="1"/>
  <c r="L949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X947" i="1"/>
  <c r="W947" i="1"/>
  <c r="V947" i="1"/>
  <c r="U947" i="1"/>
  <c r="T947" i="1"/>
  <c r="S947" i="1"/>
  <c r="R947" i="1"/>
  <c r="P947" i="1"/>
  <c r="O947" i="1"/>
  <c r="N947" i="1"/>
  <c r="Q947" i="1" s="1"/>
  <c r="M947" i="1"/>
  <c r="L947" i="1"/>
  <c r="X946" i="1"/>
  <c r="W946" i="1"/>
  <c r="V946" i="1"/>
  <c r="U946" i="1"/>
  <c r="T946" i="1"/>
  <c r="S946" i="1"/>
  <c r="R946" i="1"/>
  <c r="P946" i="1"/>
  <c r="O946" i="1"/>
  <c r="Q946" i="1" s="1"/>
  <c r="N946" i="1"/>
  <c r="M946" i="1"/>
  <c r="L946" i="1"/>
  <c r="X945" i="1"/>
  <c r="W945" i="1"/>
  <c r="V945" i="1"/>
  <c r="U945" i="1"/>
  <c r="T945" i="1"/>
  <c r="S945" i="1"/>
  <c r="R945" i="1"/>
  <c r="P945" i="1"/>
  <c r="Q945" i="1" s="1"/>
  <c r="O945" i="1"/>
  <c r="N945" i="1"/>
  <c r="M945" i="1"/>
  <c r="L945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X943" i="1"/>
  <c r="W943" i="1"/>
  <c r="V943" i="1"/>
  <c r="T943" i="1"/>
  <c r="U943" i="1" s="1"/>
  <c r="S943" i="1"/>
  <c r="R943" i="1"/>
  <c r="P943" i="1"/>
  <c r="O943" i="1"/>
  <c r="N943" i="1"/>
  <c r="Q943" i="1" s="1"/>
  <c r="M943" i="1"/>
  <c r="L943" i="1"/>
  <c r="X942" i="1"/>
  <c r="W942" i="1"/>
  <c r="V942" i="1"/>
  <c r="U942" i="1"/>
  <c r="T942" i="1"/>
  <c r="S942" i="1"/>
  <c r="R942" i="1"/>
  <c r="P942" i="1"/>
  <c r="O942" i="1"/>
  <c r="N942" i="1"/>
  <c r="Q942" i="1" s="1"/>
  <c r="M942" i="1"/>
  <c r="L942" i="1"/>
  <c r="X941" i="1"/>
  <c r="W941" i="1"/>
  <c r="V941" i="1"/>
  <c r="U941" i="1"/>
  <c r="T941" i="1"/>
  <c r="S941" i="1"/>
  <c r="R941" i="1"/>
  <c r="P941" i="1"/>
  <c r="O941" i="1"/>
  <c r="N941" i="1"/>
  <c r="Q941" i="1" s="1"/>
  <c r="M941" i="1"/>
  <c r="L941" i="1"/>
  <c r="X940" i="1"/>
  <c r="W940" i="1"/>
  <c r="V940" i="1"/>
  <c r="U940" i="1"/>
  <c r="T940" i="1"/>
  <c r="S940" i="1"/>
  <c r="R940" i="1"/>
  <c r="P940" i="1"/>
  <c r="O940" i="1"/>
  <c r="N940" i="1"/>
  <c r="Q940" i="1" s="1"/>
  <c r="M940" i="1"/>
  <c r="L940" i="1"/>
  <c r="X939" i="1"/>
  <c r="W939" i="1"/>
  <c r="V939" i="1"/>
  <c r="U939" i="1"/>
  <c r="T939" i="1"/>
  <c r="S939" i="1"/>
  <c r="R939" i="1"/>
  <c r="P939" i="1"/>
  <c r="O939" i="1"/>
  <c r="N939" i="1"/>
  <c r="Q939" i="1" s="1"/>
  <c r="M939" i="1"/>
  <c r="L939" i="1"/>
  <c r="X938" i="1"/>
  <c r="W938" i="1"/>
  <c r="V938" i="1"/>
  <c r="U938" i="1"/>
  <c r="T938" i="1"/>
  <c r="S938" i="1"/>
  <c r="R938" i="1"/>
  <c r="P938" i="1"/>
  <c r="O938" i="1"/>
  <c r="N938" i="1"/>
  <c r="M938" i="1"/>
  <c r="L938" i="1"/>
  <c r="X937" i="1"/>
  <c r="W937" i="1"/>
  <c r="V937" i="1"/>
  <c r="T937" i="1"/>
  <c r="U937" i="1" s="1"/>
  <c r="S937" i="1"/>
  <c r="R937" i="1"/>
  <c r="Q937" i="1"/>
  <c r="P937" i="1"/>
  <c r="O937" i="1"/>
  <c r="N937" i="1"/>
  <c r="M937" i="1"/>
  <c r="L937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X935" i="1"/>
  <c r="W935" i="1"/>
  <c r="V935" i="1"/>
  <c r="U935" i="1"/>
  <c r="T935" i="1"/>
  <c r="S935" i="1"/>
  <c r="R935" i="1"/>
  <c r="P935" i="1"/>
  <c r="O935" i="1"/>
  <c r="N935" i="1"/>
  <c r="Q935" i="1" s="1"/>
  <c r="M935" i="1"/>
  <c r="L935" i="1"/>
  <c r="X934" i="1"/>
  <c r="W934" i="1"/>
  <c r="V934" i="1"/>
  <c r="U934" i="1"/>
  <c r="T934" i="1"/>
  <c r="S934" i="1"/>
  <c r="R934" i="1"/>
  <c r="P934" i="1"/>
  <c r="O934" i="1"/>
  <c r="Q934" i="1" s="1"/>
  <c r="N934" i="1"/>
  <c r="M934" i="1"/>
  <c r="L934" i="1"/>
  <c r="X933" i="1"/>
  <c r="W933" i="1"/>
  <c r="V933" i="1"/>
  <c r="U933" i="1"/>
  <c r="T933" i="1"/>
  <c r="S933" i="1"/>
  <c r="R933" i="1"/>
  <c r="P933" i="1"/>
  <c r="Q933" i="1" s="1"/>
  <c r="O933" i="1"/>
  <c r="N933" i="1"/>
  <c r="M933" i="1"/>
  <c r="L933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X931" i="1"/>
  <c r="W931" i="1"/>
  <c r="V931" i="1"/>
  <c r="U931" i="1"/>
  <c r="T931" i="1"/>
  <c r="S931" i="1"/>
  <c r="R931" i="1"/>
  <c r="P931" i="1"/>
  <c r="O931" i="1"/>
  <c r="N931" i="1"/>
  <c r="Q931" i="1" s="1"/>
  <c r="M931" i="1"/>
  <c r="L931" i="1"/>
  <c r="X930" i="1"/>
  <c r="W930" i="1"/>
  <c r="V930" i="1"/>
  <c r="T930" i="1"/>
  <c r="U930" i="1" s="1"/>
  <c r="S930" i="1"/>
  <c r="R930" i="1"/>
  <c r="P930" i="1"/>
  <c r="O930" i="1"/>
  <c r="N930" i="1"/>
  <c r="Q930" i="1" s="1"/>
  <c r="M930" i="1"/>
  <c r="L930" i="1"/>
  <c r="X929" i="1"/>
  <c r="W929" i="1"/>
  <c r="V929" i="1"/>
  <c r="U929" i="1"/>
  <c r="T929" i="1"/>
  <c r="S929" i="1"/>
  <c r="R929" i="1"/>
  <c r="P929" i="1"/>
  <c r="O929" i="1"/>
  <c r="N929" i="1"/>
  <c r="Q929" i="1" s="1"/>
  <c r="M929" i="1"/>
  <c r="L929" i="1"/>
  <c r="X928" i="1"/>
  <c r="W928" i="1"/>
  <c r="V928" i="1"/>
  <c r="U928" i="1"/>
  <c r="T928" i="1"/>
  <c r="S928" i="1"/>
  <c r="R928" i="1"/>
  <c r="P928" i="1"/>
  <c r="O928" i="1"/>
  <c r="N928" i="1"/>
  <c r="Q928" i="1" s="1"/>
  <c r="M928" i="1"/>
  <c r="L928" i="1"/>
  <c r="X927" i="1"/>
  <c r="W927" i="1"/>
  <c r="V927" i="1"/>
  <c r="U927" i="1"/>
  <c r="T927" i="1"/>
  <c r="S927" i="1"/>
  <c r="R927" i="1"/>
  <c r="P927" i="1"/>
  <c r="O927" i="1"/>
  <c r="N927" i="1"/>
  <c r="M927" i="1"/>
  <c r="L927" i="1"/>
  <c r="X926" i="1"/>
  <c r="W926" i="1"/>
  <c r="V926" i="1"/>
  <c r="U926" i="1"/>
  <c r="T926" i="1"/>
  <c r="S926" i="1"/>
  <c r="R926" i="1"/>
  <c r="P926" i="1"/>
  <c r="O926" i="1"/>
  <c r="Q926" i="1" s="1"/>
  <c r="N926" i="1"/>
  <c r="M926" i="1"/>
  <c r="L926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X924" i="1"/>
  <c r="W924" i="1"/>
  <c r="V924" i="1"/>
  <c r="T924" i="1"/>
  <c r="U924" i="1" s="1"/>
  <c r="S924" i="1"/>
  <c r="R924" i="1"/>
  <c r="Q924" i="1"/>
  <c r="P924" i="1"/>
  <c r="O924" i="1"/>
  <c r="N924" i="1"/>
  <c r="M924" i="1"/>
  <c r="L924" i="1"/>
  <c r="X923" i="1"/>
  <c r="W923" i="1"/>
  <c r="V923" i="1"/>
  <c r="U923" i="1"/>
  <c r="T923" i="1"/>
  <c r="S923" i="1"/>
  <c r="R923" i="1"/>
  <c r="P923" i="1"/>
  <c r="O923" i="1"/>
  <c r="N923" i="1"/>
  <c r="Q923" i="1" s="1"/>
  <c r="M923" i="1"/>
  <c r="L923" i="1"/>
  <c r="X922" i="1"/>
  <c r="W922" i="1"/>
  <c r="V922" i="1"/>
  <c r="T922" i="1"/>
  <c r="U922" i="1" s="1"/>
  <c r="S922" i="1"/>
  <c r="R922" i="1"/>
  <c r="P922" i="1"/>
  <c r="O922" i="1"/>
  <c r="Q922" i="1" s="1"/>
  <c r="N922" i="1"/>
  <c r="M922" i="1"/>
  <c r="L922" i="1"/>
  <c r="X921" i="1"/>
  <c r="W921" i="1"/>
  <c r="V921" i="1"/>
  <c r="U921" i="1"/>
  <c r="T921" i="1"/>
  <c r="S921" i="1"/>
  <c r="R921" i="1"/>
  <c r="P921" i="1"/>
  <c r="Q921" i="1" s="1"/>
  <c r="O921" i="1"/>
  <c r="N921" i="1"/>
  <c r="M921" i="1"/>
  <c r="L921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X919" i="1"/>
  <c r="W919" i="1"/>
  <c r="V919" i="1"/>
  <c r="U919" i="1"/>
  <c r="T919" i="1"/>
  <c r="S919" i="1"/>
  <c r="R919" i="1"/>
  <c r="P919" i="1"/>
  <c r="O919" i="1"/>
  <c r="N919" i="1"/>
  <c r="Q919" i="1" s="1"/>
  <c r="M919" i="1"/>
  <c r="L919" i="1"/>
  <c r="X918" i="1"/>
  <c r="W918" i="1"/>
  <c r="V918" i="1"/>
  <c r="U918" i="1"/>
  <c r="T918" i="1"/>
  <c r="S918" i="1"/>
  <c r="R918" i="1"/>
  <c r="P918" i="1"/>
  <c r="O918" i="1"/>
  <c r="N918" i="1"/>
  <c r="Q918" i="1" s="1"/>
  <c r="M918" i="1"/>
  <c r="L918" i="1"/>
  <c r="X917" i="1"/>
  <c r="W917" i="1"/>
  <c r="V917" i="1"/>
  <c r="T917" i="1"/>
  <c r="U917" i="1" s="1"/>
  <c r="S917" i="1"/>
  <c r="R917" i="1"/>
  <c r="P917" i="1"/>
  <c r="O917" i="1"/>
  <c r="N917" i="1"/>
  <c r="Q917" i="1" s="1"/>
  <c r="M917" i="1"/>
  <c r="L917" i="1"/>
  <c r="X916" i="1"/>
  <c r="W916" i="1"/>
  <c r="V916" i="1"/>
  <c r="U916" i="1"/>
  <c r="T916" i="1"/>
  <c r="S916" i="1"/>
  <c r="R916" i="1"/>
  <c r="P916" i="1"/>
  <c r="O916" i="1"/>
  <c r="N916" i="1"/>
  <c r="Q916" i="1" s="1"/>
  <c r="M916" i="1"/>
  <c r="L916" i="1"/>
  <c r="X915" i="1"/>
  <c r="W915" i="1"/>
  <c r="V915" i="1"/>
  <c r="U915" i="1"/>
  <c r="T915" i="1"/>
  <c r="S915" i="1"/>
  <c r="R915" i="1"/>
  <c r="P915" i="1"/>
  <c r="O915" i="1"/>
  <c r="N915" i="1"/>
  <c r="M915" i="1"/>
  <c r="L915" i="1"/>
  <c r="X914" i="1"/>
  <c r="W914" i="1"/>
  <c r="V914" i="1"/>
  <c r="U914" i="1"/>
  <c r="T914" i="1"/>
  <c r="S914" i="1"/>
  <c r="R914" i="1"/>
  <c r="P914" i="1"/>
  <c r="O914" i="1"/>
  <c r="Q914" i="1" s="1"/>
  <c r="N914" i="1"/>
  <c r="M914" i="1"/>
  <c r="L914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X911" i="1"/>
  <c r="W911" i="1"/>
  <c r="V911" i="1"/>
  <c r="U911" i="1"/>
  <c r="T911" i="1"/>
  <c r="S911" i="1"/>
  <c r="R911" i="1"/>
  <c r="P911" i="1"/>
  <c r="O911" i="1"/>
  <c r="N911" i="1"/>
  <c r="Q911" i="1" s="1"/>
  <c r="M911" i="1"/>
  <c r="L911" i="1"/>
  <c r="X910" i="1"/>
  <c r="W910" i="1"/>
  <c r="V910" i="1"/>
  <c r="U910" i="1"/>
  <c r="T910" i="1"/>
  <c r="S910" i="1"/>
  <c r="R910" i="1"/>
  <c r="P910" i="1"/>
  <c r="O910" i="1"/>
  <c r="Q910" i="1" s="1"/>
  <c r="N910" i="1"/>
  <c r="M910" i="1"/>
  <c r="L910" i="1"/>
  <c r="X909" i="1"/>
  <c r="W909" i="1"/>
  <c r="V909" i="1"/>
  <c r="U909" i="1"/>
  <c r="T909" i="1"/>
  <c r="S909" i="1"/>
  <c r="R909" i="1"/>
  <c r="P909" i="1"/>
  <c r="Q909" i="1" s="1"/>
  <c r="O909" i="1"/>
  <c r="N909" i="1"/>
  <c r="M909" i="1"/>
  <c r="L909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X907" i="1"/>
  <c r="W907" i="1"/>
  <c r="V907" i="1"/>
  <c r="U907" i="1"/>
  <c r="T907" i="1"/>
  <c r="S907" i="1"/>
  <c r="R907" i="1"/>
  <c r="P907" i="1"/>
  <c r="O907" i="1"/>
  <c r="N907" i="1"/>
  <c r="Q907" i="1" s="1"/>
  <c r="M907" i="1"/>
  <c r="L907" i="1"/>
  <c r="X906" i="1"/>
  <c r="W906" i="1"/>
  <c r="V906" i="1"/>
  <c r="U906" i="1"/>
  <c r="T906" i="1"/>
  <c r="S906" i="1"/>
  <c r="R906" i="1"/>
  <c r="P906" i="1"/>
  <c r="O906" i="1"/>
  <c r="N906" i="1"/>
  <c r="Q906" i="1" s="1"/>
  <c r="M906" i="1"/>
  <c r="L906" i="1"/>
  <c r="X905" i="1"/>
  <c r="W905" i="1"/>
  <c r="V905" i="1"/>
  <c r="T905" i="1"/>
  <c r="U905" i="1" s="1"/>
  <c r="S905" i="1"/>
  <c r="R905" i="1"/>
  <c r="P905" i="1"/>
  <c r="O905" i="1"/>
  <c r="N905" i="1"/>
  <c r="Q905" i="1" s="1"/>
  <c r="M905" i="1"/>
  <c r="L905" i="1"/>
  <c r="X904" i="1"/>
  <c r="W904" i="1"/>
  <c r="V904" i="1"/>
  <c r="U904" i="1"/>
  <c r="T904" i="1"/>
  <c r="S904" i="1"/>
  <c r="R904" i="1"/>
  <c r="P904" i="1"/>
  <c r="O904" i="1"/>
  <c r="N904" i="1"/>
  <c r="Q904" i="1" s="1"/>
  <c r="M904" i="1"/>
  <c r="L904" i="1"/>
  <c r="X903" i="1"/>
  <c r="W903" i="1"/>
  <c r="V903" i="1"/>
  <c r="U903" i="1"/>
  <c r="T903" i="1"/>
  <c r="S903" i="1"/>
  <c r="R903" i="1"/>
  <c r="P903" i="1"/>
  <c r="O903" i="1"/>
  <c r="N903" i="1"/>
  <c r="M903" i="1"/>
  <c r="L903" i="1"/>
  <c r="X902" i="1"/>
  <c r="W902" i="1"/>
  <c r="V902" i="1"/>
  <c r="U902" i="1"/>
  <c r="T902" i="1"/>
  <c r="S902" i="1"/>
  <c r="R902" i="1"/>
  <c r="P902" i="1"/>
  <c r="O902" i="1"/>
  <c r="Q902" i="1" s="1"/>
  <c r="N902" i="1"/>
  <c r="M902" i="1"/>
  <c r="L902" i="1"/>
  <c r="X901" i="1"/>
  <c r="W901" i="1"/>
  <c r="V901" i="1"/>
  <c r="T901" i="1"/>
  <c r="U901" i="1" s="1"/>
  <c r="S901" i="1"/>
  <c r="R901" i="1"/>
  <c r="Q901" i="1"/>
  <c r="P901" i="1"/>
  <c r="O901" i="1"/>
  <c r="N901" i="1"/>
  <c r="M901" i="1"/>
  <c r="L901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X899" i="1"/>
  <c r="W899" i="1"/>
  <c r="V899" i="1"/>
  <c r="U899" i="1"/>
  <c r="T899" i="1"/>
  <c r="S899" i="1"/>
  <c r="R899" i="1"/>
  <c r="P899" i="1"/>
  <c r="O899" i="1"/>
  <c r="N899" i="1"/>
  <c r="Q899" i="1" s="1"/>
  <c r="M899" i="1"/>
  <c r="L899" i="1"/>
  <c r="X898" i="1"/>
  <c r="W898" i="1"/>
  <c r="V898" i="1"/>
  <c r="U898" i="1"/>
  <c r="T898" i="1"/>
  <c r="S898" i="1"/>
  <c r="R898" i="1"/>
  <c r="P898" i="1"/>
  <c r="O898" i="1"/>
  <c r="Q898" i="1" s="1"/>
  <c r="N898" i="1"/>
  <c r="M898" i="1"/>
  <c r="L898" i="1"/>
  <c r="X897" i="1"/>
  <c r="W897" i="1"/>
  <c r="V897" i="1"/>
  <c r="U897" i="1"/>
  <c r="T897" i="1"/>
  <c r="S897" i="1"/>
  <c r="R897" i="1"/>
  <c r="P897" i="1"/>
  <c r="Q897" i="1" s="1"/>
  <c r="O897" i="1"/>
  <c r="N897" i="1"/>
  <c r="M897" i="1"/>
  <c r="L897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X895" i="1"/>
  <c r="W895" i="1"/>
  <c r="V895" i="1"/>
  <c r="T895" i="1"/>
  <c r="U895" i="1" s="1"/>
  <c r="S895" i="1"/>
  <c r="R895" i="1"/>
  <c r="P895" i="1"/>
  <c r="O895" i="1"/>
  <c r="N895" i="1"/>
  <c r="Q895" i="1" s="1"/>
  <c r="M895" i="1"/>
  <c r="L895" i="1"/>
  <c r="X894" i="1"/>
  <c r="W894" i="1"/>
  <c r="V894" i="1"/>
  <c r="U894" i="1"/>
  <c r="T894" i="1"/>
  <c r="S894" i="1"/>
  <c r="R894" i="1"/>
  <c r="P894" i="1"/>
  <c r="O894" i="1"/>
  <c r="N894" i="1"/>
  <c r="Q894" i="1" s="1"/>
  <c r="M894" i="1"/>
  <c r="L894" i="1"/>
  <c r="X893" i="1"/>
  <c r="W893" i="1"/>
  <c r="V893" i="1"/>
  <c r="U893" i="1"/>
  <c r="T893" i="1"/>
  <c r="S893" i="1"/>
  <c r="R893" i="1"/>
  <c r="P893" i="1"/>
  <c r="O893" i="1"/>
  <c r="N893" i="1"/>
  <c r="Q893" i="1" s="1"/>
  <c r="M893" i="1"/>
  <c r="L893" i="1"/>
  <c r="X892" i="1"/>
  <c r="W892" i="1"/>
  <c r="V892" i="1"/>
  <c r="U892" i="1"/>
  <c r="T892" i="1"/>
  <c r="S892" i="1"/>
  <c r="R892" i="1"/>
  <c r="P892" i="1"/>
  <c r="O892" i="1"/>
  <c r="N892" i="1"/>
  <c r="Q892" i="1" s="1"/>
  <c r="M892" i="1"/>
  <c r="L892" i="1"/>
  <c r="X891" i="1"/>
  <c r="W891" i="1"/>
  <c r="V891" i="1"/>
  <c r="U891" i="1"/>
  <c r="T891" i="1"/>
  <c r="S891" i="1"/>
  <c r="R891" i="1"/>
  <c r="P891" i="1"/>
  <c r="O891" i="1"/>
  <c r="N891" i="1"/>
  <c r="M891" i="1"/>
  <c r="L891" i="1"/>
  <c r="X890" i="1"/>
  <c r="W890" i="1"/>
  <c r="V890" i="1"/>
  <c r="T890" i="1"/>
  <c r="U890" i="1" s="1"/>
  <c r="S890" i="1"/>
  <c r="R890" i="1"/>
  <c r="P890" i="1"/>
  <c r="O890" i="1"/>
  <c r="Q890" i="1" s="1"/>
  <c r="N890" i="1"/>
  <c r="M890" i="1"/>
  <c r="L890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X888" i="1"/>
  <c r="W888" i="1"/>
  <c r="V888" i="1"/>
  <c r="T888" i="1"/>
  <c r="U888" i="1" s="1"/>
  <c r="S888" i="1"/>
  <c r="R888" i="1"/>
  <c r="Q888" i="1"/>
  <c r="P888" i="1"/>
  <c r="O888" i="1"/>
  <c r="N888" i="1"/>
  <c r="M888" i="1"/>
  <c r="L888" i="1"/>
  <c r="X887" i="1"/>
  <c r="W887" i="1"/>
  <c r="V887" i="1"/>
  <c r="U887" i="1"/>
  <c r="T887" i="1"/>
  <c r="S887" i="1"/>
  <c r="R887" i="1"/>
  <c r="P887" i="1"/>
  <c r="O887" i="1"/>
  <c r="N887" i="1"/>
  <c r="Q887" i="1" s="1"/>
  <c r="M887" i="1"/>
  <c r="L887" i="1"/>
  <c r="X886" i="1"/>
  <c r="W886" i="1"/>
  <c r="V886" i="1"/>
  <c r="U886" i="1"/>
  <c r="T886" i="1"/>
  <c r="S886" i="1"/>
  <c r="R886" i="1"/>
  <c r="P886" i="1"/>
  <c r="O886" i="1"/>
  <c r="Q886" i="1" s="1"/>
  <c r="N886" i="1"/>
  <c r="M886" i="1"/>
  <c r="L886" i="1"/>
  <c r="X885" i="1"/>
  <c r="W885" i="1"/>
  <c r="V885" i="1"/>
  <c r="U885" i="1"/>
  <c r="T885" i="1"/>
  <c r="S885" i="1"/>
  <c r="R885" i="1"/>
  <c r="P885" i="1"/>
  <c r="Q885" i="1" s="1"/>
  <c r="O885" i="1"/>
  <c r="N885" i="1"/>
  <c r="M885" i="1"/>
  <c r="L885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X883" i="1"/>
  <c r="W883" i="1"/>
  <c r="V883" i="1"/>
  <c r="T883" i="1"/>
  <c r="U883" i="1" s="1"/>
  <c r="S883" i="1"/>
  <c r="R883" i="1"/>
  <c r="P883" i="1"/>
  <c r="O883" i="1"/>
  <c r="N883" i="1"/>
  <c r="Q883" i="1" s="1"/>
  <c r="M883" i="1"/>
  <c r="L883" i="1"/>
  <c r="X882" i="1"/>
  <c r="W882" i="1"/>
  <c r="V882" i="1"/>
  <c r="U882" i="1"/>
  <c r="T882" i="1"/>
  <c r="S882" i="1"/>
  <c r="R882" i="1"/>
  <c r="P882" i="1"/>
  <c r="O882" i="1"/>
  <c r="N882" i="1"/>
  <c r="Q882" i="1" s="1"/>
  <c r="M882" i="1"/>
  <c r="L882" i="1"/>
  <c r="X881" i="1"/>
  <c r="W881" i="1"/>
  <c r="V881" i="1"/>
  <c r="T881" i="1"/>
  <c r="U881" i="1" s="1"/>
  <c r="S881" i="1"/>
  <c r="R881" i="1"/>
  <c r="P881" i="1"/>
  <c r="O881" i="1"/>
  <c r="N881" i="1"/>
  <c r="Q881" i="1" s="1"/>
  <c r="M881" i="1"/>
  <c r="L881" i="1"/>
  <c r="X880" i="1"/>
  <c r="W880" i="1"/>
  <c r="V880" i="1"/>
  <c r="U880" i="1"/>
  <c r="T880" i="1"/>
  <c r="S880" i="1"/>
  <c r="R880" i="1"/>
  <c r="P880" i="1"/>
  <c r="O880" i="1"/>
  <c r="N880" i="1"/>
  <c r="Q880" i="1" s="1"/>
  <c r="M880" i="1"/>
  <c r="L880" i="1"/>
  <c r="X879" i="1"/>
  <c r="W879" i="1"/>
  <c r="V879" i="1"/>
  <c r="U879" i="1"/>
  <c r="T879" i="1"/>
  <c r="S879" i="1"/>
  <c r="R879" i="1"/>
  <c r="P879" i="1"/>
  <c r="O879" i="1"/>
  <c r="N879" i="1"/>
  <c r="M879" i="1"/>
  <c r="L879" i="1"/>
  <c r="X878" i="1"/>
  <c r="W878" i="1"/>
  <c r="V878" i="1"/>
  <c r="U878" i="1"/>
  <c r="T878" i="1"/>
  <c r="S878" i="1"/>
  <c r="R878" i="1"/>
  <c r="P878" i="1"/>
  <c r="O878" i="1"/>
  <c r="Q878" i="1" s="1"/>
  <c r="N878" i="1"/>
  <c r="M878" i="1"/>
  <c r="L878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X875" i="1"/>
  <c r="W875" i="1"/>
  <c r="V875" i="1"/>
  <c r="U875" i="1"/>
  <c r="T875" i="1"/>
  <c r="S875" i="1"/>
  <c r="R875" i="1"/>
  <c r="P875" i="1"/>
  <c r="O875" i="1"/>
  <c r="N875" i="1"/>
  <c r="Q875" i="1" s="1"/>
  <c r="M875" i="1"/>
  <c r="L875" i="1"/>
  <c r="X874" i="1"/>
  <c r="W874" i="1"/>
  <c r="V874" i="1"/>
  <c r="U874" i="1"/>
  <c r="T874" i="1"/>
  <c r="S874" i="1"/>
  <c r="R874" i="1"/>
  <c r="P874" i="1"/>
  <c r="O874" i="1"/>
  <c r="Q874" i="1" s="1"/>
  <c r="N874" i="1"/>
  <c r="M874" i="1"/>
  <c r="L874" i="1"/>
  <c r="X873" i="1"/>
  <c r="W873" i="1"/>
  <c r="V873" i="1"/>
  <c r="U873" i="1"/>
  <c r="T873" i="1"/>
  <c r="S873" i="1"/>
  <c r="R873" i="1"/>
  <c r="P873" i="1"/>
  <c r="Q873" i="1" s="1"/>
  <c r="O873" i="1"/>
  <c r="N873" i="1"/>
  <c r="M873" i="1"/>
  <c r="L873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X871" i="1"/>
  <c r="W871" i="1"/>
  <c r="V871" i="1"/>
  <c r="U871" i="1"/>
  <c r="T871" i="1"/>
  <c r="S871" i="1"/>
  <c r="R871" i="1"/>
  <c r="P871" i="1"/>
  <c r="O871" i="1"/>
  <c r="N871" i="1"/>
  <c r="Q871" i="1" s="1"/>
  <c r="M871" i="1"/>
  <c r="L871" i="1"/>
  <c r="X870" i="1"/>
  <c r="W870" i="1"/>
  <c r="V870" i="1"/>
  <c r="U870" i="1"/>
  <c r="T870" i="1"/>
  <c r="S870" i="1"/>
  <c r="R870" i="1"/>
  <c r="P870" i="1"/>
  <c r="O870" i="1"/>
  <c r="N870" i="1"/>
  <c r="Q870" i="1" s="1"/>
  <c r="M870" i="1"/>
  <c r="L870" i="1"/>
  <c r="X869" i="1"/>
  <c r="W869" i="1"/>
  <c r="V869" i="1"/>
  <c r="U869" i="1"/>
  <c r="T869" i="1"/>
  <c r="S869" i="1"/>
  <c r="R869" i="1"/>
  <c r="P869" i="1"/>
  <c r="O869" i="1"/>
  <c r="N869" i="1"/>
  <c r="Q869" i="1" s="1"/>
  <c r="M869" i="1"/>
  <c r="L869" i="1"/>
  <c r="X868" i="1"/>
  <c r="W868" i="1"/>
  <c r="V868" i="1"/>
  <c r="U868" i="1"/>
  <c r="T868" i="1"/>
  <c r="S868" i="1"/>
  <c r="R868" i="1"/>
  <c r="P868" i="1"/>
  <c r="O868" i="1"/>
  <c r="N868" i="1"/>
  <c r="Q868" i="1" s="1"/>
  <c r="M868" i="1"/>
  <c r="L868" i="1"/>
  <c r="X867" i="1"/>
  <c r="W867" i="1"/>
  <c r="V867" i="1"/>
  <c r="T867" i="1"/>
  <c r="U867" i="1" s="1"/>
  <c r="S867" i="1"/>
  <c r="R867" i="1"/>
  <c r="P867" i="1"/>
  <c r="O867" i="1"/>
  <c r="N867" i="1"/>
  <c r="M867" i="1"/>
  <c r="L867" i="1"/>
  <c r="X866" i="1"/>
  <c r="W866" i="1"/>
  <c r="V866" i="1"/>
  <c r="U866" i="1"/>
  <c r="T866" i="1"/>
  <c r="S866" i="1"/>
  <c r="R866" i="1"/>
  <c r="P866" i="1"/>
  <c r="O866" i="1"/>
  <c r="N866" i="1"/>
  <c r="M866" i="1"/>
  <c r="L866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X864" i="1"/>
  <c r="W864" i="1"/>
  <c r="V864" i="1"/>
  <c r="T864" i="1"/>
  <c r="U864" i="1" s="1"/>
  <c r="S864" i="1"/>
  <c r="R864" i="1"/>
  <c r="Q864" i="1"/>
  <c r="P864" i="1"/>
  <c r="O864" i="1"/>
  <c r="N864" i="1"/>
  <c r="M864" i="1"/>
  <c r="L864" i="1"/>
  <c r="X863" i="1"/>
  <c r="W863" i="1"/>
  <c r="V863" i="1"/>
  <c r="U863" i="1"/>
  <c r="T863" i="1"/>
  <c r="S863" i="1"/>
  <c r="R863" i="1"/>
  <c r="P863" i="1"/>
  <c r="O863" i="1"/>
  <c r="N863" i="1"/>
  <c r="Q863" i="1" s="1"/>
  <c r="M863" i="1"/>
  <c r="L863" i="1"/>
  <c r="X862" i="1"/>
  <c r="W862" i="1"/>
  <c r="V862" i="1"/>
  <c r="T862" i="1"/>
  <c r="U862" i="1" s="1"/>
  <c r="S862" i="1"/>
  <c r="R862" i="1"/>
  <c r="P862" i="1"/>
  <c r="O862" i="1"/>
  <c r="Q862" i="1" s="1"/>
  <c r="N862" i="1"/>
  <c r="M862" i="1"/>
  <c r="L862" i="1"/>
  <c r="X861" i="1"/>
  <c r="W861" i="1"/>
  <c r="V861" i="1"/>
  <c r="U861" i="1"/>
  <c r="T861" i="1"/>
  <c r="S861" i="1"/>
  <c r="R861" i="1"/>
  <c r="P861" i="1"/>
  <c r="Q861" i="1" s="1"/>
  <c r="O861" i="1"/>
  <c r="N861" i="1"/>
  <c r="M861" i="1"/>
  <c r="L861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X859" i="1"/>
  <c r="W859" i="1"/>
  <c r="V859" i="1"/>
  <c r="U859" i="1"/>
  <c r="T859" i="1"/>
  <c r="S859" i="1"/>
  <c r="R859" i="1"/>
  <c r="P859" i="1"/>
  <c r="O859" i="1"/>
  <c r="N859" i="1"/>
  <c r="Q859" i="1" s="1"/>
  <c r="M859" i="1"/>
  <c r="L859" i="1"/>
  <c r="X858" i="1"/>
  <c r="W858" i="1"/>
  <c r="V858" i="1"/>
  <c r="U858" i="1"/>
  <c r="T858" i="1"/>
  <c r="S858" i="1"/>
  <c r="R858" i="1"/>
  <c r="P858" i="1"/>
  <c r="O858" i="1"/>
  <c r="N858" i="1"/>
  <c r="Q858" i="1" s="1"/>
  <c r="M858" i="1"/>
  <c r="L858" i="1"/>
  <c r="X857" i="1"/>
  <c r="W857" i="1"/>
  <c r="V857" i="1"/>
  <c r="U857" i="1"/>
  <c r="T857" i="1"/>
  <c r="S857" i="1"/>
  <c r="R857" i="1"/>
  <c r="P857" i="1"/>
  <c r="O857" i="1"/>
  <c r="N857" i="1"/>
  <c r="Q857" i="1" s="1"/>
  <c r="M857" i="1"/>
  <c r="L857" i="1"/>
  <c r="X856" i="1"/>
  <c r="W856" i="1"/>
  <c r="V856" i="1"/>
  <c r="U856" i="1"/>
  <c r="T856" i="1"/>
  <c r="S856" i="1"/>
  <c r="R856" i="1"/>
  <c r="P856" i="1"/>
  <c r="O856" i="1"/>
  <c r="N856" i="1"/>
  <c r="Q856" i="1" s="1"/>
  <c r="M856" i="1"/>
  <c r="L856" i="1"/>
  <c r="X855" i="1"/>
  <c r="W855" i="1"/>
  <c r="V855" i="1"/>
  <c r="U855" i="1"/>
  <c r="T855" i="1"/>
  <c r="S855" i="1"/>
  <c r="R855" i="1"/>
  <c r="P855" i="1"/>
  <c r="O855" i="1"/>
  <c r="N855" i="1"/>
  <c r="Q855" i="1" s="1"/>
  <c r="M855" i="1"/>
  <c r="L855" i="1"/>
  <c r="X854" i="1"/>
  <c r="W854" i="1"/>
  <c r="V854" i="1"/>
  <c r="T854" i="1"/>
  <c r="U854" i="1" s="1"/>
  <c r="S854" i="1"/>
  <c r="R854" i="1"/>
  <c r="P854" i="1"/>
  <c r="O854" i="1"/>
  <c r="N854" i="1"/>
  <c r="M854" i="1"/>
  <c r="L854" i="1"/>
  <c r="X853" i="1"/>
  <c r="W853" i="1"/>
  <c r="V853" i="1"/>
  <c r="T853" i="1"/>
  <c r="U853" i="1" s="1"/>
  <c r="S853" i="1"/>
  <c r="R853" i="1"/>
  <c r="Q853" i="1"/>
  <c r="P853" i="1"/>
  <c r="O853" i="1"/>
  <c r="N853" i="1"/>
  <c r="M853" i="1"/>
  <c r="L853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X851" i="1"/>
  <c r="W851" i="1"/>
  <c r="V851" i="1"/>
  <c r="U851" i="1"/>
  <c r="T851" i="1"/>
  <c r="S851" i="1"/>
  <c r="R851" i="1"/>
  <c r="P851" i="1"/>
  <c r="O851" i="1"/>
  <c r="N851" i="1"/>
  <c r="Q851" i="1" s="1"/>
  <c r="M851" i="1"/>
  <c r="L851" i="1"/>
  <c r="X850" i="1"/>
  <c r="W850" i="1"/>
  <c r="V850" i="1"/>
  <c r="U850" i="1"/>
  <c r="T850" i="1"/>
  <c r="S850" i="1"/>
  <c r="R850" i="1"/>
  <c r="P850" i="1"/>
  <c r="O850" i="1"/>
  <c r="Q850" i="1" s="1"/>
  <c r="N850" i="1"/>
  <c r="M850" i="1"/>
  <c r="L850" i="1"/>
  <c r="X849" i="1"/>
  <c r="W849" i="1"/>
  <c r="V849" i="1"/>
  <c r="U849" i="1"/>
  <c r="T849" i="1"/>
  <c r="S849" i="1"/>
  <c r="R849" i="1"/>
  <c r="P849" i="1"/>
  <c r="Q849" i="1" s="1"/>
  <c r="O849" i="1"/>
  <c r="N849" i="1"/>
  <c r="M849" i="1"/>
  <c r="L849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X847" i="1"/>
  <c r="W847" i="1"/>
  <c r="V847" i="1"/>
  <c r="U847" i="1"/>
  <c r="T847" i="1"/>
  <c r="S847" i="1"/>
  <c r="R847" i="1"/>
  <c r="P847" i="1"/>
  <c r="O847" i="1"/>
  <c r="N847" i="1"/>
  <c r="Q847" i="1" s="1"/>
  <c r="M847" i="1"/>
  <c r="L847" i="1"/>
  <c r="X846" i="1"/>
  <c r="W846" i="1"/>
  <c r="V846" i="1"/>
  <c r="U846" i="1"/>
  <c r="T846" i="1"/>
  <c r="S846" i="1"/>
  <c r="R846" i="1"/>
  <c r="P846" i="1"/>
  <c r="O846" i="1"/>
  <c r="N846" i="1"/>
  <c r="Q846" i="1" s="1"/>
  <c r="M846" i="1"/>
  <c r="L846" i="1"/>
  <c r="X845" i="1"/>
  <c r="W845" i="1"/>
  <c r="V845" i="1"/>
  <c r="U845" i="1"/>
  <c r="T845" i="1"/>
  <c r="S845" i="1"/>
  <c r="R845" i="1"/>
  <c r="P845" i="1"/>
  <c r="O845" i="1"/>
  <c r="N845" i="1"/>
  <c r="Q845" i="1" s="1"/>
  <c r="M845" i="1"/>
  <c r="L845" i="1"/>
  <c r="X844" i="1"/>
  <c r="W844" i="1"/>
  <c r="V844" i="1"/>
  <c r="U844" i="1"/>
  <c r="T844" i="1"/>
  <c r="S844" i="1"/>
  <c r="R844" i="1"/>
  <c r="P844" i="1"/>
  <c r="O844" i="1"/>
  <c r="N844" i="1"/>
  <c r="Q844" i="1" s="1"/>
  <c r="M844" i="1"/>
  <c r="L844" i="1"/>
  <c r="X843" i="1"/>
  <c r="W843" i="1"/>
  <c r="V843" i="1"/>
  <c r="U843" i="1"/>
  <c r="T843" i="1"/>
  <c r="S843" i="1"/>
  <c r="R843" i="1"/>
  <c r="P843" i="1"/>
  <c r="O843" i="1"/>
  <c r="N843" i="1"/>
  <c r="M843" i="1"/>
  <c r="L843" i="1"/>
  <c r="X842" i="1"/>
  <c r="W842" i="1"/>
  <c r="V842" i="1"/>
  <c r="U842" i="1"/>
  <c r="T842" i="1"/>
  <c r="S842" i="1"/>
  <c r="R842" i="1"/>
  <c r="P842" i="1"/>
  <c r="O842" i="1"/>
  <c r="Q842" i="1" s="1"/>
  <c r="N842" i="1"/>
  <c r="M842" i="1"/>
  <c r="L842" i="1"/>
  <c r="X841" i="1"/>
  <c r="W841" i="1"/>
  <c r="V841" i="1"/>
  <c r="T841" i="1"/>
  <c r="U841" i="1" s="1"/>
  <c r="S841" i="1"/>
  <c r="R841" i="1"/>
  <c r="Q841" i="1"/>
  <c r="P841" i="1"/>
  <c r="O841" i="1"/>
  <c r="N841" i="1"/>
  <c r="M841" i="1"/>
  <c r="L841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X839" i="1"/>
  <c r="W839" i="1"/>
  <c r="V839" i="1"/>
  <c r="U839" i="1"/>
  <c r="T839" i="1"/>
  <c r="S839" i="1"/>
  <c r="R839" i="1"/>
  <c r="P839" i="1"/>
  <c r="O839" i="1"/>
  <c r="N839" i="1"/>
  <c r="Q839" i="1" s="1"/>
  <c r="M839" i="1"/>
  <c r="L839" i="1"/>
  <c r="X838" i="1"/>
  <c r="W838" i="1"/>
  <c r="V838" i="1"/>
  <c r="U838" i="1"/>
  <c r="T838" i="1"/>
  <c r="S838" i="1"/>
  <c r="R838" i="1"/>
  <c r="P838" i="1"/>
  <c r="O838" i="1"/>
  <c r="Q838" i="1" s="1"/>
  <c r="N838" i="1"/>
  <c r="M838" i="1"/>
  <c r="L838" i="1"/>
  <c r="X837" i="1"/>
  <c r="W837" i="1"/>
  <c r="V837" i="1"/>
  <c r="U837" i="1"/>
  <c r="T837" i="1"/>
  <c r="S837" i="1"/>
  <c r="R837" i="1"/>
  <c r="P837" i="1"/>
  <c r="Q837" i="1" s="1"/>
  <c r="O837" i="1"/>
  <c r="N837" i="1"/>
  <c r="M837" i="1"/>
  <c r="L837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X835" i="1"/>
  <c r="W835" i="1"/>
  <c r="V835" i="1"/>
  <c r="U835" i="1"/>
  <c r="T835" i="1"/>
  <c r="S835" i="1"/>
  <c r="R835" i="1"/>
  <c r="P835" i="1"/>
  <c r="O835" i="1"/>
  <c r="N835" i="1"/>
  <c r="Q835" i="1" s="1"/>
  <c r="M835" i="1"/>
  <c r="L835" i="1"/>
  <c r="X834" i="1"/>
  <c r="W834" i="1"/>
  <c r="V834" i="1"/>
  <c r="U834" i="1"/>
  <c r="T834" i="1"/>
  <c r="S834" i="1"/>
  <c r="R834" i="1"/>
  <c r="P834" i="1"/>
  <c r="O834" i="1"/>
  <c r="N834" i="1"/>
  <c r="Q834" i="1" s="1"/>
  <c r="M834" i="1"/>
  <c r="L834" i="1"/>
  <c r="X833" i="1"/>
  <c r="W833" i="1"/>
  <c r="V833" i="1"/>
  <c r="U833" i="1"/>
  <c r="T833" i="1"/>
  <c r="S833" i="1"/>
  <c r="R833" i="1"/>
  <c r="P833" i="1"/>
  <c r="O833" i="1"/>
  <c r="N833" i="1"/>
  <c r="Q833" i="1" s="1"/>
  <c r="M833" i="1"/>
  <c r="L833" i="1"/>
  <c r="X832" i="1"/>
  <c r="W832" i="1"/>
  <c r="V832" i="1"/>
  <c r="U832" i="1"/>
  <c r="T832" i="1"/>
  <c r="S832" i="1"/>
  <c r="R832" i="1"/>
  <c r="P832" i="1"/>
  <c r="O832" i="1"/>
  <c r="N832" i="1"/>
  <c r="Q832" i="1" s="1"/>
  <c r="M832" i="1"/>
  <c r="L832" i="1"/>
  <c r="X831" i="1"/>
  <c r="W831" i="1"/>
  <c r="V831" i="1"/>
  <c r="T831" i="1"/>
  <c r="U831" i="1" s="1"/>
  <c r="S831" i="1"/>
  <c r="R831" i="1"/>
  <c r="P831" i="1"/>
  <c r="O831" i="1"/>
  <c r="N831" i="1"/>
  <c r="Q831" i="1" s="1"/>
  <c r="M831" i="1"/>
  <c r="L831" i="1"/>
  <c r="X830" i="1"/>
  <c r="W830" i="1"/>
  <c r="V830" i="1"/>
  <c r="U830" i="1"/>
  <c r="T830" i="1"/>
  <c r="S830" i="1"/>
  <c r="R830" i="1"/>
  <c r="P830" i="1"/>
  <c r="O830" i="1"/>
  <c r="N830" i="1"/>
  <c r="M830" i="1"/>
  <c r="L830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X827" i="1"/>
  <c r="W827" i="1"/>
  <c r="V827" i="1"/>
  <c r="U827" i="1"/>
  <c r="T827" i="1"/>
  <c r="S827" i="1"/>
  <c r="R827" i="1"/>
  <c r="P827" i="1"/>
  <c r="O827" i="1"/>
  <c r="N827" i="1"/>
  <c r="Q827" i="1" s="1"/>
  <c r="M827" i="1"/>
  <c r="L827" i="1"/>
  <c r="X826" i="1"/>
  <c r="W826" i="1"/>
  <c r="V826" i="1"/>
  <c r="T826" i="1"/>
  <c r="U826" i="1" s="1"/>
  <c r="S826" i="1"/>
  <c r="R826" i="1"/>
  <c r="P826" i="1"/>
  <c r="O826" i="1"/>
  <c r="Q826" i="1" s="1"/>
  <c r="N826" i="1"/>
  <c r="M826" i="1"/>
  <c r="L826" i="1"/>
  <c r="X825" i="1"/>
  <c r="W825" i="1"/>
  <c r="V825" i="1"/>
  <c r="U825" i="1"/>
  <c r="T825" i="1"/>
  <c r="S825" i="1"/>
  <c r="R825" i="1"/>
  <c r="P825" i="1"/>
  <c r="Q825" i="1" s="1"/>
  <c r="O825" i="1"/>
  <c r="N825" i="1"/>
  <c r="M825" i="1"/>
  <c r="L825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X823" i="1"/>
  <c r="W823" i="1"/>
  <c r="V823" i="1"/>
  <c r="U823" i="1"/>
  <c r="T823" i="1"/>
  <c r="S823" i="1"/>
  <c r="R823" i="1"/>
  <c r="P823" i="1"/>
  <c r="O823" i="1"/>
  <c r="N823" i="1"/>
  <c r="Q823" i="1" s="1"/>
  <c r="M823" i="1"/>
  <c r="L823" i="1"/>
  <c r="X822" i="1"/>
  <c r="W822" i="1"/>
  <c r="V822" i="1"/>
  <c r="U822" i="1"/>
  <c r="T822" i="1"/>
  <c r="S822" i="1"/>
  <c r="R822" i="1"/>
  <c r="P822" i="1"/>
  <c r="O822" i="1"/>
  <c r="N822" i="1"/>
  <c r="Q822" i="1" s="1"/>
  <c r="M822" i="1"/>
  <c r="L822" i="1"/>
  <c r="X821" i="1"/>
  <c r="W821" i="1"/>
  <c r="V821" i="1"/>
  <c r="T821" i="1"/>
  <c r="U821" i="1" s="1"/>
  <c r="S821" i="1"/>
  <c r="R821" i="1"/>
  <c r="P821" i="1"/>
  <c r="O821" i="1"/>
  <c r="N821" i="1"/>
  <c r="Q821" i="1" s="1"/>
  <c r="M821" i="1"/>
  <c r="L821" i="1"/>
  <c r="X820" i="1"/>
  <c r="W820" i="1"/>
  <c r="V820" i="1"/>
  <c r="U820" i="1"/>
  <c r="T820" i="1"/>
  <c r="S820" i="1"/>
  <c r="R820" i="1"/>
  <c r="P820" i="1"/>
  <c r="O820" i="1"/>
  <c r="N820" i="1"/>
  <c r="Q820" i="1" s="1"/>
  <c r="M820" i="1"/>
  <c r="L820" i="1"/>
  <c r="X819" i="1"/>
  <c r="W819" i="1"/>
  <c r="V819" i="1"/>
  <c r="U819" i="1"/>
  <c r="T819" i="1"/>
  <c r="S819" i="1"/>
  <c r="R819" i="1"/>
  <c r="P819" i="1"/>
  <c r="O819" i="1"/>
  <c r="N819" i="1"/>
  <c r="M819" i="1"/>
  <c r="L819" i="1"/>
  <c r="X818" i="1"/>
  <c r="W818" i="1"/>
  <c r="V818" i="1"/>
  <c r="T818" i="1"/>
  <c r="U818" i="1" s="1"/>
  <c r="S818" i="1"/>
  <c r="R818" i="1"/>
  <c r="P818" i="1"/>
  <c r="O818" i="1"/>
  <c r="N818" i="1"/>
  <c r="M818" i="1"/>
  <c r="L818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X815" i="1"/>
  <c r="W815" i="1"/>
  <c r="V815" i="1"/>
  <c r="U815" i="1"/>
  <c r="T815" i="1"/>
  <c r="S815" i="1"/>
  <c r="R815" i="1"/>
  <c r="P815" i="1"/>
  <c r="O815" i="1"/>
  <c r="N815" i="1"/>
  <c r="Q815" i="1" s="1"/>
  <c r="M815" i="1"/>
  <c r="L815" i="1"/>
  <c r="X814" i="1"/>
  <c r="W814" i="1"/>
  <c r="V814" i="1"/>
  <c r="U814" i="1"/>
  <c r="T814" i="1"/>
  <c r="S814" i="1"/>
  <c r="R814" i="1"/>
  <c r="P814" i="1"/>
  <c r="O814" i="1"/>
  <c r="Q814" i="1" s="1"/>
  <c r="N814" i="1"/>
  <c r="M814" i="1"/>
  <c r="L814" i="1"/>
  <c r="X813" i="1"/>
  <c r="W813" i="1"/>
  <c r="V813" i="1"/>
  <c r="U813" i="1"/>
  <c r="T813" i="1"/>
  <c r="S813" i="1"/>
  <c r="R813" i="1"/>
  <c r="P813" i="1"/>
  <c r="Q813" i="1" s="1"/>
  <c r="O813" i="1"/>
  <c r="N813" i="1"/>
  <c r="M813" i="1"/>
  <c r="L813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X811" i="1"/>
  <c r="W811" i="1"/>
  <c r="V811" i="1"/>
  <c r="U811" i="1"/>
  <c r="T811" i="1"/>
  <c r="S811" i="1"/>
  <c r="R811" i="1"/>
  <c r="P811" i="1"/>
  <c r="O811" i="1"/>
  <c r="N811" i="1"/>
  <c r="Q811" i="1" s="1"/>
  <c r="M811" i="1"/>
  <c r="L811" i="1"/>
  <c r="X810" i="1"/>
  <c r="W810" i="1"/>
  <c r="V810" i="1"/>
  <c r="U810" i="1"/>
  <c r="T810" i="1"/>
  <c r="S810" i="1"/>
  <c r="R810" i="1"/>
  <c r="P810" i="1"/>
  <c r="O810" i="1"/>
  <c r="N810" i="1"/>
  <c r="Q810" i="1" s="1"/>
  <c r="M810" i="1"/>
  <c r="L810" i="1"/>
  <c r="X809" i="1"/>
  <c r="W809" i="1"/>
  <c r="V809" i="1"/>
  <c r="U809" i="1"/>
  <c r="T809" i="1"/>
  <c r="S809" i="1"/>
  <c r="R809" i="1"/>
  <c r="P809" i="1"/>
  <c r="O809" i="1"/>
  <c r="N809" i="1"/>
  <c r="Q809" i="1" s="1"/>
  <c r="M809" i="1"/>
  <c r="L809" i="1"/>
  <c r="X808" i="1"/>
  <c r="W808" i="1"/>
  <c r="V808" i="1"/>
  <c r="U808" i="1"/>
  <c r="T808" i="1"/>
  <c r="S808" i="1"/>
  <c r="R808" i="1"/>
  <c r="P808" i="1"/>
  <c r="O808" i="1"/>
  <c r="N808" i="1"/>
  <c r="Q808" i="1" s="1"/>
  <c r="M808" i="1"/>
  <c r="L808" i="1"/>
  <c r="X807" i="1"/>
  <c r="W807" i="1"/>
  <c r="V807" i="1"/>
  <c r="U807" i="1"/>
  <c r="T807" i="1"/>
  <c r="S807" i="1"/>
  <c r="R807" i="1"/>
  <c r="P807" i="1"/>
  <c r="O807" i="1"/>
  <c r="N807" i="1"/>
  <c r="M807" i="1"/>
  <c r="L807" i="1"/>
  <c r="X806" i="1"/>
  <c r="W806" i="1"/>
  <c r="V806" i="1"/>
  <c r="U806" i="1"/>
  <c r="T806" i="1"/>
  <c r="S806" i="1"/>
  <c r="R806" i="1"/>
  <c r="P806" i="1"/>
  <c r="O806" i="1"/>
  <c r="N806" i="1"/>
  <c r="M806" i="1"/>
  <c r="L806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X803" i="1"/>
  <c r="W803" i="1"/>
  <c r="V803" i="1"/>
  <c r="U803" i="1"/>
  <c r="T803" i="1"/>
  <c r="S803" i="1"/>
  <c r="R803" i="1"/>
  <c r="P803" i="1"/>
  <c r="O803" i="1"/>
  <c r="N803" i="1"/>
  <c r="Q803" i="1" s="1"/>
  <c r="M803" i="1"/>
  <c r="L803" i="1"/>
  <c r="X802" i="1"/>
  <c r="W802" i="1"/>
  <c r="V802" i="1"/>
  <c r="U802" i="1"/>
  <c r="T802" i="1"/>
  <c r="S802" i="1"/>
  <c r="R802" i="1"/>
  <c r="P802" i="1"/>
  <c r="O802" i="1"/>
  <c r="Q802" i="1" s="1"/>
  <c r="N802" i="1"/>
  <c r="M802" i="1"/>
  <c r="L802" i="1"/>
  <c r="X801" i="1"/>
  <c r="W801" i="1"/>
  <c r="V801" i="1"/>
  <c r="U801" i="1"/>
  <c r="T801" i="1"/>
  <c r="S801" i="1"/>
  <c r="R801" i="1"/>
  <c r="P801" i="1"/>
  <c r="Q801" i="1" s="1"/>
  <c r="O801" i="1"/>
  <c r="N801" i="1"/>
  <c r="M801" i="1"/>
  <c r="L801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X799" i="1"/>
  <c r="W799" i="1"/>
  <c r="V799" i="1"/>
  <c r="U799" i="1"/>
  <c r="T799" i="1"/>
  <c r="S799" i="1"/>
  <c r="R799" i="1"/>
  <c r="P799" i="1"/>
  <c r="O799" i="1"/>
  <c r="N799" i="1"/>
  <c r="Q799" i="1" s="1"/>
  <c r="M799" i="1"/>
  <c r="L799" i="1"/>
  <c r="X798" i="1"/>
  <c r="W798" i="1"/>
  <c r="V798" i="1"/>
  <c r="U798" i="1"/>
  <c r="T798" i="1"/>
  <c r="S798" i="1"/>
  <c r="R798" i="1"/>
  <c r="P798" i="1"/>
  <c r="O798" i="1"/>
  <c r="N798" i="1"/>
  <c r="Q798" i="1" s="1"/>
  <c r="M798" i="1"/>
  <c r="L798" i="1"/>
  <c r="X797" i="1"/>
  <c r="W797" i="1"/>
  <c r="V797" i="1"/>
  <c r="T797" i="1"/>
  <c r="U797" i="1" s="1"/>
  <c r="S797" i="1"/>
  <c r="R797" i="1"/>
  <c r="P797" i="1"/>
  <c r="O797" i="1"/>
  <c r="N797" i="1"/>
  <c r="Q797" i="1" s="1"/>
  <c r="M797" i="1"/>
  <c r="L797" i="1"/>
  <c r="X796" i="1"/>
  <c r="W796" i="1"/>
  <c r="V796" i="1"/>
  <c r="U796" i="1"/>
  <c r="T796" i="1"/>
  <c r="S796" i="1"/>
  <c r="R796" i="1"/>
  <c r="P796" i="1"/>
  <c r="O796" i="1"/>
  <c r="N796" i="1"/>
  <c r="Q796" i="1" s="1"/>
  <c r="M796" i="1"/>
  <c r="L796" i="1"/>
  <c r="X795" i="1"/>
  <c r="W795" i="1"/>
  <c r="V795" i="1"/>
  <c r="T795" i="1"/>
  <c r="U795" i="1" s="1"/>
  <c r="S795" i="1"/>
  <c r="R795" i="1"/>
  <c r="P795" i="1"/>
  <c r="O795" i="1"/>
  <c r="N795" i="1"/>
  <c r="Q795" i="1" s="1"/>
  <c r="M795" i="1"/>
  <c r="L795" i="1"/>
  <c r="X794" i="1"/>
  <c r="W794" i="1"/>
  <c r="V794" i="1"/>
  <c r="U794" i="1"/>
  <c r="T794" i="1"/>
  <c r="S794" i="1"/>
  <c r="R794" i="1"/>
  <c r="P794" i="1"/>
  <c r="O794" i="1"/>
  <c r="N794" i="1"/>
  <c r="M794" i="1"/>
  <c r="L794" i="1"/>
  <c r="X793" i="1"/>
  <c r="W793" i="1"/>
  <c r="V793" i="1"/>
  <c r="U793" i="1"/>
  <c r="T793" i="1"/>
  <c r="S793" i="1"/>
  <c r="R793" i="1"/>
  <c r="P793" i="1"/>
  <c r="Q793" i="1" s="1"/>
  <c r="O793" i="1"/>
  <c r="N793" i="1"/>
  <c r="M793" i="1"/>
  <c r="L793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X791" i="1"/>
  <c r="W791" i="1"/>
  <c r="V791" i="1"/>
  <c r="U791" i="1"/>
  <c r="T791" i="1"/>
  <c r="S791" i="1"/>
  <c r="R791" i="1"/>
  <c r="P791" i="1"/>
  <c r="O791" i="1"/>
  <c r="N791" i="1"/>
  <c r="Q791" i="1" s="1"/>
  <c r="M791" i="1"/>
  <c r="L791" i="1"/>
  <c r="X790" i="1"/>
  <c r="W790" i="1"/>
  <c r="V790" i="1"/>
  <c r="T790" i="1"/>
  <c r="U790" i="1" s="1"/>
  <c r="S790" i="1"/>
  <c r="R790" i="1"/>
  <c r="P790" i="1"/>
  <c r="O790" i="1"/>
  <c r="Q790" i="1" s="1"/>
  <c r="N790" i="1"/>
  <c r="M790" i="1"/>
  <c r="L790" i="1"/>
  <c r="X789" i="1"/>
  <c r="W789" i="1"/>
  <c r="V789" i="1"/>
  <c r="U789" i="1"/>
  <c r="T789" i="1"/>
  <c r="S789" i="1"/>
  <c r="R789" i="1"/>
  <c r="P789" i="1"/>
  <c r="Q789" i="1" s="1"/>
  <c r="O789" i="1"/>
  <c r="N789" i="1"/>
  <c r="M789" i="1"/>
  <c r="L789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X787" i="1"/>
  <c r="W787" i="1"/>
  <c r="V787" i="1"/>
  <c r="T787" i="1"/>
  <c r="U787" i="1" s="1"/>
  <c r="S787" i="1"/>
  <c r="R787" i="1"/>
  <c r="P787" i="1"/>
  <c r="O787" i="1"/>
  <c r="N787" i="1"/>
  <c r="Q787" i="1" s="1"/>
  <c r="M787" i="1"/>
  <c r="L787" i="1"/>
  <c r="X786" i="1"/>
  <c r="W786" i="1"/>
  <c r="V786" i="1"/>
  <c r="U786" i="1"/>
  <c r="T786" i="1"/>
  <c r="S786" i="1"/>
  <c r="R786" i="1"/>
  <c r="P786" i="1"/>
  <c r="O786" i="1"/>
  <c r="N786" i="1"/>
  <c r="Q786" i="1" s="1"/>
  <c r="M786" i="1"/>
  <c r="L786" i="1"/>
  <c r="X785" i="1"/>
  <c r="W785" i="1"/>
  <c r="V785" i="1"/>
  <c r="T785" i="1"/>
  <c r="U785" i="1" s="1"/>
  <c r="S785" i="1"/>
  <c r="R785" i="1"/>
  <c r="P785" i="1"/>
  <c r="O785" i="1"/>
  <c r="N785" i="1"/>
  <c r="Q785" i="1" s="1"/>
  <c r="M785" i="1"/>
  <c r="L785" i="1"/>
  <c r="X784" i="1"/>
  <c r="W784" i="1"/>
  <c r="V784" i="1"/>
  <c r="U784" i="1"/>
  <c r="T784" i="1"/>
  <c r="S784" i="1"/>
  <c r="R784" i="1"/>
  <c r="P784" i="1"/>
  <c r="O784" i="1"/>
  <c r="N784" i="1"/>
  <c r="Q784" i="1" s="1"/>
  <c r="M784" i="1"/>
  <c r="L784" i="1"/>
  <c r="X783" i="1"/>
  <c r="W783" i="1"/>
  <c r="V783" i="1"/>
  <c r="U783" i="1"/>
  <c r="T783" i="1"/>
  <c r="S783" i="1"/>
  <c r="R783" i="1"/>
  <c r="P783" i="1"/>
  <c r="O783" i="1"/>
  <c r="N783" i="1"/>
  <c r="Q783" i="1" s="1"/>
  <c r="M783" i="1"/>
  <c r="L783" i="1"/>
  <c r="X782" i="1"/>
  <c r="W782" i="1"/>
  <c r="V782" i="1"/>
  <c r="U782" i="1"/>
  <c r="T782" i="1"/>
  <c r="S782" i="1"/>
  <c r="R782" i="1"/>
  <c r="P782" i="1"/>
  <c r="O782" i="1"/>
  <c r="Q782" i="1" s="1"/>
  <c r="N782" i="1"/>
  <c r="M782" i="1"/>
  <c r="L782" i="1"/>
  <c r="X781" i="1"/>
  <c r="W781" i="1"/>
  <c r="V781" i="1"/>
  <c r="U781" i="1"/>
  <c r="T781" i="1"/>
  <c r="S781" i="1"/>
  <c r="R781" i="1"/>
  <c r="P781" i="1"/>
  <c r="Q781" i="1" s="1"/>
  <c r="O781" i="1"/>
  <c r="N781" i="1"/>
  <c r="M781" i="1"/>
  <c r="L781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X779" i="1"/>
  <c r="W779" i="1"/>
  <c r="V779" i="1"/>
  <c r="U779" i="1"/>
  <c r="T779" i="1"/>
  <c r="S779" i="1"/>
  <c r="R779" i="1"/>
  <c r="P779" i="1"/>
  <c r="O779" i="1"/>
  <c r="N779" i="1"/>
  <c r="Q779" i="1" s="1"/>
  <c r="M779" i="1"/>
  <c r="L779" i="1"/>
  <c r="X778" i="1"/>
  <c r="W778" i="1"/>
  <c r="V778" i="1"/>
  <c r="T778" i="1"/>
  <c r="U778" i="1" s="1"/>
  <c r="S778" i="1"/>
  <c r="R778" i="1"/>
  <c r="P778" i="1"/>
  <c r="O778" i="1"/>
  <c r="Q778" i="1" s="1"/>
  <c r="N778" i="1"/>
  <c r="M778" i="1"/>
  <c r="L778" i="1"/>
  <c r="X777" i="1"/>
  <c r="W777" i="1"/>
  <c r="V777" i="1"/>
  <c r="U777" i="1"/>
  <c r="T777" i="1"/>
  <c r="S777" i="1"/>
  <c r="R777" i="1"/>
  <c r="P777" i="1"/>
  <c r="Q777" i="1" s="1"/>
  <c r="O777" i="1"/>
  <c r="N777" i="1"/>
  <c r="M777" i="1"/>
  <c r="L777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X775" i="1"/>
  <c r="W775" i="1"/>
  <c r="V775" i="1"/>
  <c r="U775" i="1"/>
  <c r="T775" i="1"/>
  <c r="S775" i="1"/>
  <c r="R775" i="1"/>
  <c r="P775" i="1"/>
  <c r="O775" i="1"/>
  <c r="N775" i="1"/>
  <c r="Q775" i="1" s="1"/>
  <c r="M775" i="1"/>
  <c r="L775" i="1"/>
  <c r="X774" i="1"/>
  <c r="W774" i="1"/>
  <c r="V774" i="1"/>
  <c r="U774" i="1"/>
  <c r="T774" i="1"/>
  <c r="S774" i="1"/>
  <c r="R774" i="1"/>
  <c r="P774" i="1"/>
  <c r="O774" i="1"/>
  <c r="N774" i="1"/>
  <c r="Q774" i="1" s="1"/>
  <c r="M774" i="1"/>
  <c r="L774" i="1"/>
  <c r="X773" i="1"/>
  <c r="W773" i="1"/>
  <c r="V773" i="1"/>
  <c r="U773" i="1"/>
  <c r="T773" i="1"/>
  <c r="S773" i="1"/>
  <c r="R773" i="1"/>
  <c r="P773" i="1"/>
  <c r="O773" i="1"/>
  <c r="N773" i="1"/>
  <c r="Q773" i="1" s="1"/>
  <c r="M773" i="1"/>
  <c r="L773" i="1"/>
  <c r="X772" i="1"/>
  <c r="W772" i="1"/>
  <c r="V772" i="1"/>
  <c r="U772" i="1"/>
  <c r="T772" i="1"/>
  <c r="S772" i="1"/>
  <c r="R772" i="1"/>
  <c r="P772" i="1"/>
  <c r="O772" i="1"/>
  <c r="N772" i="1"/>
  <c r="Q772" i="1" s="1"/>
  <c r="M772" i="1"/>
  <c r="L772" i="1"/>
  <c r="X771" i="1"/>
  <c r="W771" i="1"/>
  <c r="V771" i="1"/>
  <c r="U771" i="1"/>
  <c r="T771" i="1"/>
  <c r="S771" i="1"/>
  <c r="R771" i="1"/>
  <c r="P771" i="1"/>
  <c r="O771" i="1"/>
  <c r="N771" i="1"/>
  <c r="Q771" i="1" s="1"/>
  <c r="M771" i="1"/>
  <c r="L771" i="1"/>
  <c r="X770" i="1"/>
  <c r="W770" i="1"/>
  <c r="V770" i="1"/>
  <c r="U770" i="1"/>
  <c r="T770" i="1"/>
  <c r="S770" i="1"/>
  <c r="R770" i="1"/>
  <c r="P770" i="1"/>
  <c r="O770" i="1"/>
  <c r="N770" i="1"/>
  <c r="M770" i="1"/>
  <c r="L770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X768" i="1"/>
  <c r="W768" i="1"/>
  <c r="V768" i="1"/>
  <c r="T768" i="1"/>
  <c r="U768" i="1" s="1"/>
  <c r="S768" i="1"/>
  <c r="R768" i="1"/>
  <c r="Q768" i="1"/>
  <c r="P768" i="1"/>
  <c r="O768" i="1"/>
  <c r="N768" i="1"/>
  <c r="M768" i="1"/>
  <c r="L768" i="1"/>
  <c r="X767" i="1"/>
  <c r="W767" i="1"/>
  <c r="V767" i="1"/>
  <c r="U767" i="1"/>
  <c r="T767" i="1"/>
  <c r="S767" i="1"/>
  <c r="R767" i="1"/>
  <c r="P767" i="1"/>
  <c r="O767" i="1"/>
  <c r="N767" i="1"/>
  <c r="Q767" i="1" s="1"/>
  <c r="M767" i="1"/>
  <c r="L767" i="1"/>
  <c r="X766" i="1"/>
  <c r="W766" i="1"/>
  <c r="V766" i="1"/>
  <c r="T766" i="1"/>
  <c r="U766" i="1" s="1"/>
  <c r="S766" i="1"/>
  <c r="R766" i="1"/>
  <c r="P766" i="1"/>
  <c r="O766" i="1"/>
  <c r="Q766" i="1" s="1"/>
  <c r="N766" i="1"/>
  <c r="M766" i="1"/>
  <c r="L766" i="1"/>
  <c r="X765" i="1"/>
  <c r="W765" i="1"/>
  <c r="V765" i="1"/>
  <c r="U765" i="1"/>
  <c r="T765" i="1"/>
  <c r="S765" i="1"/>
  <c r="R765" i="1"/>
  <c r="P765" i="1"/>
  <c r="Q765" i="1" s="1"/>
  <c r="O765" i="1"/>
  <c r="N765" i="1"/>
  <c r="M765" i="1"/>
  <c r="L765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X763" i="1"/>
  <c r="W763" i="1"/>
  <c r="V763" i="1"/>
  <c r="U763" i="1"/>
  <c r="T763" i="1"/>
  <c r="S763" i="1"/>
  <c r="R763" i="1"/>
  <c r="P763" i="1"/>
  <c r="O763" i="1"/>
  <c r="N763" i="1"/>
  <c r="Q763" i="1" s="1"/>
  <c r="M763" i="1"/>
  <c r="L763" i="1"/>
  <c r="X762" i="1"/>
  <c r="W762" i="1"/>
  <c r="V762" i="1"/>
  <c r="U762" i="1"/>
  <c r="T762" i="1"/>
  <c r="S762" i="1"/>
  <c r="R762" i="1"/>
  <c r="P762" i="1"/>
  <c r="O762" i="1"/>
  <c r="N762" i="1"/>
  <c r="Q762" i="1" s="1"/>
  <c r="M762" i="1"/>
  <c r="L762" i="1"/>
  <c r="X761" i="1"/>
  <c r="W761" i="1"/>
  <c r="V761" i="1"/>
  <c r="U761" i="1"/>
  <c r="T761" i="1"/>
  <c r="S761" i="1"/>
  <c r="R761" i="1"/>
  <c r="P761" i="1"/>
  <c r="O761" i="1"/>
  <c r="N761" i="1"/>
  <c r="Q761" i="1" s="1"/>
  <c r="M761" i="1"/>
  <c r="L761" i="1"/>
  <c r="X760" i="1"/>
  <c r="W760" i="1"/>
  <c r="V760" i="1"/>
  <c r="U760" i="1"/>
  <c r="T760" i="1"/>
  <c r="S760" i="1"/>
  <c r="R760" i="1"/>
  <c r="P760" i="1"/>
  <c r="O760" i="1"/>
  <c r="N760" i="1"/>
  <c r="Q760" i="1" s="1"/>
  <c r="M760" i="1"/>
  <c r="L760" i="1"/>
  <c r="X759" i="1"/>
  <c r="W759" i="1"/>
  <c r="V759" i="1"/>
  <c r="U759" i="1"/>
  <c r="T759" i="1"/>
  <c r="S759" i="1"/>
  <c r="R759" i="1"/>
  <c r="P759" i="1"/>
  <c r="O759" i="1"/>
  <c r="N759" i="1"/>
  <c r="M759" i="1"/>
  <c r="L759" i="1"/>
  <c r="X758" i="1"/>
  <c r="W758" i="1"/>
  <c r="V758" i="1"/>
  <c r="U758" i="1"/>
  <c r="T758" i="1"/>
  <c r="S758" i="1"/>
  <c r="R758" i="1"/>
  <c r="P758" i="1"/>
  <c r="O758" i="1"/>
  <c r="Q758" i="1" s="1"/>
  <c r="N758" i="1"/>
  <c r="M758" i="1"/>
  <c r="L758" i="1"/>
  <c r="X757" i="1"/>
  <c r="W757" i="1"/>
  <c r="V757" i="1"/>
  <c r="U757" i="1"/>
  <c r="T757" i="1"/>
  <c r="S757" i="1"/>
  <c r="R757" i="1"/>
  <c r="P757" i="1"/>
  <c r="Q757" i="1" s="1"/>
  <c r="O757" i="1"/>
  <c r="N757" i="1"/>
  <c r="M757" i="1"/>
  <c r="L757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X755" i="1"/>
  <c r="W755" i="1"/>
  <c r="V755" i="1"/>
  <c r="U755" i="1"/>
  <c r="T755" i="1"/>
  <c r="S755" i="1"/>
  <c r="R755" i="1"/>
  <c r="P755" i="1"/>
  <c r="O755" i="1"/>
  <c r="N755" i="1"/>
  <c r="Q755" i="1" s="1"/>
  <c r="M755" i="1"/>
  <c r="L755" i="1"/>
  <c r="X754" i="1"/>
  <c r="W754" i="1"/>
  <c r="V754" i="1"/>
  <c r="U754" i="1"/>
  <c r="T754" i="1"/>
  <c r="S754" i="1"/>
  <c r="R754" i="1"/>
  <c r="P754" i="1"/>
  <c r="O754" i="1"/>
  <c r="Q754" i="1" s="1"/>
  <c r="N754" i="1"/>
  <c r="M754" i="1"/>
  <c r="L754" i="1"/>
  <c r="X753" i="1"/>
  <c r="W753" i="1"/>
  <c r="V753" i="1"/>
  <c r="T753" i="1"/>
  <c r="U753" i="1" s="1"/>
  <c r="S753" i="1"/>
  <c r="R753" i="1"/>
  <c r="P753" i="1"/>
  <c r="Q753" i="1" s="1"/>
  <c r="O753" i="1"/>
  <c r="N753" i="1"/>
  <c r="M753" i="1"/>
  <c r="L753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X751" i="1"/>
  <c r="W751" i="1"/>
  <c r="V751" i="1"/>
  <c r="U751" i="1"/>
  <c r="T751" i="1"/>
  <c r="S751" i="1"/>
  <c r="R751" i="1"/>
  <c r="P751" i="1"/>
  <c r="O751" i="1"/>
  <c r="N751" i="1"/>
  <c r="Q751" i="1" s="1"/>
  <c r="M751" i="1"/>
  <c r="L751" i="1"/>
  <c r="X750" i="1"/>
  <c r="W750" i="1"/>
  <c r="V750" i="1"/>
  <c r="U750" i="1"/>
  <c r="T750" i="1"/>
  <c r="S750" i="1"/>
  <c r="R750" i="1"/>
  <c r="P750" i="1"/>
  <c r="O750" i="1"/>
  <c r="N750" i="1"/>
  <c r="Q750" i="1" s="1"/>
  <c r="M750" i="1"/>
  <c r="L750" i="1"/>
  <c r="X749" i="1"/>
  <c r="W749" i="1"/>
  <c r="V749" i="1"/>
  <c r="U749" i="1"/>
  <c r="T749" i="1"/>
  <c r="S749" i="1"/>
  <c r="R749" i="1"/>
  <c r="P749" i="1"/>
  <c r="O749" i="1"/>
  <c r="N749" i="1"/>
  <c r="Q749" i="1" s="1"/>
  <c r="M749" i="1"/>
  <c r="L749" i="1"/>
  <c r="X748" i="1"/>
  <c r="W748" i="1"/>
  <c r="V748" i="1"/>
  <c r="U748" i="1"/>
  <c r="T748" i="1"/>
  <c r="S748" i="1"/>
  <c r="R748" i="1"/>
  <c r="P748" i="1"/>
  <c r="O748" i="1"/>
  <c r="N748" i="1"/>
  <c r="Q748" i="1" s="1"/>
  <c r="M748" i="1"/>
  <c r="L748" i="1"/>
  <c r="X747" i="1"/>
  <c r="W747" i="1"/>
  <c r="V747" i="1"/>
  <c r="U747" i="1"/>
  <c r="T747" i="1"/>
  <c r="S747" i="1"/>
  <c r="R747" i="1"/>
  <c r="P747" i="1"/>
  <c r="O747" i="1"/>
  <c r="N747" i="1"/>
  <c r="Q747" i="1" s="1"/>
  <c r="M747" i="1"/>
  <c r="L747" i="1"/>
  <c r="X746" i="1"/>
  <c r="W746" i="1"/>
  <c r="V746" i="1"/>
  <c r="U746" i="1"/>
  <c r="T746" i="1"/>
  <c r="S746" i="1"/>
  <c r="R746" i="1"/>
  <c r="P746" i="1"/>
  <c r="O746" i="1"/>
  <c r="N746" i="1"/>
  <c r="M746" i="1"/>
  <c r="L746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X744" i="1"/>
  <c r="W744" i="1"/>
  <c r="V744" i="1"/>
  <c r="T744" i="1"/>
  <c r="U744" i="1" s="1"/>
  <c r="S744" i="1"/>
  <c r="R744" i="1"/>
  <c r="Q744" i="1"/>
  <c r="P744" i="1"/>
  <c r="O744" i="1"/>
  <c r="N744" i="1"/>
  <c r="M744" i="1"/>
  <c r="L744" i="1"/>
  <c r="X743" i="1"/>
  <c r="W743" i="1"/>
  <c r="V743" i="1"/>
  <c r="U743" i="1"/>
  <c r="T743" i="1"/>
  <c r="S743" i="1"/>
  <c r="R743" i="1"/>
  <c r="P743" i="1"/>
  <c r="O743" i="1"/>
  <c r="N743" i="1"/>
  <c r="Q743" i="1" s="1"/>
  <c r="M743" i="1"/>
  <c r="L743" i="1"/>
  <c r="X742" i="1"/>
  <c r="W742" i="1"/>
  <c r="V742" i="1"/>
  <c r="U742" i="1"/>
  <c r="T742" i="1"/>
  <c r="S742" i="1"/>
  <c r="R742" i="1"/>
  <c r="P742" i="1"/>
  <c r="O742" i="1"/>
  <c r="Q742" i="1" s="1"/>
  <c r="N742" i="1"/>
  <c r="M742" i="1"/>
  <c r="L742" i="1"/>
  <c r="X741" i="1"/>
  <c r="W741" i="1"/>
  <c r="V741" i="1"/>
  <c r="T741" i="1"/>
  <c r="U741" i="1" s="1"/>
  <c r="S741" i="1"/>
  <c r="R741" i="1"/>
  <c r="P741" i="1"/>
  <c r="Q741" i="1" s="1"/>
  <c r="O741" i="1"/>
  <c r="N741" i="1"/>
  <c r="M741" i="1"/>
  <c r="L741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X739" i="1"/>
  <c r="W739" i="1"/>
  <c r="V739" i="1"/>
  <c r="T739" i="1"/>
  <c r="U739" i="1" s="1"/>
  <c r="S739" i="1"/>
  <c r="R739" i="1"/>
  <c r="P739" i="1"/>
  <c r="O739" i="1"/>
  <c r="N739" i="1"/>
  <c r="Q739" i="1" s="1"/>
  <c r="M739" i="1"/>
  <c r="L739" i="1"/>
  <c r="X738" i="1"/>
  <c r="W738" i="1"/>
  <c r="V738" i="1"/>
  <c r="U738" i="1"/>
  <c r="T738" i="1"/>
  <c r="S738" i="1"/>
  <c r="R738" i="1"/>
  <c r="P738" i="1"/>
  <c r="O738" i="1"/>
  <c r="N738" i="1"/>
  <c r="Q738" i="1" s="1"/>
  <c r="M738" i="1"/>
  <c r="L738" i="1"/>
  <c r="X737" i="1"/>
  <c r="W737" i="1"/>
  <c r="V737" i="1"/>
  <c r="U737" i="1"/>
  <c r="T737" i="1"/>
  <c r="S737" i="1"/>
  <c r="R737" i="1"/>
  <c r="P737" i="1"/>
  <c r="O737" i="1"/>
  <c r="N737" i="1"/>
  <c r="Q737" i="1" s="1"/>
  <c r="M737" i="1"/>
  <c r="L737" i="1"/>
  <c r="X736" i="1"/>
  <c r="W736" i="1"/>
  <c r="V736" i="1"/>
  <c r="U736" i="1"/>
  <c r="T736" i="1"/>
  <c r="S736" i="1"/>
  <c r="R736" i="1"/>
  <c r="P736" i="1"/>
  <c r="O736" i="1"/>
  <c r="N736" i="1"/>
  <c r="Q736" i="1" s="1"/>
  <c r="M736" i="1"/>
  <c r="L736" i="1"/>
  <c r="X735" i="1"/>
  <c r="W735" i="1"/>
  <c r="V735" i="1"/>
  <c r="T735" i="1"/>
  <c r="U735" i="1" s="1"/>
  <c r="S735" i="1"/>
  <c r="R735" i="1"/>
  <c r="P735" i="1"/>
  <c r="O735" i="1"/>
  <c r="N735" i="1"/>
  <c r="Q735" i="1" s="1"/>
  <c r="M735" i="1"/>
  <c r="L735" i="1"/>
  <c r="X734" i="1"/>
  <c r="W734" i="1"/>
  <c r="V734" i="1"/>
  <c r="U734" i="1"/>
  <c r="T734" i="1"/>
  <c r="S734" i="1"/>
  <c r="R734" i="1"/>
  <c r="P734" i="1"/>
  <c r="O734" i="1"/>
  <c r="N734" i="1"/>
  <c r="M734" i="1"/>
  <c r="L734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X732" i="1"/>
  <c r="W732" i="1"/>
  <c r="V732" i="1"/>
  <c r="T732" i="1"/>
  <c r="U732" i="1" s="1"/>
  <c r="S732" i="1"/>
  <c r="R732" i="1"/>
  <c r="Q732" i="1"/>
  <c r="P732" i="1"/>
  <c r="O732" i="1"/>
  <c r="N732" i="1"/>
  <c r="M732" i="1"/>
  <c r="L732" i="1"/>
  <c r="X731" i="1"/>
  <c r="W731" i="1"/>
  <c r="V731" i="1"/>
  <c r="U731" i="1"/>
  <c r="T731" i="1"/>
  <c r="S731" i="1"/>
  <c r="R731" i="1"/>
  <c r="P731" i="1"/>
  <c r="O731" i="1"/>
  <c r="N731" i="1"/>
  <c r="Q731" i="1" s="1"/>
  <c r="M731" i="1"/>
  <c r="L731" i="1"/>
  <c r="X730" i="1"/>
  <c r="W730" i="1"/>
  <c r="V730" i="1"/>
  <c r="U730" i="1"/>
  <c r="T730" i="1"/>
  <c r="S730" i="1"/>
  <c r="R730" i="1"/>
  <c r="P730" i="1"/>
  <c r="O730" i="1"/>
  <c r="Q730" i="1" s="1"/>
  <c r="N730" i="1"/>
  <c r="M730" i="1"/>
  <c r="L730" i="1"/>
  <c r="X729" i="1"/>
  <c r="W729" i="1"/>
  <c r="V729" i="1"/>
  <c r="U729" i="1"/>
  <c r="T729" i="1"/>
  <c r="S729" i="1"/>
  <c r="R729" i="1"/>
  <c r="P729" i="1"/>
  <c r="Q729" i="1" s="1"/>
  <c r="O729" i="1"/>
  <c r="N729" i="1"/>
  <c r="M729" i="1"/>
  <c r="L729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X727" i="1"/>
  <c r="W727" i="1"/>
  <c r="V727" i="1"/>
  <c r="U727" i="1"/>
  <c r="T727" i="1"/>
  <c r="S727" i="1"/>
  <c r="R727" i="1"/>
  <c r="P727" i="1"/>
  <c r="O727" i="1"/>
  <c r="N727" i="1"/>
  <c r="Q727" i="1" s="1"/>
  <c r="M727" i="1"/>
  <c r="L727" i="1"/>
  <c r="X726" i="1"/>
  <c r="W726" i="1"/>
  <c r="V726" i="1"/>
  <c r="U726" i="1"/>
  <c r="T726" i="1"/>
  <c r="S726" i="1"/>
  <c r="R726" i="1"/>
  <c r="P726" i="1"/>
  <c r="O726" i="1"/>
  <c r="N726" i="1"/>
  <c r="Q726" i="1" s="1"/>
  <c r="M726" i="1"/>
  <c r="L726" i="1"/>
  <c r="X725" i="1"/>
  <c r="W725" i="1"/>
  <c r="V725" i="1"/>
  <c r="U725" i="1"/>
  <c r="T725" i="1"/>
  <c r="S725" i="1"/>
  <c r="R725" i="1"/>
  <c r="P725" i="1"/>
  <c r="O725" i="1"/>
  <c r="N725" i="1"/>
  <c r="Q725" i="1" s="1"/>
  <c r="M725" i="1"/>
  <c r="L725" i="1"/>
  <c r="X724" i="1"/>
  <c r="W724" i="1"/>
  <c r="V724" i="1"/>
  <c r="U724" i="1"/>
  <c r="T724" i="1"/>
  <c r="S724" i="1"/>
  <c r="R724" i="1"/>
  <c r="P724" i="1"/>
  <c r="O724" i="1"/>
  <c r="N724" i="1"/>
  <c r="M724" i="1"/>
  <c r="L724" i="1"/>
  <c r="X723" i="1"/>
  <c r="W723" i="1"/>
  <c r="V723" i="1"/>
  <c r="T723" i="1"/>
  <c r="U723" i="1" s="1"/>
  <c r="S723" i="1"/>
  <c r="R723" i="1"/>
  <c r="P723" i="1"/>
  <c r="O723" i="1"/>
  <c r="N723" i="1"/>
  <c r="Q723" i="1" s="1"/>
  <c r="M723" i="1"/>
  <c r="L723" i="1"/>
  <c r="X722" i="1"/>
  <c r="W722" i="1"/>
  <c r="V722" i="1"/>
  <c r="U722" i="1"/>
  <c r="T722" i="1"/>
  <c r="S722" i="1"/>
  <c r="R722" i="1"/>
  <c r="P722" i="1"/>
  <c r="O722" i="1"/>
  <c r="N722" i="1"/>
  <c r="M722" i="1"/>
  <c r="L722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X719" i="1"/>
  <c r="W719" i="1"/>
  <c r="V719" i="1"/>
  <c r="U719" i="1"/>
  <c r="T719" i="1"/>
  <c r="S719" i="1"/>
  <c r="R719" i="1"/>
  <c r="P719" i="1"/>
  <c r="O719" i="1"/>
  <c r="N719" i="1"/>
  <c r="Q719" i="1" s="1"/>
  <c r="M719" i="1"/>
  <c r="L719" i="1"/>
  <c r="X718" i="1"/>
  <c r="W718" i="1"/>
  <c r="V718" i="1"/>
  <c r="U718" i="1"/>
  <c r="T718" i="1"/>
  <c r="S718" i="1"/>
  <c r="R718" i="1"/>
  <c r="P718" i="1"/>
  <c r="O718" i="1"/>
  <c r="Q718" i="1" s="1"/>
  <c r="N718" i="1"/>
  <c r="M718" i="1"/>
  <c r="L718" i="1"/>
  <c r="X717" i="1"/>
  <c r="W717" i="1"/>
  <c r="V717" i="1"/>
  <c r="U717" i="1"/>
  <c r="T717" i="1"/>
  <c r="S717" i="1"/>
  <c r="R717" i="1"/>
  <c r="P717" i="1"/>
  <c r="Q717" i="1" s="1"/>
  <c r="O717" i="1"/>
  <c r="N717" i="1"/>
  <c r="M717" i="1"/>
  <c r="L717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X715" i="1"/>
  <c r="W715" i="1"/>
  <c r="V715" i="1"/>
  <c r="T715" i="1"/>
  <c r="U715" i="1" s="1"/>
  <c r="S715" i="1"/>
  <c r="R715" i="1"/>
  <c r="P715" i="1"/>
  <c r="O715" i="1"/>
  <c r="N715" i="1"/>
  <c r="Q715" i="1" s="1"/>
  <c r="M715" i="1"/>
  <c r="L715" i="1"/>
  <c r="X714" i="1"/>
  <c r="W714" i="1"/>
  <c r="V714" i="1"/>
  <c r="U714" i="1"/>
  <c r="T714" i="1"/>
  <c r="S714" i="1"/>
  <c r="R714" i="1"/>
  <c r="P714" i="1"/>
  <c r="O714" i="1"/>
  <c r="N714" i="1"/>
  <c r="Q714" i="1" s="1"/>
  <c r="M714" i="1"/>
  <c r="L714" i="1"/>
  <c r="X713" i="1"/>
  <c r="W713" i="1"/>
  <c r="V713" i="1"/>
  <c r="U713" i="1"/>
  <c r="T713" i="1"/>
  <c r="S713" i="1"/>
  <c r="R713" i="1"/>
  <c r="P713" i="1"/>
  <c r="O713" i="1"/>
  <c r="N713" i="1"/>
  <c r="M713" i="1"/>
  <c r="L713" i="1"/>
  <c r="X712" i="1"/>
  <c r="W712" i="1"/>
  <c r="V712" i="1"/>
  <c r="U712" i="1"/>
  <c r="T712" i="1"/>
  <c r="S712" i="1"/>
  <c r="R712" i="1"/>
  <c r="P712" i="1"/>
  <c r="O712" i="1"/>
  <c r="N712" i="1"/>
  <c r="Q712" i="1" s="1"/>
  <c r="M712" i="1"/>
  <c r="L712" i="1"/>
  <c r="X711" i="1"/>
  <c r="W711" i="1"/>
  <c r="V711" i="1"/>
  <c r="T711" i="1"/>
  <c r="U711" i="1" s="1"/>
  <c r="S711" i="1"/>
  <c r="R711" i="1"/>
  <c r="P711" i="1"/>
  <c r="O711" i="1"/>
  <c r="N711" i="1"/>
  <c r="Q711" i="1" s="1"/>
  <c r="M711" i="1"/>
  <c r="L711" i="1"/>
  <c r="X710" i="1"/>
  <c r="W710" i="1"/>
  <c r="V710" i="1"/>
  <c r="U710" i="1"/>
  <c r="T710" i="1"/>
  <c r="S710" i="1"/>
  <c r="R710" i="1"/>
  <c r="P710" i="1"/>
  <c r="O710" i="1"/>
  <c r="N710" i="1"/>
  <c r="Q710" i="1" s="1"/>
  <c r="M710" i="1"/>
  <c r="L710" i="1"/>
  <c r="X709" i="1"/>
  <c r="W709" i="1"/>
  <c r="V709" i="1"/>
  <c r="U709" i="1"/>
  <c r="T709" i="1"/>
  <c r="S709" i="1"/>
  <c r="R709" i="1"/>
  <c r="P709" i="1"/>
  <c r="O709" i="1"/>
  <c r="Q709" i="1" s="1"/>
  <c r="N709" i="1"/>
  <c r="M709" i="1"/>
  <c r="L709" i="1"/>
  <c r="X708" i="1"/>
  <c r="W708" i="1"/>
  <c r="V708" i="1"/>
  <c r="U708" i="1"/>
  <c r="T708" i="1"/>
  <c r="S708" i="1"/>
  <c r="R708" i="1"/>
  <c r="P708" i="1"/>
  <c r="Q708" i="1" s="1"/>
  <c r="O708" i="1"/>
  <c r="N708" i="1"/>
  <c r="M708" i="1"/>
  <c r="L708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X706" i="1"/>
  <c r="W706" i="1"/>
  <c r="V706" i="1"/>
  <c r="U706" i="1"/>
  <c r="T706" i="1"/>
  <c r="S706" i="1"/>
  <c r="R706" i="1"/>
  <c r="P706" i="1"/>
  <c r="O706" i="1"/>
  <c r="N706" i="1"/>
  <c r="Q706" i="1" s="1"/>
  <c r="M706" i="1"/>
  <c r="L706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X704" i="1"/>
  <c r="W704" i="1"/>
  <c r="V704" i="1"/>
  <c r="U704" i="1"/>
  <c r="T704" i="1"/>
  <c r="S704" i="1"/>
  <c r="R704" i="1"/>
  <c r="P704" i="1"/>
  <c r="O704" i="1"/>
  <c r="N704" i="1"/>
  <c r="Q704" i="1" s="1"/>
  <c r="M704" i="1"/>
  <c r="L704" i="1"/>
  <c r="X703" i="1"/>
  <c r="W703" i="1"/>
  <c r="V703" i="1"/>
  <c r="U703" i="1"/>
  <c r="T703" i="1"/>
  <c r="S703" i="1"/>
  <c r="R703" i="1"/>
  <c r="P703" i="1"/>
  <c r="O703" i="1"/>
  <c r="N703" i="1"/>
  <c r="Q703" i="1" s="1"/>
  <c r="M703" i="1"/>
  <c r="L703" i="1"/>
  <c r="X702" i="1"/>
  <c r="W702" i="1"/>
  <c r="V702" i="1"/>
  <c r="U702" i="1"/>
  <c r="T702" i="1"/>
  <c r="S702" i="1"/>
  <c r="R702" i="1"/>
  <c r="P702" i="1"/>
  <c r="O702" i="1"/>
  <c r="N702" i="1"/>
  <c r="Q702" i="1" s="1"/>
  <c r="M702" i="1"/>
  <c r="L702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X700" i="1"/>
  <c r="W700" i="1"/>
  <c r="V700" i="1"/>
  <c r="U700" i="1"/>
  <c r="T700" i="1"/>
  <c r="S700" i="1"/>
  <c r="R700" i="1"/>
  <c r="P700" i="1"/>
  <c r="Q700" i="1" s="1"/>
  <c r="O700" i="1"/>
  <c r="N700" i="1"/>
  <c r="M700" i="1"/>
  <c r="L700" i="1"/>
  <c r="X699" i="1"/>
  <c r="W699" i="1"/>
  <c r="V699" i="1"/>
  <c r="U699" i="1"/>
  <c r="T699" i="1"/>
  <c r="S699" i="1"/>
  <c r="R699" i="1"/>
  <c r="P699" i="1"/>
  <c r="O699" i="1"/>
  <c r="N699" i="1"/>
  <c r="Q699" i="1" s="1"/>
  <c r="M699" i="1"/>
  <c r="L699" i="1"/>
  <c r="X698" i="1"/>
  <c r="W698" i="1"/>
  <c r="V698" i="1"/>
  <c r="U698" i="1"/>
  <c r="T698" i="1"/>
  <c r="S698" i="1"/>
  <c r="R698" i="1"/>
  <c r="P698" i="1"/>
  <c r="O698" i="1"/>
  <c r="N698" i="1"/>
  <c r="Q698" i="1" s="1"/>
  <c r="M698" i="1"/>
  <c r="L698" i="1"/>
  <c r="X697" i="1"/>
  <c r="W697" i="1"/>
  <c r="V697" i="1"/>
  <c r="U697" i="1"/>
  <c r="T697" i="1"/>
  <c r="S697" i="1"/>
  <c r="R697" i="1"/>
  <c r="P697" i="1"/>
  <c r="O697" i="1"/>
  <c r="Q697" i="1" s="1"/>
  <c r="N697" i="1"/>
  <c r="M697" i="1"/>
  <c r="L697" i="1"/>
  <c r="X696" i="1"/>
  <c r="W696" i="1"/>
  <c r="V696" i="1"/>
  <c r="T696" i="1"/>
  <c r="U696" i="1" s="1"/>
  <c r="S696" i="1"/>
  <c r="R696" i="1"/>
  <c r="P696" i="1"/>
  <c r="Q696" i="1" s="1"/>
  <c r="O696" i="1"/>
  <c r="N696" i="1"/>
  <c r="M696" i="1"/>
  <c r="L696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X694" i="1"/>
  <c r="W694" i="1"/>
  <c r="V694" i="1"/>
  <c r="U694" i="1"/>
  <c r="T694" i="1"/>
  <c r="S694" i="1"/>
  <c r="R694" i="1"/>
  <c r="P694" i="1"/>
  <c r="O694" i="1"/>
  <c r="N694" i="1"/>
  <c r="Q694" i="1" s="1"/>
  <c r="M694" i="1"/>
  <c r="L694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X692" i="1"/>
  <c r="W692" i="1"/>
  <c r="V692" i="1"/>
  <c r="T692" i="1"/>
  <c r="U692" i="1" s="1"/>
  <c r="S692" i="1"/>
  <c r="R692" i="1"/>
  <c r="P692" i="1"/>
  <c r="O692" i="1"/>
  <c r="N692" i="1"/>
  <c r="Q692" i="1" s="1"/>
  <c r="M692" i="1"/>
  <c r="L692" i="1"/>
  <c r="X691" i="1"/>
  <c r="W691" i="1"/>
  <c r="V691" i="1"/>
  <c r="U691" i="1"/>
  <c r="T691" i="1"/>
  <c r="S691" i="1"/>
  <c r="R691" i="1"/>
  <c r="P691" i="1"/>
  <c r="O691" i="1"/>
  <c r="N691" i="1"/>
  <c r="Q691" i="1" s="1"/>
  <c r="M691" i="1"/>
  <c r="L691" i="1"/>
  <c r="X690" i="1"/>
  <c r="W690" i="1"/>
  <c r="V690" i="1"/>
  <c r="U690" i="1"/>
  <c r="T690" i="1"/>
  <c r="S690" i="1"/>
  <c r="R690" i="1"/>
  <c r="P690" i="1"/>
  <c r="O690" i="1"/>
  <c r="N690" i="1"/>
  <c r="Q690" i="1" s="1"/>
  <c r="M690" i="1"/>
  <c r="L690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X688" i="1"/>
  <c r="W688" i="1"/>
  <c r="V688" i="1"/>
  <c r="U688" i="1"/>
  <c r="T688" i="1"/>
  <c r="S688" i="1"/>
  <c r="R688" i="1"/>
  <c r="P688" i="1"/>
  <c r="Q688" i="1" s="1"/>
  <c r="O688" i="1"/>
  <c r="N688" i="1"/>
  <c r="M688" i="1"/>
  <c r="L688" i="1"/>
  <c r="X687" i="1"/>
  <c r="W687" i="1"/>
  <c r="V687" i="1"/>
  <c r="U687" i="1"/>
  <c r="T687" i="1"/>
  <c r="S687" i="1"/>
  <c r="R687" i="1"/>
  <c r="P687" i="1"/>
  <c r="O687" i="1"/>
  <c r="N687" i="1"/>
  <c r="Q687" i="1" s="1"/>
  <c r="M687" i="1"/>
  <c r="L687" i="1"/>
  <c r="X686" i="1"/>
  <c r="W686" i="1"/>
  <c r="V686" i="1"/>
  <c r="U686" i="1"/>
  <c r="T686" i="1"/>
  <c r="S686" i="1"/>
  <c r="R686" i="1"/>
  <c r="P686" i="1"/>
  <c r="O686" i="1"/>
  <c r="N686" i="1"/>
  <c r="Q686" i="1" s="1"/>
  <c r="M686" i="1"/>
  <c r="L686" i="1"/>
  <c r="X685" i="1"/>
  <c r="W685" i="1"/>
  <c r="V685" i="1"/>
  <c r="U685" i="1"/>
  <c r="T685" i="1"/>
  <c r="S685" i="1"/>
  <c r="R685" i="1"/>
  <c r="P685" i="1"/>
  <c r="O685" i="1"/>
  <c r="Q685" i="1" s="1"/>
  <c r="N685" i="1"/>
  <c r="M685" i="1"/>
  <c r="L685" i="1"/>
  <c r="X684" i="1"/>
  <c r="W684" i="1"/>
  <c r="V684" i="1"/>
  <c r="T684" i="1"/>
  <c r="U684" i="1" s="1"/>
  <c r="S684" i="1"/>
  <c r="R684" i="1"/>
  <c r="P684" i="1"/>
  <c r="Q684" i="1" s="1"/>
  <c r="O684" i="1"/>
  <c r="N684" i="1"/>
  <c r="M684" i="1"/>
  <c r="L684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X682" i="1"/>
  <c r="W682" i="1"/>
  <c r="V682" i="1"/>
  <c r="U682" i="1"/>
  <c r="T682" i="1"/>
  <c r="S682" i="1"/>
  <c r="R682" i="1"/>
  <c r="P682" i="1"/>
  <c r="O682" i="1"/>
  <c r="N682" i="1"/>
  <c r="Q682" i="1" s="1"/>
  <c r="M682" i="1"/>
  <c r="L682" i="1"/>
  <c r="X681" i="1"/>
  <c r="W681" i="1"/>
  <c r="V681" i="1"/>
  <c r="T681" i="1"/>
  <c r="U681" i="1" s="1"/>
  <c r="S681" i="1"/>
  <c r="R681" i="1"/>
  <c r="Q681" i="1"/>
  <c r="P681" i="1"/>
  <c r="O681" i="1"/>
  <c r="N681" i="1"/>
  <c r="M681" i="1"/>
  <c r="L681" i="1"/>
  <c r="X680" i="1"/>
  <c r="W680" i="1"/>
  <c r="V680" i="1"/>
  <c r="U680" i="1"/>
  <c r="T680" i="1"/>
  <c r="S680" i="1"/>
  <c r="R680" i="1"/>
  <c r="P680" i="1"/>
  <c r="O680" i="1"/>
  <c r="N680" i="1"/>
  <c r="Q680" i="1" s="1"/>
  <c r="M680" i="1"/>
  <c r="L680" i="1"/>
  <c r="X679" i="1"/>
  <c r="W679" i="1"/>
  <c r="V679" i="1"/>
  <c r="U679" i="1"/>
  <c r="T679" i="1"/>
  <c r="S679" i="1"/>
  <c r="R679" i="1"/>
  <c r="P679" i="1"/>
  <c r="O679" i="1"/>
  <c r="Q679" i="1" s="1"/>
  <c r="N679" i="1"/>
  <c r="M679" i="1"/>
  <c r="L679" i="1"/>
  <c r="X678" i="1"/>
  <c r="W678" i="1"/>
  <c r="V678" i="1"/>
  <c r="U678" i="1"/>
  <c r="T678" i="1"/>
  <c r="S678" i="1"/>
  <c r="R678" i="1"/>
  <c r="P678" i="1"/>
  <c r="O678" i="1"/>
  <c r="N678" i="1"/>
  <c r="Q678" i="1" s="1"/>
  <c r="M678" i="1"/>
  <c r="L678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X676" i="1"/>
  <c r="W676" i="1"/>
  <c r="V676" i="1"/>
  <c r="T676" i="1"/>
  <c r="U676" i="1" s="1"/>
  <c r="S676" i="1"/>
  <c r="R676" i="1"/>
  <c r="P676" i="1"/>
  <c r="Q676" i="1" s="1"/>
  <c r="O676" i="1"/>
  <c r="N676" i="1"/>
  <c r="M676" i="1"/>
  <c r="L676" i="1"/>
  <c r="X675" i="1"/>
  <c r="W675" i="1"/>
  <c r="V675" i="1"/>
  <c r="U675" i="1"/>
  <c r="T675" i="1"/>
  <c r="S675" i="1"/>
  <c r="R675" i="1"/>
  <c r="P675" i="1"/>
  <c r="O675" i="1"/>
  <c r="N675" i="1"/>
  <c r="Q675" i="1" s="1"/>
  <c r="M675" i="1"/>
  <c r="L675" i="1"/>
  <c r="X674" i="1"/>
  <c r="W674" i="1"/>
  <c r="V674" i="1"/>
  <c r="T674" i="1"/>
  <c r="U674" i="1" s="1"/>
  <c r="S674" i="1"/>
  <c r="R674" i="1"/>
  <c r="P674" i="1"/>
  <c r="O674" i="1"/>
  <c r="N674" i="1"/>
  <c r="Q674" i="1" s="1"/>
  <c r="M674" i="1"/>
  <c r="L674" i="1"/>
  <c r="X673" i="1"/>
  <c r="W673" i="1"/>
  <c r="V673" i="1"/>
  <c r="U673" i="1"/>
  <c r="T673" i="1"/>
  <c r="S673" i="1"/>
  <c r="R673" i="1"/>
  <c r="P673" i="1"/>
  <c r="O673" i="1"/>
  <c r="Q673" i="1" s="1"/>
  <c r="N673" i="1"/>
  <c r="M673" i="1"/>
  <c r="L673" i="1"/>
  <c r="X672" i="1"/>
  <c r="W672" i="1"/>
  <c r="V672" i="1"/>
  <c r="T672" i="1"/>
  <c r="U672" i="1" s="1"/>
  <c r="S672" i="1"/>
  <c r="R672" i="1"/>
  <c r="P672" i="1"/>
  <c r="Q672" i="1" s="1"/>
  <c r="O672" i="1"/>
  <c r="N672" i="1"/>
  <c r="M672" i="1"/>
  <c r="L672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X670" i="1"/>
  <c r="W670" i="1"/>
  <c r="V670" i="1"/>
  <c r="U670" i="1"/>
  <c r="T670" i="1"/>
  <c r="S670" i="1"/>
  <c r="R670" i="1"/>
  <c r="P670" i="1"/>
  <c r="O670" i="1"/>
  <c r="N670" i="1"/>
  <c r="Q670" i="1" s="1"/>
  <c r="M670" i="1"/>
  <c r="L670" i="1"/>
  <c r="X669" i="1"/>
  <c r="W669" i="1"/>
  <c r="V669" i="1"/>
  <c r="T669" i="1"/>
  <c r="U669" i="1" s="1"/>
  <c r="S669" i="1"/>
  <c r="R669" i="1"/>
  <c r="Q669" i="1"/>
  <c r="P669" i="1"/>
  <c r="O669" i="1"/>
  <c r="N669" i="1"/>
  <c r="M669" i="1"/>
  <c r="L669" i="1"/>
  <c r="X668" i="1"/>
  <c r="W668" i="1"/>
  <c r="V668" i="1"/>
  <c r="U668" i="1"/>
  <c r="T668" i="1"/>
  <c r="S668" i="1"/>
  <c r="R668" i="1"/>
  <c r="P668" i="1"/>
  <c r="O668" i="1"/>
  <c r="N668" i="1"/>
  <c r="Q668" i="1" s="1"/>
  <c r="M668" i="1"/>
  <c r="L668" i="1"/>
  <c r="X667" i="1"/>
  <c r="W667" i="1"/>
  <c r="V667" i="1"/>
  <c r="U667" i="1"/>
  <c r="T667" i="1"/>
  <c r="S667" i="1"/>
  <c r="R667" i="1"/>
  <c r="P667" i="1"/>
  <c r="O667" i="1"/>
  <c r="Q667" i="1" s="1"/>
  <c r="N667" i="1"/>
  <c r="M667" i="1"/>
  <c r="L667" i="1"/>
  <c r="X666" i="1"/>
  <c r="W666" i="1"/>
  <c r="V666" i="1"/>
  <c r="U666" i="1"/>
  <c r="T666" i="1"/>
  <c r="S666" i="1"/>
  <c r="R666" i="1"/>
  <c r="P666" i="1"/>
  <c r="O666" i="1"/>
  <c r="N666" i="1"/>
  <c r="Q666" i="1" s="1"/>
  <c r="M666" i="1"/>
  <c r="L666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X664" i="1"/>
  <c r="W664" i="1"/>
  <c r="V664" i="1"/>
  <c r="T664" i="1"/>
  <c r="U664" i="1" s="1"/>
  <c r="S664" i="1"/>
  <c r="R664" i="1"/>
  <c r="P664" i="1"/>
  <c r="Q664" i="1" s="1"/>
  <c r="O664" i="1"/>
  <c r="N664" i="1"/>
  <c r="M664" i="1"/>
  <c r="L664" i="1"/>
  <c r="X663" i="1"/>
  <c r="W663" i="1"/>
  <c r="V663" i="1"/>
  <c r="U663" i="1"/>
  <c r="T663" i="1"/>
  <c r="S663" i="1"/>
  <c r="R663" i="1"/>
  <c r="P663" i="1"/>
  <c r="O663" i="1"/>
  <c r="N663" i="1"/>
  <c r="Q663" i="1" s="1"/>
  <c r="M663" i="1"/>
  <c r="L663" i="1"/>
  <c r="X662" i="1"/>
  <c r="W662" i="1"/>
  <c r="V662" i="1"/>
  <c r="U662" i="1"/>
  <c r="T662" i="1"/>
  <c r="S662" i="1"/>
  <c r="R662" i="1"/>
  <c r="P662" i="1"/>
  <c r="O662" i="1"/>
  <c r="N662" i="1"/>
  <c r="Q662" i="1" s="1"/>
  <c r="M662" i="1"/>
  <c r="L662" i="1"/>
  <c r="X661" i="1"/>
  <c r="W661" i="1"/>
  <c r="V661" i="1"/>
  <c r="U661" i="1"/>
  <c r="T661" i="1"/>
  <c r="S661" i="1"/>
  <c r="R661" i="1"/>
  <c r="P661" i="1"/>
  <c r="O661" i="1"/>
  <c r="Q661" i="1" s="1"/>
  <c r="N661" i="1"/>
  <c r="M661" i="1"/>
  <c r="L661" i="1"/>
  <c r="X660" i="1"/>
  <c r="W660" i="1"/>
  <c r="V660" i="1"/>
  <c r="T660" i="1"/>
  <c r="U660" i="1" s="1"/>
  <c r="S660" i="1"/>
  <c r="R660" i="1"/>
  <c r="P660" i="1"/>
  <c r="Q660" i="1" s="1"/>
  <c r="O660" i="1"/>
  <c r="N660" i="1"/>
  <c r="M660" i="1"/>
  <c r="L660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X658" i="1"/>
  <c r="W658" i="1"/>
  <c r="V658" i="1"/>
  <c r="U658" i="1"/>
  <c r="T658" i="1"/>
  <c r="S658" i="1"/>
  <c r="R658" i="1"/>
  <c r="P658" i="1"/>
  <c r="O658" i="1"/>
  <c r="N658" i="1"/>
  <c r="Q658" i="1" s="1"/>
  <c r="M658" i="1"/>
  <c r="L658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X656" i="1"/>
  <c r="W656" i="1"/>
  <c r="V656" i="1"/>
  <c r="U656" i="1"/>
  <c r="T656" i="1"/>
  <c r="S656" i="1"/>
  <c r="R656" i="1"/>
  <c r="P656" i="1"/>
  <c r="O656" i="1"/>
  <c r="N656" i="1"/>
  <c r="Q656" i="1" s="1"/>
  <c r="M656" i="1"/>
  <c r="L656" i="1"/>
  <c r="X655" i="1"/>
  <c r="W655" i="1"/>
  <c r="V655" i="1"/>
  <c r="U655" i="1"/>
  <c r="T655" i="1"/>
  <c r="S655" i="1"/>
  <c r="R655" i="1"/>
  <c r="P655" i="1"/>
  <c r="O655" i="1"/>
  <c r="Q655" i="1" s="1"/>
  <c r="N655" i="1"/>
  <c r="M655" i="1"/>
  <c r="L655" i="1"/>
  <c r="X654" i="1"/>
  <c r="W654" i="1"/>
  <c r="V654" i="1"/>
  <c r="U654" i="1"/>
  <c r="T654" i="1"/>
  <c r="S654" i="1"/>
  <c r="R654" i="1"/>
  <c r="P654" i="1"/>
  <c r="O654" i="1"/>
  <c r="N654" i="1"/>
  <c r="Q654" i="1" s="1"/>
  <c r="M654" i="1"/>
  <c r="L654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X652" i="1"/>
  <c r="W652" i="1"/>
  <c r="V652" i="1"/>
  <c r="U652" i="1"/>
  <c r="T652" i="1"/>
  <c r="S652" i="1"/>
  <c r="R652" i="1"/>
  <c r="P652" i="1"/>
  <c r="O652" i="1"/>
  <c r="Q652" i="1" s="1"/>
  <c r="N652" i="1"/>
  <c r="M652" i="1"/>
  <c r="L652" i="1"/>
  <c r="X651" i="1"/>
  <c r="W651" i="1"/>
  <c r="V651" i="1"/>
  <c r="U651" i="1"/>
  <c r="T651" i="1"/>
  <c r="S651" i="1"/>
  <c r="R651" i="1"/>
  <c r="P651" i="1"/>
  <c r="O651" i="1"/>
  <c r="N651" i="1"/>
  <c r="Q651" i="1" s="1"/>
  <c r="M651" i="1"/>
  <c r="L651" i="1"/>
  <c r="X650" i="1"/>
  <c r="W650" i="1"/>
  <c r="V650" i="1"/>
  <c r="U650" i="1"/>
  <c r="T650" i="1"/>
  <c r="S650" i="1"/>
  <c r="R650" i="1"/>
  <c r="P650" i="1"/>
  <c r="O650" i="1"/>
  <c r="N650" i="1"/>
  <c r="Q650" i="1" s="1"/>
  <c r="M650" i="1"/>
  <c r="L650" i="1"/>
  <c r="X649" i="1"/>
  <c r="W649" i="1"/>
  <c r="V649" i="1"/>
  <c r="U649" i="1"/>
  <c r="T649" i="1"/>
  <c r="S649" i="1"/>
  <c r="R649" i="1"/>
  <c r="P649" i="1"/>
  <c r="O649" i="1"/>
  <c r="Q649" i="1" s="1"/>
  <c r="N649" i="1"/>
  <c r="M649" i="1"/>
  <c r="L649" i="1"/>
  <c r="X648" i="1"/>
  <c r="W648" i="1"/>
  <c r="V648" i="1"/>
  <c r="T648" i="1"/>
  <c r="U648" i="1" s="1"/>
  <c r="S648" i="1"/>
  <c r="R648" i="1"/>
  <c r="P648" i="1"/>
  <c r="Q648" i="1" s="1"/>
  <c r="O648" i="1"/>
  <c r="N648" i="1"/>
  <c r="M648" i="1"/>
  <c r="L648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X646" i="1"/>
  <c r="W646" i="1"/>
  <c r="V646" i="1"/>
  <c r="U646" i="1"/>
  <c r="T646" i="1"/>
  <c r="S646" i="1"/>
  <c r="R646" i="1"/>
  <c r="P646" i="1"/>
  <c r="O646" i="1"/>
  <c r="N646" i="1"/>
  <c r="Q646" i="1" s="1"/>
  <c r="M646" i="1"/>
  <c r="L646" i="1"/>
  <c r="X645" i="1"/>
  <c r="W645" i="1"/>
  <c r="V645" i="1"/>
  <c r="T645" i="1"/>
  <c r="U645" i="1" s="1"/>
  <c r="S645" i="1"/>
  <c r="R645" i="1"/>
  <c r="Q645" i="1"/>
  <c r="P645" i="1"/>
  <c r="O645" i="1"/>
  <c r="N645" i="1"/>
  <c r="M645" i="1"/>
  <c r="L645" i="1"/>
  <c r="X644" i="1"/>
  <c r="W644" i="1"/>
  <c r="V644" i="1"/>
  <c r="T644" i="1"/>
  <c r="U644" i="1" s="1"/>
  <c r="S644" i="1"/>
  <c r="R644" i="1"/>
  <c r="P644" i="1"/>
  <c r="O644" i="1"/>
  <c r="N644" i="1"/>
  <c r="Q644" i="1" s="1"/>
  <c r="M644" i="1"/>
  <c r="L644" i="1"/>
  <c r="X643" i="1"/>
  <c r="W643" i="1"/>
  <c r="V643" i="1"/>
  <c r="U643" i="1"/>
  <c r="T643" i="1"/>
  <c r="S643" i="1"/>
  <c r="R643" i="1"/>
  <c r="P643" i="1"/>
  <c r="O643" i="1"/>
  <c r="Q643" i="1" s="1"/>
  <c r="N643" i="1"/>
  <c r="M643" i="1"/>
  <c r="L643" i="1"/>
  <c r="X642" i="1"/>
  <c r="W642" i="1"/>
  <c r="V642" i="1"/>
  <c r="U642" i="1"/>
  <c r="T642" i="1"/>
  <c r="S642" i="1"/>
  <c r="R642" i="1"/>
  <c r="P642" i="1"/>
  <c r="O642" i="1"/>
  <c r="N642" i="1"/>
  <c r="Q642" i="1" s="1"/>
  <c r="M642" i="1"/>
  <c r="L642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X640" i="1"/>
  <c r="W640" i="1"/>
  <c r="V640" i="1"/>
  <c r="U640" i="1"/>
  <c r="T640" i="1"/>
  <c r="S640" i="1"/>
  <c r="R640" i="1"/>
  <c r="P640" i="1"/>
  <c r="O640" i="1"/>
  <c r="Q640" i="1" s="1"/>
  <c r="N640" i="1"/>
  <c r="M640" i="1"/>
  <c r="L640" i="1"/>
  <c r="X639" i="1"/>
  <c r="W639" i="1"/>
  <c r="V639" i="1"/>
  <c r="U639" i="1"/>
  <c r="T639" i="1"/>
  <c r="S639" i="1"/>
  <c r="R639" i="1"/>
  <c r="P639" i="1"/>
  <c r="O639" i="1"/>
  <c r="N639" i="1"/>
  <c r="Q639" i="1" s="1"/>
  <c r="M639" i="1"/>
  <c r="L639" i="1"/>
  <c r="X638" i="1"/>
  <c r="W638" i="1"/>
  <c r="V638" i="1"/>
  <c r="U638" i="1"/>
  <c r="T638" i="1"/>
  <c r="S638" i="1"/>
  <c r="R638" i="1"/>
  <c r="P638" i="1"/>
  <c r="O638" i="1"/>
  <c r="N638" i="1"/>
  <c r="Q638" i="1" s="1"/>
  <c r="M638" i="1"/>
  <c r="L638" i="1"/>
  <c r="X637" i="1"/>
  <c r="W637" i="1"/>
  <c r="V637" i="1"/>
  <c r="U637" i="1"/>
  <c r="T637" i="1"/>
  <c r="S637" i="1"/>
  <c r="R637" i="1"/>
  <c r="P637" i="1"/>
  <c r="O637" i="1"/>
  <c r="Q637" i="1" s="1"/>
  <c r="N637" i="1"/>
  <c r="M637" i="1"/>
  <c r="L637" i="1"/>
  <c r="X636" i="1"/>
  <c r="W636" i="1"/>
  <c r="V636" i="1"/>
  <c r="U636" i="1"/>
  <c r="T636" i="1"/>
  <c r="S636" i="1"/>
  <c r="R636" i="1"/>
  <c r="P636" i="1"/>
  <c r="Q636" i="1" s="1"/>
  <c r="O636" i="1"/>
  <c r="N636" i="1"/>
  <c r="M636" i="1"/>
  <c r="L636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X634" i="1"/>
  <c r="W634" i="1"/>
  <c r="V634" i="1"/>
  <c r="U634" i="1"/>
  <c r="T634" i="1"/>
  <c r="S634" i="1"/>
  <c r="R634" i="1"/>
  <c r="P634" i="1"/>
  <c r="O634" i="1"/>
  <c r="N634" i="1"/>
  <c r="Q634" i="1" s="1"/>
  <c r="M634" i="1"/>
  <c r="L634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X632" i="1"/>
  <c r="W632" i="1"/>
  <c r="V632" i="1"/>
  <c r="T632" i="1"/>
  <c r="U632" i="1" s="1"/>
  <c r="S632" i="1"/>
  <c r="R632" i="1"/>
  <c r="P632" i="1"/>
  <c r="O632" i="1"/>
  <c r="N632" i="1"/>
  <c r="Q632" i="1" s="1"/>
  <c r="M632" i="1"/>
  <c r="L632" i="1"/>
  <c r="X631" i="1"/>
  <c r="W631" i="1"/>
  <c r="V631" i="1"/>
  <c r="U631" i="1"/>
  <c r="T631" i="1"/>
  <c r="S631" i="1"/>
  <c r="R631" i="1"/>
  <c r="P631" i="1"/>
  <c r="O631" i="1"/>
  <c r="Q631" i="1" s="1"/>
  <c r="N631" i="1"/>
  <c r="M631" i="1"/>
  <c r="L631" i="1"/>
  <c r="X630" i="1"/>
  <c r="W630" i="1"/>
  <c r="V630" i="1"/>
  <c r="T630" i="1"/>
  <c r="U630" i="1" s="1"/>
  <c r="S630" i="1"/>
  <c r="R630" i="1"/>
  <c r="P630" i="1"/>
  <c r="O630" i="1"/>
  <c r="N630" i="1"/>
  <c r="Q630" i="1" s="1"/>
  <c r="M630" i="1"/>
  <c r="L630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X628" i="1"/>
  <c r="W628" i="1"/>
  <c r="V628" i="1"/>
  <c r="U628" i="1"/>
  <c r="T628" i="1"/>
  <c r="S628" i="1"/>
  <c r="R628" i="1"/>
  <c r="P628" i="1"/>
  <c r="O628" i="1"/>
  <c r="N628" i="1"/>
  <c r="Q628" i="1" s="1"/>
  <c r="M628" i="1"/>
  <c r="L628" i="1"/>
  <c r="X627" i="1"/>
  <c r="W627" i="1"/>
  <c r="V627" i="1"/>
  <c r="U627" i="1"/>
  <c r="T627" i="1"/>
  <c r="S627" i="1"/>
  <c r="R627" i="1"/>
  <c r="P627" i="1"/>
  <c r="O627" i="1"/>
  <c r="N627" i="1"/>
  <c r="Q627" i="1" s="1"/>
  <c r="M627" i="1"/>
  <c r="L627" i="1"/>
  <c r="X626" i="1"/>
  <c r="W626" i="1"/>
  <c r="V626" i="1"/>
  <c r="U626" i="1"/>
  <c r="T626" i="1"/>
  <c r="S626" i="1"/>
  <c r="R626" i="1"/>
  <c r="P626" i="1"/>
  <c r="O626" i="1"/>
  <c r="N626" i="1"/>
  <c r="Q626" i="1" s="1"/>
  <c r="M626" i="1"/>
  <c r="L626" i="1"/>
  <c r="X625" i="1"/>
  <c r="W625" i="1"/>
  <c r="V625" i="1"/>
  <c r="U625" i="1"/>
  <c r="T625" i="1"/>
  <c r="S625" i="1"/>
  <c r="R625" i="1"/>
  <c r="P625" i="1"/>
  <c r="O625" i="1"/>
  <c r="Q625" i="1" s="1"/>
  <c r="N625" i="1"/>
  <c r="M625" i="1"/>
  <c r="L625" i="1"/>
  <c r="X624" i="1"/>
  <c r="W624" i="1"/>
  <c r="V624" i="1"/>
  <c r="U624" i="1"/>
  <c r="T624" i="1"/>
  <c r="S624" i="1"/>
  <c r="R624" i="1"/>
  <c r="P624" i="1"/>
  <c r="Q624" i="1" s="1"/>
  <c r="O624" i="1"/>
  <c r="N624" i="1"/>
  <c r="M624" i="1"/>
  <c r="L624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X622" i="1"/>
  <c r="W622" i="1"/>
  <c r="V622" i="1"/>
  <c r="U622" i="1"/>
  <c r="T622" i="1"/>
  <c r="S622" i="1"/>
  <c r="R622" i="1"/>
  <c r="P622" i="1"/>
  <c r="O622" i="1"/>
  <c r="N622" i="1"/>
  <c r="Q622" i="1" s="1"/>
  <c r="M622" i="1"/>
  <c r="L622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X620" i="1"/>
  <c r="W620" i="1"/>
  <c r="V620" i="1"/>
  <c r="T620" i="1"/>
  <c r="U620" i="1" s="1"/>
  <c r="S620" i="1"/>
  <c r="R620" i="1"/>
  <c r="P620" i="1"/>
  <c r="O620" i="1"/>
  <c r="N620" i="1"/>
  <c r="Q620" i="1" s="1"/>
  <c r="M620" i="1"/>
  <c r="L620" i="1"/>
  <c r="X619" i="1"/>
  <c r="W619" i="1"/>
  <c r="V619" i="1"/>
  <c r="U619" i="1"/>
  <c r="T619" i="1"/>
  <c r="S619" i="1"/>
  <c r="R619" i="1"/>
  <c r="P619" i="1"/>
  <c r="O619" i="1"/>
  <c r="Q619" i="1" s="1"/>
  <c r="N619" i="1"/>
  <c r="M619" i="1"/>
  <c r="L619" i="1"/>
  <c r="X618" i="1"/>
  <c r="W618" i="1"/>
  <c r="V618" i="1"/>
  <c r="T618" i="1"/>
  <c r="U618" i="1" s="1"/>
  <c r="S618" i="1"/>
  <c r="R618" i="1"/>
  <c r="P618" i="1"/>
  <c r="O618" i="1"/>
  <c r="N618" i="1"/>
  <c r="Q618" i="1" s="1"/>
  <c r="M618" i="1"/>
  <c r="L618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X616" i="1"/>
  <c r="W616" i="1"/>
  <c r="V616" i="1"/>
  <c r="U616" i="1"/>
  <c r="T616" i="1"/>
  <c r="S616" i="1"/>
  <c r="R616" i="1"/>
  <c r="P616" i="1"/>
  <c r="O616" i="1"/>
  <c r="N616" i="1"/>
  <c r="Q616" i="1" s="1"/>
  <c r="M616" i="1"/>
  <c r="L616" i="1"/>
  <c r="X615" i="1"/>
  <c r="W615" i="1"/>
  <c r="V615" i="1"/>
  <c r="U615" i="1"/>
  <c r="T615" i="1"/>
  <c r="S615" i="1"/>
  <c r="R615" i="1"/>
  <c r="P615" i="1"/>
  <c r="O615" i="1"/>
  <c r="N615" i="1"/>
  <c r="Q615" i="1" s="1"/>
  <c r="M615" i="1"/>
  <c r="L615" i="1"/>
  <c r="X614" i="1"/>
  <c r="W614" i="1"/>
  <c r="V614" i="1"/>
  <c r="T614" i="1"/>
  <c r="U614" i="1" s="1"/>
  <c r="S614" i="1"/>
  <c r="R614" i="1"/>
  <c r="P614" i="1"/>
  <c r="O614" i="1"/>
  <c r="N614" i="1"/>
  <c r="Q614" i="1" s="1"/>
  <c r="M614" i="1"/>
  <c r="L614" i="1"/>
  <c r="X613" i="1"/>
  <c r="W613" i="1"/>
  <c r="V613" i="1"/>
  <c r="U613" i="1"/>
  <c r="T613" i="1"/>
  <c r="S613" i="1"/>
  <c r="R613" i="1"/>
  <c r="P613" i="1"/>
  <c r="O613" i="1"/>
  <c r="Q613" i="1" s="1"/>
  <c r="N613" i="1"/>
  <c r="M613" i="1"/>
  <c r="L613" i="1"/>
  <c r="X612" i="1"/>
  <c r="W612" i="1"/>
  <c r="V612" i="1"/>
  <c r="U612" i="1"/>
  <c r="T612" i="1"/>
  <c r="S612" i="1"/>
  <c r="R612" i="1"/>
  <c r="P612" i="1"/>
  <c r="Q612" i="1" s="1"/>
  <c r="O612" i="1"/>
  <c r="N612" i="1"/>
  <c r="M612" i="1"/>
  <c r="L612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X610" i="1"/>
  <c r="W610" i="1"/>
  <c r="V610" i="1"/>
  <c r="U610" i="1"/>
  <c r="T610" i="1"/>
  <c r="S610" i="1"/>
  <c r="R610" i="1"/>
  <c r="P610" i="1"/>
  <c r="O610" i="1"/>
  <c r="N610" i="1"/>
  <c r="Q610" i="1" s="1"/>
  <c r="M610" i="1"/>
  <c r="L610" i="1"/>
  <c r="X609" i="1"/>
  <c r="W609" i="1"/>
  <c r="V609" i="1"/>
  <c r="U609" i="1"/>
  <c r="T609" i="1"/>
  <c r="S609" i="1"/>
  <c r="R609" i="1"/>
  <c r="P609" i="1"/>
  <c r="O609" i="1"/>
  <c r="Q609" i="1" s="1"/>
  <c r="N609" i="1"/>
  <c r="M609" i="1"/>
  <c r="L609" i="1"/>
  <c r="X608" i="1"/>
  <c r="W608" i="1"/>
  <c r="V608" i="1"/>
  <c r="T608" i="1"/>
  <c r="U608" i="1" s="1"/>
  <c r="S608" i="1"/>
  <c r="R608" i="1"/>
  <c r="P608" i="1"/>
  <c r="O608" i="1"/>
  <c r="N608" i="1"/>
  <c r="Q608" i="1" s="1"/>
  <c r="M608" i="1"/>
  <c r="L608" i="1"/>
  <c r="X607" i="1"/>
  <c r="W607" i="1"/>
  <c r="V607" i="1"/>
  <c r="U607" i="1"/>
  <c r="T607" i="1"/>
  <c r="S607" i="1"/>
  <c r="R607" i="1"/>
  <c r="P607" i="1"/>
  <c r="O607" i="1"/>
  <c r="Q607" i="1" s="1"/>
  <c r="N607" i="1"/>
  <c r="M607" i="1"/>
  <c r="L607" i="1"/>
  <c r="X606" i="1"/>
  <c r="W606" i="1"/>
  <c r="V606" i="1"/>
  <c r="U606" i="1"/>
  <c r="T606" i="1"/>
  <c r="S606" i="1"/>
  <c r="R606" i="1"/>
  <c r="P606" i="1"/>
  <c r="O606" i="1"/>
  <c r="N606" i="1"/>
  <c r="Q606" i="1" s="1"/>
  <c r="M606" i="1"/>
  <c r="L606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X604" i="1"/>
  <c r="W604" i="1"/>
  <c r="V604" i="1"/>
  <c r="T604" i="1"/>
  <c r="U604" i="1" s="1"/>
  <c r="S604" i="1"/>
  <c r="R604" i="1"/>
  <c r="P604" i="1"/>
  <c r="O604" i="1"/>
  <c r="N604" i="1"/>
  <c r="Q604" i="1" s="1"/>
  <c r="M604" i="1"/>
  <c r="L604" i="1"/>
  <c r="X603" i="1"/>
  <c r="W603" i="1"/>
  <c r="V603" i="1"/>
  <c r="U603" i="1"/>
  <c r="T603" i="1"/>
  <c r="S603" i="1"/>
  <c r="R603" i="1"/>
  <c r="P603" i="1"/>
  <c r="O603" i="1"/>
  <c r="N603" i="1"/>
  <c r="Q603" i="1" s="1"/>
  <c r="M603" i="1"/>
  <c r="L603" i="1"/>
  <c r="X602" i="1"/>
  <c r="W602" i="1"/>
  <c r="V602" i="1"/>
  <c r="U602" i="1"/>
  <c r="T602" i="1"/>
  <c r="S602" i="1"/>
  <c r="R602" i="1"/>
  <c r="P602" i="1"/>
  <c r="O602" i="1"/>
  <c r="N602" i="1"/>
  <c r="Q602" i="1" s="1"/>
  <c r="M602" i="1"/>
  <c r="L602" i="1"/>
  <c r="X601" i="1"/>
  <c r="W601" i="1"/>
  <c r="V601" i="1"/>
  <c r="U601" i="1"/>
  <c r="T601" i="1"/>
  <c r="S601" i="1"/>
  <c r="R601" i="1"/>
  <c r="P601" i="1"/>
  <c r="O601" i="1"/>
  <c r="Q601" i="1" s="1"/>
  <c r="N601" i="1"/>
  <c r="M601" i="1"/>
  <c r="L601" i="1"/>
  <c r="X600" i="1"/>
  <c r="W600" i="1"/>
  <c r="V600" i="1"/>
  <c r="U600" i="1"/>
  <c r="T600" i="1"/>
  <c r="S600" i="1"/>
  <c r="R600" i="1"/>
  <c r="P600" i="1"/>
  <c r="Q600" i="1" s="1"/>
  <c r="O600" i="1"/>
  <c r="N600" i="1"/>
  <c r="M600" i="1"/>
  <c r="L600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X598" i="1"/>
  <c r="W598" i="1"/>
  <c r="V598" i="1"/>
  <c r="U598" i="1"/>
  <c r="T598" i="1"/>
  <c r="S598" i="1"/>
  <c r="R598" i="1"/>
  <c r="P598" i="1"/>
  <c r="O598" i="1"/>
  <c r="N598" i="1"/>
  <c r="Q598" i="1" s="1"/>
  <c r="M598" i="1"/>
  <c r="L598" i="1"/>
  <c r="X597" i="1"/>
  <c r="W597" i="1"/>
  <c r="V597" i="1"/>
  <c r="U597" i="1"/>
  <c r="T597" i="1"/>
  <c r="S597" i="1"/>
  <c r="R597" i="1"/>
  <c r="P597" i="1"/>
  <c r="O597" i="1"/>
  <c r="Q597" i="1" s="1"/>
  <c r="N597" i="1"/>
  <c r="M597" i="1"/>
  <c r="L597" i="1"/>
  <c r="X596" i="1"/>
  <c r="W596" i="1"/>
  <c r="V596" i="1"/>
  <c r="T596" i="1"/>
  <c r="U596" i="1" s="1"/>
  <c r="S596" i="1"/>
  <c r="R596" i="1"/>
  <c r="P596" i="1"/>
  <c r="O596" i="1"/>
  <c r="N596" i="1"/>
  <c r="Q596" i="1" s="1"/>
  <c r="M596" i="1"/>
  <c r="L596" i="1"/>
  <c r="X595" i="1"/>
  <c r="W595" i="1"/>
  <c r="V595" i="1"/>
  <c r="U595" i="1"/>
  <c r="T595" i="1"/>
  <c r="S595" i="1"/>
  <c r="R595" i="1"/>
  <c r="P595" i="1"/>
  <c r="O595" i="1"/>
  <c r="Q595" i="1" s="1"/>
  <c r="N595" i="1"/>
  <c r="M595" i="1"/>
  <c r="L595" i="1"/>
  <c r="X594" i="1"/>
  <c r="W594" i="1"/>
  <c r="V594" i="1"/>
  <c r="U594" i="1"/>
  <c r="T594" i="1"/>
  <c r="S594" i="1"/>
  <c r="R594" i="1"/>
  <c r="P594" i="1"/>
  <c r="O594" i="1"/>
  <c r="N594" i="1"/>
  <c r="Q594" i="1" s="1"/>
  <c r="M594" i="1"/>
  <c r="L594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X592" i="1"/>
  <c r="W592" i="1"/>
  <c r="V592" i="1"/>
  <c r="T592" i="1"/>
  <c r="U592" i="1" s="1"/>
  <c r="S592" i="1"/>
  <c r="R592" i="1"/>
  <c r="P592" i="1"/>
  <c r="O592" i="1"/>
  <c r="N592" i="1"/>
  <c r="Q592" i="1" s="1"/>
  <c r="M592" i="1"/>
  <c r="L592" i="1"/>
  <c r="X591" i="1"/>
  <c r="W591" i="1"/>
  <c r="V591" i="1"/>
  <c r="U591" i="1"/>
  <c r="T591" i="1"/>
  <c r="S591" i="1"/>
  <c r="R591" i="1"/>
  <c r="P591" i="1"/>
  <c r="O591" i="1"/>
  <c r="N591" i="1"/>
  <c r="Q591" i="1" s="1"/>
  <c r="M591" i="1"/>
  <c r="L591" i="1"/>
  <c r="X590" i="1"/>
  <c r="W590" i="1"/>
  <c r="V590" i="1"/>
  <c r="U590" i="1"/>
  <c r="T590" i="1"/>
  <c r="S590" i="1"/>
  <c r="R590" i="1"/>
  <c r="P590" i="1"/>
  <c r="O590" i="1"/>
  <c r="N590" i="1"/>
  <c r="Q590" i="1" s="1"/>
  <c r="M590" i="1"/>
  <c r="L590" i="1"/>
  <c r="X589" i="1"/>
  <c r="W589" i="1"/>
  <c r="V589" i="1"/>
  <c r="U589" i="1"/>
  <c r="T589" i="1"/>
  <c r="S589" i="1"/>
  <c r="R589" i="1"/>
  <c r="P589" i="1"/>
  <c r="O589" i="1"/>
  <c r="Q589" i="1" s="1"/>
  <c r="N589" i="1"/>
  <c r="M589" i="1"/>
  <c r="L589" i="1"/>
  <c r="X588" i="1"/>
  <c r="W588" i="1"/>
  <c r="V588" i="1"/>
  <c r="T588" i="1"/>
  <c r="U588" i="1" s="1"/>
  <c r="S588" i="1"/>
  <c r="R588" i="1"/>
  <c r="P588" i="1"/>
  <c r="Q588" i="1" s="1"/>
  <c r="O588" i="1"/>
  <c r="N588" i="1"/>
  <c r="M588" i="1"/>
  <c r="L588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X586" i="1"/>
  <c r="W586" i="1"/>
  <c r="V586" i="1"/>
  <c r="U586" i="1"/>
  <c r="T586" i="1"/>
  <c r="S586" i="1"/>
  <c r="R586" i="1"/>
  <c r="P586" i="1"/>
  <c r="O586" i="1"/>
  <c r="N586" i="1"/>
  <c r="Q586" i="1" s="1"/>
  <c r="M586" i="1"/>
  <c r="L586" i="1"/>
  <c r="X585" i="1"/>
  <c r="W585" i="1"/>
  <c r="V585" i="1"/>
  <c r="T585" i="1"/>
  <c r="U585" i="1" s="1"/>
  <c r="S585" i="1"/>
  <c r="R585" i="1"/>
  <c r="P585" i="1"/>
  <c r="O585" i="1"/>
  <c r="Q585" i="1" s="1"/>
  <c r="N585" i="1"/>
  <c r="M585" i="1"/>
  <c r="L585" i="1"/>
  <c r="X584" i="1"/>
  <c r="W584" i="1"/>
  <c r="V584" i="1"/>
  <c r="T584" i="1"/>
  <c r="U584" i="1" s="1"/>
  <c r="S584" i="1"/>
  <c r="R584" i="1"/>
  <c r="P584" i="1"/>
  <c r="O584" i="1"/>
  <c r="N584" i="1"/>
  <c r="Q584" i="1" s="1"/>
  <c r="M584" i="1"/>
  <c r="L584" i="1"/>
  <c r="X583" i="1"/>
  <c r="W583" i="1"/>
  <c r="V583" i="1"/>
  <c r="U583" i="1"/>
  <c r="T583" i="1"/>
  <c r="S583" i="1"/>
  <c r="R583" i="1"/>
  <c r="P583" i="1"/>
  <c r="O583" i="1"/>
  <c r="Q583" i="1" s="1"/>
  <c r="N583" i="1"/>
  <c r="M583" i="1"/>
  <c r="L583" i="1"/>
  <c r="X582" i="1"/>
  <c r="W582" i="1"/>
  <c r="V582" i="1"/>
  <c r="U582" i="1"/>
  <c r="T582" i="1"/>
  <c r="S582" i="1"/>
  <c r="R582" i="1"/>
  <c r="P582" i="1"/>
  <c r="O582" i="1"/>
  <c r="N582" i="1"/>
  <c r="Q582" i="1" s="1"/>
  <c r="M582" i="1"/>
  <c r="L582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X580" i="1"/>
  <c r="W580" i="1"/>
  <c r="V580" i="1"/>
  <c r="U580" i="1"/>
  <c r="T580" i="1"/>
  <c r="S580" i="1"/>
  <c r="R580" i="1"/>
  <c r="P580" i="1"/>
  <c r="O580" i="1"/>
  <c r="N580" i="1"/>
  <c r="Q580" i="1" s="1"/>
  <c r="M580" i="1"/>
  <c r="L580" i="1"/>
  <c r="X579" i="1"/>
  <c r="W579" i="1"/>
  <c r="V579" i="1"/>
  <c r="U579" i="1"/>
  <c r="T579" i="1"/>
  <c r="S579" i="1"/>
  <c r="R579" i="1"/>
  <c r="P579" i="1"/>
  <c r="O579" i="1"/>
  <c r="N579" i="1"/>
  <c r="Q579" i="1" s="1"/>
  <c r="M579" i="1"/>
  <c r="L579" i="1"/>
  <c r="X578" i="1"/>
  <c r="W578" i="1"/>
  <c r="V578" i="1"/>
  <c r="T578" i="1"/>
  <c r="U578" i="1" s="1"/>
  <c r="S578" i="1"/>
  <c r="R578" i="1"/>
  <c r="P578" i="1"/>
  <c r="O578" i="1"/>
  <c r="N578" i="1"/>
  <c r="Q578" i="1" s="1"/>
  <c r="M578" i="1"/>
  <c r="L578" i="1"/>
  <c r="X577" i="1"/>
  <c r="W577" i="1"/>
  <c r="V577" i="1"/>
  <c r="U577" i="1"/>
  <c r="T577" i="1"/>
  <c r="S577" i="1"/>
  <c r="R577" i="1"/>
  <c r="P577" i="1"/>
  <c r="O577" i="1"/>
  <c r="Q577" i="1" s="1"/>
  <c r="N577" i="1"/>
  <c r="M577" i="1"/>
  <c r="L577" i="1"/>
  <c r="X576" i="1"/>
  <c r="W576" i="1"/>
  <c r="V576" i="1"/>
  <c r="U576" i="1"/>
  <c r="T576" i="1"/>
  <c r="S576" i="1"/>
  <c r="R576" i="1"/>
  <c r="P576" i="1"/>
  <c r="Q576" i="1" s="1"/>
  <c r="O576" i="1"/>
  <c r="N576" i="1"/>
  <c r="M576" i="1"/>
  <c r="L576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X574" i="1"/>
  <c r="W574" i="1"/>
  <c r="V574" i="1"/>
  <c r="U574" i="1"/>
  <c r="T574" i="1"/>
  <c r="S574" i="1"/>
  <c r="R574" i="1"/>
  <c r="P574" i="1"/>
  <c r="O574" i="1"/>
  <c r="N574" i="1"/>
  <c r="Q574" i="1" s="1"/>
  <c r="M574" i="1"/>
  <c r="L574" i="1"/>
  <c r="X573" i="1"/>
  <c r="W573" i="1"/>
  <c r="V573" i="1"/>
  <c r="U573" i="1"/>
  <c r="T573" i="1"/>
  <c r="S573" i="1"/>
  <c r="R573" i="1"/>
  <c r="P573" i="1"/>
  <c r="O573" i="1"/>
  <c r="Q573" i="1" s="1"/>
  <c r="N573" i="1"/>
  <c r="M573" i="1"/>
  <c r="L573" i="1"/>
  <c r="X572" i="1"/>
  <c r="W572" i="1"/>
  <c r="V572" i="1"/>
  <c r="T572" i="1"/>
  <c r="U572" i="1" s="1"/>
  <c r="S572" i="1"/>
  <c r="R572" i="1"/>
  <c r="P572" i="1"/>
  <c r="O572" i="1"/>
  <c r="N572" i="1"/>
  <c r="Q572" i="1" s="1"/>
  <c r="M572" i="1"/>
  <c r="L572" i="1"/>
  <c r="X571" i="1"/>
  <c r="W571" i="1"/>
  <c r="V571" i="1"/>
  <c r="U571" i="1"/>
  <c r="T571" i="1"/>
  <c r="S571" i="1"/>
  <c r="R571" i="1"/>
  <c r="P571" i="1"/>
  <c r="O571" i="1"/>
  <c r="Q571" i="1" s="1"/>
  <c r="N571" i="1"/>
  <c r="M571" i="1"/>
  <c r="L571" i="1"/>
  <c r="X570" i="1"/>
  <c r="W570" i="1"/>
  <c r="V570" i="1"/>
  <c r="U570" i="1"/>
  <c r="T570" i="1"/>
  <c r="S570" i="1"/>
  <c r="R570" i="1"/>
  <c r="P570" i="1"/>
  <c r="O570" i="1"/>
  <c r="N570" i="1"/>
  <c r="Q570" i="1" s="1"/>
  <c r="M570" i="1"/>
  <c r="L570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X568" i="1"/>
  <c r="W568" i="1"/>
  <c r="V568" i="1"/>
  <c r="T568" i="1"/>
  <c r="U568" i="1" s="1"/>
  <c r="S568" i="1"/>
  <c r="R568" i="1"/>
  <c r="P568" i="1"/>
  <c r="O568" i="1"/>
  <c r="N568" i="1"/>
  <c r="Q568" i="1" s="1"/>
  <c r="M568" i="1"/>
  <c r="L568" i="1"/>
  <c r="X567" i="1"/>
  <c r="W567" i="1"/>
  <c r="V567" i="1"/>
  <c r="U567" i="1"/>
  <c r="T567" i="1"/>
  <c r="S567" i="1"/>
  <c r="R567" i="1"/>
  <c r="P567" i="1"/>
  <c r="O567" i="1"/>
  <c r="N567" i="1"/>
  <c r="Q567" i="1" s="1"/>
  <c r="M567" i="1"/>
  <c r="L567" i="1"/>
  <c r="X566" i="1"/>
  <c r="W566" i="1"/>
  <c r="V566" i="1"/>
  <c r="U566" i="1"/>
  <c r="T566" i="1"/>
  <c r="S566" i="1"/>
  <c r="R566" i="1"/>
  <c r="P566" i="1"/>
  <c r="O566" i="1"/>
  <c r="N566" i="1"/>
  <c r="Q566" i="1" s="1"/>
  <c r="M566" i="1"/>
  <c r="L566" i="1"/>
  <c r="X565" i="1"/>
  <c r="W565" i="1"/>
  <c r="V565" i="1"/>
  <c r="U565" i="1"/>
  <c r="T565" i="1"/>
  <c r="S565" i="1"/>
  <c r="R565" i="1"/>
  <c r="P565" i="1"/>
  <c r="O565" i="1"/>
  <c r="Q565" i="1" s="1"/>
  <c r="N565" i="1"/>
  <c r="M565" i="1"/>
  <c r="L565" i="1"/>
  <c r="X564" i="1"/>
  <c r="W564" i="1"/>
  <c r="V564" i="1"/>
  <c r="T564" i="1"/>
  <c r="U564" i="1" s="1"/>
  <c r="S564" i="1"/>
  <c r="R564" i="1"/>
  <c r="P564" i="1"/>
  <c r="Q564" i="1" s="1"/>
  <c r="O564" i="1"/>
  <c r="N564" i="1"/>
  <c r="M564" i="1"/>
  <c r="L564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X562" i="1"/>
  <c r="W562" i="1"/>
  <c r="V562" i="1"/>
  <c r="U562" i="1"/>
  <c r="T562" i="1"/>
  <c r="S562" i="1"/>
  <c r="R562" i="1"/>
  <c r="P562" i="1"/>
  <c r="O562" i="1"/>
  <c r="N562" i="1"/>
  <c r="Q562" i="1" s="1"/>
  <c r="M562" i="1"/>
  <c r="L562" i="1"/>
  <c r="X561" i="1"/>
  <c r="W561" i="1"/>
  <c r="V561" i="1"/>
  <c r="T561" i="1"/>
  <c r="U561" i="1" s="1"/>
  <c r="S561" i="1"/>
  <c r="R561" i="1"/>
  <c r="P561" i="1"/>
  <c r="O561" i="1"/>
  <c r="Q561" i="1" s="1"/>
  <c r="N561" i="1"/>
  <c r="M561" i="1"/>
  <c r="L561" i="1"/>
  <c r="X560" i="1"/>
  <c r="W560" i="1"/>
  <c r="V560" i="1"/>
  <c r="U560" i="1"/>
  <c r="T560" i="1"/>
  <c r="S560" i="1"/>
  <c r="R560" i="1"/>
  <c r="P560" i="1"/>
  <c r="O560" i="1"/>
  <c r="N560" i="1"/>
  <c r="Q560" i="1" s="1"/>
  <c r="M560" i="1"/>
  <c r="L560" i="1"/>
  <c r="X559" i="1"/>
  <c r="W559" i="1"/>
  <c r="V559" i="1"/>
  <c r="U559" i="1"/>
  <c r="T559" i="1"/>
  <c r="S559" i="1"/>
  <c r="R559" i="1"/>
  <c r="P559" i="1"/>
  <c r="O559" i="1"/>
  <c r="Q559" i="1" s="1"/>
  <c r="N559" i="1"/>
  <c r="M559" i="1"/>
  <c r="L559" i="1"/>
  <c r="X558" i="1"/>
  <c r="W558" i="1"/>
  <c r="V558" i="1"/>
  <c r="U558" i="1"/>
  <c r="T558" i="1"/>
  <c r="S558" i="1"/>
  <c r="R558" i="1"/>
  <c r="P558" i="1"/>
  <c r="O558" i="1"/>
  <c r="N558" i="1"/>
  <c r="Q558" i="1" s="1"/>
  <c r="M558" i="1"/>
  <c r="L558" i="1"/>
  <c r="X557" i="1"/>
  <c r="W557" i="1"/>
  <c r="V557" i="1"/>
  <c r="U557" i="1"/>
  <c r="T557" i="1"/>
  <c r="S557" i="1"/>
  <c r="R557" i="1"/>
  <c r="P557" i="1"/>
  <c r="O557" i="1"/>
  <c r="N557" i="1"/>
  <c r="Q557" i="1" s="1"/>
  <c r="M557" i="1"/>
  <c r="L557" i="1"/>
  <c r="X556" i="1"/>
  <c r="W556" i="1"/>
  <c r="V556" i="1"/>
  <c r="T556" i="1"/>
  <c r="U556" i="1" s="1"/>
  <c r="S556" i="1"/>
  <c r="R556" i="1"/>
  <c r="P556" i="1"/>
  <c r="O556" i="1"/>
  <c r="N556" i="1"/>
  <c r="Q556" i="1" s="1"/>
  <c r="M556" i="1"/>
  <c r="L556" i="1"/>
  <c r="X555" i="1"/>
  <c r="W555" i="1"/>
  <c r="V555" i="1"/>
  <c r="U555" i="1"/>
  <c r="T555" i="1"/>
  <c r="S555" i="1"/>
  <c r="R555" i="1"/>
  <c r="P555" i="1"/>
  <c r="O555" i="1"/>
  <c r="N555" i="1"/>
  <c r="Q555" i="1" s="1"/>
  <c r="M555" i="1"/>
  <c r="L555" i="1"/>
  <c r="X554" i="1"/>
  <c r="W554" i="1"/>
  <c r="V554" i="1"/>
  <c r="U554" i="1"/>
  <c r="T554" i="1"/>
  <c r="S554" i="1"/>
  <c r="R554" i="1"/>
  <c r="P554" i="1"/>
  <c r="O554" i="1"/>
  <c r="N554" i="1"/>
  <c r="Q554" i="1" s="1"/>
  <c r="M554" i="1"/>
  <c r="L554" i="1"/>
  <c r="X553" i="1"/>
  <c r="W553" i="1"/>
  <c r="V553" i="1"/>
  <c r="U553" i="1"/>
  <c r="T553" i="1"/>
  <c r="S553" i="1"/>
  <c r="R553" i="1"/>
  <c r="P553" i="1"/>
  <c r="O553" i="1"/>
  <c r="Q553" i="1" s="1"/>
  <c r="N553" i="1"/>
  <c r="M553" i="1"/>
  <c r="L553" i="1"/>
  <c r="X552" i="1"/>
  <c r="W552" i="1"/>
  <c r="V552" i="1"/>
  <c r="T552" i="1"/>
  <c r="U552" i="1" s="1"/>
  <c r="S552" i="1"/>
  <c r="R552" i="1"/>
  <c r="P552" i="1"/>
  <c r="Q552" i="1" s="1"/>
  <c r="O552" i="1"/>
  <c r="N552" i="1"/>
  <c r="M552" i="1"/>
  <c r="L552" i="1"/>
  <c r="X551" i="1"/>
  <c r="W551" i="1"/>
  <c r="V551" i="1"/>
  <c r="T551" i="1"/>
  <c r="U551" i="1" s="1"/>
  <c r="S551" i="1"/>
  <c r="R551" i="1"/>
  <c r="Q551" i="1"/>
  <c r="P551" i="1"/>
  <c r="O551" i="1"/>
  <c r="N551" i="1"/>
  <c r="M551" i="1"/>
  <c r="L551" i="1"/>
  <c r="X550" i="1"/>
  <c r="W550" i="1"/>
  <c r="V550" i="1"/>
  <c r="U550" i="1"/>
  <c r="T550" i="1"/>
  <c r="S550" i="1"/>
  <c r="R550" i="1"/>
  <c r="P550" i="1"/>
  <c r="O550" i="1"/>
  <c r="N550" i="1"/>
  <c r="Q550" i="1" s="1"/>
  <c r="M550" i="1"/>
  <c r="L550" i="1"/>
  <c r="X549" i="1"/>
  <c r="W549" i="1"/>
  <c r="V549" i="1"/>
  <c r="T549" i="1"/>
  <c r="U549" i="1" s="1"/>
  <c r="S549" i="1"/>
  <c r="R549" i="1"/>
  <c r="P549" i="1"/>
  <c r="O549" i="1"/>
  <c r="Q549" i="1" s="1"/>
  <c r="N549" i="1"/>
  <c r="M549" i="1"/>
  <c r="L549" i="1"/>
  <c r="X548" i="1"/>
  <c r="W548" i="1"/>
  <c r="V548" i="1"/>
  <c r="T548" i="1"/>
  <c r="U548" i="1" s="1"/>
  <c r="S548" i="1"/>
  <c r="R548" i="1"/>
  <c r="P548" i="1"/>
  <c r="O548" i="1"/>
  <c r="N548" i="1"/>
  <c r="Q548" i="1" s="1"/>
  <c r="M548" i="1"/>
  <c r="L548" i="1"/>
  <c r="X547" i="1"/>
  <c r="W547" i="1"/>
  <c r="V547" i="1"/>
  <c r="U547" i="1"/>
  <c r="T547" i="1"/>
  <c r="S547" i="1"/>
  <c r="R547" i="1"/>
  <c r="P547" i="1"/>
  <c r="O547" i="1"/>
  <c r="Q547" i="1" s="1"/>
  <c r="N547" i="1"/>
  <c r="M547" i="1"/>
  <c r="L547" i="1"/>
  <c r="X546" i="1"/>
  <c r="W546" i="1"/>
  <c r="V546" i="1"/>
  <c r="U546" i="1"/>
  <c r="T546" i="1"/>
  <c r="S546" i="1"/>
  <c r="R546" i="1"/>
  <c r="P546" i="1"/>
  <c r="O546" i="1"/>
  <c r="N546" i="1"/>
  <c r="Q546" i="1" s="1"/>
  <c r="M546" i="1"/>
  <c r="L546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X544" i="1"/>
  <c r="W544" i="1"/>
  <c r="V544" i="1"/>
  <c r="U544" i="1"/>
  <c r="T544" i="1"/>
  <c r="S544" i="1"/>
  <c r="R544" i="1"/>
  <c r="P544" i="1"/>
  <c r="O544" i="1"/>
  <c r="N544" i="1"/>
  <c r="Q544" i="1" s="1"/>
  <c r="M544" i="1"/>
  <c r="L544" i="1"/>
  <c r="X543" i="1"/>
  <c r="W543" i="1"/>
  <c r="V543" i="1"/>
  <c r="U543" i="1"/>
  <c r="T543" i="1"/>
  <c r="S543" i="1"/>
  <c r="R543" i="1"/>
  <c r="P543" i="1"/>
  <c r="O543" i="1"/>
  <c r="N543" i="1"/>
  <c r="Q543" i="1" s="1"/>
  <c r="M543" i="1"/>
  <c r="L543" i="1"/>
  <c r="X542" i="1"/>
  <c r="W542" i="1"/>
  <c r="V542" i="1"/>
  <c r="U542" i="1"/>
  <c r="T542" i="1"/>
  <c r="S542" i="1"/>
  <c r="R542" i="1"/>
  <c r="P542" i="1"/>
  <c r="O542" i="1"/>
  <c r="N542" i="1"/>
  <c r="Q542" i="1" s="1"/>
  <c r="M542" i="1"/>
  <c r="L542" i="1"/>
  <c r="X541" i="1"/>
  <c r="W541" i="1"/>
  <c r="V541" i="1"/>
  <c r="U541" i="1"/>
  <c r="T541" i="1"/>
  <c r="S541" i="1"/>
  <c r="R541" i="1"/>
  <c r="P541" i="1"/>
  <c r="O541" i="1"/>
  <c r="Q541" i="1" s="1"/>
  <c r="N541" i="1"/>
  <c r="M541" i="1"/>
  <c r="L541" i="1"/>
  <c r="X540" i="1"/>
  <c r="W540" i="1"/>
  <c r="V540" i="1"/>
  <c r="U540" i="1"/>
  <c r="T540" i="1"/>
  <c r="S540" i="1"/>
  <c r="R540" i="1"/>
  <c r="P540" i="1"/>
  <c r="Q540" i="1" s="1"/>
  <c r="O540" i="1"/>
  <c r="N540" i="1"/>
  <c r="M540" i="1"/>
  <c r="L540" i="1"/>
  <c r="X539" i="1"/>
  <c r="W539" i="1"/>
  <c r="V539" i="1"/>
  <c r="T539" i="1"/>
  <c r="U539" i="1" s="1"/>
  <c r="S539" i="1"/>
  <c r="R539" i="1"/>
  <c r="Q539" i="1"/>
  <c r="P539" i="1"/>
  <c r="O539" i="1"/>
  <c r="N539" i="1"/>
  <c r="M539" i="1"/>
  <c r="L539" i="1"/>
  <c r="X538" i="1"/>
  <c r="W538" i="1"/>
  <c r="V538" i="1"/>
  <c r="U538" i="1"/>
  <c r="T538" i="1"/>
  <c r="S538" i="1"/>
  <c r="R538" i="1"/>
  <c r="P538" i="1"/>
  <c r="O538" i="1"/>
  <c r="N538" i="1"/>
  <c r="Q538" i="1" s="1"/>
  <c r="M538" i="1"/>
  <c r="L538" i="1"/>
  <c r="X537" i="1"/>
  <c r="W537" i="1"/>
  <c r="V537" i="1"/>
  <c r="U537" i="1"/>
  <c r="T537" i="1"/>
  <c r="S537" i="1"/>
  <c r="R537" i="1"/>
  <c r="P537" i="1"/>
  <c r="O537" i="1"/>
  <c r="Q537" i="1" s="1"/>
  <c r="N537" i="1"/>
  <c r="M537" i="1"/>
  <c r="L537" i="1"/>
  <c r="X536" i="1"/>
  <c r="W536" i="1"/>
  <c r="V536" i="1"/>
  <c r="U536" i="1"/>
  <c r="T536" i="1"/>
  <c r="S536" i="1"/>
  <c r="R536" i="1"/>
  <c r="P536" i="1"/>
  <c r="O536" i="1"/>
  <c r="N536" i="1"/>
  <c r="Q536" i="1" s="1"/>
  <c r="M536" i="1"/>
  <c r="L536" i="1"/>
  <c r="X535" i="1"/>
  <c r="W535" i="1"/>
  <c r="V535" i="1"/>
  <c r="U535" i="1"/>
  <c r="T535" i="1"/>
  <c r="S535" i="1"/>
  <c r="R535" i="1"/>
  <c r="P535" i="1"/>
  <c r="O535" i="1"/>
  <c r="Q535" i="1" s="1"/>
  <c r="N535" i="1"/>
  <c r="M535" i="1"/>
  <c r="L535" i="1"/>
  <c r="X534" i="1"/>
  <c r="W534" i="1"/>
  <c r="V534" i="1"/>
  <c r="U534" i="1"/>
  <c r="T534" i="1"/>
  <c r="S534" i="1"/>
  <c r="R534" i="1"/>
  <c r="P534" i="1"/>
  <c r="O534" i="1"/>
  <c r="N534" i="1"/>
  <c r="Q534" i="1" s="1"/>
  <c r="M534" i="1"/>
  <c r="L534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X532" i="1"/>
  <c r="W532" i="1"/>
  <c r="V532" i="1"/>
  <c r="T532" i="1"/>
  <c r="U532" i="1" s="1"/>
  <c r="S532" i="1"/>
  <c r="R532" i="1"/>
  <c r="P532" i="1"/>
  <c r="O532" i="1"/>
  <c r="N532" i="1"/>
  <c r="Q532" i="1" s="1"/>
  <c r="M532" i="1"/>
  <c r="L532" i="1"/>
  <c r="X531" i="1"/>
  <c r="W531" i="1"/>
  <c r="V531" i="1"/>
  <c r="U531" i="1"/>
  <c r="T531" i="1"/>
  <c r="S531" i="1"/>
  <c r="R531" i="1"/>
  <c r="P531" i="1"/>
  <c r="O531" i="1"/>
  <c r="N531" i="1"/>
  <c r="Q531" i="1" s="1"/>
  <c r="M531" i="1"/>
  <c r="L531" i="1"/>
  <c r="X530" i="1"/>
  <c r="W530" i="1"/>
  <c r="V530" i="1"/>
  <c r="U530" i="1"/>
  <c r="T530" i="1"/>
  <c r="S530" i="1"/>
  <c r="R530" i="1"/>
  <c r="P530" i="1"/>
  <c r="O530" i="1"/>
  <c r="N530" i="1"/>
  <c r="Q530" i="1" s="1"/>
  <c r="M530" i="1"/>
  <c r="L530" i="1"/>
  <c r="X529" i="1"/>
  <c r="W529" i="1"/>
  <c r="V529" i="1"/>
  <c r="U529" i="1"/>
  <c r="T529" i="1"/>
  <c r="S529" i="1"/>
  <c r="R529" i="1"/>
  <c r="P529" i="1"/>
  <c r="O529" i="1"/>
  <c r="Q529" i="1" s="1"/>
  <c r="N529" i="1"/>
  <c r="M529" i="1"/>
  <c r="L529" i="1"/>
  <c r="X528" i="1"/>
  <c r="W528" i="1"/>
  <c r="V528" i="1"/>
  <c r="T528" i="1"/>
  <c r="U528" i="1" s="1"/>
  <c r="S528" i="1"/>
  <c r="R528" i="1"/>
  <c r="P528" i="1"/>
  <c r="O528" i="1"/>
  <c r="N528" i="1"/>
  <c r="M528" i="1"/>
  <c r="L528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X526" i="1"/>
  <c r="W526" i="1"/>
  <c r="V526" i="1"/>
  <c r="U526" i="1"/>
  <c r="T526" i="1"/>
  <c r="S526" i="1"/>
  <c r="R526" i="1"/>
  <c r="P526" i="1"/>
  <c r="O526" i="1"/>
  <c r="N526" i="1"/>
  <c r="Q526" i="1" s="1"/>
  <c r="M526" i="1"/>
  <c r="L526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X524" i="1"/>
  <c r="W524" i="1"/>
  <c r="V524" i="1"/>
  <c r="T524" i="1"/>
  <c r="U524" i="1" s="1"/>
  <c r="S524" i="1"/>
  <c r="R524" i="1"/>
  <c r="P524" i="1"/>
  <c r="O524" i="1"/>
  <c r="N524" i="1"/>
  <c r="Q524" i="1" s="1"/>
  <c r="M524" i="1"/>
  <c r="L524" i="1"/>
  <c r="X523" i="1"/>
  <c r="W523" i="1"/>
  <c r="V523" i="1"/>
  <c r="U523" i="1"/>
  <c r="T523" i="1"/>
  <c r="S523" i="1"/>
  <c r="R523" i="1"/>
  <c r="P523" i="1"/>
  <c r="O523" i="1"/>
  <c r="Q523" i="1" s="1"/>
  <c r="N523" i="1"/>
  <c r="M523" i="1"/>
  <c r="L523" i="1"/>
  <c r="X522" i="1"/>
  <c r="W522" i="1"/>
  <c r="V522" i="1"/>
  <c r="T522" i="1"/>
  <c r="U522" i="1" s="1"/>
  <c r="S522" i="1"/>
  <c r="R522" i="1"/>
  <c r="P522" i="1"/>
  <c r="O522" i="1"/>
  <c r="N522" i="1"/>
  <c r="Q522" i="1" s="1"/>
  <c r="M522" i="1"/>
  <c r="L522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X520" i="1"/>
  <c r="W520" i="1"/>
  <c r="V520" i="1"/>
  <c r="U520" i="1"/>
  <c r="T520" i="1"/>
  <c r="S520" i="1"/>
  <c r="R520" i="1"/>
  <c r="P520" i="1"/>
  <c r="O520" i="1"/>
  <c r="N520" i="1"/>
  <c r="Q520" i="1" s="1"/>
  <c r="M520" i="1"/>
  <c r="L520" i="1"/>
  <c r="X519" i="1"/>
  <c r="W519" i="1"/>
  <c r="V519" i="1"/>
  <c r="U519" i="1"/>
  <c r="T519" i="1"/>
  <c r="S519" i="1"/>
  <c r="R519" i="1"/>
  <c r="P519" i="1"/>
  <c r="O519" i="1"/>
  <c r="N519" i="1"/>
  <c r="Q519" i="1" s="1"/>
  <c r="M519" i="1"/>
  <c r="L519" i="1"/>
  <c r="X518" i="1"/>
  <c r="W518" i="1"/>
  <c r="V518" i="1"/>
  <c r="U518" i="1"/>
  <c r="T518" i="1"/>
  <c r="S518" i="1"/>
  <c r="R518" i="1"/>
  <c r="P518" i="1"/>
  <c r="O518" i="1"/>
  <c r="N518" i="1"/>
  <c r="Q518" i="1" s="1"/>
  <c r="M518" i="1"/>
  <c r="L518" i="1"/>
  <c r="X517" i="1"/>
  <c r="W517" i="1"/>
  <c r="V517" i="1"/>
  <c r="U517" i="1"/>
  <c r="T517" i="1"/>
  <c r="S517" i="1"/>
  <c r="R517" i="1"/>
  <c r="P517" i="1"/>
  <c r="O517" i="1"/>
  <c r="Q517" i="1" s="1"/>
  <c r="N517" i="1"/>
  <c r="M517" i="1"/>
  <c r="L517" i="1"/>
  <c r="X516" i="1"/>
  <c r="W516" i="1"/>
  <c r="V516" i="1"/>
  <c r="U516" i="1"/>
  <c r="T516" i="1"/>
  <c r="S516" i="1"/>
  <c r="R516" i="1"/>
  <c r="P516" i="1"/>
  <c r="O516" i="1"/>
  <c r="N516" i="1"/>
  <c r="Q516" i="1" s="1"/>
  <c r="M516" i="1"/>
  <c r="L516" i="1"/>
  <c r="X515" i="1"/>
  <c r="W515" i="1"/>
  <c r="V515" i="1"/>
  <c r="T515" i="1"/>
  <c r="U515" i="1" s="1"/>
  <c r="S515" i="1"/>
  <c r="R515" i="1"/>
  <c r="Q515" i="1"/>
  <c r="P515" i="1"/>
  <c r="O515" i="1"/>
  <c r="N515" i="1"/>
  <c r="M515" i="1"/>
  <c r="L515" i="1"/>
  <c r="X514" i="1"/>
  <c r="W514" i="1"/>
  <c r="V514" i="1"/>
  <c r="U514" i="1"/>
  <c r="T514" i="1"/>
  <c r="S514" i="1"/>
  <c r="R514" i="1"/>
  <c r="P514" i="1"/>
  <c r="O514" i="1"/>
  <c r="N514" i="1"/>
  <c r="Q514" i="1" s="1"/>
  <c r="M514" i="1"/>
  <c r="L514" i="1"/>
  <c r="X513" i="1"/>
  <c r="W513" i="1"/>
  <c r="V513" i="1"/>
  <c r="T513" i="1"/>
  <c r="U513" i="1" s="1"/>
  <c r="S513" i="1"/>
  <c r="R513" i="1"/>
  <c r="Q513" i="1"/>
  <c r="P513" i="1"/>
  <c r="O513" i="1"/>
  <c r="N513" i="1"/>
  <c r="M513" i="1"/>
  <c r="L513" i="1"/>
  <c r="X512" i="1"/>
  <c r="W512" i="1"/>
  <c r="V512" i="1"/>
  <c r="T512" i="1"/>
  <c r="U512" i="1" s="1"/>
  <c r="S512" i="1"/>
  <c r="R512" i="1"/>
  <c r="P512" i="1"/>
  <c r="O512" i="1"/>
  <c r="N512" i="1"/>
  <c r="Q512" i="1" s="1"/>
  <c r="M512" i="1"/>
  <c r="L512" i="1"/>
  <c r="X511" i="1"/>
  <c r="W511" i="1"/>
  <c r="V511" i="1"/>
  <c r="U511" i="1"/>
  <c r="T511" i="1"/>
  <c r="S511" i="1"/>
  <c r="R511" i="1"/>
  <c r="P511" i="1"/>
  <c r="O511" i="1"/>
  <c r="Q511" i="1" s="1"/>
  <c r="N511" i="1"/>
  <c r="M511" i="1"/>
  <c r="L511" i="1"/>
  <c r="X510" i="1"/>
  <c r="W510" i="1"/>
  <c r="V510" i="1"/>
  <c r="U510" i="1"/>
  <c r="T510" i="1"/>
  <c r="S510" i="1"/>
  <c r="R510" i="1"/>
  <c r="P510" i="1"/>
  <c r="O510" i="1"/>
  <c r="N510" i="1"/>
  <c r="Q510" i="1" s="1"/>
  <c r="M510" i="1"/>
  <c r="L510" i="1"/>
  <c r="X509" i="1"/>
  <c r="W509" i="1"/>
  <c r="V509" i="1"/>
  <c r="U509" i="1"/>
  <c r="T509" i="1"/>
  <c r="S509" i="1"/>
  <c r="R509" i="1"/>
  <c r="P509" i="1"/>
  <c r="O509" i="1"/>
  <c r="N509" i="1"/>
  <c r="Q509" i="1" s="1"/>
  <c r="M509" i="1"/>
  <c r="L509" i="1"/>
  <c r="X508" i="1"/>
  <c r="W508" i="1"/>
  <c r="V508" i="1"/>
  <c r="U508" i="1"/>
  <c r="T508" i="1"/>
  <c r="S508" i="1"/>
  <c r="R508" i="1"/>
  <c r="P508" i="1"/>
  <c r="O508" i="1"/>
  <c r="N508" i="1"/>
  <c r="Q508" i="1" s="1"/>
  <c r="M508" i="1"/>
  <c r="L508" i="1"/>
  <c r="X507" i="1"/>
  <c r="W507" i="1"/>
  <c r="V507" i="1"/>
  <c r="U507" i="1"/>
  <c r="T507" i="1"/>
  <c r="S507" i="1"/>
  <c r="R507" i="1"/>
  <c r="P507" i="1"/>
  <c r="O507" i="1"/>
  <c r="N507" i="1"/>
  <c r="Q507" i="1" s="1"/>
  <c r="M507" i="1"/>
  <c r="L507" i="1"/>
  <c r="X506" i="1"/>
  <c r="W506" i="1"/>
  <c r="V506" i="1"/>
  <c r="T506" i="1"/>
  <c r="U506" i="1" s="1"/>
  <c r="S506" i="1"/>
  <c r="R506" i="1"/>
  <c r="P506" i="1"/>
  <c r="O506" i="1"/>
  <c r="N506" i="1"/>
  <c r="Q506" i="1" s="1"/>
  <c r="M506" i="1"/>
  <c r="L506" i="1"/>
  <c r="X505" i="1"/>
  <c r="W505" i="1"/>
  <c r="V505" i="1"/>
  <c r="U505" i="1"/>
  <c r="T505" i="1"/>
  <c r="S505" i="1"/>
  <c r="R505" i="1"/>
  <c r="P505" i="1"/>
  <c r="O505" i="1"/>
  <c r="Q505" i="1" s="1"/>
  <c r="N505" i="1"/>
  <c r="M505" i="1"/>
  <c r="L505" i="1"/>
  <c r="X504" i="1"/>
  <c r="W504" i="1"/>
  <c r="V504" i="1"/>
  <c r="T504" i="1"/>
  <c r="U504" i="1" s="1"/>
  <c r="S504" i="1"/>
  <c r="R504" i="1"/>
  <c r="P504" i="1"/>
  <c r="O504" i="1"/>
  <c r="N504" i="1"/>
  <c r="Q504" i="1" s="1"/>
  <c r="M504" i="1"/>
  <c r="L504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X502" i="1"/>
  <c r="W502" i="1"/>
  <c r="V502" i="1"/>
  <c r="U502" i="1"/>
  <c r="T502" i="1"/>
  <c r="S502" i="1"/>
  <c r="R502" i="1"/>
  <c r="P502" i="1"/>
  <c r="O502" i="1"/>
  <c r="N502" i="1"/>
  <c r="Q502" i="1" s="1"/>
  <c r="M502" i="1"/>
  <c r="L502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X500" i="1"/>
  <c r="W500" i="1"/>
  <c r="V500" i="1"/>
  <c r="T500" i="1"/>
  <c r="U500" i="1" s="1"/>
  <c r="S500" i="1"/>
  <c r="R500" i="1"/>
  <c r="P500" i="1"/>
  <c r="O500" i="1"/>
  <c r="N500" i="1"/>
  <c r="Q500" i="1" s="1"/>
  <c r="M500" i="1"/>
  <c r="L500" i="1"/>
  <c r="X499" i="1"/>
  <c r="W499" i="1"/>
  <c r="V499" i="1"/>
  <c r="U499" i="1"/>
  <c r="T499" i="1"/>
  <c r="S499" i="1"/>
  <c r="R499" i="1"/>
  <c r="P499" i="1"/>
  <c r="O499" i="1"/>
  <c r="Q499" i="1" s="1"/>
  <c r="N499" i="1"/>
  <c r="M499" i="1"/>
  <c r="L499" i="1"/>
  <c r="X498" i="1"/>
  <c r="W498" i="1"/>
  <c r="V498" i="1"/>
  <c r="U498" i="1"/>
  <c r="T498" i="1"/>
  <c r="S498" i="1"/>
  <c r="R498" i="1"/>
  <c r="P498" i="1"/>
  <c r="O498" i="1"/>
  <c r="N498" i="1"/>
  <c r="Q498" i="1" s="1"/>
  <c r="M498" i="1"/>
  <c r="L498" i="1"/>
  <c r="X497" i="1"/>
  <c r="W497" i="1"/>
  <c r="V497" i="1"/>
  <c r="U497" i="1"/>
  <c r="T497" i="1"/>
  <c r="S497" i="1"/>
  <c r="R497" i="1"/>
  <c r="P497" i="1"/>
  <c r="O497" i="1"/>
  <c r="N497" i="1"/>
  <c r="Q497" i="1" s="1"/>
  <c r="M497" i="1"/>
  <c r="L497" i="1"/>
  <c r="X496" i="1"/>
  <c r="W496" i="1"/>
  <c r="V496" i="1"/>
  <c r="T496" i="1"/>
  <c r="U496" i="1" s="1"/>
  <c r="S496" i="1"/>
  <c r="R496" i="1"/>
  <c r="P496" i="1"/>
  <c r="O496" i="1"/>
  <c r="N496" i="1"/>
  <c r="Q496" i="1" s="1"/>
  <c r="M496" i="1"/>
  <c r="L496" i="1"/>
  <c r="X495" i="1"/>
  <c r="W495" i="1"/>
  <c r="V495" i="1"/>
  <c r="U495" i="1"/>
  <c r="T495" i="1"/>
  <c r="S495" i="1"/>
  <c r="R495" i="1"/>
  <c r="P495" i="1"/>
  <c r="Q495" i="1" s="1"/>
  <c r="O495" i="1"/>
  <c r="N495" i="1"/>
  <c r="M495" i="1"/>
  <c r="L495" i="1"/>
  <c r="X494" i="1"/>
  <c r="W494" i="1"/>
  <c r="V494" i="1"/>
  <c r="U494" i="1"/>
  <c r="T494" i="1"/>
  <c r="S494" i="1"/>
  <c r="R494" i="1"/>
  <c r="P494" i="1"/>
  <c r="O494" i="1"/>
  <c r="N494" i="1"/>
  <c r="Q494" i="1" s="1"/>
  <c r="M494" i="1"/>
  <c r="L494" i="1"/>
  <c r="X493" i="1"/>
  <c r="W493" i="1"/>
  <c r="V493" i="1"/>
  <c r="U493" i="1"/>
  <c r="T493" i="1"/>
  <c r="S493" i="1"/>
  <c r="R493" i="1"/>
  <c r="P493" i="1"/>
  <c r="O493" i="1"/>
  <c r="Q493" i="1" s="1"/>
  <c r="N493" i="1"/>
  <c r="M493" i="1"/>
  <c r="L493" i="1"/>
  <c r="X492" i="1"/>
  <c r="W492" i="1"/>
  <c r="V492" i="1"/>
  <c r="T492" i="1"/>
  <c r="U492" i="1" s="1"/>
  <c r="S492" i="1"/>
  <c r="R492" i="1"/>
  <c r="P492" i="1"/>
  <c r="O492" i="1"/>
  <c r="N492" i="1"/>
  <c r="Q492" i="1" s="1"/>
  <c r="M492" i="1"/>
  <c r="L492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X490" i="1"/>
  <c r="W490" i="1"/>
  <c r="V490" i="1"/>
  <c r="U490" i="1"/>
  <c r="T490" i="1"/>
  <c r="S490" i="1"/>
  <c r="R490" i="1"/>
  <c r="P490" i="1"/>
  <c r="O490" i="1"/>
  <c r="N490" i="1"/>
  <c r="Q490" i="1" s="1"/>
  <c r="M490" i="1"/>
  <c r="L490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X488" i="1"/>
  <c r="W488" i="1"/>
  <c r="V488" i="1"/>
  <c r="T488" i="1"/>
  <c r="U488" i="1" s="1"/>
  <c r="S488" i="1"/>
  <c r="R488" i="1"/>
  <c r="P488" i="1"/>
  <c r="O488" i="1"/>
  <c r="N488" i="1"/>
  <c r="Q488" i="1" s="1"/>
  <c r="M488" i="1"/>
  <c r="L488" i="1"/>
  <c r="X487" i="1"/>
  <c r="W487" i="1"/>
  <c r="V487" i="1"/>
  <c r="U487" i="1"/>
  <c r="T487" i="1"/>
  <c r="S487" i="1"/>
  <c r="R487" i="1"/>
  <c r="P487" i="1"/>
  <c r="O487" i="1"/>
  <c r="Q487" i="1" s="1"/>
  <c r="N487" i="1"/>
  <c r="M487" i="1"/>
  <c r="L487" i="1"/>
  <c r="X486" i="1"/>
  <c r="W486" i="1"/>
  <c r="V486" i="1"/>
  <c r="T486" i="1"/>
  <c r="U486" i="1" s="1"/>
  <c r="S486" i="1"/>
  <c r="R486" i="1"/>
  <c r="P486" i="1"/>
  <c r="O486" i="1"/>
  <c r="N486" i="1"/>
  <c r="Q486" i="1" s="1"/>
  <c r="M486" i="1"/>
  <c r="L486" i="1"/>
  <c r="X485" i="1"/>
  <c r="W485" i="1"/>
  <c r="V485" i="1"/>
  <c r="U485" i="1"/>
  <c r="T485" i="1"/>
  <c r="S485" i="1"/>
  <c r="R485" i="1"/>
  <c r="P485" i="1"/>
  <c r="O485" i="1"/>
  <c r="N485" i="1"/>
  <c r="Q485" i="1" s="1"/>
  <c r="M485" i="1"/>
  <c r="L485" i="1"/>
  <c r="X484" i="1"/>
  <c r="W484" i="1"/>
  <c r="V484" i="1"/>
  <c r="T484" i="1"/>
  <c r="U484" i="1" s="1"/>
  <c r="S484" i="1"/>
  <c r="R484" i="1"/>
  <c r="P484" i="1"/>
  <c r="O484" i="1"/>
  <c r="N484" i="1"/>
  <c r="Q484" i="1" s="1"/>
  <c r="M484" i="1"/>
  <c r="L484" i="1"/>
  <c r="X483" i="1"/>
  <c r="W483" i="1"/>
  <c r="V483" i="1"/>
  <c r="U483" i="1"/>
  <c r="T483" i="1"/>
  <c r="S483" i="1"/>
  <c r="R483" i="1"/>
  <c r="P483" i="1"/>
  <c r="O483" i="1"/>
  <c r="N483" i="1"/>
  <c r="Q483" i="1" s="1"/>
  <c r="M483" i="1"/>
  <c r="L483" i="1"/>
  <c r="X482" i="1"/>
  <c r="W482" i="1"/>
  <c r="V482" i="1"/>
  <c r="U482" i="1"/>
  <c r="T482" i="1"/>
  <c r="S482" i="1"/>
  <c r="R482" i="1"/>
  <c r="P482" i="1"/>
  <c r="O482" i="1"/>
  <c r="N482" i="1"/>
  <c r="Q482" i="1" s="1"/>
  <c r="M482" i="1"/>
  <c r="L482" i="1"/>
  <c r="X481" i="1"/>
  <c r="W481" i="1"/>
  <c r="V481" i="1"/>
  <c r="U481" i="1"/>
  <c r="T481" i="1"/>
  <c r="S481" i="1"/>
  <c r="R481" i="1"/>
  <c r="P481" i="1"/>
  <c r="O481" i="1"/>
  <c r="Q481" i="1" s="1"/>
  <c r="N481" i="1"/>
  <c r="M481" i="1"/>
  <c r="L481" i="1"/>
  <c r="X480" i="1"/>
  <c r="W480" i="1"/>
  <c r="V480" i="1"/>
  <c r="U480" i="1"/>
  <c r="T480" i="1"/>
  <c r="S480" i="1"/>
  <c r="R480" i="1"/>
  <c r="P480" i="1"/>
  <c r="Q480" i="1" s="1"/>
  <c r="O480" i="1"/>
  <c r="N480" i="1"/>
  <c r="M480" i="1"/>
  <c r="L480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X478" i="1"/>
  <c r="W478" i="1"/>
  <c r="V478" i="1"/>
  <c r="U478" i="1"/>
  <c r="T478" i="1"/>
  <c r="S478" i="1"/>
  <c r="R478" i="1"/>
  <c r="P478" i="1"/>
  <c r="O478" i="1"/>
  <c r="N478" i="1"/>
  <c r="Q478" i="1" s="1"/>
  <c r="M478" i="1"/>
  <c r="L478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X476" i="1"/>
  <c r="W476" i="1"/>
  <c r="V476" i="1"/>
  <c r="U476" i="1"/>
  <c r="T476" i="1"/>
  <c r="S476" i="1"/>
  <c r="R476" i="1"/>
  <c r="P476" i="1"/>
  <c r="O476" i="1"/>
  <c r="N476" i="1"/>
  <c r="Q476" i="1" s="1"/>
  <c r="M476" i="1"/>
  <c r="L476" i="1"/>
  <c r="X475" i="1"/>
  <c r="W475" i="1"/>
  <c r="V475" i="1"/>
  <c r="U475" i="1"/>
  <c r="T475" i="1"/>
  <c r="S475" i="1"/>
  <c r="R475" i="1"/>
  <c r="P475" i="1"/>
  <c r="O475" i="1"/>
  <c r="Q475" i="1" s="1"/>
  <c r="N475" i="1"/>
  <c r="M475" i="1"/>
  <c r="L475" i="1"/>
  <c r="X474" i="1"/>
  <c r="W474" i="1"/>
  <c r="V474" i="1"/>
  <c r="U474" i="1"/>
  <c r="T474" i="1"/>
  <c r="S474" i="1"/>
  <c r="R474" i="1"/>
  <c r="P474" i="1"/>
  <c r="O474" i="1"/>
  <c r="N474" i="1"/>
  <c r="Q474" i="1" s="1"/>
  <c r="M474" i="1"/>
  <c r="L474" i="1"/>
  <c r="X473" i="1"/>
  <c r="W473" i="1"/>
  <c r="V473" i="1"/>
  <c r="U473" i="1"/>
  <c r="T473" i="1"/>
  <c r="S473" i="1"/>
  <c r="R473" i="1"/>
  <c r="P473" i="1"/>
  <c r="O473" i="1"/>
  <c r="N473" i="1"/>
  <c r="Q473" i="1" s="1"/>
  <c r="M473" i="1"/>
  <c r="L473" i="1"/>
  <c r="X472" i="1"/>
  <c r="W472" i="1"/>
  <c r="V472" i="1"/>
  <c r="U472" i="1"/>
  <c r="T472" i="1"/>
  <c r="S472" i="1"/>
  <c r="R472" i="1"/>
  <c r="P472" i="1"/>
  <c r="O472" i="1"/>
  <c r="N472" i="1"/>
  <c r="Q472" i="1" s="1"/>
  <c r="M472" i="1"/>
  <c r="L472" i="1"/>
  <c r="X471" i="1"/>
  <c r="W471" i="1"/>
  <c r="V471" i="1"/>
  <c r="U471" i="1"/>
  <c r="T471" i="1"/>
  <c r="S471" i="1"/>
  <c r="R471" i="1"/>
  <c r="P471" i="1"/>
  <c r="O471" i="1"/>
  <c r="N471" i="1"/>
  <c r="Q471" i="1" s="1"/>
  <c r="M471" i="1"/>
  <c r="L471" i="1"/>
  <c r="X470" i="1"/>
  <c r="W470" i="1"/>
  <c r="V470" i="1"/>
  <c r="T470" i="1"/>
  <c r="U470" i="1" s="1"/>
  <c r="S470" i="1"/>
  <c r="R470" i="1"/>
  <c r="P470" i="1"/>
  <c r="O470" i="1"/>
  <c r="N470" i="1"/>
  <c r="Q470" i="1" s="1"/>
  <c r="M470" i="1"/>
  <c r="L470" i="1"/>
  <c r="X469" i="1"/>
  <c r="W469" i="1"/>
  <c r="V469" i="1"/>
  <c r="U469" i="1"/>
  <c r="T469" i="1"/>
  <c r="S469" i="1"/>
  <c r="R469" i="1"/>
  <c r="P469" i="1"/>
  <c r="O469" i="1"/>
  <c r="Q469" i="1" s="1"/>
  <c r="N469" i="1"/>
  <c r="M469" i="1"/>
  <c r="L469" i="1"/>
  <c r="X468" i="1"/>
  <c r="W468" i="1"/>
  <c r="V468" i="1"/>
  <c r="U468" i="1"/>
  <c r="T468" i="1"/>
  <c r="S468" i="1"/>
  <c r="R468" i="1"/>
  <c r="P468" i="1"/>
  <c r="Q468" i="1" s="1"/>
  <c r="O468" i="1"/>
  <c r="N468" i="1"/>
  <c r="M468" i="1"/>
  <c r="L468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X466" i="1"/>
  <c r="W466" i="1"/>
  <c r="V466" i="1"/>
  <c r="U466" i="1"/>
  <c r="T466" i="1"/>
  <c r="S466" i="1"/>
  <c r="R466" i="1"/>
  <c r="P466" i="1"/>
  <c r="O466" i="1"/>
  <c r="N466" i="1"/>
  <c r="Q466" i="1" s="1"/>
  <c r="M466" i="1"/>
  <c r="L466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X464" i="1"/>
  <c r="W464" i="1"/>
  <c r="V464" i="1"/>
  <c r="U464" i="1"/>
  <c r="T464" i="1"/>
  <c r="S464" i="1"/>
  <c r="R464" i="1"/>
  <c r="P464" i="1"/>
  <c r="O464" i="1"/>
  <c r="N464" i="1"/>
  <c r="Q464" i="1" s="1"/>
  <c r="M464" i="1"/>
  <c r="L464" i="1"/>
  <c r="X463" i="1"/>
  <c r="W463" i="1"/>
  <c r="V463" i="1"/>
  <c r="U463" i="1"/>
  <c r="T463" i="1"/>
  <c r="S463" i="1"/>
  <c r="R463" i="1"/>
  <c r="P463" i="1"/>
  <c r="O463" i="1"/>
  <c r="Q463" i="1" s="1"/>
  <c r="N463" i="1"/>
  <c r="M463" i="1"/>
  <c r="L463" i="1"/>
  <c r="X462" i="1"/>
  <c r="W462" i="1"/>
  <c r="V462" i="1"/>
  <c r="U462" i="1"/>
  <c r="T462" i="1"/>
  <c r="S462" i="1"/>
  <c r="R462" i="1"/>
  <c r="P462" i="1"/>
  <c r="O462" i="1"/>
  <c r="N462" i="1"/>
  <c r="Q462" i="1" s="1"/>
  <c r="M462" i="1"/>
  <c r="L462" i="1"/>
  <c r="X461" i="1"/>
  <c r="W461" i="1"/>
  <c r="V461" i="1"/>
  <c r="U461" i="1"/>
  <c r="T461" i="1"/>
  <c r="S461" i="1"/>
  <c r="R461" i="1"/>
  <c r="P461" i="1"/>
  <c r="O461" i="1"/>
  <c r="N461" i="1"/>
  <c r="Q461" i="1" s="1"/>
  <c r="M461" i="1"/>
  <c r="L461" i="1"/>
  <c r="X460" i="1"/>
  <c r="W460" i="1"/>
  <c r="V460" i="1"/>
  <c r="T460" i="1"/>
  <c r="U460" i="1" s="1"/>
  <c r="S460" i="1"/>
  <c r="R460" i="1"/>
  <c r="P460" i="1"/>
  <c r="O460" i="1"/>
  <c r="N460" i="1"/>
  <c r="Q460" i="1" s="1"/>
  <c r="M460" i="1"/>
  <c r="L460" i="1"/>
  <c r="X459" i="1"/>
  <c r="W459" i="1"/>
  <c r="V459" i="1"/>
  <c r="U459" i="1"/>
  <c r="T459" i="1"/>
  <c r="S459" i="1"/>
  <c r="R459" i="1"/>
  <c r="P459" i="1"/>
  <c r="O459" i="1"/>
  <c r="N459" i="1"/>
  <c r="Q459" i="1" s="1"/>
  <c r="M459" i="1"/>
  <c r="L459" i="1"/>
  <c r="X458" i="1"/>
  <c r="W458" i="1"/>
  <c r="V458" i="1"/>
  <c r="T458" i="1"/>
  <c r="U458" i="1" s="1"/>
  <c r="S458" i="1"/>
  <c r="R458" i="1"/>
  <c r="P458" i="1"/>
  <c r="O458" i="1"/>
  <c r="N458" i="1"/>
  <c r="Q458" i="1" s="1"/>
  <c r="M458" i="1"/>
  <c r="L458" i="1"/>
  <c r="X457" i="1"/>
  <c r="W457" i="1"/>
  <c r="V457" i="1"/>
  <c r="U457" i="1"/>
  <c r="T457" i="1"/>
  <c r="S457" i="1"/>
  <c r="R457" i="1"/>
  <c r="P457" i="1"/>
  <c r="O457" i="1"/>
  <c r="Q457" i="1" s="1"/>
  <c r="N457" i="1"/>
  <c r="M457" i="1"/>
  <c r="L457" i="1"/>
  <c r="X456" i="1"/>
  <c r="W456" i="1"/>
  <c r="V456" i="1"/>
  <c r="U456" i="1"/>
  <c r="T456" i="1"/>
  <c r="S456" i="1"/>
  <c r="R456" i="1"/>
  <c r="P456" i="1"/>
  <c r="Q456" i="1" s="1"/>
  <c r="O456" i="1"/>
  <c r="N456" i="1"/>
  <c r="M456" i="1"/>
  <c r="L456" i="1"/>
  <c r="X455" i="1"/>
  <c r="W455" i="1"/>
  <c r="V455" i="1"/>
  <c r="T455" i="1"/>
  <c r="U455" i="1" s="1"/>
  <c r="S455" i="1"/>
  <c r="R455" i="1"/>
  <c r="Q455" i="1"/>
  <c r="P455" i="1"/>
  <c r="O455" i="1"/>
  <c r="N455" i="1"/>
  <c r="M455" i="1"/>
  <c r="L455" i="1"/>
  <c r="X454" i="1"/>
  <c r="W454" i="1"/>
  <c r="V454" i="1"/>
  <c r="U454" i="1"/>
  <c r="T454" i="1"/>
  <c r="S454" i="1"/>
  <c r="R454" i="1"/>
  <c r="P454" i="1"/>
  <c r="O454" i="1"/>
  <c r="N454" i="1"/>
  <c r="Q454" i="1" s="1"/>
  <c r="M454" i="1"/>
  <c r="L454" i="1"/>
  <c r="X453" i="1"/>
  <c r="W453" i="1"/>
  <c r="V453" i="1"/>
  <c r="U453" i="1"/>
  <c r="T453" i="1"/>
  <c r="S453" i="1"/>
  <c r="R453" i="1"/>
  <c r="P453" i="1"/>
  <c r="O453" i="1"/>
  <c r="Q453" i="1" s="1"/>
  <c r="N453" i="1"/>
  <c r="M453" i="1"/>
  <c r="L453" i="1"/>
  <c r="X452" i="1"/>
  <c r="W452" i="1"/>
  <c r="V452" i="1"/>
  <c r="T452" i="1"/>
  <c r="U452" i="1" s="1"/>
  <c r="S452" i="1"/>
  <c r="R452" i="1"/>
  <c r="P452" i="1"/>
  <c r="O452" i="1"/>
  <c r="N452" i="1"/>
  <c r="Q452" i="1" s="1"/>
  <c r="M452" i="1"/>
  <c r="L452" i="1"/>
  <c r="X451" i="1"/>
  <c r="W451" i="1"/>
  <c r="V451" i="1"/>
  <c r="U451" i="1"/>
  <c r="T451" i="1"/>
  <c r="S451" i="1"/>
  <c r="R451" i="1"/>
  <c r="P451" i="1"/>
  <c r="O451" i="1"/>
  <c r="Q451" i="1" s="1"/>
  <c r="N451" i="1"/>
  <c r="M451" i="1"/>
  <c r="L451" i="1"/>
  <c r="X450" i="1"/>
  <c r="W450" i="1"/>
  <c r="V450" i="1"/>
  <c r="U450" i="1"/>
  <c r="T450" i="1"/>
  <c r="S450" i="1"/>
  <c r="R450" i="1"/>
  <c r="P450" i="1"/>
  <c r="O450" i="1"/>
  <c r="N450" i="1"/>
  <c r="Q450" i="1" s="1"/>
  <c r="M450" i="1"/>
  <c r="L450" i="1"/>
  <c r="X449" i="1"/>
  <c r="W449" i="1"/>
  <c r="V449" i="1"/>
  <c r="U449" i="1"/>
  <c r="T449" i="1"/>
  <c r="S449" i="1"/>
  <c r="R449" i="1"/>
  <c r="P449" i="1"/>
  <c r="O449" i="1"/>
  <c r="N449" i="1"/>
  <c r="Q449" i="1" s="1"/>
  <c r="M449" i="1"/>
  <c r="L449" i="1"/>
  <c r="X448" i="1"/>
  <c r="W448" i="1"/>
  <c r="V448" i="1"/>
  <c r="T448" i="1"/>
  <c r="U448" i="1" s="1"/>
  <c r="S448" i="1"/>
  <c r="R448" i="1"/>
  <c r="P448" i="1"/>
  <c r="O448" i="1"/>
  <c r="N448" i="1"/>
  <c r="Q448" i="1" s="1"/>
  <c r="M448" i="1"/>
  <c r="L448" i="1"/>
  <c r="X447" i="1"/>
  <c r="W447" i="1"/>
  <c r="V447" i="1"/>
  <c r="U447" i="1"/>
  <c r="T447" i="1"/>
  <c r="S447" i="1"/>
  <c r="R447" i="1"/>
  <c r="P447" i="1"/>
  <c r="O447" i="1"/>
  <c r="N447" i="1"/>
  <c r="Q447" i="1" s="1"/>
  <c r="M447" i="1"/>
  <c r="L447" i="1"/>
  <c r="X446" i="1"/>
  <c r="W446" i="1"/>
  <c r="V446" i="1"/>
  <c r="U446" i="1"/>
  <c r="T446" i="1"/>
  <c r="S446" i="1"/>
  <c r="R446" i="1"/>
  <c r="P446" i="1"/>
  <c r="O446" i="1"/>
  <c r="N446" i="1"/>
  <c r="Q446" i="1" s="1"/>
  <c r="M446" i="1"/>
  <c r="L446" i="1"/>
  <c r="X445" i="1"/>
  <c r="W445" i="1"/>
  <c r="V445" i="1"/>
  <c r="U445" i="1"/>
  <c r="T445" i="1"/>
  <c r="S445" i="1"/>
  <c r="R445" i="1"/>
  <c r="P445" i="1"/>
  <c r="O445" i="1"/>
  <c r="Q445" i="1" s="1"/>
  <c r="N445" i="1"/>
  <c r="M445" i="1"/>
  <c r="L445" i="1"/>
  <c r="X444" i="1"/>
  <c r="W444" i="1"/>
  <c r="V444" i="1"/>
  <c r="U444" i="1"/>
  <c r="T444" i="1"/>
  <c r="S444" i="1"/>
  <c r="R444" i="1"/>
  <c r="P444" i="1"/>
  <c r="Q444" i="1" s="1"/>
  <c r="O444" i="1"/>
  <c r="N444" i="1"/>
  <c r="M444" i="1"/>
  <c r="L444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X442" i="1"/>
  <c r="W442" i="1"/>
  <c r="V442" i="1"/>
  <c r="U442" i="1"/>
  <c r="T442" i="1"/>
  <c r="S442" i="1"/>
  <c r="R442" i="1"/>
  <c r="P442" i="1"/>
  <c r="O442" i="1"/>
  <c r="N442" i="1"/>
  <c r="Q442" i="1" s="1"/>
  <c r="M442" i="1"/>
  <c r="L442" i="1"/>
  <c r="X441" i="1"/>
  <c r="W441" i="1"/>
  <c r="V441" i="1"/>
  <c r="U441" i="1"/>
  <c r="T441" i="1"/>
  <c r="S441" i="1"/>
  <c r="R441" i="1"/>
  <c r="P441" i="1"/>
  <c r="O441" i="1"/>
  <c r="Q441" i="1" s="1"/>
  <c r="N441" i="1"/>
  <c r="M441" i="1"/>
  <c r="L441" i="1"/>
  <c r="X440" i="1"/>
  <c r="W440" i="1"/>
  <c r="V440" i="1"/>
  <c r="U440" i="1"/>
  <c r="T440" i="1"/>
  <c r="S440" i="1"/>
  <c r="R440" i="1"/>
  <c r="P440" i="1"/>
  <c r="O440" i="1"/>
  <c r="N440" i="1"/>
  <c r="Q440" i="1" s="1"/>
  <c r="M440" i="1"/>
  <c r="L440" i="1"/>
  <c r="X439" i="1"/>
  <c r="W439" i="1"/>
  <c r="V439" i="1"/>
  <c r="U439" i="1"/>
  <c r="T439" i="1"/>
  <c r="S439" i="1"/>
  <c r="R439" i="1"/>
  <c r="P439" i="1"/>
  <c r="O439" i="1"/>
  <c r="Q439" i="1" s="1"/>
  <c r="N439" i="1"/>
  <c r="M439" i="1"/>
  <c r="L439" i="1"/>
  <c r="X438" i="1"/>
  <c r="W438" i="1"/>
  <c r="V438" i="1"/>
  <c r="U438" i="1"/>
  <c r="T438" i="1"/>
  <c r="S438" i="1"/>
  <c r="R438" i="1"/>
  <c r="P438" i="1"/>
  <c r="O438" i="1"/>
  <c r="N438" i="1"/>
  <c r="Q438" i="1" s="1"/>
  <c r="M438" i="1"/>
  <c r="L438" i="1"/>
  <c r="X437" i="1"/>
  <c r="W437" i="1"/>
  <c r="V437" i="1"/>
  <c r="U437" i="1"/>
  <c r="T437" i="1"/>
  <c r="S437" i="1"/>
  <c r="R437" i="1"/>
  <c r="P437" i="1"/>
  <c r="O437" i="1"/>
  <c r="N437" i="1"/>
  <c r="Q437" i="1" s="1"/>
  <c r="M437" i="1"/>
  <c r="L437" i="1"/>
  <c r="X436" i="1"/>
  <c r="W436" i="1"/>
  <c r="V436" i="1"/>
  <c r="T436" i="1"/>
  <c r="U436" i="1" s="1"/>
  <c r="S436" i="1"/>
  <c r="R436" i="1"/>
  <c r="P436" i="1"/>
  <c r="O436" i="1"/>
  <c r="N436" i="1"/>
  <c r="Q436" i="1" s="1"/>
  <c r="M436" i="1"/>
  <c r="L436" i="1"/>
  <c r="X435" i="1"/>
  <c r="W435" i="1"/>
  <c r="V435" i="1"/>
  <c r="U435" i="1"/>
  <c r="T435" i="1"/>
  <c r="S435" i="1"/>
  <c r="R435" i="1"/>
  <c r="P435" i="1"/>
  <c r="O435" i="1"/>
  <c r="N435" i="1"/>
  <c r="Q435" i="1" s="1"/>
  <c r="M435" i="1"/>
  <c r="L435" i="1"/>
  <c r="X434" i="1"/>
  <c r="W434" i="1"/>
  <c r="V434" i="1"/>
  <c r="U434" i="1"/>
  <c r="T434" i="1"/>
  <c r="S434" i="1"/>
  <c r="R434" i="1"/>
  <c r="P434" i="1"/>
  <c r="O434" i="1"/>
  <c r="N434" i="1"/>
  <c r="Q434" i="1" s="1"/>
  <c r="M434" i="1"/>
  <c r="L434" i="1"/>
  <c r="X433" i="1"/>
  <c r="W433" i="1"/>
  <c r="V433" i="1"/>
  <c r="U433" i="1"/>
  <c r="T433" i="1"/>
  <c r="S433" i="1"/>
  <c r="R433" i="1"/>
  <c r="P433" i="1"/>
  <c r="O433" i="1"/>
  <c r="Q433" i="1" s="1"/>
  <c r="N433" i="1"/>
  <c r="M433" i="1"/>
  <c r="L433" i="1"/>
  <c r="X432" i="1"/>
  <c r="W432" i="1"/>
  <c r="V432" i="1"/>
  <c r="T432" i="1"/>
  <c r="U432" i="1" s="1"/>
  <c r="S432" i="1"/>
  <c r="R432" i="1"/>
  <c r="P432" i="1"/>
  <c r="Q432" i="1" s="1"/>
  <c r="O432" i="1"/>
  <c r="N432" i="1"/>
  <c r="M432" i="1"/>
  <c r="L432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X430" i="1"/>
  <c r="W430" i="1"/>
  <c r="V430" i="1"/>
  <c r="U430" i="1"/>
  <c r="T430" i="1"/>
  <c r="S430" i="1"/>
  <c r="R430" i="1"/>
  <c r="P430" i="1"/>
  <c r="O430" i="1"/>
  <c r="N430" i="1"/>
  <c r="Q430" i="1" s="1"/>
  <c r="M430" i="1"/>
  <c r="L430" i="1"/>
  <c r="X429" i="1"/>
  <c r="W429" i="1"/>
  <c r="V429" i="1"/>
  <c r="U429" i="1"/>
  <c r="T429" i="1"/>
  <c r="S429" i="1"/>
  <c r="R429" i="1"/>
  <c r="P429" i="1"/>
  <c r="O429" i="1"/>
  <c r="Q429" i="1" s="1"/>
  <c r="N429" i="1"/>
  <c r="M429" i="1"/>
  <c r="L429" i="1"/>
  <c r="X428" i="1"/>
  <c r="W428" i="1"/>
  <c r="V428" i="1"/>
  <c r="T428" i="1"/>
  <c r="U428" i="1" s="1"/>
  <c r="S428" i="1"/>
  <c r="R428" i="1"/>
  <c r="P428" i="1"/>
  <c r="O428" i="1"/>
  <c r="N428" i="1"/>
  <c r="Q428" i="1" s="1"/>
  <c r="M428" i="1"/>
  <c r="L428" i="1"/>
  <c r="X427" i="1"/>
  <c r="W427" i="1"/>
  <c r="V427" i="1"/>
  <c r="U427" i="1"/>
  <c r="T427" i="1"/>
  <c r="S427" i="1"/>
  <c r="R427" i="1"/>
  <c r="P427" i="1"/>
  <c r="O427" i="1"/>
  <c r="Q427" i="1" s="1"/>
  <c r="N427" i="1"/>
  <c r="M427" i="1"/>
  <c r="L427" i="1"/>
  <c r="X426" i="1"/>
  <c r="W426" i="1"/>
  <c r="V426" i="1"/>
  <c r="U426" i="1"/>
  <c r="T426" i="1"/>
  <c r="S426" i="1"/>
  <c r="R426" i="1"/>
  <c r="P426" i="1"/>
  <c r="O426" i="1"/>
  <c r="N426" i="1"/>
  <c r="Q426" i="1" s="1"/>
  <c r="M426" i="1"/>
  <c r="L426" i="1"/>
  <c r="X425" i="1"/>
  <c r="W425" i="1"/>
  <c r="V425" i="1"/>
  <c r="U425" i="1"/>
  <c r="T425" i="1"/>
  <c r="S425" i="1"/>
  <c r="R425" i="1"/>
  <c r="P425" i="1"/>
  <c r="O425" i="1"/>
  <c r="N425" i="1"/>
  <c r="Q425" i="1" s="1"/>
  <c r="M425" i="1"/>
  <c r="L425" i="1"/>
  <c r="X424" i="1"/>
  <c r="W424" i="1"/>
  <c r="V424" i="1"/>
  <c r="U424" i="1"/>
  <c r="T424" i="1"/>
  <c r="S424" i="1"/>
  <c r="R424" i="1"/>
  <c r="P424" i="1"/>
  <c r="O424" i="1"/>
  <c r="N424" i="1"/>
  <c r="Q424" i="1" s="1"/>
  <c r="M424" i="1"/>
  <c r="L424" i="1"/>
  <c r="X423" i="1"/>
  <c r="W423" i="1"/>
  <c r="V423" i="1"/>
  <c r="U423" i="1"/>
  <c r="T423" i="1"/>
  <c r="S423" i="1"/>
  <c r="R423" i="1"/>
  <c r="P423" i="1"/>
  <c r="O423" i="1"/>
  <c r="N423" i="1"/>
  <c r="Q423" i="1" s="1"/>
  <c r="M423" i="1"/>
  <c r="L423" i="1"/>
  <c r="X422" i="1"/>
  <c r="W422" i="1"/>
  <c r="V422" i="1"/>
  <c r="U422" i="1"/>
  <c r="T422" i="1"/>
  <c r="S422" i="1"/>
  <c r="R422" i="1"/>
  <c r="P422" i="1"/>
  <c r="O422" i="1"/>
  <c r="N422" i="1"/>
  <c r="Q422" i="1" s="1"/>
  <c r="M422" i="1"/>
  <c r="L422" i="1"/>
  <c r="X421" i="1"/>
  <c r="W421" i="1"/>
  <c r="V421" i="1"/>
  <c r="U421" i="1"/>
  <c r="T421" i="1"/>
  <c r="S421" i="1"/>
  <c r="R421" i="1"/>
  <c r="P421" i="1"/>
  <c r="O421" i="1"/>
  <c r="Q421" i="1" s="1"/>
  <c r="N421" i="1"/>
  <c r="M421" i="1"/>
  <c r="L421" i="1"/>
  <c r="X420" i="1"/>
  <c r="W420" i="1"/>
  <c r="V420" i="1"/>
  <c r="U420" i="1"/>
  <c r="T420" i="1"/>
  <c r="S420" i="1"/>
  <c r="R420" i="1"/>
  <c r="P420" i="1"/>
  <c r="Q420" i="1" s="1"/>
  <c r="O420" i="1"/>
  <c r="N420" i="1"/>
  <c r="M420" i="1"/>
  <c r="L420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X418" i="1"/>
  <c r="W418" i="1"/>
  <c r="V418" i="1"/>
  <c r="U418" i="1"/>
  <c r="T418" i="1"/>
  <c r="S418" i="1"/>
  <c r="R418" i="1"/>
  <c r="P418" i="1"/>
  <c r="O418" i="1"/>
  <c r="N418" i="1"/>
  <c r="Q418" i="1" s="1"/>
  <c r="M418" i="1"/>
  <c r="L418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X416" i="1"/>
  <c r="W416" i="1"/>
  <c r="V416" i="1"/>
  <c r="U416" i="1"/>
  <c r="T416" i="1"/>
  <c r="S416" i="1"/>
  <c r="R416" i="1"/>
  <c r="P416" i="1"/>
  <c r="O416" i="1"/>
  <c r="N416" i="1"/>
  <c r="Q416" i="1" s="1"/>
  <c r="M416" i="1"/>
  <c r="L416" i="1"/>
  <c r="X415" i="1"/>
  <c r="W415" i="1"/>
  <c r="V415" i="1"/>
  <c r="U415" i="1"/>
  <c r="T415" i="1"/>
  <c r="S415" i="1"/>
  <c r="R415" i="1"/>
  <c r="P415" i="1"/>
  <c r="O415" i="1"/>
  <c r="Q415" i="1" s="1"/>
  <c r="N415" i="1"/>
  <c r="M415" i="1"/>
  <c r="L415" i="1"/>
  <c r="X414" i="1"/>
  <c r="W414" i="1"/>
  <c r="V414" i="1"/>
  <c r="U414" i="1"/>
  <c r="T414" i="1"/>
  <c r="S414" i="1"/>
  <c r="R414" i="1"/>
  <c r="P414" i="1"/>
  <c r="O414" i="1"/>
  <c r="N414" i="1"/>
  <c r="Q414" i="1" s="1"/>
  <c r="M414" i="1"/>
  <c r="L414" i="1"/>
  <c r="X413" i="1"/>
  <c r="W413" i="1"/>
  <c r="V413" i="1"/>
  <c r="U413" i="1"/>
  <c r="T413" i="1"/>
  <c r="S413" i="1"/>
  <c r="R413" i="1"/>
  <c r="P413" i="1"/>
  <c r="O413" i="1"/>
  <c r="N413" i="1"/>
  <c r="Q413" i="1" s="1"/>
  <c r="M413" i="1"/>
  <c r="L413" i="1"/>
  <c r="X412" i="1"/>
  <c r="W412" i="1"/>
  <c r="V412" i="1"/>
  <c r="T412" i="1"/>
  <c r="U412" i="1" s="1"/>
  <c r="S412" i="1"/>
  <c r="R412" i="1"/>
  <c r="P412" i="1"/>
  <c r="O412" i="1"/>
  <c r="N412" i="1"/>
  <c r="Q412" i="1" s="1"/>
  <c r="M412" i="1"/>
  <c r="L412" i="1"/>
  <c r="X411" i="1"/>
  <c r="W411" i="1"/>
  <c r="V411" i="1"/>
  <c r="U411" i="1"/>
  <c r="T411" i="1"/>
  <c r="S411" i="1"/>
  <c r="R411" i="1"/>
  <c r="P411" i="1"/>
  <c r="O411" i="1"/>
  <c r="N411" i="1"/>
  <c r="Q411" i="1" s="1"/>
  <c r="M411" i="1"/>
  <c r="L411" i="1"/>
  <c r="X410" i="1"/>
  <c r="W410" i="1"/>
  <c r="V410" i="1"/>
  <c r="T410" i="1"/>
  <c r="U410" i="1" s="1"/>
  <c r="S410" i="1"/>
  <c r="R410" i="1"/>
  <c r="P410" i="1"/>
  <c r="O410" i="1"/>
  <c r="N410" i="1"/>
  <c r="Q410" i="1" s="1"/>
  <c r="M410" i="1"/>
  <c r="L410" i="1"/>
  <c r="X409" i="1"/>
  <c r="W409" i="1"/>
  <c r="V409" i="1"/>
  <c r="U409" i="1"/>
  <c r="T409" i="1"/>
  <c r="S409" i="1"/>
  <c r="R409" i="1"/>
  <c r="P409" i="1"/>
  <c r="O409" i="1"/>
  <c r="Q409" i="1" s="1"/>
  <c r="N409" i="1"/>
  <c r="M409" i="1"/>
  <c r="L409" i="1"/>
  <c r="X408" i="1"/>
  <c r="W408" i="1"/>
  <c r="V408" i="1"/>
  <c r="T408" i="1"/>
  <c r="U408" i="1" s="1"/>
  <c r="S408" i="1"/>
  <c r="R408" i="1"/>
  <c r="P408" i="1"/>
  <c r="O408" i="1"/>
  <c r="N408" i="1"/>
  <c r="Q408" i="1" s="1"/>
  <c r="M408" i="1"/>
  <c r="L408" i="1"/>
  <c r="X407" i="1"/>
  <c r="W407" i="1"/>
  <c r="V407" i="1"/>
  <c r="T407" i="1"/>
  <c r="U407" i="1" s="1"/>
  <c r="S407" i="1"/>
  <c r="R407" i="1"/>
  <c r="Q407" i="1"/>
  <c r="P407" i="1"/>
  <c r="O407" i="1"/>
  <c r="N407" i="1"/>
  <c r="M407" i="1"/>
  <c r="L407" i="1"/>
  <c r="X406" i="1"/>
  <c r="W406" i="1"/>
  <c r="V406" i="1"/>
  <c r="U406" i="1"/>
  <c r="T406" i="1"/>
  <c r="S406" i="1"/>
  <c r="R406" i="1"/>
  <c r="P406" i="1"/>
  <c r="O406" i="1"/>
  <c r="N406" i="1"/>
  <c r="Q406" i="1" s="1"/>
  <c r="M406" i="1"/>
  <c r="L406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X404" i="1"/>
  <c r="W404" i="1"/>
  <c r="V404" i="1"/>
  <c r="U404" i="1"/>
  <c r="T404" i="1"/>
  <c r="S404" i="1"/>
  <c r="R404" i="1"/>
  <c r="P404" i="1"/>
  <c r="O404" i="1"/>
  <c r="N404" i="1"/>
  <c r="Q404" i="1" s="1"/>
  <c r="M404" i="1"/>
  <c r="L404" i="1"/>
  <c r="X403" i="1"/>
  <c r="W403" i="1"/>
  <c r="V403" i="1"/>
  <c r="U403" i="1"/>
  <c r="T403" i="1"/>
  <c r="S403" i="1"/>
  <c r="R403" i="1"/>
  <c r="P403" i="1"/>
  <c r="O403" i="1"/>
  <c r="Q403" i="1" s="1"/>
  <c r="N403" i="1"/>
  <c r="M403" i="1"/>
  <c r="L403" i="1"/>
  <c r="X402" i="1"/>
  <c r="W402" i="1"/>
  <c r="V402" i="1"/>
  <c r="U402" i="1"/>
  <c r="T402" i="1"/>
  <c r="S402" i="1"/>
  <c r="R402" i="1"/>
  <c r="P402" i="1"/>
  <c r="O402" i="1"/>
  <c r="N402" i="1"/>
  <c r="Q402" i="1" s="1"/>
  <c r="M402" i="1"/>
  <c r="L402" i="1"/>
  <c r="X401" i="1"/>
  <c r="W401" i="1"/>
  <c r="V401" i="1"/>
  <c r="U401" i="1"/>
  <c r="T401" i="1"/>
  <c r="S401" i="1"/>
  <c r="R401" i="1"/>
  <c r="P401" i="1"/>
  <c r="O401" i="1"/>
  <c r="N401" i="1"/>
  <c r="Q401" i="1" s="1"/>
  <c r="M401" i="1"/>
  <c r="L401" i="1"/>
  <c r="X400" i="1"/>
  <c r="W400" i="1"/>
  <c r="V400" i="1"/>
  <c r="U400" i="1"/>
  <c r="T400" i="1"/>
  <c r="S400" i="1"/>
  <c r="R400" i="1"/>
  <c r="P400" i="1"/>
  <c r="O400" i="1"/>
  <c r="N400" i="1"/>
  <c r="Q400" i="1" s="1"/>
  <c r="M400" i="1"/>
  <c r="L400" i="1"/>
  <c r="X399" i="1"/>
  <c r="W399" i="1"/>
  <c r="V399" i="1"/>
  <c r="U399" i="1"/>
  <c r="T399" i="1"/>
  <c r="S399" i="1"/>
  <c r="R399" i="1"/>
  <c r="P399" i="1"/>
  <c r="O399" i="1"/>
  <c r="N399" i="1"/>
  <c r="Q399" i="1" s="1"/>
  <c r="M399" i="1"/>
  <c r="L399" i="1"/>
  <c r="X398" i="1"/>
  <c r="W398" i="1"/>
  <c r="V398" i="1"/>
  <c r="T398" i="1"/>
  <c r="U398" i="1" s="1"/>
  <c r="S398" i="1"/>
  <c r="R398" i="1"/>
  <c r="P398" i="1"/>
  <c r="O398" i="1"/>
  <c r="N398" i="1"/>
  <c r="Q398" i="1" s="1"/>
  <c r="M398" i="1"/>
  <c r="L398" i="1"/>
  <c r="X397" i="1"/>
  <c r="W397" i="1"/>
  <c r="V397" i="1"/>
  <c r="U397" i="1"/>
  <c r="T397" i="1"/>
  <c r="S397" i="1"/>
  <c r="R397" i="1"/>
  <c r="P397" i="1"/>
  <c r="O397" i="1"/>
  <c r="Q397" i="1" s="1"/>
  <c r="N397" i="1"/>
  <c r="M397" i="1"/>
  <c r="L397" i="1"/>
  <c r="X396" i="1"/>
  <c r="W396" i="1"/>
  <c r="V396" i="1"/>
  <c r="U396" i="1"/>
  <c r="T396" i="1"/>
  <c r="S396" i="1"/>
  <c r="R396" i="1"/>
  <c r="P396" i="1"/>
  <c r="O396" i="1"/>
  <c r="N396" i="1"/>
  <c r="Q396" i="1" s="1"/>
  <c r="M396" i="1"/>
  <c r="L396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X394" i="1"/>
  <c r="W394" i="1"/>
  <c r="V394" i="1"/>
  <c r="U394" i="1"/>
  <c r="T394" i="1"/>
  <c r="S394" i="1"/>
  <c r="R394" i="1"/>
  <c r="P394" i="1"/>
  <c r="O394" i="1"/>
  <c r="N394" i="1"/>
  <c r="Q394" i="1" s="1"/>
  <c r="M394" i="1"/>
  <c r="L394" i="1"/>
  <c r="X393" i="1"/>
  <c r="W393" i="1"/>
  <c r="V393" i="1"/>
  <c r="T393" i="1"/>
  <c r="U393" i="1" s="1"/>
  <c r="S393" i="1"/>
  <c r="R393" i="1"/>
  <c r="Q393" i="1"/>
  <c r="P393" i="1"/>
  <c r="O393" i="1"/>
  <c r="N393" i="1"/>
  <c r="M393" i="1"/>
  <c r="L393" i="1"/>
  <c r="X392" i="1"/>
  <c r="W392" i="1"/>
  <c r="V392" i="1"/>
  <c r="U392" i="1"/>
  <c r="T392" i="1"/>
  <c r="S392" i="1"/>
  <c r="R392" i="1"/>
  <c r="P392" i="1"/>
  <c r="O392" i="1"/>
  <c r="N392" i="1"/>
  <c r="Q392" i="1" s="1"/>
  <c r="M392" i="1"/>
  <c r="L392" i="1"/>
  <c r="X391" i="1"/>
  <c r="W391" i="1"/>
  <c r="V391" i="1"/>
  <c r="U391" i="1"/>
  <c r="T391" i="1"/>
  <c r="S391" i="1"/>
  <c r="R391" i="1"/>
  <c r="P391" i="1"/>
  <c r="O391" i="1"/>
  <c r="Q391" i="1" s="1"/>
  <c r="N391" i="1"/>
  <c r="M391" i="1"/>
  <c r="L391" i="1"/>
  <c r="X390" i="1"/>
  <c r="W390" i="1"/>
  <c r="V390" i="1"/>
  <c r="U390" i="1"/>
  <c r="T390" i="1"/>
  <c r="S390" i="1"/>
  <c r="R390" i="1"/>
  <c r="P390" i="1"/>
  <c r="O390" i="1"/>
  <c r="N390" i="1"/>
  <c r="Q390" i="1" s="1"/>
  <c r="M390" i="1"/>
  <c r="L390" i="1"/>
  <c r="X389" i="1"/>
  <c r="W389" i="1"/>
  <c r="V389" i="1"/>
  <c r="U389" i="1"/>
  <c r="T389" i="1"/>
  <c r="S389" i="1"/>
  <c r="R389" i="1"/>
  <c r="P389" i="1"/>
  <c r="O389" i="1"/>
  <c r="N389" i="1"/>
  <c r="Q389" i="1" s="1"/>
  <c r="M389" i="1"/>
  <c r="L389" i="1"/>
  <c r="X388" i="1"/>
  <c r="W388" i="1"/>
  <c r="V388" i="1"/>
  <c r="U388" i="1"/>
  <c r="T388" i="1"/>
  <c r="S388" i="1"/>
  <c r="R388" i="1"/>
  <c r="P388" i="1"/>
  <c r="O388" i="1"/>
  <c r="N388" i="1"/>
  <c r="Q388" i="1" s="1"/>
  <c r="M388" i="1"/>
  <c r="L388" i="1"/>
  <c r="X387" i="1"/>
  <c r="W387" i="1"/>
  <c r="V387" i="1"/>
  <c r="U387" i="1"/>
  <c r="T387" i="1"/>
  <c r="S387" i="1"/>
  <c r="R387" i="1"/>
  <c r="P387" i="1"/>
  <c r="O387" i="1"/>
  <c r="N387" i="1"/>
  <c r="Q387" i="1" s="1"/>
  <c r="M387" i="1"/>
  <c r="L387" i="1"/>
  <c r="X386" i="1"/>
  <c r="W386" i="1"/>
  <c r="V386" i="1"/>
  <c r="U386" i="1"/>
  <c r="T386" i="1"/>
  <c r="S386" i="1"/>
  <c r="R386" i="1"/>
  <c r="P386" i="1"/>
  <c r="O386" i="1"/>
  <c r="N386" i="1"/>
  <c r="Q386" i="1" s="1"/>
  <c r="M386" i="1"/>
  <c r="L386" i="1"/>
  <c r="X385" i="1"/>
  <c r="W385" i="1"/>
  <c r="V385" i="1"/>
  <c r="U385" i="1"/>
  <c r="T385" i="1"/>
  <c r="S385" i="1"/>
  <c r="R385" i="1"/>
  <c r="P385" i="1"/>
  <c r="O385" i="1"/>
  <c r="Q385" i="1" s="1"/>
  <c r="N385" i="1"/>
  <c r="M385" i="1"/>
  <c r="L385" i="1"/>
  <c r="X384" i="1"/>
  <c r="W384" i="1"/>
  <c r="V384" i="1"/>
  <c r="U384" i="1"/>
  <c r="T384" i="1"/>
  <c r="S384" i="1"/>
  <c r="R384" i="1"/>
  <c r="P384" i="1"/>
  <c r="O384" i="1"/>
  <c r="N384" i="1"/>
  <c r="Q384" i="1" s="1"/>
  <c r="M384" i="1"/>
  <c r="L384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X382" i="1"/>
  <c r="W382" i="1"/>
  <c r="V382" i="1"/>
  <c r="U382" i="1"/>
  <c r="T382" i="1"/>
  <c r="S382" i="1"/>
  <c r="R382" i="1"/>
  <c r="P382" i="1"/>
  <c r="O382" i="1"/>
  <c r="N382" i="1"/>
  <c r="Q382" i="1" s="1"/>
  <c r="M382" i="1"/>
  <c r="L382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X380" i="1"/>
  <c r="W380" i="1"/>
  <c r="V380" i="1"/>
  <c r="U380" i="1"/>
  <c r="T380" i="1"/>
  <c r="S380" i="1"/>
  <c r="R380" i="1"/>
  <c r="P380" i="1"/>
  <c r="O380" i="1"/>
  <c r="N380" i="1"/>
  <c r="Q380" i="1" s="1"/>
  <c r="M380" i="1"/>
  <c r="L380" i="1"/>
  <c r="X379" i="1"/>
  <c r="W379" i="1"/>
  <c r="V379" i="1"/>
  <c r="U379" i="1"/>
  <c r="T379" i="1"/>
  <c r="S379" i="1"/>
  <c r="R379" i="1"/>
  <c r="P379" i="1"/>
  <c r="O379" i="1"/>
  <c r="Q379" i="1" s="1"/>
  <c r="N379" i="1"/>
  <c r="M379" i="1"/>
  <c r="L379" i="1"/>
  <c r="X378" i="1"/>
  <c r="W378" i="1"/>
  <c r="V378" i="1"/>
  <c r="T378" i="1"/>
  <c r="U378" i="1" s="1"/>
  <c r="S378" i="1"/>
  <c r="R378" i="1"/>
  <c r="P378" i="1"/>
  <c r="O378" i="1"/>
  <c r="N378" i="1"/>
  <c r="Q378" i="1" s="1"/>
  <c r="M378" i="1"/>
  <c r="L378" i="1"/>
  <c r="X377" i="1"/>
  <c r="W377" i="1"/>
  <c r="V377" i="1"/>
  <c r="U377" i="1"/>
  <c r="T377" i="1"/>
  <c r="S377" i="1"/>
  <c r="R377" i="1"/>
  <c r="P377" i="1"/>
  <c r="O377" i="1"/>
  <c r="N377" i="1"/>
  <c r="Q377" i="1" s="1"/>
  <c r="M377" i="1"/>
  <c r="L377" i="1"/>
  <c r="X376" i="1"/>
  <c r="W376" i="1"/>
  <c r="V376" i="1"/>
  <c r="U376" i="1"/>
  <c r="T376" i="1"/>
  <c r="S376" i="1"/>
  <c r="R376" i="1"/>
  <c r="P376" i="1"/>
  <c r="O376" i="1"/>
  <c r="N376" i="1"/>
  <c r="Q376" i="1" s="1"/>
  <c r="M376" i="1"/>
  <c r="L376" i="1"/>
  <c r="X375" i="1"/>
  <c r="W375" i="1"/>
  <c r="V375" i="1"/>
  <c r="U375" i="1"/>
  <c r="T375" i="1"/>
  <c r="S375" i="1"/>
  <c r="R375" i="1"/>
  <c r="P375" i="1"/>
  <c r="O375" i="1"/>
  <c r="N375" i="1"/>
  <c r="Q375" i="1" s="1"/>
  <c r="M375" i="1"/>
  <c r="L375" i="1"/>
  <c r="X374" i="1"/>
  <c r="W374" i="1"/>
  <c r="V374" i="1"/>
  <c r="U374" i="1"/>
  <c r="T374" i="1"/>
  <c r="S374" i="1"/>
  <c r="R374" i="1"/>
  <c r="P374" i="1"/>
  <c r="O374" i="1"/>
  <c r="N374" i="1"/>
  <c r="Q374" i="1" s="1"/>
  <c r="M374" i="1"/>
  <c r="L374" i="1"/>
  <c r="X373" i="1"/>
  <c r="W373" i="1"/>
  <c r="V373" i="1"/>
  <c r="U373" i="1"/>
  <c r="T373" i="1"/>
  <c r="S373" i="1"/>
  <c r="R373" i="1"/>
  <c r="P373" i="1"/>
  <c r="O373" i="1"/>
  <c r="Q373" i="1" s="1"/>
  <c r="N373" i="1"/>
  <c r="M373" i="1"/>
  <c r="L373" i="1"/>
  <c r="X372" i="1"/>
  <c r="W372" i="1"/>
  <c r="V372" i="1"/>
  <c r="U372" i="1"/>
  <c r="T372" i="1"/>
  <c r="S372" i="1"/>
  <c r="R372" i="1"/>
  <c r="P372" i="1"/>
  <c r="O372" i="1"/>
  <c r="N372" i="1"/>
  <c r="M372" i="1"/>
  <c r="L372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X370" i="1"/>
  <c r="W370" i="1"/>
  <c r="V370" i="1"/>
  <c r="U370" i="1"/>
  <c r="T370" i="1"/>
  <c r="S370" i="1"/>
  <c r="R370" i="1"/>
  <c r="P370" i="1"/>
  <c r="O370" i="1"/>
  <c r="N370" i="1"/>
  <c r="Q370" i="1" s="1"/>
  <c r="M370" i="1"/>
  <c r="L370" i="1"/>
  <c r="X369" i="1"/>
  <c r="W369" i="1"/>
  <c r="V369" i="1"/>
  <c r="T369" i="1"/>
  <c r="U369" i="1" s="1"/>
  <c r="S369" i="1"/>
  <c r="R369" i="1"/>
  <c r="Q369" i="1"/>
  <c r="P369" i="1"/>
  <c r="O369" i="1"/>
  <c r="N369" i="1"/>
  <c r="M369" i="1"/>
  <c r="L369" i="1"/>
  <c r="X368" i="1"/>
  <c r="W368" i="1"/>
  <c r="V368" i="1"/>
  <c r="U368" i="1"/>
  <c r="T368" i="1"/>
  <c r="S368" i="1"/>
  <c r="R368" i="1"/>
  <c r="P368" i="1"/>
  <c r="O368" i="1"/>
  <c r="N368" i="1"/>
  <c r="Q368" i="1" s="1"/>
  <c r="M368" i="1"/>
  <c r="L368" i="1"/>
  <c r="X367" i="1"/>
  <c r="W367" i="1"/>
  <c r="V367" i="1"/>
  <c r="U367" i="1"/>
  <c r="T367" i="1"/>
  <c r="S367" i="1"/>
  <c r="R367" i="1"/>
  <c r="P367" i="1"/>
  <c r="O367" i="1"/>
  <c r="Q367" i="1" s="1"/>
  <c r="N367" i="1"/>
  <c r="M367" i="1"/>
  <c r="L367" i="1"/>
  <c r="X366" i="1"/>
  <c r="W366" i="1"/>
  <c r="V366" i="1"/>
  <c r="U366" i="1"/>
  <c r="T366" i="1"/>
  <c r="S366" i="1"/>
  <c r="R366" i="1"/>
  <c r="P366" i="1"/>
  <c r="O366" i="1"/>
  <c r="N366" i="1"/>
  <c r="Q366" i="1" s="1"/>
  <c r="M366" i="1"/>
  <c r="L366" i="1"/>
  <c r="X365" i="1"/>
  <c r="W365" i="1"/>
  <c r="V365" i="1"/>
  <c r="U365" i="1"/>
  <c r="T365" i="1"/>
  <c r="S365" i="1"/>
  <c r="R365" i="1"/>
  <c r="P365" i="1"/>
  <c r="O365" i="1"/>
  <c r="N365" i="1"/>
  <c r="Q365" i="1" s="1"/>
  <c r="M365" i="1"/>
  <c r="L365" i="1"/>
  <c r="X364" i="1"/>
  <c r="W364" i="1"/>
  <c r="V364" i="1"/>
  <c r="U364" i="1"/>
  <c r="T364" i="1"/>
  <c r="S364" i="1"/>
  <c r="R364" i="1"/>
  <c r="P364" i="1"/>
  <c r="O364" i="1"/>
  <c r="N364" i="1"/>
  <c r="Q364" i="1" s="1"/>
  <c r="M364" i="1"/>
  <c r="L364" i="1"/>
  <c r="X363" i="1"/>
  <c r="W363" i="1"/>
  <c r="V363" i="1"/>
  <c r="U363" i="1"/>
  <c r="T363" i="1"/>
  <c r="S363" i="1"/>
  <c r="R363" i="1"/>
  <c r="P363" i="1"/>
  <c r="O363" i="1"/>
  <c r="N363" i="1"/>
  <c r="Q363" i="1" s="1"/>
  <c r="M363" i="1"/>
  <c r="L363" i="1"/>
  <c r="X362" i="1"/>
  <c r="W362" i="1"/>
  <c r="V362" i="1"/>
  <c r="T362" i="1"/>
  <c r="U362" i="1" s="1"/>
  <c r="S362" i="1"/>
  <c r="R362" i="1"/>
  <c r="P362" i="1"/>
  <c r="O362" i="1"/>
  <c r="N362" i="1"/>
  <c r="Q362" i="1" s="1"/>
  <c r="M362" i="1"/>
  <c r="L362" i="1"/>
  <c r="X361" i="1"/>
  <c r="W361" i="1"/>
  <c r="V361" i="1"/>
  <c r="U361" i="1"/>
  <c r="T361" i="1"/>
  <c r="S361" i="1"/>
  <c r="R361" i="1"/>
  <c r="P361" i="1"/>
  <c r="O361" i="1"/>
  <c r="Q361" i="1" s="1"/>
  <c r="N361" i="1"/>
  <c r="M361" i="1"/>
  <c r="L361" i="1"/>
  <c r="X360" i="1"/>
  <c r="W360" i="1"/>
  <c r="V360" i="1"/>
  <c r="T360" i="1"/>
  <c r="U360" i="1" s="1"/>
  <c r="S360" i="1"/>
  <c r="R360" i="1"/>
  <c r="P360" i="1"/>
  <c r="O360" i="1"/>
  <c r="N360" i="1"/>
  <c r="Q360" i="1" s="1"/>
  <c r="M360" i="1"/>
  <c r="L360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X358" i="1"/>
  <c r="W358" i="1"/>
  <c r="V358" i="1"/>
  <c r="U358" i="1"/>
  <c r="T358" i="1"/>
  <c r="S358" i="1"/>
  <c r="R358" i="1"/>
  <c r="P358" i="1"/>
  <c r="O358" i="1"/>
  <c r="N358" i="1"/>
  <c r="Q358" i="1" s="1"/>
  <c r="M358" i="1"/>
  <c r="L358" i="1"/>
  <c r="X357" i="1"/>
  <c r="W357" i="1"/>
  <c r="V357" i="1"/>
  <c r="T357" i="1"/>
  <c r="U357" i="1" s="1"/>
  <c r="S357" i="1"/>
  <c r="R357" i="1"/>
  <c r="Q357" i="1"/>
  <c r="P357" i="1"/>
  <c r="O357" i="1"/>
  <c r="N357" i="1"/>
  <c r="M357" i="1"/>
  <c r="L357" i="1"/>
  <c r="X356" i="1"/>
  <c r="W356" i="1"/>
  <c r="V356" i="1"/>
  <c r="T356" i="1"/>
  <c r="U356" i="1" s="1"/>
  <c r="S356" i="1"/>
  <c r="R356" i="1"/>
  <c r="P356" i="1"/>
  <c r="O356" i="1"/>
  <c r="N356" i="1"/>
  <c r="Q356" i="1" s="1"/>
  <c r="M356" i="1"/>
  <c r="L356" i="1"/>
  <c r="X355" i="1"/>
  <c r="W355" i="1"/>
  <c r="V355" i="1"/>
  <c r="U355" i="1"/>
  <c r="T355" i="1"/>
  <c r="S355" i="1"/>
  <c r="R355" i="1"/>
  <c r="P355" i="1"/>
  <c r="O355" i="1"/>
  <c r="Q355" i="1" s="1"/>
  <c r="N355" i="1"/>
  <c r="M355" i="1"/>
  <c r="L355" i="1"/>
  <c r="X354" i="1"/>
  <c r="W354" i="1"/>
  <c r="V354" i="1"/>
  <c r="T354" i="1"/>
  <c r="U354" i="1" s="1"/>
  <c r="S354" i="1"/>
  <c r="R354" i="1"/>
  <c r="P354" i="1"/>
  <c r="O354" i="1"/>
  <c r="N354" i="1"/>
  <c r="Q354" i="1" s="1"/>
  <c r="M354" i="1"/>
  <c r="L354" i="1"/>
  <c r="X353" i="1"/>
  <c r="W353" i="1"/>
  <c r="V353" i="1"/>
  <c r="U353" i="1"/>
  <c r="T353" i="1"/>
  <c r="S353" i="1"/>
  <c r="R353" i="1"/>
  <c r="P353" i="1"/>
  <c r="O353" i="1"/>
  <c r="N353" i="1"/>
  <c r="Q353" i="1" s="1"/>
  <c r="M353" i="1"/>
  <c r="L353" i="1"/>
  <c r="X352" i="1"/>
  <c r="W352" i="1"/>
  <c r="V352" i="1"/>
  <c r="U352" i="1"/>
  <c r="T352" i="1"/>
  <c r="S352" i="1"/>
  <c r="R352" i="1"/>
  <c r="P352" i="1"/>
  <c r="O352" i="1"/>
  <c r="N352" i="1"/>
  <c r="Q352" i="1" s="1"/>
  <c r="M352" i="1"/>
  <c r="L352" i="1"/>
  <c r="X351" i="1"/>
  <c r="W351" i="1"/>
  <c r="V351" i="1"/>
  <c r="U351" i="1"/>
  <c r="T351" i="1"/>
  <c r="S351" i="1"/>
  <c r="R351" i="1"/>
  <c r="P351" i="1"/>
  <c r="O351" i="1"/>
  <c r="N351" i="1"/>
  <c r="Q351" i="1" s="1"/>
  <c r="M351" i="1"/>
  <c r="L351" i="1"/>
  <c r="X350" i="1"/>
  <c r="W350" i="1"/>
  <c r="V350" i="1"/>
  <c r="U350" i="1"/>
  <c r="T350" i="1"/>
  <c r="S350" i="1"/>
  <c r="R350" i="1"/>
  <c r="P350" i="1"/>
  <c r="O350" i="1"/>
  <c r="N350" i="1"/>
  <c r="Q350" i="1" s="1"/>
  <c r="M350" i="1"/>
  <c r="L350" i="1"/>
  <c r="X349" i="1"/>
  <c r="W349" i="1"/>
  <c r="V349" i="1"/>
  <c r="U349" i="1"/>
  <c r="T349" i="1"/>
  <c r="S349" i="1"/>
  <c r="R349" i="1"/>
  <c r="P349" i="1"/>
  <c r="O349" i="1"/>
  <c r="Q349" i="1" s="1"/>
  <c r="N349" i="1"/>
  <c r="M349" i="1"/>
  <c r="L349" i="1"/>
  <c r="X348" i="1"/>
  <c r="W348" i="1"/>
  <c r="V348" i="1"/>
  <c r="U348" i="1"/>
  <c r="T348" i="1"/>
  <c r="S348" i="1"/>
  <c r="R348" i="1"/>
  <c r="P348" i="1"/>
  <c r="O348" i="1"/>
  <c r="N348" i="1"/>
  <c r="Q348" i="1" s="1"/>
  <c r="M348" i="1"/>
  <c r="L348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X346" i="1"/>
  <c r="W346" i="1"/>
  <c r="V346" i="1"/>
  <c r="U346" i="1"/>
  <c r="T346" i="1"/>
  <c r="S346" i="1"/>
  <c r="R346" i="1"/>
  <c r="P346" i="1"/>
  <c r="O346" i="1"/>
  <c r="N346" i="1"/>
  <c r="Q346" i="1" s="1"/>
  <c r="M346" i="1"/>
  <c r="L346" i="1"/>
  <c r="X345" i="1"/>
  <c r="W345" i="1"/>
  <c r="V345" i="1"/>
  <c r="T345" i="1"/>
  <c r="U345" i="1" s="1"/>
  <c r="S345" i="1"/>
  <c r="R345" i="1"/>
  <c r="Q345" i="1"/>
  <c r="P345" i="1"/>
  <c r="O345" i="1"/>
  <c r="N345" i="1"/>
  <c r="M345" i="1"/>
  <c r="L345" i="1"/>
  <c r="X344" i="1"/>
  <c r="W344" i="1"/>
  <c r="V344" i="1"/>
  <c r="U344" i="1"/>
  <c r="T344" i="1"/>
  <c r="S344" i="1"/>
  <c r="R344" i="1"/>
  <c r="P344" i="1"/>
  <c r="O344" i="1"/>
  <c r="N344" i="1"/>
  <c r="Q344" i="1" s="1"/>
  <c r="M344" i="1"/>
  <c r="L344" i="1"/>
  <c r="X343" i="1"/>
  <c r="W343" i="1"/>
  <c r="V343" i="1"/>
  <c r="U343" i="1"/>
  <c r="T343" i="1"/>
  <c r="S343" i="1"/>
  <c r="R343" i="1"/>
  <c r="P343" i="1"/>
  <c r="O343" i="1"/>
  <c r="Q343" i="1" s="1"/>
  <c r="N343" i="1"/>
  <c r="M343" i="1"/>
  <c r="L343" i="1"/>
  <c r="X342" i="1"/>
  <c r="W342" i="1"/>
  <c r="V342" i="1"/>
  <c r="U342" i="1"/>
  <c r="T342" i="1"/>
  <c r="S342" i="1"/>
  <c r="R342" i="1"/>
  <c r="P342" i="1"/>
  <c r="O342" i="1"/>
  <c r="N342" i="1"/>
  <c r="Q342" i="1" s="1"/>
  <c r="M342" i="1"/>
  <c r="L342" i="1"/>
  <c r="X341" i="1"/>
  <c r="W341" i="1"/>
  <c r="V341" i="1"/>
  <c r="U341" i="1"/>
  <c r="T341" i="1"/>
  <c r="S341" i="1"/>
  <c r="R341" i="1"/>
  <c r="P341" i="1"/>
  <c r="O341" i="1"/>
  <c r="N341" i="1"/>
  <c r="Q341" i="1" s="1"/>
  <c r="M341" i="1"/>
  <c r="L341" i="1"/>
  <c r="X340" i="1"/>
  <c r="W340" i="1"/>
  <c r="V340" i="1"/>
  <c r="U340" i="1"/>
  <c r="T340" i="1"/>
  <c r="S340" i="1"/>
  <c r="R340" i="1"/>
  <c r="P340" i="1"/>
  <c r="O340" i="1"/>
  <c r="N340" i="1"/>
  <c r="Q340" i="1" s="1"/>
  <c r="M340" i="1"/>
  <c r="L340" i="1"/>
  <c r="X339" i="1"/>
  <c r="W339" i="1"/>
  <c r="V339" i="1"/>
  <c r="U339" i="1"/>
  <c r="T339" i="1"/>
  <c r="S339" i="1"/>
  <c r="R339" i="1"/>
  <c r="P339" i="1"/>
  <c r="O339" i="1"/>
  <c r="N339" i="1"/>
  <c r="Q339" i="1" s="1"/>
  <c r="M339" i="1"/>
  <c r="L339" i="1"/>
  <c r="X338" i="1"/>
  <c r="W338" i="1"/>
  <c r="V338" i="1"/>
  <c r="U338" i="1"/>
  <c r="T338" i="1"/>
  <c r="S338" i="1"/>
  <c r="R338" i="1"/>
  <c r="P338" i="1"/>
  <c r="O338" i="1"/>
  <c r="N338" i="1"/>
  <c r="Q338" i="1" s="1"/>
  <c r="M338" i="1"/>
  <c r="L338" i="1"/>
  <c r="X337" i="1"/>
  <c r="W337" i="1"/>
  <c r="V337" i="1"/>
  <c r="U337" i="1"/>
  <c r="T337" i="1"/>
  <c r="S337" i="1"/>
  <c r="R337" i="1"/>
  <c r="P337" i="1"/>
  <c r="O337" i="1"/>
  <c r="Q337" i="1" s="1"/>
  <c r="N337" i="1"/>
  <c r="M337" i="1"/>
  <c r="L337" i="1"/>
  <c r="X336" i="1"/>
  <c r="W336" i="1"/>
  <c r="V336" i="1"/>
  <c r="U336" i="1"/>
  <c r="T336" i="1"/>
  <c r="S336" i="1"/>
  <c r="R336" i="1"/>
  <c r="P336" i="1"/>
  <c r="O336" i="1"/>
  <c r="N336" i="1"/>
  <c r="Q336" i="1" s="1"/>
  <c r="M336" i="1"/>
  <c r="L336" i="1"/>
  <c r="X335" i="1"/>
  <c r="W335" i="1"/>
  <c r="V335" i="1"/>
  <c r="T335" i="1"/>
  <c r="U335" i="1" s="1"/>
  <c r="S335" i="1"/>
  <c r="R335" i="1"/>
  <c r="Q335" i="1"/>
  <c r="P335" i="1"/>
  <c r="O335" i="1"/>
  <c r="N335" i="1"/>
  <c r="M335" i="1"/>
  <c r="L335" i="1"/>
  <c r="X334" i="1"/>
  <c r="W334" i="1"/>
  <c r="V334" i="1"/>
  <c r="U334" i="1"/>
  <c r="T334" i="1"/>
  <c r="S334" i="1"/>
  <c r="R334" i="1"/>
  <c r="P334" i="1"/>
  <c r="O334" i="1"/>
  <c r="N334" i="1"/>
  <c r="Q334" i="1" s="1"/>
  <c r="M334" i="1"/>
  <c r="L334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X332" i="1"/>
  <c r="W332" i="1"/>
  <c r="V332" i="1"/>
  <c r="U332" i="1"/>
  <c r="T332" i="1"/>
  <c r="S332" i="1"/>
  <c r="R332" i="1"/>
  <c r="P332" i="1"/>
  <c r="O332" i="1"/>
  <c r="N332" i="1"/>
  <c r="Q332" i="1" s="1"/>
  <c r="M332" i="1"/>
  <c r="L332" i="1"/>
  <c r="X331" i="1"/>
  <c r="W331" i="1"/>
  <c r="V331" i="1"/>
  <c r="U331" i="1"/>
  <c r="T331" i="1"/>
  <c r="S331" i="1"/>
  <c r="R331" i="1"/>
  <c r="P331" i="1"/>
  <c r="O331" i="1"/>
  <c r="Q331" i="1" s="1"/>
  <c r="N331" i="1"/>
  <c r="M331" i="1"/>
  <c r="L331" i="1"/>
  <c r="X330" i="1"/>
  <c r="W330" i="1"/>
  <c r="V330" i="1"/>
  <c r="T330" i="1"/>
  <c r="U330" i="1" s="1"/>
  <c r="S330" i="1"/>
  <c r="R330" i="1"/>
  <c r="P330" i="1"/>
  <c r="O330" i="1"/>
  <c r="N330" i="1"/>
  <c r="Q330" i="1" s="1"/>
  <c r="M330" i="1"/>
  <c r="L330" i="1"/>
  <c r="X329" i="1"/>
  <c r="W329" i="1"/>
  <c r="V329" i="1"/>
  <c r="U329" i="1"/>
  <c r="T329" i="1"/>
  <c r="S329" i="1"/>
  <c r="R329" i="1"/>
  <c r="P329" i="1"/>
  <c r="O329" i="1"/>
  <c r="N329" i="1"/>
  <c r="Q329" i="1" s="1"/>
  <c r="M329" i="1"/>
  <c r="L329" i="1"/>
  <c r="X328" i="1"/>
  <c r="W328" i="1"/>
  <c r="V328" i="1"/>
  <c r="U328" i="1"/>
  <c r="T328" i="1"/>
  <c r="S328" i="1"/>
  <c r="R328" i="1"/>
  <c r="P328" i="1"/>
  <c r="O328" i="1"/>
  <c r="N328" i="1"/>
  <c r="Q328" i="1" s="1"/>
  <c r="M328" i="1"/>
  <c r="L328" i="1"/>
  <c r="X327" i="1"/>
  <c r="W327" i="1"/>
  <c r="V327" i="1"/>
  <c r="U327" i="1"/>
  <c r="T327" i="1"/>
  <c r="S327" i="1"/>
  <c r="R327" i="1"/>
  <c r="P327" i="1"/>
  <c r="O327" i="1"/>
  <c r="N327" i="1"/>
  <c r="Q327" i="1" s="1"/>
  <c r="M327" i="1"/>
  <c r="L327" i="1"/>
  <c r="X326" i="1"/>
  <c r="W326" i="1"/>
  <c r="V326" i="1"/>
  <c r="T326" i="1"/>
  <c r="U326" i="1" s="1"/>
  <c r="S326" i="1"/>
  <c r="R326" i="1"/>
  <c r="P326" i="1"/>
  <c r="O326" i="1"/>
  <c r="N326" i="1"/>
  <c r="Q326" i="1" s="1"/>
  <c r="M326" i="1"/>
  <c r="L326" i="1"/>
  <c r="X325" i="1"/>
  <c r="W325" i="1"/>
  <c r="V325" i="1"/>
  <c r="U325" i="1"/>
  <c r="T325" i="1"/>
  <c r="S325" i="1"/>
  <c r="R325" i="1"/>
  <c r="P325" i="1"/>
  <c r="O325" i="1"/>
  <c r="Q325" i="1" s="1"/>
  <c r="N325" i="1"/>
  <c r="M325" i="1"/>
  <c r="L325" i="1"/>
  <c r="X324" i="1"/>
  <c r="W324" i="1"/>
  <c r="V324" i="1"/>
  <c r="U324" i="1"/>
  <c r="T324" i="1"/>
  <c r="S324" i="1"/>
  <c r="R324" i="1"/>
  <c r="P324" i="1"/>
  <c r="O324" i="1"/>
  <c r="N324" i="1"/>
  <c r="Q324" i="1" s="1"/>
  <c r="M324" i="1"/>
  <c r="L324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X322" i="1"/>
  <c r="W322" i="1"/>
  <c r="V322" i="1"/>
  <c r="U322" i="1"/>
  <c r="T322" i="1"/>
  <c r="S322" i="1"/>
  <c r="R322" i="1"/>
  <c r="P322" i="1"/>
  <c r="O322" i="1"/>
  <c r="N322" i="1"/>
  <c r="Q322" i="1" s="1"/>
  <c r="M322" i="1"/>
  <c r="L322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X320" i="1"/>
  <c r="W320" i="1"/>
  <c r="V320" i="1"/>
  <c r="T320" i="1"/>
  <c r="U320" i="1" s="1"/>
  <c r="S320" i="1"/>
  <c r="R320" i="1"/>
  <c r="P320" i="1"/>
  <c r="O320" i="1"/>
  <c r="N320" i="1"/>
  <c r="Q320" i="1" s="1"/>
  <c r="M320" i="1"/>
  <c r="L320" i="1"/>
  <c r="X319" i="1"/>
  <c r="W319" i="1"/>
  <c r="V319" i="1"/>
  <c r="U319" i="1"/>
  <c r="T319" i="1"/>
  <c r="S319" i="1"/>
  <c r="R319" i="1"/>
  <c r="P319" i="1"/>
  <c r="O319" i="1"/>
  <c r="Q319" i="1" s="1"/>
  <c r="N319" i="1"/>
  <c r="M319" i="1"/>
  <c r="L319" i="1"/>
  <c r="X318" i="1"/>
  <c r="W318" i="1"/>
  <c r="V318" i="1"/>
  <c r="U318" i="1"/>
  <c r="T318" i="1"/>
  <c r="S318" i="1"/>
  <c r="R318" i="1"/>
  <c r="P318" i="1"/>
  <c r="O318" i="1"/>
  <c r="N318" i="1"/>
  <c r="Q318" i="1" s="1"/>
  <c r="M318" i="1"/>
  <c r="L318" i="1"/>
  <c r="X317" i="1"/>
  <c r="W317" i="1"/>
  <c r="V317" i="1"/>
  <c r="U317" i="1"/>
  <c r="T317" i="1"/>
  <c r="S317" i="1"/>
  <c r="R317" i="1"/>
  <c r="P317" i="1"/>
  <c r="O317" i="1"/>
  <c r="N317" i="1"/>
  <c r="Q317" i="1" s="1"/>
  <c r="M317" i="1"/>
  <c r="L317" i="1"/>
  <c r="X316" i="1"/>
  <c r="W316" i="1"/>
  <c r="V316" i="1"/>
  <c r="U316" i="1"/>
  <c r="T316" i="1"/>
  <c r="S316" i="1"/>
  <c r="R316" i="1"/>
  <c r="P316" i="1"/>
  <c r="O316" i="1"/>
  <c r="N316" i="1"/>
  <c r="Q316" i="1" s="1"/>
  <c r="M316" i="1"/>
  <c r="L316" i="1"/>
  <c r="X315" i="1"/>
  <c r="W315" i="1"/>
  <c r="V315" i="1"/>
  <c r="U315" i="1"/>
  <c r="T315" i="1"/>
  <c r="S315" i="1"/>
  <c r="R315" i="1"/>
  <c r="P315" i="1"/>
  <c r="O315" i="1"/>
  <c r="N315" i="1"/>
  <c r="Q315" i="1" s="1"/>
  <c r="M315" i="1"/>
  <c r="L315" i="1"/>
  <c r="X314" i="1"/>
  <c r="W314" i="1"/>
  <c r="V314" i="1"/>
  <c r="U314" i="1"/>
  <c r="T314" i="1"/>
  <c r="S314" i="1"/>
  <c r="R314" i="1"/>
  <c r="P314" i="1"/>
  <c r="O314" i="1"/>
  <c r="N314" i="1"/>
  <c r="Q314" i="1" s="1"/>
  <c r="M314" i="1"/>
  <c r="L314" i="1"/>
  <c r="X313" i="1"/>
  <c r="W313" i="1"/>
  <c r="V313" i="1"/>
  <c r="U313" i="1"/>
  <c r="T313" i="1"/>
  <c r="S313" i="1"/>
  <c r="R313" i="1"/>
  <c r="P313" i="1"/>
  <c r="O313" i="1"/>
  <c r="Q313" i="1" s="1"/>
  <c r="N313" i="1"/>
  <c r="M313" i="1"/>
  <c r="L313" i="1"/>
  <c r="X312" i="1"/>
  <c r="W312" i="1"/>
  <c r="V312" i="1"/>
  <c r="U312" i="1"/>
  <c r="T312" i="1"/>
  <c r="S312" i="1"/>
  <c r="R312" i="1"/>
  <c r="P312" i="1"/>
  <c r="O312" i="1"/>
  <c r="N312" i="1"/>
  <c r="Q312" i="1" s="1"/>
  <c r="M312" i="1"/>
  <c r="L312" i="1"/>
  <c r="X311" i="1"/>
  <c r="W311" i="1"/>
  <c r="V311" i="1"/>
  <c r="T311" i="1"/>
  <c r="U311" i="1" s="1"/>
  <c r="S311" i="1"/>
  <c r="R311" i="1"/>
  <c r="Q311" i="1"/>
  <c r="P311" i="1"/>
  <c r="O311" i="1"/>
  <c r="N311" i="1"/>
  <c r="M311" i="1"/>
  <c r="L311" i="1"/>
  <c r="X310" i="1"/>
  <c r="W310" i="1"/>
  <c r="V310" i="1"/>
  <c r="U310" i="1"/>
  <c r="T310" i="1"/>
  <c r="S310" i="1"/>
  <c r="R310" i="1"/>
  <c r="P310" i="1"/>
  <c r="O310" i="1"/>
  <c r="N310" i="1"/>
  <c r="Q310" i="1" s="1"/>
  <c r="M310" i="1"/>
  <c r="L310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X308" i="1"/>
  <c r="W308" i="1"/>
  <c r="V308" i="1"/>
  <c r="T308" i="1"/>
  <c r="U308" i="1" s="1"/>
  <c r="S308" i="1"/>
  <c r="R308" i="1"/>
  <c r="P308" i="1"/>
  <c r="O308" i="1"/>
  <c r="N308" i="1"/>
  <c r="Q308" i="1" s="1"/>
  <c r="M308" i="1"/>
  <c r="L308" i="1"/>
  <c r="X307" i="1"/>
  <c r="W307" i="1"/>
  <c r="V307" i="1"/>
  <c r="U307" i="1"/>
  <c r="T307" i="1"/>
  <c r="S307" i="1"/>
  <c r="R307" i="1"/>
  <c r="P307" i="1"/>
  <c r="O307" i="1"/>
  <c r="Q307" i="1" s="1"/>
  <c r="N307" i="1"/>
  <c r="M307" i="1"/>
  <c r="L307" i="1"/>
  <c r="X306" i="1"/>
  <c r="W306" i="1"/>
  <c r="V306" i="1"/>
  <c r="U306" i="1"/>
  <c r="T306" i="1"/>
  <c r="S306" i="1"/>
  <c r="R306" i="1"/>
  <c r="P306" i="1"/>
  <c r="O306" i="1"/>
  <c r="N306" i="1"/>
  <c r="Q306" i="1" s="1"/>
  <c r="M306" i="1"/>
  <c r="L306" i="1"/>
  <c r="X305" i="1"/>
  <c r="W305" i="1"/>
  <c r="V305" i="1"/>
  <c r="U305" i="1"/>
  <c r="T305" i="1"/>
  <c r="S305" i="1"/>
  <c r="R305" i="1"/>
  <c r="P305" i="1"/>
  <c r="O305" i="1"/>
  <c r="N305" i="1"/>
  <c r="Q305" i="1" s="1"/>
  <c r="M305" i="1"/>
  <c r="L305" i="1"/>
  <c r="X304" i="1"/>
  <c r="W304" i="1"/>
  <c r="V304" i="1"/>
  <c r="T304" i="1"/>
  <c r="U304" i="1" s="1"/>
  <c r="S304" i="1"/>
  <c r="R304" i="1"/>
  <c r="P304" i="1"/>
  <c r="O304" i="1"/>
  <c r="N304" i="1"/>
  <c r="Q304" i="1" s="1"/>
  <c r="M304" i="1"/>
  <c r="L304" i="1"/>
  <c r="X303" i="1"/>
  <c r="W303" i="1"/>
  <c r="V303" i="1"/>
  <c r="U303" i="1"/>
  <c r="T303" i="1"/>
  <c r="S303" i="1"/>
  <c r="R303" i="1"/>
  <c r="P303" i="1"/>
  <c r="O303" i="1"/>
  <c r="N303" i="1"/>
  <c r="Q303" i="1" s="1"/>
  <c r="M303" i="1"/>
  <c r="L303" i="1"/>
  <c r="X302" i="1"/>
  <c r="W302" i="1"/>
  <c r="V302" i="1"/>
  <c r="U302" i="1"/>
  <c r="T302" i="1"/>
  <c r="S302" i="1"/>
  <c r="R302" i="1"/>
  <c r="P302" i="1"/>
  <c r="O302" i="1"/>
  <c r="N302" i="1"/>
  <c r="Q302" i="1" s="1"/>
  <c r="M302" i="1"/>
  <c r="L302" i="1"/>
  <c r="X301" i="1"/>
  <c r="W301" i="1"/>
  <c r="V301" i="1"/>
  <c r="U301" i="1"/>
  <c r="T301" i="1"/>
  <c r="S301" i="1"/>
  <c r="R301" i="1"/>
  <c r="P301" i="1"/>
  <c r="O301" i="1"/>
  <c r="Q301" i="1" s="1"/>
  <c r="N301" i="1"/>
  <c r="M301" i="1"/>
  <c r="L301" i="1"/>
  <c r="X300" i="1"/>
  <c r="W300" i="1"/>
  <c r="V300" i="1"/>
  <c r="U300" i="1"/>
  <c r="T300" i="1"/>
  <c r="S300" i="1"/>
  <c r="R300" i="1"/>
  <c r="P300" i="1"/>
  <c r="O300" i="1"/>
  <c r="N300" i="1"/>
  <c r="Q300" i="1" s="1"/>
  <c r="M300" i="1"/>
  <c r="L300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X298" i="1"/>
  <c r="W298" i="1"/>
  <c r="V298" i="1"/>
  <c r="U298" i="1"/>
  <c r="T298" i="1"/>
  <c r="S298" i="1"/>
  <c r="R298" i="1"/>
  <c r="P298" i="1"/>
  <c r="O298" i="1"/>
  <c r="N298" i="1"/>
  <c r="Q298" i="1" s="1"/>
  <c r="M298" i="1"/>
  <c r="L298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X296" i="1"/>
  <c r="W296" i="1"/>
  <c r="V296" i="1"/>
  <c r="T296" i="1"/>
  <c r="U296" i="1" s="1"/>
  <c r="S296" i="1"/>
  <c r="R296" i="1"/>
  <c r="P296" i="1"/>
  <c r="O296" i="1"/>
  <c r="N296" i="1"/>
  <c r="Q296" i="1" s="1"/>
  <c r="M296" i="1"/>
  <c r="L296" i="1"/>
  <c r="X295" i="1"/>
  <c r="W295" i="1"/>
  <c r="V295" i="1"/>
  <c r="U295" i="1"/>
  <c r="T295" i="1"/>
  <c r="S295" i="1"/>
  <c r="R295" i="1"/>
  <c r="P295" i="1"/>
  <c r="O295" i="1"/>
  <c r="Q295" i="1" s="1"/>
  <c r="N295" i="1"/>
  <c r="M295" i="1"/>
  <c r="L295" i="1"/>
  <c r="X294" i="1"/>
  <c r="W294" i="1"/>
  <c r="V294" i="1"/>
  <c r="U294" i="1"/>
  <c r="T294" i="1"/>
  <c r="S294" i="1"/>
  <c r="R294" i="1"/>
  <c r="P294" i="1"/>
  <c r="O294" i="1"/>
  <c r="N294" i="1"/>
  <c r="Q294" i="1" s="1"/>
  <c r="M294" i="1"/>
  <c r="L294" i="1"/>
  <c r="X293" i="1"/>
  <c r="W293" i="1"/>
  <c r="V293" i="1"/>
  <c r="U293" i="1"/>
  <c r="T293" i="1"/>
  <c r="S293" i="1"/>
  <c r="R293" i="1"/>
  <c r="P293" i="1"/>
  <c r="O293" i="1"/>
  <c r="N293" i="1"/>
  <c r="Q293" i="1" s="1"/>
  <c r="M293" i="1"/>
  <c r="L293" i="1"/>
  <c r="X292" i="1"/>
  <c r="W292" i="1"/>
  <c r="V292" i="1"/>
  <c r="T292" i="1"/>
  <c r="U292" i="1" s="1"/>
  <c r="S292" i="1"/>
  <c r="R292" i="1"/>
  <c r="P292" i="1"/>
  <c r="O292" i="1"/>
  <c r="N292" i="1"/>
  <c r="Q292" i="1" s="1"/>
  <c r="M292" i="1"/>
  <c r="L292" i="1"/>
  <c r="X291" i="1"/>
  <c r="W291" i="1"/>
  <c r="V291" i="1"/>
  <c r="U291" i="1"/>
  <c r="T291" i="1"/>
  <c r="S291" i="1"/>
  <c r="R291" i="1"/>
  <c r="P291" i="1"/>
  <c r="O291" i="1"/>
  <c r="N291" i="1"/>
  <c r="Q291" i="1" s="1"/>
  <c r="M291" i="1"/>
  <c r="L291" i="1"/>
  <c r="X290" i="1"/>
  <c r="W290" i="1"/>
  <c r="V290" i="1"/>
  <c r="U290" i="1"/>
  <c r="T290" i="1"/>
  <c r="S290" i="1"/>
  <c r="R290" i="1"/>
  <c r="P290" i="1"/>
  <c r="O290" i="1"/>
  <c r="N290" i="1"/>
  <c r="Q290" i="1" s="1"/>
  <c r="M290" i="1"/>
  <c r="L290" i="1"/>
  <c r="X289" i="1"/>
  <c r="W289" i="1"/>
  <c r="V289" i="1"/>
  <c r="U289" i="1"/>
  <c r="T289" i="1"/>
  <c r="S289" i="1"/>
  <c r="R289" i="1"/>
  <c r="P289" i="1"/>
  <c r="O289" i="1"/>
  <c r="Q289" i="1" s="1"/>
  <c r="N289" i="1"/>
  <c r="M289" i="1"/>
  <c r="L289" i="1"/>
  <c r="X288" i="1"/>
  <c r="W288" i="1"/>
  <c r="V288" i="1"/>
  <c r="U288" i="1"/>
  <c r="T288" i="1"/>
  <c r="S288" i="1"/>
  <c r="R288" i="1"/>
  <c r="P288" i="1"/>
  <c r="O288" i="1"/>
  <c r="N288" i="1"/>
  <c r="Q288" i="1" s="1"/>
  <c r="M288" i="1"/>
  <c r="L288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X286" i="1"/>
  <c r="W286" i="1"/>
  <c r="V286" i="1"/>
  <c r="U286" i="1"/>
  <c r="T286" i="1"/>
  <c r="S286" i="1"/>
  <c r="R286" i="1"/>
  <c r="P286" i="1"/>
  <c r="O286" i="1"/>
  <c r="N286" i="1"/>
  <c r="Q286" i="1" s="1"/>
  <c r="M286" i="1"/>
  <c r="L286" i="1"/>
  <c r="X285" i="1"/>
  <c r="W285" i="1"/>
  <c r="V285" i="1"/>
  <c r="T285" i="1"/>
  <c r="U285" i="1" s="1"/>
  <c r="S285" i="1"/>
  <c r="R285" i="1"/>
  <c r="P285" i="1"/>
  <c r="O285" i="1"/>
  <c r="Q285" i="1" s="1"/>
  <c r="N285" i="1"/>
  <c r="M285" i="1"/>
  <c r="L285" i="1"/>
  <c r="X284" i="1"/>
  <c r="W284" i="1"/>
  <c r="V284" i="1"/>
  <c r="U284" i="1"/>
  <c r="T284" i="1"/>
  <c r="S284" i="1"/>
  <c r="R284" i="1"/>
  <c r="P284" i="1"/>
  <c r="O284" i="1"/>
  <c r="N284" i="1"/>
  <c r="Q284" i="1" s="1"/>
  <c r="M284" i="1"/>
  <c r="L284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X282" i="1"/>
  <c r="W282" i="1"/>
  <c r="V282" i="1"/>
  <c r="U282" i="1"/>
  <c r="T282" i="1"/>
  <c r="S282" i="1"/>
  <c r="R282" i="1"/>
  <c r="P282" i="1"/>
  <c r="O282" i="1"/>
  <c r="N282" i="1"/>
  <c r="Q282" i="1" s="1"/>
  <c r="M282" i="1"/>
  <c r="L282" i="1"/>
  <c r="X281" i="1"/>
  <c r="W281" i="1"/>
  <c r="V281" i="1"/>
  <c r="U281" i="1"/>
  <c r="T281" i="1"/>
  <c r="S281" i="1"/>
  <c r="R281" i="1"/>
  <c r="P281" i="1"/>
  <c r="O281" i="1"/>
  <c r="N281" i="1"/>
  <c r="Q281" i="1" s="1"/>
  <c r="M281" i="1"/>
  <c r="L281" i="1"/>
  <c r="X280" i="1"/>
  <c r="W280" i="1"/>
  <c r="V280" i="1"/>
  <c r="U280" i="1"/>
  <c r="T280" i="1"/>
  <c r="S280" i="1"/>
  <c r="R280" i="1"/>
  <c r="P280" i="1"/>
  <c r="O280" i="1"/>
  <c r="N280" i="1"/>
  <c r="Q280" i="1" s="1"/>
  <c r="M280" i="1"/>
  <c r="L280" i="1"/>
  <c r="X279" i="1"/>
  <c r="W279" i="1"/>
  <c r="V279" i="1"/>
  <c r="U279" i="1"/>
  <c r="T279" i="1"/>
  <c r="S279" i="1"/>
  <c r="R279" i="1"/>
  <c r="P279" i="1"/>
  <c r="O279" i="1"/>
  <c r="N279" i="1"/>
  <c r="Q279" i="1" s="1"/>
  <c r="M279" i="1"/>
  <c r="L279" i="1"/>
  <c r="X278" i="1"/>
  <c r="W278" i="1"/>
  <c r="V278" i="1"/>
  <c r="U278" i="1"/>
  <c r="T278" i="1"/>
  <c r="S278" i="1"/>
  <c r="R278" i="1"/>
  <c r="P278" i="1"/>
  <c r="O278" i="1"/>
  <c r="N278" i="1"/>
  <c r="Q278" i="1" s="1"/>
  <c r="M278" i="1"/>
  <c r="L278" i="1"/>
  <c r="X277" i="1"/>
  <c r="W277" i="1"/>
  <c r="V277" i="1"/>
  <c r="U277" i="1"/>
  <c r="T277" i="1"/>
  <c r="S277" i="1"/>
  <c r="R277" i="1"/>
  <c r="P277" i="1"/>
  <c r="O277" i="1"/>
  <c r="Q277" i="1" s="1"/>
  <c r="N277" i="1"/>
  <c r="M277" i="1"/>
  <c r="L277" i="1"/>
  <c r="X276" i="1"/>
  <c r="W276" i="1"/>
  <c r="V276" i="1"/>
  <c r="U276" i="1"/>
  <c r="T276" i="1"/>
  <c r="S276" i="1"/>
  <c r="R276" i="1"/>
  <c r="P276" i="1"/>
  <c r="O276" i="1"/>
  <c r="N276" i="1"/>
  <c r="Q276" i="1" s="1"/>
  <c r="M276" i="1"/>
  <c r="L276" i="1"/>
  <c r="X275" i="1"/>
  <c r="W275" i="1"/>
  <c r="V275" i="1"/>
  <c r="T275" i="1"/>
  <c r="U275" i="1" s="1"/>
  <c r="S275" i="1"/>
  <c r="R275" i="1"/>
  <c r="Q275" i="1"/>
  <c r="P275" i="1"/>
  <c r="O275" i="1"/>
  <c r="N275" i="1"/>
  <c r="M275" i="1"/>
  <c r="L275" i="1"/>
  <c r="X274" i="1"/>
  <c r="W274" i="1"/>
  <c r="V274" i="1"/>
  <c r="U274" i="1"/>
  <c r="T274" i="1"/>
  <c r="S274" i="1"/>
  <c r="R274" i="1"/>
  <c r="P274" i="1"/>
  <c r="O274" i="1"/>
  <c r="N274" i="1"/>
  <c r="Q274" i="1" s="1"/>
  <c r="M274" i="1"/>
  <c r="L274" i="1"/>
  <c r="X273" i="1"/>
  <c r="W273" i="1"/>
  <c r="V273" i="1"/>
  <c r="U273" i="1"/>
  <c r="T273" i="1"/>
  <c r="S273" i="1"/>
  <c r="R273" i="1"/>
  <c r="P273" i="1"/>
  <c r="O273" i="1"/>
  <c r="Q273" i="1" s="1"/>
  <c r="N273" i="1"/>
  <c r="M273" i="1"/>
  <c r="L273" i="1"/>
  <c r="X272" i="1"/>
  <c r="W272" i="1"/>
  <c r="V272" i="1"/>
  <c r="T272" i="1"/>
  <c r="U272" i="1" s="1"/>
  <c r="S272" i="1"/>
  <c r="R272" i="1"/>
  <c r="P272" i="1"/>
  <c r="O272" i="1"/>
  <c r="N272" i="1"/>
  <c r="Q272" i="1" s="1"/>
  <c r="M272" i="1"/>
  <c r="L272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X270" i="1"/>
  <c r="W270" i="1"/>
  <c r="V270" i="1"/>
  <c r="U270" i="1"/>
  <c r="T270" i="1"/>
  <c r="S270" i="1"/>
  <c r="R270" i="1"/>
  <c r="P270" i="1"/>
  <c r="O270" i="1"/>
  <c r="N270" i="1"/>
  <c r="Q270" i="1" s="1"/>
  <c r="M270" i="1"/>
  <c r="L270" i="1"/>
  <c r="X269" i="1"/>
  <c r="W269" i="1"/>
  <c r="V269" i="1"/>
  <c r="U269" i="1"/>
  <c r="T269" i="1"/>
  <c r="S269" i="1"/>
  <c r="R269" i="1"/>
  <c r="P269" i="1"/>
  <c r="O269" i="1"/>
  <c r="N269" i="1"/>
  <c r="Q269" i="1" s="1"/>
  <c r="M269" i="1"/>
  <c r="L269" i="1"/>
  <c r="X268" i="1"/>
  <c r="W268" i="1"/>
  <c r="V268" i="1"/>
  <c r="U268" i="1"/>
  <c r="T268" i="1"/>
  <c r="S268" i="1"/>
  <c r="R268" i="1"/>
  <c r="P268" i="1"/>
  <c r="O268" i="1"/>
  <c r="N268" i="1"/>
  <c r="Q268" i="1" s="1"/>
  <c r="M268" i="1"/>
  <c r="L268" i="1"/>
  <c r="X267" i="1"/>
  <c r="W267" i="1"/>
  <c r="V267" i="1"/>
  <c r="U267" i="1"/>
  <c r="T267" i="1"/>
  <c r="S267" i="1"/>
  <c r="R267" i="1"/>
  <c r="P267" i="1"/>
  <c r="O267" i="1"/>
  <c r="N267" i="1"/>
  <c r="Q267" i="1" s="1"/>
  <c r="M267" i="1"/>
  <c r="L267" i="1"/>
  <c r="X266" i="1"/>
  <c r="W266" i="1"/>
  <c r="V266" i="1"/>
  <c r="U266" i="1"/>
  <c r="T266" i="1"/>
  <c r="S266" i="1"/>
  <c r="R266" i="1"/>
  <c r="P266" i="1"/>
  <c r="O266" i="1"/>
  <c r="N266" i="1"/>
  <c r="Q266" i="1" s="1"/>
  <c r="M266" i="1"/>
  <c r="L266" i="1"/>
  <c r="X265" i="1"/>
  <c r="W265" i="1"/>
  <c r="V265" i="1"/>
  <c r="U265" i="1"/>
  <c r="T265" i="1"/>
  <c r="S265" i="1"/>
  <c r="R265" i="1"/>
  <c r="P265" i="1"/>
  <c r="O265" i="1"/>
  <c r="Q265" i="1" s="1"/>
  <c r="N265" i="1"/>
  <c r="M265" i="1"/>
  <c r="L265" i="1"/>
  <c r="X264" i="1"/>
  <c r="W264" i="1"/>
  <c r="V264" i="1"/>
  <c r="T264" i="1"/>
  <c r="U264" i="1" s="1"/>
  <c r="S264" i="1"/>
  <c r="R264" i="1"/>
  <c r="P264" i="1"/>
  <c r="O264" i="1"/>
  <c r="N264" i="1"/>
  <c r="Q264" i="1" s="1"/>
  <c r="M264" i="1"/>
  <c r="L264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X262" i="1"/>
  <c r="W262" i="1"/>
  <c r="V262" i="1"/>
  <c r="U262" i="1"/>
  <c r="T262" i="1"/>
  <c r="S262" i="1"/>
  <c r="R262" i="1"/>
  <c r="P262" i="1"/>
  <c r="O262" i="1"/>
  <c r="N262" i="1"/>
  <c r="Q262" i="1" s="1"/>
  <c r="M262" i="1"/>
  <c r="L262" i="1"/>
  <c r="X261" i="1"/>
  <c r="W261" i="1"/>
  <c r="V261" i="1"/>
  <c r="U261" i="1"/>
  <c r="T261" i="1"/>
  <c r="S261" i="1"/>
  <c r="R261" i="1"/>
  <c r="P261" i="1"/>
  <c r="O261" i="1"/>
  <c r="Q261" i="1" s="1"/>
  <c r="N261" i="1"/>
  <c r="M261" i="1"/>
  <c r="L261" i="1"/>
  <c r="X260" i="1"/>
  <c r="W260" i="1"/>
  <c r="V260" i="1"/>
  <c r="U260" i="1"/>
  <c r="T260" i="1"/>
  <c r="S260" i="1"/>
  <c r="R260" i="1"/>
  <c r="P260" i="1"/>
  <c r="O260" i="1"/>
  <c r="N260" i="1"/>
  <c r="Q260" i="1" s="1"/>
  <c r="M260" i="1"/>
  <c r="L260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X258" i="1"/>
  <c r="W258" i="1"/>
  <c r="V258" i="1"/>
  <c r="U258" i="1"/>
  <c r="T258" i="1"/>
  <c r="S258" i="1"/>
  <c r="R258" i="1"/>
  <c r="P258" i="1"/>
  <c r="O258" i="1"/>
  <c r="N258" i="1"/>
  <c r="Q258" i="1" s="1"/>
  <c r="M258" i="1"/>
  <c r="L258" i="1"/>
  <c r="X257" i="1"/>
  <c r="W257" i="1"/>
  <c r="V257" i="1"/>
  <c r="U257" i="1"/>
  <c r="T257" i="1"/>
  <c r="S257" i="1"/>
  <c r="R257" i="1"/>
  <c r="P257" i="1"/>
  <c r="O257" i="1"/>
  <c r="N257" i="1"/>
  <c r="Q257" i="1" s="1"/>
  <c r="M257" i="1"/>
  <c r="L257" i="1"/>
  <c r="X256" i="1"/>
  <c r="W256" i="1"/>
  <c r="V256" i="1"/>
  <c r="U256" i="1"/>
  <c r="T256" i="1"/>
  <c r="S256" i="1"/>
  <c r="R256" i="1"/>
  <c r="P256" i="1"/>
  <c r="O256" i="1"/>
  <c r="N256" i="1"/>
  <c r="Q256" i="1" s="1"/>
  <c r="M256" i="1"/>
  <c r="L256" i="1"/>
  <c r="X255" i="1"/>
  <c r="W255" i="1"/>
  <c r="V255" i="1"/>
  <c r="U255" i="1"/>
  <c r="T255" i="1"/>
  <c r="S255" i="1"/>
  <c r="R255" i="1"/>
  <c r="P255" i="1"/>
  <c r="O255" i="1"/>
  <c r="N255" i="1"/>
  <c r="Q255" i="1" s="1"/>
  <c r="M255" i="1"/>
  <c r="L255" i="1"/>
  <c r="X254" i="1"/>
  <c r="W254" i="1"/>
  <c r="V254" i="1"/>
  <c r="T254" i="1"/>
  <c r="U254" i="1" s="1"/>
  <c r="S254" i="1"/>
  <c r="R254" i="1"/>
  <c r="P254" i="1"/>
  <c r="O254" i="1"/>
  <c r="N254" i="1"/>
  <c r="Q254" i="1" s="1"/>
  <c r="M254" i="1"/>
  <c r="L254" i="1"/>
  <c r="X253" i="1"/>
  <c r="W253" i="1"/>
  <c r="V253" i="1"/>
  <c r="U253" i="1"/>
  <c r="T253" i="1"/>
  <c r="S253" i="1"/>
  <c r="R253" i="1"/>
  <c r="P253" i="1"/>
  <c r="O253" i="1"/>
  <c r="Q253" i="1" s="1"/>
  <c r="N253" i="1"/>
  <c r="M253" i="1"/>
  <c r="L253" i="1"/>
  <c r="X252" i="1"/>
  <c r="W252" i="1"/>
  <c r="V252" i="1"/>
  <c r="T252" i="1"/>
  <c r="U252" i="1" s="1"/>
  <c r="S252" i="1"/>
  <c r="R252" i="1"/>
  <c r="P252" i="1"/>
  <c r="O252" i="1"/>
  <c r="N252" i="1"/>
  <c r="Q252" i="1" s="1"/>
  <c r="M252" i="1"/>
  <c r="L252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X250" i="1"/>
  <c r="W250" i="1"/>
  <c r="V250" i="1"/>
  <c r="U250" i="1"/>
  <c r="T250" i="1"/>
  <c r="S250" i="1"/>
  <c r="R250" i="1"/>
  <c r="P250" i="1"/>
  <c r="O250" i="1"/>
  <c r="N250" i="1"/>
  <c r="Q250" i="1" s="1"/>
  <c r="M250" i="1"/>
  <c r="L250" i="1"/>
  <c r="X249" i="1"/>
  <c r="W249" i="1"/>
  <c r="V249" i="1"/>
  <c r="T249" i="1"/>
  <c r="U249" i="1" s="1"/>
  <c r="S249" i="1"/>
  <c r="R249" i="1"/>
  <c r="P249" i="1"/>
  <c r="O249" i="1"/>
  <c r="Q249" i="1" s="1"/>
  <c r="N249" i="1"/>
  <c r="M249" i="1"/>
  <c r="L249" i="1"/>
  <c r="X248" i="1"/>
  <c r="W248" i="1"/>
  <c r="V248" i="1"/>
  <c r="U248" i="1"/>
  <c r="T248" i="1"/>
  <c r="S248" i="1"/>
  <c r="R248" i="1"/>
  <c r="P248" i="1"/>
  <c r="O248" i="1"/>
  <c r="N248" i="1"/>
  <c r="Q248" i="1" s="1"/>
  <c r="M248" i="1"/>
  <c r="L248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X246" i="1"/>
  <c r="W246" i="1"/>
  <c r="V246" i="1"/>
  <c r="U246" i="1"/>
  <c r="T246" i="1"/>
  <c r="S246" i="1"/>
  <c r="R246" i="1"/>
  <c r="P246" i="1"/>
  <c r="O246" i="1"/>
  <c r="N246" i="1"/>
  <c r="Q246" i="1" s="1"/>
  <c r="M246" i="1"/>
  <c r="L246" i="1"/>
  <c r="X245" i="1"/>
  <c r="W245" i="1"/>
  <c r="V245" i="1"/>
  <c r="U245" i="1"/>
  <c r="T245" i="1"/>
  <c r="S245" i="1"/>
  <c r="R245" i="1"/>
  <c r="P245" i="1"/>
  <c r="O245" i="1"/>
  <c r="N245" i="1"/>
  <c r="Q245" i="1" s="1"/>
  <c r="M245" i="1"/>
  <c r="L245" i="1"/>
  <c r="X244" i="1"/>
  <c r="W244" i="1"/>
  <c r="V244" i="1"/>
  <c r="T244" i="1"/>
  <c r="U244" i="1" s="1"/>
  <c r="S244" i="1"/>
  <c r="R244" i="1"/>
  <c r="P244" i="1"/>
  <c r="O244" i="1"/>
  <c r="N244" i="1"/>
  <c r="Q244" i="1" s="1"/>
  <c r="M244" i="1"/>
  <c r="L244" i="1"/>
  <c r="X243" i="1"/>
  <c r="W243" i="1"/>
  <c r="V243" i="1"/>
  <c r="U243" i="1"/>
  <c r="T243" i="1"/>
  <c r="S243" i="1"/>
  <c r="R243" i="1"/>
  <c r="P243" i="1"/>
  <c r="O243" i="1"/>
  <c r="N243" i="1"/>
  <c r="Q243" i="1" s="1"/>
  <c r="M243" i="1"/>
  <c r="L243" i="1"/>
  <c r="X242" i="1"/>
  <c r="W242" i="1"/>
  <c r="V242" i="1"/>
  <c r="T242" i="1"/>
  <c r="U242" i="1" s="1"/>
  <c r="S242" i="1"/>
  <c r="R242" i="1"/>
  <c r="P242" i="1"/>
  <c r="O242" i="1"/>
  <c r="N242" i="1"/>
  <c r="Q242" i="1" s="1"/>
  <c r="M242" i="1"/>
  <c r="L242" i="1"/>
  <c r="X241" i="1"/>
  <c r="W241" i="1"/>
  <c r="V241" i="1"/>
  <c r="U241" i="1"/>
  <c r="T241" i="1"/>
  <c r="S241" i="1"/>
  <c r="R241" i="1"/>
  <c r="P241" i="1"/>
  <c r="O241" i="1"/>
  <c r="Q241" i="1" s="1"/>
  <c r="N241" i="1"/>
  <c r="M241" i="1"/>
  <c r="L241" i="1"/>
  <c r="X240" i="1"/>
  <c r="W240" i="1"/>
  <c r="V240" i="1"/>
  <c r="U240" i="1"/>
  <c r="T240" i="1"/>
  <c r="S240" i="1"/>
  <c r="R240" i="1"/>
  <c r="P240" i="1"/>
  <c r="O240" i="1"/>
  <c r="N240" i="1"/>
  <c r="Q240" i="1" s="1"/>
  <c r="M240" i="1"/>
  <c r="L240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X238" i="1"/>
  <c r="W238" i="1"/>
  <c r="V238" i="1"/>
  <c r="U238" i="1"/>
  <c r="T238" i="1"/>
  <c r="S238" i="1"/>
  <c r="R238" i="1"/>
  <c r="P238" i="1"/>
  <c r="O238" i="1"/>
  <c r="N238" i="1"/>
  <c r="Q238" i="1" s="1"/>
  <c r="M238" i="1"/>
  <c r="L238" i="1"/>
  <c r="X237" i="1"/>
  <c r="W237" i="1"/>
  <c r="V237" i="1"/>
  <c r="U237" i="1"/>
  <c r="T237" i="1"/>
  <c r="S237" i="1"/>
  <c r="R237" i="1"/>
  <c r="P237" i="1"/>
  <c r="O237" i="1"/>
  <c r="Q237" i="1" s="1"/>
  <c r="N237" i="1"/>
  <c r="M237" i="1"/>
  <c r="L237" i="1"/>
  <c r="X236" i="1"/>
  <c r="W236" i="1"/>
  <c r="V236" i="1"/>
  <c r="T236" i="1"/>
  <c r="U236" i="1" s="1"/>
  <c r="S236" i="1"/>
  <c r="R236" i="1"/>
  <c r="P236" i="1"/>
  <c r="O236" i="1"/>
  <c r="N236" i="1"/>
  <c r="Q236" i="1" s="1"/>
  <c r="M236" i="1"/>
  <c r="L236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X234" i="1"/>
  <c r="W234" i="1"/>
  <c r="V234" i="1"/>
  <c r="U234" i="1"/>
  <c r="T234" i="1"/>
  <c r="S234" i="1"/>
  <c r="R234" i="1"/>
  <c r="P234" i="1"/>
  <c r="O234" i="1"/>
  <c r="N234" i="1"/>
  <c r="Q234" i="1" s="1"/>
  <c r="M234" i="1"/>
  <c r="L234" i="1"/>
  <c r="X233" i="1"/>
  <c r="W233" i="1"/>
  <c r="V233" i="1"/>
  <c r="U233" i="1"/>
  <c r="T233" i="1"/>
  <c r="S233" i="1"/>
  <c r="R233" i="1"/>
  <c r="P233" i="1"/>
  <c r="O233" i="1"/>
  <c r="N233" i="1"/>
  <c r="Q233" i="1" s="1"/>
  <c r="M233" i="1"/>
  <c r="L233" i="1"/>
  <c r="X232" i="1"/>
  <c r="W232" i="1"/>
  <c r="V232" i="1"/>
  <c r="U232" i="1"/>
  <c r="T232" i="1"/>
  <c r="S232" i="1"/>
  <c r="R232" i="1"/>
  <c r="P232" i="1"/>
  <c r="O232" i="1"/>
  <c r="N232" i="1"/>
  <c r="Q232" i="1" s="1"/>
  <c r="M232" i="1"/>
  <c r="L232" i="1"/>
  <c r="X231" i="1"/>
  <c r="W231" i="1"/>
  <c r="V231" i="1"/>
  <c r="U231" i="1"/>
  <c r="T231" i="1"/>
  <c r="S231" i="1"/>
  <c r="R231" i="1"/>
  <c r="P231" i="1"/>
  <c r="O231" i="1"/>
  <c r="N231" i="1"/>
  <c r="Q231" i="1" s="1"/>
  <c r="M231" i="1"/>
  <c r="L231" i="1"/>
  <c r="X230" i="1"/>
  <c r="W230" i="1"/>
  <c r="V230" i="1"/>
  <c r="T230" i="1"/>
  <c r="U230" i="1" s="1"/>
  <c r="S230" i="1"/>
  <c r="R230" i="1"/>
  <c r="P230" i="1"/>
  <c r="O230" i="1"/>
  <c r="N230" i="1"/>
  <c r="Q230" i="1" s="1"/>
  <c r="M230" i="1"/>
  <c r="L230" i="1"/>
  <c r="X229" i="1"/>
  <c r="W229" i="1"/>
  <c r="V229" i="1"/>
  <c r="U229" i="1"/>
  <c r="T229" i="1"/>
  <c r="S229" i="1"/>
  <c r="R229" i="1"/>
  <c r="P229" i="1"/>
  <c r="O229" i="1"/>
  <c r="Q229" i="1" s="1"/>
  <c r="N229" i="1"/>
  <c r="M229" i="1"/>
  <c r="L229" i="1"/>
  <c r="X228" i="1"/>
  <c r="W228" i="1"/>
  <c r="V228" i="1"/>
  <c r="U228" i="1"/>
  <c r="T228" i="1"/>
  <c r="S228" i="1"/>
  <c r="R228" i="1"/>
  <c r="P228" i="1"/>
  <c r="O228" i="1"/>
  <c r="N228" i="1"/>
  <c r="Q228" i="1" s="1"/>
  <c r="M228" i="1"/>
  <c r="L228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X226" i="1"/>
  <c r="W226" i="1"/>
  <c r="V226" i="1"/>
  <c r="U226" i="1"/>
  <c r="T226" i="1"/>
  <c r="S226" i="1"/>
  <c r="R226" i="1"/>
  <c r="P226" i="1"/>
  <c r="O226" i="1"/>
  <c r="N226" i="1"/>
  <c r="Q226" i="1" s="1"/>
  <c r="M226" i="1"/>
  <c r="L226" i="1"/>
  <c r="X225" i="1"/>
  <c r="W225" i="1"/>
  <c r="V225" i="1"/>
  <c r="U225" i="1"/>
  <c r="T225" i="1"/>
  <c r="S225" i="1"/>
  <c r="R225" i="1"/>
  <c r="P225" i="1"/>
  <c r="O225" i="1"/>
  <c r="Q225" i="1" s="1"/>
  <c r="N225" i="1"/>
  <c r="M225" i="1"/>
  <c r="L225" i="1"/>
  <c r="X224" i="1"/>
  <c r="W224" i="1"/>
  <c r="V224" i="1"/>
  <c r="U224" i="1"/>
  <c r="T224" i="1"/>
  <c r="S224" i="1"/>
  <c r="R224" i="1"/>
  <c r="P224" i="1"/>
  <c r="O224" i="1"/>
  <c r="N224" i="1"/>
  <c r="Q224" i="1" s="1"/>
  <c r="M224" i="1"/>
  <c r="L224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X222" i="1"/>
  <c r="W222" i="1"/>
  <c r="V222" i="1"/>
  <c r="U222" i="1"/>
  <c r="T222" i="1"/>
  <c r="S222" i="1"/>
  <c r="R222" i="1"/>
  <c r="P222" i="1"/>
  <c r="O222" i="1"/>
  <c r="N222" i="1"/>
  <c r="Q222" i="1" s="1"/>
  <c r="M222" i="1"/>
  <c r="L222" i="1"/>
  <c r="X221" i="1"/>
  <c r="W221" i="1"/>
  <c r="V221" i="1"/>
  <c r="U221" i="1"/>
  <c r="T221" i="1"/>
  <c r="S221" i="1"/>
  <c r="R221" i="1"/>
  <c r="P221" i="1"/>
  <c r="O221" i="1"/>
  <c r="N221" i="1"/>
  <c r="Q221" i="1" s="1"/>
  <c r="M221" i="1"/>
  <c r="L221" i="1"/>
  <c r="X220" i="1"/>
  <c r="W220" i="1"/>
  <c r="V220" i="1"/>
  <c r="U220" i="1"/>
  <c r="T220" i="1"/>
  <c r="S220" i="1"/>
  <c r="R220" i="1"/>
  <c r="P220" i="1"/>
  <c r="O220" i="1"/>
  <c r="N220" i="1"/>
  <c r="Q220" i="1" s="1"/>
  <c r="M220" i="1"/>
  <c r="L220" i="1"/>
  <c r="X219" i="1"/>
  <c r="W219" i="1"/>
  <c r="V219" i="1"/>
  <c r="U219" i="1"/>
  <c r="T219" i="1"/>
  <c r="S219" i="1"/>
  <c r="R219" i="1"/>
  <c r="P219" i="1"/>
  <c r="Q219" i="1" s="1"/>
  <c r="O219" i="1"/>
  <c r="N219" i="1"/>
  <c r="M219" i="1"/>
  <c r="L219" i="1"/>
  <c r="X218" i="1"/>
  <c r="W218" i="1"/>
  <c r="V218" i="1"/>
  <c r="T218" i="1"/>
  <c r="U218" i="1" s="1"/>
  <c r="S218" i="1"/>
  <c r="R218" i="1"/>
  <c r="P218" i="1"/>
  <c r="O218" i="1"/>
  <c r="N218" i="1"/>
  <c r="Q218" i="1" s="1"/>
  <c r="M218" i="1"/>
  <c r="L218" i="1"/>
  <c r="X217" i="1"/>
  <c r="W217" i="1"/>
  <c r="V217" i="1"/>
  <c r="U217" i="1"/>
  <c r="T217" i="1"/>
  <c r="S217" i="1"/>
  <c r="R217" i="1"/>
  <c r="P217" i="1"/>
  <c r="O217" i="1"/>
  <c r="Q217" i="1" s="1"/>
  <c r="N217" i="1"/>
  <c r="M217" i="1"/>
  <c r="L217" i="1"/>
  <c r="X216" i="1"/>
  <c r="W216" i="1"/>
  <c r="V216" i="1"/>
  <c r="T216" i="1"/>
  <c r="U216" i="1" s="1"/>
  <c r="S216" i="1"/>
  <c r="R216" i="1"/>
  <c r="P216" i="1"/>
  <c r="O216" i="1"/>
  <c r="N216" i="1"/>
  <c r="Q216" i="1" s="1"/>
  <c r="M216" i="1"/>
  <c r="L216" i="1"/>
  <c r="X215" i="1"/>
  <c r="W215" i="1"/>
  <c r="V215" i="1"/>
  <c r="T215" i="1"/>
  <c r="U215" i="1" s="1"/>
  <c r="S215" i="1"/>
  <c r="R215" i="1"/>
  <c r="Q215" i="1"/>
  <c r="P215" i="1"/>
  <c r="O215" i="1"/>
  <c r="N215" i="1"/>
  <c r="M215" i="1"/>
  <c r="L215" i="1"/>
  <c r="X214" i="1"/>
  <c r="W214" i="1"/>
  <c r="V214" i="1"/>
  <c r="U214" i="1"/>
  <c r="T214" i="1"/>
  <c r="S214" i="1"/>
  <c r="R214" i="1"/>
  <c r="P214" i="1"/>
  <c r="O214" i="1"/>
  <c r="N214" i="1"/>
  <c r="Q214" i="1" s="1"/>
  <c r="M214" i="1"/>
  <c r="L214" i="1"/>
  <c r="X213" i="1"/>
  <c r="W213" i="1"/>
  <c r="V213" i="1"/>
  <c r="U213" i="1"/>
  <c r="T213" i="1"/>
  <c r="S213" i="1"/>
  <c r="R213" i="1"/>
  <c r="P213" i="1"/>
  <c r="O213" i="1"/>
  <c r="Q213" i="1" s="1"/>
  <c r="N213" i="1"/>
  <c r="M213" i="1"/>
  <c r="L213" i="1"/>
  <c r="X212" i="1"/>
  <c r="W212" i="1"/>
  <c r="V212" i="1"/>
  <c r="U212" i="1"/>
  <c r="T212" i="1"/>
  <c r="S212" i="1"/>
  <c r="R212" i="1"/>
  <c r="P212" i="1"/>
  <c r="O212" i="1"/>
  <c r="N212" i="1"/>
  <c r="Q212" i="1" s="1"/>
  <c r="M212" i="1"/>
  <c r="L212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X210" i="1"/>
  <c r="W210" i="1"/>
  <c r="V210" i="1"/>
  <c r="T210" i="1"/>
  <c r="U210" i="1" s="1"/>
  <c r="S210" i="1"/>
  <c r="R210" i="1"/>
  <c r="P210" i="1"/>
  <c r="O210" i="1"/>
  <c r="N210" i="1"/>
  <c r="Q210" i="1" s="1"/>
  <c r="M210" i="1"/>
  <c r="L210" i="1"/>
  <c r="X209" i="1"/>
  <c r="W209" i="1"/>
  <c r="V209" i="1"/>
  <c r="U209" i="1"/>
  <c r="T209" i="1"/>
  <c r="S209" i="1"/>
  <c r="R209" i="1"/>
  <c r="P209" i="1"/>
  <c r="O209" i="1"/>
  <c r="N209" i="1"/>
  <c r="Q209" i="1" s="1"/>
  <c r="M209" i="1"/>
  <c r="L209" i="1"/>
  <c r="X208" i="1"/>
  <c r="W208" i="1"/>
  <c r="V208" i="1"/>
  <c r="U208" i="1"/>
  <c r="T208" i="1"/>
  <c r="S208" i="1"/>
  <c r="R208" i="1"/>
  <c r="P208" i="1"/>
  <c r="O208" i="1"/>
  <c r="N208" i="1"/>
  <c r="Q208" i="1" s="1"/>
  <c r="M208" i="1"/>
  <c r="L208" i="1"/>
  <c r="X207" i="1"/>
  <c r="W207" i="1"/>
  <c r="V207" i="1"/>
  <c r="U207" i="1"/>
  <c r="T207" i="1"/>
  <c r="S207" i="1"/>
  <c r="R207" i="1"/>
  <c r="P207" i="1"/>
  <c r="Q207" i="1" s="1"/>
  <c r="O207" i="1"/>
  <c r="N207" i="1"/>
  <c r="M207" i="1"/>
  <c r="L207" i="1"/>
  <c r="X206" i="1"/>
  <c r="W206" i="1"/>
  <c r="V206" i="1"/>
  <c r="U206" i="1"/>
  <c r="T206" i="1"/>
  <c r="S206" i="1"/>
  <c r="R206" i="1"/>
  <c r="P206" i="1"/>
  <c r="O206" i="1"/>
  <c r="N206" i="1"/>
  <c r="Q206" i="1" s="1"/>
  <c r="M206" i="1"/>
  <c r="L206" i="1"/>
  <c r="X205" i="1"/>
  <c r="W205" i="1"/>
  <c r="V205" i="1"/>
  <c r="U205" i="1"/>
  <c r="T205" i="1"/>
  <c r="S205" i="1"/>
  <c r="R205" i="1"/>
  <c r="P205" i="1"/>
  <c r="O205" i="1"/>
  <c r="Q205" i="1" s="1"/>
  <c r="N205" i="1"/>
  <c r="M205" i="1"/>
  <c r="L205" i="1"/>
  <c r="X204" i="1"/>
  <c r="W204" i="1"/>
  <c r="V204" i="1"/>
  <c r="U204" i="1"/>
  <c r="T204" i="1"/>
  <c r="S204" i="1"/>
  <c r="R204" i="1"/>
  <c r="P204" i="1"/>
  <c r="O204" i="1"/>
  <c r="N204" i="1"/>
  <c r="Q204" i="1" s="1"/>
  <c r="M204" i="1"/>
  <c r="L204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X202" i="1"/>
  <c r="W202" i="1"/>
  <c r="V202" i="1"/>
  <c r="U202" i="1"/>
  <c r="T202" i="1"/>
  <c r="S202" i="1"/>
  <c r="R202" i="1"/>
  <c r="P202" i="1"/>
  <c r="O202" i="1"/>
  <c r="N202" i="1"/>
  <c r="Q202" i="1" s="1"/>
  <c r="M202" i="1"/>
  <c r="L202" i="1"/>
  <c r="X201" i="1"/>
  <c r="W201" i="1"/>
  <c r="V201" i="1"/>
  <c r="T201" i="1"/>
  <c r="U201" i="1" s="1"/>
  <c r="S201" i="1"/>
  <c r="R201" i="1"/>
  <c r="P201" i="1"/>
  <c r="O201" i="1"/>
  <c r="Q201" i="1" s="1"/>
  <c r="N201" i="1"/>
  <c r="M201" i="1"/>
  <c r="L201" i="1"/>
  <c r="X200" i="1"/>
  <c r="W200" i="1"/>
  <c r="V200" i="1"/>
  <c r="U200" i="1"/>
  <c r="T200" i="1"/>
  <c r="S200" i="1"/>
  <c r="R200" i="1"/>
  <c r="P200" i="1"/>
  <c r="O200" i="1"/>
  <c r="N200" i="1"/>
  <c r="Q200" i="1" s="1"/>
  <c r="M200" i="1"/>
  <c r="L200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X198" i="1"/>
  <c r="W198" i="1"/>
  <c r="V198" i="1"/>
  <c r="T198" i="1"/>
  <c r="U198" i="1" s="1"/>
  <c r="S198" i="1"/>
  <c r="R198" i="1"/>
  <c r="P198" i="1"/>
  <c r="O198" i="1"/>
  <c r="N198" i="1"/>
  <c r="Q198" i="1" s="1"/>
  <c r="M198" i="1"/>
  <c r="L198" i="1"/>
  <c r="X197" i="1"/>
  <c r="W197" i="1"/>
  <c r="V197" i="1"/>
  <c r="U197" i="1"/>
  <c r="T197" i="1"/>
  <c r="S197" i="1"/>
  <c r="R197" i="1"/>
  <c r="P197" i="1"/>
  <c r="O197" i="1"/>
  <c r="N197" i="1"/>
  <c r="Q197" i="1" s="1"/>
  <c r="M197" i="1"/>
  <c r="L197" i="1"/>
  <c r="X196" i="1"/>
  <c r="W196" i="1"/>
  <c r="V196" i="1"/>
  <c r="U196" i="1"/>
  <c r="T196" i="1"/>
  <c r="S196" i="1"/>
  <c r="R196" i="1"/>
  <c r="P196" i="1"/>
  <c r="O196" i="1"/>
  <c r="N196" i="1"/>
  <c r="Q196" i="1" s="1"/>
  <c r="M196" i="1"/>
  <c r="L196" i="1"/>
  <c r="X195" i="1"/>
  <c r="W195" i="1"/>
  <c r="V195" i="1"/>
  <c r="U195" i="1"/>
  <c r="T195" i="1"/>
  <c r="S195" i="1"/>
  <c r="R195" i="1"/>
  <c r="P195" i="1"/>
  <c r="Q195" i="1" s="1"/>
  <c r="O195" i="1"/>
  <c r="N195" i="1"/>
  <c r="M195" i="1"/>
  <c r="L195" i="1"/>
  <c r="X194" i="1"/>
  <c r="W194" i="1"/>
  <c r="V194" i="1"/>
  <c r="U194" i="1"/>
  <c r="T194" i="1"/>
  <c r="S194" i="1"/>
  <c r="R194" i="1"/>
  <c r="P194" i="1"/>
  <c r="O194" i="1"/>
  <c r="N194" i="1"/>
  <c r="Q194" i="1" s="1"/>
  <c r="M194" i="1"/>
  <c r="L194" i="1"/>
  <c r="X193" i="1"/>
  <c r="W193" i="1"/>
  <c r="V193" i="1"/>
  <c r="U193" i="1"/>
  <c r="T193" i="1"/>
  <c r="S193" i="1"/>
  <c r="R193" i="1"/>
  <c r="P193" i="1"/>
  <c r="O193" i="1"/>
  <c r="Q193" i="1" s="1"/>
  <c r="N193" i="1"/>
  <c r="M193" i="1"/>
  <c r="L193" i="1"/>
  <c r="X192" i="1"/>
  <c r="W192" i="1"/>
  <c r="V192" i="1"/>
  <c r="U192" i="1"/>
  <c r="T192" i="1"/>
  <c r="S192" i="1"/>
  <c r="R192" i="1"/>
  <c r="P192" i="1"/>
  <c r="O192" i="1"/>
  <c r="N192" i="1"/>
  <c r="Q192" i="1" s="1"/>
  <c r="M192" i="1"/>
  <c r="L192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X190" i="1"/>
  <c r="W190" i="1"/>
  <c r="V190" i="1"/>
  <c r="U190" i="1"/>
  <c r="T190" i="1"/>
  <c r="S190" i="1"/>
  <c r="R190" i="1"/>
  <c r="P190" i="1"/>
  <c r="O190" i="1"/>
  <c r="N190" i="1"/>
  <c r="Q190" i="1" s="1"/>
  <c r="M190" i="1"/>
  <c r="L190" i="1"/>
  <c r="X189" i="1"/>
  <c r="W189" i="1"/>
  <c r="V189" i="1"/>
  <c r="U189" i="1"/>
  <c r="T189" i="1"/>
  <c r="S189" i="1"/>
  <c r="R189" i="1"/>
  <c r="P189" i="1"/>
  <c r="O189" i="1"/>
  <c r="Q189" i="1" s="1"/>
  <c r="N189" i="1"/>
  <c r="M189" i="1"/>
  <c r="L189" i="1"/>
  <c r="X188" i="1"/>
  <c r="W188" i="1"/>
  <c r="V188" i="1"/>
  <c r="U188" i="1"/>
  <c r="T188" i="1"/>
  <c r="S188" i="1"/>
  <c r="R188" i="1"/>
  <c r="P188" i="1"/>
  <c r="O188" i="1"/>
  <c r="N188" i="1"/>
  <c r="Q188" i="1" s="1"/>
  <c r="M188" i="1"/>
  <c r="L188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X186" i="1"/>
  <c r="W186" i="1"/>
  <c r="V186" i="1"/>
  <c r="U186" i="1"/>
  <c r="T186" i="1"/>
  <c r="S186" i="1"/>
  <c r="R186" i="1"/>
  <c r="P186" i="1"/>
  <c r="O186" i="1"/>
  <c r="N186" i="1"/>
  <c r="Q186" i="1" s="1"/>
  <c r="M186" i="1"/>
  <c r="L186" i="1"/>
  <c r="X185" i="1"/>
  <c r="W185" i="1"/>
  <c r="V185" i="1"/>
  <c r="U185" i="1"/>
  <c r="T185" i="1"/>
  <c r="S185" i="1"/>
  <c r="R185" i="1"/>
  <c r="P185" i="1"/>
  <c r="O185" i="1"/>
  <c r="N185" i="1"/>
  <c r="Q185" i="1" s="1"/>
  <c r="M185" i="1"/>
  <c r="L185" i="1"/>
  <c r="X184" i="1"/>
  <c r="W184" i="1"/>
  <c r="V184" i="1"/>
  <c r="T184" i="1"/>
  <c r="U184" i="1" s="1"/>
  <c r="S184" i="1"/>
  <c r="R184" i="1"/>
  <c r="P184" i="1"/>
  <c r="O184" i="1"/>
  <c r="N184" i="1"/>
  <c r="Q184" i="1" s="1"/>
  <c r="M184" i="1"/>
  <c r="L184" i="1"/>
  <c r="X183" i="1"/>
  <c r="W183" i="1"/>
  <c r="V183" i="1"/>
  <c r="U183" i="1"/>
  <c r="T183" i="1"/>
  <c r="S183" i="1"/>
  <c r="R183" i="1"/>
  <c r="P183" i="1"/>
  <c r="Q183" i="1" s="1"/>
  <c r="O183" i="1"/>
  <c r="N183" i="1"/>
  <c r="M183" i="1"/>
  <c r="L183" i="1"/>
  <c r="X182" i="1"/>
  <c r="W182" i="1"/>
  <c r="V182" i="1"/>
  <c r="U182" i="1"/>
  <c r="T182" i="1"/>
  <c r="S182" i="1"/>
  <c r="R182" i="1"/>
  <c r="P182" i="1"/>
  <c r="O182" i="1"/>
  <c r="N182" i="1"/>
  <c r="Q182" i="1" s="1"/>
  <c r="M182" i="1"/>
  <c r="L182" i="1"/>
  <c r="X181" i="1"/>
  <c r="W181" i="1"/>
  <c r="V181" i="1"/>
  <c r="U181" i="1"/>
  <c r="T181" i="1"/>
  <c r="S181" i="1"/>
  <c r="R181" i="1"/>
  <c r="P181" i="1"/>
  <c r="O181" i="1"/>
  <c r="Q181" i="1" s="1"/>
  <c r="N181" i="1"/>
  <c r="M181" i="1"/>
  <c r="L181" i="1"/>
  <c r="X180" i="1"/>
  <c r="W180" i="1"/>
  <c r="V180" i="1"/>
  <c r="U180" i="1"/>
  <c r="T180" i="1"/>
  <c r="S180" i="1"/>
  <c r="R180" i="1"/>
  <c r="P180" i="1"/>
  <c r="O180" i="1"/>
  <c r="N180" i="1"/>
  <c r="Q180" i="1" s="1"/>
  <c r="M180" i="1"/>
  <c r="L180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X178" i="1"/>
  <c r="W178" i="1"/>
  <c r="V178" i="1"/>
  <c r="U178" i="1"/>
  <c r="T178" i="1"/>
  <c r="S178" i="1"/>
  <c r="R178" i="1"/>
  <c r="P178" i="1"/>
  <c r="O178" i="1"/>
  <c r="N178" i="1"/>
  <c r="Q178" i="1" s="1"/>
  <c r="M178" i="1"/>
  <c r="L178" i="1"/>
  <c r="X177" i="1"/>
  <c r="W177" i="1"/>
  <c r="V177" i="1"/>
  <c r="U177" i="1"/>
  <c r="T177" i="1"/>
  <c r="S177" i="1"/>
  <c r="R177" i="1"/>
  <c r="P177" i="1"/>
  <c r="O177" i="1"/>
  <c r="Q177" i="1" s="1"/>
  <c r="N177" i="1"/>
  <c r="M177" i="1"/>
  <c r="L177" i="1"/>
  <c r="X176" i="1"/>
  <c r="W176" i="1"/>
  <c r="V176" i="1"/>
  <c r="U176" i="1"/>
  <c r="T176" i="1"/>
  <c r="S176" i="1"/>
  <c r="R176" i="1"/>
  <c r="P176" i="1"/>
  <c r="O176" i="1"/>
  <c r="N176" i="1"/>
  <c r="Q176" i="1" s="1"/>
  <c r="M176" i="1"/>
  <c r="L176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X174" i="1"/>
  <c r="W174" i="1"/>
  <c r="V174" i="1"/>
  <c r="T174" i="1"/>
  <c r="U174" i="1" s="1"/>
  <c r="S174" i="1"/>
  <c r="R174" i="1"/>
  <c r="P174" i="1"/>
  <c r="O174" i="1"/>
  <c r="N174" i="1"/>
  <c r="Q174" i="1" s="1"/>
  <c r="M174" i="1"/>
  <c r="L174" i="1"/>
  <c r="X173" i="1"/>
  <c r="W173" i="1"/>
  <c r="V173" i="1"/>
  <c r="U173" i="1"/>
  <c r="T173" i="1"/>
  <c r="S173" i="1"/>
  <c r="R173" i="1"/>
  <c r="P173" i="1"/>
  <c r="O173" i="1"/>
  <c r="N173" i="1"/>
  <c r="Q173" i="1" s="1"/>
  <c r="M173" i="1"/>
  <c r="L173" i="1"/>
  <c r="X172" i="1"/>
  <c r="W172" i="1"/>
  <c r="V172" i="1"/>
  <c r="U172" i="1"/>
  <c r="T172" i="1"/>
  <c r="S172" i="1"/>
  <c r="R172" i="1"/>
  <c r="P172" i="1"/>
  <c r="O172" i="1"/>
  <c r="N172" i="1"/>
  <c r="Q172" i="1" s="1"/>
  <c r="M172" i="1"/>
  <c r="L172" i="1"/>
  <c r="X171" i="1"/>
  <c r="W171" i="1"/>
  <c r="V171" i="1"/>
  <c r="U171" i="1"/>
  <c r="T171" i="1"/>
  <c r="S171" i="1"/>
  <c r="R171" i="1"/>
  <c r="P171" i="1"/>
  <c r="Q171" i="1" s="1"/>
  <c r="O171" i="1"/>
  <c r="N171" i="1"/>
  <c r="M171" i="1"/>
  <c r="L171" i="1"/>
  <c r="X170" i="1"/>
  <c r="W170" i="1"/>
  <c r="V170" i="1"/>
  <c r="U170" i="1"/>
  <c r="T170" i="1"/>
  <c r="S170" i="1"/>
  <c r="R170" i="1"/>
  <c r="P170" i="1"/>
  <c r="O170" i="1"/>
  <c r="N170" i="1"/>
  <c r="Q170" i="1" s="1"/>
  <c r="M170" i="1"/>
  <c r="L170" i="1"/>
  <c r="X169" i="1"/>
  <c r="W169" i="1"/>
  <c r="V169" i="1"/>
  <c r="U169" i="1"/>
  <c r="T169" i="1"/>
  <c r="S169" i="1"/>
  <c r="R169" i="1"/>
  <c r="P169" i="1"/>
  <c r="O169" i="1"/>
  <c r="Q169" i="1" s="1"/>
  <c r="N169" i="1"/>
  <c r="M169" i="1"/>
  <c r="L169" i="1"/>
  <c r="X168" i="1"/>
  <c r="W168" i="1"/>
  <c r="V168" i="1"/>
  <c r="U168" i="1"/>
  <c r="T168" i="1"/>
  <c r="S168" i="1"/>
  <c r="R168" i="1"/>
  <c r="P168" i="1"/>
  <c r="O168" i="1"/>
  <c r="N168" i="1"/>
  <c r="Q168" i="1" s="1"/>
  <c r="M168" i="1"/>
  <c r="L168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X166" i="1"/>
  <c r="W166" i="1"/>
  <c r="V166" i="1"/>
  <c r="U166" i="1"/>
  <c r="T166" i="1"/>
  <c r="S166" i="1"/>
  <c r="R166" i="1"/>
  <c r="P166" i="1"/>
  <c r="O166" i="1"/>
  <c r="N166" i="1"/>
  <c r="Q166" i="1" s="1"/>
  <c r="M166" i="1"/>
  <c r="L166" i="1"/>
  <c r="X165" i="1"/>
  <c r="W165" i="1"/>
  <c r="V165" i="1"/>
  <c r="T165" i="1"/>
  <c r="U165" i="1" s="1"/>
  <c r="S165" i="1"/>
  <c r="R165" i="1"/>
  <c r="P165" i="1"/>
  <c r="O165" i="1"/>
  <c r="Q165" i="1" s="1"/>
  <c r="N165" i="1"/>
  <c r="M165" i="1"/>
  <c r="L165" i="1"/>
  <c r="X164" i="1"/>
  <c r="W164" i="1"/>
  <c r="V164" i="1"/>
  <c r="U164" i="1"/>
  <c r="T164" i="1"/>
  <c r="S164" i="1"/>
  <c r="R164" i="1"/>
  <c r="P164" i="1"/>
  <c r="O164" i="1"/>
  <c r="N164" i="1"/>
  <c r="Q164" i="1" s="1"/>
  <c r="M164" i="1"/>
  <c r="L164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X162" i="1"/>
  <c r="W162" i="1"/>
  <c r="V162" i="1"/>
  <c r="U162" i="1"/>
  <c r="T162" i="1"/>
  <c r="S162" i="1"/>
  <c r="R162" i="1"/>
  <c r="P162" i="1"/>
  <c r="O162" i="1"/>
  <c r="N162" i="1"/>
  <c r="Q162" i="1" s="1"/>
  <c r="M162" i="1"/>
  <c r="L162" i="1"/>
  <c r="X161" i="1"/>
  <c r="W161" i="1"/>
  <c r="V161" i="1"/>
  <c r="U161" i="1"/>
  <c r="T161" i="1"/>
  <c r="S161" i="1"/>
  <c r="R161" i="1"/>
  <c r="P161" i="1"/>
  <c r="O161" i="1"/>
  <c r="N161" i="1"/>
  <c r="Q161" i="1" s="1"/>
  <c r="M161" i="1"/>
  <c r="L161" i="1"/>
  <c r="X160" i="1"/>
  <c r="W160" i="1"/>
  <c r="V160" i="1"/>
  <c r="T160" i="1"/>
  <c r="U160" i="1" s="1"/>
  <c r="S160" i="1"/>
  <c r="R160" i="1"/>
  <c r="P160" i="1"/>
  <c r="O160" i="1"/>
  <c r="N160" i="1"/>
  <c r="Q160" i="1" s="1"/>
  <c r="M160" i="1"/>
  <c r="L160" i="1"/>
  <c r="X159" i="1"/>
  <c r="W159" i="1"/>
  <c r="V159" i="1"/>
  <c r="U159" i="1"/>
  <c r="T159" i="1"/>
  <c r="S159" i="1"/>
  <c r="R159" i="1"/>
  <c r="P159" i="1"/>
  <c r="Q159" i="1" s="1"/>
  <c r="O159" i="1"/>
  <c r="N159" i="1"/>
  <c r="M159" i="1"/>
  <c r="L159" i="1"/>
  <c r="X158" i="1"/>
  <c r="W158" i="1"/>
  <c r="V158" i="1"/>
  <c r="U158" i="1"/>
  <c r="T158" i="1"/>
  <c r="S158" i="1"/>
  <c r="R158" i="1"/>
  <c r="P158" i="1"/>
  <c r="O158" i="1"/>
  <c r="N158" i="1"/>
  <c r="Q158" i="1" s="1"/>
  <c r="M158" i="1"/>
  <c r="L158" i="1"/>
  <c r="X157" i="1"/>
  <c r="W157" i="1"/>
  <c r="V157" i="1"/>
  <c r="U157" i="1"/>
  <c r="T157" i="1"/>
  <c r="S157" i="1"/>
  <c r="R157" i="1"/>
  <c r="P157" i="1"/>
  <c r="O157" i="1"/>
  <c r="Q157" i="1" s="1"/>
  <c r="N157" i="1"/>
  <c r="M157" i="1"/>
  <c r="L157" i="1"/>
  <c r="X156" i="1"/>
  <c r="W156" i="1"/>
  <c r="V156" i="1"/>
  <c r="U156" i="1"/>
  <c r="T156" i="1"/>
  <c r="S156" i="1"/>
  <c r="R156" i="1"/>
  <c r="P156" i="1"/>
  <c r="O156" i="1"/>
  <c r="N156" i="1"/>
  <c r="Q156" i="1" s="1"/>
  <c r="M156" i="1"/>
  <c r="L156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X154" i="1"/>
  <c r="W154" i="1"/>
  <c r="V154" i="1"/>
  <c r="U154" i="1"/>
  <c r="T154" i="1"/>
  <c r="S154" i="1"/>
  <c r="R154" i="1"/>
  <c r="P154" i="1"/>
  <c r="O154" i="1"/>
  <c r="N154" i="1"/>
  <c r="Q154" i="1" s="1"/>
  <c r="M154" i="1"/>
  <c r="L154" i="1"/>
  <c r="X153" i="1"/>
  <c r="W153" i="1"/>
  <c r="V153" i="1"/>
  <c r="U153" i="1"/>
  <c r="T153" i="1"/>
  <c r="S153" i="1"/>
  <c r="R153" i="1"/>
  <c r="P153" i="1"/>
  <c r="O153" i="1"/>
  <c r="Q153" i="1" s="1"/>
  <c r="N153" i="1"/>
  <c r="M153" i="1"/>
  <c r="L153" i="1"/>
  <c r="X152" i="1"/>
  <c r="W152" i="1"/>
  <c r="V152" i="1"/>
  <c r="U152" i="1"/>
  <c r="T152" i="1"/>
  <c r="S152" i="1"/>
  <c r="R152" i="1"/>
  <c r="P152" i="1"/>
  <c r="O152" i="1"/>
  <c r="N152" i="1"/>
  <c r="Q152" i="1" s="1"/>
  <c r="M152" i="1"/>
  <c r="L152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X150" i="1"/>
  <c r="W150" i="1"/>
  <c r="V150" i="1"/>
  <c r="U150" i="1"/>
  <c r="T150" i="1"/>
  <c r="S150" i="1"/>
  <c r="R150" i="1"/>
  <c r="P150" i="1"/>
  <c r="O150" i="1"/>
  <c r="N150" i="1"/>
  <c r="Q150" i="1" s="1"/>
  <c r="M150" i="1"/>
  <c r="L150" i="1"/>
  <c r="X149" i="1"/>
  <c r="W149" i="1"/>
  <c r="V149" i="1"/>
  <c r="U149" i="1"/>
  <c r="T149" i="1"/>
  <c r="S149" i="1"/>
  <c r="R149" i="1"/>
  <c r="P149" i="1"/>
  <c r="O149" i="1"/>
  <c r="N149" i="1"/>
  <c r="Q149" i="1" s="1"/>
  <c r="M149" i="1"/>
  <c r="L149" i="1"/>
  <c r="X148" i="1"/>
  <c r="W148" i="1"/>
  <c r="V148" i="1"/>
  <c r="U148" i="1"/>
  <c r="T148" i="1"/>
  <c r="S148" i="1"/>
  <c r="R148" i="1"/>
  <c r="P148" i="1"/>
  <c r="O148" i="1"/>
  <c r="N148" i="1"/>
  <c r="Q148" i="1" s="1"/>
  <c r="M148" i="1"/>
  <c r="L148" i="1"/>
  <c r="X147" i="1"/>
  <c r="W147" i="1"/>
  <c r="V147" i="1"/>
  <c r="U147" i="1"/>
  <c r="T147" i="1"/>
  <c r="S147" i="1"/>
  <c r="R147" i="1"/>
  <c r="P147" i="1"/>
  <c r="Q147" i="1" s="1"/>
  <c r="O147" i="1"/>
  <c r="N147" i="1"/>
  <c r="M147" i="1"/>
  <c r="L147" i="1"/>
  <c r="X146" i="1"/>
  <c r="W146" i="1"/>
  <c r="V146" i="1"/>
  <c r="U146" i="1"/>
  <c r="T146" i="1"/>
  <c r="S146" i="1"/>
  <c r="R146" i="1"/>
  <c r="P146" i="1"/>
  <c r="O146" i="1"/>
  <c r="N146" i="1"/>
  <c r="Q146" i="1" s="1"/>
  <c r="M146" i="1"/>
  <c r="L146" i="1"/>
  <c r="X145" i="1"/>
  <c r="W145" i="1"/>
  <c r="V145" i="1"/>
  <c r="U145" i="1"/>
  <c r="T145" i="1"/>
  <c r="S145" i="1"/>
  <c r="R145" i="1"/>
  <c r="P145" i="1"/>
  <c r="O145" i="1"/>
  <c r="Q145" i="1" s="1"/>
  <c r="N145" i="1"/>
  <c r="M145" i="1"/>
  <c r="L145" i="1"/>
  <c r="X144" i="1"/>
  <c r="W144" i="1"/>
  <c r="V144" i="1"/>
  <c r="U144" i="1"/>
  <c r="T144" i="1"/>
  <c r="S144" i="1"/>
  <c r="R144" i="1"/>
  <c r="P144" i="1"/>
  <c r="O144" i="1"/>
  <c r="N144" i="1"/>
  <c r="M144" i="1"/>
  <c r="L144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X142" i="1"/>
  <c r="W142" i="1"/>
  <c r="V142" i="1"/>
  <c r="U142" i="1"/>
  <c r="T142" i="1"/>
  <c r="S142" i="1"/>
  <c r="R142" i="1"/>
  <c r="P142" i="1"/>
  <c r="O142" i="1"/>
  <c r="N142" i="1"/>
  <c r="Q142" i="1" s="1"/>
  <c r="M142" i="1"/>
  <c r="L142" i="1"/>
  <c r="X141" i="1"/>
  <c r="W141" i="1"/>
  <c r="V141" i="1"/>
  <c r="U141" i="1"/>
  <c r="T141" i="1"/>
  <c r="S141" i="1"/>
  <c r="R141" i="1"/>
  <c r="P141" i="1"/>
  <c r="O141" i="1"/>
  <c r="Q141" i="1" s="1"/>
  <c r="N141" i="1"/>
  <c r="M141" i="1"/>
  <c r="L141" i="1"/>
  <c r="X140" i="1"/>
  <c r="W140" i="1"/>
  <c r="V140" i="1"/>
  <c r="U140" i="1"/>
  <c r="T140" i="1"/>
  <c r="S140" i="1"/>
  <c r="R140" i="1"/>
  <c r="P140" i="1"/>
  <c r="O140" i="1"/>
  <c r="N140" i="1"/>
  <c r="Q140" i="1" s="1"/>
  <c r="M140" i="1"/>
  <c r="L140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X138" i="1"/>
  <c r="W138" i="1"/>
  <c r="V138" i="1"/>
  <c r="U138" i="1"/>
  <c r="T138" i="1"/>
  <c r="S138" i="1"/>
  <c r="R138" i="1"/>
  <c r="P138" i="1"/>
  <c r="O138" i="1"/>
  <c r="N138" i="1"/>
  <c r="Q138" i="1" s="1"/>
  <c r="M138" i="1"/>
  <c r="L138" i="1"/>
  <c r="X137" i="1"/>
  <c r="W137" i="1"/>
  <c r="V137" i="1"/>
  <c r="U137" i="1"/>
  <c r="T137" i="1"/>
  <c r="S137" i="1"/>
  <c r="R137" i="1"/>
  <c r="P137" i="1"/>
  <c r="O137" i="1"/>
  <c r="N137" i="1"/>
  <c r="Q137" i="1" s="1"/>
  <c r="M137" i="1"/>
  <c r="L137" i="1"/>
  <c r="X136" i="1"/>
  <c r="W136" i="1"/>
  <c r="V136" i="1"/>
  <c r="U136" i="1"/>
  <c r="T136" i="1"/>
  <c r="S136" i="1"/>
  <c r="R136" i="1"/>
  <c r="P136" i="1"/>
  <c r="O136" i="1"/>
  <c r="N136" i="1"/>
  <c r="Q136" i="1" s="1"/>
  <c r="M136" i="1"/>
  <c r="L136" i="1"/>
  <c r="X135" i="1"/>
  <c r="W135" i="1"/>
  <c r="V135" i="1"/>
  <c r="U135" i="1"/>
  <c r="T135" i="1"/>
  <c r="S135" i="1"/>
  <c r="R135" i="1"/>
  <c r="P135" i="1"/>
  <c r="Q135" i="1" s="1"/>
  <c r="O135" i="1"/>
  <c r="N135" i="1"/>
  <c r="M135" i="1"/>
  <c r="L135" i="1"/>
  <c r="X134" i="1"/>
  <c r="W134" i="1"/>
  <c r="V134" i="1"/>
  <c r="U134" i="1"/>
  <c r="T134" i="1"/>
  <c r="S134" i="1"/>
  <c r="R134" i="1"/>
  <c r="P134" i="1"/>
  <c r="O134" i="1"/>
  <c r="N134" i="1"/>
  <c r="Q134" i="1" s="1"/>
  <c r="M134" i="1"/>
  <c r="L134" i="1"/>
  <c r="X133" i="1"/>
  <c r="W133" i="1"/>
  <c r="V133" i="1"/>
  <c r="U133" i="1"/>
  <c r="T133" i="1"/>
  <c r="S133" i="1"/>
  <c r="R133" i="1"/>
  <c r="P133" i="1"/>
  <c r="O133" i="1"/>
  <c r="Q133" i="1" s="1"/>
  <c r="N133" i="1"/>
  <c r="M133" i="1"/>
  <c r="L133" i="1"/>
  <c r="X132" i="1"/>
  <c r="W132" i="1"/>
  <c r="V132" i="1"/>
  <c r="U132" i="1"/>
  <c r="T132" i="1"/>
  <c r="S132" i="1"/>
  <c r="R132" i="1"/>
  <c r="P132" i="1"/>
  <c r="O132" i="1"/>
  <c r="N132" i="1"/>
  <c r="Q132" i="1" s="1"/>
  <c r="M132" i="1"/>
  <c r="L132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X130" i="1"/>
  <c r="W130" i="1"/>
  <c r="V130" i="1"/>
  <c r="U130" i="1"/>
  <c r="T130" i="1"/>
  <c r="S130" i="1"/>
  <c r="R130" i="1"/>
  <c r="P130" i="1"/>
  <c r="O130" i="1"/>
  <c r="N130" i="1"/>
  <c r="Q130" i="1" s="1"/>
  <c r="M130" i="1"/>
  <c r="L130" i="1"/>
  <c r="X129" i="1"/>
  <c r="W129" i="1"/>
  <c r="V129" i="1"/>
  <c r="U129" i="1"/>
  <c r="T129" i="1"/>
  <c r="S129" i="1"/>
  <c r="R129" i="1"/>
  <c r="P129" i="1"/>
  <c r="O129" i="1"/>
  <c r="Q129" i="1" s="1"/>
  <c r="N129" i="1"/>
  <c r="M129" i="1"/>
  <c r="L129" i="1"/>
  <c r="X128" i="1"/>
  <c r="W128" i="1"/>
  <c r="V128" i="1"/>
  <c r="U128" i="1"/>
  <c r="T128" i="1"/>
  <c r="S128" i="1"/>
  <c r="R128" i="1"/>
  <c r="P128" i="1"/>
  <c r="O128" i="1"/>
  <c r="N128" i="1"/>
  <c r="Q128" i="1" s="1"/>
  <c r="M128" i="1"/>
  <c r="L128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X126" i="1"/>
  <c r="W126" i="1"/>
  <c r="V126" i="1"/>
  <c r="T126" i="1"/>
  <c r="U126" i="1" s="1"/>
  <c r="S126" i="1"/>
  <c r="R126" i="1"/>
  <c r="P126" i="1"/>
  <c r="O126" i="1"/>
  <c r="N126" i="1"/>
  <c r="Q126" i="1" s="1"/>
  <c r="M126" i="1"/>
  <c r="L126" i="1"/>
  <c r="X125" i="1"/>
  <c r="W125" i="1"/>
  <c r="V125" i="1"/>
  <c r="U125" i="1"/>
  <c r="T125" i="1"/>
  <c r="S125" i="1"/>
  <c r="R125" i="1"/>
  <c r="P125" i="1"/>
  <c r="O125" i="1"/>
  <c r="N125" i="1"/>
  <c r="Q125" i="1" s="1"/>
  <c r="M125" i="1"/>
  <c r="L125" i="1"/>
  <c r="X124" i="1"/>
  <c r="W124" i="1"/>
  <c r="V124" i="1"/>
  <c r="U124" i="1"/>
  <c r="T124" i="1"/>
  <c r="S124" i="1"/>
  <c r="R124" i="1"/>
  <c r="P124" i="1"/>
  <c r="O124" i="1"/>
  <c r="N124" i="1"/>
  <c r="Q124" i="1" s="1"/>
  <c r="M124" i="1"/>
  <c r="L124" i="1"/>
  <c r="X123" i="1"/>
  <c r="W123" i="1"/>
  <c r="V123" i="1"/>
  <c r="U123" i="1"/>
  <c r="T123" i="1"/>
  <c r="S123" i="1"/>
  <c r="R123" i="1"/>
  <c r="P123" i="1"/>
  <c r="Q123" i="1" s="1"/>
  <c r="O123" i="1"/>
  <c r="N123" i="1"/>
  <c r="M123" i="1"/>
  <c r="L123" i="1"/>
  <c r="X122" i="1"/>
  <c r="W122" i="1"/>
  <c r="V122" i="1"/>
  <c r="U122" i="1"/>
  <c r="T122" i="1"/>
  <c r="S122" i="1"/>
  <c r="R122" i="1"/>
  <c r="P122" i="1"/>
  <c r="O122" i="1"/>
  <c r="N122" i="1"/>
  <c r="Q122" i="1" s="1"/>
  <c r="M122" i="1"/>
  <c r="L122" i="1"/>
  <c r="X121" i="1"/>
  <c r="W121" i="1"/>
  <c r="V121" i="1"/>
  <c r="U121" i="1"/>
  <c r="T121" i="1"/>
  <c r="S121" i="1"/>
  <c r="R121" i="1"/>
  <c r="P121" i="1"/>
  <c r="O121" i="1"/>
  <c r="Q121" i="1" s="1"/>
  <c r="N121" i="1"/>
  <c r="M121" i="1"/>
  <c r="L121" i="1"/>
  <c r="X120" i="1"/>
  <c r="W120" i="1"/>
  <c r="V120" i="1"/>
  <c r="U120" i="1"/>
  <c r="T120" i="1"/>
  <c r="S120" i="1"/>
  <c r="R120" i="1"/>
  <c r="P120" i="1"/>
  <c r="O120" i="1"/>
  <c r="N120" i="1"/>
  <c r="M120" i="1"/>
  <c r="L120" i="1"/>
  <c r="X119" i="1"/>
  <c r="W119" i="1"/>
  <c r="V119" i="1"/>
  <c r="T119" i="1"/>
  <c r="U119" i="1" s="1"/>
  <c r="S119" i="1"/>
  <c r="R119" i="1"/>
  <c r="Q119" i="1"/>
  <c r="P119" i="1"/>
  <c r="O119" i="1"/>
  <c r="N119" i="1"/>
  <c r="M119" i="1"/>
  <c r="L119" i="1"/>
  <c r="X118" i="1"/>
  <c r="W118" i="1"/>
  <c r="V118" i="1"/>
  <c r="U118" i="1"/>
  <c r="T118" i="1"/>
  <c r="S118" i="1"/>
  <c r="R118" i="1"/>
  <c r="P118" i="1"/>
  <c r="O118" i="1"/>
  <c r="N118" i="1"/>
  <c r="Q118" i="1" s="1"/>
  <c r="M118" i="1"/>
  <c r="L118" i="1"/>
  <c r="X117" i="1"/>
  <c r="W117" i="1"/>
  <c r="V117" i="1"/>
  <c r="U117" i="1"/>
  <c r="T117" i="1"/>
  <c r="S117" i="1"/>
  <c r="R117" i="1"/>
  <c r="P117" i="1"/>
  <c r="O117" i="1"/>
  <c r="Q117" i="1" s="1"/>
  <c r="N117" i="1"/>
  <c r="M117" i="1"/>
  <c r="L117" i="1"/>
  <c r="X116" i="1"/>
  <c r="W116" i="1"/>
  <c r="V116" i="1"/>
  <c r="U116" i="1"/>
  <c r="T116" i="1"/>
  <c r="S116" i="1"/>
  <c r="R116" i="1"/>
  <c r="P116" i="1"/>
  <c r="O116" i="1"/>
  <c r="N116" i="1"/>
  <c r="Q116" i="1" s="1"/>
  <c r="M116" i="1"/>
  <c r="L116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X114" i="1"/>
  <c r="W114" i="1"/>
  <c r="V114" i="1"/>
  <c r="U114" i="1"/>
  <c r="T114" i="1"/>
  <c r="S114" i="1"/>
  <c r="R114" i="1"/>
  <c r="P114" i="1"/>
  <c r="O114" i="1"/>
  <c r="N114" i="1"/>
  <c r="Q114" i="1" s="1"/>
  <c r="M114" i="1"/>
  <c r="L114" i="1"/>
  <c r="X113" i="1"/>
  <c r="W113" i="1"/>
  <c r="V113" i="1"/>
  <c r="U113" i="1"/>
  <c r="T113" i="1"/>
  <c r="S113" i="1"/>
  <c r="R113" i="1"/>
  <c r="P113" i="1"/>
  <c r="O113" i="1"/>
  <c r="N113" i="1"/>
  <c r="Q113" i="1" s="1"/>
  <c r="M113" i="1"/>
  <c r="L113" i="1"/>
  <c r="X112" i="1"/>
  <c r="W112" i="1"/>
  <c r="V112" i="1"/>
  <c r="U112" i="1"/>
  <c r="T112" i="1"/>
  <c r="S112" i="1"/>
  <c r="R112" i="1"/>
  <c r="P112" i="1"/>
  <c r="O112" i="1"/>
  <c r="N112" i="1"/>
  <c r="Q112" i="1" s="1"/>
  <c r="M112" i="1"/>
  <c r="L112" i="1"/>
  <c r="X111" i="1"/>
  <c r="W111" i="1"/>
  <c r="V111" i="1"/>
  <c r="U111" i="1"/>
  <c r="T111" i="1"/>
  <c r="S111" i="1"/>
  <c r="R111" i="1"/>
  <c r="P111" i="1"/>
  <c r="Q111" i="1" s="1"/>
  <c r="O111" i="1"/>
  <c r="N111" i="1"/>
  <c r="M111" i="1"/>
  <c r="L111" i="1"/>
  <c r="X110" i="1"/>
  <c r="W110" i="1"/>
  <c r="V110" i="1"/>
  <c r="T110" i="1"/>
  <c r="U110" i="1" s="1"/>
  <c r="S110" i="1"/>
  <c r="R110" i="1"/>
  <c r="P110" i="1"/>
  <c r="O110" i="1"/>
  <c r="N110" i="1"/>
  <c r="Q110" i="1" s="1"/>
  <c r="M110" i="1"/>
  <c r="L110" i="1"/>
  <c r="X109" i="1"/>
  <c r="W109" i="1"/>
  <c r="V109" i="1"/>
  <c r="U109" i="1"/>
  <c r="T109" i="1"/>
  <c r="S109" i="1"/>
  <c r="R109" i="1"/>
  <c r="P109" i="1"/>
  <c r="O109" i="1"/>
  <c r="Q109" i="1" s="1"/>
  <c r="N109" i="1"/>
  <c r="M109" i="1"/>
  <c r="L109" i="1"/>
  <c r="X108" i="1"/>
  <c r="W108" i="1"/>
  <c r="V108" i="1"/>
  <c r="U108" i="1"/>
  <c r="T108" i="1"/>
  <c r="S108" i="1"/>
  <c r="R108" i="1"/>
  <c r="P108" i="1"/>
  <c r="O108" i="1"/>
  <c r="N108" i="1"/>
  <c r="M108" i="1"/>
  <c r="L108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X106" i="1"/>
  <c r="W106" i="1"/>
  <c r="V106" i="1"/>
  <c r="U106" i="1"/>
  <c r="T106" i="1"/>
  <c r="S106" i="1"/>
  <c r="R106" i="1"/>
  <c r="P106" i="1"/>
  <c r="O106" i="1"/>
  <c r="N106" i="1"/>
  <c r="Q106" i="1" s="1"/>
  <c r="M106" i="1"/>
  <c r="L106" i="1"/>
  <c r="X105" i="1"/>
  <c r="W105" i="1"/>
  <c r="V105" i="1"/>
  <c r="U105" i="1"/>
  <c r="T105" i="1"/>
  <c r="S105" i="1"/>
  <c r="R105" i="1"/>
  <c r="P105" i="1"/>
  <c r="O105" i="1"/>
  <c r="Q105" i="1" s="1"/>
  <c r="N105" i="1"/>
  <c r="M105" i="1"/>
  <c r="L105" i="1"/>
  <c r="X104" i="1"/>
  <c r="W104" i="1"/>
  <c r="V104" i="1"/>
  <c r="U104" i="1"/>
  <c r="T104" i="1"/>
  <c r="S104" i="1"/>
  <c r="R104" i="1"/>
  <c r="P104" i="1"/>
  <c r="O104" i="1"/>
  <c r="N104" i="1"/>
  <c r="M104" i="1"/>
  <c r="L104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X102" i="1"/>
  <c r="W102" i="1"/>
  <c r="V102" i="1"/>
  <c r="U102" i="1"/>
  <c r="T102" i="1"/>
  <c r="S102" i="1"/>
  <c r="R102" i="1"/>
  <c r="P102" i="1"/>
  <c r="O102" i="1"/>
  <c r="N102" i="1"/>
  <c r="Q102" i="1" s="1"/>
  <c r="M102" i="1"/>
  <c r="L102" i="1"/>
  <c r="X101" i="1"/>
  <c r="W101" i="1"/>
  <c r="V101" i="1"/>
  <c r="U101" i="1"/>
  <c r="T101" i="1"/>
  <c r="S101" i="1"/>
  <c r="R101" i="1"/>
  <c r="P101" i="1"/>
  <c r="O101" i="1"/>
  <c r="N101" i="1"/>
  <c r="Q101" i="1" s="1"/>
  <c r="M101" i="1"/>
  <c r="L101" i="1"/>
  <c r="X100" i="1"/>
  <c r="W100" i="1"/>
  <c r="V100" i="1"/>
  <c r="U100" i="1"/>
  <c r="T100" i="1"/>
  <c r="S100" i="1"/>
  <c r="R100" i="1"/>
  <c r="P100" i="1"/>
  <c r="O100" i="1"/>
  <c r="N100" i="1"/>
  <c r="M100" i="1"/>
  <c r="L100" i="1"/>
  <c r="X99" i="1"/>
  <c r="W99" i="1"/>
  <c r="V99" i="1"/>
  <c r="U99" i="1"/>
  <c r="T99" i="1"/>
  <c r="S99" i="1"/>
  <c r="R99" i="1"/>
  <c r="P99" i="1"/>
  <c r="O99" i="1"/>
  <c r="Q99" i="1" s="1"/>
  <c r="N99" i="1"/>
  <c r="M99" i="1"/>
  <c r="L99" i="1"/>
  <c r="X98" i="1"/>
  <c r="W98" i="1"/>
  <c r="V98" i="1"/>
  <c r="T98" i="1"/>
  <c r="U98" i="1" s="1"/>
  <c r="S98" i="1"/>
  <c r="R98" i="1"/>
  <c r="Q98" i="1"/>
  <c r="P98" i="1"/>
  <c r="O98" i="1"/>
  <c r="N98" i="1"/>
  <c r="M98" i="1"/>
  <c r="L98" i="1"/>
  <c r="X97" i="1"/>
  <c r="W97" i="1"/>
  <c r="V97" i="1"/>
  <c r="U97" i="1"/>
  <c r="T97" i="1"/>
  <c r="S97" i="1"/>
  <c r="R97" i="1"/>
  <c r="P97" i="1"/>
  <c r="O97" i="1"/>
  <c r="Q97" i="1" s="1"/>
  <c r="N97" i="1"/>
  <c r="M97" i="1"/>
  <c r="L97" i="1"/>
  <c r="X96" i="1"/>
  <c r="W96" i="1"/>
  <c r="V96" i="1"/>
  <c r="T96" i="1"/>
  <c r="U96" i="1" s="1"/>
  <c r="S96" i="1"/>
  <c r="R96" i="1"/>
  <c r="P96" i="1"/>
  <c r="O96" i="1"/>
  <c r="N96" i="1"/>
  <c r="M96" i="1"/>
  <c r="L96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X94" i="1"/>
  <c r="W94" i="1"/>
  <c r="V94" i="1"/>
  <c r="U94" i="1"/>
  <c r="T94" i="1"/>
  <c r="S94" i="1"/>
  <c r="R94" i="1"/>
  <c r="P94" i="1"/>
  <c r="O94" i="1"/>
  <c r="N94" i="1"/>
  <c r="M94" i="1"/>
  <c r="L94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X92" i="1"/>
  <c r="W92" i="1"/>
  <c r="V92" i="1"/>
  <c r="U92" i="1"/>
  <c r="T92" i="1"/>
  <c r="S92" i="1"/>
  <c r="R92" i="1"/>
  <c r="P92" i="1"/>
  <c r="O92" i="1"/>
  <c r="N92" i="1"/>
  <c r="M92" i="1"/>
  <c r="L92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X90" i="1"/>
  <c r="W90" i="1"/>
  <c r="V90" i="1"/>
  <c r="U90" i="1"/>
  <c r="T90" i="1"/>
  <c r="S90" i="1"/>
  <c r="R90" i="1"/>
  <c r="P90" i="1"/>
  <c r="O90" i="1"/>
  <c r="N90" i="1"/>
  <c r="M90" i="1"/>
  <c r="L90" i="1"/>
  <c r="X89" i="1"/>
  <c r="W89" i="1"/>
  <c r="V89" i="1"/>
  <c r="U89" i="1"/>
  <c r="T89" i="1"/>
  <c r="S89" i="1"/>
  <c r="R89" i="1"/>
  <c r="P89" i="1"/>
  <c r="O89" i="1"/>
  <c r="N89" i="1"/>
  <c r="Q89" i="1" s="1"/>
  <c r="M89" i="1"/>
  <c r="L89" i="1"/>
  <c r="X88" i="1"/>
  <c r="W88" i="1"/>
  <c r="V88" i="1"/>
  <c r="U88" i="1"/>
  <c r="T88" i="1"/>
  <c r="S88" i="1"/>
  <c r="R88" i="1"/>
  <c r="P88" i="1"/>
  <c r="O88" i="1"/>
  <c r="N88" i="1"/>
  <c r="Q88" i="1" s="1"/>
  <c r="M88" i="1"/>
  <c r="L88" i="1"/>
  <c r="X87" i="1"/>
  <c r="W87" i="1"/>
  <c r="V87" i="1"/>
  <c r="U87" i="1"/>
  <c r="T87" i="1"/>
  <c r="S87" i="1"/>
  <c r="R87" i="1"/>
  <c r="P87" i="1"/>
  <c r="O87" i="1"/>
  <c r="Q87" i="1" s="1"/>
  <c r="N87" i="1"/>
  <c r="M87" i="1"/>
  <c r="L87" i="1"/>
  <c r="X86" i="1"/>
  <c r="W86" i="1"/>
  <c r="V86" i="1"/>
  <c r="U86" i="1"/>
  <c r="T86" i="1"/>
  <c r="S86" i="1"/>
  <c r="R86" i="1"/>
  <c r="P86" i="1"/>
  <c r="O86" i="1"/>
  <c r="N86" i="1"/>
  <c r="Q86" i="1" s="1"/>
  <c r="M86" i="1"/>
  <c r="L86" i="1"/>
  <c r="X85" i="1"/>
  <c r="W85" i="1"/>
  <c r="V85" i="1"/>
  <c r="U85" i="1"/>
  <c r="T85" i="1"/>
  <c r="S85" i="1"/>
  <c r="R85" i="1"/>
  <c r="P85" i="1"/>
  <c r="O85" i="1"/>
  <c r="Q85" i="1" s="1"/>
  <c r="N85" i="1"/>
  <c r="M85" i="1"/>
  <c r="L85" i="1"/>
  <c r="X84" i="1"/>
  <c r="W84" i="1"/>
  <c r="V84" i="1"/>
  <c r="U84" i="1"/>
  <c r="T84" i="1"/>
  <c r="S84" i="1"/>
  <c r="R84" i="1"/>
  <c r="P84" i="1"/>
  <c r="O84" i="1"/>
  <c r="N84" i="1"/>
  <c r="Q84" i="1" s="1"/>
  <c r="M84" i="1"/>
  <c r="L84" i="1"/>
  <c r="X83" i="1"/>
  <c r="W83" i="1"/>
  <c r="V83" i="1"/>
  <c r="T83" i="1"/>
  <c r="U83" i="1" s="1"/>
  <c r="S83" i="1"/>
  <c r="R83" i="1"/>
  <c r="P83" i="1"/>
  <c r="O83" i="1"/>
  <c r="Q83" i="1" s="1"/>
  <c r="N83" i="1"/>
  <c r="M83" i="1"/>
  <c r="L83" i="1"/>
  <c r="X82" i="1"/>
  <c r="W82" i="1"/>
  <c r="V82" i="1"/>
  <c r="U82" i="1"/>
  <c r="T82" i="1"/>
  <c r="S82" i="1"/>
  <c r="R82" i="1"/>
  <c r="P82" i="1"/>
  <c r="O82" i="1"/>
  <c r="N82" i="1"/>
  <c r="Q82" i="1" s="1"/>
  <c r="M82" i="1"/>
  <c r="L82" i="1"/>
  <c r="X81" i="1"/>
  <c r="W81" i="1"/>
  <c r="V81" i="1"/>
  <c r="U81" i="1"/>
  <c r="T81" i="1"/>
  <c r="S81" i="1"/>
  <c r="R81" i="1"/>
  <c r="P81" i="1"/>
  <c r="O81" i="1"/>
  <c r="Q81" i="1" s="1"/>
  <c r="N81" i="1"/>
  <c r="M81" i="1"/>
  <c r="L81" i="1"/>
  <c r="X80" i="1"/>
  <c r="W80" i="1"/>
  <c r="V80" i="1"/>
  <c r="U80" i="1"/>
  <c r="T80" i="1"/>
  <c r="S80" i="1"/>
  <c r="R80" i="1"/>
  <c r="P80" i="1"/>
  <c r="O80" i="1"/>
  <c r="N80" i="1"/>
  <c r="Q80" i="1" s="1"/>
  <c r="M80" i="1"/>
  <c r="L80" i="1"/>
  <c r="X79" i="1"/>
  <c r="W79" i="1"/>
  <c r="V79" i="1"/>
  <c r="U79" i="1"/>
  <c r="T79" i="1"/>
  <c r="S79" i="1"/>
  <c r="R79" i="1"/>
  <c r="P79" i="1"/>
  <c r="O79" i="1"/>
  <c r="Q79" i="1" s="1"/>
  <c r="N79" i="1"/>
  <c r="M79" i="1"/>
  <c r="L79" i="1"/>
  <c r="X78" i="1"/>
  <c r="W78" i="1"/>
  <c r="V78" i="1"/>
  <c r="U78" i="1"/>
  <c r="T78" i="1"/>
  <c r="S78" i="1"/>
  <c r="R78" i="1"/>
  <c r="P78" i="1"/>
  <c r="O78" i="1"/>
  <c r="N78" i="1"/>
  <c r="M78" i="1"/>
  <c r="L78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X76" i="1"/>
  <c r="W76" i="1"/>
  <c r="V76" i="1"/>
  <c r="U76" i="1"/>
  <c r="T76" i="1"/>
  <c r="S76" i="1"/>
  <c r="R76" i="1"/>
  <c r="P76" i="1"/>
  <c r="O76" i="1"/>
  <c r="N76" i="1"/>
  <c r="M76" i="1"/>
  <c r="L76" i="1"/>
  <c r="X75" i="1"/>
  <c r="W75" i="1"/>
  <c r="V75" i="1"/>
  <c r="U75" i="1"/>
  <c r="T75" i="1"/>
  <c r="S75" i="1"/>
  <c r="R75" i="1"/>
  <c r="P75" i="1"/>
  <c r="O75" i="1"/>
  <c r="N75" i="1"/>
  <c r="M75" i="1"/>
  <c r="L75" i="1"/>
  <c r="X74" i="1"/>
  <c r="W74" i="1"/>
  <c r="V74" i="1"/>
  <c r="U74" i="1"/>
  <c r="T74" i="1"/>
  <c r="S74" i="1"/>
  <c r="R74" i="1"/>
  <c r="P74" i="1"/>
  <c r="O74" i="1"/>
  <c r="N74" i="1"/>
  <c r="Q74" i="1" s="1"/>
  <c r="M74" i="1"/>
  <c r="L74" i="1"/>
  <c r="X73" i="1"/>
  <c r="W73" i="1"/>
  <c r="V73" i="1"/>
  <c r="U73" i="1"/>
  <c r="T73" i="1"/>
  <c r="S73" i="1"/>
  <c r="R73" i="1"/>
  <c r="P73" i="1"/>
  <c r="O73" i="1"/>
  <c r="Q73" i="1" s="1"/>
  <c r="N73" i="1"/>
  <c r="M73" i="1"/>
  <c r="L73" i="1"/>
  <c r="X72" i="1"/>
  <c r="W72" i="1"/>
  <c r="V72" i="1"/>
  <c r="U72" i="1"/>
  <c r="T72" i="1"/>
  <c r="S72" i="1"/>
  <c r="R72" i="1"/>
  <c r="P72" i="1"/>
  <c r="O72" i="1"/>
  <c r="N72" i="1"/>
  <c r="Q72" i="1" s="1"/>
  <c r="M72" i="1"/>
  <c r="L72" i="1"/>
  <c r="X71" i="1"/>
  <c r="W71" i="1"/>
  <c r="V71" i="1"/>
  <c r="U71" i="1"/>
  <c r="T71" i="1"/>
  <c r="S71" i="1"/>
  <c r="R71" i="1"/>
  <c r="P71" i="1"/>
  <c r="O71" i="1"/>
  <c r="Q71" i="1" s="1"/>
  <c r="N71" i="1"/>
  <c r="M71" i="1"/>
  <c r="L71" i="1"/>
  <c r="X70" i="1"/>
  <c r="W70" i="1"/>
  <c r="V70" i="1"/>
  <c r="U70" i="1"/>
  <c r="T70" i="1"/>
  <c r="S70" i="1"/>
  <c r="R70" i="1"/>
  <c r="P70" i="1"/>
  <c r="O70" i="1"/>
  <c r="N70" i="1"/>
  <c r="Q70" i="1" s="1"/>
  <c r="M70" i="1"/>
  <c r="L70" i="1"/>
  <c r="X69" i="1"/>
  <c r="W69" i="1"/>
  <c r="V69" i="1"/>
  <c r="U69" i="1"/>
  <c r="T69" i="1"/>
  <c r="S69" i="1"/>
  <c r="R69" i="1"/>
  <c r="P69" i="1"/>
  <c r="O69" i="1"/>
  <c r="Q69" i="1" s="1"/>
  <c r="N69" i="1"/>
  <c r="M69" i="1"/>
  <c r="L69" i="1"/>
  <c r="X68" i="1"/>
  <c r="W68" i="1"/>
  <c r="V68" i="1"/>
  <c r="U68" i="1"/>
  <c r="T68" i="1"/>
  <c r="S68" i="1"/>
  <c r="R68" i="1"/>
  <c r="P68" i="1"/>
  <c r="O68" i="1"/>
  <c r="N68" i="1"/>
  <c r="M68" i="1"/>
  <c r="L68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X66" i="1"/>
  <c r="W66" i="1"/>
  <c r="V66" i="1"/>
  <c r="U66" i="1"/>
  <c r="T66" i="1"/>
  <c r="S66" i="1"/>
  <c r="R66" i="1"/>
  <c r="P66" i="1"/>
  <c r="O66" i="1"/>
  <c r="N66" i="1"/>
  <c r="M66" i="1"/>
  <c r="L66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X64" i="1"/>
  <c r="W64" i="1"/>
  <c r="V64" i="1"/>
  <c r="U64" i="1"/>
  <c r="T64" i="1"/>
  <c r="S64" i="1"/>
  <c r="R64" i="1"/>
  <c r="P64" i="1"/>
  <c r="O64" i="1"/>
  <c r="N64" i="1"/>
  <c r="M64" i="1"/>
  <c r="L64" i="1"/>
  <c r="X63" i="1"/>
  <c r="W63" i="1"/>
  <c r="V63" i="1"/>
  <c r="U63" i="1"/>
  <c r="T63" i="1"/>
  <c r="S63" i="1"/>
  <c r="R63" i="1"/>
  <c r="P63" i="1"/>
  <c r="O63" i="1"/>
  <c r="Q63" i="1" s="1"/>
  <c r="N63" i="1"/>
  <c r="M63" i="1"/>
  <c r="L63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X61" i="1"/>
  <c r="W61" i="1"/>
  <c r="V61" i="1"/>
  <c r="U61" i="1"/>
  <c r="T61" i="1"/>
  <c r="S61" i="1"/>
  <c r="R61" i="1"/>
  <c r="P61" i="1"/>
  <c r="O61" i="1"/>
  <c r="Q61" i="1" s="1"/>
  <c r="N61" i="1"/>
  <c r="M61" i="1"/>
  <c r="L61" i="1"/>
  <c r="X60" i="1"/>
  <c r="W60" i="1"/>
  <c r="V60" i="1"/>
  <c r="T60" i="1"/>
  <c r="U60" i="1" s="1"/>
  <c r="S60" i="1"/>
  <c r="R60" i="1"/>
  <c r="P60" i="1"/>
  <c r="O60" i="1"/>
  <c r="N60" i="1"/>
  <c r="Q60" i="1" s="1"/>
  <c r="M60" i="1"/>
  <c r="L60" i="1"/>
  <c r="X59" i="1"/>
  <c r="W59" i="1"/>
  <c r="V59" i="1"/>
  <c r="U59" i="1"/>
  <c r="T59" i="1"/>
  <c r="S59" i="1"/>
  <c r="R59" i="1"/>
  <c r="P59" i="1"/>
  <c r="O59" i="1"/>
  <c r="Q59" i="1" s="1"/>
  <c r="N59" i="1"/>
  <c r="M59" i="1"/>
  <c r="L59" i="1"/>
  <c r="X58" i="1"/>
  <c r="W58" i="1"/>
  <c r="V58" i="1"/>
  <c r="U58" i="1"/>
  <c r="T58" i="1"/>
  <c r="S58" i="1"/>
  <c r="R58" i="1"/>
  <c r="P58" i="1"/>
  <c r="O58" i="1"/>
  <c r="N58" i="1"/>
  <c r="M58" i="1"/>
  <c r="L58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X56" i="1"/>
  <c r="W56" i="1"/>
  <c r="V56" i="1"/>
  <c r="T56" i="1"/>
  <c r="U56" i="1" s="1"/>
  <c r="S56" i="1"/>
  <c r="R56" i="1"/>
  <c r="P56" i="1"/>
  <c r="O56" i="1"/>
  <c r="N56" i="1"/>
  <c r="M56" i="1"/>
  <c r="L56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X54" i="1"/>
  <c r="W54" i="1"/>
  <c r="V54" i="1"/>
  <c r="U54" i="1"/>
  <c r="T54" i="1"/>
  <c r="S54" i="1"/>
  <c r="R54" i="1"/>
  <c r="P54" i="1"/>
  <c r="O54" i="1"/>
  <c r="N54" i="1"/>
  <c r="M54" i="1"/>
  <c r="L54" i="1"/>
  <c r="X53" i="1"/>
  <c r="W53" i="1"/>
  <c r="V53" i="1"/>
  <c r="U53" i="1"/>
  <c r="T53" i="1"/>
  <c r="S53" i="1"/>
  <c r="R53" i="1"/>
  <c r="P53" i="1"/>
  <c r="O53" i="1"/>
  <c r="N53" i="1"/>
  <c r="Q53" i="1" s="1"/>
  <c r="M53" i="1"/>
  <c r="L53" i="1"/>
  <c r="X52" i="1"/>
  <c r="W52" i="1"/>
  <c r="V52" i="1"/>
  <c r="T52" i="1"/>
  <c r="U52" i="1" s="1"/>
  <c r="S52" i="1"/>
  <c r="R52" i="1"/>
  <c r="P52" i="1"/>
  <c r="O52" i="1"/>
  <c r="N52" i="1"/>
  <c r="Q52" i="1" s="1"/>
  <c r="M52" i="1"/>
  <c r="L52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X50" i="1"/>
  <c r="W50" i="1"/>
  <c r="V50" i="1"/>
  <c r="U50" i="1"/>
  <c r="T50" i="1"/>
  <c r="S50" i="1"/>
  <c r="R50" i="1"/>
  <c r="P50" i="1"/>
  <c r="O50" i="1"/>
  <c r="N50" i="1"/>
  <c r="Q50" i="1" s="1"/>
  <c r="M50" i="1"/>
  <c r="L50" i="1"/>
  <c r="X49" i="1"/>
  <c r="W49" i="1"/>
  <c r="V49" i="1"/>
  <c r="U49" i="1"/>
  <c r="T49" i="1"/>
  <c r="S49" i="1"/>
  <c r="R49" i="1"/>
  <c r="P49" i="1"/>
  <c r="O49" i="1"/>
  <c r="Q49" i="1" s="1"/>
  <c r="N49" i="1"/>
  <c r="M49" i="1"/>
  <c r="L49" i="1"/>
  <c r="X48" i="1"/>
  <c r="W48" i="1"/>
  <c r="V48" i="1"/>
  <c r="U48" i="1"/>
  <c r="T48" i="1"/>
  <c r="S48" i="1"/>
  <c r="R48" i="1"/>
  <c r="P48" i="1"/>
  <c r="O48" i="1"/>
  <c r="N48" i="1"/>
  <c r="Q48" i="1" s="1"/>
  <c r="M48" i="1"/>
  <c r="L48" i="1"/>
  <c r="X47" i="1"/>
  <c r="W47" i="1"/>
  <c r="V47" i="1"/>
  <c r="U47" i="1"/>
  <c r="T47" i="1"/>
  <c r="S47" i="1"/>
  <c r="R47" i="1"/>
  <c r="P47" i="1"/>
  <c r="O47" i="1"/>
  <c r="Q47" i="1" s="1"/>
  <c r="N47" i="1"/>
  <c r="M47" i="1"/>
  <c r="L47" i="1"/>
  <c r="X46" i="1"/>
  <c r="W46" i="1"/>
  <c r="V46" i="1"/>
  <c r="U46" i="1"/>
  <c r="T46" i="1"/>
  <c r="S46" i="1"/>
  <c r="R46" i="1"/>
  <c r="P46" i="1"/>
  <c r="O46" i="1"/>
  <c r="N46" i="1"/>
  <c r="M46" i="1"/>
  <c r="L46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X44" i="1"/>
  <c r="W44" i="1"/>
  <c r="V44" i="1"/>
  <c r="T44" i="1"/>
  <c r="U44" i="1" s="1"/>
  <c r="S44" i="1"/>
  <c r="R44" i="1"/>
  <c r="P44" i="1"/>
  <c r="O44" i="1"/>
  <c r="N44" i="1"/>
  <c r="M44" i="1"/>
  <c r="L44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X42" i="1"/>
  <c r="W42" i="1"/>
  <c r="V42" i="1"/>
  <c r="U42" i="1"/>
  <c r="T42" i="1"/>
  <c r="S42" i="1"/>
  <c r="R42" i="1"/>
  <c r="P42" i="1"/>
  <c r="O42" i="1"/>
  <c r="N42" i="1"/>
  <c r="Q42" i="1" s="1"/>
  <c r="M42" i="1"/>
  <c r="L42" i="1"/>
  <c r="X41" i="1"/>
  <c r="W41" i="1"/>
  <c r="V41" i="1"/>
  <c r="U41" i="1"/>
  <c r="T41" i="1"/>
  <c r="S41" i="1"/>
  <c r="R41" i="1"/>
  <c r="P41" i="1"/>
  <c r="O41" i="1"/>
  <c r="N41" i="1"/>
  <c r="Q41" i="1" s="1"/>
  <c r="M41" i="1"/>
  <c r="L41" i="1"/>
  <c r="X40" i="1"/>
  <c r="W40" i="1"/>
  <c r="V40" i="1"/>
  <c r="T40" i="1"/>
  <c r="U40" i="1" s="1"/>
  <c r="S40" i="1"/>
  <c r="R40" i="1"/>
  <c r="P40" i="1"/>
  <c r="O40" i="1"/>
  <c r="N40" i="1"/>
  <c r="Q40" i="1" s="1"/>
  <c r="M40" i="1"/>
  <c r="L40" i="1"/>
  <c r="X39" i="1"/>
  <c r="W39" i="1"/>
  <c r="V39" i="1"/>
  <c r="U39" i="1"/>
  <c r="T39" i="1"/>
  <c r="S39" i="1"/>
  <c r="R39" i="1"/>
  <c r="P39" i="1"/>
  <c r="O39" i="1"/>
  <c r="N39" i="1"/>
  <c r="Q39" i="1" s="1"/>
  <c r="M39" i="1"/>
  <c r="L39" i="1"/>
  <c r="X38" i="1"/>
  <c r="W38" i="1"/>
  <c r="V38" i="1"/>
  <c r="T38" i="1"/>
  <c r="U38" i="1" s="1"/>
  <c r="S38" i="1"/>
  <c r="R38" i="1"/>
  <c r="P38" i="1"/>
  <c r="O38" i="1"/>
  <c r="N38" i="1"/>
  <c r="Q38" i="1" s="1"/>
  <c r="M38" i="1"/>
  <c r="L38" i="1"/>
  <c r="X37" i="1"/>
  <c r="W37" i="1"/>
  <c r="V37" i="1"/>
  <c r="U37" i="1"/>
  <c r="T37" i="1"/>
  <c r="S37" i="1"/>
  <c r="R37" i="1"/>
  <c r="P37" i="1"/>
  <c r="O37" i="1"/>
  <c r="Q37" i="1" s="1"/>
  <c r="N37" i="1"/>
  <c r="M37" i="1"/>
  <c r="L37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X34" i="1"/>
  <c r="W34" i="1"/>
  <c r="V34" i="1"/>
  <c r="U34" i="1"/>
  <c r="T34" i="1"/>
  <c r="S34" i="1"/>
  <c r="R34" i="1"/>
  <c r="P34" i="1"/>
  <c r="O34" i="1"/>
  <c r="N34" i="1"/>
  <c r="Q34" i="1" s="1"/>
  <c r="M34" i="1"/>
  <c r="L34" i="1"/>
  <c r="X33" i="1"/>
  <c r="W33" i="1"/>
  <c r="V33" i="1"/>
  <c r="U33" i="1"/>
  <c r="T33" i="1"/>
  <c r="S33" i="1"/>
  <c r="R33" i="1"/>
  <c r="P33" i="1"/>
  <c r="O33" i="1"/>
  <c r="Q33" i="1" s="1"/>
  <c r="N33" i="1"/>
  <c r="M33" i="1"/>
  <c r="L33" i="1"/>
  <c r="X32" i="1"/>
  <c r="W32" i="1"/>
  <c r="V32" i="1"/>
  <c r="U32" i="1"/>
  <c r="T32" i="1"/>
  <c r="S32" i="1"/>
  <c r="R32" i="1"/>
  <c r="P32" i="1"/>
  <c r="O32" i="1"/>
  <c r="N32" i="1"/>
  <c r="M32" i="1"/>
  <c r="L32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X30" i="1"/>
  <c r="W30" i="1"/>
  <c r="V30" i="1"/>
  <c r="U30" i="1"/>
  <c r="T30" i="1"/>
  <c r="S30" i="1"/>
  <c r="R30" i="1"/>
  <c r="P30" i="1"/>
  <c r="O30" i="1"/>
  <c r="N30" i="1"/>
  <c r="M30" i="1"/>
  <c r="L30" i="1"/>
  <c r="X29" i="1"/>
  <c r="W29" i="1"/>
  <c r="V29" i="1"/>
  <c r="U29" i="1"/>
  <c r="T29" i="1"/>
  <c r="S29" i="1"/>
  <c r="R29" i="1"/>
  <c r="P29" i="1"/>
  <c r="O29" i="1"/>
  <c r="N29" i="1"/>
  <c r="Q29" i="1" s="1"/>
  <c r="M29" i="1"/>
  <c r="L29" i="1"/>
  <c r="X28" i="1"/>
  <c r="W28" i="1"/>
  <c r="V28" i="1"/>
  <c r="U28" i="1"/>
  <c r="T28" i="1"/>
  <c r="S28" i="1"/>
  <c r="R28" i="1"/>
  <c r="P28" i="1"/>
  <c r="O28" i="1"/>
  <c r="N28" i="1"/>
  <c r="Q28" i="1" s="1"/>
  <c r="M28" i="1"/>
  <c r="L28" i="1"/>
  <c r="X27" i="1"/>
  <c r="W27" i="1"/>
  <c r="V27" i="1"/>
  <c r="U27" i="1"/>
  <c r="T27" i="1"/>
  <c r="S27" i="1"/>
  <c r="R27" i="1"/>
  <c r="P27" i="1"/>
  <c r="O27" i="1"/>
  <c r="N27" i="1"/>
  <c r="Q27" i="1" s="1"/>
  <c r="M27" i="1"/>
  <c r="L27" i="1"/>
  <c r="X26" i="1"/>
  <c r="W26" i="1"/>
  <c r="V26" i="1"/>
  <c r="T26" i="1"/>
  <c r="U26" i="1" s="1"/>
  <c r="S26" i="1"/>
  <c r="R26" i="1"/>
  <c r="P26" i="1"/>
  <c r="O26" i="1"/>
  <c r="N26" i="1"/>
  <c r="Q26" i="1" s="1"/>
  <c r="M26" i="1"/>
  <c r="L26" i="1"/>
  <c r="X25" i="1"/>
  <c r="W25" i="1"/>
  <c r="V25" i="1"/>
  <c r="U25" i="1"/>
  <c r="T25" i="1"/>
  <c r="S25" i="1"/>
  <c r="R25" i="1"/>
  <c r="P25" i="1"/>
  <c r="O25" i="1"/>
  <c r="Q25" i="1" s="1"/>
  <c r="N25" i="1"/>
  <c r="M25" i="1"/>
  <c r="L25" i="1"/>
  <c r="X24" i="1"/>
  <c r="W24" i="1"/>
  <c r="V24" i="1"/>
  <c r="T24" i="1"/>
  <c r="U24" i="1" s="1"/>
  <c r="S24" i="1"/>
  <c r="R24" i="1"/>
  <c r="P24" i="1"/>
  <c r="O24" i="1"/>
  <c r="N24" i="1"/>
  <c r="Q24" i="1" s="1"/>
  <c r="M24" i="1"/>
  <c r="L24" i="1"/>
  <c r="X23" i="1"/>
  <c r="W23" i="1"/>
  <c r="V23" i="1"/>
  <c r="U23" i="1"/>
  <c r="T23" i="1"/>
  <c r="S23" i="1"/>
  <c r="R23" i="1"/>
  <c r="P23" i="1"/>
  <c r="O23" i="1"/>
  <c r="Q23" i="1" s="1"/>
  <c r="N23" i="1"/>
  <c r="M23" i="1"/>
  <c r="L23" i="1"/>
  <c r="X22" i="1"/>
  <c r="W22" i="1"/>
  <c r="V22" i="1"/>
  <c r="U22" i="1"/>
  <c r="T22" i="1"/>
  <c r="S22" i="1"/>
  <c r="R22" i="1"/>
  <c r="P22" i="1"/>
  <c r="O22" i="1"/>
  <c r="N22" i="1"/>
  <c r="M22" i="1"/>
  <c r="L22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X20" i="1"/>
  <c r="W20" i="1"/>
  <c r="V20" i="1"/>
  <c r="U20" i="1"/>
  <c r="T20" i="1"/>
  <c r="S20" i="1"/>
  <c r="R20" i="1"/>
  <c r="P20" i="1"/>
  <c r="O20" i="1"/>
  <c r="N20" i="1"/>
  <c r="M20" i="1"/>
  <c r="L20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X18" i="1"/>
  <c r="W18" i="1"/>
  <c r="V18" i="1"/>
  <c r="T18" i="1"/>
  <c r="U18" i="1" s="1"/>
  <c r="S18" i="1"/>
  <c r="R18" i="1"/>
  <c r="P18" i="1"/>
  <c r="O18" i="1"/>
  <c r="N18" i="1"/>
  <c r="M18" i="1"/>
  <c r="L18" i="1"/>
  <c r="X17" i="1"/>
  <c r="W17" i="1"/>
  <c r="V17" i="1"/>
  <c r="U17" i="1"/>
  <c r="T17" i="1"/>
  <c r="S17" i="1"/>
  <c r="R17" i="1"/>
  <c r="P17" i="1"/>
  <c r="O17" i="1"/>
  <c r="N17" i="1"/>
  <c r="Q17" i="1" s="1"/>
  <c r="M17" i="1"/>
  <c r="L17" i="1"/>
  <c r="X16" i="1"/>
  <c r="W16" i="1"/>
  <c r="V16" i="1"/>
  <c r="U16" i="1"/>
  <c r="T16" i="1"/>
  <c r="S16" i="1"/>
  <c r="R16" i="1"/>
  <c r="P16" i="1"/>
  <c r="O16" i="1"/>
  <c r="N16" i="1"/>
  <c r="Q16" i="1" s="1"/>
  <c r="M16" i="1"/>
  <c r="L16" i="1"/>
  <c r="X15" i="1"/>
  <c r="W15" i="1"/>
  <c r="V15" i="1"/>
  <c r="U15" i="1"/>
  <c r="T15" i="1"/>
  <c r="S15" i="1"/>
  <c r="R15" i="1"/>
  <c r="P15" i="1"/>
  <c r="O15" i="1"/>
  <c r="N15" i="1"/>
  <c r="Q15" i="1" s="1"/>
  <c r="M15" i="1"/>
  <c r="L15" i="1"/>
  <c r="X14" i="1"/>
  <c r="W14" i="1"/>
  <c r="V14" i="1"/>
  <c r="T14" i="1"/>
  <c r="U14" i="1" s="1"/>
  <c r="S14" i="1"/>
  <c r="R14" i="1"/>
  <c r="P14" i="1"/>
  <c r="O14" i="1"/>
  <c r="N14" i="1"/>
  <c r="Q14" i="1" s="1"/>
  <c r="M14" i="1"/>
  <c r="L14" i="1"/>
  <c r="X13" i="1"/>
  <c r="W13" i="1"/>
  <c r="V13" i="1"/>
  <c r="U13" i="1"/>
  <c r="T13" i="1"/>
  <c r="S13" i="1"/>
  <c r="R13" i="1"/>
  <c r="P13" i="1"/>
  <c r="O13" i="1"/>
  <c r="Q13" i="1" s="1"/>
  <c r="N13" i="1"/>
  <c r="M13" i="1"/>
  <c r="L13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X10" i="1"/>
  <c r="W10" i="1"/>
  <c r="V10" i="1"/>
  <c r="U10" i="1"/>
  <c r="T10" i="1"/>
  <c r="S10" i="1"/>
  <c r="R10" i="1"/>
  <c r="P10" i="1"/>
  <c r="O10" i="1"/>
  <c r="N10" i="1"/>
  <c r="Q10" i="1" s="1"/>
  <c r="M10" i="1"/>
  <c r="L10" i="1"/>
  <c r="X9" i="1"/>
  <c r="W9" i="1"/>
  <c r="V9" i="1"/>
  <c r="U9" i="1"/>
  <c r="T9" i="1"/>
  <c r="S9" i="1"/>
  <c r="R9" i="1"/>
  <c r="P9" i="1"/>
  <c r="O9" i="1"/>
  <c r="Q9" i="1" s="1"/>
  <c r="N9" i="1"/>
  <c r="M9" i="1"/>
  <c r="L9" i="1"/>
  <c r="X8" i="1"/>
  <c r="W8" i="1"/>
  <c r="V8" i="1"/>
  <c r="T8" i="1"/>
  <c r="U8" i="1" s="1"/>
  <c r="S8" i="1"/>
  <c r="R8" i="1"/>
  <c r="P8" i="1"/>
  <c r="O8" i="1"/>
  <c r="N8" i="1"/>
  <c r="M8" i="1"/>
  <c r="L8" i="1"/>
  <c r="X7" i="1"/>
  <c r="W7" i="1"/>
  <c r="V7" i="1"/>
  <c r="U7" i="1"/>
  <c r="T7" i="1"/>
  <c r="S7" i="1"/>
  <c r="R7" i="1"/>
  <c r="Q7" i="1"/>
  <c r="P7" i="1"/>
  <c r="O7" i="1"/>
  <c r="N7" i="1"/>
  <c r="M7" i="1"/>
  <c r="L7" i="1"/>
  <c r="X6" i="1"/>
  <c r="W6" i="1"/>
  <c r="V6" i="1"/>
  <c r="T6" i="1"/>
  <c r="U6" i="1" s="1"/>
  <c r="S6" i="1"/>
  <c r="R6" i="1"/>
  <c r="P6" i="1"/>
  <c r="O6" i="1"/>
  <c r="N6" i="1"/>
  <c r="M6" i="1"/>
  <c r="L6" i="1"/>
  <c r="X5" i="1"/>
  <c r="W5" i="1"/>
  <c r="V5" i="1"/>
  <c r="U5" i="1"/>
  <c r="T5" i="1"/>
  <c r="S5" i="1"/>
  <c r="R5" i="1"/>
  <c r="Q5" i="1"/>
  <c r="P5" i="1"/>
  <c r="O5" i="1"/>
  <c r="N5" i="1"/>
  <c r="M5" i="1"/>
  <c r="L5" i="1"/>
  <c r="X4" i="1"/>
  <c r="W4" i="1"/>
  <c r="V4" i="1"/>
  <c r="U4" i="1"/>
  <c r="T4" i="1"/>
  <c r="S4" i="1"/>
  <c r="R4" i="1"/>
  <c r="P4" i="1"/>
  <c r="O4" i="1"/>
  <c r="N4" i="1"/>
  <c r="Q4" i="1" s="1"/>
  <c r="M4" i="1"/>
  <c r="L4" i="1"/>
  <c r="X3" i="1"/>
  <c r="W3" i="1"/>
  <c r="V3" i="1"/>
  <c r="U3" i="1"/>
  <c r="T3" i="1"/>
  <c r="S3" i="1"/>
  <c r="R3" i="1"/>
  <c r="P3" i="1"/>
  <c r="O3" i="1"/>
  <c r="N3" i="1"/>
  <c r="Q3" i="1" s="1"/>
  <c r="M3" i="1"/>
  <c r="L3" i="1"/>
  <c r="X2" i="1"/>
  <c r="W2" i="1"/>
  <c r="V2" i="1"/>
  <c r="U2" i="1"/>
  <c r="T2" i="1"/>
  <c r="S2" i="1"/>
  <c r="R2" i="1"/>
  <c r="P2" i="1"/>
  <c r="O2" i="1"/>
  <c r="N2" i="1"/>
  <c r="Q2" i="1" s="1"/>
  <c r="M2" i="1"/>
  <c r="L2" i="1"/>
  <c r="B39" i="2"/>
  <c r="B38" i="2"/>
  <c r="B40" i="2" s="1"/>
  <c r="B36" i="2"/>
  <c r="B29" i="2"/>
  <c r="B30" i="2" s="1"/>
  <c r="B14" i="2"/>
  <c r="B17" i="2" s="1"/>
  <c r="Q18" i="1" l="1"/>
  <c r="Q20" i="1"/>
  <c r="Q44" i="1"/>
  <c r="Q76" i="1"/>
  <c r="Q144" i="1"/>
  <c r="Q22" i="1"/>
  <c r="Q46" i="1"/>
  <c r="Q75" i="1"/>
  <c r="Q78" i="1"/>
  <c r="Q372" i="1"/>
  <c r="Q30" i="1"/>
  <c r="Q54" i="1"/>
  <c r="Q90" i="1"/>
  <c r="Q6" i="1"/>
  <c r="Q8" i="1"/>
  <c r="Q32" i="1"/>
  <c r="Q56" i="1"/>
  <c r="Q58" i="1"/>
  <c r="Q92" i="1"/>
  <c r="Q64" i="1"/>
  <c r="Q94" i="1"/>
  <c r="Q100" i="1"/>
  <c r="Q66" i="1"/>
  <c r="Q96" i="1"/>
  <c r="Q104" i="1"/>
  <c r="Q528" i="1"/>
  <c r="Q68" i="1"/>
  <c r="Q108" i="1"/>
  <c r="Q120" i="1"/>
  <c r="Q794" i="1"/>
  <c r="Q807" i="1"/>
  <c r="Q938" i="1"/>
  <c r="Q951" i="1"/>
  <c r="Q963" i="1"/>
  <c r="Q975" i="1"/>
  <c r="Q713" i="1"/>
  <c r="Q806" i="1"/>
  <c r="Q950" i="1"/>
  <c r="Q974" i="1"/>
  <c r="Q986" i="1"/>
  <c r="Q999" i="1"/>
  <c r="Q819" i="1"/>
  <c r="Q962" i="1"/>
  <c r="Q724" i="1"/>
  <c r="Q722" i="1"/>
  <c r="Q818" i="1"/>
  <c r="Q830" i="1"/>
  <c r="Q843" i="1"/>
  <c r="Q734" i="1"/>
  <c r="Q746" i="1"/>
  <c r="Q867" i="1"/>
  <c r="Q854" i="1"/>
  <c r="Q866" i="1"/>
  <c r="Q891" i="1"/>
  <c r="Q759" i="1"/>
  <c r="Q879" i="1"/>
  <c r="Q903" i="1"/>
  <c r="Q770" i="1"/>
  <c r="Q915" i="1"/>
  <c r="Q927" i="1"/>
</calcChain>
</file>

<file path=xl/sharedStrings.xml><?xml version="1.0" encoding="utf-8"?>
<sst xmlns="http://schemas.openxmlformats.org/spreadsheetml/2006/main" count="1995" uniqueCount="63">
  <si>
    <t>Pizza size</t>
  </si>
  <si>
    <t>Avg Price</t>
  </si>
  <si>
    <t>Avg Weight (lbs)</t>
  </si>
  <si>
    <t>Small</t>
  </si>
  <si>
    <t>Medium</t>
  </si>
  <si>
    <t>Large</t>
  </si>
  <si>
    <t>Working hours per day</t>
  </si>
  <si>
    <t>Avg distance delivery for drone elegible deliveries</t>
  </si>
  <si>
    <t>Drone elegible number of deliveries</t>
  </si>
  <si>
    <t>Years drone depreciation</t>
  </si>
  <si>
    <t xml:space="preserve">Traditional delivery economics </t>
  </si>
  <si>
    <t>(http://www.pizzatoday.com/departments/back-office/cost-of-delivery/)</t>
  </si>
  <si>
    <t>Hourly wage (considering SS, Medicare)</t>
  </si>
  <si>
    <t>Non-Owned auto insurance and meals / h</t>
  </si>
  <si>
    <t>Delivery cost charged to customer</t>
  </si>
  <si>
    <t>Cost per minute</t>
  </si>
  <si>
    <t xml:space="preserve">Drone Characteristics </t>
  </si>
  <si>
    <t>(http://drones.specout.com/l/1125/DJI-Matrice-600-Pro-M600-Pro)</t>
  </si>
  <si>
    <t>Alternative (http://drones.specout.com/l/111/Yuneec-Flying-Eyes-HX3)</t>
  </si>
  <si>
    <t>Operating range (miles)</t>
  </si>
  <si>
    <t>Flight time autonomy (min)</t>
  </si>
  <si>
    <t>Payload capacity (pounds)</t>
  </si>
  <si>
    <t>Max speed (mph)</t>
  </si>
  <si>
    <t>Avg speed (mph)</t>
  </si>
  <si>
    <t>Price</t>
  </si>
  <si>
    <t>Maintenance per year</t>
  </si>
  <si>
    <t>Average time to deliver drone / h</t>
  </si>
  <si>
    <t>Maximum drone deliveries per hour</t>
  </si>
  <si>
    <t>Pizza drone</t>
  </si>
  <si>
    <t>Hourly wage drone operator</t>
  </si>
  <si>
    <t>Number of drones per operator</t>
  </si>
  <si>
    <t>Electricity per minute</t>
  </si>
  <si>
    <t>Cost per minute operator + electricity</t>
  </si>
  <si>
    <t>Cost drone per minute</t>
  </si>
  <si>
    <t>Total cost drone per minute</t>
  </si>
  <si>
    <t>Average orders per day</t>
  </si>
  <si>
    <t>% Total order elegible for drone delivery</t>
  </si>
  <si>
    <t>Avg cost traditional delivery (drone eligible)</t>
  </si>
  <si>
    <t>Avg cost drone delivery</t>
  </si>
  <si>
    <t>OrderNumber</t>
  </si>
  <si>
    <t>OrderPlace</t>
  </si>
  <si>
    <t>OrderReady</t>
  </si>
  <si>
    <t>ItemOrdered1</t>
  </si>
  <si>
    <t>ItemOrdered2</t>
  </si>
  <si>
    <t>ItemOrdered3</t>
  </si>
  <si>
    <t>Delivery</t>
  </si>
  <si>
    <t>DeliveryZipCode</t>
  </si>
  <si>
    <t>DeliveryDistance</t>
  </si>
  <si>
    <t>OrderDelivery</t>
  </si>
  <si>
    <t>TotalPrice(NoTaxes)</t>
  </si>
  <si>
    <t>DeliveryDuration</t>
  </si>
  <si>
    <t>NumberofItemsOrdered</t>
  </si>
  <si>
    <t>WeightItem1</t>
  </si>
  <si>
    <t>WeightItem2</t>
  </si>
  <si>
    <t>WeightItem3</t>
  </si>
  <si>
    <t>TotalWeightOrder</t>
  </si>
  <si>
    <t>CostTraditionalDelivery</t>
  </si>
  <si>
    <t>DroneRange</t>
  </si>
  <si>
    <t>DroneDeliveryDuration</t>
  </si>
  <si>
    <t xml:space="preserve"> CostDroneDelivery </t>
  </si>
  <si>
    <t>PriceItem1</t>
  </si>
  <si>
    <t>PriceItem2</t>
  </si>
  <si>
    <t>PriceItem3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</si>
</sst>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00"/>
    <numFmt numFmtId="166" formatCode="_(&quot;$&quot;* #,##0.0000_);_(&quot;$&quot;* \(#,##0.00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2" borderId="0" xfId="0" applyFill="1"/>
    <xf numFmtId="44" fontId="0" fillId="0" borderId="0" xfId="1" applyFont="1"/>
    <xf numFmtId="164" fontId="0" fillId="0" borderId="0" xfId="1" applyNumberFormat="1" applyFon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44" fontId="0" fillId="0" borderId="0" xfId="0" applyNumberFormat="1"/>
    <xf numFmtId="9" fontId="0" fillId="2" borderId="0" xfId="2" applyFont="1" applyFill="1"/>
    <xf numFmtId="44" fontId="0" fillId="2" borderId="0" xfId="1" applyFont="1" applyFill="1"/>
    <xf numFmtId="0" fontId="3" fillId="0" borderId="0" xfId="0" applyFont="1"/>
    <xf numFmtId="1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OneDrive/For_git_changes/excel-grader-content/Keys/intromis/key_intromis-6-b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zza Sales Calculations"/>
      <sheetName val="Parameters"/>
    </sheetNames>
    <sheetDataSet>
      <sheetData sheetId="0">
        <row r="2">
          <cell r="C2">
            <v>42370.528009259258</v>
          </cell>
          <cell r="D2" t="str">
            <v>Small</v>
          </cell>
          <cell r="E2" t="str">
            <v>Medium</v>
          </cell>
          <cell r="G2" t="b">
            <v>0</v>
          </cell>
          <cell r="J2">
            <v>42370.530069444445</v>
          </cell>
          <cell r="L2">
            <v>2.9666666686534882</v>
          </cell>
          <cell r="S2" t="str">
            <v>TRUE</v>
          </cell>
        </row>
        <row r="3">
          <cell r="C3">
            <v>42370.533761574072</v>
          </cell>
          <cell r="D3" t="str">
            <v>Large</v>
          </cell>
          <cell r="G3" t="b">
            <v>0</v>
          </cell>
          <cell r="J3">
            <v>42370.535821759258</v>
          </cell>
          <cell r="L3">
            <v>2.9666666686534882</v>
          </cell>
          <cell r="S3" t="str">
            <v>TRUE</v>
          </cell>
        </row>
        <row r="4">
          <cell r="C4">
            <v>42370.537407407406</v>
          </cell>
          <cell r="D4" t="str">
            <v>Small</v>
          </cell>
          <cell r="E4" t="str">
            <v>Medium</v>
          </cell>
          <cell r="G4" t="b">
            <v>0</v>
          </cell>
          <cell r="J4">
            <v>42370.539479166669</v>
          </cell>
          <cell r="L4">
            <v>2.9833333392161876</v>
          </cell>
          <cell r="S4" t="str">
            <v>TRUE</v>
          </cell>
        </row>
        <row r="5">
          <cell r="C5">
            <v>42370.503310185188</v>
          </cell>
          <cell r="D5" t="str">
            <v>Small</v>
          </cell>
          <cell r="G5" t="b">
            <v>0</v>
          </cell>
          <cell r="J5">
            <v>42370.505393518521</v>
          </cell>
          <cell r="L5">
            <v>2.9999999993015081</v>
          </cell>
          <cell r="S5" t="str">
            <v>TRUE</v>
          </cell>
        </row>
        <row r="6">
          <cell r="C6">
            <v>42370.461273148147</v>
          </cell>
          <cell r="D6" t="str">
            <v>Medium</v>
          </cell>
          <cell r="G6" t="b">
            <v>1</v>
          </cell>
          <cell r="J6">
            <v>42370.469872685186</v>
          </cell>
          <cell r="L6">
            <v>12.383333336329088</v>
          </cell>
          <cell r="S6" t="str">
            <v>TRUE</v>
          </cell>
        </row>
        <row r="7">
          <cell r="C7">
            <v>42370.531712962962</v>
          </cell>
          <cell r="D7" t="str">
            <v>Small</v>
          </cell>
          <cell r="G7" t="b">
            <v>1</v>
          </cell>
          <cell r="J7">
            <v>42370.539895833332</v>
          </cell>
          <cell r="L7">
            <v>11.783333332277834</v>
          </cell>
          <cell r="S7" t="str">
            <v>TRUE</v>
          </cell>
        </row>
        <row r="8">
          <cell r="C8">
            <v>42370.533437500002</v>
          </cell>
          <cell r="D8" t="str">
            <v>Medium</v>
          </cell>
          <cell r="G8" t="b">
            <v>1</v>
          </cell>
          <cell r="J8">
            <v>42370.540578703702</v>
          </cell>
          <cell r="L8">
            <v>10.283333327388391</v>
          </cell>
          <cell r="S8" t="str">
            <v>TRUE</v>
          </cell>
        </row>
        <row r="9">
          <cell r="C9">
            <v>42370.567812499998</v>
          </cell>
          <cell r="D9" t="str">
            <v>Small</v>
          </cell>
          <cell r="E9" t="str">
            <v>Medium</v>
          </cell>
          <cell r="G9" t="b">
            <v>1</v>
          </cell>
          <cell r="J9">
            <v>42370.584537037037</v>
          </cell>
          <cell r="L9">
            <v>24.083333336748183</v>
          </cell>
          <cell r="S9" t="str">
            <v>FALSE</v>
          </cell>
        </row>
        <row r="10">
          <cell r="C10">
            <v>42370.498865740738</v>
          </cell>
          <cell r="D10" t="str">
            <v>Small</v>
          </cell>
          <cell r="E10" t="str">
            <v>Medium</v>
          </cell>
          <cell r="G10" t="b">
            <v>1</v>
          </cell>
          <cell r="J10">
            <v>42370.509652777779</v>
          </cell>
          <cell r="L10">
            <v>15.533333339262754</v>
          </cell>
          <cell r="S10" t="str">
            <v>TRUE</v>
          </cell>
        </row>
        <row r="11">
          <cell r="C11">
            <v>42370.445208333331</v>
          </cell>
          <cell r="D11" t="str">
            <v>Medium</v>
          </cell>
          <cell r="G11" t="b">
            <v>1</v>
          </cell>
          <cell r="J11">
            <v>42370.461018518516</v>
          </cell>
          <cell r="L11">
            <v>22.766666666138917</v>
          </cell>
          <cell r="S11" t="str">
            <v>FALSE</v>
          </cell>
        </row>
        <row r="12">
          <cell r="C12">
            <v>42370.524189814816</v>
          </cell>
          <cell r="D12" t="str">
            <v>Medium</v>
          </cell>
          <cell r="G12" t="b">
            <v>0</v>
          </cell>
          <cell r="J12">
            <v>42370.526273148149</v>
          </cell>
          <cell r="L12">
            <v>2.9999999993015081</v>
          </cell>
          <cell r="S12" t="str">
            <v>TRUE</v>
          </cell>
        </row>
        <row r="13">
          <cell r="C13">
            <v>42370.533668981479</v>
          </cell>
          <cell r="D13" t="str">
            <v>Small</v>
          </cell>
          <cell r="E13" t="str">
            <v>Large</v>
          </cell>
          <cell r="G13" t="b">
            <v>0</v>
          </cell>
          <cell r="J13">
            <v>42370.535740740743</v>
          </cell>
          <cell r="L13">
            <v>2.9833333392161876</v>
          </cell>
          <cell r="S13" t="str">
            <v>TRUE</v>
          </cell>
        </row>
        <row r="14">
          <cell r="C14">
            <v>42370.492905092593</v>
          </cell>
          <cell r="D14" t="str">
            <v>Small</v>
          </cell>
          <cell r="E14" t="str">
            <v>Medium</v>
          </cell>
          <cell r="G14" t="b">
            <v>1</v>
          </cell>
          <cell r="J14">
            <v>42370.503692129627</v>
          </cell>
          <cell r="L14">
            <v>15.533333328785375</v>
          </cell>
          <cell r="S14" t="str">
            <v>TRUE</v>
          </cell>
        </row>
        <row r="15">
          <cell r="C15">
            <v>42370.520682870374</v>
          </cell>
          <cell r="D15" t="str">
            <v>Small</v>
          </cell>
          <cell r="G15" t="b">
            <v>0</v>
          </cell>
          <cell r="J15">
            <v>42370.522766203707</v>
          </cell>
          <cell r="L15">
            <v>2.9999999993015081</v>
          </cell>
          <cell r="S15" t="str">
            <v>TRUE</v>
          </cell>
        </row>
        <row r="16">
          <cell r="C16">
            <v>42370.539363425924</v>
          </cell>
          <cell r="D16" t="str">
            <v>Medium</v>
          </cell>
          <cell r="G16" t="b">
            <v>0</v>
          </cell>
          <cell r="J16">
            <v>42370.541435185187</v>
          </cell>
          <cell r="L16">
            <v>2.9833333392161876</v>
          </cell>
          <cell r="S16" t="str">
            <v>TRUE</v>
          </cell>
        </row>
        <row r="17">
          <cell r="C17">
            <v>42370.507314814815</v>
          </cell>
          <cell r="D17" t="str">
            <v>Small</v>
          </cell>
          <cell r="E17" t="str">
            <v>Medium</v>
          </cell>
          <cell r="G17" t="b">
            <v>1</v>
          </cell>
          <cell r="J17">
            <v>42370.519166666665</v>
          </cell>
          <cell r="L17">
            <v>17.066666664322838</v>
          </cell>
          <cell r="S17" t="str">
            <v>FALSE</v>
          </cell>
        </row>
        <row r="18">
          <cell r="C18">
            <v>42370.586435185185</v>
          </cell>
          <cell r="D18" t="str">
            <v>Medium</v>
          </cell>
          <cell r="G18" t="b">
            <v>1</v>
          </cell>
          <cell r="J18">
            <v>42370.595335648148</v>
          </cell>
          <cell r="L18">
            <v>12.816666666185483</v>
          </cell>
          <cell r="S18" t="str">
            <v>TRUE</v>
          </cell>
        </row>
        <row r="19">
          <cell r="C19">
            <v>42370.530416666668</v>
          </cell>
          <cell r="D19" t="str">
            <v>Medium</v>
          </cell>
          <cell r="G19" t="b">
            <v>1</v>
          </cell>
          <cell r="J19">
            <v>42370.54587962963</v>
          </cell>
          <cell r="L19">
            <v>22.266666664509103</v>
          </cell>
          <cell r="S19" t="str">
            <v>FALSE</v>
          </cell>
        </row>
        <row r="20">
          <cell r="C20">
            <v>42370.541770833333</v>
          </cell>
          <cell r="D20" t="str">
            <v>Large</v>
          </cell>
          <cell r="G20" t="b">
            <v>1</v>
          </cell>
          <cell r="J20">
            <v>42370.556168981479</v>
          </cell>
          <cell r="L20">
            <v>20.733333328971639</v>
          </cell>
          <cell r="S20" t="str">
            <v>FALSE</v>
          </cell>
        </row>
        <row r="21">
          <cell r="C21">
            <v>42370.504699074074</v>
          </cell>
          <cell r="D21" t="str">
            <v>Large</v>
          </cell>
          <cell r="G21" t="b">
            <v>0</v>
          </cell>
          <cell r="J21">
            <v>42370.506793981483</v>
          </cell>
          <cell r="L21">
            <v>3.0166666698642075</v>
          </cell>
          <cell r="S21" t="str">
            <v>TRUE</v>
          </cell>
        </row>
        <row r="22">
          <cell r="C22">
            <v>42370.441157407404</v>
          </cell>
          <cell r="D22" t="str">
            <v>Medium</v>
          </cell>
          <cell r="G22" t="b">
            <v>1</v>
          </cell>
          <cell r="J22">
            <v>42370.448437500003</v>
          </cell>
          <cell r="L22">
            <v>10.483333342708647</v>
          </cell>
          <cell r="S22" t="str">
            <v>TRUE</v>
          </cell>
        </row>
        <row r="23">
          <cell r="C23">
            <v>42370.436249999999</v>
          </cell>
          <cell r="D23" t="str">
            <v>Small</v>
          </cell>
          <cell r="G23" t="b">
            <v>0</v>
          </cell>
          <cell r="J23">
            <v>42370.438344907408</v>
          </cell>
          <cell r="L23">
            <v>3.0166666698642075</v>
          </cell>
          <cell r="S23" t="str">
            <v>TRUE</v>
          </cell>
        </row>
        <row r="24">
          <cell r="C24">
            <v>42370.538819444446</v>
          </cell>
          <cell r="D24" t="str">
            <v>Large</v>
          </cell>
          <cell r="G24" t="b">
            <v>1</v>
          </cell>
          <cell r="J24">
            <v>42370.547754629632</v>
          </cell>
          <cell r="L24">
            <v>12.866666667396203</v>
          </cell>
          <cell r="S24" t="str">
            <v>TRUE</v>
          </cell>
        </row>
        <row r="25">
          <cell r="C25">
            <v>42370.535717592589</v>
          </cell>
          <cell r="D25" t="str">
            <v>Medium</v>
          </cell>
          <cell r="G25" t="b">
            <v>1</v>
          </cell>
          <cell r="J25">
            <v>42370.550185185188</v>
          </cell>
          <cell r="L25">
            <v>20.833333341870457</v>
          </cell>
          <cell r="S25" t="str">
            <v>FALSE</v>
          </cell>
        </row>
        <row r="26">
          <cell r="C26">
            <v>42370.449259259258</v>
          </cell>
          <cell r="D26" t="str">
            <v>Medium</v>
          </cell>
          <cell r="E26" t="str">
            <v>Large</v>
          </cell>
          <cell r="G26" t="b">
            <v>1</v>
          </cell>
          <cell r="J26">
            <v>42370.456087962964</v>
          </cell>
          <cell r="L26">
            <v>9.8333333374466747</v>
          </cell>
          <cell r="S26" t="str">
            <v>TRUE</v>
          </cell>
        </row>
        <row r="27">
          <cell r="C27">
            <v>42370.481805555559</v>
          </cell>
          <cell r="D27" t="str">
            <v>Small</v>
          </cell>
          <cell r="E27" t="str">
            <v>Large</v>
          </cell>
          <cell r="G27" t="b">
            <v>0</v>
          </cell>
          <cell r="J27">
            <v>42370.483865740738</v>
          </cell>
          <cell r="L27">
            <v>2.9666666581761092</v>
          </cell>
          <cell r="S27" t="str">
            <v>TRUE</v>
          </cell>
        </row>
        <row r="28">
          <cell r="C28">
            <v>42371.533263888887</v>
          </cell>
          <cell r="D28" t="str">
            <v>Small</v>
          </cell>
          <cell r="E28" t="str">
            <v>Medium</v>
          </cell>
          <cell r="G28" t="b">
            <v>1</v>
          </cell>
          <cell r="J28">
            <v>42371.545798611114</v>
          </cell>
          <cell r="L28">
            <v>18.050000007497147</v>
          </cell>
          <cell r="S28" t="str">
            <v>FALSE</v>
          </cell>
        </row>
        <row r="29">
          <cell r="C29">
            <v>42371.518564814818</v>
          </cell>
          <cell r="D29" t="str">
            <v>Small</v>
          </cell>
          <cell r="G29" t="b">
            <v>0</v>
          </cell>
          <cell r="J29">
            <v>42371.520648148151</v>
          </cell>
          <cell r="L29">
            <v>2.9999999993015081</v>
          </cell>
          <cell r="S29" t="str">
            <v>TRUE</v>
          </cell>
        </row>
        <row r="30">
          <cell r="C30">
            <v>42371.468923611108</v>
          </cell>
          <cell r="D30" t="str">
            <v>Large</v>
          </cell>
          <cell r="G30" t="b">
            <v>0</v>
          </cell>
          <cell r="J30">
            <v>42371.470995370371</v>
          </cell>
          <cell r="L30">
            <v>2.9833333392161876</v>
          </cell>
          <cell r="S30" t="str">
            <v>TRUE</v>
          </cell>
        </row>
        <row r="31">
          <cell r="C31">
            <v>42371.55940972222</v>
          </cell>
          <cell r="D31" t="str">
            <v>Medium</v>
          </cell>
          <cell r="G31" t="b">
            <v>1</v>
          </cell>
          <cell r="J31">
            <v>42371.569780092592</v>
          </cell>
          <cell r="L31">
            <v>14.933333335211501</v>
          </cell>
          <cell r="S31" t="str">
            <v>TRUE</v>
          </cell>
        </row>
        <row r="32">
          <cell r="C32">
            <v>42371.523240740738</v>
          </cell>
          <cell r="D32" t="str">
            <v>Large</v>
          </cell>
          <cell r="G32" t="b">
            <v>0</v>
          </cell>
          <cell r="J32">
            <v>42371.525289351855</v>
          </cell>
          <cell r="L32">
            <v>2.9500000085681677</v>
          </cell>
          <cell r="S32" t="str">
            <v>TRUE</v>
          </cell>
        </row>
        <row r="33">
          <cell r="C33">
            <v>42371.533900462964</v>
          </cell>
          <cell r="D33" t="str">
            <v>Medium</v>
          </cell>
          <cell r="G33" t="b">
            <v>1</v>
          </cell>
          <cell r="J33">
            <v>42371.540405092594</v>
          </cell>
          <cell r="L33">
            <v>9.3666666664648801</v>
          </cell>
          <cell r="S33" t="str">
            <v>TRUE</v>
          </cell>
        </row>
        <row r="34">
          <cell r="C34">
            <v>42371.441643518519</v>
          </cell>
          <cell r="D34" t="str">
            <v>Large</v>
          </cell>
          <cell r="G34" t="b">
            <v>0</v>
          </cell>
          <cell r="J34">
            <v>42371.443715277775</v>
          </cell>
          <cell r="L34">
            <v>2.9833333287388086</v>
          </cell>
          <cell r="S34" t="str">
            <v>TRUE</v>
          </cell>
        </row>
        <row r="35">
          <cell r="C35">
            <v>42371.476712962962</v>
          </cell>
          <cell r="D35" t="str">
            <v>Small</v>
          </cell>
          <cell r="E35" t="str">
            <v>Medium</v>
          </cell>
          <cell r="G35" t="b">
            <v>1</v>
          </cell>
          <cell r="J35">
            <v>42371.485972222225</v>
          </cell>
          <cell r="L35">
            <v>13.333333338377997</v>
          </cell>
          <cell r="S35" t="str">
            <v>TRUE</v>
          </cell>
        </row>
        <row r="36">
          <cell r="C36">
            <v>42371.547766203701</v>
          </cell>
          <cell r="D36" t="str">
            <v>Medium</v>
          </cell>
          <cell r="G36" t="b">
            <v>0</v>
          </cell>
          <cell r="J36">
            <v>42371.549837962964</v>
          </cell>
          <cell r="L36">
            <v>2.9833333392161876</v>
          </cell>
          <cell r="S36" t="str">
            <v>TRUE</v>
          </cell>
        </row>
        <row r="37">
          <cell r="C37">
            <v>42371.490023148152</v>
          </cell>
          <cell r="D37" t="str">
            <v>Large</v>
          </cell>
          <cell r="G37" t="b">
            <v>1</v>
          </cell>
          <cell r="J37">
            <v>42371.50372685185</v>
          </cell>
          <cell r="L37">
            <v>19.73333332571201</v>
          </cell>
          <cell r="S37" t="str">
            <v>FALSE</v>
          </cell>
        </row>
        <row r="38">
          <cell r="C38">
            <v>42371.550370370373</v>
          </cell>
          <cell r="D38" t="str">
            <v>Small</v>
          </cell>
          <cell r="G38" t="b">
            <v>1</v>
          </cell>
          <cell r="J38">
            <v>42371.558217592596</v>
          </cell>
          <cell r="L38">
            <v>11.300000001210719</v>
          </cell>
          <cell r="S38" t="str">
            <v>TRUE</v>
          </cell>
        </row>
        <row r="39">
          <cell r="C39">
            <v>42371.476666666669</v>
          </cell>
          <cell r="D39" t="str">
            <v>Medium</v>
          </cell>
          <cell r="G39" t="b">
            <v>1</v>
          </cell>
          <cell r="J39">
            <v>42371.490057870367</v>
          </cell>
          <cell r="L39">
            <v>19.283333325292915</v>
          </cell>
          <cell r="S39" t="str">
            <v>FALSE</v>
          </cell>
        </row>
        <row r="40">
          <cell r="C40">
            <v>42371.524664351855</v>
          </cell>
          <cell r="D40" t="str">
            <v>Large</v>
          </cell>
          <cell r="G40" t="b">
            <v>1</v>
          </cell>
          <cell r="J40">
            <v>42371.532905092594</v>
          </cell>
          <cell r="L40">
            <v>11.866666664136574</v>
          </cell>
          <cell r="S40" t="str">
            <v>TRUE</v>
          </cell>
        </row>
        <row r="41">
          <cell r="C41">
            <v>42371.482511574075</v>
          </cell>
          <cell r="D41" t="str">
            <v>Small</v>
          </cell>
          <cell r="E41" t="str">
            <v>Large</v>
          </cell>
          <cell r="G41" t="b">
            <v>1</v>
          </cell>
          <cell r="J41">
            <v>42371.492303240739</v>
          </cell>
          <cell r="L41">
            <v>14.09999999566935</v>
          </cell>
          <cell r="S41" t="str">
            <v>TRUE</v>
          </cell>
        </row>
        <row r="42">
          <cell r="C42">
            <v>42371.477060185185</v>
          </cell>
          <cell r="D42" t="str">
            <v>Medium</v>
          </cell>
          <cell r="G42" t="b">
            <v>1</v>
          </cell>
          <cell r="J42">
            <v>42371.488252314812</v>
          </cell>
          <cell r="L42">
            <v>16.116666662273929</v>
          </cell>
          <cell r="S42" t="str">
            <v>FALSE</v>
          </cell>
        </row>
        <row r="43">
          <cell r="C43">
            <v>42371.552025462966</v>
          </cell>
          <cell r="D43" t="str">
            <v>Small</v>
          </cell>
          <cell r="G43" t="b">
            <v>1</v>
          </cell>
          <cell r="J43">
            <v>42371.558391203704</v>
          </cell>
          <cell r="L43">
            <v>9.1666666616220027</v>
          </cell>
          <cell r="S43" t="str">
            <v>TRUE</v>
          </cell>
        </row>
        <row r="44">
          <cell r="C44">
            <v>42371.478807870371</v>
          </cell>
          <cell r="D44" t="str">
            <v>Small</v>
          </cell>
          <cell r="E44" t="str">
            <v>Medium</v>
          </cell>
          <cell r="G44" t="b">
            <v>1</v>
          </cell>
          <cell r="J44">
            <v>42371.48642361111</v>
          </cell>
          <cell r="L44">
            <v>10.966666663298383</v>
          </cell>
          <cell r="S44" t="str">
            <v>TRUE</v>
          </cell>
        </row>
        <row r="45">
          <cell r="C45">
            <v>42371.484432870369</v>
          </cell>
          <cell r="D45" t="str">
            <v>Medium</v>
          </cell>
          <cell r="G45" t="b">
            <v>1</v>
          </cell>
          <cell r="J45">
            <v>42371.491493055553</v>
          </cell>
          <cell r="L45">
            <v>10.166666664881632</v>
          </cell>
          <cell r="S45" t="str">
            <v>TRUE</v>
          </cell>
        </row>
        <row r="46">
          <cell r="C46">
            <v>42371.499930555554</v>
          </cell>
          <cell r="D46" t="str">
            <v>Large</v>
          </cell>
          <cell r="G46" t="b">
            <v>1</v>
          </cell>
          <cell r="J46">
            <v>42371.511053240742</v>
          </cell>
          <cell r="L46">
            <v>16.016666670329869</v>
          </cell>
          <cell r="S46" t="str">
            <v>FALSE</v>
          </cell>
        </row>
        <row r="47">
          <cell r="C47">
            <v>42371.469571759262</v>
          </cell>
          <cell r="D47" t="str">
            <v>Large</v>
          </cell>
          <cell r="G47" t="b">
            <v>0</v>
          </cell>
          <cell r="J47">
            <v>42371.471655092595</v>
          </cell>
          <cell r="L47">
            <v>2.9999999993015081</v>
          </cell>
          <cell r="S47" t="str">
            <v>TRUE</v>
          </cell>
        </row>
        <row r="48">
          <cell r="C48">
            <v>42371.538981481484</v>
          </cell>
          <cell r="D48" t="str">
            <v>Large</v>
          </cell>
          <cell r="G48" t="b">
            <v>0</v>
          </cell>
          <cell r="J48">
            <v>42371.541041666664</v>
          </cell>
          <cell r="L48">
            <v>2.9666666581761092</v>
          </cell>
          <cell r="S48" t="str">
            <v>TRUE</v>
          </cell>
        </row>
        <row r="49">
          <cell r="C49">
            <v>42371.476712962962</v>
          </cell>
          <cell r="D49" t="str">
            <v>Medium</v>
          </cell>
          <cell r="G49" t="b">
            <v>1</v>
          </cell>
          <cell r="J49">
            <v>42371.486180555556</v>
          </cell>
          <cell r="L49">
            <v>13.633333335164934</v>
          </cell>
          <cell r="S49" t="str">
            <v>TRUE</v>
          </cell>
        </row>
        <row r="50">
          <cell r="C50">
            <v>42371.590810185182</v>
          </cell>
          <cell r="D50" t="str">
            <v>Medium</v>
          </cell>
          <cell r="G50" t="b">
            <v>0</v>
          </cell>
          <cell r="J50">
            <v>42371.592881944445</v>
          </cell>
          <cell r="L50">
            <v>2.9833333392161876</v>
          </cell>
          <cell r="S50" t="str">
            <v>TRUE</v>
          </cell>
        </row>
        <row r="51">
          <cell r="C51">
            <v>42371.582025462965</v>
          </cell>
          <cell r="D51" t="str">
            <v>Medium</v>
          </cell>
          <cell r="G51" t="b">
            <v>1</v>
          </cell>
          <cell r="J51">
            <v>42371.59238425926</v>
          </cell>
          <cell r="L51">
            <v>14.916666664648801</v>
          </cell>
          <cell r="S51" t="str">
            <v>TRUE</v>
          </cell>
        </row>
        <row r="52">
          <cell r="C52">
            <v>42371.479409722226</v>
          </cell>
          <cell r="D52" t="str">
            <v>Medium</v>
          </cell>
          <cell r="E52" t="str">
            <v>Large</v>
          </cell>
          <cell r="G52" t="b">
            <v>1</v>
          </cell>
          <cell r="J52">
            <v>42371.490416666667</v>
          </cell>
          <cell r="L52">
            <v>15.849999996135011</v>
          </cell>
          <cell r="S52" t="str">
            <v>TRUE</v>
          </cell>
        </row>
        <row r="53">
          <cell r="C53">
            <v>42371.51353009259</v>
          </cell>
          <cell r="D53" t="str">
            <v>Large</v>
          </cell>
          <cell r="G53" t="b">
            <v>1</v>
          </cell>
          <cell r="J53">
            <v>42371.527731481481</v>
          </cell>
          <cell r="L53">
            <v>20.450000002747402</v>
          </cell>
          <cell r="S53" t="str">
            <v>FALSE</v>
          </cell>
        </row>
        <row r="54">
          <cell r="C54">
            <v>42371.447013888886</v>
          </cell>
          <cell r="D54" t="str">
            <v>Small</v>
          </cell>
          <cell r="E54" t="str">
            <v>Medium</v>
          </cell>
          <cell r="G54" t="b">
            <v>0</v>
          </cell>
          <cell r="J54">
            <v>42371.449108796296</v>
          </cell>
          <cell r="L54">
            <v>3.0166666698642075</v>
          </cell>
          <cell r="S54" t="str">
            <v>TRUE</v>
          </cell>
        </row>
        <row r="55">
          <cell r="C55">
            <v>42371.492534722223</v>
          </cell>
          <cell r="D55" t="str">
            <v>Large</v>
          </cell>
          <cell r="G55" t="b">
            <v>1</v>
          </cell>
          <cell r="J55">
            <v>42371.502638888887</v>
          </cell>
          <cell r="L55">
            <v>14.549999996088445</v>
          </cell>
          <cell r="S55" t="str">
            <v>TRUE</v>
          </cell>
        </row>
        <row r="56">
          <cell r="C56">
            <v>42371.505833333336</v>
          </cell>
          <cell r="D56" t="str">
            <v>Medium</v>
          </cell>
          <cell r="G56" t="b">
            <v>1</v>
          </cell>
          <cell r="J56">
            <v>42371.509687500002</v>
          </cell>
          <cell r="L56">
            <v>5.549999998183921</v>
          </cell>
          <cell r="S56" t="str">
            <v>TRUE</v>
          </cell>
        </row>
        <row r="57">
          <cell r="C57">
            <v>42371.53361111111</v>
          </cell>
          <cell r="D57" t="str">
            <v>Large</v>
          </cell>
          <cell r="G57" t="b">
            <v>0</v>
          </cell>
          <cell r="J57">
            <v>42371.535682870373</v>
          </cell>
          <cell r="L57">
            <v>2.9833333392161876</v>
          </cell>
          <cell r="S57" t="str">
            <v>TRUE</v>
          </cell>
        </row>
        <row r="58">
          <cell r="C58">
            <v>42371.526273148149</v>
          </cell>
          <cell r="D58" t="str">
            <v>Small</v>
          </cell>
          <cell r="E58" t="str">
            <v>Medium</v>
          </cell>
          <cell r="G58" t="b">
            <v>0</v>
          </cell>
          <cell r="J58">
            <v>42371.528344907405</v>
          </cell>
          <cell r="L58">
            <v>2.9833333287388086</v>
          </cell>
          <cell r="S58" t="str">
            <v>TRUE</v>
          </cell>
        </row>
        <row r="59">
          <cell r="C59">
            <v>42371.487256944441</v>
          </cell>
          <cell r="D59" t="str">
            <v>Large</v>
          </cell>
          <cell r="G59" t="b">
            <v>0</v>
          </cell>
          <cell r="J59">
            <v>42371.489340277774</v>
          </cell>
          <cell r="L59">
            <v>2.9999999993015081</v>
          </cell>
          <cell r="S59" t="str">
            <v>TRUE</v>
          </cell>
        </row>
        <row r="60">
          <cell r="C60">
            <v>42371.481747685182</v>
          </cell>
          <cell r="D60" t="str">
            <v>Small</v>
          </cell>
          <cell r="E60" t="str">
            <v>Medium</v>
          </cell>
          <cell r="G60" t="b">
            <v>1</v>
          </cell>
          <cell r="J60">
            <v>42371.492662037039</v>
          </cell>
          <cell r="L60">
            <v>15.716666673542932</v>
          </cell>
          <cell r="S60" t="str">
            <v>TRUE</v>
          </cell>
        </row>
        <row r="61">
          <cell r="C61">
            <v>42371.468518518515</v>
          </cell>
          <cell r="D61" t="str">
            <v>Medium</v>
          </cell>
          <cell r="G61" t="b">
            <v>1</v>
          </cell>
          <cell r="J61">
            <v>42371.479490740741</v>
          </cell>
          <cell r="L61">
            <v>15.800000005401671</v>
          </cell>
          <cell r="S61" t="str">
            <v>TRUE</v>
          </cell>
        </row>
        <row r="62">
          <cell r="C62">
            <v>42371.499513888892</v>
          </cell>
          <cell r="D62" t="str">
            <v>Small</v>
          </cell>
          <cell r="G62" t="b">
            <v>0</v>
          </cell>
          <cell r="J62">
            <v>42371.501585648148</v>
          </cell>
          <cell r="L62">
            <v>2.9833333287388086</v>
          </cell>
          <cell r="S62" t="str">
            <v>TRUE</v>
          </cell>
        </row>
        <row r="63">
          <cell r="C63">
            <v>42371.549039351848</v>
          </cell>
          <cell r="D63" t="str">
            <v>Medium</v>
          </cell>
          <cell r="G63" t="b">
            <v>1</v>
          </cell>
          <cell r="J63">
            <v>42371.556018518517</v>
          </cell>
          <cell r="L63">
            <v>10.050000002374873</v>
          </cell>
          <cell r="S63" t="str">
            <v>TRUE</v>
          </cell>
        </row>
        <row r="64">
          <cell r="C64">
            <v>42371.502870370372</v>
          </cell>
          <cell r="D64" t="str">
            <v>Small</v>
          </cell>
          <cell r="E64" t="str">
            <v>Medium</v>
          </cell>
          <cell r="G64" t="b">
            <v>1</v>
          </cell>
          <cell r="J64">
            <v>42371.520150462966</v>
          </cell>
          <cell r="L64">
            <v>24.883333335164934</v>
          </cell>
          <cell r="S64" t="str">
            <v>FALSE</v>
          </cell>
        </row>
        <row r="65">
          <cell r="C65">
            <v>42371.443298611113</v>
          </cell>
          <cell r="D65" t="str">
            <v>Large</v>
          </cell>
          <cell r="G65" t="b">
            <v>1</v>
          </cell>
          <cell r="J65">
            <v>42371.458692129629</v>
          </cell>
          <cell r="L65">
            <v>22.166666662087664</v>
          </cell>
          <cell r="S65" t="str">
            <v>FALSE</v>
          </cell>
        </row>
        <row r="66">
          <cell r="C66">
            <v>42371.532453703701</v>
          </cell>
          <cell r="D66" t="str">
            <v>Small</v>
          </cell>
          <cell r="E66" t="str">
            <v>Medium</v>
          </cell>
          <cell r="G66" t="b">
            <v>0</v>
          </cell>
          <cell r="J66">
            <v>42371.534537037034</v>
          </cell>
          <cell r="L66">
            <v>2.9999999993015081</v>
          </cell>
          <cell r="S66" t="str">
            <v>TRUE</v>
          </cell>
        </row>
        <row r="67">
          <cell r="C67">
            <v>42371.619270833333</v>
          </cell>
          <cell r="D67" t="str">
            <v>Large</v>
          </cell>
          <cell r="G67" t="b">
            <v>0</v>
          </cell>
          <cell r="J67">
            <v>42371.621354166666</v>
          </cell>
          <cell r="L67">
            <v>2.9999999993015081</v>
          </cell>
          <cell r="S67" t="str">
            <v>TRUE</v>
          </cell>
        </row>
        <row r="68">
          <cell r="C68">
            <v>42371.560069444444</v>
          </cell>
          <cell r="D68" t="str">
            <v>Large</v>
          </cell>
          <cell r="G68" t="b">
            <v>0</v>
          </cell>
          <cell r="J68">
            <v>42371.562141203707</v>
          </cell>
          <cell r="L68">
            <v>2.9833333392161876</v>
          </cell>
          <cell r="S68" t="str">
            <v>TRUE</v>
          </cell>
        </row>
        <row r="69">
          <cell r="C69">
            <v>42371.587719907409</v>
          </cell>
          <cell r="D69" t="str">
            <v>Small</v>
          </cell>
          <cell r="E69" t="str">
            <v>Medium</v>
          </cell>
          <cell r="G69" t="b">
            <v>1</v>
          </cell>
          <cell r="J69">
            <v>42371.602187500001</v>
          </cell>
          <cell r="L69">
            <v>20.833333331393078</v>
          </cell>
          <cell r="S69" t="str">
            <v>FALSE</v>
          </cell>
        </row>
        <row r="70">
          <cell r="C70">
            <v>42371.471828703703</v>
          </cell>
          <cell r="D70" t="str">
            <v>Large</v>
          </cell>
          <cell r="G70" t="b">
            <v>1</v>
          </cell>
          <cell r="J70">
            <v>42371.485590277778</v>
          </cell>
          <cell r="L70">
            <v>19.816666668048128</v>
          </cell>
          <cell r="S70" t="str">
            <v>FALSE</v>
          </cell>
        </row>
        <row r="71">
          <cell r="C71">
            <v>42371.449814814812</v>
          </cell>
          <cell r="D71" t="str">
            <v>Small</v>
          </cell>
          <cell r="E71" t="str">
            <v>Medium</v>
          </cell>
          <cell r="G71" t="b">
            <v>0</v>
          </cell>
          <cell r="J71">
            <v>42371.451874999999</v>
          </cell>
          <cell r="L71">
            <v>2.9666666686534882</v>
          </cell>
          <cell r="S71" t="str">
            <v>TRUE</v>
          </cell>
        </row>
        <row r="72">
          <cell r="C72">
            <v>42371.535590277781</v>
          </cell>
          <cell r="D72" t="str">
            <v>Medium</v>
          </cell>
          <cell r="E72" t="str">
            <v>Large</v>
          </cell>
          <cell r="G72" t="b">
            <v>0</v>
          </cell>
          <cell r="J72">
            <v>42371.53765046296</v>
          </cell>
          <cell r="L72">
            <v>2.9666666581761092</v>
          </cell>
          <cell r="S72" t="str">
            <v>TRUE</v>
          </cell>
        </row>
        <row r="73">
          <cell r="C73">
            <v>42371.530659722222</v>
          </cell>
          <cell r="D73" t="str">
            <v>Small</v>
          </cell>
          <cell r="E73" t="str">
            <v>Medium</v>
          </cell>
          <cell r="G73" t="b">
            <v>0</v>
          </cell>
          <cell r="J73">
            <v>42371.532719907409</v>
          </cell>
          <cell r="L73">
            <v>2.9666666686534882</v>
          </cell>
          <cell r="S73" t="str">
            <v>TRUE</v>
          </cell>
        </row>
        <row r="74">
          <cell r="C74">
            <v>42371.520775462966</v>
          </cell>
          <cell r="D74" t="str">
            <v>Small</v>
          </cell>
          <cell r="G74" t="b">
            <v>0</v>
          </cell>
          <cell r="J74">
            <v>42371.522858796299</v>
          </cell>
          <cell r="L74">
            <v>2.9999999993015081</v>
          </cell>
          <cell r="S74" t="str">
            <v>TRUE</v>
          </cell>
        </row>
        <row r="75">
          <cell r="C75">
            <v>42371.517974537041</v>
          </cell>
          <cell r="D75" t="str">
            <v>Large</v>
          </cell>
          <cell r="G75" t="b">
            <v>1</v>
          </cell>
          <cell r="J75">
            <v>42371.536307870374</v>
          </cell>
          <cell r="L75">
            <v>26.400000000139698</v>
          </cell>
          <cell r="S75" t="str">
            <v>FALSE</v>
          </cell>
        </row>
        <row r="76">
          <cell r="C76">
            <v>42371.443298611113</v>
          </cell>
          <cell r="D76" t="str">
            <v>Large</v>
          </cell>
          <cell r="G76" t="b">
            <v>0</v>
          </cell>
          <cell r="J76">
            <v>42371.445370370369</v>
          </cell>
          <cell r="L76">
            <v>2.9833333287388086</v>
          </cell>
          <cell r="S76" t="str">
            <v>TRUE</v>
          </cell>
        </row>
        <row r="77">
          <cell r="C77">
            <v>42371.527384259258</v>
          </cell>
          <cell r="D77" t="str">
            <v>Large</v>
          </cell>
          <cell r="G77" t="b">
            <v>0</v>
          </cell>
          <cell r="J77">
            <v>42371.529456018521</v>
          </cell>
          <cell r="L77">
            <v>2.9833333392161876</v>
          </cell>
          <cell r="S77" t="str">
            <v>TRUE</v>
          </cell>
        </row>
        <row r="78">
          <cell r="C78">
            <v>42371.488854166666</v>
          </cell>
          <cell r="D78" t="str">
            <v>Small</v>
          </cell>
          <cell r="G78" t="b">
            <v>1</v>
          </cell>
          <cell r="J78">
            <v>42371.500115740739</v>
          </cell>
          <cell r="L78">
            <v>16.216666664695367</v>
          </cell>
          <cell r="S78" t="str">
            <v>FALSE</v>
          </cell>
        </row>
        <row r="79">
          <cell r="C79">
            <v>42371.450578703705</v>
          </cell>
          <cell r="D79" t="str">
            <v>Medium</v>
          </cell>
          <cell r="G79" t="b">
            <v>1</v>
          </cell>
          <cell r="J79">
            <v>42371.463391203702</v>
          </cell>
          <cell r="L79">
            <v>18.449999996228144</v>
          </cell>
          <cell r="S79" t="str">
            <v>FALSE</v>
          </cell>
        </row>
        <row r="80">
          <cell r="C80">
            <v>42371.525949074072</v>
          </cell>
          <cell r="D80" t="str">
            <v>Small</v>
          </cell>
          <cell r="G80" t="b">
            <v>1</v>
          </cell>
          <cell r="J80">
            <v>42371.540567129632</v>
          </cell>
          <cell r="L80">
            <v>21.050000006798655</v>
          </cell>
          <cell r="S80" t="str">
            <v>FALSE</v>
          </cell>
        </row>
        <row r="81">
          <cell r="C81">
            <v>42371.597685185188</v>
          </cell>
          <cell r="D81" t="str">
            <v>Large</v>
          </cell>
          <cell r="G81" t="b">
            <v>0</v>
          </cell>
          <cell r="J81">
            <v>42371.599768518521</v>
          </cell>
          <cell r="L81">
            <v>2.9999999993015081</v>
          </cell>
          <cell r="S81" t="str">
            <v>TRUE</v>
          </cell>
        </row>
        <row r="82">
          <cell r="C82">
            <v>42371.480370370373</v>
          </cell>
          <cell r="D82" t="str">
            <v>Small</v>
          </cell>
          <cell r="E82" t="str">
            <v>Large</v>
          </cell>
          <cell r="G82" t="b">
            <v>1</v>
          </cell>
          <cell r="J82">
            <v>42371.490752314814</v>
          </cell>
          <cell r="L82">
            <v>14.949999995296821</v>
          </cell>
          <cell r="S82" t="str">
            <v>TRUE</v>
          </cell>
        </row>
        <row r="83">
          <cell r="C83">
            <v>42371.49962962963</v>
          </cell>
          <cell r="D83" t="str">
            <v>Small</v>
          </cell>
          <cell r="E83" t="str">
            <v>Large</v>
          </cell>
          <cell r="G83" t="b">
            <v>1</v>
          </cell>
          <cell r="J83">
            <v>42371.505393518521</v>
          </cell>
          <cell r="L83">
            <v>8.3000000019092113</v>
          </cell>
          <cell r="S83" t="str">
            <v>TRUE</v>
          </cell>
        </row>
        <row r="84">
          <cell r="C84">
            <v>42371.488599537035</v>
          </cell>
          <cell r="D84" t="str">
            <v>Small</v>
          </cell>
          <cell r="G84" t="b">
            <v>1</v>
          </cell>
          <cell r="J84">
            <v>42371.501145833332</v>
          </cell>
          <cell r="L84">
            <v>18.066666667582467</v>
          </cell>
          <cell r="S84" t="str">
            <v>FALSE</v>
          </cell>
        </row>
        <row r="85">
          <cell r="C85">
            <v>42371.497581018521</v>
          </cell>
          <cell r="D85" t="str">
            <v>Large</v>
          </cell>
          <cell r="G85" t="b">
            <v>0</v>
          </cell>
          <cell r="J85">
            <v>42371.499652777777</v>
          </cell>
          <cell r="L85">
            <v>2.9833333287388086</v>
          </cell>
          <cell r="S85" t="str">
            <v>TRUE</v>
          </cell>
        </row>
        <row r="86">
          <cell r="C86">
            <v>42371.510752314818</v>
          </cell>
          <cell r="D86" t="str">
            <v>Medium</v>
          </cell>
          <cell r="G86" t="b">
            <v>0</v>
          </cell>
          <cell r="J86">
            <v>42371.51284722222</v>
          </cell>
          <cell r="L86">
            <v>3.0166666593868285</v>
          </cell>
          <cell r="S86" t="str">
            <v>TRUE</v>
          </cell>
        </row>
        <row r="87">
          <cell r="C87">
            <v>42371.534884259258</v>
          </cell>
          <cell r="D87" t="str">
            <v>Small</v>
          </cell>
          <cell r="G87" t="b">
            <v>1</v>
          </cell>
          <cell r="J87">
            <v>42371.540555555555</v>
          </cell>
          <cell r="L87">
            <v>8.1666666688397527</v>
          </cell>
          <cell r="S87" t="str">
            <v>TRUE</v>
          </cell>
        </row>
        <row r="88">
          <cell r="C88">
            <v>42371.45144675926</v>
          </cell>
          <cell r="D88" t="str">
            <v>Small</v>
          </cell>
          <cell r="G88" t="b">
            <v>0</v>
          </cell>
          <cell r="J88">
            <v>42371.453530092593</v>
          </cell>
          <cell r="L88">
            <v>2.9999999993015081</v>
          </cell>
          <cell r="S88" t="str">
            <v>TRUE</v>
          </cell>
        </row>
        <row r="89">
          <cell r="C89">
            <v>42371.527442129627</v>
          </cell>
          <cell r="D89" t="str">
            <v>Large</v>
          </cell>
          <cell r="G89" t="b">
            <v>1</v>
          </cell>
          <cell r="J89">
            <v>42371.536504629628</v>
          </cell>
          <cell r="L89">
            <v>13.050000001676381</v>
          </cell>
          <cell r="S89" t="str">
            <v>TRUE</v>
          </cell>
        </row>
        <row r="90">
          <cell r="C90">
            <v>42371.545902777776</v>
          </cell>
          <cell r="D90" t="str">
            <v>Large</v>
          </cell>
          <cell r="G90" t="b">
            <v>0</v>
          </cell>
          <cell r="J90">
            <v>42371.547974537039</v>
          </cell>
          <cell r="L90">
            <v>2.9833333392161876</v>
          </cell>
          <cell r="S90" t="str">
            <v>TRUE</v>
          </cell>
        </row>
        <row r="91">
          <cell r="C91">
            <v>42371.533043981479</v>
          </cell>
          <cell r="D91" t="str">
            <v>Large</v>
          </cell>
          <cell r="G91" t="b">
            <v>1</v>
          </cell>
          <cell r="J91">
            <v>42371.546238425923</v>
          </cell>
          <cell r="L91">
            <v>18.999999999068677</v>
          </cell>
          <cell r="S91" t="str">
            <v>FALSE</v>
          </cell>
        </row>
        <row r="92">
          <cell r="C92">
            <v>42371.539930555555</v>
          </cell>
          <cell r="D92" t="str">
            <v>Medium</v>
          </cell>
          <cell r="G92" t="b">
            <v>0</v>
          </cell>
          <cell r="J92">
            <v>42371.541990740741</v>
          </cell>
          <cell r="L92">
            <v>2.9666666686534882</v>
          </cell>
          <cell r="S92" t="str">
            <v>TRUE</v>
          </cell>
        </row>
        <row r="93">
          <cell r="C93">
            <v>42371.531412037039</v>
          </cell>
          <cell r="D93" t="str">
            <v>Medium</v>
          </cell>
          <cell r="G93" t="b">
            <v>0</v>
          </cell>
          <cell r="J93">
            <v>42371.533506944441</v>
          </cell>
          <cell r="L93">
            <v>3.0166666593868285</v>
          </cell>
          <cell r="S93" t="str">
            <v>TRUE</v>
          </cell>
        </row>
        <row r="94">
          <cell r="C94">
            <v>42371.530694444446</v>
          </cell>
          <cell r="D94" t="str">
            <v>Small</v>
          </cell>
          <cell r="E94" t="str">
            <v>Large</v>
          </cell>
          <cell r="G94" t="b">
            <v>1</v>
          </cell>
          <cell r="J94">
            <v>42371.537442129629</v>
          </cell>
          <cell r="L94">
            <v>9.7166666644625366</v>
          </cell>
          <cell r="S94" t="str">
            <v>TRUE</v>
          </cell>
        </row>
        <row r="95">
          <cell r="C95">
            <v>42371.515659722223</v>
          </cell>
          <cell r="D95" t="str">
            <v>Medium</v>
          </cell>
          <cell r="E95" t="str">
            <v>Large</v>
          </cell>
          <cell r="G95" t="b">
            <v>1</v>
          </cell>
          <cell r="J95">
            <v>42371.530590277776</v>
          </cell>
          <cell r="L95">
            <v>21.499999996740371</v>
          </cell>
          <cell r="S95" t="str">
            <v>FALSE</v>
          </cell>
        </row>
        <row r="96">
          <cell r="C96">
            <v>42371.516296296293</v>
          </cell>
          <cell r="D96" t="str">
            <v>Large</v>
          </cell>
          <cell r="G96" t="b">
            <v>1</v>
          </cell>
          <cell r="J96">
            <v>42371.52071759259</v>
          </cell>
          <cell r="L96">
            <v>6.366666667163372</v>
          </cell>
          <cell r="S96" t="str">
            <v>TRUE</v>
          </cell>
        </row>
        <row r="97">
          <cell r="C97">
            <v>42371.445763888885</v>
          </cell>
          <cell r="D97" t="str">
            <v>Small</v>
          </cell>
          <cell r="E97" t="str">
            <v>Medium</v>
          </cell>
          <cell r="G97" t="b">
            <v>0</v>
          </cell>
          <cell r="J97">
            <v>42371.447847222225</v>
          </cell>
          <cell r="L97">
            <v>3.000000009778887</v>
          </cell>
          <cell r="S97" t="str">
            <v>TRUE</v>
          </cell>
        </row>
        <row r="98">
          <cell r="C98">
            <v>42371.581932870373</v>
          </cell>
          <cell r="D98" t="str">
            <v>Small</v>
          </cell>
          <cell r="G98" t="b">
            <v>1</v>
          </cell>
          <cell r="J98">
            <v>42371.588703703703</v>
          </cell>
          <cell r="L98">
            <v>9.7499999951105565</v>
          </cell>
          <cell r="S98" t="str">
            <v>TRUE</v>
          </cell>
        </row>
        <row r="99">
          <cell r="C99">
            <v>42371.551550925928</v>
          </cell>
          <cell r="D99" t="str">
            <v>Small</v>
          </cell>
          <cell r="E99" t="str">
            <v>Large</v>
          </cell>
          <cell r="G99" t="b">
            <v>1</v>
          </cell>
          <cell r="J99">
            <v>42371.556793981479</v>
          </cell>
          <cell r="L99">
            <v>7.5499999942258</v>
          </cell>
          <cell r="S99" t="str">
            <v>TRUE</v>
          </cell>
        </row>
        <row r="100">
          <cell r="C100">
            <v>42371.474733796298</v>
          </cell>
          <cell r="D100" t="str">
            <v>Medium</v>
          </cell>
          <cell r="G100" t="b">
            <v>0</v>
          </cell>
          <cell r="J100">
            <v>42371.476817129631</v>
          </cell>
          <cell r="L100">
            <v>2.9999999993015081</v>
          </cell>
          <cell r="S100" t="str">
            <v>TRUE</v>
          </cell>
        </row>
        <row r="101">
          <cell r="C101">
            <v>42371.574328703704</v>
          </cell>
          <cell r="D101" t="str">
            <v>Small</v>
          </cell>
          <cell r="E101" t="str">
            <v>Large</v>
          </cell>
          <cell r="G101" t="b">
            <v>1</v>
          </cell>
          <cell r="J101">
            <v>42371.583703703705</v>
          </cell>
          <cell r="L101">
            <v>13.500000002095476</v>
          </cell>
          <cell r="S101" t="str">
            <v>TRUE</v>
          </cell>
        </row>
        <row r="102">
          <cell r="C102">
            <v>42371.519016203703</v>
          </cell>
          <cell r="D102" t="str">
            <v>Medium</v>
          </cell>
          <cell r="G102" t="b">
            <v>0</v>
          </cell>
          <cell r="J102">
            <v>42371.521122685182</v>
          </cell>
          <cell r="L102">
            <v>3.033333329949528</v>
          </cell>
          <cell r="S102" t="str">
            <v>TRUE</v>
          </cell>
        </row>
        <row r="103">
          <cell r="C103">
            <v>42371.542604166665</v>
          </cell>
          <cell r="D103" t="str">
            <v>Small</v>
          </cell>
          <cell r="G103" t="b">
            <v>0</v>
          </cell>
          <cell r="J103">
            <v>42371.544699074075</v>
          </cell>
          <cell r="L103">
            <v>3.0166666698642075</v>
          </cell>
          <cell r="S103" t="str">
            <v>TRUE</v>
          </cell>
        </row>
        <row r="104">
          <cell r="C104">
            <v>42371.571412037039</v>
          </cell>
          <cell r="D104" t="str">
            <v>Large</v>
          </cell>
          <cell r="G104" t="b">
            <v>0</v>
          </cell>
          <cell r="J104">
            <v>42371.573483796295</v>
          </cell>
          <cell r="L104">
            <v>2.9833333287388086</v>
          </cell>
          <cell r="S104" t="str">
            <v>TRUE</v>
          </cell>
        </row>
        <row r="105">
          <cell r="C105">
            <v>42371.51153935185</v>
          </cell>
          <cell r="D105" t="str">
            <v>Large</v>
          </cell>
          <cell r="G105" t="b">
            <v>0</v>
          </cell>
          <cell r="J105">
            <v>42371.513622685183</v>
          </cell>
          <cell r="L105">
            <v>2.9999999993015081</v>
          </cell>
          <cell r="S105" t="str">
            <v>TRUE</v>
          </cell>
        </row>
        <row r="106">
          <cell r="C106">
            <v>42371.52815972222</v>
          </cell>
          <cell r="D106" t="str">
            <v>Medium</v>
          </cell>
          <cell r="E106" t="str">
            <v>Large</v>
          </cell>
          <cell r="G106" t="b">
            <v>1</v>
          </cell>
          <cell r="J106">
            <v>42371.535150462965</v>
          </cell>
          <cell r="L106">
            <v>10.066666672937572</v>
          </cell>
          <cell r="S106" t="str">
            <v>TRUE</v>
          </cell>
        </row>
        <row r="107">
          <cell r="C107">
            <v>42371.565694444442</v>
          </cell>
          <cell r="D107" t="str">
            <v>Medium</v>
          </cell>
          <cell r="G107" t="b">
            <v>1</v>
          </cell>
          <cell r="J107">
            <v>42371.582453703704</v>
          </cell>
          <cell r="L107">
            <v>24.133333337958902</v>
          </cell>
          <cell r="S107" t="str">
            <v>FALSE</v>
          </cell>
        </row>
        <row r="108">
          <cell r="C108">
            <v>42371.529513888891</v>
          </cell>
          <cell r="D108" t="str">
            <v>Small</v>
          </cell>
          <cell r="E108" t="str">
            <v>Medium</v>
          </cell>
          <cell r="G108" t="b">
            <v>0</v>
          </cell>
          <cell r="J108">
            <v>42371.531585648147</v>
          </cell>
          <cell r="L108">
            <v>2.9833333287388086</v>
          </cell>
          <cell r="S108" t="str">
            <v>TRUE</v>
          </cell>
        </row>
        <row r="109">
          <cell r="C109">
            <v>42371.520694444444</v>
          </cell>
          <cell r="D109" t="str">
            <v>Large</v>
          </cell>
          <cell r="G109" t="b">
            <v>1</v>
          </cell>
          <cell r="J109">
            <v>42371.530451388891</v>
          </cell>
          <cell r="L109">
            <v>14.05000000493601</v>
          </cell>
          <cell r="S109" t="str">
            <v>TRUE</v>
          </cell>
        </row>
        <row r="110">
          <cell r="C110">
            <v>42371.496030092596</v>
          </cell>
          <cell r="D110" t="str">
            <v>Medium</v>
          </cell>
          <cell r="G110" t="b">
            <v>1</v>
          </cell>
          <cell r="J110">
            <v>42371.503599537034</v>
          </cell>
          <cell r="L110">
            <v>10.899999991524965</v>
          </cell>
          <cell r="S110" t="str">
            <v>TRUE</v>
          </cell>
        </row>
        <row r="111">
          <cell r="C111">
            <v>42371.553171296298</v>
          </cell>
          <cell r="D111" t="str">
            <v>Large</v>
          </cell>
          <cell r="G111" t="b">
            <v>0</v>
          </cell>
          <cell r="J111">
            <v>42371.555243055554</v>
          </cell>
          <cell r="L111">
            <v>2.9833333287388086</v>
          </cell>
          <cell r="S111" t="str">
            <v>TRUE</v>
          </cell>
        </row>
        <row r="112">
          <cell r="C112">
            <v>42371.526782407411</v>
          </cell>
          <cell r="D112" t="str">
            <v>Small</v>
          </cell>
          <cell r="G112" t="b">
            <v>0</v>
          </cell>
          <cell r="J112">
            <v>42371.528865740744</v>
          </cell>
          <cell r="L112">
            <v>2.9999999993015081</v>
          </cell>
          <cell r="S112" t="str">
            <v>TRUE</v>
          </cell>
        </row>
        <row r="113">
          <cell r="C113">
            <v>42371.632951388892</v>
          </cell>
          <cell r="D113" t="str">
            <v>Medium</v>
          </cell>
          <cell r="G113" t="b">
            <v>0</v>
          </cell>
          <cell r="J113">
            <v>42371.635046296295</v>
          </cell>
          <cell r="L113">
            <v>3.0166666593868285</v>
          </cell>
          <cell r="S113" t="str">
            <v>TRUE</v>
          </cell>
        </row>
        <row r="114">
          <cell r="C114">
            <v>42371.534733796296</v>
          </cell>
          <cell r="D114" t="str">
            <v>Small</v>
          </cell>
          <cell r="E114" t="str">
            <v>Medium</v>
          </cell>
          <cell r="F114" t="str">
            <v>Large</v>
          </cell>
          <cell r="G114" t="b">
            <v>0</v>
          </cell>
          <cell r="J114">
            <v>42371.536793981482</v>
          </cell>
          <cell r="L114">
            <v>2.9666666686534882</v>
          </cell>
          <cell r="S114" t="str">
            <v>TRUE</v>
          </cell>
        </row>
        <row r="115">
          <cell r="C115">
            <v>42371.440833333334</v>
          </cell>
          <cell r="D115" t="str">
            <v>Medium</v>
          </cell>
          <cell r="E115" t="str">
            <v>Large</v>
          </cell>
          <cell r="G115" t="b">
            <v>0</v>
          </cell>
          <cell r="J115">
            <v>42371.442939814813</v>
          </cell>
          <cell r="L115">
            <v>3.033333329949528</v>
          </cell>
          <cell r="S115" t="str">
            <v>TRUE</v>
          </cell>
        </row>
        <row r="116">
          <cell r="C116">
            <v>42371.60796296296</v>
          </cell>
          <cell r="D116" t="str">
            <v>Small</v>
          </cell>
          <cell r="E116" t="str">
            <v>Large</v>
          </cell>
          <cell r="G116" t="b">
            <v>0</v>
          </cell>
          <cell r="J116">
            <v>42371.610034722224</v>
          </cell>
          <cell r="L116">
            <v>2.9833333392161876</v>
          </cell>
          <cell r="S116" t="str">
            <v>TRUE</v>
          </cell>
        </row>
        <row r="117">
          <cell r="C117">
            <v>42371.56795138889</v>
          </cell>
          <cell r="D117" t="str">
            <v>Medium</v>
          </cell>
          <cell r="G117" t="b">
            <v>1</v>
          </cell>
          <cell r="J117">
            <v>42371.580659722225</v>
          </cell>
          <cell r="L117">
            <v>18.300000003073364</v>
          </cell>
          <cell r="S117" t="str">
            <v>FALSE</v>
          </cell>
        </row>
        <row r="118">
          <cell r="C118">
            <v>42371.473819444444</v>
          </cell>
          <cell r="D118" t="str">
            <v>Large</v>
          </cell>
          <cell r="G118" t="b">
            <v>0</v>
          </cell>
          <cell r="J118">
            <v>42371.475914351853</v>
          </cell>
          <cell r="L118">
            <v>3.0166666698642075</v>
          </cell>
          <cell r="S118" t="str">
            <v>TRUE</v>
          </cell>
        </row>
        <row r="119">
          <cell r="C119">
            <v>42371.502418981479</v>
          </cell>
          <cell r="D119" t="str">
            <v>Small</v>
          </cell>
          <cell r="E119" t="str">
            <v>Medium</v>
          </cell>
          <cell r="G119" t="b">
            <v>1</v>
          </cell>
          <cell r="J119">
            <v>42371.510682870372</v>
          </cell>
          <cell r="L119">
            <v>11.900000005261973</v>
          </cell>
          <cell r="S119" t="str">
            <v>TRUE</v>
          </cell>
        </row>
        <row r="120">
          <cell r="C120">
            <v>42371.485590277778</v>
          </cell>
          <cell r="D120" t="str">
            <v>Medium</v>
          </cell>
          <cell r="G120" t="b">
            <v>0</v>
          </cell>
          <cell r="J120">
            <v>42371.487673611111</v>
          </cell>
          <cell r="L120">
            <v>2.9999999993015081</v>
          </cell>
          <cell r="S120" t="str">
            <v>TRUE</v>
          </cell>
        </row>
        <row r="121">
          <cell r="C121">
            <v>42371.545486111114</v>
          </cell>
          <cell r="D121" t="str">
            <v>Small</v>
          </cell>
          <cell r="G121" t="b">
            <v>0</v>
          </cell>
          <cell r="J121">
            <v>42371.547546296293</v>
          </cell>
          <cell r="L121">
            <v>2.9666666581761092</v>
          </cell>
          <cell r="S121" t="str">
            <v>TRUE</v>
          </cell>
        </row>
        <row r="122">
          <cell r="C122">
            <v>42371.493402777778</v>
          </cell>
          <cell r="D122" t="str">
            <v>Small</v>
          </cell>
          <cell r="E122" t="str">
            <v>Large</v>
          </cell>
          <cell r="G122" t="b">
            <v>0</v>
          </cell>
          <cell r="J122">
            <v>42371.495486111111</v>
          </cell>
          <cell r="L122">
            <v>2.9999999993015081</v>
          </cell>
          <cell r="S122" t="str">
            <v>TRUE</v>
          </cell>
        </row>
        <row r="123">
          <cell r="C123">
            <v>42371.530810185184</v>
          </cell>
          <cell r="D123" t="str">
            <v>Large</v>
          </cell>
          <cell r="G123" t="b">
            <v>0</v>
          </cell>
          <cell r="J123">
            <v>42371.532893518517</v>
          </cell>
          <cell r="L123">
            <v>2.9999999993015081</v>
          </cell>
          <cell r="S123" t="str">
            <v>TRUE</v>
          </cell>
        </row>
        <row r="124">
          <cell r="C124">
            <v>42371.548506944448</v>
          </cell>
          <cell r="D124" t="str">
            <v>Small</v>
          </cell>
          <cell r="G124" t="b">
            <v>0</v>
          </cell>
          <cell r="J124">
            <v>42371.55059027778</v>
          </cell>
          <cell r="L124">
            <v>2.9999999993015081</v>
          </cell>
          <cell r="S124" t="str">
            <v>TRUE</v>
          </cell>
        </row>
        <row r="125">
          <cell r="C125">
            <v>42371.536793981482</v>
          </cell>
          <cell r="D125" t="str">
            <v>Medium</v>
          </cell>
          <cell r="G125" t="b">
            <v>0</v>
          </cell>
          <cell r="J125">
            <v>42371.538865740738</v>
          </cell>
          <cell r="L125">
            <v>2.9833333287388086</v>
          </cell>
          <cell r="S125" t="str">
            <v>TRUE</v>
          </cell>
        </row>
        <row r="126">
          <cell r="C126">
            <v>42371.464050925926</v>
          </cell>
          <cell r="D126" t="str">
            <v>Small</v>
          </cell>
          <cell r="G126" t="b">
            <v>1</v>
          </cell>
          <cell r="J126">
            <v>42371.472870370373</v>
          </cell>
          <cell r="L126">
            <v>12.700000003678724</v>
          </cell>
          <cell r="S126" t="str">
            <v>TRUE</v>
          </cell>
        </row>
        <row r="127">
          <cell r="C127">
            <v>42371.529421296298</v>
          </cell>
          <cell r="D127" t="str">
            <v>Small</v>
          </cell>
          <cell r="G127" t="b">
            <v>0</v>
          </cell>
          <cell r="J127">
            <v>42371.531481481485</v>
          </cell>
          <cell r="L127">
            <v>2.9666666686534882</v>
          </cell>
          <cell r="S127" t="str">
            <v>TRUE</v>
          </cell>
        </row>
        <row r="128">
          <cell r="C128">
            <v>42371.535821759258</v>
          </cell>
          <cell r="D128" t="str">
            <v>Small</v>
          </cell>
          <cell r="E128" t="str">
            <v>Medium</v>
          </cell>
          <cell r="G128" t="b">
            <v>0</v>
          </cell>
          <cell r="J128">
            <v>42371.537905092591</v>
          </cell>
          <cell r="L128">
            <v>2.9999999993015081</v>
          </cell>
          <cell r="S128" t="str">
            <v>TRUE</v>
          </cell>
        </row>
        <row r="129">
          <cell r="C129">
            <v>42371.510034722225</v>
          </cell>
          <cell r="D129" t="str">
            <v>Small</v>
          </cell>
          <cell r="E129" t="str">
            <v>Large</v>
          </cell>
          <cell r="G129" t="b">
            <v>0</v>
          </cell>
          <cell r="J129">
            <v>42371.512118055558</v>
          </cell>
          <cell r="L129">
            <v>2.9999999993015081</v>
          </cell>
          <cell r="S129" t="str">
            <v>TRUE</v>
          </cell>
        </row>
        <row r="130">
          <cell r="C130">
            <v>42371.496770833335</v>
          </cell>
          <cell r="D130" t="str">
            <v>Medium</v>
          </cell>
          <cell r="G130" t="b">
            <v>0</v>
          </cell>
          <cell r="J130">
            <v>42371.498842592591</v>
          </cell>
          <cell r="L130">
            <v>2.9833333287388086</v>
          </cell>
          <cell r="S130" t="str">
            <v>TRUE</v>
          </cell>
        </row>
        <row r="131">
          <cell r="C131">
            <v>42371.606168981481</v>
          </cell>
          <cell r="D131" t="str">
            <v>Medium</v>
          </cell>
          <cell r="G131" t="b">
            <v>0</v>
          </cell>
          <cell r="J131">
            <v>42371.608240740738</v>
          </cell>
          <cell r="L131">
            <v>2.9833333287388086</v>
          </cell>
          <cell r="S131" t="str">
            <v>TRUE</v>
          </cell>
        </row>
        <row r="132">
          <cell r="C132">
            <v>42371.469988425924</v>
          </cell>
          <cell r="D132" t="str">
            <v>Large</v>
          </cell>
          <cell r="G132" t="b">
            <v>0</v>
          </cell>
          <cell r="J132">
            <v>42371.472083333334</v>
          </cell>
          <cell r="L132">
            <v>3.0166666698642075</v>
          </cell>
          <cell r="S132" t="str">
            <v>TRUE</v>
          </cell>
        </row>
        <row r="133">
          <cell r="C133">
            <v>42371.440636574072</v>
          </cell>
          <cell r="D133" t="str">
            <v>Small</v>
          </cell>
          <cell r="E133" t="str">
            <v>Medium</v>
          </cell>
          <cell r="G133" t="b">
            <v>1</v>
          </cell>
          <cell r="J133">
            <v>42371.455868055556</v>
          </cell>
          <cell r="L133">
            <v>21.933333337074146</v>
          </cell>
          <cell r="S133" t="str">
            <v>FALSE</v>
          </cell>
        </row>
        <row r="134">
          <cell r="C134">
            <v>42372.530046296299</v>
          </cell>
          <cell r="D134" t="str">
            <v>Small</v>
          </cell>
          <cell r="E134" t="str">
            <v>Large</v>
          </cell>
          <cell r="G134" t="b">
            <v>0</v>
          </cell>
          <cell r="J134">
            <v>42372.532118055555</v>
          </cell>
          <cell r="L134">
            <v>2.9833333287388086</v>
          </cell>
          <cell r="S134" t="str">
            <v>TRUE</v>
          </cell>
        </row>
        <row r="135">
          <cell r="C135">
            <v>42372.453298611108</v>
          </cell>
          <cell r="D135" t="str">
            <v>Small</v>
          </cell>
          <cell r="E135" t="str">
            <v>Large</v>
          </cell>
          <cell r="G135" t="b">
            <v>1</v>
          </cell>
          <cell r="J135">
            <v>42372.462164351855</v>
          </cell>
          <cell r="L135">
            <v>12.766666675452143</v>
          </cell>
          <cell r="S135" t="str">
            <v>TRUE</v>
          </cell>
        </row>
        <row r="136">
          <cell r="C136">
            <v>42372.522719907407</v>
          </cell>
          <cell r="D136" t="str">
            <v>Medium</v>
          </cell>
          <cell r="G136" t="b">
            <v>0</v>
          </cell>
          <cell r="J136">
            <v>42372.52480324074</v>
          </cell>
          <cell r="L136">
            <v>2.9999999993015081</v>
          </cell>
          <cell r="S136" t="str">
            <v>TRUE</v>
          </cell>
        </row>
        <row r="137">
          <cell r="C137">
            <v>42372.538275462961</v>
          </cell>
          <cell r="D137" t="str">
            <v>Small</v>
          </cell>
          <cell r="G137" t="b">
            <v>1</v>
          </cell>
          <cell r="J137">
            <v>42372.548854166664</v>
          </cell>
          <cell r="L137">
            <v>15.233333331998438</v>
          </cell>
          <cell r="S137" t="str">
            <v>TRUE</v>
          </cell>
        </row>
        <row r="138">
          <cell r="C138">
            <v>42372.529652777775</v>
          </cell>
          <cell r="D138" t="str">
            <v>Small</v>
          </cell>
          <cell r="E138" t="str">
            <v>Large</v>
          </cell>
          <cell r="G138" t="b">
            <v>0</v>
          </cell>
          <cell r="J138">
            <v>42372.531747685185</v>
          </cell>
          <cell r="L138">
            <v>3.0166666698642075</v>
          </cell>
          <cell r="S138" t="str">
            <v>TRUE</v>
          </cell>
        </row>
        <row r="139">
          <cell r="C139">
            <v>42372.622210648151</v>
          </cell>
          <cell r="D139" t="str">
            <v>Small</v>
          </cell>
          <cell r="E139" t="str">
            <v>Medium</v>
          </cell>
          <cell r="G139" t="b">
            <v>1</v>
          </cell>
          <cell r="J139">
            <v>42372.629421296297</v>
          </cell>
          <cell r="L139">
            <v>10.38333332980983</v>
          </cell>
          <cell r="S139" t="str">
            <v>TRUE</v>
          </cell>
        </row>
        <row r="140">
          <cell r="C140">
            <v>42372.478842592594</v>
          </cell>
          <cell r="D140" t="str">
            <v>Small</v>
          </cell>
          <cell r="E140" t="str">
            <v>Medium</v>
          </cell>
          <cell r="G140" t="b">
            <v>0</v>
          </cell>
          <cell r="J140">
            <v>42372.480902777781</v>
          </cell>
          <cell r="L140">
            <v>2.9666666686534882</v>
          </cell>
          <cell r="S140" t="str">
            <v>TRUE</v>
          </cell>
        </row>
        <row r="141">
          <cell r="C141">
            <v>42372.593287037038</v>
          </cell>
          <cell r="D141" t="str">
            <v>Small</v>
          </cell>
          <cell r="E141" t="str">
            <v>Large</v>
          </cell>
          <cell r="G141" t="b">
            <v>0</v>
          </cell>
          <cell r="J141">
            <v>42372.595358796294</v>
          </cell>
          <cell r="L141">
            <v>2.9833333287388086</v>
          </cell>
          <cell r="S141" t="str">
            <v>TRUE</v>
          </cell>
        </row>
        <row r="142">
          <cell r="C142">
            <v>42372.475462962961</v>
          </cell>
          <cell r="D142" t="str">
            <v>Small</v>
          </cell>
          <cell r="E142" t="str">
            <v>Large</v>
          </cell>
          <cell r="G142" t="b">
            <v>0</v>
          </cell>
          <cell r="J142">
            <v>42372.477534722224</v>
          </cell>
          <cell r="L142">
            <v>2.9833333392161876</v>
          </cell>
          <cell r="S142" t="str">
            <v>TRUE</v>
          </cell>
        </row>
        <row r="143">
          <cell r="C143">
            <v>42372.462731481479</v>
          </cell>
          <cell r="D143" t="str">
            <v>Medium</v>
          </cell>
          <cell r="G143" t="b">
            <v>1</v>
          </cell>
          <cell r="J143">
            <v>42372.474050925928</v>
          </cell>
          <cell r="L143">
            <v>16.300000007031485</v>
          </cell>
          <cell r="S143" t="str">
            <v>FALSE</v>
          </cell>
        </row>
        <row r="144">
          <cell r="C144">
            <v>42372.478645833333</v>
          </cell>
          <cell r="D144" t="str">
            <v>Small</v>
          </cell>
          <cell r="E144" t="str">
            <v>Large</v>
          </cell>
          <cell r="G144" t="b">
            <v>0</v>
          </cell>
          <cell r="J144">
            <v>42372.480717592596</v>
          </cell>
          <cell r="L144">
            <v>2.9833333392161876</v>
          </cell>
          <cell r="S144" t="str">
            <v>TRUE</v>
          </cell>
        </row>
        <row r="145">
          <cell r="C145">
            <v>42372.488113425927</v>
          </cell>
          <cell r="D145" t="str">
            <v>Large</v>
          </cell>
          <cell r="G145" t="b">
            <v>0</v>
          </cell>
          <cell r="J145">
            <v>42372.49019675926</v>
          </cell>
          <cell r="L145">
            <v>2.9999999993015081</v>
          </cell>
          <cell r="S145" t="str">
            <v>TRUE</v>
          </cell>
        </row>
        <row r="146">
          <cell r="C146">
            <v>42372.555150462962</v>
          </cell>
          <cell r="D146" t="str">
            <v>Medium</v>
          </cell>
          <cell r="G146" t="b">
            <v>0</v>
          </cell>
          <cell r="J146">
            <v>42372.557256944441</v>
          </cell>
          <cell r="L146">
            <v>3.033333329949528</v>
          </cell>
          <cell r="S146" t="str">
            <v>TRUE</v>
          </cell>
        </row>
        <row r="147">
          <cell r="C147">
            <v>42372.433854166666</v>
          </cell>
          <cell r="D147" t="str">
            <v>Small</v>
          </cell>
          <cell r="E147" t="str">
            <v>Medium</v>
          </cell>
          <cell r="G147" t="b">
            <v>1</v>
          </cell>
          <cell r="J147">
            <v>42372.446550925924</v>
          </cell>
          <cell r="L147">
            <v>18.283333332510665</v>
          </cell>
          <cell r="S147" t="str">
            <v>FALSE</v>
          </cell>
        </row>
        <row r="148">
          <cell r="C148">
            <v>42372.584479166668</v>
          </cell>
          <cell r="D148" t="str">
            <v>Medium</v>
          </cell>
          <cell r="G148" t="b">
            <v>0</v>
          </cell>
          <cell r="J148">
            <v>42372.586562500001</v>
          </cell>
          <cell r="L148">
            <v>2.9999999993015081</v>
          </cell>
          <cell r="S148" t="str">
            <v>TRUE</v>
          </cell>
        </row>
        <row r="149">
          <cell r="C149">
            <v>42372.536817129629</v>
          </cell>
          <cell r="D149" t="str">
            <v>Small</v>
          </cell>
          <cell r="E149" t="str">
            <v>Large</v>
          </cell>
          <cell r="G149" t="b">
            <v>0</v>
          </cell>
          <cell r="J149">
            <v>42372.538912037038</v>
          </cell>
          <cell r="L149">
            <v>3.0166666698642075</v>
          </cell>
          <cell r="S149" t="str">
            <v>TRUE</v>
          </cell>
        </row>
        <row r="150">
          <cell r="C150">
            <v>42372.482881944445</v>
          </cell>
          <cell r="D150" t="str">
            <v>Small</v>
          </cell>
          <cell r="E150" t="str">
            <v>Medium</v>
          </cell>
          <cell r="G150" t="b">
            <v>0</v>
          </cell>
          <cell r="J150">
            <v>42372.484953703701</v>
          </cell>
          <cell r="L150">
            <v>2.9833333287388086</v>
          </cell>
          <cell r="S150" t="str">
            <v>TRUE</v>
          </cell>
        </row>
        <row r="151">
          <cell r="C151">
            <v>42372.488159722219</v>
          </cell>
          <cell r="D151" t="str">
            <v>Medium</v>
          </cell>
          <cell r="G151" t="b">
            <v>1</v>
          </cell>
          <cell r="J151">
            <v>42372.505358796298</v>
          </cell>
          <cell r="L151">
            <v>24.766666672658175</v>
          </cell>
          <cell r="S151" t="str">
            <v>FALSE</v>
          </cell>
        </row>
        <row r="152">
          <cell r="C152">
            <v>42372.524837962963</v>
          </cell>
          <cell r="D152" t="str">
            <v>Large</v>
          </cell>
          <cell r="G152" t="b">
            <v>1</v>
          </cell>
          <cell r="J152">
            <v>42372.536099537036</v>
          </cell>
          <cell r="L152">
            <v>16.216666664695367</v>
          </cell>
          <cell r="S152" t="str">
            <v>FALSE</v>
          </cell>
        </row>
        <row r="153">
          <cell r="C153">
            <v>42372.495949074073</v>
          </cell>
          <cell r="D153" t="str">
            <v>Large</v>
          </cell>
          <cell r="G153" t="b">
            <v>0</v>
          </cell>
          <cell r="J153">
            <v>42372.498020833336</v>
          </cell>
          <cell r="L153">
            <v>2.9833333392161876</v>
          </cell>
          <cell r="S153" t="str">
            <v>TRUE</v>
          </cell>
        </row>
        <row r="154">
          <cell r="C154">
            <v>42372.448981481481</v>
          </cell>
          <cell r="D154" t="str">
            <v>Small</v>
          </cell>
          <cell r="E154" t="str">
            <v>Large</v>
          </cell>
          <cell r="G154" t="b">
            <v>1</v>
          </cell>
          <cell r="J154">
            <v>42372.462754629632</v>
          </cell>
          <cell r="L154">
            <v>19.833333338610828</v>
          </cell>
          <cell r="S154" t="str">
            <v>FALSE</v>
          </cell>
        </row>
        <row r="155">
          <cell r="C155">
            <v>42372.475370370368</v>
          </cell>
          <cell r="D155" t="str">
            <v>Medium</v>
          </cell>
          <cell r="G155" t="b">
            <v>0</v>
          </cell>
          <cell r="J155">
            <v>42372.477465277778</v>
          </cell>
          <cell r="L155">
            <v>3.0166666698642075</v>
          </cell>
          <cell r="S155" t="str">
            <v>TRUE</v>
          </cell>
        </row>
        <row r="156">
          <cell r="C156">
            <v>42372.452650462961</v>
          </cell>
          <cell r="D156" t="str">
            <v>Medium</v>
          </cell>
          <cell r="G156" t="b">
            <v>0</v>
          </cell>
          <cell r="J156">
            <v>42372.454710648148</v>
          </cell>
          <cell r="L156">
            <v>2.9666666686534882</v>
          </cell>
          <cell r="S156" t="str">
            <v>TRUE</v>
          </cell>
        </row>
        <row r="157">
          <cell r="C157">
            <v>42372.552384259259</v>
          </cell>
          <cell r="D157" t="str">
            <v>Small</v>
          </cell>
          <cell r="G157" t="b">
            <v>1</v>
          </cell>
          <cell r="J157">
            <v>42372.5621875</v>
          </cell>
          <cell r="L157">
            <v>14.116666666232049</v>
          </cell>
          <cell r="S157" t="str">
            <v>TRUE</v>
          </cell>
        </row>
        <row r="158">
          <cell r="C158">
            <v>42372.444710648146</v>
          </cell>
          <cell r="D158" t="str">
            <v>Medium</v>
          </cell>
          <cell r="G158" t="b">
            <v>1</v>
          </cell>
          <cell r="J158">
            <v>42372.45716435185</v>
          </cell>
          <cell r="L158">
            <v>17.933333334513009</v>
          </cell>
          <cell r="S158" t="str">
            <v>FALSE</v>
          </cell>
        </row>
        <row r="159">
          <cell r="C159">
            <v>42372.495937500003</v>
          </cell>
          <cell r="D159" t="str">
            <v>Large</v>
          </cell>
          <cell r="G159" t="b">
            <v>0</v>
          </cell>
          <cell r="J159">
            <v>42372.498020833336</v>
          </cell>
          <cell r="L159">
            <v>2.9999999993015081</v>
          </cell>
          <cell r="S159" t="str">
            <v>TRUE</v>
          </cell>
        </row>
        <row r="160">
          <cell r="C160">
            <v>42372.551006944443</v>
          </cell>
          <cell r="D160" t="str">
            <v>Large</v>
          </cell>
          <cell r="G160" t="b">
            <v>1</v>
          </cell>
          <cell r="J160">
            <v>42372.561828703707</v>
          </cell>
          <cell r="L160">
            <v>15.583333340473473</v>
          </cell>
          <cell r="S160" t="str">
            <v>TRUE</v>
          </cell>
        </row>
        <row r="161">
          <cell r="C161">
            <v>42372.433506944442</v>
          </cell>
          <cell r="D161" t="str">
            <v>Large</v>
          </cell>
          <cell r="G161" t="b">
            <v>0</v>
          </cell>
          <cell r="J161">
            <v>42372.435578703706</v>
          </cell>
          <cell r="L161">
            <v>2.9833333392161876</v>
          </cell>
          <cell r="S161" t="str">
            <v>TRUE</v>
          </cell>
        </row>
        <row r="162">
          <cell r="C162">
            <v>42372.472754629627</v>
          </cell>
          <cell r="D162" t="str">
            <v>Medium</v>
          </cell>
          <cell r="G162" t="b">
            <v>0</v>
          </cell>
          <cell r="J162">
            <v>42372.474849537037</v>
          </cell>
          <cell r="L162">
            <v>3.0166666698642075</v>
          </cell>
          <cell r="S162" t="str">
            <v>TRUE</v>
          </cell>
        </row>
        <row r="163">
          <cell r="C163">
            <v>42372.485648148147</v>
          </cell>
          <cell r="D163" t="str">
            <v>Medium</v>
          </cell>
          <cell r="G163" t="b">
            <v>0</v>
          </cell>
          <cell r="J163">
            <v>42372.48773148148</v>
          </cell>
          <cell r="L163">
            <v>2.9999999993015081</v>
          </cell>
          <cell r="S163" t="str">
            <v>TRUE</v>
          </cell>
        </row>
        <row r="164">
          <cell r="C164">
            <v>42372.486261574071</v>
          </cell>
          <cell r="D164" t="str">
            <v>Small</v>
          </cell>
          <cell r="E164" t="str">
            <v>Medium</v>
          </cell>
          <cell r="G164" t="b">
            <v>0</v>
          </cell>
          <cell r="J164">
            <v>42372.488333333335</v>
          </cell>
          <cell r="L164">
            <v>2.9833333392161876</v>
          </cell>
          <cell r="S164" t="str">
            <v>TRUE</v>
          </cell>
        </row>
        <row r="165">
          <cell r="C165">
            <v>42372.455347222225</v>
          </cell>
          <cell r="D165" t="str">
            <v>Small</v>
          </cell>
          <cell r="G165" t="b">
            <v>1</v>
          </cell>
          <cell r="J165">
            <v>42372.464097222219</v>
          </cell>
          <cell r="L165">
            <v>12.599999990779907</v>
          </cell>
          <cell r="S165" t="str">
            <v>TRUE</v>
          </cell>
        </row>
        <row r="166">
          <cell r="C166">
            <v>42372.436365740738</v>
          </cell>
          <cell r="D166" t="str">
            <v>Large</v>
          </cell>
          <cell r="G166" t="b">
            <v>1</v>
          </cell>
          <cell r="J166">
            <v>42372.447060185186</v>
          </cell>
          <cell r="L166">
            <v>15.400000006193295</v>
          </cell>
          <cell r="S166" t="str">
            <v>TRUE</v>
          </cell>
        </row>
        <row r="167">
          <cell r="C167">
            <v>42372.519733796296</v>
          </cell>
          <cell r="D167" t="str">
            <v>Large</v>
          </cell>
          <cell r="G167" t="b">
            <v>1</v>
          </cell>
          <cell r="J167">
            <v>42372.534317129626</v>
          </cell>
          <cell r="L167">
            <v>20.999999995110556</v>
          </cell>
          <cell r="S167" t="str">
            <v>FALSE</v>
          </cell>
        </row>
        <row r="168">
          <cell r="C168">
            <v>42372.498298611114</v>
          </cell>
          <cell r="D168" t="str">
            <v>Large</v>
          </cell>
          <cell r="G168" t="b">
            <v>0</v>
          </cell>
          <cell r="J168">
            <v>42372.50037037037</v>
          </cell>
          <cell r="L168">
            <v>2.9833333287388086</v>
          </cell>
          <cell r="S168" t="str">
            <v>TRUE</v>
          </cell>
        </row>
        <row r="169">
          <cell r="C169">
            <v>42372.441365740742</v>
          </cell>
          <cell r="D169" t="str">
            <v>Small</v>
          </cell>
          <cell r="G169" t="b">
            <v>0</v>
          </cell>
          <cell r="J169">
            <v>42372.443460648145</v>
          </cell>
          <cell r="L169">
            <v>3.0166666593868285</v>
          </cell>
          <cell r="S169" t="str">
            <v>TRUE</v>
          </cell>
        </row>
        <row r="170">
          <cell r="C170">
            <v>42372.488391203704</v>
          </cell>
          <cell r="D170" t="str">
            <v>Small</v>
          </cell>
          <cell r="E170" t="str">
            <v>Medium</v>
          </cell>
          <cell r="G170" t="b">
            <v>1</v>
          </cell>
          <cell r="J170">
            <v>42372.50068287037</v>
          </cell>
          <cell r="L170">
            <v>17.699999999022111</v>
          </cell>
          <cell r="S170" t="str">
            <v>FALSE</v>
          </cell>
        </row>
        <row r="171">
          <cell r="C171">
            <v>42372.54965277778</v>
          </cell>
          <cell r="D171" t="str">
            <v>Large</v>
          </cell>
          <cell r="G171" t="b">
            <v>0</v>
          </cell>
          <cell r="J171">
            <v>42372.551724537036</v>
          </cell>
          <cell r="L171">
            <v>2.9833333287388086</v>
          </cell>
          <cell r="S171" t="str">
            <v>TRUE</v>
          </cell>
        </row>
        <row r="172">
          <cell r="C172">
            <v>42372.502557870372</v>
          </cell>
          <cell r="D172" t="str">
            <v>Medium</v>
          </cell>
          <cell r="G172" t="b">
            <v>1</v>
          </cell>
          <cell r="J172">
            <v>42372.514768518522</v>
          </cell>
          <cell r="L172">
            <v>17.583333336515352</v>
          </cell>
          <cell r="S172" t="str">
            <v>FALSE</v>
          </cell>
        </row>
        <row r="173">
          <cell r="C173">
            <v>42372.471967592595</v>
          </cell>
          <cell r="D173" t="str">
            <v>Small</v>
          </cell>
          <cell r="G173" t="b">
            <v>0</v>
          </cell>
          <cell r="J173">
            <v>42372.474039351851</v>
          </cell>
          <cell r="L173">
            <v>2.9833333287388086</v>
          </cell>
          <cell r="S173" t="str">
            <v>TRUE</v>
          </cell>
        </row>
        <row r="174">
          <cell r="C174">
            <v>42372.506909722222</v>
          </cell>
          <cell r="D174" t="str">
            <v>Small</v>
          </cell>
          <cell r="E174" t="str">
            <v>Medium</v>
          </cell>
          <cell r="G174" t="b">
            <v>1</v>
          </cell>
          <cell r="J174">
            <v>42372.51630787037</v>
          </cell>
          <cell r="L174">
            <v>13.533333332743496</v>
          </cell>
          <cell r="S174" t="str">
            <v>TRUE</v>
          </cell>
        </row>
        <row r="175">
          <cell r="C175">
            <v>42372.544490740744</v>
          </cell>
          <cell r="D175" t="str">
            <v>Large</v>
          </cell>
          <cell r="G175" t="b">
            <v>0</v>
          </cell>
          <cell r="J175">
            <v>42372.546597222223</v>
          </cell>
          <cell r="L175">
            <v>3.033333329949528</v>
          </cell>
          <cell r="S175" t="str">
            <v>TRUE</v>
          </cell>
        </row>
        <row r="176">
          <cell r="C176">
            <v>42372.506782407407</v>
          </cell>
          <cell r="D176" t="str">
            <v>Small</v>
          </cell>
          <cell r="E176" t="str">
            <v>Medium</v>
          </cell>
          <cell r="G176" t="b">
            <v>0</v>
          </cell>
          <cell r="J176">
            <v>42372.50885416667</v>
          </cell>
          <cell r="L176">
            <v>2.9833333392161876</v>
          </cell>
          <cell r="S176" t="str">
            <v>TRUE</v>
          </cell>
        </row>
        <row r="177">
          <cell r="C177">
            <v>42372.539918981478</v>
          </cell>
          <cell r="D177" t="str">
            <v>Small</v>
          </cell>
          <cell r="G177" t="b">
            <v>0</v>
          </cell>
          <cell r="J177">
            <v>42372.542013888888</v>
          </cell>
          <cell r="L177">
            <v>3.0166666698642075</v>
          </cell>
          <cell r="S177" t="str">
            <v>TRUE</v>
          </cell>
        </row>
        <row r="178">
          <cell r="C178">
            <v>42372.573275462964</v>
          </cell>
          <cell r="D178" t="str">
            <v>Medium</v>
          </cell>
          <cell r="G178" t="b">
            <v>1</v>
          </cell>
          <cell r="J178">
            <v>42372.58766203704</v>
          </cell>
          <cell r="L178">
            <v>20.716666668886319</v>
          </cell>
          <cell r="S178" t="str">
            <v>FALSE</v>
          </cell>
        </row>
        <row r="179">
          <cell r="C179">
            <v>42372.464918981481</v>
          </cell>
          <cell r="D179" t="str">
            <v>Small</v>
          </cell>
          <cell r="G179" t="b">
            <v>1</v>
          </cell>
          <cell r="J179">
            <v>42372.482511574075</v>
          </cell>
          <cell r="L179">
            <v>25.33333333558403</v>
          </cell>
          <cell r="S179" t="str">
            <v>FALSE</v>
          </cell>
        </row>
        <row r="180">
          <cell r="C180">
            <v>42372.492812500001</v>
          </cell>
          <cell r="D180" t="str">
            <v>Small</v>
          </cell>
          <cell r="G180" t="b">
            <v>0</v>
          </cell>
          <cell r="J180">
            <v>42372.494895833333</v>
          </cell>
          <cell r="L180">
            <v>2.9999999993015081</v>
          </cell>
          <cell r="S180" t="str">
            <v>TRUE</v>
          </cell>
        </row>
        <row r="181">
          <cell r="C181">
            <v>42372.497337962966</v>
          </cell>
          <cell r="D181" t="str">
            <v>Medium</v>
          </cell>
          <cell r="G181" t="b">
            <v>0</v>
          </cell>
          <cell r="J181">
            <v>42372.499432870369</v>
          </cell>
          <cell r="L181">
            <v>3.0166666593868285</v>
          </cell>
          <cell r="S181" t="str">
            <v>TRUE</v>
          </cell>
        </row>
        <row r="182">
          <cell r="C182">
            <v>42372.567025462966</v>
          </cell>
          <cell r="D182" t="str">
            <v>Large</v>
          </cell>
          <cell r="G182" t="b">
            <v>0</v>
          </cell>
          <cell r="J182">
            <v>42372.569085648145</v>
          </cell>
          <cell r="L182">
            <v>2.9666666581761092</v>
          </cell>
          <cell r="S182" t="str">
            <v>TRUE</v>
          </cell>
        </row>
        <row r="183">
          <cell r="C183">
            <v>42372.497986111113</v>
          </cell>
          <cell r="D183" t="str">
            <v>Medium</v>
          </cell>
          <cell r="G183" t="b">
            <v>1</v>
          </cell>
          <cell r="J183">
            <v>42372.518020833333</v>
          </cell>
          <cell r="L183">
            <v>28.849999996600673</v>
          </cell>
          <cell r="S183" t="str">
            <v>FALSE</v>
          </cell>
        </row>
        <row r="184">
          <cell r="C184">
            <v>42372.54179398148</v>
          </cell>
          <cell r="D184" t="str">
            <v>Small</v>
          </cell>
          <cell r="E184" t="str">
            <v>Medium</v>
          </cell>
          <cell r="G184" t="b">
            <v>1</v>
          </cell>
          <cell r="J184">
            <v>42372.551747685182</v>
          </cell>
          <cell r="L184">
            <v>14.333333331160247</v>
          </cell>
          <cell r="S184" t="str">
            <v>TRUE</v>
          </cell>
        </row>
        <row r="185">
          <cell r="C185">
            <v>42372.488483796296</v>
          </cell>
          <cell r="D185" t="str">
            <v>Small</v>
          </cell>
          <cell r="E185" t="str">
            <v>Medium</v>
          </cell>
          <cell r="G185" t="b">
            <v>1</v>
          </cell>
          <cell r="J185">
            <v>42372.508981481478</v>
          </cell>
          <cell r="L185">
            <v>29.516666661947966</v>
          </cell>
          <cell r="S185" t="str">
            <v>FALSE</v>
          </cell>
        </row>
        <row r="186">
          <cell r="C186">
            <v>42372.548356481479</v>
          </cell>
          <cell r="D186" t="str">
            <v>Medium</v>
          </cell>
          <cell r="G186" t="b">
            <v>0</v>
          </cell>
          <cell r="J186">
            <v>42372.550439814811</v>
          </cell>
          <cell r="L186">
            <v>2.9999999993015081</v>
          </cell>
          <cell r="S186" t="str">
            <v>TRUE</v>
          </cell>
        </row>
        <row r="187">
          <cell r="C187">
            <v>42372.492858796293</v>
          </cell>
          <cell r="D187" t="str">
            <v>Medium</v>
          </cell>
          <cell r="G187" t="b">
            <v>0</v>
          </cell>
          <cell r="J187">
            <v>42372.494942129626</v>
          </cell>
          <cell r="L187">
            <v>2.9999999993015081</v>
          </cell>
          <cell r="S187" t="str">
            <v>TRUE</v>
          </cell>
        </row>
        <row r="188">
          <cell r="C188">
            <v>42372.480150462965</v>
          </cell>
          <cell r="D188" t="str">
            <v>Small</v>
          </cell>
          <cell r="E188" t="str">
            <v>Large</v>
          </cell>
          <cell r="G188" t="b">
            <v>0</v>
          </cell>
          <cell r="J188">
            <v>42372.482233796298</v>
          </cell>
          <cell r="L188">
            <v>2.9999999993015081</v>
          </cell>
          <cell r="S188" t="str">
            <v>TRUE</v>
          </cell>
        </row>
        <row r="189">
          <cell r="C189">
            <v>42372.532141203701</v>
          </cell>
          <cell r="D189" t="str">
            <v>Small</v>
          </cell>
          <cell r="E189" t="str">
            <v>Large</v>
          </cell>
          <cell r="G189" t="b">
            <v>1</v>
          </cell>
          <cell r="J189">
            <v>42372.543946759259</v>
          </cell>
          <cell r="L189">
            <v>17.000000003026798</v>
          </cell>
          <cell r="S189" t="str">
            <v>FALSE</v>
          </cell>
        </row>
        <row r="190">
          <cell r="C190">
            <v>42372.524004629631</v>
          </cell>
          <cell r="D190" t="str">
            <v>Medium</v>
          </cell>
          <cell r="G190" t="b">
            <v>1</v>
          </cell>
          <cell r="J190">
            <v>42372.528946759259</v>
          </cell>
          <cell r="L190">
            <v>7.1166666643694043</v>
          </cell>
          <cell r="S190" t="str">
            <v>TRUE</v>
          </cell>
        </row>
        <row r="191">
          <cell r="C191">
            <v>42372.485648148147</v>
          </cell>
          <cell r="D191" t="str">
            <v>Large</v>
          </cell>
          <cell r="G191" t="b">
            <v>0</v>
          </cell>
          <cell r="J191">
            <v>42372.487708333334</v>
          </cell>
          <cell r="L191">
            <v>2.9666666686534882</v>
          </cell>
          <cell r="S191" t="str">
            <v>TRUE</v>
          </cell>
        </row>
        <row r="192">
          <cell r="C192">
            <v>42372.457395833335</v>
          </cell>
          <cell r="D192" t="str">
            <v>Small</v>
          </cell>
          <cell r="G192" t="b">
            <v>0</v>
          </cell>
          <cell r="J192">
            <v>42372.459467592591</v>
          </cell>
          <cell r="L192">
            <v>2.9833333287388086</v>
          </cell>
          <cell r="S192" t="str">
            <v>TRUE</v>
          </cell>
        </row>
        <row r="193">
          <cell r="C193">
            <v>42372.530925925923</v>
          </cell>
          <cell r="D193" t="str">
            <v>Small</v>
          </cell>
          <cell r="E193" t="str">
            <v>Large</v>
          </cell>
          <cell r="G193" t="b">
            <v>1</v>
          </cell>
          <cell r="J193">
            <v>42372.54215277778</v>
          </cell>
          <cell r="L193">
            <v>16.166666673962027</v>
          </cell>
          <cell r="S193" t="str">
            <v>FALSE</v>
          </cell>
        </row>
        <row r="194">
          <cell r="C194">
            <v>42372.538657407407</v>
          </cell>
          <cell r="D194" t="str">
            <v>Medium</v>
          </cell>
          <cell r="G194" t="b">
            <v>0</v>
          </cell>
          <cell r="J194">
            <v>42372.540752314817</v>
          </cell>
          <cell r="L194">
            <v>3.0166666698642075</v>
          </cell>
          <cell r="S194" t="str">
            <v>TRUE</v>
          </cell>
        </row>
        <row r="195">
          <cell r="C195">
            <v>42372.441944444443</v>
          </cell>
          <cell r="D195" t="str">
            <v>Large</v>
          </cell>
          <cell r="G195" t="b">
            <v>1</v>
          </cell>
          <cell r="J195">
            <v>42372.447187500002</v>
          </cell>
          <cell r="L195">
            <v>7.550000004703179</v>
          </cell>
          <cell r="S195" t="str">
            <v>TRUE</v>
          </cell>
        </row>
        <row r="196">
          <cell r="C196">
            <v>42372.469988425924</v>
          </cell>
          <cell r="D196" t="str">
            <v>Small</v>
          </cell>
          <cell r="G196" t="b">
            <v>0</v>
          </cell>
          <cell r="J196">
            <v>42372.472048611111</v>
          </cell>
          <cell r="L196">
            <v>2.9666666686534882</v>
          </cell>
          <cell r="S196" t="str">
            <v>TRUE</v>
          </cell>
        </row>
        <row r="197">
          <cell r="C197">
            <v>42372.483182870368</v>
          </cell>
          <cell r="D197" t="str">
            <v>Medium</v>
          </cell>
          <cell r="G197" t="b">
            <v>0</v>
          </cell>
          <cell r="J197">
            <v>42372.485277777778</v>
          </cell>
          <cell r="L197">
            <v>3.0166666698642075</v>
          </cell>
          <cell r="S197" t="str">
            <v>TRUE</v>
          </cell>
        </row>
        <row r="198">
          <cell r="C198">
            <v>42372.485289351855</v>
          </cell>
          <cell r="D198" t="str">
            <v>Medium</v>
          </cell>
          <cell r="G198" t="b">
            <v>1</v>
          </cell>
          <cell r="J198">
            <v>42372.495659722219</v>
          </cell>
          <cell r="L198">
            <v>14.933333324734122</v>
          </cell>
          <cell r="S198" t="str">
            <v>TRUE</v>
          </cell>
        </row>
        <row r="199">
          <cell r="C199">
            <v>42372.491249999999</v>
          </cell>
          <cell r="D199" t="str">
            <v>Small</v>
          </cell>
          <cell r="E199" t="str">
            <v>Medium</v>
          </cell>
          <cell r="G199" t="b">
            <v>0</v>
          </cell>
          <cell r="J199">
            <v>42372.493298611109</v>
          </cell>
          <cell r="L199">
            <v>2.9499999980907887</v>
          </cell>
          <cell r="S199" t="str">
            <v>TRUE</v>
          </cell>
        </row>
        <row r="200">
          <cell r="C200">
            <v>42372.476539351854</v>
          </cell>
          <cell r="D200" t="str">
            <v>Large</v>
          </cell>
          <cell r="G200" t="b">
            <v>1</v>
          </cell>
          <cell r="J200">
            <v>42372.488657407404</v>
          </cell>
          <cell r="L200">
            <v>17.449999992968515</v>
          </cell>
          <cell r="S200" t="str">
            <v>FALSE</v>
          </cell>
        </row>
        <row r="201">
          <cell r="C201">
            <v>42372.441550925927</v>
          </cell>
          <cell r="D201" t="str">
            <v>Medium</v>
          </cell>
          <cell r="G201" t="b">
            <v>1</v>
          </cell>
          <cell r="J201">
            <v>42372.447754629633</v>
          </cell>
          <cell r="L201">
            <v>8.9333333366084844</v>
          </cell>
          <cell r="S201" t="str">
            <v>TRUE</v>
          </cell>
        </row>
        <row r="202">
          <cell r="C202">
            <v>42372.483773148146</v>
          </cell>
          <cell r="D202" t="str">
            <v>Small</v>
          </cell>
          <cell r="E202" t="str">
            <v>Large</v>
          </cell>
          <cell r="G202" t="b">
            <v>1</v>
          </cell>
          <cell r="J202">
            <v>42372.498680555553</v>
          </cell>
          <cell r="L202">
            <v>21.466666666092351</v>
          </cell>
          <cell r="S202" t="str">
            <v>FALSE</v>
          </cell>
        </row>
        <row r="203">
          <cell r="C203">
            <v>42372.531944444447</v>
          </cell>
          <cell r="D203" t="str">
            <v>Large</v>
          </cell>
          <cell r="G203" t="b">
            <v>1</v>
          </cell>
          <cell r="J203">
            <v>42372.546076388891</v>
          </cell>
          <cell r="L203">
            <v>20.350000000325963</v>
          </cell>
          <cell r="S203" t="str">
            <v>FALSE</v>
          </cell>
        </row>
        <row r="204">
          <cell r="C204">
            <v>42372.515567129631</v>
          </cell>
          <cell r="D204" t="str">
            <v>Medium</v>
          </cell>
          <cell r="G204" t="b">
            <v>0</v>
          </cell>
          <cell r="J204">
            <v>42372.517650462964</v>
          </cell>
          <cell r="L204">
            <v>2.9999999993015081</v>
          </cell>
          <cell r="S204" t="str">
            <v>TRUE</v>
          </cell>
        </row>
        <row r="205">
          <cell r="C205">
            <v>42372.491435185184</v>
          </cell>
          <cell r="D205" t="str">
            <v>Medium</v>
          </cell>
          <cell r="G205" t="b">
            <v>0</v>
          </cell>
          <cell r="J205">
            <v>42372.493518518517</v>
          </cell>
          <cell r="L205">
            <v>2.9999999993015081</v>
          </cell>
          <cell r="S205" t="str">
            <v>TRUE</v>
          </cell>
        </row>
        <row r="206">
          <cell r="C206">
            <v>42372.521145833336</v>
          </cell>
          <cell r="D206" t="str">
            <v>Medium</v>
          </cell>
          <cell r="G206" t="b">
            <v>1</v>
          </cell>
          <cell r="J206">
            <v>42372.53328703704</v>
          </cell>
          <cell r="L206">
            <v>17.483333334093913</v>
          </cell>
          <cell r="S206" t="str">
            <v>FALSE</v>
          </cell>
        </row>
        <row r="207">
          <cell r="C207">
            <v>42372.49386574074</v>
          </cell>
          <cell r="D207" t="str">
            <v>Large</v>
          </cell>
          <cell r="G207" t="b">
            <v>0</v>
          </cell>
          <cell r="J207">
            <v>42372.49596064815</v>
          </cell>
          <cell r="L207">
            <v>3.0166666698642075</v>
          </cell>
          <cell r="S207" t="str">
            <v>TRUE</v>
          </cell>
        </row>
        <row r="208">
          <cell r="C208">
            <v>42372.620393518519</v>
          </cell>
          <cell r="D208" t="str">
            <v>Large</v>
          </cell>
          <cell r="G208" t="b">
            <v>1</v>
          </cell>
          <cell r="J208">
            <v>42372.631782407407</v>
          </cell>
          <cell r="L208">
            <v>16.399999998975545</v>
          </cell>
          <cell r="S208" t="str">
            <v>FALSE</v>
          </cell>
        </row>
        <row r="209">
          <cell r="C209">
            <v>42372.581319444442</v>
          </cell>
          <cell r="D209" t="str">
            <v>Medium</v>
          </cell>
          <cell r="G209" t="b">
            <v>0</v>
          </cell>
          <cell r="J209">
            <v>42372.583391203705</v>
          </cell>
          <cell r="L209">
            <v>2.9833333392161876</v>
          </cell>
          <cell r="S209" t="str">
            <v>TRUE</v>
          </cell>
        </row>
        <row r="210">
          <cell r="C210">
            <v>42372.476921296293</v>
          </cell>
          <cell r="D210" t="str">
            <v>Medium</v>
          </cell>
          <cell r="G210" t="b">
            <v>1</v>
          </cell>
          <cell r="J210">
            <v>42372.48165509259</v>
          </cell>
          <cell r="L210">
            <v>6.8166666675824672</v>
          </cell>
          <cell r="S210" t="str">
            <v>TRUE</v>
          </cell>
        </row>
        <row r="211">
          <cell r="C211">
            <v>42372.594907407409</v>
          </cell>
          <cell r="D211" t="str">
            <v>Small</v>
          </cell>
          <cell r="E211" t="str">
            <v>Medium</v>
          </cell>
          <cell r="G211" t="b">
            <v>0</v>
          </cell>
          <cell r="J211">
            <v>42372.596979166665</v>
          </cell>
          <cell r="L211">
            <v>2.9833333287388086</v>
          </cell>
          <cell r="S211" t="str">
            <v>TRUE</v>
          </cell>
        </row>
        <row r="212">
          <cell r="C212">
            <v>42372.535057870373</v>
          </cell>
          <cell r="D212" t="str">
            <v>Large</v>
          </cell>
          <cell r="G212" t="b">
            <v>0</v>
          </cell>
          <cell r="J212">
            <v>42372.537129629629</v>
          </cell>
          <cell r="L212">
            <v>2.9833333287388086</v>
          </cell>
          <cell r="S212" t="str">
            <v>TRUE</v>
          </cell>
        </row>
        <row r="213">
          <cell r="C213">
            <v>42372.448541666665</v>
          </cell>
          <cell r="D213" t="str">
            <v>Medium</v>
          </cell>
          <cell r="G213" t="b">
            <v>0</v>
          </cell>
          <cell r="J213">
            <v>42372.450624999998</v>
          </cell>
          <cell r="L213">
            <v>2.9999999993015081</v>
          </cell>
          <cell r="S213" t="str">
            <v>TRUE</v>
          </cell>
        </row>
        <row r="214">
          <cell r="C214">
            <v>42372.500347222223</v>
          </cell>
          <cell r="D214" t="str">
            <v>Medium</v>
          </cell>
          <cell r="G214" t="b">
            <v>1</v>
          </cell>
          <cell r="J214">
            <v>42372.514490740738</v>
          </cell>
          <cell r="L214">
            <v>20.366666660411283</v>
          </cell>
          <cell r="S214" t="str">
            <v>FALSE</v>
          </cell>
        </row>
        <row r="215">
          <cell r="C215">
            <v>42372.484490740739</v>
          </cell>
          <cell r="D215" t="str">
            <v>Medium</v>
          </cell>
          <cell r="G215" t="b">
            <v>1</v>
          </cell>
          <cell r="J215">
            <v>42372.48951388889</v>
          </cell>
          <cell r="L215">
            <v>7.2333333373535424</v>
          </cell>
          <cell r="S215" t="str">
            <v>TRUE</v>
          </cell>
        </row>
        <row r="216">
          <cell r="C216">
            <v>42372.507349537038</v>
          </cell>
          <cell r="D216" t="str">
            <v>Small</v>
          </cell>
          <cell r="E216" t="str">
            <v>Large</v>
          </cell>
          <cell r="G216" t="b">
            <v>1</v>
          </cell>
          <cell r="J216">
            <v>42372.515370370369</v>
          </cell>
          <cell r="L216">
            <v>11.549999996786937</v>
          </cell>
          <cell r="S216" t="str">
            <v>TRUE</v>
          </cell>
        </row>
        <row r="217">
          <cell r="C217">
            <v>42372.542025462964</v>
          </cell>
          <cell r="D217" t="str">
            <v>Small</v>
          </cell>
          <cell r="G217" t="b">
            <v>0</v>
          </cell>
          <cell r="J217">
            <v>42372.54409722222</v>
          </cell>
          <cell r="L217">
            <v>2.9833333287388086</v>
          </cell>
          <cell r="S217" t="str">
            <v>TRUE</v>
          </cell>
        </row>
        <row r="218">
          <cell r="C218">
            <v>42372.549016203702</v>
          </cell>
          <cell r="D218" t="str">
            <v>Small</v>
          </cell>
          <cell r="G218" t="b">
            <v>1</v>
          </cell>
          <cell r="J218">
            <v>42372.555266203701</v>
          </cell>
          <cell r="L218">
            <v>8.9999999979045242</v>
          </cell>
          <cell r="S218" t="str">
            <v>TRUE</v>
          </cell>
        </row>
        <row r="219">
          <cell r="C219">
            <v>42372.440428240741</v>
          </cell>
          <cell r="D219" t="str">
            <v>Large</v>
          </cell>
          <cell r="G219" t="b">
            <v>1</v>
          </cell>
          <cell r="J219">
            <v>42372.449687499997</v>
          </cell>
          <cell r="L219">
            <v>13.333333327900618</v>
          </cell>
          <cell r="S219" t="str">
            <v>TRUE</v>
          </cell>
        </row>
        <row r="220">
          <cell r="C220">
            <v>42372.470682870371</v>
          </cell>
          <cell r="D220" t="str">
            <v>Small</v>
          </cell>
          <cell r="G220" t="b">
            <v>0</v>
          </cell>
          <cell r="J220">
            <v>42372.472754629627</v>
          </cell>
          <cell r="L220">
            <v>2.9833333287388086</v>
          </cell>
          <cell r="S220" t="str">
            <v>TRUE</v>
          </cell>
        </row>
        <row r="221">
          <cell r="C221">
            <v>42372.478958333333</v>
          </cell>
          <cell r="D221" t="str">
            <v>Medium</v>
          </cell>
          <cell r="G221" t="b">
            <v>1</v>
          </cell>
          <cell r="J221">
            <v>42372.485891203702</v>
          </cell>
          <cell r="L221">
            <v>9.9833333306014538</v>
          </cell>
          <cell r="S221" t="str">
            <v>TRUE</v>
          </cell>
        </row>
        <row r="222">
          <cell r="C222">
            <v>42372.570775462962</v>
          </cell>
          <cell r="D222" t="str">
            <v>Small</v>
          </cell>
          <cell r="E222" t="str">
            <v>Medium</v>
          </cell>
          <cell r="G222" t="b">
            <v>0</v>
          </cell>
          <cell r="J222">
            <v>42372.572881944441</v>
          </cell>
          <cell r="L222">
            <v>3.033333329949528</v>
          </cell>
          <cell r="S222" t="str">
            <v>TRUE</v>
          </cell>
        </row>
        <row r="223">
          <cell r="C223">
            <v>42372.488483796296</v>
          </cell>
          <cell r="D223" t="str">
            <v>Large</v>
          </cell>
          <cell r="G223" t="b">
            <v>0</v>
          </cell>
          <cell r="J223">
            <v>42372.490543981483</v>
          </cell>
          <cell r="L223">
            <v>2.9666666686534882</v>
          </cell>
          <cell r="S223" t="str">
            <v>TRUE</v>
          </cell>
        </row>
        <row r="224">
          <cell r="C224">
            <v>42372.550833333335</v>
          </cell>
          <cell r="D224" t="str">
            <v>Medium</v>
          </cell>
          <cell r="G224" t="b">
            <v>0</v>
          </cell>
          <cell r="J224">
            <v>42372.552928240744</v>
          </cell>
          <cell r="L224">
            <v>3.0166666698642075</v>
          </cell>
          <cell r="S224" t="str">
            <v>TRUE</v>
          </cell>
        </row>
        <row r="225">
          <cell r="C225">
            <v>42372.517187500001</v>
          </cell>
          <cell r="D225" t="str">
            <v>Small</v>
          </cell>
          <cell r="E225" t="str">
            <v>Medium</v>
          </cell>
          <cell r="G225" t="b">
            <v>0</v>
          </cell>
          <cell r="J225">
            <v>42372.519282407404</v>
          </cell>
          <cell r="L225">
            <v>3.0166666593868285</v>
          </cell>
          <cell r="S225" t="str">
            <v>TRUE</v>
          </cell>
        </row>
        <row r="226">
          <cell r="C226">
            <v>42372.498194444444</v>
          </cell>
          <cell r="D226" t="str">
            <v>Small</v>
          </cell>
          <cell r="E226" t="str">
            <v>Medium</v>
          </cell>
          <cell r="G226" t="b">
            <v>0</v>
          </cell>
          <cell r="J226">
            <v>42372.5002662037</v>
          </cell>
          <cell r="L226">
            <v>2.9833333287388086</v>
          </cell>
          <cell r="S226" t="str">
            <v>TRUE</v>
          </cell>
        </row>
        <row r="227">
          <cell r="C227">
            <v>42372.587800925925</v>
          </cell>
          <cell r="D227" t="str">
            <v>Small</v>
          </cell>
          <cell r="E227" t="str">
            <v>Large</v>
          </cell>
          <cell r="G227" t="b">
            <v>0</v>
          </cell>
          <cell r="J227">
            <v>42372.589872685188</v>
          </cell>
          <cell r="L227">
            <v>2.9833333392161876</v>
          </cell>
          <cell r="S227" t="str">
            <v>TRUE</v>
          </cell>
        </row>
        <row r="228">
          <cell r="C228">
            <v>42372.487881944442</v>
          </cell>
          <cell r="D228" t="str">
            <v>Large</v>
          </cell>
          <cell r="G228" t="b">
            <v>1</v>
          </cell>
          <cell r="J228">
            <v>42372.502326388887</v>
          </cell>
          <cell r="L228">
            <v>20.800000000745058</v>
          </cell>
          <cell r="S228" t="str">
            <v>FALSE</v>
          </cell>
        </row>
        <row r="229">
          <cell r="C229">
            <v>42372.506481481483</v>
          </cell>
          <cell r="D229" t="str">
            <v>Small</v>
          </cell>
          <cell r="G229" t="b">
            <v>1</v>
          </cell>
          <cell r="J229">
            <v>42372.519525462965</v>
          </cell>
          <cell r="L229">
            <v>18.78333333414048</v>
          </cell>
          <cell r="S229" t="str">
            <v>FALSE</v>
          </cell>
        </row>
        <row r="230">
          <cell r="C230">
            <v>42372.483368055553</v>
          </cell>
          <cell r="D230" t="str">
            <v>Medium</v>
          </cell>
          <cell r="G230" t="b">
            <v>1</v>
          </cell>
          <cell r="J230">
            <v>42372.492060185185</v>
          </cell>
          <cell r="L230">
            <v>12.516666669398546</v>
          </cell>
          <cell r="S230" t="str">
            <v>TRUE</v>
          </cell>
        </row>
        <row r="231">
          <cell r="C231">
            <v>42372.536354166667</v>
          </cell>
          <cell r="D231" t="str">
            <v>Small</v>
          </cell>
          <cell r="E231" t="str">
            <v>Medium</v>
          </cell>
          <cell r="G231" t="b">
            <v>1</v>
          </cell>
          <cell r="J231">
            <v>42372.545138888891</v>
          </cell>
          <cell r="L231">
            <v>12.650000002468005</v>
          </cell>
          <cell r="S231" t="str">
            <v>TRUE</v>
          </cell>
        </row>
        <row r="232">
          <cell r="C232">
            <v>42372.570821759262</v>
          </cell>
          <cell r="D232" t="str">
            <v>Small</v>
          </cell>
          <cell r="E232" t="str">
            <v>Medium</v>
          </cell>
          <cell r="G232" t="b">
            <v>0</v>
          </cell>
          <cell r="J232">
            <v>42372.572893518518</v>
          </cell>
          <cell r="L232">
            <v>2.9833333287388086</v>
          </cell>
          <cell r="S232" t="str">
            <v>TRUE</v>
          </cell>
        </row>
        <row r="233">
          <cell r="C233">
            <v>42372.543194444443</v>
          </cell>
          <cell r="D233" t="str">
            <v>Small</v>
          </cell>
          <cell r="E233" t="str">
            <v>Medium</v>
          </cell>
          <cell r="G233" t="b">
            <v>0</v>
          </cell>
          <cell r="J233">
            <v>42372.545289351852</v>
          </cell>
          <cell r="L233">
            <v>3.0166666698642075</v>
          </cell>
          <cell r="S233" t="str">
            <v>TRUE</v>
          </cell>
        </row>
        <row r="234">
          <cell r="C234">
            <v>42372.435277777775</v>
          </cell>
          <cell r="D234" t="str">
            <v>Large</v>
          </cell>
          <cell r="G234" t="b">
            <v>0</v>
          </cell>
          <cell r="J234">
            <v>42372.437361111108</v>
          </cell>
          <cell r="L234">
            <v>2.9999999993015081</v>
          </cell>
          <cell r="S234" t="str">
            <v>TRUE</v>
          </cell>
        </row>
        <row r="235">
          <cell r="C235">
            <v>42372.466215277775</v>
          </cell>
          <cell r="D235" t="str">
            <v>Small</v>
          </cell>
          <cell r="G235" t="b">
            <v>1</v>
          </cell>
          <cell r="J235">
            <v>42372.476990740739</v>
          </cell>
          <cell r="L235">
            <v>15.516666668700054</v>
          </cell>
          <cell r="S235" t="str">
            <v>TRUE</v>
          </cell>
        </row>
        <row r="236">
          <cell r="C236">
            <v>42372.444814814815</v>
          </cell>
          <cell r="D236" t="str">
            <v>Large</v>
          </cell>
          <cell r="G236" t="b">
            <v>1</v>
          </cell>
          <cell r="J236">
            <v>42372.451863425929</v>
          </cell>
          <cell r="L236">
            <v>10.150000004796311</v>
          </cell>
          <cell r="S236" t="str">
            <v>TRUE</v>
          </cell>
        </row>
        <row r="237">
          <cell r="C237">
            <v>42372.536643518521</v>
          </cell>
          <cell r="D237" t="str">
            <v>Small</v>
          </cell>
          <cell r="E237" t="str">
            <v>Medium</v>
          </cell>
          <cell r="G237" t="b">
            <v>0</v>
          </cell>
          <cell r="J237">
            <v>42372.538715277777</v>
          </cell>
          <cell r="L237">
            <v>2.9833333287388086</v>
          </cell>
          <cell r="S237" t="str">
            <v>TRUE</v>
          </cell>
        </row>
        <row r="238">
          <cell r="C238">
            <v>42373.488449074073</v>
          </cell>
          <cell r="D238" t="str">
            <v>Large</v>
          </cell>
          <cell r="G238" t="b">
            <v>0</v>
          </cell>
          <cell r="J238">
            <v>42373.49050925926</v>
          </cell>
          <cell r="L238">
            <v>2.9666666686534882</v>
          </cell>
          <cell r="S238" t="str">
            <v>TRUE</v>
          </cell>
        </row>
        <row r="239">
          <cell r="C239">
            <v>42373.500474537039</v>
          </cell>
          <cell r="D239" t="str">
            <v>Small</v>
          </cell>
          <cell r="E239" t="str">
            <v>Medium</v>
          </cell>
          <cell r="F239" t="str">
            <v>Large</v>
          </cell>
          <cell r="G239" t="b">
            <v>0</v>
          </cell>
          <cell r="J239">
            <v>42373.502546296295</v>
          </cell>
          <cell r="L239">
            <v>2.9833333287388086</v>
          </cell>
          <cell r="S239" t="str">
            <v>TRUE</v>
          </cell>
        </row>
        <row r="240">
          <cell r="C240">
            <v>42373.498969907407</v>
          </cell>
          <cell r="D240" t="str">
            <v>Large</v>
          </cell>
          <cell r="G240" t="b">
            <v>0</v>
          </cell>
          <cell r="J240">
            <v>42373.50105324074</v>
          </cell>
          <cell r="L240">
            <v>2.9999999993015081</v>
          </cell>
          <cell r="S240" t="str">
            <v>TRUE</v>
          </cell>
        </row>
        <row r="241">
          <cell r="C241">
            <v>42373.534756944442</v>
          </cell>
          <cell r="D241" t="str">
            <v>Small</v>
          </cell>
          <cell r="E241" t="str">
            <v>Medium</v>
          </cell>
          <cell r="G241" t="b">
            <v>1</v>
          </cell>
          <cell r="J241">
            <v>42373.547789351855</v>
          </cell>
          <cell r="L241">
            <v>18.766666674055159</v>
          </cell>
          <cell r="S241" t="str">
            <v>FALSE</v>
          </cell>
        </row>
        <row r="242">
          <cell r="C242">
            <v>42373.528784722221</v>
          </cell>
          <cell r="D242" t="str">
            <v>Medium</v>
          </cell>
          <cell r="G242" t="b">
            <v>1</v>
          </cell>
          <cell r="J242">
            <v>42373.53565972222</v>
          </cell>
          <cell r="L242">
            <v>9.8999999987427145</v>
          </cell>
          <cell r="S242" t="str">
            <v>TRUE</v>
          </cell>
        </row>
        <row r="243">
          <cell r="C243">
            <v>42373.650300925925</v>
          </cell>
          <cell r="D243" t="str">
            <v>Large</v>
          </cell>
          <cell r="G243" t="b">
            <v>0</v>
          </cell>
          <cell r="J243">
            <v>42373.652372685188</v>
          </cell>
          <cell r="L243">
            <v>2.9833333392161876</v>
          </cell>
          <cell r="S243" t="str">
            <v>TRUE</v>
          </cell>
        </row>
        <row r="244">
          <cell r="C244">
            <v>42373.492152777777</v>
          </cell>
          <cell r="D244" t="str">
            <v>Medium</v>
          </cell>
          <cell r="E244" t="str">
            <v>Large</v>
          </cell>
          <cell r="G244" t="b">
            <v>1</v>
          </cell>
          <cell r="J244">
            <v>42373.499537037038</v>
          </cell>
          <cell r="L244">
            <v>10.633333335863426</v>
          </cell>
          <cell r="S244" t="str">
            <v>TRUE</v>
          </cell>
        </row>
        <row r="245">
          <cell r="C245">
            <v>42373.52925925926</v>
          </cell>
          <cell r="D245" t="str">
            <v>Medium</v>
          </cell>
          <cell r="G245" t="b">
            <v>0</v>
          </cell>
          <cell r="J245">
            <v>42373.531331018516</v>
          </cell>
          <cell r="L245">
            <v>2.9833333287388086</v>
          </cell>
          <cell r="S245" t="str">
            <v>TRUE</v>
          </cell>
        </row>
        <row r="246">
          <cell r="C246">
            <v>42373.456736111111</v>
          </cell>
          <cell r="D246" t="str">
            <v>Small</v>
          </cell>
          <cell r="E246" t="str">
            <v>Medium</v>
          </cell>
          <cell r="G246" t="b">
            <v>0</v>
          </cell>
          <cell r="J246">
            <v>42373.458807870367</v>
          </cell>
          <cell r="L246">
            <v>2.9833333287388086</v>
          </cell>
          <cell r="S246" t="str">
            <v>TRUE</v>
          </cell>
        </row>
        <row r="247">
          <cell r="C247">
            <v>42373.566111111111</v>
          </cell>
          <cell r="D247" t="str">
            <v>Medium</v>
          </cell>
          <cell r="G247" t="b">
            <v>0</v>
          </cell>
          <cell r="J247">
            <v>42373.568171296298</v>
          </cell>
          <cell r="L247">
            <v>2.9666666686534882</v>
          </cell>
          <cell r="S247" t="str">
            <v>TRUE</v>
          </cell>
        </row>
        <row r="248">
          <cell r="C248">
            <v>42373.501631944448</v>
          </cell>
          <cell r="D248" t="str">
            <v>Small</v>
          </cell>
          <cell r="E248" t="str">
            <v>Large</v>
          </cell>
          <cell r="G248" t="b">
            <v>1</v>
          </cell>
          <cell r="J248">
            <v>42373.513368055559</v>
          </cell>
          <cell r="L248">
            <v>16.90000000060536</v>
          </cell>
          <cell r="S248" t="str">
            <v>FALSE</v>
          </cell>
        </row>
        <row r="249">
          <cell r="C249">
            <v>42373.510138888887</v>
          </cell>
          <cell r="D249" t="str">
            <v>Medium</v>
          </cell>
          <cell r="G249" t="b">
            <v>1</v>
          </cell>
          <cell r="J249">
            <v>42373.520995370367</v>
          </cell>
          <cell r="L249">
            <v>15.633333331206813</v>
          </cell>
          <cell r="S249" t="str">
            <v>TRUE</v>
          </cell>
        </row>
        <row r="250">
          <cell r="C250">
            <v>42373.519629629627</v>
          </cell>
          <cell r="D250" t="str">
            <v>Small</v>
          </cell>
          <cell r="E250" t="str">
            <v>Medium</v>
          </cell>
          <cell r="G250" t="b">
            <v>0</v>
          </cell>
          <cell r="J250">
            <v>42373.52171296296</v>
          </cell>
          <cell r="L250">
            <v>2.9999999993015081</v>
          </cell>
          <cell r="S250" t="str">
            <v>TRUE</v>
          </cell>
        </row>
        <row r="251">
          <cell r="C251">
            <v>42373.487743055557</v>
          </cell>
          <cell r="D251" t="str">
            <v>Medium</v>
          </cell>
          <cell r="G251" t="b">
            <v>1</v>
          </cell>
          <cell r="J251">
            <v>42373.501643518517</v>
          </cell>
          <cell r="L251">
            <v>20.016666662413627</v>
          </cell>
          <cell r="S251" t="str">
            <v>FALSE</v>
          </cell>
        </row>
        <row r="252">
          <cell r="C252">
            <v>42373.439456018517</v>
          </cell>
          <cell r="D252" t="str">
            <v>Small</v>
          </cell>
          <cell r="E252" t="str">
            <v>Medium</v>
          </cell>
          <cell r="G252" t="b">
            <v>1</v>
          </cell>
          <cell r="J252">
            <v>42373.444930555554</v>
          </cell>
          <cell r="L252">
            <v>7.883333332138136</v>
          </cell>
          <cell r="S252" t="str">
            <v>TRUE</v>
          </cell>
        </row>
        <row r="253">
          <cell r="C253">
            <v>42373.532280092593</v>
          </cell>
          <cell r="D253" t="str">
            <v>Medium</v>
          </cell>
          <cell r="G253" t="b">
            <v>1</v>
          </cell>
          <cell r="J253">
            <v>42373.53638888889</v>
          </cell>
          <cell r="L253">
            <v>5.9166666667442769</v>
          </cell>
          <cell r="S253" t="str">
            <v>TRUE</v>
          </cell>
        </row>
        <row r="254">
          <cell r="C254">
            <v>42373.618263888886</v>
          </cell>
          <cell r="D254" t="str">
            <v>Large</v>
          </cell>
          <cell r="G254" t="b">
            <v>1</v>
          </cell>
          <cell r="J254">
            <v>42373.623263888891</v>
          </cell>
          <cell r="L254">
            <v>7.2000000067055225</v>
          </cell>
          <cell r="S254" t="str">
            <v>TRUE</v>
          </cell>
        </row>
        <row r="255">
          <cell r="C255">
            <v>42373.537893518522</v>
          </cell>
          <cell r="D255" t="str">
            <v>Small</v>
          </cell>
          <cell r="E255" t="str">
            <v>Large</v>
          </cell>
          <cell r="G255" t="b">
            <v>0</v>
          </cell>
          <cell r="J255">
            <v>42373.539965277778</v>
          </cell>
          <cell r="L255">
            <v>2.9833333287388086</v>
          </cell>
          <cell r="S255" t="str">
            <v>TRUE</v>
          </cell>
        </row>
        <row r="256">
          <cell r="C256">
            <v>42373.518229166664</v>
          </cell>
          <cell r="D256" t="str">
            <v>Small</v>
          </cell>
          <cell r="G256" t="b">
            <v>1</v>
          </cell>
          <cell r="J256">
            <v>42373.532789351855</v>
          </cell>
          <cell r="L256">
            <v>20.966666674939916</v>
          </cell>
          <cell r="S256" t="str">
            <v>FALSE</v>
          </cell>
        </row>
        <row r="257">
          <cell r="C257">
            <v>42373.479120370372</v>
          </cell>
          <cell r="D257" t="str">
            <v>Medium</v>
          </cell>
          <cell r="E257" t="str">
            <v>Large</v>
          </cell>
          <cell r="G257" t="b">
            <v>0</v>
          </cell>
          <cell r="J257">
            <v>42373.481192129628</v>
          </cell>
          <cell r="L257">
            <v>2.9833333287388086</v>
          </cell>
          <cell r="S257" t="str">
            <v>TRUE</v>
          </cell>
        </row>
        <row r="258">
          <cell r="C258">
            <v>42373.522037037037</v>
          </cell>
          <cell r="D258" t="str">
            <v>Small</v>
          </cell>
          <cell r="G258" t="b">
            <v>1</v>
          </cell>
          <cell r="J258">
            <v>42373.535578703704</v>
          </cell>
          <cell r="L258">
            <v>19.500000000698492</v>
          </cell>
          <cell r="S258" t="str">
            <v>FALSE</v>
          </cell>
        </row>
        <row r="259">
          <cell r="C259">
            <v>42373.524814814817</v>
          </cell>
          <cell r="D259" t="str">
            <v>Small</v>
          </cell>
          <cell r="G259" t="b">
            <v>0</v>
          </cell>
          <cell r="J259">
            <v>42373.526886574073</v>
          </cell>
          <cell r="L259">
            <v>2.9833333287388086</v>
          </cell>
          <cell r="S259" t="str">
            <v>TRUE</v>
          </cell>
        </row>
        <row r="260">
          <cell r="C260">
            <v>42373.489108796297</v>
          </cell>
          <cell r="D260" t="str">
            <v>Small</v>
          </cell>
          <cell r="G260" t="b">
            <v>1</v>
          </cell>
          <cell r="J260">
            <v>42373.508379629631</v>
          </cell>
          <cell r="L260">
            <v>27.750000001396984</v>
          </cell>
          <cell r="S260" t="str">
            <v>FALSE</v>
          </cell>
        </row>
        <row r="261">
          <cell r="C261">
            <v>42373.467291666668</v>
          </cell>
          <cell r="D261" t="str">
            <v>Medium</v>
          </cell>
          <cell r="G261" t="b">
            <v>0</v>
          </cell>
          <cell r="J261">
            <v>42373.469363425924</v>
          </cell>
          <cell r="L261">
            <v>2.9833333287388086</v>
          </cell>
          <cell r="S261" t="str">
            <v>TRUE</v>
          </cell>
        </row>
        <row r="262">
          <cell r="C262">
            <v>42373.530763888892</v>
          </cell>
          <cell r="D262" t="str">
            <v>Medium</v>
          </cell>
          <cell r="G262" t="b">
            <v>0</v>
          </cell>
          <cell r="J262">
            <v>42373.532835648148</v>
          </cell>
          <cell r="L262">
            <v>2.9833333287388086</v>
          </cell>
          <cell r="S262" t="str">
            <v>TRUE</v>
          </cell>
        </row>
        <row r="263">
          <cell r="C263">
            <v>42373.467187499999</v>
          </cell>
          <cell r="D263" t="str">
            <v>Medium</v>
          </cell>
          <cell r="G263" t="b">
            <v>1</v>
          </cell>
          <cell r="J263">
            <v>42373.481203703705</v>
          </cell>
          <cell r="L263">
            <v>20.183333336608484</v>
          </cell>
          <cell r="S263" t="str">
            <v>FALSE</v>
          </cell>
        </row>
        <row r="264">
          <cell r="C264">
            <v>42373.459490740737</v>
          </cell>
          <cell r="D264" t="str">
            <v>Small</v>
          </cell>
          <cell r="G264" t="b">
            <v>1</v>
          </cell>
          <cell r="J264">
            <v>42373.468414351853</v>
          </cell>
          <cell r="L264">
            <v>12.850000007310882</v>
          </cell>
          <cell r="S264" t="str">
            <v>TRUE</v>
          </cell>
        </row>
        <row r="265">
          <cell r="C265">
            <v>42373.537974537037</v>
          </cell>
          <cell r="D265" t="str">
            <v>Small</v>
          </cell>
          <cell r="E265" t="str">
            <v>Medium</v>
          </cell>
          <cell r="G265" t="b">
            <v>0</v>
          </cell>
          <cell r="J265">
            <v>42373.540069444447</v>
          </cell>
          <cell r="L265">
            <v>3.0166666698642075</v>
          </cell>
          <cell r="S265" t="str">
            <v>TRUE</v>
          </cell>
        </row>
        <row r="266">
          <cell r="C266">
            <v>42373.536076388889</v>
          </cell>
          <cell r="D266" t="str">
            <v>Small</v>
          </cell>
          <cell r="E266" t="str">
            <v>Medium</v>
          </cell>
          <cell r="G266" t="b">
            <v>0</v>
          </cell>
          <cell r="J266">
            <v>42373.538148148145</v>
          </cell>
          <cell r="L266">
            <v>2.9833333287388086</v>
          </cell>
          <cell r="S266" t="str">
            <v>TRUE</v>
          </cell>
        </row>
        <row r="267">
          <cell r="C267">
            <v>42373.508275462962</v>
          </cell>
          <cell r="D267" t="str">
            <v>Small</v>
          </cell>
          <cell r="E267" t="str">
            <v>Large</v>
          </cell>
          <cell r="G267" t="b">
            <v>0</v>
          </cell>
          <cell r="J267">
            <v>42373.510358796295</v>
          </cell>
          <cell r="L267">
            <v>2.9999999993015081</v>
          </cell>
          <cell r="S267" t="str">
            <v>TRUE</v>
          </cell>
        </row>
        <row r="268">
          <cell r="C268">
            <v>42373.534375000003</v>
          </cell>
          <cell r="D268" t="str">
            <v>Small</v>
          </cell>
          <cell r="G268" t="b">
            <v>1</v>
          </cell>
          <cell r="J268">
            <v>42373.548576388886</v>
          </cell>
          <cell r="L268">
            <v>20.449999992270023</v>
          </cell>
          <cell r="S268" t="str">
            <v>FALSE</v>
          </cell>
        </row>
        <row r="269">
          <cell r="C269">
            <v>42373.542870370373</v>
          </cell>
          <cell r="D269" t="str">
            <v>Small</v>
          </cell>
          <cell r="E269" t="str">
            <v>Medium</v>
          </cell>
          <cell r="G269" t="b">
            <v>1</v>
          </cell>
          <cell r="J269">
            <v>42373.549050925925</v>
          </cell>
          <cell r="L269">
            <v>8.8999999954830855</v>
          </cell>
          <cell r="S269" t="str">
            <v>TRUE</v>
          </cell>
        </row>
        <row r="270">
          <cell r="C270">
            <v>42373.519594907404</v>
          </cell>
          <cell r="D270" t="str">
            <v>Medium</v>
          </cell>
          <cell r="G270" t="b">
            <v>0</v>
          </cell>
          <cell r="J270">
            <v>42373.521666666667</v>
          </cell>
          <cell r="L270">
            <v>2.9833333392161876</v>
          </cell>
          <cell r="S270" t="str">
            <v>TRUE</v>
          </cell>
        </row>
        <row r="271">
          <cell r="C271">
            <v>42373.554675925923</v>
          </cell>
          <cell r="D271" t="str">
            <v>Small</v>
          </cell>
          <cell r="E271" t="str">
            <v>Medium</v>
          </cell>
          <cell r="G271" t="b">
            <v>0</v>
          </cell>
          <cell r="J271">
            <v>42373.556770833333</v>
          </cell>
          <cell r="L271">
            <v>3.0166666698642075</v>
          </cell>
          <cell r="S271" t="str">
            <v>TRUE</v>
          </cell>
        </row>
        <row r="272">
          <cell r="C272">
            <v>42373.478680555556</v>
          </cell>
          <cell r="D272" t="str">
            <v>Small</v>
          </cell>
          <cell r="E272" t="str">
            <v>Large</v>
          </cell>
          <cell r="G272" t="b">
            <v>1</v>
          </cell>
          <cell r="J272">
            <v>42373.485300925924</v>
          </cell>
          <cell r="L272">
            <v>9.5333333301823586</v>
          </cell>
          <cell r="S272" t="str">
            <v>TRUE</v>
          </cell>
        </row>
        <row r="273">
          <cell r="C273">
            <v>42373.549629629626</v>
          </cell>
          <cell r="D273" t="str">
            <v>Small</v>
          </cell>
          <cell r="G273" t="b">
            <v>0</v>
          </cell>
          <cell r="J273">
            <v>42373.551712962966</v>
          </cell>
          <cell r="L273">
            <v>3.000000009778887</v>
          </cell>
          <cell r="S273" t="str">
            <v>TRUE</v>
          </cell>
        </row>
        <row r="274">
          <cell r="C274">
            <v>42373.445555555554</v>
          </cell>
          <cell r="D274" t="str">
            <v>Small</v>
          </cell>
          <cell r="E274" t="str">
            <v>Medium</v>
          </cell>
          <cell r="G274" t="b">
            <v>0</v>
          </cell>
          <cell r="J274">
            <v>42373.447627314818</v>
          </cell>
          <cell r="L274">
            <v>2.9833333392161876</v>
          </cell>
          <cell r="S274" t="str">
            <v>TRUE</v>
          </cell>
        </row>
        <row r="275">
          <cell r="C275">
            <v>42373.559537037036</v>
          </cell>
          <cell r="D275" t="str">
            <v>Small</v>
          </cell>
          <cell r="G275" t="b">
            <v>1</v>
          </cell>
          <cell r="J275">
            <v>42373.568460648145</v>
          </cell>
          <cell r="L275">
            <v>12.849999996833503</v>
          </cell>
          <cell r="S275" t="str">
            <v>TRUE</v>
          </cell>
        </row>
        <row r="276">
          <cell r="C276">
            <v>42373.53297453704</v>
          </cell>
          <cell r="D276" t="str">
            <v>Small</v>
          </cell>
          <cell r="E276" t="str">
            <v>Medium</v>
          </cell>
          <cell r="G276" t="b">
            <v>0</v>
          </cell>
          <cell r="J276">
            <v>42373.535057870373</v>
          </cell>
          <cell r="L276">
            <v>2.9999999993015081</v>
          </cell>
          <cell r="S276" t="str">
            <v>TRUE</v>
          </cell>
        </row>
        <row r="277">
          <cell r="C277">
            <v>42373.547523148147</v>
          </cell>
          <cell r="D277" t="str">
            <v>Small</v>
          </cell>
          <cell r="E277" t="str">
            <v>Large</v>
          </cell>
          <cell r="G277" t="b">
            <v>1</v>
          </cell>
          <cell r="J277">
            <v>42373.555173611108</v>
          </cell>
          <cell r="L277">
            <v>11.016666664509103</v>
          </cell>
          <cell r="S277" t="str">
            <v>TRUE</v>
          </cell>
        </row>
        <row r="278">
          <cell r="C278">
            <v>42373.517789351848</v>
          </cell>
          <cell r="D278" t="str">
            <v>Medium</v>
          </cell>
          <cell r="G278" t="b">
            <v>0</v>
          </cell>
          <cell r="J278">
            <v>42373.519849537035</v>
          </cell>
          <cell r="L278">
            <v>2.9666666686534882</v>
          </cell>
          <cell r="S278" t="str">
            <v>TRUE</v>
          </cell>
        </row>
        <row r="279">
          <cell r="C279">
            <v>42373.552048611113</v>
          </cell>
          <cell r="D279" t="str">
            <v>Small</v>
          </cell>
          <cell r="E279" t="str">
            <v>Medium</v>
          </cell>
          <cell r="G279" t="b">
            <v>0</v>
          </cell>
          <cell r="J279">
            <v>42373.554108796299</v>
          </cell>
          <cell r="L279">
            <v>2.9666666686534882</v>
          </cell>
          <cell r="S279" t="str">
            <v>TRUE</v>
          </cell>
        </row>
        <row r="280">
          <cell r="C280">
            <v>42373.473333333335</v>
          </cell>
          <cell r="D280" t="str">
            <v>Medium</v>
          </cell>
          <cell r="G280" t="b">
            <v>0</v>
          </cell>
          <cell r="J280">
            <v>42373.475428240738</v>
          </cell>
          <cell r="L280">
            <v>3.0166666593868285</v>
          </cell>
          <cell r="S280" t="str">
            <v>TRUE</v>
          </cell>
        </row>
        <row r="281">
          <cell r="C281">
            <v>42373.533506944441</v>
          </cell>
          <cell r="D281" t="str">
            <v>Small</v>
          </cell>
          <cell r="E281" t="str">
            <v>Large</v>
          </cell>
          <cell r="G281" t="b">
            <v>1</v>
          </cell>
          <cell r="J281">
            <v>42373.54923611111</v>
          </cell>
          <cell r="L281">
            <v>22.650000003632158</v>
          </cell>
          <cell r="S281" t="str">
            <v>FALSE</v>
          </cell>
        </row>
        <row r="282">
          <cell r="C282">
            <v>42373.487384259257</v>
          </cell>
          <cell r="D282" t="str">
            <v>Small</v>
          </cell>
          <cell r="E282" t="str">
            <v>Medium</v>
          </cell>
          <cell r="G282" t="b">
            <v>1</v>
          </cell>
          <cell r="J282">
            <v>42373.50304398148</v>
          </cell>
          <cell r="L282">
            <v>22.550000001210719</v>
          </cell>
          <cell r="S282" t="str">
            <v>FALSE</v>
          </cell>
        </row>
        <row r="283">
          <cell r="C283">
            <v>42373.474432870367</v>
          </cell>
          <cell r="D283" t="str">
            <v>Small</v>
          </cell>
          <cell r="E283" t="str">
            <v>Medium</v>
          </cell>
          <cell r="G283" t="b">
            <v>1</v>
          </cell>
          <cell r="J283">
            <v>42373.486284722225</v>
          </cell>
          <cell r="L283">
            <v>17.066666674800217</v>
          </cell>
          <cell r="S283" t="str">
            <v>FALSE</v>
          </cell>
        </row>
        <row r="284">
          <cell r="C284">
            <v>42373.593032407407</v>
          </cell>
          <cell r="D284" t="str">
            <v>Medium</v>
          </cell>
          <cell r="G284" t="b">
            <v>0</v>
          </cell>
          <cell r="J284">
            <v>42373.595127314817</v>
          </cell>
          <cell r="L284">
            <v>3.0166666698642075</v>
          </cell>
          <cell r="S284" t="str">
            <v>TRUE</v>
          </cell>
        </row>
        <row r="285">
          <cell r="C285">
            <v>42373.478750000002</v>
          </cell>
          <cell r="D285" t="str">
            <v>Small</v>
          </cell>
          <cell r="E285" t="str">
            <v>Large</v>
          </cell>
          <cell r="G285" t="b">
            <v>1</v>
          </cell>
          <cell r="J285">
            <v>42373.483773148146</v>
          </cell>
          <cell r="L285">
            <v>7.2333333268761635</v>
          </cell>
          <cell r="S285" t="str">
            <v>TRUE</v>
          </cell>
        </row>
        <row r="286">
          <cell r="C286">
            <v>42373.47</v>
          </cell>
          <cell r="D286" t="str">
            <v>Small</v>
          </cell>
          <cell r="G286" t="b">
            <v>1</v>
          </cell>
          <cell r="J286">
            <v>42373.481574074074</v>
          </cell>
          <cell r="L286">
            <v>16.666666665114462</v>
          </cell>
          <cell r="S286" t="str">
            <v>FALSE</v>
          </cell>
        </row>
        <row r="287">
          <cell r="C287">
            <v>42373.50644675926</v>
          </cell>
          <cell r="D287" t="str">
            <v>Small</v>
          </cell>
          <cell r="E287" t="str">
            <v>Medium</v>
          </cell>
          <cell r="G287" t="b">
            <v>1</v>
          </cell>
          <cell r="J287">
            <v>42373.520729166667</v>
          </cell>
          <cell r="L287">
            <v>20.566666665254161</v>
          </cell>
          <cell r="S287" t="str">
            <v>FALSE</v>
          </cell>
        </row>
        <row r="288">
          <cell r="C288">
            <v>42373.541875000003</v>
          </cell>
          <cell r="D288" t="str">
            <v>Large</v>
          </cell>
          <cell r="G288" t="b">
            <v>1</v>
          </cell>
          <cell r="J288">
            <v>42373.556145833332</v>
          </cell>
          <cell r="L288">
            <v>20.549999994691461</v>
          </cell>
          <cell r="S288" t="str">
            <v>FALSE</v>
          </cell>
        </row>
        <row r="289">
          <cell r="C289">
            <v>42373.438877314817</v>
          </cell>
          <cell r="D289" t="str">
            <v>Medium</v>
          </cell>
          <cell r="G289" t="b">
            <v>0</v>
          </cell>
          <cell r="J289">
            <v>42373.440960648149</v>
          </cell>
          <cell r="L289">
            <v>2.9999999993015081</v>
          </cell>
          <cell r="S289" t="str">
            <v>TRUE</v>
          </cell>
        </row>
        <row r="290">
          <cell r="C290">
            <v>42373.490798611114</v>
          </cell>
          <cell r="D290" t="str">
            <v>Large</v>
          </cell>
          <cell r="G290" t="b">
            <v>1</v>
          </cell>
          <cell r="J290">
            <v>42373.505937499998</v>
          </cell>
          <cell r="L290">
            <v>21.799999993527308</v>
          </cell>
          <cell r="S290" t="str">
            <v>FALSE</v>
          </cell>
        </row>
        <row r="291">
          <cell r="C291">
            <v>42373.577523148146</v>
          </cell>
          <cell r="D291" t="str">
            <v>Medium</v>
          </cell>
          <cell r="G291" t="b">
            <v>0</v>
          </cell>
          <cell r="J291">
            <v>42373.579583333332</v>
          </cell>
          <cell r="L291">
            <v>2.9666666686534882</v>
          </cell>
          <cell r="S291" t="str">
            <v>TRUE</v>
          </cell>
        </row>
        <row r="292">
          <cell r="C292">
            <v>42373.56417824074</v>
          </cell>
          <cell r="D292" t="str">
            <v>Small</v>
          </cell>
          <cell r="E292" t="str">
            <v>Medium</v>
          </cell>
          <cell r="G292" t="b">
            <v>1</v>
          </cell>
          <cell r="J292">
            <v>42373.574166666665</v>
          </cell>
          <cell r="L292">
            <v>14.383333332370967</v>
          </cell>
          <cell r="S292" t="str">
            <v>TRUE</v>
          </cell>
        </row>
        <row r="293">
          <cell r="C293">
            <v>42373.503819444442</v>
          </cell>
          <cell r="D293" t="str">
            <v>Small</v>
          </cell>
          <cell r="E293" t="str">
            <v>Large</v>
          </cell>
          <cell r="G293" t="b">
            <v>0</v>
          </cell>
          <cell r="J293">
            <v>42373.505879629629</v>
          </cell>
          <cell r="L293">
            <v>2.9666666686534882</v>
          </cell>
          <cell r="S293" t="str">
            <v>TRUE</v>
          </cell>
        </row>
        <row r="294">
          <cell r="C294">
            <v>42373.57199074074</v>
          </cell>
          <cell r="D294" t="str">
            <v>Medium</v>
          </cell>
          <cell r="G294" t="b">
            <v>0</v>
          </cell>
          <cell r="J294">
            <v>42373.574074074073</v>
          </cell>
          <cell r="L294">
            <v>2.9999999993015081</v>
          </cell>
          <cell r="S294" t="str">
            <v>TRUE</v>
          </cell>
        </row>
        <row r="295">
          <cell r="C295">
            <v>42373.460173611114</v>
          </cell>
          <cell r="D295" t="str">
            <v>Large</v>
          </cell>
          <cell r="G295" t="b">
            <v>1</v>
          </cell>
          <cell r="J295">
            <v>42373.463148148148</v>
          </cell>
          <cell r="L295">
            <v>4.2833333287853748</v>
          </cell>
          <cell r="S295" t="str">
            <v>TRUE</v>
          </cell>
        </row>
        <row r="296">
          <cell r="C296">
            <v>42373.486342592594</v>
          </cell>
          <cell r="D296" t="str">
            <v>Small</v>
          </cell>
          <cell r="G296" t="b">
            <v>1</v>
          </cell>
          <cell r="J296">
            <v>42373.49591435185</v>
          </cell>
          <cell r="L296">
            <v>13.783333328319713</v>
          </cell>
          <cell r="S296" t="str">
            <v>TRUE</v>
          </cell>
        </row>
        <row r="297">
          <cell r="C297">
            <v>42373.518460648149</v>
          </cell>
          <cell r="D297" t="str">
            <v>Small</v>
          </cell>
          <cell r="E297" t="str">
            <v>Large</v>
          </cell>
          <cell r="G297" t="b">
            <v>1</v>
          </cell>
          <cell r="J297">
            <v>42373.537349537037</v>
          </cell>
          <cell r="L297">
            <v>27.19999999855645</v>
          </cell>
          <cell r="S297" t="str">
            <v>FALSE</v>
          </cell>
        </row>
        <row r="298">
          <cell r="C298">
            <v>42373.474224537036</v>
          </cell>
          <cell r="D298" t="str">
            <v>Small</v>
          </cell>
          <cell r="G298" t="b">
            <v>0</v>
          </cell>
          <cell r="J298">
            <v>42373.476319444446</v>
          </cell>
          <cell r="L298">
            <v>3.0166666698642075</v>
          </cell>
          <cell r="S298" t="str">
            <v>TRUE</v>
          </cell>
        </row>
        <row r="299">
          <cell r="C299">
            <v>42373.481099537035</v>
          </cell>
          <cell r="D299" t="str">
            <v>Medium</v>
          </cell>
          <cell r="G299" t="b">
            <v>0</v>
          </cell>
          <cell r="J299">
            <v>42373.483182870368</v>
          </cell>
          <cell r="L299">
            <v>2.9999999993015081</v>
          </cell>
          <cell r="S299" t="str">
            <v>TRUE</v>
          </cell>
        </row>
        <row r="300">
          <cell r="C300">
            <v>42373.541620370372</v>
          </cell>
          <cell r="D300" t="str">
            <v>Medium</v>
          </cell>
          <cell r="G300" t="b">
            <v>0</v>
          </cell>
          <cell r="J300">
            <v>42373.543703703705</v>
          </cell>
          <cell r="L300">
            <v>2.9999999993015081</v>
          </cell>
          <cell r="S300" t="str">
            <v>TRUE</v>
          </cell>
        </row>
        <row r="301">
          <cell r="C301">
            <v>42373.534699074073</v>
          </cell>
          <cell r="D301" t="str">
            <v>Medium</v>
          </cell>
          <cell r="E301" t="str">
            <v>Large</v>
          </cell>
          <cell r="G301" t="b">
            <v>1</v>
          </cell>
          <cell r="J301">
            <v>42373.544293981482</v>
          </cell>
          <cell r="L301">
            <v>13.816666669445112</v>
          </cell>
          <cell r="S301" t="str">
            <v>TRUE</v>
          </cell>
        </row>
        <row r="302">
          <cell r="C302">
            <v>42373.494120370371</v>
          </cell>
          <cell r="D302" t="str">
            <v>Small</v>
          </cell>
          <cell r="G302" t="b">
            <v>0</v>
          </cell>
          <cell r="J302">
            <v>42373.496203703704</v>
          </cell>
          <cell r="L302">
            <v>2.9999999993015081</v>
          </cell>
          <cell r="S302" t="str">
            <v>TRUE</v>
          </cell>
        </row>
        <row r="303">
          <cell r="C303">
            <v>42373.56355324074</v>
          </cell>
          <cell r="D303" t="str">
            <v>Small</v>
          </cell>
          <cell r="E303" t="str">
            <v>Medium</v>
          </cell>
          <cell r="G303" t="b">
            <v>0</v>
          </cell>
          <cell r="J303">
            <v>42373.565613425926</v>
          </cell>
          <cell r="L303">
            <v>2.9666666686534882</v>
          </cell>
          <cell r="S303" t="str">
            <v>TRUE</v>
          </cell>
        </row>
        <row r="304">
          <cell r="C304">
            <v>42373.491990740738</v>
          </cell>
          <cell r="D304" t="str">
            <v>Medium</v>
          </cell>
          <cell r="G304" t="b">
            <v>1</v>
          </cell>
          <cell r="J304">
            <v>42373.499965277777</v>
          </cell>
          <cell r="L304">
            <v>11.483333335490897</v>
          </cell>
          <cell r="S304" t="str">
            <v>TRUE</v>
          </cell>
        </row>
        <row r="305">
          <cell r="C305">
            <v>42373.581331018519</v>
          </cell>
          <cell r="D305" t="str">
            <v>Small</v>
          </cell>
          <cell r="G305" t="b">
            <v>1</v>
          </cell>
          <cell r="J305">
            <v>42373.5940625</v>
          </cell>
          <cell r="L305">
            <v>18.333333333721384</v>
          </cell>
          <cell r="S305" t="str">
            <v>FALSE</v>
          </cell>
        </row>
        <row r="306">
          <cell r="C306">
            <v>42373.604108796295</v>
          </cell>
          <cell r="D306" t="str">
            <v>Medium</v>
          </cell>
          <cell r="E306" t="str">
            <v>Large</v>
          </cell>
          <cell r="G306" t="b">
            <v>0</v>
          </cell>
          <cell r="J306">
            <v>42373.606168981481</v>
          </cell>
          <cell r="L306">
            <v>2.9666666686534882</v>
          </cell>
          <cell r="S306" t="str">
            <v>TRUE</v>
          </cell>
        </row>
        <row r="307">
          <cell r="C307">
            <v>42373.47252314815</v>
          </cell>
          <cell r="D307" t="str">
            <v>Small</v>
          </cell>
          <cell r="E307" t="str">
            <v>Medium</v>
          </cell>
          <cell r="G307" t="b">
            <v>0</v>
          </cell>
          <cell r="J307">
            <v>42373.474594907406</v>
          </cell>
          <cell r="L307">
            <v>2.9833333287388086</v>
          </cell>
          <cell r="S307" t="str">
            <v>TRUE</v>
          </cell>
        </row>
        <row r="308">
          <cell r="C308">
            <v>42373.437083333331</v>
          </cell>
          <cell r="D308" t="str">
            <v>Medium</v>
          </cell>
          <cell r="G308" t="b">
            <v>1</v>
          </cell>
          <cell r="J308">
            <v>42373.44226851852</v>
          </cell>
          <cell r="L308">
            <v>7.4666666728444397</v>
          </cell>
          <cell r="S308" t="str">
            <v>TRUE</v>
          </cell>
        </row>
        <row r="309">
          <cell r="C309">
            <v>42373.521168981482</v>
          </cell>
          <cell r="D309" t="str">
            <v>Medium</v>
          </cell>
          <cell r="G309" t="b">
            <v>0</v>
          </cell>
          <cell r="J309">
            <v>42373.523240740738</v>
          </cell>
          <cell r="L309">
            <v>2.9833333287388086</v>
          </cell>
          <cell r="S309" t="str">
            <v>TRUE</v>
          </cell>
        </row>
        <row r="310">
          <cell r="C310">
            <v>42373.581134259257</v>
          </cell>
          <cell r="D310" t="str">
            <v>Small</v>
          </cell>
          <cell r="E310" t="str">
            <v>Medium</v>
          </cell>
          <cell r="G310" t="b">
            <v>0</v>
          </cell>
          <cell r="J310">
            <v>42373.58321759259</v>
          </cell>
          <cell r="L310">
            <v>2.9999999993015081</v>
          </cell>
          <cell r="S310" t="str">
            <v>TRUE</v>
          </cell>
        </row>
        <row r="311">
          <cell r="C311">
            <v>42373.468275462961</v>
          </cell>
          <cell r="D311" t="str">
            <v>Small</v>
          </cell>
          <cell r="G311" t="b">
            <v>1</v>
          </cell>
          <cell r="J311">
            <v>42373.473668981482</v>
          </cell>
          <cell r="L311">
            <v>7.7666666696313769</v>
          </cell>
          <cell r="S311" t="str">
            <v>TRUE</v>
          </cell>
        </row>
        <row r="312">
          <cell r="C312">
            <v>42373.506122685183</v>
          </cell>
          <cell r="D312" t="str">
            <v>Large</v>
          </cell>
          <cell r="G312" t="b">
            <v>0</v>
          </cell>
          <cell r="J312">
            <v>42373.508206018516</v>
          </cell>
          <cell r="L312">
            <v>2.9999999993015081</v>
          </cell>
          <cell r="S312" t="str">
            <v>TRUE</v>
          </cell>
        </row>
        <row r="313">
          <cell r="C313">
            <v>42373.436527777776</v>
          </cell>
          <cell r="D313" t="str">
            <v>Small</v>
          </cell>
          <cell r="E313" t="str">
            <v>Medium</v>
          </cell>
          <cell r="G313" t="b">
            <v>0</v>
          </cell>
          <cell r="J313">
            <v>42373.438599537039</v>
          </cell>
          <cell r="L313">
            <v>2.9833333392161876</v>
          </cell>
          <cell r="S313" t="str">
            <v>TRUE</v>
          </cell>
        </row>
        <row r="314">
          <cell r="C314">
            <v>42373.445856481485</v>
          </cell>
          <cell r="D314" t="str">
            <v>Large</v>
          </cell>
          <cell r="G314" t="b">
            <v>0</v>
          </cell>
          <cell r="J314">
            <v>42373.447928240741</v>
          </cell>
          <cell r="L314">
            <v>2.9833333287388086</v>
          </cell>
          <cell r="S314" t="str">
            <v>TRUE</v>
          </cell>
        </row>
        <row r="315">
          <cell r="C315">
            <v>42373.510312500002</v>
          </cell>
          <cell r="D315" t="str">
            <v>Large</v>
          </cell>
          <cell r="G315" t="b">
            <v>0</v>
          </cell>
          <cell r="J315">
            <v>42373.512384259258</v>
          </cell>
          <cell r="L315">
            <v>2.9833333287388086</v>
          </cell>
          <cell r="S315" t="str">
            <v>TRUE</v>
          </cell>
        </row>
        <row r="316">
          <cell r="C316">
            <v>42373.49628472222</v>
          </cell>
          <cell r="D316" t="str">
            <v>Small</v>
          </cell>
          <cell r="G316" t="b">
            <v>0</v>
          </cell>
          <cell r="J316">
            <v>42373.498356481483</v>
          </cell>
          <cell r="L316">
            <v>2.9833333392161876</v>
          </cell>
          <cell r="S316" t="str">
            <v>TRUE</v>
          </cell>
        </row>
        <row r="317">
          <cell r="C317">
            <v>42373.49013888889</v>
          </cell>
          <cell r="D317" t="str">
            <v>Large</v>
          </cell>
          <cell r="G317" t="b">
            <v>0</v>
          </cell>
          <cell r="J317">
            <v>42373.492210648146</v>
          </cell>
          <cell r="L317">
            <v>2.9833333287388086</v>
          </cell>
          <cell r="S317" t="str">
            <v>TRUE</v>
          </cell>
        </row>
        <row r="318">
          <cell r="C318">
            <v>42373.579201388886</v>
          </cell>
          <cell r="D318" t="str">
            <v>Small</v>
          </cell>
          <cell r="G318" t="b">
            <v>0</v>
          </cell>
          <cell r="J318">
            <v>42373.581273148149</v>
          </cell>
          <cell r="L318">
            <v>2.9833333392161876</v>
          </cell>
          <cell r="S318" t="str">
            <v>TRUE</v>
          </cell>
        </row>
        <row r="319">
          <cell r="C319">
            <v>42373.48228009259</v>
          </cell>
          <cell r="D319" t="str">
            <v>Large</v>
          </cell>
          <cell r="G319" t="b">
            <v>0</v>
          </cell>
          <cell r="J319">
            <v>42373.484375</v>
          </cell>
          <cell r="L319">
            <v>3.0166666698642075</v>
          </cell>
          <cell r="S319" t="str">
            <v>TRUE</v>
          </cell>
        </row>
        <row r="320">
          <cell r="C320">
            <v>42373.495648148149</v>
          </cell>
          <cell r="D320" t="str">
            <v>Small</v>
          </cell>
          <cell r="G320" t="b">
            <v>1</v>
          </cell>
          <cell r="J320">
            <v>42373.498819444445</v>
          </cell>
          <cell r="L320">
            <v>4.5666666654869914</v>
          </cell>
          <cell r="S320" t="str">
            <v>TRUE</v>
          </cell>
        </row>
        <row r="321">
          <cell r="C321">
            <v>42373.440497685187</v>
          </cell>
          <cell r="D321" t="str">
            <v>Small</v>
          </cell>
          <cell r="G321" t="b">
            <v>0</v>
          </cell>
          <cell r="J321">
            <v>42373.442557870374</v>
          </cell>
          <cell r="L321">
            <v>2.9666666686534882</v>
          </cell>
          <cell r="S321" t="str">
            <v>TRUE</v>
          </cell>
        </row>
        <row r="322">
          <cell r="C322">
            <v>42373.487025462964</v>
          </cell>
          <cell r="D322" t="str">
            <v>Large</v>
          </cell>
          <cell r="G322" t="b">
            <v>1</v>
          </cell>
          <cell r="J322">
            <v>42373.506226851852</v>
          </cell>
          <cell r="L322">
            <v>27.649999998975545</v>
          </cell>
          <cell r="S322" t="str">
            <v>FALSE</v>
          </cell>
        </row>
        <row r="323">
          <cell r="C323">
            <v>42373.526122685187</v>
          </cell>
          <cell r="D323" t="str">
            <v>Small</v>
          </cell>
          <cell r="E323" t="str">
            <v>Large</v>
          </cell>
          <cell r="G323" t="b">
            <v>0</v>
          </cell>
          <cell r="J323">
            <v>42373.528194444443</v>
          </cell>
          <cell r="L323">
            <v>2.9833333287388086</v>
          </cell>
          <cell r="S323" t="str">
            <v>TRUE</v>
          </cell>
        </row>
        <row r="324">
          <cell r="C324">
            <v>42373.445613425924</v>
          </cell>
          <cell r="D324" t="str">
            <v>Medium</v>
          </cell>
          <cell r="G324" t="b">
            <v>0</v>
          </cell>
          <cell r="J324">
            <v>42373.44767361111</v>
          </cell>
          <cell r="L324">
            <v>2.9666666686534882</v>
          </cell>
          <cell r="S324" t="str">
            <v>TRUE</v>
          </cell>
        </row>
        <row r="325">
          <cell r="C325">
            <v>42373.452615740738</v>
          </cell>
          <cell r="D325" t="str">
            <v>Large</v>
          </cell>
          <cell r="G325" t="b">
            <v>0</v>
          </cell>
          <cell r="J325">
            <v>42373.454675925925</v>
          </cell>
          <cell r="L325">
            <v>2.9666666686534882</v>
          </cell>
          <cell r="S325" t="str">
            <v>TRUE</v>
          </cell>
        </row>
        <row r="326">
          <cell r="C326">
            <v>42373.54283564815</v>
          </cell>
          <cell r="D326" t="str">
            <v>Small</v>
          </cell>
          <cell r="E326" t="str">
            <v>Medium</v>
          </cell>
          <cell r="G326" t="b">
            <v>1</v>
          </cell>
          <cell r="J326">
            <v>42373.55023148148</v>
          </cell>
          <cell r="L326">
            <v>10.649999995948747</v>
          </cell>
          <cell r="S326" t="str">
            <v>TRUE</v>
          </cell>
        </row>
        <row r="327">
          <cell r="C327">
            <v>42373.521307870367</v>
          </cell>
          <cell r="D327" t="str">
            <v>Medium</v>
          </cell>
          <cell r="G327" t="b">
            <v>0</v>
          </cell>
          <cell r="J327">
            <v>42373.523379629631</v>
          </cell>
          <cell r="L327">
            <v>2.9833333392161876</v>
          </cell>
          <cell r="S327" t="str">
            <v>TRUE</v>
          </cell>
        </row>
        <row r="328">
          <cell r="C328">
            <v>42373.538645833331</v>
          </cell>
          <cell r="D328" t="str">
            <v>Small</v>
          </cell>
          <cell r="G328" t="b">
            <v>0</v>
          </cell>
          <cell r="J328">
            <v>42373.540729166663</v>
          </cell>
          <cell r="L328">
            <v>2.9999999993015081</v>
          </cell>
          <cell r="S328" t="str">
            <v>TRUE</v>
          </cell>
        </row>
        <row r="329">
          <cell r="C329">
            <v>42373.446180555555</v>
          </cell>
          <cell r="D329" t="str">
            <v>Small</v>
          </cell>
          <cell r="E329" t="str">
            <v>Large</v>
          </cell>
          <cell r="G329" t="b">
            <v>0</v>
          </cell>
          <cell r="J329">
            <v>42373.448252314818</v>
          </cell>
          <cell r="L329">
            <v>2.9833333392161876</v>
          </cell>
          <cell r="S329" t="str">
            <v>TRUE</v>
          </cell>
        </row>
        <row r="330">
          <cell r="C330">
            <v>42373.442615740743</v>
          </cell>
          <cell r="D330" t="str">
            <v>Medium</v>
          </cell>
          <cell r="G330" t="b">
            <v>1</v>
          </cell>
          <cell r="J330">
            <v>42373.45212962963</v>
          </cell>
          <cell r="L330">
            <v>13.699999996460974</v>
          </cell>
          <cell r="S330" t="str">
            <v>TRUE</v>
          </cell>
        </row>
        <row r="331">
          <cell r="C331">
            <v>42373.600324074076</v>
          </cell>
          <cell r="D331" t="str">
            <v>Small</v>
          </cell>
          <cell r="E331" t="str">
            <v>Medium</v>
          </cell>
          <cell r="G331" t="b">
            <v>1</v>
          </cell>
          <cell r="J331">
            <v>42373.610243055555</v>
          </cell>
          <cell r="L331">
            <v>14.283333329949528</v>
          </cell>
          <cell r="S331" t="str">
            <v>TRUE</v>
          </cell>
        </row>
        <row r="332">
          <cell r="C332">
            <v>42373.451851851853</v>
          </cell>
          <cell r="D332" t="str">
            <v>Small</v>
          </cell>
          <cell r="E332" t="str">
            <v>Medium</v>
          </cell>
          <cell r="G332" t="b">
            <v>0</v>
          </cell>
          <cell r="J332">
            <v>42373.453935185185</v>
          </cell>
          <cell r="L332">
            <v>2.9999999993015081</v>
          </cell>
          <cell r="S332" t="str">
            <v>TRUE</v>
          </cell>
        </row>
        <row r="333">
          <cell r="C333">
            <v>42373.524722222224</v>
          </cell>
          <cell r="D333" t="str">
            <v>Small</v>
          </cell>
          <cell r="E333" t="str">
            <v>Medium</v>
          </cell>
          <cell r="G333" t="b">
            <v>0</v>
          </cell>
          <cell r="J333">
            <v>42373.526805555557</v>
          </cell>
          <cell r="L333">
            <v>2.9999999993015081</v>
          </cell>
          <cell r="S333" t="str">
            <v>TRUE</v>
          </cell>
        </row>
        <row r="334">
          <cell r="C334">
            <v>42373.571064814816</v>
          </cell>
          <cell r="D334" t="str">
            <v>Small</v>
          </cell>
          <cell r="E334" t="str">
            <v>Medium</v>
          </cell>
          <cell r="G334" t="b">
            <v>0</v>
          </cell>
          <cell r="J334">
            <v>42373.573136574072</v>
          </cell>
          <cell r="L334">
            <v>2.9833333287388086</v>
          </cell>
          <cell r="S334" t="str">
            <v>TRUE</v>
          </cell>
        </row>
        <row r="335">
          <cell r="C335">
            <v>42373.470381944448</v>
          </cell>
          <cell r="D335" t="str">
            <v>Small</v>
          </cell>
          <cell r="G335" t="b">
            <v>1</v>
          </cell>
          <cell r="J335">
            <v>42373.476678240739</v>
          </cell>
          <cell r="L335">
            <v>9.066666659200564</v>
          </cell>
          <cell r="S335" t="str">
            <v>TRUE</v>
          </cell>
        </row>
        <row r="336">
          <cell r="C336">
            <v>42373.481631944444</v>
          </cell>
          <cell r="D336" t="str">
            <v>Large</v>
          </cell>
          <cell r="G336" t="b">
            <v>1</v>
          </cell>
          <cell r="J336">
            <v>42373.492928240739</v>
          </cell>
          <cell r="L336">
            <v>16.266666665906087</v>
          </cell>
          <cell r="S336" t="str">
            <v>FALSE</v>
          </cell>
        </row>
        <row r="337">
          <cell r="C337">
            <v>42374.542673611111</v>
          </cell>
          <cell r="D337" t="str">
            <v>Small</v>
          </cell>
          <cell r="G337" t="b">
            <v>1</v>
          </cell>
          <cell r="J337">
            <v>42374.544803240744</v>
          </cell>
          <cell r="L337">
            <v>3.0666666710749269</v>
          </cell>
          <cell r="S337" t="str">
            <v>TRUE</v>
          </cell>
        </row>
        <row r="338">
          <cell r="C338">
            <v>42374.584756944445</v>
          </cell>
          <cell r="D338" t="str">
            <v>Medium</v>
          </cell>
          <cell r="G338" t="b">
            <v>0</v>
          </cell>
          <cell r="J338">
            <v>42374.586828703701</v>
          </cell>
          <cell r="L338">
            <v>2.9833333287388086</v>
          </cell>
          <cell r="S338" t="str">
            <v>TRUE</v>
          </cell>
        </row>
        <row r="339">
          <cell r="C339">
            <v>42374.529976851853</v>
          </cell>
          <cell r="D339" t="str">
            <v>Small</v>
          </cell>
          <cell r="G339" t="b">
            <v>1</v>
          </cell>
          <cell r="J339">
            <v>42374.538854166669</v>
          </cell>
          <cell r="L339">
            <v>12.783333335537463</v>
          </cell>
          <cell r="S339" t="str">
            <v>TRUE</v>
          </cell>
        </row>
        <row r="340">
          <cell r="C340">
            <v>42374.498854166668</v>
          </cell>
          <cell r="D340" t="str">
            <v>Small</v>
          </cell>
          <cell r="E340" t="str">
            <v>Medium</v>
          </cell>
          <cell r="G340" t="b">
            <v>0</v>
          </cell>
          <cell r="J340">
            <v>42374.500949074078</v>
          </cell>
          <cell r="L340">
            <v>3.0166666698642075</v>
          </cell>
          <cell r="S340" t="str">
            <v>TRUE</v>
          </cell>
        </row>
        <row r="341">
          <cell r="C341">
            <v>42374.481782407405</v>
          </cell>
          <cell r="D341" t="str">
            <v>Large</v>
          </cell>
          <cell r="G341" t="b">
            <v>0</v>
          </cell>
          <cell r="J341">
            <v>42374.483877314815</v>
          </cell>
          <cell r="L341">
            <v>3.0166666698642075</v>
          </cell>
          <cell r="S341" t="str">
            <v>TRUE</v>
          </cell>
        </row>
        <row r="342">
          <cell r="C342">
            <v>42374.511400462965</v>
          </cell>
          <cell r="D342" t="str">
            <v>Large</v>
          </cell>
          <cell r="G342" t="b">
            <v>1</v>
          </cell>
          <cell r="J342">
            <v>42374.525775462964</v>
          </cell>
          <cell r="L342">
            <v>20.699999998323619</v>
          </cell>
          <cell r="S342" t="str">
            <v>FALSE</v>
          </cell>
        </row>
        <row r="343">
          <cell r="C343">
            <v>42374.459918981483</v>
          </cell>
          <cell r="D343" t="str">
            <v>Large</v>
          </cell>
          <cell r="G343" t="b">
            <v>1</v>
          </cell>
          <cell r="J343">
            <v>42374.479166666664</v>
          </cell>
          <cell r="L343">
            <v>27.716666660271585</v>
          </cell>
          <cell r="S343" t="str">
            <v>FALSE</v>
          </cell>
        </row>
        <row r="344">
          <cell r="C344">
            <v>42374.488298611112</v>
          </cell>
          <cell r="D344" t="str">
            <v>Medium</v>
          </cell>
          <cell r="G344" t="b">
            <v>0</v>
          </cell>
          <cell r="J344">
            <v>42374.490370370368</v>
          </cell>
          <cell r="L344">
            <v>2.9833333287388086</v>
          </cell>
          <cell r="S344" t="str">
            <v>TRUE</v>
          </cell>
        </row>
        <row r="345">
          <cell r="C345">
            <v>42374.549537037034</v>
          </cell>
          <cell r="D345" t="str">
            <v>Small</v>
          </cell>
          <cell r="E345" t="str">
            <v>Medium</v>
          </cell>
          <cell r="G345" t="b">
            <v>1</v>
          </cell>
          <cell r="J345">
            <v>42374.556076388886</v>
          </cell>
          <cell r="L345">
            <v>9.4166666676755995</v>
          </cell>
          <cell r="S345" t="str">
            <v>TRUE</v>
          </cell>
        </row>
        <row r="346">
          <cell r="C346">
            <v>42374.473692129628</v>
          </cell>
          <cell r="D346" t="str">
            <v>Small</v>
          </cell>
          <cell r="E346" t="str">
            <v>Medium</v>
          </cell>
          <cell r="G346" t="b">
            <v>0</v>
          </cell>
          <cell r="J346">
            <v>42374.475787037038</v>
          </cell>
          <cell r="L346">
            <v>3.0166666698642075</v>
          </cell>
          <cell r="S346" t="str">
            <v>TRUE</v>
          </cell>
        </row>
        <row r="347">
          <cell r="C347">
            <v>42374.488229166665</v>
          </cell>
          <cell r="D347" t="str">
            <v>Large</v>
          </cell>
          <cell r="G347" t="b">
            <v>0</v>
          </cell>
          <cell r="J347">
            <v>42374.490312499998</v>
          </cell>
          <cell r="L347">
            <v>2.9999999993015081</v>
          </cell>
          <cell r="S347" t="str">
            <v>TRUE</v>
          </cell>
        </row>
        <row r="348">
          <cell r="C348">
            <v>42374.499293981484</v>
          </cell>
          <cell r="D348" t="str">
            <v>Large</v>
          </cell>
          <cell r="G348" t="b">
            <v>1</v>
          </cell>
          <cell r="J348">
            <v>42374.511342592596</v>
          </cell>
          <cell r="L348">
            <v>17.350000001024455</v>
          </cell>
          <cell r="S348" t="str">
            <v>FALSE</v>
          </cell>
        </row>
        <row r="349">
          <cell r="C349">
            <v>42374.577523148146</v>
          </cell>
          <cell r="D349" t="str">
            <v>Large</v>
          </cell>
          <cell r="G349" t="b">
            <v>0</v>
          </cell>
          <cell r="J349">
            <v>42374.579629629632</v>
          </cell>
          <cell r="L349">
            <v>3.0333333404269069</v>
          </cell>
          <cell r="S349" t="str">
            <v>TRUE</v>
          </cell>
        </row>
        <row r="350">
          <cell r="C350">
            <v>42374.556180555555</v>
          </cell>
          <cell r="D350" t="str">
            <v>Small</v>
          </cell>
          <cell r="E350" t="str">
            <v>Large</v>
          </cell>
          <cell r="G350" t="b">
            <v>0</v>
          </cell>
          <cell r="J350">
            <v>42374.558217592596</v>
          </cell>
          <cell r="L350">
            <v>2.9333333380054682</v>
          </cell>
          <cell r="S350" t="str">
            <v>TRUE</v>
          </cell>
        </row>
        <row r="351">
          <cell r="C351">
            <v>42374.487118055556</v>
          </cell>
          <cell r="D351" t="str">
            <v>Small</v>
          </cell>
          <cell r="E351" t="str">
            <v>Large</v>
          </cell>
          <cell r="G351" t="b">
            <v>0</v>
          </cell>
          <cell r="J351">
            <v>42374.489178240743</v>
          </cell>
          <cell r="L351">
            <v>2.9666666686534882</v>
          </cell>
          <cell r="S351" t="str">
            <v>TRUE</v>
          </cell>
        </row>
        <row r="352">
          <cell r="C352">
            <v>42374.482071759259</v>
          </cell>
          <cell r="D352" t="str">
            <v>Medium</v>
          </cell>
          <cell r="G352" t="b">
            <v>0</v>
          </cell>
          <cell r="J352">
            <v>42374.484155092592</v>
          </cell>
          <cell r="L352">
            <v>2.9999999993015081</v>
          </cell>
          <cell r="S352" t="str">
            <v>TRUE</v>
          </cell>
        </row>
        <row r="353">
          <cell r="C353">
            <v>42374.545555555553</v>
          </cell>
          <cell r="D353" t="str">
            <v>Medium</v>
          </cell>
          <cell r="G353" t="b">
            <v>1</v>
          </cell>
          <cell r="J353">
            <v>42374.555706018517</v>
          </cell>
          <cell r="L353">
            <v>14.616666667861864</v>
          </cell>
          <cell r="S353" t="str">
            <v>TRUE</v>
          </cell>
        </row>
        <row r="354">
          <cell r="C354">
            <v>42374.552384259259</v>
          </cell>
          <cell r="D354" t="str">
            <v>Large</v>
          </cell>
          <cell r="G354" t="b">
            <v>1</v>
          </cell>
          <cell r="J354">
            <v>42374.563298611109</v>
          </cell>
          <cell r="L354">
            <v>15.716666663065553</v>
          </cell>
          <cell r="S354" t="str">
            <v>TRUE</v>
          </cell>
        </row>
        <row r="355">
          <cell r="C355">
            <v>42374.480509259258</v>
          </cell>
          <cell r="D355" t="str">
            <v>Small</v>
          </cell>
          <cell r="G355" t="b">
            <v>1</v>
          </cell>
          <cell r="J355">
            <v>42374.492615740739</v>
          </cell>
          <cell r="L355">
            <v>17.433333332883194</v>
          </cell>
          <cell r="S355" t="str">
            <v>FALSE</v>
          </cell>
        </row>
        <row r="356">
          <cell r="C356">
            <v>42374.470069444447</v>
          </cell>
          <cell r="D356" t="str">
            <v>Small</v>
          </cell>
          <cell r="E356" t="str">
            <v>Medium</v>
          </cell>
          <cell r="G356" t="b">
            <v>1</v>
          </cell>
          <cell r="J356">
            <v>42374.47792824074</v>
          </cell>
          <cell r="L356">
            <v>11.31666666129604</v>
          </cell>
          <cell r="S356" t="str">
            <v>TRUE</v>
          </cell>
        </row>
        <row r="357">
          <cell r="C357">
            <v>42374.448912037034</v>
          </cell>
          <cell r="D357" t="str">
            <v>Small</v>
          </cell>
          <cell r="G357" t="b">
            <v>1</v>
          </cell>
          <cell r="J357">
            <v>42374.457638888889</v>
          </cell>
          <cell r="L357">
            <v>12.566666670609266</v>
          </cell>
          <cell r="S357" t="str">
            <v>TRUE</v>
          </cell>
        </row>
        <row r="358">
          <cell r="C358">
            <v>42374.518518518518</v>
          </cell>
          <cell r="D358" t="str">
            <v>Small</v>
          </cell>
          <cell r="G358" t="b">
            <v>1</v>
          </cell>
          <cell r="J358">
            <v>42374.5312962963</v>
          </cell>
          <cell r="L358">
            <v>18.400000005494803</v>
          </cell>
          <cell r="S358" t="str">
            <v>FALSE</v>
          </cell>
        </row>
        <row r="359">
          <cell r="C359">
            <v>42374.565243055556</v>
          </cell>
          <cell r="D359" t="str">
            <v>Medium</v>
          </cell>
          <cell r="G359" t="b">
            <v>1</v>
          </cell>
          <cell r="J359">
            <v>42374.579363425924</v>
          </cell>
          <cell r="L359">
            <v>20.333333329763263</v>
          </cell>
          <cell r="S359" t="str">
            <v>FALSE</v>
          </cell>
        </row>
        <row r="360">
          <cell r="C360">
            <v>42374.427546296298</v>
          </cell>
          <cell r="D360" t="str">
            <v>Large</v>
          </cell>
          <cell r="G360" t="b">
            <v>1</v>
          </cell>
          <cell r="J360">
            <v>42374.436793981484</v>
          </cell>
          <cell r="L360">
            <v>13.316666667815298</v>
          </cell>
          <cell r="S360" t="str">
            <v>TRUE</v>
          </cell>
        </row>
        <row r="361">
          <cell r="C361">
            <v>42374.486851851849</v>
          </cell>
          <cell r="D361" t="str">
            <v>Small</v>
          </cell>
          <cell r="E361" t="str">
            <v>Large</v>
          </cell>
          <cell r="G361" t="b">
            <v>1</v>
          </cell>
          <cell r="J361">
            <v>42374.499918981484</v>
          </cell>
          <cell r="L361">
            <v>18.816666675265878</v>
          </cell>
          <cell r="S361" t="str">
            <v>FALSE</v>
          </cell>
        </row>
        <row r="362">
          <cell r="C362">
            <v>42374.442974537036</v>
          </cell>
          <cell r="D362" t="str">
            <v>Medium</v>
          </cell>
          <cell r="G362" t="b">
            <v>1</v>
          </cell>
          <cell r="J362">
            <v>42374.451956018522</v>
          </cell>
          <cell r="L362">
            <v>12.933333339169621</v>
          </cell>
          <cell r="S362" t="str">
            <v>TRUE</v>
          </cell>
        </row>
        <row r="363">
          <cell r="C363">
            <v>42374.528981481482</v>
          </cell>
          <cell r="D363" t="str">
            <v>Small</v>
          </cell>
          <cell r="G363" t="b">
            <v>1</v>
          </cell>
          <cell r="J363">
            <v>42374.542627314811</v>
          </cell>
          <cell r="L363">
            <v>19.649999993853271</v>
          </cell>
          <cell r="S363" t="str">
            <v>FALSE</v>
          </cell>
        </row>
        <row r="364">
          <cell r="C364">
            <v>42374.470034722224</v>
          </cell>
          <cell r="D364" t="str">
            <v>Large</v>
          </cell>
          <cell r="G364" t="b">
            <v>0</v>
          </cell>
          <cell r="J364">
            <v>42374.47210648148</v>
          </cell>
          <cell r="L364">
            <v>2.9833333287388086</v>
          </cell>
          <cell r="S364" t="str">
            <v>TRUE</v>
          </cell>
        </row>
        <row r="365">
          <cell r="C365">
            <v>42374.519259259258</v>
          </cell>
          <cell r="D365" t="str">
            <v>Large</v>
          </cell>
          <cell r="G365" t="b">
            <v>1</v>
          </cell>
          <cell r="J365">
            <v>42374.526377314818</v>
          </cell>
          <cell r="L365">
            <v>10.25000000721775</v>
          </cell>
          <cell r="S365" t="str">
            <v>TRUE</v>
          </cell>
        </row>
        <row r="366">
          <cell r="C366">
            <v>42374.536597222221</v>
          </cell>
          <cell r="D366" t="str">
            <v>Large</v>
          </cell>
          <cell r="G366" t="b">
            <v>0</v>
          </cell>
          <cell r="J366">
            <v>42374.538657407407</v>
          </cell>
          <cell r="L366">
            <v>2.9666666686534882</v>
          </cell>
          <cell r="S366" t="str">
            <v>TRUE</v>
          </cell>
        </row>
        <row r="367">
          <cell r="C367">
            <v>42374.541539351849</v>
          </cell>
          <cell r="D367" t="str">
            <v>Small</v>
          </cell>
          <cell r="E367" t="str">
            <v>Medium</v>
          </cell>
          <cell r="G367" t="b">
            <v>1</v>
          </cell>
          <cell r="J367">
            <v>42374.549699074072</v>
          </cell>
          <cell r="L367">
            <v>11.750000001629815</v>
          </cell>
          <cell r="S367" t="str">
            <v>TRUE</v>
          </cell>
        </row>
        <row r="368">
          <cell r="C368">
            <v>42374.577476851853</v>
          </cell>
          <cell r="D368" t="str">
            <v>Small</v>
          </cell>
          <cell r="E368" t="str">
            <v>Medium</v>
          </cell>
          <cell r="G368" t="b">
            <v>1</v>
          </cell>
          <cell r="J368">
            <v>42374.588784722226</v>
          </cell>
          <cell r="L368">
            <v>16.283333336468786</v>
          </cell>
          <cell r="S368" t="str">
            <v>FALSE</v>
          </cell>
        </row>
        <row r="369">
          <cell r="C369">
            <v>42374.456469907411</v>
          </cell>
          <cell r="D369" t="str">
            <v>Small</v>
          </cell>
          <cell r="E369" t="str">
            <v>Large</v>
          </cell>
          <cell r="G369" t="b">
            <v>1</v>
          </cell>
          <cell r="J369">
            <v>42374.46601851852</v>
          </cell>
          <cell r="L369">
            <v>13.749999997671694</v>
          </cell>
          <cell r="S369" t="str">
            <v>TRUE</v>
          </cell>
        </row>
        <row r="370">
          <cell r="C370">
            <v>42374.478321759256</v>
          </cell>
          <cell r="D370" t="str">
            <v>Small</v>
          </cell>
          <cell r="G370" t="b">
            <v>1</v>
          </cell>
          <cell r="J370">
            <v>42374.493402777778</v>
          </cell>
          <cell r="L370">
            <v>21.716666672145948</v>
          </cell>
          <cell r="S370" t="str">
            <v>FALSE</v>
          </cell>
        </row>
        <row r="371">
          <cell r="C371">
            <v>42374.516956018517</v>
          </cell>
          <cell r="D371" t="str">
            <v>Small</v>
          </cell>
          <cell r="G371" t="b">
            <v>0</v>
          </cell>
          <cell r="J371">
            <v>42374.519050925926</v>
          </cell>
          <cell r="L371">
            <v>3.0166666698642075</v>
          </cell>
          <cell r="S371" t="str">
            <v>TRUE</v>
          </cell>
        </row>
        <row r="372">
          <cell r="C372">
            <v>42374.456516203703</v>
          </cell>
          <cell r="D372" t="str">
            <v>Large</v>
          </cell>
          <cell r="G372" t="b">
            <v>1</v>
          </cell>
          <cell r="J372">
            <v>42374.469699074078</v>
          </cell>
          <cell r="L372">
            <v>18.983333338983357</v>
          </cell>
          <cell r="S372" t="str">
            <v>FALSE</v>
          </cell>
        </row>
        <row r="373">
          <cell r="C373">
            <v>42374.469537037039</v>
          </cell>
          <cell r="D373" t="str">
            <v>Medium</v>
          </cell>
          <cell r="G373" t="b">
            <v>0</v>
          </cell>
          <cell r="J373">
            <v>42374.471620370372</v>
          </cell>
          <cell r="L373">
            <v>2.9999999993015081</v>
          </cell>
          <cell r="S373" t="str">
            <v>TRUE</v>
          </cell>
        </row>
        <row r="374">
          <cell r="C374">
            <v>42374.548877314817</v>
          </cell>
          <cell r="D374" t="str">
            <v>Medium</v>
          </cell>
          <cell r="G374" t="b">
            <v>1</v>
          </cell>
          <cell r="J374">
            <v>42374.56653935185</v>
          </cell>
          <cell r="L374">
            <v>25.433333327528089</v>
          </cell>
          <cell r="S374" t="str">
            <v>FALSE</v>
          </cell>
        </row>
        <row r="375">
          <cell r="C375">
            <v>42374.500787037039</v>
          </cell>
          <cell r="D375" t="str">
            <v>Small</v>
          </cell>
          <cell r="E375" t="str">
            <v>Large</v>
          </cell>
          <cell r="G375" t="b">
            <v>0</v>
          </cell>
          <cell r="J375">
            <v>42374.502858796295</v>
          </cell>
          <cell r="L375">
            <v>2.9833333287388086</v>
          </cell>
          <cell r="S375" t="str">
            <v>TRUE</v>
          </cell>
        </row>
        <row r="376">
          <cell r="C376">
            <v>42374.495578703703</v>
          </cell>
          <cell r="D376" t="str">
            <v>Medium</v>
          </cell>
          <cell r="G376" t="b">
            <v>0</v>
          </cell>
          <cell r="J376">
            <v>42374.497650462959</v>
          </cell>
          <cell r="L376">
            <v>2.9833333287388086</v>
          </cell>
          <cell r="S376" t="str">
            <v>TRUE</v>
          </cell>
        </row>
        <row r="377">
          <cell r="C377">
            <v>42374.530115740738</v>
          </cell>
          <cell r="D377" t="str">
            <v>Large</v>
          </cell>
          <cell r="G377" t="b">
            <v>1</v>
          </cell>
          <cell r="J377">
            <v>42374.538773148146</v>
          </cell>
          <cell r="L377">
            <v>12.466666668187827</v>
          </cell>
          <cell r="S377" t="str">
            <v>TRUE</v>
          </cell>
        </row>
        <row r="378">
          <cell r="C378">
            <v>42374.549293981479</v>
          </cell>
          <cell r="D378" t="str">
            <v>Small</v>
          </cell>
          <cell r="E378" t="str">
            <v>Medium</v>
          </cell>
          <cell r="G378" t="b">
            <v>1</v>
          </cell>
          <cell r="J378">
            <v>42374.55201388889</v>
          </cell>
          <cell r="L378">
            <v>3.9166666707023978</v>
          </cell>
          <cell r="S378" t="str">
            <v>TRUE</v>
          </cell>
        </row>
        <row r="379">
          <cell r="C379">
            <v>42374.525995370372</v>
          </cell>
          <cell r="D379" t="str">
            <v>Small</v>
          </cell>
          <cell r="G379" t="b">
            <v>1</v>
          </cell>
          <cell r="J379">
            <v>42374.533055555556</v>
          </cell>
          <cell r="L379">
            <v>10.166666664881632</v>
          </cell>
          <cell r="S379" t="str">
            <v>TRUE</v>
          </cell>
        </row>
        <row r="380">
          <cell r="C380">
            <v>42374.531701388885</v>
          </cell>
          <cell r="D380" t="str">
            <v>Small</v>
          </cell>
          <cell r="E380" t="str">
            <v>Large</v>
          </cell>
          <cell r="G380" t="b">
            <v>0</v>
          </cell>
          <cell r="J380">
            <v>42374.533773148149</v>
          </cell>
          <cell r="L380">
            <v>2.9833333392161876</v>
          </cell>
          <cell r="S380" t="str">
            <v>TRUE</v>
          </cell>
        </row>
        <row r="381">
          <cell r="C381">
            <v>42374.529085648152</v>
          </cell>
          <cell r="D381" t="str">
            <v>Small</v>
          </cell>
          <cell r="G381" t="b">
            <v>0</v>
          </cell>
          <cell r="J381">
            <v>42374.531180555554</v>
          </cell>
          <cell r="L381">
            <v>3.0166666593868285</v>
          </cell>
          <cell r="S381" t="str">
            <v>TRUE</v>
          </cell>
        </row>
        <row r="382">
          <cell r="C382">
            <v>42374.554594907408</v>
          </cell>
          <cell r="D382" t="str">
            <v>Small</v>
          </cell>
          <cell r="E382" t="str">
            <v>Large</v>
          </cell>
          <cell r="G382" t="b">
            <v>1</v>
          </cell>
          <cell r="J382">
            <v>42374.566157407404</v>
          </cell>
          <cell r="L382">
            <v>16.649999994551763</v>
          </cell>
          <cell r="S382" t="str">
            <v>FALSE</v>
          </cell>
        </row>
        <row r="383">
          <cell r="C383">
            <v>42374.592812499999</v>
          </cell>
          <cell r="D383" t="str">
            <v>Large</v>
          </cell>
          <cell r="G383" t="b">
            <v>1</v>
          </cell>
          <cell r="J383">
            <v>42374.607766203706</v>
          </cell>
          <cell r="L383">
            <v>21.53333333786577</v>
          </cell>
          <cell r="S383" t="str">
            <v>FALSE</v>
          </cell>
        </row>
        <row r="384">
          <cell r="C384">
            <v>42374.539733796293</v>
          </cell>
          <cell r="D384" t="str">
            <v>Medium</v>
          </cell>
          <cell r="G384" t="b">
            <v>1</v>
          </cell>
          <cell r="J384">
            <v>42374.554918981485</v>
          </cell>
          <cell r="L384">
            <v>21.866666675778106</v>
          </cell>
          <cell r="S384" t="str">
            <v>FALSE</v>
          </cell>
        </row>
        <row r="385">
          <cell r="C385">
            <v>42374.484340277777</v>
          </cell>
          <cell r="D385" t="str">
            <v>Small</v>
          </cell>
          <cell r="E385" t="str">
            <v>Medium</v>
          </cell>
          <cell r="G385" t="b">
            <v>1</v>
          </cell>
          <cell r="J385">
            <v>42374.495347222219</v>
          </cell>
          <cell r="L385">
            <v>15.849999996135011</v>
          </cell>
          <cell r="S385" t="str">
            <v>TRUE</v>
          </cell>
        </row>
        <row r="386">
          <cell r="C386">
            <v>42374.495995370373</v>
          </cell>
          <cell r="D386" t="str">
            <v>Small</v>
          </cell>
          <cell r="E386" t="str">
            <v>Large</v>
          </cell>
          <cell r="G386" t="b">
            <v>0</v>
          </cell>
          <cell r="J386">
            <v>42374.498078703706</v>
          </cell>
          <cell r="L386">
            <v>2.9999999993015081</v>
          </cell>
          <cell r="S386" t="str">
            <v>TRUE</v>
          </cell>
        </row>
        <row r="387">
          <cell r="C387">
            <v>42374.567881944444</v>
          </cell>
          <cell r="D387" t="str">
            <v>Large</v>
          </cell>
          <cell r="G387" t="b">
            <v>0</v>
          </cell>
          <cell r="J387">
            <v>42374.56994212963</v>
          </cell>
          <cell r="L387">
            <v>2.9666666686534882</v>
          </cell>
          <cell r="S387" t="str">
            <v>TRUE</v>
          </cell>
        </row>
        <row r="388">
          <cell r="C388">
            <v>42374.496736111112</v>
          </cell>
          <cell r="D388" t="str">
            <v>Small</v>
          </cell>
          <cell r="G388" t="b">
            <v>0</v>
          </cell>
          <cell r="J388">
            <v>42374.498796296299</v>
          </cell>
          <cell r="L388">
            <v>2.9666666686534882</v>
          </cell>
          <cell r="S388" t="str">
            <v>TRUE</v>
          </cell>
        </row>
        <row r="389">
          <cell r="C389">
            <v>42374.510706018518</v>
          </cell>
          <cell r="D389" t="str">
            <v>Small</v>
          </cell>
          <cell r="G389" t="b">
            <v>0</v>
          </cell>
          <cell r="J389">
            <v>42374.512766203705</v>
          </cell>
          <cell r="L389">
            <v>2.9666666686534882</v>
          </cell>
          <cell r="S389" t="str">
            <v>TRUE</v>
          </cell>
        </row>
        <row r="390">
          <cell r="C390">
            <v>42374.548182870371</v>
          </cell>
          <cell r="D390" t="str">
            <v>Large</v>
          </cell>
          <cell r="G390" t="b">
            <v>1</v>
          </cell>
          <cell r="J390">
            <v>42374.562893518516</v>
          </cell>
          <cell r="L390">
            <v>21.183333329390734</v>
          </cell>
          <cell r="S390" t="str">
            <v>FALSE</v>
          </cell>
        </row>
        <row r="391">
          <cell r="C391">
            <v>42374.573344907411</v>
          </cell>
          <cell r="D391" t="str">
            <v>Medium</v>
          </cell>
          <cell r="G391" t="b">
            <v>1</v>
          </cell>
          <cell r="J391">
            <v>42374.587893518517</v>
          </cell>
          <cell r="L391">
            <v>20.949999993899837</v>
          </cell>
          <cell r="S391" t="str">
            <v>FALSE</v>
          </cell>
        </row>
        <row r="392">
          <cell r="C392">
            <v>42374.492060185185</v>
          </cell>
          <cell r="D392" t="str">
            <v>Large</v>
          </cell>
          <cell r="G392" t="b">
            <v>0</v>
          </cell>
          <cell r="J392">
            <v>42374.494143518517</v>
          </cell>
          <cell r="L392">
            <v>2.9999999993015081</v>
          </cell>
          <cell r="S392" t="str">
            <v>TRUE</v>
          </cell>
        </row>
        <row r="393">
          <cell r="C393">
            <v>42374.524502314816</v>
          </cell>
          <cell r="D393" t="str">
            <v>Small</v>
          </cell>
          <cell r="E393" t="str">
            <v>Medium</v>
          </cell>
          <cell r="G393" t="b">
            <v>1</v>
          </cell>
          <cell r="J393">
            <v>42374.529710648145</v>
          </cell>
          <cell r="L393">
            <v>7.4999999930150807</v>
          </cell>
          <cell r="S393" t="str">
            <v>TRUE</v>
          </cell>
        </row>
        <row r="394">
          <cell r="C394">
            <v>42374.531261574077</v>
          </cell>
          <cell r="D394" t="str">
            <v>Medium</v>
          </cell>
          <cell r="G394" t="b">
            <v>1</v>
          </cell>
          <cell r="J394">
            <v>42374.547152777777</v>
          </cell>
          <cell r="L394">
            <v>22.883333328645676</v>
          </cell>
          <cell r="S394" t="str">
            <v>FALSE</v>
          </cell>
        </row>
        <row r="395">
          <cell r="C395">
            <v>42374.498865740738</v>
          </cell>
          <cell r="D395" t="str">
            <v>Large</v>
          </cell>
          <cell r="G395" t="b">
            <v>0</v>
          </cell>
          <cell r="J395">
            <v>42374.500937500001</v>
          </cell>
          <cell r="L395">
            <v>2.9833333392161876</v>
          </cell>
          <cell r="S395" t="str">
            <v>TRUE</v>
          </cell>
        </row>
        <row r="396">
          <cell r="C396">
            <v>42374.437893518516</v>
          </cell>
          <cell r="D396" t="str">
            <v>Medium</v>
          </cell>
          <cell r="G396" t="b">
            <v>0</v>
          </cell>
          <cell r="J396">
            <v>42374.439965277779</v>
          </cell>
          <cell r="L396">
            <v>2.9833333392161876</v>
          </cell>
          <cell r="S396" t="str">
            <v>TRUE</v>
          </cell>
        </row>
        <row r="397">
          <cell r="C397">
            <v>42374.531504629631</v>
          </cell>
          <cell r="D397" t="str">
            <v>Large</v>
          </cell>
          <cell r="G397" t="b">
            <v>0</v>
          </cell>
          <cell r="J397">
            <v>42374.533599537041</v>
          </cell>
          <cell r="L397">
            <v>3.0166666698642075</v>
          </cell>
          <cell r="S397" t="str">
            <v>TRUE</v>
          </cell>
        </row>
        <row r="398">
          <cell r="C398">
            <v>42374.486898148149</v>
          </cell>
          <cell r="D398" t="str">
            <v>Large</v>
          </cell>
          <cell r="G398" t="b">
            <v>1</v>
          </cell>
          <cell r="J398">
            <v>42374.490520833337</v>
          </cell>
          <cell r="L398">
            <v>5.216666670748964</v>
          </cell>
          <cell r="S398" t="str">
            <v>TRUE</v>
          </cell>
        </row>
        <row r="399">
          <cell r="C399">
            <v>42374.478726851848</v>
          </cell>
          <cell r="D399" t="str">
            <v>Small</v>
          </cell>
          <cell r="E399" t="str">
            <v>Large</v>
          </cell>
          <cell r="G399" t="b">
            <v>1</v>
          </cell>
          <cell r="J399">
            <v>42374.489039351851</v>
          </cell>
          <cell r="L399">
            <v>14.850000003352761</v>
          </cell>
          <cell r="S399" t="str">
            <v>TRUE</v>
          </cell>
        </row>
        <row r="400">
          <cell r="C400">
            <v>42374.541828703703</v>
          </cell>
          <cell r="D400" t="str">
            <v>Small</v>
          </cell>
          <cell r="E400" t="str">
            <v>Medium</v>
          </cell>
          <cell r="G400" t="b">
            <v>1</v>
          </cell>
          <cell r="J400">
            <v>42374.555115740739</v>
          </cell>
          <cell r="L400">
            <v>19.133333332138136</v>
          </cell>
          <cell r="S400" t="str">
            <v>FALSE</v>
          </cell>
        </row>
        <row r="401">
          <cell r="C401">
            <v>42374.468368055554</v>
          </cell>
          <cell r="D401" t="str">
            <v>Small</v>
          </cell>
          <cell r="E401" t="str">
            <v>Medium</v>
          </cell>
          <cell r="G401" t="b">
            <v>1</v>
          </cell>
          <cell r="J401">
            <v>42374.47215277778</v>
          </cell>
          <cell r="L401">
            <v>5.4500000062398612</v>
          </cell>
          <cell r="S401" t="str">
            <v>TRUE</v>
          </cell>
        </row>
        <row r="402">
          <cell r="C402">
            <v>42374.548472222225</v>
          </cell>
          <cell r="D402" t="str">
            <v>Small</v>
          </cell>
          <cell r="E402" t="str">
            <v>Medium</v>
          </cell>
          <cell r="G402" t="b">
            <v>0</v>
          </cell>
          <cell r="J402">
            <v>42374.550543981481</v>
          </cell>
          <cell r="L402">
            <v>2.9833333287388086</v>
          </cell>
          <cell r="S402" t="str">
            <v>TRUE</v>
          </cell>
        </row>
        <row r="403">
          <cell r="C403">
            <v>42374.428900462961</v>
          </cell>
          <cell r="D403" t="str">
            <v>Large</v>
          </cell>
          <cell r="G403" t="b">
            <v>0</v>
          </cell>
          <cell r="J403">
            <v>42374.430983796294</v>
          </cell>
          <cell r="L403">
            <v>2.9999999993015081</v>
          </cell>
          <cell r="S403" t="str">
            <v>TRUE</v>
          </cell>
        </row>
        <row r="404">
          <cell r="C404">
            <v>42374.503935185188</v>
          </cell>
          <cell r="D404" t="str">
            <v>Medium</v>
          </cell>
          <cell r="G404" t="b">
            <v>0</v>
          </cell>
          <cell r="J404">
            <v>42374.506006944444</v>
          </cell>
          <cell r="L404">
            <v>2.9833333287388086</v>
          </cell>
          <cell r="S404" t="str">
            <v>TRUE</v>
          </cell>
        </row>
        <row r="405">
          <cell r="C405">
            <v>42374.452002314814</v>
          </cell>
          <cell r="D405" t="str">
            <v>Large</v>
          </cell>
          <cell r="G405" t="b">
            <v>0</v>
          </cell>
          <cell r="J405">
            <v>42374.454074074078</v>
          </cell>
          <cell r="L405">
            <v>2.9833333392161876</v>
          </cell>
          <cell r="S405" t="str">
            <v>TRUE</v>
          </cell>
        </row>
        <row r="406">
          <cell r="C406">
            <v>42374.442499999997</v>
          </cell>
          <cell r="D406" t="str">
            <v>Small</v>
          </cell>
          <cell r="E406" t="str">
            <v>Medium</v>
          </cell>
          <cell r="G406" t="b">
            <v>1</v>
          </cell>
          <cell r="J406">
            <v>42374.453368055554</v>
          </cell>
          <cell r="L406">
            <v>15.650000001769513</v>
          </cell>
          <cell r="S406" t="str">
            <v>TRUE</v>
          </cell>
        </row>
        <row r="407">
          <cell r="C407">
            <v>42374.535520833335</v>
          </cell>
          <cell r="D407" t="str">
            <v>Medium</v>
          </cell>
          <cell r="G407" t="b">
            <v>1</v>
          </cell>
          <cell r="J407">
            <v>42374.544872685183</v>
          </cell>
          <cell r="L407">
            <v>13.466666660970077</v>
          </cell>
          <cell r="S407" t="str">
            <v>TRUE</v>
          </cell>
        </row>
        <row r="408">
          <cell r="C408">
            <v>42374.548113425924</v>
          </cell>
          <cell r="D408" t="str">
            <v>Small</v>
          </cell>
          <cell r="G408" t="b">
            <v>1</v>
          </cell>
          <cell r="J408">
            <v>42374.558819444443</v>
          </cell>
          <cell r="L408">
            <v>15.416666666278616</v>
          </cell>
          <cell r="S408" t="str">
            <v>TRUE</v>
          </cell>
        </row>
        <row r="409">
          <cell r="C409">
            <v>42374.491342592592</v>
          </cell>
          <cell r="D409" t="str">
            <v>Large</v>
          </cell>
          <cell r="G409" t="b">
            <v>1</v>
          </cell>
          <cell r="J409">
            <v>42374.498483796298</v>
          </cell>
          <cell r="L409">
            <v>10.28333333786577</v>
          </cell>
          <cell r="S409" t="str">
            <v>TRUE</v>
          </cell>
        </row>
        <row r="410">
          <cell r="C410">
            <v>42374.580995370372</v>
          </cell>
          <cell r="D410" t="str">
            <v>Small</v>
          </cell>
          <cell r="G410" t="b">
            <v>1</v>
          </cell>
          <cell r="J410">
            <v>42374.589733796296</v>
          </cell>
          <cell r="L410">
            <v>12.583333330694586</v>
          </cell>
          <cell r="S410" t="str">
            <v>TRUE</v>
          </cell>
        </row>
        <row r="411">
          <cell r="C411">
            <v>42374.53802083333</v>
          </cell>
          <cell r="D411" t="str">
            <v>Medium</v>
          </cell>
          <cell r="E411" t="str">
            <v>Large</v>
          </cell>
          <cell r="G411" t="b">
            <v>1</v>
          </cell>
          <cell r="J411">
            <v>42374.547106481485</v>
          </cell>
          <cell r="L411">
            <v>13.08333334280178</v>
          </cell>
          <cell r="S411" t="str">
            <v>TRUE</v>
          </cell>
        </row>
        <row r="412">
          <cell r="C412">
            <v>42374.518738425926</v>
          </cell>
          <cell r="D412" t="str">
            <v>Large</v>
          </cell>
          <cell r="G412" t="b">
            <v>1</v>
          </cell>
          <cell r="J412">
            <v>42374.527407407404</v>
          </cell>
          <cell r="L412">
            <v>12.483333328273147</v>
          </cell>
          <cell r="S412" t="str">
            <v>TRUE</v>
          </cell>
        </row>
        <row r="413">
          <cell r="C413">
            <v>42374.494467592594</v>
          </cell>
          <cell r="D413" t="str">
            <v>Large</v>
          </cell>
          <cell r="G413" t="b">
            <v>0</v>
          </cell>
          <cell r="J413">
            <v>42374.496539351851</v>
          </cell>
          <cell r="L413">
            <v>2.9833333287388086</v>
          </cell>
          <cell r="S413" t="str">
            <v>TRUE</v>
          </cell>
        </row>
        <row r="414">
          <cell r="C414">
            <v>42374.471631944441</v>
          </cell>
          <cell r="D414" t="str">
            <v>Medium</v>
          </cell>
          <cell r="G414" t="b">
            <v>1</v>
          </cell>
          <cell r="J414">
            <v>42374.491203703707</v>
          </cell>
          <cell r="L414">
            <v>28.183333341730759</v>
          </cell>
          <cell r="S414" t="str">
            <v>FALSE</v>
          </cell>
        </row>
        <row r="415">
          <cell r="C415">
            <v>42374.566840277781</v>
          </cell>
          <cell r="D415" t="str">
            <v>Small</v>
          </cell>
          <cell r="E415" t="str">
            <v>Large</v>
          </cell>
          <cell r="G415" t="b">
            <v>0</v>
          </cell>
          <cell r="J415">
            <v>42374.568935185183</v>
          </cell>
          <cell r="L415">
            <v>3.0166666593868285</v>
          </cell>
          <cell r="S415" t="str">
            <v>TRUE</v>
          </cell>
        </row>
        <row r="416">
          <cell r="C416">
            <v>42374.586956018517</v>
          </cell>
          <cell r="D416" t="str">
            <v>Small</v>
          </cell>
          <cell r="E416" t="str">
            <v>Medium</v>
          </cell>
          <cell r="G416" t="b">
            <v>1</v>
          </cell>
          <cell r="J416">
            <v>42374.600543981483</v>
          </cell>
          <cell r="L416">
            <v>19.566666672471911</v>
          </cell>
          <cell r="S416" t="str">
            <v>FALSE</v>
          </cell>
        </row>
        <row r="417">
          <cell r="C417">
            <v>42374.534108796295</v>
          </cell>
          <cell r="D417" t="str">
            <v>Small</v>
          </cell>
          <cell r="E417" t="str">
            <v>Large</v>
          </cell>
          <cell r="G417" t="b">
            <v>1</v>
          </cell>
          <cell r="J417">
            <v>42374.545543981483</v>
          </cell>
          <cell r="L417">
            <v>16.466666670748964</v>
          </cell>
          <cell r="S417" t="str">
            <v>FALSE</v>
          </cell>
        </row>
        <row r="418">
          <cell r="C418">
            <v>42374.459780092591</v>
          </cell>
          <cell r="D418" t="str">
            <v>Small</v>
          </cell>
          <cell r="G418" t="b">
            <v>1</v>
          </cell>
          <cell r="J418">
            <v>42374.462164351855</v>
          </cell>
          <cell r="L418">
            <v>3.4333333396352828</v>
          </cell>
          <cell r="S418" t="str">
            <v>TRUE</v>
          </cell>
        </row>
        <row r="419">
          <cell r="C419">
            <v>42374.494872685187</v>
          </cell>
          <cell r="D419" t="str">
            <v>Medium</v>
          </cell>
          <cell r="G419" t="b">
            <v>0</v>
          </cell>
          <cell r="J419">
            <v>42374.496967592589</v>
          </cell>
          <cell r="L419">
            <v>3.0166666593868285</v>
          </cell>
          <cell r="S419" t="str">
            <v>TRUE</v>
          </cell>
        </row>
        <row r="420">
          <cell r="C420">
            <v>42374.528043981481</v>
          </cell>
          <cell r="D420" t="str">
            <v>Large</v>
          </cell>
          <cell r="G420" t="b">
            <v>0</v>
          </cell>
          <cell r="J420">
            <v>42374.530115740738</v>
          </cell>
          <cell r="L420">
            <v>2.9833333287388086</v>
          </cell>
          <cell r="S420" t="str">
            <v>TRUE</v>
          </cell>
        </row>
        <row r="421">
          <cell r="C421">
            <v>42374.437685185185</v>
          </cell>
          <cell r="D421" t="str">
            <v>Small</v>
          </cell>
          <cell r="E421" t="str">
            <v>Medium</v>
          </cell>
          <cell r="G421" t="b">
            <v>0</v>
          </cell>
          <cell r="J421">
            <v>42374.439745370371</v>
          </cell>
          <cell r="L421">
            <v>2.9666666686534882</v>
          </cell>
          <cell r="S421" t="str">
            <v>TRUE</v>
          </cell>
        </row>
        <row r="422">
          <cell r="C422">
            <v>42374.435937499999</v>
          </cell>
          <cell r="D422" t="str">
            <v>Medium</v>
          </cell>
          <cell r="G422" t="b">
            <v>0</v>
          </cell>
          <cell r="J422">
            <v>42374.438009259262</v>
          </cell>
          <cell r="L422">
            <v>2.9833333392161876</v>
          </cell>
          <cell r="S422" t="str">
            <v>TRUE</v>
          </cell>
        </row>
        <row r="423">
          <cell r="C423">
            <v>42374.537534722222</v>
          </cell>
          <cell r="D423" t="str">
            <v>Large</v>
          </cell>
          <cell r="G423" t="b">
            <v>1</v>
          </cell>
          <cell r="J423">
            <v>42374.548935185187</v>
          </cell>
          <cell r="L423">
            <v>16.416666669538245</v>
          </cell>
          <cell r="S423" t="str">
            <v>FALSE</v>
          </cell>
        </row>
        <row r="424">
          <cell r="C424">
            <v>42374.519456018519</v>
          </cell>
          <cell r="D424" t="str">
            <v>Medium</v>
          </cell>
          <cell r="G424" t="b">
            <v>1</v>
          </cell>
          <cell r="J424">
            <v>42374.535486111112</v>
          </cell>
          <cell r="L424">
            <v>23.083333333488554</v>
          </cell>
          <cell r="S424" t="str">
            <v>FALSE</v>
          </cell>
        </row>
        <row r="425">
          <cell r="C425">
            <v>42374.502893518518</v>
          </cell>
          <cell r="D425" t="str">
            <v>Large</v>
          </cell>
          <cell r="G425" t="b">
            <v>0</v>
          </cell>
          <cell r="J425">
            <v>42374.504965277774</v>
          </cell>
          <cell r="L425">
            <v>2.9833333287388086</v>
          </cell>
          <cell r="S425" t="str">
            <v>TRUE</v>
          </cell>
        </row>
        <row r="426">
          <cell r="C426">
            <v>42374.470960648148</v>
          </cell>
          <cell r="D426" t="str">
            <v>Large</v>
          </cell>
          <cell r="G426" t="b">
            <v>0</v>
          </cell>
          <cell r="J426">
            <v>42374.473020833335</v>
          </cell>
          <cell r="L426">
            <v>2.9666666686534882</v>
          </cell>
          <cell r="S426" t="str">
            <v>TRUE</v>
          </cell>
        </row>
        <row r="427">
          <cell r="C427">
            <v>42374.534363425926</v>
          </cell>
          <cell r="D427" t="str">
            <v>Medium</v>
          </cell>
          <cell r="G427" t="b">
            <v>0</v>
          </cell>
          <cell r="J427">
            <v>42374.536423611113</v>
          </cell>
          <cell r="L427">
            <v>2.9666666686534882</v>
          </cell>
          <cell r="S427" t="str">
            <v>TRUE</v>
          </cell>
        </row>
        <row r="428">
          <cell r="C428">
            <v>42374.462893518517</v>
          </cell>
          <cell r="D428" t="str">
            <v>Large</v>
          </cell>
          <cell r="G428" t="b">
            <v>1</v>
          </cell>
          <cell r="J428">
            <v>42374.471412037034</v>
          </cell>
          <cell r="L428">
            <v>12.266666663344949</v>
          </cell>
          <cell r="S428" t="str">
            <v>TRUE</v>
          </cell>
        </row>
        <row r="429">
          <cell r="C429">
            <v>42374.538229166668</v>
          </cell>
          <cell r="D429" t="str">
            <v>Large</v>
          </cell>
          <cell r="G429" t="b">
            <v>0</v>
          </cell>
          <cell r="J429">
            <v>42374.540312500001</v>
          </cell>
          <cell r="L429">
            <v>2.9999999993015081</v>
          </cell>
          <cell r="S429" t="str">
            <v>TRUE</v>
          </cell>
        </row>
        <row r="430">
          <cell r="C430">
            <v>42374.483541666668</v>
          </cell>
          <cell r="D430" t="str">
            <v>Small</v>
          </cell>
          <cell r="E430" t="str">
            <v>Medium</v>
          </cell>
          <cell r="G430" t="b">
            <v>0</v>
          </cell>
          <cell r="J430">
            <v>42374.485613425924</v>
          </cell>
          <cell r="L430">
            <v>2.9833333287388086</v>
          </cell>
          <cell r="S430" t="str">
            <v>TRUE</v>
          </cell>
        </row>
        <row r="431">
          <cell r="C431">
            <v>42375.584513888891</v>
          </cell>
          <cell r="D431" t="str">
            <v>Medium</v>
          </cell>
          <cell r="G431" t="b">
            <v>1</v>
          </cell>
          <cell r="J431">
            <v>42375.596631944441</v>
          </cell>
          <cell r="L431">
            <v>17.449999992968515</v>
          </cell>
          <cell r="S431" t="str">
            <v>FALSE</v>
          </cell>
        </row>
        <row r="432">
          <cell r="C432">
            <v>42375.503495370373</v>
          </cell>
          <cell r="D432" t="str">
            <v>Medium</v>
          </cell>
          <cell r="G432" t="b">
            <v>1</v>
          </cell>
          <cell r="J432">
            <v>42375.512442129628</v>
          </cell>
          <cell r="L432">
            <v>12.883333327481523</v>
          </cell>
          <cell r="S432" t="str">
            <v>TRUE</v>
          </cell>
        </row>
        <row r="433">
          <cell r="C433">
            <v>42375.51021990741</v>
          </cell>
          <cell r="D433" t="str">
            <v>Small</v>
          </cell>
          <cell r="G433" t="b">
            <v>0</v>
          </cell>
          <cell r="J433">
            <v>42375.512303240743</v>
          </cell>
          <cell r="L433">
            <v>2.9999999993015081</v>
          </cell>
          <cell r="S433" t="str">
            <v>TRUE</v>
          </cell>
        </row>
        <row r="434">
          <cell r="C434">
            <v>42375.496469907404</v>
          </cell>
          <cell r="D434" t="str">
            <v>Small</v>
          </cell>
          <cell r="G434" t="b">
            <v>0</v>
          </cell>
          <cell r="J434">
            <v>42375.498541666668</v>
          </cell>
          <cell r="L434">
            <v>2.9833333392161876</v>
          </cell>
          <cell r="S434" t="str">
            <v>TRUE</v>
          </cell>
        </row>
        <row r="435">
          <cell r="C435">
            <v>42375.480138888888</v>
          </cell>
          <cell r="D435" t="str">
            <v>Medium</v>
          </cell>
          <cell r="G435" t="b">
            <v>0</v>
          </cell>
          <cell r="J435">
            <v>42375.482233796298</v>
          </cell>
          <cell r="L435">
            <v>3.0166666698642075</v>
          </cell>
          <cell r="S435" t="str">
            <v>TRUE</v>
          </cell>
        </row>
        <row r="436">
          <cell r="C436">
            <v>42375.537118055552</v>
          </cell>
          <cell r="D436" t="str">
            <v>Large</v>
          </cell>
          <cell r="G436" t="b">
            <v>1</v>
          </cell>
          <cell r="J436">
            <v>42375.540023148147</v>
          </cell>
          <cell r="L436">
            <v>4.183333336841315</v>
          </cell>
          <cell r="S436" t="str">
            <v>TRUE</v>
          </cell>
        </row>
        <row r="437">
          <cell r="C437">
            <v>42375.537245370368</v>
          </cell>
          <cell r="D437" t="str">
            <v>Large</v>
          </cell>
          <cell r="G437" t="b">
            <v>0</v>
          </cell>
          <cell r="J437">
            <v>42375.539340277777</v>
          </cell>
          <cell r="L437">
            <v>3.0166666698642075</v>
          </cell>
          <cell r="S437" t="str">
            <v>TRUE</v>
          </cell>
        </row>
        <row r="438">
          <cell r="C438">
            <v>42375.529918981483</v>
          </cell>
          <cell r="D438" t="str">
            <v>Small</v>
          </cell>
          <cell r="E438" t="str">
            <v>Medium</v>
          </cell>
          <cell r="G438" t="b">
            <v>0</v>
          </cell>
          <cell r="J438">
            <v>42375.531990740739</v>
          </cell>
          <cell r="L438">
            <v>2.9833333287388086</v>
          </cell>
          <cell r="S438" t="str">
            <v>TRUE</v>
          </cell>
        </row>
        <row r="439">
          <cell r="C439">
            <v>42375.48678240741</v>
          </cell>
          <cell r="D439" t="str">
            <v>Medium</v>
          </cell>
          <cell r="G439" t="b">
            <v>0</v>
          </cell>
          <cell r="J439">
            <v>42375.488854166666</v>
          </cell>
          <cell r="L439">
            <v>2.9833333287388086</v>
          </cell>
          <cell r="S439" t="str">
            <v>TRUE</v>
          </cell>
        </row>
        <row r="440">
          <cell r="C440">
            <v>42375.539930555555</v>
          </cell>
          <cell r="D440" t="str">
            <v>Medium</v>
          </cell>
          <cell r="G440" t="b">
            <v>0</v>
          </cell>
          <cell r="J440">
            <v>42375.542025462964</v>
          </cell>
          <cell r="L440">
            <v>3.0166666698642075</v>
          </cell>
          <cell r="S440" t="str">
            <v>TRUE</v>
          </cell>
        </row>
        <row r="441">
          <cell r="C441">
            <v>42375.484907407408</v>
          </cell>
          <cell r="D441" t="str">
            <v>Small</v>
          </cell>
          <cell r="E441" t="str">
            <v>Medium</v>
          </cell>
          <cell r="G441" t="b">
            <v>0</v>
          </cell>
          <cell r="J441">
            <v>42375.486967592595</v>
          </cell>
          <cell r="L441">
            <v>2.9666666686534882</v>
          </cell>
          <cell r="S441" t="str">
            <v>TRUE</v>
          </cell>
        </row>
        <row r="442">
          <cell r="C442">
            <v>42375.518576388888</v>
          </cell>
          <cell r="D442" t="str">
            <v>Large</v>
          </cell>
          <cell r="G442" t="b">
            <v>1</v>
          </cell>
          <cell r="J442">
            <v>42375.525949074072</v>
          </cell>
          <cell r="L442">
            <v>10.616666665300727</v>
          </cell>
          <cell r="S442" t="str">
            <v>TRUE</v>
          </cell>
        </row>
        <row r="443">
          <cell r="C443">
            <v>42375.484942129631</v>
          </cell>
          <cell r="D443" t="str">
            <v>Small</v>
          </cell>
          <cell r="G443" t="b">
            <v>0</v>
          </cell>
          <cell r="J443">
            <v>42375.487025462964</v>
          </cell>
          <cell r="L443">
            <v>2.9999999993015081</v>
          </cell>
          <cell r="S443" t="str">
            <v>TRUE</v>
          </cell>
        </row>
        <row r="444">
          <cell r="C444">
            <v>42375.560543981483</v>
          </cell>
          <cell r="D444" t="str">
            <v>Small</v>
          </cell>
          <cell r="G444" t="b">
            <v>1</v>
          </cell>
          <cell r="J444">
            <v>42375.573460648149</v>
          </cell>
          <cell r="L444">
            <v>18.599999999860302</v>
          </cell>
          <cell r="S444" t="str">
            <v>FALSE</v>
          </cell>
        </row>
        <row r="445">
          <cell r="C445">
            <v>42375.480023148149</v>
          </cell>
          <cell r="D445" t="str">
            <v>Medium</v>
          </cell>
          <cell r="E445" t="str">
            <v>Large</v>
          </cell>
          <cell r="G445" t="b">
            <v>0</v>
          </cell>
          <cell r="J445">
            <v>42375.482083333336</v>
          </cell>
          <cell r="L445">
            <v>2.9666666686534882</v>
          </cell>
          <cell r="S445" t="str">
            <v>TRUE</v>
          </cell>
        </row>
        <row r="446">
          <cell r="C446">
            <v>42375.526562500003</v>
          </cell>
          <cell r="D446" t="str">
            <v>Medium</v>
          </cell>
          <cell r="G446" t="b">
            <v>0</v>
          </cell>
          <cell r="J446">
            <v>42375.528634259259</v>
          </cell>
          <cell r="L446">
            <v>2.9833333287388086</v>
          </cell>
          <cell r="S446" t="str">
            <v>TRUE</v>
          </cell>
        </row>
        <row r="447">
          <cell r="C447">
            <v>42375.51666666667</v>
          </cell>
          <cell r="D447" t="str">
            <v>Small</v>
          </cell>
          <cell r="G447" t="b">
            <v>1</v>
          </cell>
          <cell r="J447">
            <v>42375.526006944441</v>
          </cell>
          <cell r="L447">
            <v>13.449999990407377</v>
          </cell>
          <cell r="S447" t="str">
            <v>TRUE</v>
          </cell>
        </row>
        <row r="448">
          <cell r="C448">
            <v>42375.450486111113</v>
          </cell>
          <cell r="D448" t="str">
            <v>Small</v>
          </cell>
          <cell r="G448" t="b">
            <v>1</v>
          </cell>
          <cell r="J448">
            <v>42375.461331018516</v>
          </cell>
          <cell r="L448">
            <v>15.616666660644114</v>
          </cell>
          <cell r="S448" t="str">
            <v>TRUE</v>
          </cell>
        </row>
        <row r="449">
          <cell r="C449">
            <v>42375.559305555558</v>
          </cell>
          <cell r="D449" t="str">
            <v>Large</v>
          </cell>
          <cell r="G449" t="b">
            <v>0</v>
          </cell>
          <cell r="J449">
            <v>42375.561388888891</v>
          </cell>
          <cell r="L449">
            <v>2.9999999993015081</v>
          </cell>
          <cell r="S449" t="str">
            <v>TRUE</v>
          </cell>
        </row>
        <row r="450">
          <cell r="C450">
            <v>42375.440752314818</v>
          </cell>
          <cell r="D450" t="str">
            <v>Large</v>
          </cell>
          <cell r="G450" t="b">
            <v>1</v>
          </cell>
          <cell r="J450">
            <v>42375.452824074076</v>
          </cell>
          <cell r="L450">
            <v>17.383333331672475</v>
          </cell>
          <cell r="S450" t="str">
            <v>FALSE</v>
          </cell>
        </row>
        <row r="451">
          <cell r="C451">
            <v>42375.440833333334</v>
          </cell>
          <cell r="D451" t="str">
            <v>Small</v>
          </cell>
          <cell r="G451" t="b">
            <v>1</v>
          </cell>
          <cell r="J451">
            <v>42375.454340277778</v>
          </cell>
          <cell r="L451">
            <v>19.449999999487773</v>
          </cell>
          <cell r="S451" t="str">
            <v>FALSE</v>
          </cell>
        </row>
        <row r="452">
          <cell r="C452">
            <v>42375.494039351855</v>
          </cell>
          <cell r="D452" t="str">
            <v>Small</v>
          </cell>
          <cell r="E452" t="str">
            <v>Medium</v>
          </cell>
          <cell r="G452" t="b">
            <v>1</v>
          </cell>
          <cell r="J452">
            <v>42375.499039351853</v>
          </cell>
          <cell r="L452">
            <v>7.1999999962281436</v>
          </cell>
          <cell r="S452" t="str">
            <v>TRUE</v>
          </cell>
        </row>
        <row r="453">
          <cell r="C453">
            <v>42375.496574074074</v>
          </cell>
          <cell r="D453" t="str">
            <v>Large</v>
          </cell>
          <cell r="G453" t="b">
            <v>0</v>
          </cell>
          <cell r="J453">
            <v>42375.498692129629</v>
          </cell>
          <cell r="L453">
            <v>3.0500000005122274</v>
          </cell>
          <cell r="S453" t="str">
            <v>TRUE</v>
          </cell>
        </row>
        <row r="454">
          <cell r="C454">
            <v>42375.440671296295</v>
          </cell>
          <cell r="D454" t="str">
            <v>Small</v>
          </cell>
          <cell r="E454" t="str">
            <v>Medium</v>
          </cell>
          <cell r="G454" t="b">
            <v>0</v>
          </cell>
          <cell r="J454">
            <v>42375.442754629628</v>
          </cell>
          <cell r="L454">
            <v>2.9999999993015081</v>
          </cell>
          <cell r="S454" t="str">
            <v>TRUE</v>
          </cell>
        </row>
        <row r="455">
          <cell r="C455">
            <v>42375.57534722222</v>
          </cell>
          <cell r="D455" t="str">
            <v>Medium</v>
          </cell>
          <cell r="G455" t="b">
            <v>1</v>
          </cell>
          <cell r="J455">
            <v>42375.582962962966</v>
          </cell>
          <cell r="L455">
            <v>10.966666673775762</v>
          </cell>
          <cell r="S455" t="str">
            <v>TRUE</v>
          </cell>
        </row>
        <row r="456">
          <cell r="C456">
            <v>42375.514872685184</v>
          </cell>
          <cell r="D456" t="str">
            <v>Medium</v>
          </cell>
          <cell r="G456" t="b">
            <v>0</v>
          </cell>
          <cell r="J456">
            <v>42375.516944444447</v>
          </cell>
          <cell r="L456">
            <v>2.9833333392161876</v>
          </cell>
          <cell r="S456" t="str">
            <v>TRUE</v>
          </cell>
        </row>
        <row r="457">
          <cell r="C457">
            <v>42375.543356481481</v>
          </cell>
          <cell r="D457" t="str">
            <v>Small</v>
          </cell>
          <cell r="G457" t="b">
            <v>1</v>
          </cell>
          <cell r="J457">
            <v>42375.559305555558</v>
          </cell>
          <cell r="L457">
            <v>22.966666670981795</v>
          </cell>
          <cell r="S457" t="str">
            <v>FALSE</v>
          </cell>
        </row>
        <row r="458">
          <cell r="C458">
            <v>42375.482233796298</v>
          </cell>
          <cell r="D458" t="str">
            <v>Large</v>
          </cell>
          <cell r="G458" t="b">
            <v>1</v>
          </cell>
          <cell r="J458">
            <v>42375.48951388889</v>
          </cell>
          <cell r="L458">
            <v>10.483333332231268</v>
          </cell>
          <cell r="S458" t="str">
            <v>TRUE</v>
          </cell>
        </row>
        <row r="459">
          <cell r="C459">
            <v>42375.566296296296</v>
          </cell>
          <cell r="D459" t="str">
            <v>Medium</v>
          </cell>
          <cell r="G459" t="b">
            <v>0</v>
          </cell>
          <cell r="J459">
            <v>42375.568379629629</v>
          </cell>
          <cell r="L459">
            <v>2.9999999993015081</v>
          </cell>
          <cell r="S459" t="str">
            <v>TRUE</v>
          </cell>
        </row>
        <row r="460">
          <cell r="C460">
            <v>42375.459363425929</v>
          </cell>
          <cell r="D460" t="str">
            <v>Large</v>
          </cell>
          <cell r="G460" t="b">
            <v>1</v>
          </cell>
          <cell r="J460">
            <v>42375.467037037037</v>
          </cell>
          <cell r="L460">
            <v>11.049999995157123</v>
          </cell>
          <cell r="S460" t="str">
            <v>TRUE</v>
          </cell>
        </row>
        <row r="461">
          <cell r="C461">
            <v>42375.520497685182</v>
          </cell>
          <cell r="D461" t="str">
            <v>Large</v>
          </cell>
          <cell r="G461" t="b">
            <v>0</v>
          </cell>
          <cell r="J461">
            <v>42375.522581018522</v>
          </cell>
          <cell r="L461">
            <v>3.000000009778887</v>
          </cell>
          <cell r="S461" t="str">
            <v>TRUE</v>
          </cell>
        </row>
        <row r="462">
          <cell r="C462">
            <v>42375.543900462966</v>
          </cell>
          <cell r="D462" t="str">
            <v>Large</v>
          </cell>
          <cell r="G462" t="b">
            <v>1</v>
          </cell>
          <cell r="J462">
            <v>42375.559374999997</v>
          </cell>
          <cell r="L462">
            <v>22.283333324594423</v>
          </cell>
          <cell r="S462" t="str">
            <v>FALSE</v>
          </cell>
        </row>
        <row r="463">
          <cell r="C463">
            <v>42375.440069444441</v>
          </cell>
          <cell r="D463" t="str">
            <v>Large</v>
          </cell>
          <cell r="G463" t="b">
            <v>0</v>
          </cell>
          <cell r="J463">
            <v>42375.442129629628</v>
          </cell>
          <cell r="L463">
            <v>2.9666666686534882</v>
          </cell>
          <cell r="S463" t="str">
            <v>TRUE</v>
          </cell>
        </row>
        <row r="464">
          <cell r="C464">
            <v>42375.588078703702</v>
          </cell>
          <cell r="D464" t="str">
            <v>Small</v>
          </cell>
          <cell r="E464" t="str">
            <v>Medium</v>
          </cell>
          <cell r="G464" t="b">
            <v>0</v>
          </cell>
          <cell r="J464">
            <v>42375.590173611112</v>
          </cell>
          <cell r="L464">
            <v>3.0166666698642075</v>
          </cell>
          <cell r="S464" t="str">
            <v>TRUE</v>
          </cell>
        </row>
        <row r="465">
          <cell r="C465">
            <v>42375.580995370372</v>
          </cell>
          <cell r="D465" t="str">
            <v>Medium</v>
          </cell>
          <cell r="G465" t="b">
            <v>1</v>
          </cell>
          <cell r="J465">
            <v>42375.592662037037</v>
          </cell>
          <cell r="L465">
            <v>16.799999998183921</v>
          </cell>
          <cell r="S465" t="str">
            <v>FALSE</v>
          </cell>
        </row>
        <row r="466">
          <cell r="C466">
            <v>42375.548946759256</v>
          </cell>
          <cell r="D466" t="str">
            <v>Small</v>
          </cell>
          <cell r="E466" t="str">
            <v>Medium</v>
          </cell>
          <cell r="G466" t="b">
            <v>1</v>
          </cell>
          <cell r="J466">
            <v>42375.562071759261</v>
          </cell>
          <cell r="L466">
            <v>18.900000007124618</v>
          </cell>
          <cell r="S466" t="str">
            <v>FALSE</v>
          </cell>
        </row>
        <row r="467">
          <cell r="C467">
            <v>42375.557199074072</v>
          </cell>
          <cell r="D467" t="str">
            <v>Large</v>
          </cell>
          <cell r="G467" t="b">
            <v>0</v>
          </cell>
          <cell r="J467">
            <v>42375.559270833335</v>
          </cell>
          <cell r="L467">
            <v>2.9833333392161876</v>
          </cell>
          <cell r="S467" t="str">
            <v>TRUE</v>
          </cell>
        </row>
        <row r="468">
          <cell r="C468">
            <v>42375.531805555554</v>
          </cell>
          <cell r="D468" t="str">
            <v>Medium</v>
          </cell>
          <cell r="G468" t="b">
            <v>0</v>
          </cell>
          <cell r="J468">
            <v>42375.533900462964</v>
          </cell>
          <cell r="L468">
            <v>3.0166666698642075</v>
          </cell>
          <cell r="S468" t="str">
            <v>TRUE</v>
          </cell>
        </row>
        <row r="469">
          <cell r="C469">
            <v>42375.547361111108</v>
          </cell>
          <cell r="D469" t="str">
            <v>Large</v>
          </cell>
          <cell r="G469" t="b">
            <v>0</v>
          </cell>
          <cell r="J469">
            <v>42375.549421296295</v>
          </cell>
          <cell r="L469">
            <v>2.9666666686534882</v>
          </cell>
          <cell r="S469" t="str">
            <v>TRUE</v>
          </cell>
        </row>
        <row r="470">
          <cell r="C470">
            <v>42375.537719907406</v>
          </cell>
          <cell r="D470" t="str">
            <v>Small</v>
          </cell>
          <cell r="E470" t="str">
            <v>Large</v>
          </cell>
          <cell r="G470" t="b">
            <v>1</v>
          </cell>
          <cell r="J470">
            <v>42375.546249999999</v>
          </cell>
          <cell r="L470">
            <v>12.283333333907649</v>
          </cell>
          <cell r="S470" t="str">
            <v>TRUE</v>
          </cell>
        </row>
        <row r="471">
          <cell r="C471">
            <v>42375.532951388886</v>
          </cell>
          <cell r="D471" t="str">
            <v>Medium</v>
          </cell>
          <cell r="G471" t="b">
            <v>1</v>
          </cell>
          <cell r="J471">
            <v>42375.543275462966</v>
          </cell>
          <cell r="L471">
            <v>14.866666673915461</v>
          </cell>
          <cell r="S471" t="str">
            <v>TRUE</v>
          </cell>
        </row>
        <row r="472">
          <cell r="C472">
            <v>42375.494930555556</v>
          </cell>
          <cell r="D472" t="str">
            <v>Small</v>
          </cell>
          <cell r="E472" t="str">
            <v>Medium</v>
          </cell>
          <cell r="G472" t="b">
            <v>1</v>
          </cell>
          <cell r="J472">
            <v>42375.508692129632</v>
          </cell>
          <cell r="L472">
            <v>19.816666668048128</v>
          </cell>
          <cell r="S472" t="str">
            <v>FALSE</v>
          </cell>
        </row>
        <row r="473">
          <cell r="C473">
            <v>42375.456458333334</v>
          </cell>
          <cell r="D473" t="str">
            <v>Small</v>
          </cell>
          <cell r="G473" t="b">
            <v>1</v>
          </cell>
          <cell r="J473">
            <v>42375.465254629627</v>
          </cell>
          <cell r="L473">
            <v>12.666666662553325</v>
          </cell>
          <cell r="S473" t="str">
            <v>TRUE</v>
          </cell>
        </row>
        <row r="474">
          <cell r="C474">
            <v>42375.522337962961</v>
          </cell>
          <cell r="D474" t="str">
            <v>Small</v>
          </cell>
          <cell r="E474" t="str">
            <v>Medium</v>
          </cell>
          <cell r="G474" t="b">
            <v>0</v>
          </cell>
          <cell r="J474">
            <v>42375.52443287037</v>
          </cell>
          <cell r="L474">
            <v>3.0166666698642075</v>
          </cell>
          <cell r="S474" t="str">
            <v>TRUE</v>
          </cell>
        </row>
        <row r="475">
          <cell r="C475">
            <v>42375.483680555553</v>
          </cell>
          <cell r="D475" t="str">
            <v>Large</v>
          </cell>
          <cell r="G475" t="b">
            <v>1</v>
          </cell>
          <cell r="J475">
            <v>42375.499675925923</v>
          </cell>
          <cell r="L475">
            <v>23.033333332277834</v>
          </cell>
          <cell r="S475" t="str">
            <v>FALSE</v>
          </cell>
        </row>
        <row r="476">
          <cell r="C476">
            <v>42375.522696759261</v>
          </cell>
          <cell r="D476" t="str">
            <v>Small</v>
          </cell>
          <cell r="E476" t="str">
            <v>Medium</v>
          </cell>
          <cell r="G476" t="b">
            <v>1</v>
          </cell>
          <cell r="J476">
            <v>42375.539247685185</v>
          </cell>
          <cell r="L476">
            <v>23.833333330694586</v>
          </cell>
          <cell r="S476" t="str">
            <v>FALSE</v>
          </cell>
        </row>
        <row r="477">
          <cell r="C477">
            <v>42375.467777777776</v>
          </cell>
          <cell r="D477" t="str">
            <v>Large</v>
          </cell>
          <cell r="G477" t="b">
            <v>0</v>
          </cell>
          <cell r="J477">
            <v>42375.469861111109</v>
          </cell>
          <cell r="L477">
            <v>2.9999999993015081</v>
          </cell>
          <cell r="S477" t="str">
            <v>TRUE</v>
          </cell>
        </row>
        <row r="478">
          <cell r="C478">
            <v>42375.557824074072</v>
          </cell>
          <cell r="D478" t="str">
            <v>Small</v>
          </cell>
          <cell r="G478" t="b">
            <v>0</v>
          </cell>
          <cell r="J478">
            <v>42375.559907407405</v>
          </cell>
          <cell r="L478">
            <v>2.9999999993015081</v>
          </cell>
          <cell r="S478" t="str">
            <v>TRUE</v>
          </cell>
        </row>
        <row r="479">
          <cell r="C479">
            <v>42375.461331018516</v>
          </cell>
          <cell r="D479" t="str">
            <v>Large</v>
          </cell>
          <cell r="G479" t="b">
            <v>0</v>
          </cell>
          <cell r="J479">
            <v>42375.463414351849</v>
          </cell>
          <cell r="L479">
            <v>2.9999999993015081</v>
          </cell>
          <cell r="S479" t="str">
            <v>TRUE</v>
          </cell>
        </row>
        <row r="480">
          <cell r="C480">
            <v>42375.552881944444</v>
          </cell>
          <cell r="D480" t="str">
            <v>Medium</v>
          </cell>
          <cell r="G480" t="b">
            <v>0</v>
          </cell>
          <cell r="J480">
            <v>42375.554976851854</v>
          </cell>
          <cell r="L480">
            <v>3.0166666698642075</v>
          </cell>
          <cell r="S480" t="str">
            <v>TRUE</v>
          </cell>
        </row>
        <row r="481">
          <cell r="C481">
            <v>42375.545949074076</v>
          </cell>
          <cell r="D481" t="str">
            <v>Small</v>
          </cell>
          <cell r="G481" t="b">
            <v>1</v>
          </cell>
          <cell r="J481">
            <v>42375.556516203702</v>
          </cell>
          <cell r="L481">
            <v>15.216666661435738</v>
          </cell>
          <cell r="S481" t="str">
            <v>TRUE</v>
          </cell>
        </row>
        <row r="482">
          <cell r="C482">
            <v>42375.510520833333</v>
          </cell>
          <cell r="D482" t="str">
            <v>Large</v>
          </cell>
          <cell r="G482" t="b">
            <v>0</v>
          </cell>
          <cell r="J482">
            <v>42375.512592592589</v>
          </cell>
          <cell r="L482">
            <v>2.9833333287388086</v>
          </cell>
          <cell r="S482" t="str">
            <v>TRUE</v>
          </cell>
        </row>
        <row r="483">
          <cell r="C483">
            <v>42375.531423611108</v>
          </cell>
          <cell r="D483" t="str">
            <v>Medium</v>
          </cell>
          <cell r="G483" t="b">
            <v>0</v>
          </cell>
          <cell r="J483">
            <v>42375.533495370371</v>
          </cell>
          <cell r="L483">
            <v>2.9833333392161876</v>
          </cell>
          <cell r="S483" t="str">
            <v>TRUE</v>
          </cell>
        </row>
        <row r="484">
          <cell r="C484">
            <v>42375.474780092591</v>
          </cell>
          <cell r="D484" t="str">
            <v>Large</v>
          </cell>
          <cell r="G484" t="b">
            <v>1</v>
          </cell>
          <cell r="J484">
            <v>42375.484143518515</v>
          </cell>
          <cell r="L484">
            <v>13.483333331532776</v>
          </cell>
          <cell r="S484" t="str">
            <v>TRUE</v>
          </cell>
        </row>
        <row r="485">
          <cell r="C485">
            <v>42375.470555555556</v>
          </cell>
          <cell r="D485" t="str">
            <v>Medium</v>
          </cell>
          <cell r="G485" t="b">
            <v>1</v>
          </cell>
          <cell r="J485">
            <v>42375.482037037036</v>
          </cell>
          <cell r="L485">
            <v>16.533333332045004</v>
          </cell>
          <cell r="S485" t="str">
            <v>FALSE</v>
          </cell>
        </row>
        <row r="486">
          <cell r="C486">
            <v>42375.490428240744</v>
          </cell>
          <cell r="D486" t="str">
            <v>Medium</v>
          </cell>
          <cell r="G486" t="b">
            <v>1</v>
          </cell>
          <cell r="J486">
            <v>42375.497071759259</v>
          </cell>
          <cell r="L486">
            <v>9.5666666608303785</v>
          </cell>
          <cell r="S486" t="str">
            <v>TRUE</v>
          </cell>
        </row>
        <row r="487">
          <cell r="C487">
            <v>42375.535902777781</v>
          </cell>
          <cell r="D487" t="str">
            <v>Small</v>
          </cell>
          <cell r="E487" t="str">
            <v>Medium</v>
          </cell>
          <cell r="G487" t="b">
            <v>0</v>
          </cell>
          <cell r="J487">
            <v>42375.537974537037</v>
          </cell>
          <cell r="L487">
            <v>2.9833333287388086</v>
          </cell>
          <cell r="S487" t="str">
            <v>TRUE</v>
          </cell>
        </row>
        <row r="488">
          <cell r="C488">
            <v>42375.461157407408</v>
          </cell>
          <cell r="D488" t="str">
            <v>Small</v>
          </cell>
          <cell r="G488" t="b">
            <v>1</v>
          </cell>
          <cell r="J488">
            <v>42375.471747685187</v>
          </cell>
          <cell r="L488">
            <v>15.250000002561137</v>
          </cell>
          <cell r="S488" t="str">
            <v>TRUE</v>
          </cell>
        </row>
        <row r="489">
          <cell r="C489">
            <v>42375.537592592591</v>
          </cell>
          <cell r="D489" t="str">
            <v>Small</v>
          </cell>
          <cell r="G489" t="b">
            <v>0</v>
          </cell>
          <cell r="J489">
            <v>42375.539675925924</v>
          </cell>
          <cell r="L489">
            <v>2.9999999993015081</v>
          </cell>
          <cell r="S489" t="str">
            <v>TRUE</v>
          </cell>
        </row>
        <row r="490">
          <cell r="C490">
            <v>42375.477650462963</v>
          </cell>
          <cell r="D490" t="str">
            <v>Large</v>
          </cell>
          <cell r="G490" t="b">
            <v>1</v>
          </cell>
          <cell r="J490">
            <v>42375.485833333332</v>
          </cell>
          <cell r="L490">
            <v>11.783333332277834</v>
          </cell>
          <cell r="S490" t="str">
            <v>TRUE</v>
          </cell>
        </row>
        <row r="491">
          <cell r="C491">
            <v>42375.491296296299</v>
          </cell>
          <cell r="D491" t="str">
            <v>Small</v>
          </cell>
          <cell r="E491" t="str">
            <v>Medium</v>
          </cell>
          <cell r="G491" t="b">
            <v>1</v>
          </cell>
          <cell r="J491">
            <v>42375.507349537038</v>
          </cell>
          <cell r="L491">
            <v>23.116666664136574</v>
          </cell>
          <cell r="S491" t="str">
            <v>FALSE</v>
          </cell>
        </row>
        <row r="492">
          <cell r="C492">
            <v>42375.503391203703</v>
          </cell>
          <cell r="D492" t="str">
            <v>Large</v>
          </cell>
          <cell r="G492" t="b">
            <v>1</v>
          </cell>
          <cell r="J492">
            <v>42375.506469907406</v>
          </cell>
          <cell r="L492">
            <v>4.4333333324175328</v>
          </cell>
          <cell r="S492" t="str">
            <v>TRUE</v>
          </cell>
        </row>
        <row r="493">
          <cell r="C493">
            <v>42375.524027777778</v>
          </cell>
          <cell r="D493" t="str">
            <v>Medium</v>
          </cell>
          <cell r="G493" t="b">
            <v>1</v>
          </cell>
          <cell r="J493">
            <v>42375.538599537038</v>
          </cell>
          <cell r="L493">
            <v>20.983333335025236</v>
          </cell>
          <cell r="S493" t="str">
            <v>FALSE</v>
          </cell>
        </row>
        <row r="494">
          <cell r="C494">
            <v>42375.51630787037</v>
          </cell>
          <cell r="D494" t="str">
            <v>Medium</v>
          </cell>
          <cell r="G494" t="b">
            <v>0</v>
          </cell>
          <cell r="J494">
            <v>42375.518379629626</v>
          </cell>
          <cell r="L494">
            <v>2.9833333287388086</v>
          </cell>
          <cell r="S494" t="str">
            <v>TRUE</v>
          </cell>
        </row>
        <row r="495">
          <cell r="C495">
            <v>42375.552071759259</v>
          </cell>
          <cell r="D495" t="str">
            <v>Large</v>
          </cell>
          <cell r="G495" t="b">
            <v>1</v>
          </cell>
          <cell r="J495">
            <v>42375.558495370373</v>
          </cell>
          <cell r="L495">
            <v>9.2500000039581209</v>
          </cell>
          <cell r="S495" t="str">
            <v>TRUE</v>
          </cell>
        </row>
        <row r="496">
          <cell r="C496">
            <v>42375.444641203707</v>
          </cell>
          <cell r="D496" t="str">
            <v>Small</v>
          </cell>
          <cell r="E496" t="str">
            <v>Medium</v>
          </cell>
          <cell r="G496" t="b">
            <v>1</v>
          </cell>
          <cell r="J496">
            <v>42375.449282407404</v>
          </cell>
          <cell r="L496">
            <v>6.6833333240356296</v>
          </cell>
          <cell r="S496" t="str">
            <v>TRUE</v>
          </cell>
        </row>
        <row r="497">
          <cell r="C497">
            <v>42375.493946759256</v>
          </cell>
          <cell r="D497" t="str">
            <v>Small</v>
          </cell>
          <cell r="G497" t="b">
            <v>0</v>
          </cell>
          <cell r="J497">
            <v>42375.496018518519</v>
          </cell>
          <cell r="L497">
            <v>2.9833333392161876</v>
          </cell>
          <cell r="S497" t="str">
            <v>TRUE</v>
          </cell>
        </row>
        <row r="498">
          <cell r="C498">
            <v>42375.493564814817</v>
          </cell>
          <cell r="D498" t="str">
            <v>Small</v>
          </cell>
          <cell r="G498" t="b">
            <v>1</v>
          </cell>
          <cell r="J498">
            <v>42375.50513888889</v>
          </cell>
          <cell r="L498">
            <v>16.666666665114462</v>
          </cell>
          <cell r="S498" t="str">
            <v>FALSE</v>
          </cell>
        </row>
        <row r="499">
          <cell r="C499">
            <v>42375.522638888891</v>
          </cell>
          <cell r="D499" t="str">
            <v>Medium</v>
          </cell>
          <cell r="G499" t="b">
            <v>1</v>
          </cell>
          <cell r="J499">
            <v>42375.529479166667</v>
          </cell>
          <cell r="L499">
            <v>9.8499999975319952</v>
          </cell>
          <cell r="S499" t="str">
            <v>TRUE</v>
          </cell>
        </row>
        <row r="500">
          <cell r="C500">
            <v>42375.497453703705</v>
          </cell>
          <cell r="D500" t="str">
            <v>Medium</v>
          </cell>
          <cell r="E500" t="str">
            <v>Large</v>
          </cell>
          <cell r="G500" t="b">
            <v>1</v>
          </cell>
          <cell r="J500">
            <v>42375.5077662037</v>
          </cell>
          <cell r="L500">
            <v>14.849999992875382</v>
          </cell>
          <cell r="S500" t="str">
            <v>TRUE</v>
          </cell>
        </row>
        <row r="501">
          <cell r="C501">
            <v>42375.532500000001</v>
          </cell>
          <cell r="D501" t="str">
            <v>Medium</v>
          </cell>
          <cell r="G501" t="b">
            <v>0</v>
          </cell>
          <cell r="J501">
            <v>42375.534594907411</v>
          </cell>
          <cell r="L501">
            <v>3.0166666698642075</v>
          </cell>
          <cell r="S501" t="str">
            <v>TRUE</v>
          </cell>
        </row>
        <row r="502">
          <cell r="C502">
            <v>42375.45988425926</v>
          </cell>
          <cell r="D502" t="str">
            <v>Large</v>
          </cell>
          <cell r="G502" t="b">
            <v>0</v>
          </cell>
          <cell r="J502">
            <v>42375.461956018517</v>
          </cell>
          <cell r="L502">
            <v>2.9833333287388086</v>
          </cell>
          <cell r="S502" t="str">
            <v>TRUE</v>
          </cell>
        </row>
        <row r="503">
          <cell r="C503">
            <v>42375.489317129628</v>
          </cell>
          <cell r="D503" t="str">
            <v>Medium</v>
          </cell>
          <cell r="E503" t="str">
            <v>Large</v>
          </cell>
          <cell r="G503" t="b">
            <v>0</v>
          </cell>
          <cell r="J503">
            <v>42375.491388888891</v>
          </cell>
          <cell r="L503">
            <v>2.9833333392161876</v>
          </cell>
          <cell r="S503" t="str">
            <v>TRUE</v>
          </cell>
        </row>
        <row r="504">
          <cell r="C504">
            <v>42375.564166666663</v>
          </cell>
          <cell r="D504" t="str">
            <v>Large</v>
          </cell>
          <cell r="G504" t="b">
            <v>1</v>
          </cell>
          <cell r="J504">
            <v>42375.574837962966</v>
          </cell>
          <cell r="L504">
            <v>15.366666675545275</v>
          </cell>
          <cell r="S504" t="str">
            <v>TRUE</v>
          </cell>
        </row>
        <row r="505">
          <cell r="C505">
            <v>42375.476921296293</v>
          </cell>
          <cell r="D505" t="str">
            <v>Medium</v>
          </cell>
          <cell r="G505" t="b">
            <v>0</v>
          </cell>
          <cell r="J505">
            <v>42375.479004629633</v>
          </cell>
          <cell r="L505">
            <v>3.000000009778887</v>
          </cell>
          <cell r="S505" t="str">
            <v>TRUE</v>
          </cell>
        </row>
        <row r="506">
          <cell r="C506">
            <v>42375.625486111108</v>
          </cell>
          <cell r="D506" t="str">
            <v>Large</v>
          </cell>
          <cell r="G506" t="b">
            <v>1</v>
          </cell>
          <cell r="J506">
            <v>42375.630995370368</v>
          </cell>
          <cell r="L506">
            <v>7.9333333333488554</v>
          </cell>
          <cell r="S506" t="str">
            <v>TRUE</v>
          </cell>
        </row>
        <row r="507">
          <cell r="C507">
            <v>42375.469178240739</v>
          </cell>
          <cell r="D507" t="str">
            <v>Large</v>
          </cell>
          <cell r="G507" t="b">
            <v>0</v>
          </cell>
          <cell r="J507">
            <v>42375.471261574072</v>
          </cell>
          <cell r="L507">
            <v>2.9999999993015081</v>
          </cell>
          <cell r="S507" t="str">
            <v>TRUE</v>
          </cell>
        </row>
        <row r="508">
          <cell r="C508">
            <v>42375.537245370368</v>
          </cell>
          <cell r="D508" t="str">
            <v>Small</v>
          </cell>
          <cell r="E508" t="str">
            <v>Medium</v>
          </cell>
          <cell r="G508" t="b">
            <v>0</v>
          </cell>
          <cell r="J508">
            <v>42375.539351851854</v>
          </cell>
          <cell r="L508">
            <v>3.0333333404269069</v>
          </cell>
          <cell r="S508" t="str">
            <v>TRUE</v>
          </cell>
        </row>
        <row r="509">
          <cell r="C509">
            <v>42375.469953703701</v>
          </cell>
          <cell r="D509" t="str">
            <v>Small</v>
          </cell>
          <cell r="G509" t="b">
            <v>1</v>
          </cell>
          <cell r="J509">
            <v>42375.48060185185</v>
          </cell>
          <cell r="L509">
            <v>15.333333334419876</v>
          </cell>
          <cell r="S509" t="str">
            <v>TRUE</v>
          </cell>
        </row>
        <row r="510">
          <cell r="C510">
            <v>42375.50885416667</v>
          </cell>
          <cell r="D510" t="str">
            <v>Large</v>
          </cell>
          <cell r="G510" t="b">
            <v>1</v>
          </cell>
          <cell r="J510">
            <v>42375.525972222225</v>
          </cell>
          <cell r="L510">
            <v>24.649999999674037</v>
          </cell>
          <cell r="S510" t="str">
            <v>FALSE</v>
          </cell>
        </row>
        <row r="511">
          <cell r="C511">
            <v>42375.478194444448</v>
          </cell>
          <cell r="D511" t="str">
            <v>Large</v>
          </cell>
          <cell r="G511" t="b">
            <v>0</v>
          </cell>
          <cell r="J511">
            <v>42375.48027777778</v>
          </cell>
          <cell r="L511">
            <v>2.9999999993015081</v>
          </cell>
          <cell r="S511" t="str">
            <v>TRUE</v>
          </cell>
        </row>
        <row r="512">
          <cell r="C512">
            <v>42375.479571759257</v>
          </cell>
          <cell r="D512" t="str">
            <v>Large</v>
          </cell>
          <cell r="G512" t="b">
            <v>1</v>
          </cell>
          <cell r="J512">
            <v>42375.489675925928</v>
          </cell>
          <cell r="L512">
            <v>14.550000006565824</v>
          </cell>
          <cell r="S512" t="str">
            <v>TRUE</v>
          </cell>
        </row>
        <row r="513">
          <cell r="C513">
            <v>42375.53292824074</v>
          </cell>
          <cell r="D513" t="str">
            <v>Medium</v>
          </cell>
          <cell r="G513" t="b">
            <v>1</v>
          </cell>
          <cell r="J513">
            <v>42375.544004629628</v>
          </cell>
          <cell r="L513">
            <v>15.94999999855645</v>
          </cell>
          <cell r="S513" t="str">
            <v>TRUE</v>
          </cell>
        </row>
        <row r="514">
          <cell r="C514">
            <v>42375.525393518517</v>
          </cell>
          <cell r="D514" t="str">
            <v>Large</v>
          </cell>
          <cell r="G514" t="b">
            <v>0</v>
          </cell>
          <cell r="J514">
            <v>42375.527453703704</v>
          </cell>
          <cell r="L514">
            <v>2.9666666686534882</v>
          </cell>
          <cell r="S514" t="str">
            <v>TRUE</v>
          </cell>
        </row>
        <row r="515">
          <cell r="C515">
            <v>42375.437974537039</v>
          </cell>
          <cell r="D515" t="str">
            <v>Small</v>
          </cell>
          <cell r="G515" t="b">
            <v>1</v>
          </cell>
          <cell r="J515">
            <v>42375.448773148149</v>
          </cell>
          <cell r="L515">
            <v>15.549999999348074</v>
          </cell>
          <cell r="S515" t="str">
            <v>TRUE</v>
          </cell>
        </row>
        <row r="516">
          <cell r="C516">
            <v>42375.488125000003</v>
          </cell>
          <cell r="D516" t="str">
            <v>Small</v>
          </cell>
          <cell r="E516" t="str">
            <v>Medium</v>
          </cell>
          <cell r="G516" t="b">
            <v>0</v>
          </cell>
          <cell r="J516">
            <v>42375.49019675926</v>
          </cell>
          <cell r="L516">
            <v>2.9833333287388086</v>
          </cell>
          <cell r="S516" t="str">
            <v>TRUE</v>
          </cell>
        </row>
        <row r="517">
          <cell r="C517">
            <v>42375.610347222224</v>
          </cell>
          <cell r="D517" t="str">
            <v>Small</v>
          </cell>
          <cell r="E517" t="str">
            <v>Medium</v>
          </cell>
          <cell r="G517" t="b">
            <v>0</v>
          </cell>
          <cell r="J517">
            <v>42375.61241898148</v>
          </cell>
          <cell r="L517">
            <v>2.9833333287388086</v>
          </cell>
          <cell r="S517" t="str">
            <v>TRUE</v>
          </cell>
        </row>
        <row r="518">
          <cell r="C518">
            <v>42375.522002314814</v>
          </cell>
          <cell r="D518" t="str">
            <v>Medium</v>
          </cell>
          <cell r="G518" t="b">
            <v>0</v>
          </cell>
          <cell r="J518">
            <v>42375.524074074077</v>
          </cell>
          <cell r="L518">
            <v>2.9833333392161876</v>
          </cell>
          <cell r="S518" t="str">
            <v>TRUE</v>
          </cell>
        </row>
        <row r="519">
          <cell r="C519">
            <v>42375.4924537037</v>
          </cell>
          <cell r="D519" t="str">
            <v>Medium</v>
          </cell>
          <cell r="G519" t="b">
            <v>0</v>
          </cell>
          <cell r="J519">
            <v>42375.494525462964</v>
          </cell>
          <cell r="L519">
            <v>2.9833333392161876</v>
          </cell>
          <cell r="S519" t="str">
            <v>TRUE</v>
          </cell>
        </row>
        <row r="520">
          <cell r="C520">
            <v>42375.478171296294</v>
          </cell>
          <cell r="D520" t="str">
            <v>Small</v>
          </cell>
          <cell r="G520" t="b">
            <v>0</v>
          </cell>
          <cell r="J520">
            <v>42375.480243055557</v>
          </cell>
          <cell r="L520">
            <v>2.9833333392161876</v>
          </cell>
          <cell r="S520" t="str">
            <v>TRUE</v>
          </cell>
        </row>
        <row r="521">
          <cell r="C521">
            <v>42375.545624999999</v>
          </cell>
          <cell r="D521" t="str">
            <v>Large</v>
          </cell>
          <cell r="G521" t="b">
            <v>0</v>
          </cell>
          <cell r="J521">
            <v>42375.547685185185</v>
          </cell>
          <cell r="L521">
            <v>2.9666666686534882</v>
          </cell>
          <cell r="S521" t="str">
            <v>TRUE</v>
          </cell>
        </row>
        <row r="522">
          <cell r="C522">
            <v>42375.476018518515</v>
          </cell>
          <cell r="D522" t="str">
            <v>Large</v>
          </cell>
          <cell r="G522" t="b">
            <v>1</v>
          </cell>
          <cell r="J522">
            <v>42375.487037037034</v>
          </cell>
          <cell r="L522">
            <v>15.866666666697711</v>
          </cell>
          <cell r="S522" t="str">
            <v>TRUE</v>
          </cell>
        </row>
        <row r="523">
          <cell r="C523">
            <v>42375.617777777778</v>
          </cell>
          <cell r="D523" t="str">
            <v>Small</v>
          </cell>
          <cell r="E523" t="str">
            <v>Medium</v>
          </cell>
          <cell r="G523" t="b">
            <v>0</v>
          </cell>
          <cell r="J523">
            <v>42375.619849537034</v>
          </cell>
          <cell r="L523">
            <v>2.9833333287388086</v>
          </cell>
          <cell r="S523" t="str">
            <v>TRUE</v>
          </cell>
        </row>
        <row r="524">
          <cell r="C524">
            <v>42375.528483796297</v>
          </cell>
          <cell r="D524" t="str">
            <v>Medium</v>
          </cell>
          <cell r="G524" t="b">
            <v>1</v>
          </cell>
          <cell r="J524">
            <v>42375.529548611114</v>
          </cell>
          <cell r="L524">
            <v>1.5333333355374634</v>
          </cell>
          <cell r="S524" t="str">
            <v>TRUE</v>
          </cell>
        </row>
        <row r="525">
          <cell r="C525">
            <v>42375.515023148146</v>
          </cell>
          <cell r="D525" t="str">
            <v>Small</v>
          </cell>
          <cell r="G525" t="b">
            <v>1</v>
          </cell>
          <cell r="J525">
            <v>42375.530532407407</v>
          </cell>
          <cell r="L525">
            <v>22.333333336282521</v>
          </cell>
          <cell r="S525" t="str">
            <v>FALSE</v>
          </cell>
        </row>
        <row r="526">
          <cell r="C526">
            <v>42375.536759259259</v>
          </cell>
          <cell r="D526" t="str">
            <v>Small</v>
          </cell>
          <cell r="G526" t="b">
            <v>0</v>
          </cell>
          <cell r="J526">
            <v>42375.538831018515</v>
          </cell>
          <cell r="L526">
            <v>2.9833333287388086</v>
          </cell>
          <cell r="S526" t="str">
            <v>TRUE</v>
          </cell>
        </row>
        <row r="527">
          <cell r="C527">
            <v>42375.527291666665</v>
          </cell>
          <cell r="D527" t="str">
            <v>Large</v>
          </cell>
          <cell r="G527" t="b">
            <v>0</v>
          </cell>
          <cell r="J527">
            <v>42375.529374999998</v>
          </cell>
          <cell r="L527">
            <v>2.9999999993015081</v>
          </cell>
          <cell r="S527" t="str">
            <v>TRUE</v>
          </cell>
        </row>
        <row r="528">
          <cell r="C528">
            <v>42375.503819444442</v>
          </cell>
          <cell r="D528" t="str">
            <v>Large</v>
          </cell>
          <cell r="G528" t="b">
            <v>1</v>
          </cell>
          <cell r="J528">
            <v>42375.511759259258</v>
          </cell>
          <cell r="L528">
            <v>11.433333334280178</v>
          </cell>
          <cell r="S528" t="str">
            <v>TRUE</v>
          </cell>
        </row>
        <row r="529">
          <cell r="C529">
            <v>42375.590196759258</v>
          </cell>
          <cell r="D529" t="str">
            <v>Small</v>
          </cell>
          <cell r="E529" t="str">
            <v>Medium</v>
          </cell>
          <cell r="G529" t="b">
            <v>0</v>
          </cell>
          <cell r="J529">
            <v>42375.592280092591</v>
          </cell>
          <cell r="L529">
            <v>2.9999999993015081</v>
          </cell>
          <cell r="S529" t="str">
            <v>TRUE</v>
          </cell>
        </row>
        <row r="530">
          <cell r="C530">
            <v>42375.522060185183</v>
          </cell>
          <cell r="D530" t="str">
            <v>Small</v>
          </cell>
          <cell r="G530" t="b">
            <v>0</v>
          </cell>
          <cell r="J530">
            <v>42375.524131944447</v>
          </cell>
          <cell r="L530">
            <v>2.9833333392161876</v>
          </cell>
          <cell r="S530" t="str">
            <v>TRUE</v>
          </cell>
        </row>
        <row r="531">
          <cell r="C531">
            <v>42375.528067129628</v>
          </cell>
          <cell r="D531" t="str">
            <v>Small</v>
          </cell>
          <cell r="G531" t="b">
            <v>1</v>
          </cell>
          <cell r="J531">
            <v>42375.541956018518</v>
          </cell>
          <cell r="L531">
            <v>20.000000002328306</v>
          </cell>
          <cell r="S531" t="str">
            <v>FALSE</v>
          </cell>
        </row>
        <row r="532">
          <cell r="C532">
            <v>42375.505810185183</v>
          </cell>
          <cell r="D532" t="str">
            <v>Large</v>
          </cell>
          <cell r="G532" t="b">
            <v>1</v>
          </cell>
          <cell r="J532">
            <v>42375.50980324074</v>
          </cell>
          <cell r="L532">
            <v>5.7500000030267984</v>
          </cell>
          <cell r="S532" t="str">
            <v>TRUE</v>
          </cell>
        </row>
        <row r="533">
          <cell r="C533">
            <v>42375.450115740743</v>
          </cell>
          <cell r="D533" t="str">
            <v>Small</v>
          </cell>
          <cell r="G533" t="b">
            <v>1</v>
          </cell>
          <cell r="J533">
            <v>42375.459722222222</v>
          </cell>
          <cell r="L533">
            <v>13.833333329530433</v>
          </cell>
          <cell r="S533" t="str">
            <v>TRUE</v>
          </cell>
        </row>
        <row r="534">
          <cell r="C534">
            <v>42375.480312500003</v>
          </cell>
          <cell r="D534" t="str">
            <v>Small</v>
          </cell>
          <cell r="G534" t="b">
            <v>0</v>
          </cell>
          <cell r="J534">
            <v>42375.482395833336</v>
          </cell>
          <cell r="L534">
            <v>2.9999999993015081</v>
          </cell>
          <cell r="S534" t="str">
            <v>TRUE</v>
          </cell>
        </row>
        <row r="535">
          <cell r="C535">
            <v>42376.541898148149</v>
          </cell>
          <cell r="D535" t="str">
            <v>Large</v>
          </cell>
          <cell r="G535" t="b">
            <v>0</v>
          </cell>
          <cell r="J535">
            <v>42376.543993055559</v>
          </cell>
          <cell r="L535">
            <v>3.0166666698642075</v>
          </cell>
          <cell r="S535" t="str">
            <v>TRUE</v>
          </cell>
        </row>
        <row r="536">
          <cell r="C536">
            <v>42376.495393518519</v>
          </cell>
          <cell r="D536" t="str">
            <v>Small</v>
          </cell>
          <cell r="E536" t="str">
            <v>Medium</v>
          </cell>
          <cell r="G536" t="b">
            <v>1</v>
          </cell>
          <cell r="J536">
            <v>42376.50984953704</v>
          </cell>
          <cell r="L536">
            <v>20.816666671307757</v>
          </cell>
          <cell r="S536" t="str">
            <v>FALSE</v>
          </cell>
        </row>
        <row r="537">
          <cell r="C537">
            <v>42376.494340277779</v>
          </cell>
          <cell r="D537" t="str">
            <v>Small</v>
          </cell>
          <cell r="E537" t="str">
            <v>Medium</v>
          </cell>
          <cell r="G537" t="b">
            <v>0</v>
          </cell>
          <cell r="J537">
            <v>42376.496400462966</v>
          </cell>
          <cell r="L537">
            <v>2.9666666686534882</v>
          </cell>
          <cell r="S537" t="str">
            <v>TRUE</v>
          </cell>
        </row>
        <row r="538">
          <cell r="C538">
            <v>42376.488379629627</v>
          </cell>
          <cell r="D538" t="str">
            <v>Medium</v>
          </cell>
          <cell r="G538" t="b">
            <v>0</v>
          </cell>
          <cell r="J538">
            <v>42376.490451388891</v>
          </cell>
          <cell r="L538">
            <v>2.9833333392161876</v>
          </cell>
          <cell r="S538" t="str">
            <v>TRUE</v>
          </cell>
        </row>
        <row r="539">
          <cell r="C539">
            <v>42376.487824074073</v>
          </cell>
          <cell r="D539" t="str">
            <v>Medium</v>
          </cell>
          <cell r="G539" t="b">
            <v>1</v>
          </cell>
          <cell r="J539">
            <v>42376.496134259258</v>
          </cell>
          <cell r="L539">
            <v>11.966666666558012</v>
          </cell>
          <cell r="S539" t="str">
            <v>TRUE</v>
          </cell>
        </row>
        <row r="540">
          <cell r="C540">
            <v>42376.498136574075</v>
          </cell>
          <cell r="D540" t="str">
            <v>Medium</v>
          </cell>
          <cell r="G540" t="b">
            <v>1</v>
          </cell>
          <cell r="J540">
            <v>42376.513564814813</v>
          </cell>
          <cell r="L540">
            <v>22.216666663298383</v>
          </cell>
          <cell r="S540" t="str">
            <v>FALSE</v>
          </cell>
        </row>
        <row r="541">
          <cell r="C541">
            <v>42376.475902777776</v>
          </cell>
          <cell r="D541" t="str">
            <v>Small</v>
          </cell>
          <cell r="E541" t="str">
            <v>Medium</v>
          </cell>
          <cell r="G541" t="b">
            <v>1</v>
          </cell>
          <cell r="J541">
            <v>42376.491261574076</v>
          </cell>
          <cell r="L541">
            <v>22.116666671354324</v>
          </cell>
          <cell r="S541" t="str">
            <v>FALSE</v>
          </cell>
        </row>
        <row r="542">
          <cell r="C542">
            <v>42376.51767361111</v>
          </cell>
          <cell r="D542" t="str">
            <v>Small</v>
          </cell>
          <cell r="E542" t="str">
            <v>Medium</v>
          </cell>
          <cell r="G542" t="b">
            <v>1</v>
          </cell>
          <cell r="J542">
            <v>42376.534328703703</v>
          </cell>
          <cell r="L542">
            <v>23.983333334326744</v>
          </cell>
          <cell r="S542" t="str">
            <v>FALSE</v>
          </cell>
        </row>
        <row r="543">
          <cell r="C543">
            <v>42376.453564814816</v>
          </cell>
          <cell r="D543" t="str">
            <v>Small</v>
          </cell>
          <cell r="E543" t="str">
            <v>Large</v>
          </cell>
          <cell r="G543" t="b">
            <v>0</v>
          </cell>
          <cell r="J543">
            <v>42376.455636574072</v>
          </cell>
          <cell r="L543">
            <v>2.9833333287388086</v>
          </cell>
          <cell r="S543" t="str">
            <v>TRUE</v>
          </cell>
        </row>
        <row r="544">
          <cell r="C544">
            <v>42376.444178240738</v>
          </cell>
          <cell r="D544" t="str">
            <v>Small</v>
          </cell>
          <cell r="E544" t="str">
            <v>Medium</v>
          </cell>
          <cell r="G544" t="b">
            <v>0</v>
          </cell>
          <cell r="J544">
            <v>42376.446261574078</v>
          </cell>
          <cell r="L544">
            <v>3.000000009778887</v>
          </cell>
          <cell r="S544" t="str">
            <v>TRUE</v>
          </cell>
        </row>
        <row r="545">
          <cell r="C545">
            <v>42376.500428240739</v>
          </cell>
          <cell r="D545" t="str">
            <v>Small</v>
          </cell>
          <cell r="G545" t="b">
            <v>1</v>
          </cell>
          <cell r="J545">
            <v>42376.511493055557</v>
          </cell>
          <cell r="L545">
            <v>15.93333333847113</v>
          </cell>
          <cell r="S545" t="str">
            <v>TRUE</v>
          </cell>
        </row>
        <row r="546">
          <cell r="C546">
            <v>42376.558692129627</v>
          </cell>
          <cell r="D546" t="str">
            <v>Large</v>
          </cell>
          <cell r="G546" t="b">
            <v>1</v>
          </cell>
          <cell r="J546">
            <v>42376.571180555555</v>
          </cell>
          <cell r="L546">
            <v>17.983333335723728</v>
          </cell>
          <cell r="S546" t="str">
            <v>FALSE</v>
          </cell>
        </row>
        <row r="547">
          <cell r="C547">
            <v>42376.537627314814</v>
          </cell>
          <cell r="D547" t="str">
            <v>Small</v>
          </cell>
          <cell r="G547" t="b">
            <v>0</v>
          </cell>
          <cell r="J547">
            <v>42376.539710648147</v>
          </cell>
          <cell r="L547">
            <v>2.9999999993015081</v>
          </cell>
          <cell r="S547" t="str">
            <v>TRUE</v>
          </cell>
        </row>
        <row r="548">
          <cell r="C548">
            <v>42376.501145833332</v>
          </cell>
          <cell r="D548" t="str">
            <v>Medium</v>
          </cell>
          <cell r="G548" t="b">
            <v>1</v>
          </cell>
          <cell r="J548">
            <v>42376.509745370371</v>
          </cell>
          <cell r="L548">
            <v>12.383333336329088</v>
          </cell>
          <cell r="S548" t="str">
            <v>TRUE</v>
          </cell>
        </row>
        <row r="549">
          <cell r="C549">
            <v>42376.500069444446</v>
          </cell>
          <cell r="D549" t="str">
            <v>Large</v>
          </cell>
          <cell r="G549" t="b">
            <v>1</v>
          </cell>
          <cell r="J549">
            <v>42376.508171296293</v>
          </cell>
          <cell r="L549">
            <v>11.666666659293696</v>
          </cell>
          <cell r="S549" t="str">
            <v>TRUE</v>
          </cell>
        </row>
        <row r="550">
          <cell r="C550">
            <v>42376.520555555559</v>
          </cell>
          <cell r="D550" t="str">
            <v>Small</v>
          </cell>
          <cell r="E550" t="str">
            <v>Medium</v>
          </cell>
          <cell r="G550" t="b">
            <v>1</v>
          </cell>
          <cell r="J550">
            <v>42376.530219907407</v>
          </cell>
          <cell r="L550">
            <v>13.916666661389172</v>
          </cell>
          <cell r="S550" t="str">
            <v>TRUE</v>
          </cell>
        </row>
        <row r="551">
          <cell r="C551">
            <v>42376.551076388889</v>
          </cell>
          <cell r="D551" t="str">
            <v>Small</v>
          </cell>
          <cell r="E551" t="str">
            <v>Large</v>
          </cell>
          <cell r="G551" t="b">
            <v>1</v>
          </cell>
          <cell r="J551">
            <v>42376.561747685184</v>
          </cell>
          <cell r="L551">
            <v>15.366666665067896</v>
          </cell>
          <cell r="S551" t="str">
            <v>TRUE</v>
          </cell>
        </row>
        <row r="552">
          <cell r="C552">
            <v>42376.623807870368</v>
          </cell>
          <cell r="D552" t="str">
            <v>Medium</v>
          </cell>
          <cell r="G552" t="b">
            <v>1</v>
          </cell>
          <cell r="J552">
            <v>42376.629502314812</v>
          </cell>
          <cell r="L552">
            <v>8.1999999994877726</v>
          </cell>
          <cell r="S552" t="str">
            <v>TRUE</v>
          </cell>
        </row>
        <row r="553">
          <cell r="C553">
            <v>42376.532280092593</v>
          </cell>
          <cell r="D553" t="str">
            <v>Large</v>
          </cell>
          <cell r="G553" t="b">
            <v>0</v>
          </cell>
          <cell r="J553">
            <v>42376.534351851849</v>
          </cell>
          <cell r="L553">
            <v>2.9833333287388086</v>
          </cell>
          <cell r="S553" t="str">
            <v>TRUE</v>
          </cell>
        </row>
        <row r="554">
          <cell r="C554">
            <v>42376.563506944447</v>
          </cell>
          <cell r="D554" t="str">
            <v>Large</v>
          </cell>
          <cell r="G554" t="b">
            <v>1</v>
          </cell>
          <cell r="J554">
            <v>42376.580208333333</v>
          </cell>
          <cell r="L554">
            <v>24.049999995622784</v>
          </cell>
          <cell r="S554" t="str">
            <v>FALSE</v>
          </cell>
        </row>
        <row r="555">
          <cell r="C555">
            <v>42376.535694444443</v>
          </cell>
          <cell r="D555" t="str">
            <v>Medium</v>
          </cell>
          <cell r="E555" t="str">
            <v>Large</v>
          </cell>
          <cell r="G555" t="b">
            <v>1</v>
          </cell>
          <cell r="J555">
            <v>42376.548449074071</v>
          </cell>
          <cell r="L555">
            <v>18.366666664369404</v>
          </cell>
          <cell r="S555" t="str">
            <v>FALSE</v>
          </cell>
        </row>
        <row r="556">
          <cell r="C556">
            <v>42376.491944444446</v>
          </cell>
          <cell r="D556" t="str">
            <v>Medium</v>
          </cell>
          <cell r="G556" t="b">
            <v>1</v>
          </cell>
          <cell r="J556">
            <v>42376.498240740744</v>
          </cell>
          <cell r="L556">
            <v>9.066666669677943</v>
          </cell>
          <cell r="S556" t="str">
            <v>TRUE</v>
          </cell>
        </row>
        <row r="557">
          <cell r="C557">
            <v>42376.486307870371</v>
          </cell>
          <cell r="D557" t="str">
            <v>Large</v>
          </cell>
          <cell r="G557" t="b">
            <v>0</v>
          </cell>
          <cell r="J557">
            <v>42376.488391203704</v>
          </cell>
          <cell r="L557">
            <v>2.9999999993015081</v>
          </cell>
          <cell r="S557" t="str">
            <v>TRUE</v>
          </cell>
        </row>
        <row r="558">
          <cell r="C558">
            <v>42376.484363425923</v>
          </cell>
          <cell r="D558" t="str">
            <v>Medium</v>
          </cell>
          <cell r="G558" t="b">
            <v>1</v>
          </cell>
          <cell r="J558">
            <v>42376.506423611114</v>
          </cell>
          <cell r="L558">
            <v>31.76666667452082</v>
          </cell>
          <cell r="S558" t="str">
            <v>FALSE</v>
          </cell>
        </row>
        <row r="559">
          <cell r="C559">
            <v>42376.571851851855</v>
          </cell>
          <cell r="D559" t="str">
            <v>Medium</v>
          </cell>
          <cell r="G559" t="b">
            <v>0</v>
          </cell>
          <cell r="J559">
            <v>42376.573935185188</v>
          </cell>
          <cell r="L559">
            <v>2.9999999993015081</v>
          </cell>
          <cell r="S559" t="str">
            <v>TRUE</v>
          </cell>
        </row>
        <row r="560">
          <cell r="C560">
            <v>42376.61409722222</v>
          </cell>
          <cell r="D560" t="str">
            <v>Small</v>
          </cell>
          <cell r="E560" t="str">
            <v>Medium</v>
          </cell>
          <cell r="G560" t="b">
            <v>0</v>
          </cell>
          <cell r="J560">
            <v>42376.616180555553</v>
          </cell>
          <cell r="L560">
            <v>2.9999999993015081</v>
          </cell>
          <cell r="S560" t="str">
            <v>TRUE</v>
          </cell>
        </row>
        <row r="561">
          <cell r="C561">
            <v>42376.478275462963</v>
          </cell>
          <cell r="D561" t="str">
            <v>Small</v>
          </cell>
          <cell r="G561" t="b">
            <v>1</v>
          </cell>
          <cell r="J561">
            <v>42376.489201388889</v>
          </cell>
          <cell r="L561">
            <v>15.733333333628252</v>
          </cell>
          <cell r="S561" t="str">
            <v>TRUE</v>
          </cell>
        </row>
        <row r="562">
          <cell r="C562">
            <v>42376.558425925927</v>
          </cell>
          <cell r="D562" t="str">
            <v>Small</v>
          </cell>
          <cell r="G562" t="b">
            <v>0</v>
          </cell>
          <cell r="J562">
            <v>42376.56050925926</v>
          </cell>
          <cell r="L562">
            <v>2.9999999993015081</v>
          </cell>
          <cell r="S562" t="str">
            <v>TRUE</v>
          </cell>
        </row>
        <row r="563">
          <cell r="C563">
            <v>42376.584062499998</v>
          </cell>
          <cell r="D563" t="str">
            <v>Large</v>
          </cell>
          <cell r="G563" t="b">
            <v>0</v>
          </cell>
          <cell r="J563">
            <v>42376.586157407408</v>
          </cell>
          <cell r="L563">
            <v>3.0166666698642075</v>
          </cell>
          <cell r="S563" t="str">
            <v>TRUE</v>
          </cell>
        </row>
        <row r="564">
          <cell r="C564">
            <v>42376.49322916667</v>
          </cell>
          <cell r="D564" t="str">
            <v>Small</v>
          </cell>
          <cell r="G564" t="b">
            <v>1</v>
          </cell>
          <cell r="J564">
            <v>42376.503900462965</v>
          </cell>
          <cell r="L564">
            <v>15.366666665067896</v>
          </cell>
          <cell r="S564" t="str">
            <v>TRUE</v>
          </cell>
        </row>
        <row r="565">
          <cell r="C565">
            <v>42376.463483796295</v>
          </cell>
          <cell r="D565" t="str">
            <v>Large</v>
          </cell>
          <cell r="G565" t="b">
            <v>1</v>
          </cell>
          <cell r="J565">
            <v>42376.469224537039</v>
          </cell>
          <cell r="L565">
            <v>8.2666666712611914</v>
          </cell>
          <cell r="S565" t="str">
            <v>TRUE</v>
          </cell>
        </row>
        <row r="566">
          <cell r="C566">
            <v>42376.564247685186</v>
          </cell>
          <cell r="D566" t="str">
            <v>Medium</v>
          </cell>
          <cell r="G566" t="b">
            <v>0</v>
          </cell>
          <cell r="J566">
            <v>42376.566342592596</v>
          </cell>
          <cell r="L566">
            <v>3.0166666698642075</v>
          </cell>
          <cell r="S566" t="str">
            <v>TRUE</v>
          </cell>
        </row>
        <row r="567">
          <cell r="C567">
            <v>42376.565520833334</v>
          </cell>
          <cell r="D567" t="str">
            <v>Small</v>
          </cell>
          <cell r="E567" t="str">
            <v>Large</v>
          </cell>
          <cell r="G567" t="b">
            <v>0</v>
          </cell>
          <cell r="J567">
            <v>42376.56759259259</v>
          </cell>
          <cell r="L567">
            <v>2.9833333287388086</v>
          </cell>
          <cell r="S567" t="str">
            <v>TRUE</v>
          </cell>
        </row>
        <row r="568">
          <cell r="C568">
            <v>42376.563194444447</v>
          </cell>
          <cell r="D568" t="str">
            <v>Medium</v>
          </cell>
          <cell r="G568" t="b">
            <v>1</v>
          </cell>
          <cell r="J568">
            <v>42376.571620370371</v>
          </cell>
          <cell r="L568">
            <v>12.133333330275491</v>
          </cell>
          <cell r="S568" t="str">
            <v>TRUE</v>
          </cell>
        </row>
        <row r="569">
          <cell r="C569">
            <v>42376.442800925928</v>
          </cell>
          <cell r="D569" t="str">
            <v>Small</v>
          </cell>
          <cell r="G569" t="b">
            <v>1</v>
          </cell>
          <cell r="J569">
            <v>42376.450960648152</v>
          </cell>
          <cell r="L569">
            <v>11.750000001629815</v>
          </cell>
          <cell r="S569" t="str">
            <v>TRUE</v>
          </cell>
        </row>
        <row r="570">
          <cell r="C570">
            <v>42376.573368055557</v>
          </cell>
          <cell r="D570" t="str">
            <v>Medium</v>
          </cell>
          <cell r="G570" t="b">
            <v>0</v>
          </cell>
          <cell r="J570">
            <v>42376.575439814813</v>
          </cell>
          <cell r="L570">
            <v>2.9833333287388086</v>
          </cell>
          <cell r="S570" t="str">
            <v>TRUE</v>
          </cell>
        </row>
        <row r="571">
          <cell r="C571">
            <v>42376.528506944444</v>
          </cell>
          <cell r="D571" t="str">
            <v>Small</v>
          </cell>
          <cell r="G571" t="b">
            <v>0</v>
          </cell>
          <cell r="J571">
            <v>42376.530590277776</v>
          </cell>
          <cell r="L571">
            <v>2.9999999993015081</v>
          </cell>
          <cell r="S571" t="str">
            <v>TRUE</v>
          </cell>
        </row>
        <row r="572">
          <cell r="C572">
            <v>42376.537442129629</v>
          </cell>
          <cell r="D572" t="str">
            <v>Small</v>
          </cell>
          <cell r="G572" t="b">
            <v>1</v>
          </cell>
          <cell r="J572">
            <v>42376.546805555554</v>
          </cell>
          <cell r="L572">
            <v>13.483333331532776</v>
          </cell>
          <cell r="S572" t="str">
            <v>TRUE</v>
          </cell>
        </row>
        <row r="573">
          <cell r="C573">
            <v>42376.589895833335</v>
          </cell>
          <cell r="D573" t="str">
            <v>Small</v>
          </cell>
          <cell r="E573" t="str">
            <v>Medium</v>
          </cell>
          <cell r="G573" t="b">
            <v>0</v>
          </cell>
          <cell r="J573">
            <v>42376.591979166667</v>
          </cell>
          <cell r="L573">
            <v>2.9999999993015081</v>
          </cell>
          <cell r="S573" t="str">
            <v>TRUE</v>
          </cell>
        </row>
        <row r="574">
          <cell r="C574">
            <v>42376.521631944444</v>
          </cell>
          <cell r="D574" t="str">
            <v>Medium</v>
          </cell>
          <cell r="G574" t="b">
            <v>1</v>
          </cell>
          <cell r="J574">
            <v>42376.529942129629</v>
          </cell>
          <cell r="L574">
            <v>11.966666666558012</v>
          </cell>
          <cell r="S574" t="str">
            <v>TRUE</v>
          </cell>
        </row>
        <row r="575">
          <cell r="C575">
            <v>42376.623657407406</v>
          </cell>
          <cell r="D575" t="str">
            <v>Medium</v>
          </cell>
          <cell r="G575" t="b">
            <v>1</v>
          </cell>
          <cell r="J575">
            <v>42376.635254629633</v>
          </cell>
          <cell r="L575">
            <v>16.700000006239861</v>
          </cell>
          <cell r="S575" t="str">
            <v>FALSE</v>
          </cell>
        </row>
        <row r="576">
          <cell r="C576">
            <v>42376.532222222224</v>
          </cell>
          <cell r="D576" t="str">
            <v>Small</v>
          </cell>
          <cell r="E576" t="str">
            <v>Medium</v>
          </cell>
          <cell r="G576" t="b">
            <v>0</v>
          </cell>
          <cell r="J576">
            <v>42376.53429398148</v>
          </cell>
          <cell r="L576">
            <v>2.9833333287388086</v>
          </cell>
          <cell r="S576" t="str">
            <v>TRUE</v>
          </cell>
        </row>
        <row r="577">
          <cell r="C577">
            <v>42376.521967592591</v>
          </cell>
          <cell r="D577" t="str">
            <v>Small</v>
          </cell>
          <cell r="G577" t="b">
            <v>0</v>
          </cell>
          <cell r="J577">
            <v>42376.524050925924</v>
          </cell>
          <cell r="L577">
            <v>2.9999999993015081</v>
          </cell>
          <cell r="S577" t="str">
            <v>TRUE</v>
          </cell>
        </row>
        <row r="578">
          <cell r="C578">
            <v>42376.525775462964</v>
          </cell>
          <cell r="D578" t="str">
            <v>Small</v>
          </cell>
          <cell r="E578" t="str">
            <v>Large</v>
          </cell>
          <cell r="G578" t="b">
            <v>1</v>
          </cell>
          <cell r="J578">
            <v>42376.530324074076</v>
          </cell>
          <cell r="L578">
            <v>6.55000000144355</v>
          </cell>
          <cell r="S578" t="str">
            <v>TRUE</v>
          </cell>
        </row>
        <row r="579">
          <cell r="C579">
            <v>42376.430763888886</v>
          </cell>
          <cell r="D579" t="str">
            <v>Small</v>
          </cell>
          <cell r="G579" t="b">
            <v>1</v>
          </cell>
          <cell r="J579">
            <v>42376.438125000001</v>
          </cell>
          <cell r="L579">
            <v>10.600000005215406</v>
          </cell>
          <cell r="S579" t="str">
            <v>TRUE</v>
          </cell>
        </row>
        <row r="580">
          <cell r="C580">
            <v>42376.530671296299</v>
          </cell>
          <cell r="D580" t="str">
            <v>Large</v>
          </cell>
          <cell r="G580" t="b">
            <v>0</v>
          </cell>
          <cell r="J580">
            <v>42376.532754629632</v>
          </cell>
          <cell r="L580">
            <v>2.9999999993015081</v>
          </cell>
          <cell r="S580" t="str">
            <v>TRUE</v>
          </cell>
        </row>
        <row r="581">
          <cell r="C581">
            <v>42376.584988425922</v>
          </cell>
          <cell r="D581" t="str">
            <v>Small</v>
          </cell>
          <cell r="G581" t="b">
            <v>1</v>
          </cell>
          <cell r="J581">
            <v>42376.595405092594</v>
          </cell>
          <cell r="L581">
            <v>15.000000006984919</v>
          </cell>
          <cell r="S581" t="str">
            <v>TRUE</v>
          </cell>
        </row>
        <row r="582">
          <cell r="C582">
            <v>42376.553298611114</v>
          </cell>
          <cell r="D582" t="str">
            <v>Medium</v>
          </cell>
          <cell r="G582" t="b">
            <v>0</v>
          </cell>
          <cell r="J582">
            <v>42376.55537037037</v>
          </cell>
          <cell r="L582">
            <v>2.9833333287388086</v>
          </cell>
          <cell r="S582" t="str">
            <v>TRUE</v>
          </cell>
        </row>
        <row r="583">
          <cell r="C583">
            <v>42376.569768518515</v>
          </cell>
          <cell r="D583" t="str">
            <v>Small</v>
          </cell>
          <cell r="E583" t="str">
            <v>Medium</v>
          </cell>
          <cell r="G583" t="b">
            <v>0</v>
          </cell>
          <cell r="J583">
            <v>42376.571817129632</v>
          </cell>
          <cell r="L583">
            <v>2.9500000085681677</v>
          </cell>
          <cell r="S583" t="str">
            <v>TRUE</v>
          </cell>
        </row>
        <row r="584">
          <cell r="C584">
            <v>42376.501736111109</v>
          </cell>
          <cell r="D584" t="str">
            <v>Large</v>
          </cell>
          <cell r="G584" t="b">
            <v>1</v>
          </cell>
          <cell r="J584">
            <v>42376.511134259257</v>
          </cell>
          <cell r="L584">
            <v>13.533333332743496</v>
          </cell>
          <cell r="S584" t="str">
            <v>TRUE</v>
          </cell>
        </row>
        <row r="585">
          <cell r="C585">
            <v>42376.435902777775</v>
          </cell>
          <cell r="D585" t="str">
            <v>Small</v>
          </cell>
          <cell r="G585" t="b">
            <v>1</v>
          </cell>
          <cell r="J585">
            <v>42376.446979166663</v>
          </cell>
          <cell r="L585">
            <v>15.94999999855645</v>
          </cell>
          <cell r="S585" t="str">
            <v>TRUE</v>
          </cell>
        </row>
        <row r="586">
          <cell r="C586">
            <v>42376.534363425926</v>
          </cell>
          <cell r="D586" t="str">
            <v>Large</v>
          </cell>
          <cell r="G586" t="b">
            <v>0</v>
          </cell>
          <cell r="J586">
            <v>42376.536446759259</v>
          </cell>
          <cell r="L586">
            <v>2.9999999993015081</v>
          </cell>
          <cell r="S586" t="str">
            <v>TRUE</v>
          </cell>
        </row>
        <row r="587">
          <cell r="C587">
            <v>42376.453310185185</v>
          </cell>
          <cell r="D587" t="str">
            <v>Small</v>
          </cell>
          <cell r="G587" t="b">
            <v>1</v>
          </cell>
          <cell r="J587">
            <v>42376.467905092592</v>
          </cell>
          <cell r="L587">
            <v>21.016666665673256</v>
          </cell>
          <cell r="S587" t="str">
            <v>FALSE</v>
          </cell>
        </row>
        <row r="588">
          <cell r="C588">
            <v>42376.51489583333</v>
          </cell>
          <cell r="D588" t="str">
            <v>Medium</v>
          </cell>
          <cell r="G588" t="b">
            <v>1</v>
          </cell>
          <cell r="J588">
            <v>42376.524826388886</v>
          </cell>
          <cell r="L588">
            <v>14.300000000512227</v>
          </cell>
          <cell r="S588" t="str">
            <v>TRUE</v>
          </cell>
        </row>
        <row r="589">
          <cell r="C589">
            <v>42376.440416666665</v>
          </cell>
          <cell r="D589" t="str">
            <v>Medium</v>
          </cell>
          <cell r="E589" t="str">
            <v>Large</v>
          </cell>
          <cell r="G589" t="b">
            <v>0</v>
          </cell>
          <cell r="J589">
            <v>42376.442511574074</v>
          </cell>
          <cell r="L589">
            <v>3.0166666698642075</v>
          </cell>
          <cell r="S589" t="str">
            <v>TRUE</v>
          </cell>
        </row>
        <row r="590">
          <cell r="C590">
            <v>42376.474027777775</v>
          </cell>
          <cell r="D590" t="str">
            <v>Small</v>
          </cell>
          <cell r="G590" t="b">
            <v>1</v>
          </cell>
          <cell r="J590">
            <v>42376.485254629632</v>
          </cell>
          <cell r="L590">
            <v>16.166666673962027</v>
          </cell>
          <cell r="S590" t="str">
            <v>FALSE</v>
          </cell>
        </row>
        <row r="591">
          <cell r="C591">
            <v>42376.618333333332</v>
          </cell>
          <cell r="D591" t="str">
            <v>Large</v>
          </cell>
          <cell r="G591" t="b">
            <v>1</v>
          </cell>
          <cell r="J591">
            <v>42376.62605324074</v>
          </cell>
          <cell r="L591">
            <v>11.116666666930541</v>
          </cell>
          <cell r="S591" t="str">
            <v>TRUE</v>
          </cell>
        </row>
        <row r="592">
          <cell r="C592">
            <v>42376.546666666669</v>
          </cell>
          <cell r="D592" t="str">
            <v>Small</v>
          </cell>
          <cell r="G592" t="b">
            <v>1</v>
          </cell>
          <cell r="J592">
            <v>42376.556516203702</v>
          </cell>
          <cell r="L592">
            <v>14.183333327528089</v>
          </cell>
          <cell r="S592" t="str">
            <v>TRUE</v>
          </cell>
        </row>
        <row r="593">
          <cell r="C593">
            <v>42376.485347222224</v>
          </cell>
          <cell r="D593" t="str">
            <v>Small</v>
          </cell>
          <cell r="G593" t="b">
            <v>0</v>
          </cell>
          <cell r="J593">
            <v>42376.487442129626</v>
          </cell>
          <cell r="L593">
            <v>3.0166666593868285</v>
          </cell>
          <cell r="S593" t="str">
            <v>TRUE</v>
          </cell>
        </row>
        <row r="594">
          <cell r="C594">
            <v>42376.579710648148</v>
          </cell>
          <cell r="D594" t="str">
            <v>Small</v>
          </cell>
          <cell r="E594" t="str">
            <v>Medium</v>
          </cell>
          <cell r="G594" t="b">
            <v>1</v>
          </cell>
          <cell r="J594">
            <v>42376.591678240744</v>
          </cell>
          <cell r="L594">
            <v>17.233333338517696</v>
          </cell>
          <cell r="S594" t="str">
            <v>FALSE</v>
          </cell>
        </row>
        <row r="595">
          <cell r="C595">
            <v>42376.487083333333</v>
          </cell>
          <cell r="D595" t="str">
            <v>Small</v>
          </cell>
          <cell r="G595" t="b">
            <v>1</v>
          </cell>
          <cell r="J595">
            <v>42376.500798611109</v>
          </cell>
          <cell r="L595">
            <v>19.74999999627471</v>
          </cell>
          <cell r="S595" t="str">
            <v>FALSE</v>
          </cell>
        </row>
        <row r="596">
          <cell r="C596">
            <v>42376.441400462965</v>
          </cell>
          <cell r="D596" t="str">
            <v>Small</v>
          </cell>
          <cell r="E596" t="str">
            <v>Large</v>
          </cell>
          <cell r="G596" t="b">
            <v>1</v>
          </cell>
          <cell r="J596">
            <v>42376.448078703703</v>
          </cell>
          <cell r="L596">
            <v>9.6166666620410979</v>
          </cell>
          <cell r="S596" t="str">
            <v>TRUE</v>
          </cell>
        </row>
        <row r="597">
          <cell r="C597">
            <v>42376.549050925925</v>
          </cell>
          <cell r="D597" t="str">
            <v>Large</v>
          </cell>
          <cell r="G597" t="b">
            <v>0</v>
          </cell>
          <cell r="J597">
            <v>42376.551134259258</v>
          </cell>
          <cell r="L597">
            <v>2.9999999993015081</v>
          </cell>
          <cell r="S597" t="str">
            <v>TRUE</v>
          </cell>
        </row>
        <row r="598">
          <cell r="C598">
            <v>42376.44903935185</v>
          </cell>
          <cell r="D598" t="str">
            <v>Small</v>
          </cell>
          <cell r="E598" t="str">
            <v>Large</v>
          </cell>
          <cell r="G598" t="b">
            <v>1</v>
          </cell>
          <cell r="J598">
            <v>42376.457430555558</v>
          </cell>
          <cell r="L598">
            <v>12.08333333954215</v>
          </cell>
          <cell r="S598" t="str">
            <v>TRUE</v>
          </cell>
        </row>
        <row r="599">
          <cell r="C599">
            <v>42376.51394675926</v>
          </cell>
          <cell r="D599" t="str">
            <v>Large</v>
          </cell>
          <cell r="G599" t="b">
            <v>0</v>
          </cell>
          <cell r="J599">
            <v>42376.516018518516</v>
          </cell>
          <cell r="L599">
            <v>2.9833333287388086</v>
          </cell>
          <cell r="S599" t="str">
            <v>TRUE</v>
          </cell>
        </row>
        <row r="600">
          <cell r="C600">
            <v>42376.552210648151</v>
          </cell>
          <cell r="D600" t="str">
            <v>Small</v>
          </cell>
          <cell r="G600" t="b">
            <v>0</v>
          </cell>
          <cell r="J600">
            <v>42376.554293981484</v>
          </cell>
          <cell r="L600">
            <v>2.9999999993015081</v>
          </cell>
          <cell r="S600" t="str">
            <v>TRUE</v>
          </cell>
        </row>
        <row r="601">
          <cell r="C601">
            <v>42376.53628472222</v>
          </cell>
          <cell r="D601" t="str">
            <v>Medium</v>
          </cell>
          <cell r="G601" t="b">
            <v>1</v>
          </cell>
          <cell r="J601">
            <v>42376.551944444444</v>
          </cell>
          <cell r="L601">
            <v>22.550000001210719</v>
          </cell>
          <cell r="S601" t="str">
            <v>FALSE</v>
          </cell>
        </row>
        <row r="602">
          <cell r="C602">
            <v>42376.48096064815</v>
          </cell>
          <cell r="D602" t="str">
            <v>Small</v>
          </cell>
          <cell r="E602" t="str">
            <v>Large</v>
          </cell>
          <cell r="G602" t="b">
            <v>0</v>
          </cell>
          <cell r="J602">
            <v>42376.483055555553</v>
          </cell>
          <cell r="L602">
            <v>3.0166666593868285</v>
          </cell>
          <cell r="S602" t="str">
            <v>TRUE</v>
          </cell>
        </row>
        <row r="603">
          <cell r="C603">
            <v>42376.580949074072</v>
          </cell>
          <cell r="D603" t="str">
            <v>Large</v>
          </cell>
          <cell r="G603" t="b">
            <v>1</v>
          </cell>
          <cell r="J603">
            <v>42376.592685185184</v>
          </cell>
          <cell r="L603">
            <v>16.90000000060536</v>
          </cell>
          <cell r="S603" t="str">
            <v>FALSE</v>
          </cell>
        </row>
        <row r="604">
          <cell r="C604">
            <v>42376.527754629627</v>
          </cell>
          <cell r="D604" t="str">
            <v>Small</v>
          </cell>
          <cell r="G604" t="b">
            <v>1</v>
          </cell>
          <cell r="J604">
            <v>42376.531990740739</v>
          </cell>
          <cell r="L604">
            <v>6.1000000010244548</v>
          </cell>
          <cell r="S604" t="str">
            <v>TRUE</v>
          </cell>
        </row>
        <row r="605">
          <cell r="C605">
            <v>42376.489305555559</v>
          </cell>
          <cell r="D605" t="str">
            <v>Large</v>
          </cell>
          <cell r="G605" t="b">
            <v>0</v>
          </cell>
          <cell r="J605">
            <v>42376.491388888891</v>
          </cell>
          <cell r="L605">
            <v>2.9999999993015081</v>
          </cell>
          <cell r="S605" t="str">
            <v>TRUE</v>
          </cell>
        </row>
        <row r="606">
          <cell r="C606">
            <v>42376.52921296296</v>
          </cell>
          <cell r="D606" t="str">
            <v>Small</v>
          </cell>
          <cell r="G606" t="b">
            <v>1</v>
          </cell>
          <cell r="J606">
            <v>42376.540671296294</v>
          </cell>
          <cell r="L606">
            <v>16.500000001396984</v>
          </cell>
          <cell r="S606" t="str">
            <v>FALSE</v>
          </cell>
        </row>
        <row r="607">
          <cell r="C607">
            <v>42376.541192129633</v>
          </cell>
          <cell r="D607" t="str">
            <v>Medium</v>
          </cell>
          <cell r="G607" t="b">
            <v>0</v>
          </cell>
          <cell r="J607">
            <v>42376.543252314812</v>
          </cell>
          <cell r="L607">
            <v>2.9666666581761092</v>
          </cell>
          <cell r="S607" t="str">
            <v>TRUE</v>
          </cell>
        </row>
        <row r="608">
          <cell r="C608">
            <v>42376.483402777776</v>
          </cell>
          <cell r="D608" t="str">
            <v>Small</v>
          </cell>
          <cell r="G608" t="b">
            <v>1</v>
          </cell>
          <cell r="J608">
            <v>42376.491354166668</v>
          </cell>
          <cell r="L608">
            <v>11.450000004842877</v>
          </cell>
          <cell r="S608" t="str">
            <v>TRUE</v>
          </cell>
        </row>
        <row r="609">
          <cell r="C609">
            <v>42376.51703703704</v>
          </cell>
          <cell r="D609" t="str">
            <v>Small</v>
          </cell>
          <cell r="G609" t="b">
            <v>0</v>
          </cell>
          <cell r="J609">
            <v>42376.519108796296</v>
          </cell>
          <cell r="L609">
            <v>2.9833333287388086</v>
          </cell>
          <cell r="S609" t="str">
            <v>TRUE</v>
          </cell>
        </row>
        <row r="610">
          <cell r="C610">
            <v>42376.500254629631</v>
          </cell>
          <cell r="D610" t="str">
            <v>Medium</v>
          </cell>
          <cell r="G610" t="b">
            <v>0</v>
          </cell>
          <cell r="J610">
            <v>42376.502337962964</v>
          </cell>
          <cell r="L610">
            <v>2.9999999993015081</v>
          </cell>
          <cell r="S610" t="str">
            <v>TRUE</v>
          </cell>
        </row>
        <row r="611">
          <cell r="C611">
            <v>42376.51284722222</v>
          </cell>
          <cell r="D611" t="str">
            <v>Large</v>
          </cell>
          <cell r="G611" t="b">
            <v>0</v>
          </cell>
          <cell r="J611">
            <v>42376.514907407407</v>
          </cell>
          <cell r="L611">
            <v>2.9666666686534882</v>
          </cell>
          <cell r="S611" t="str">
            <v>TRUE</v>
          </cell>
        </row>
        <row r="612">
          <cell r="C612">
            <v>42376.496574074074</v>
          </cell>
          <cell r="D612" t="str">
            <v>Medium</v>
          </cell>
          <cell r="G612" t="b">
            <v>1</v>
          </cell>
          <cell r="J612">
            <v>42376.512962962966</v>
          </cell>
          <cell r="L612">
            <v>23.600000005681068</v>
          </cell>
          <cell r="S612" t="str">
            <v>FALSE</v>
          </cell>
        </row>
        <row r="613">
          <cell r="C613">
            <v>42376.485520833332</v>
          </cell>
          <cell r="D613" t="str">
            <v>Medium</v>
          </cell>
          <cell r="G613" t="b">
            <v>1</v>
          </cell>
          <cell r="J613">
            <v>42376.50204861111</v>
          </cell>
          <cell r="L613">
            <v>23.800000000046566</v>
          </cell>
          <cell r="S613" t="str">
            <v>FALSE</v>
          </cell>
        </row>
        <row r="614">
          <cell r="C614">
            <v>42376.479560185187</v>
          </cell>
          <cell r="D614" t="str">
            <v>Large</v>
          </cell>
          <cell r="G614" t="b">
            <v>1</v>
          </cell>
          <cell r="J614">
            <v>42376.487523148149</v>
          </cell>
          <cell r="L614">
            <v>11.466666664928198</v>
          </cell>
          <cell r="S614" t="str">
            <v>TRUE</v>
          </cell>
        </row>
        <row r="615">
          <cell r="C615">
            <v>42376.534837962965</v>
          </cell>
          <cell r="D615" t="str">
            <v>Large</v>
          </cell>
          <cell r="G615" t="b">
            <v>1</v>
          </cell>
          <cell r="J615">
            <v>42376.547569444447</v>
          </cell>
          <cell r="L615">
            <v>18.333333333721384</v>
          </cell>
          <cell r="S615" t="str">
            <v>FALSE</v>
          </cell>
        </row>
        <row r="616">
          <cell r="C616">
            <v>42376.488981481481</v>
          </cell>
          <cell r="D616" t="str">
            <v>Small</v>
          </cell>
          <cell r="E616" t="str">
            <v>Large</v>
          </cell>
          <cell r="G616" t="b">
            <v>0</v>
          </cell>
          <cell r="J616">
            <v>42376.491053240738</v>
          </cell>
          <cell r="L616">
            <v>2.9833333287388086</v>
          </cell>
          <cell r="S616" t="str">
            <v>TRUE</v>
          </cell>
        </row>
        <row r="617">
          <cell r="C617">
            <v>42376.533148148148</v>
          </cell>
          <cell r="D617" t="str">
            <v>Large</v>
          </cell>
          <cell r="G617" t="b">
            <v>0</v>
          </cell>
          <cell r="J617">
            <v>42376.535231481481</v>
          </cell>
          <cell r="L617">
            <v>2.9999999993015081</v>
          </cell>
          <cell r="S617" t="str">
            <v>TRUE</v>
          </cell>
        </row>
        <row r="618">
          <cell r="C618">
            <v>42376.481793981482</v>
          </cell>
          <cell r="D618" t="str">
            <v>Large</v>
          </cell>
          <cell r="G618" t="b">
            <v>1</v>
          </cell>
          <cell r="J618">
            <v>42376.486076388886</v>
          </cell>
          <cell r="L618">
            <v>6.1666666623204947</v>
          </cell>
          <cell r="S618" t="str">
            <v>TRUE</v>
          </cell>
        </row>
        <row r="619">
          <cell r="C619">
            <v>42376.482974537037</v>
          </cell>
          <cell r="D619" t="str">
            <v>Small</v>
          </cell>
          <cell r="E619" t="str">
            <v>Medium</v>
          </cell>
          <cell r="G619" t="b">
            <v>0</v>
          </cell>
          <cell r="J619">
            <v>42376.485023148147</v>
          </cell>
          <cell r="L619">
            <v>2.9499999980907887</v>
          </cell>
          <cell r="S619" t="str">
            <v>TRUE</v>
          </cell>
        </row>
        <row r="620">
          <cell r="C620">
            <v>42376.531469907408</v>
          </cell>
          <cell r="D620" t="str">
            <v>Small</v>
          </cell>
          <cell r="G620" t="b">
            <v>1</v>
          </cell>
          <cell r="J620">
            <v>42376.54179398148</v>
          </cell>
          <cell r="L620">
            <v>14.866666663438082</v>
          </cell>
          <cell r="S620" t="str">
            <v>TRUE</v>
          </cell>
        </row>
        <row r="621">
          <cell r="C621">
            <v>42376.571898148148</v>
          </cell>
          <cell r="D621" t="str">
            <v>Large</v>
          </cell>
          <cell r="G621" t="b">
            <v>0</v>
          </cell>
          <cell r="J621">
            <v>42376.573958333334</v>
          </cell>
          <cell r="L621">
            <v>2.9666666686534882</v>
          </cell>
          <cell r="S621" t="str">
            <v>TRUE</v>
          </cell>
        </row>
        <row r="622">
          <cell r="C622">
            <v>42376.470983796295</v>
          </cell>
          <cell r="D622" t="str">
            <v>Large</v>
          </cell>
          <cell r="G622" t="b">
            <v>0</v>
          </cell>
          <cell r="J622">
            <v>42376.473078703704</v>
          </cell>
          <cell r="L622">
            <v>3.0166666698642075</v>
          </cell>
          <cell r="S622" t="str">
            <v>TRUE</v>
          </cell>
        </row>
        <row r="623">
          <cell r="C623">
            <v>42376.535891203705</v>
          </cell>
          <cell r="D623" t="str">
            <v>Medium</v>
          </cell>
          <cell r="G623" t="b">
            <v>0</v>
          </cell>
          <cell r="J623">
            <v>42376.537974537037</v>
          </cell>
          <cell r="L623">
            <v>2.9999999993015081</v>
          </cell>
          <cell r="S623" t="str">
            <v>TRUE</v>
          </cell>
        </row>
        <row r="624">
          <cell r="C624">
            <v>42376.557685185187</v>
          </cell>
          <cell r="D624" t="str">
            <v>Small</v>
          </cell>
          <cell r="G624" t="b">
            <v>0</v>
          </cell>
          <cell r="J624">
            <v>42376.55978009259</v>
          </cell>
          <cell r="L624">
            <v>3.0166666593868285</v>
          </cell>
          <cell r="S624" t="str">
            <v>TRUE</v>
          </cell>
        </row>
        <row r="625">
          <cell r="C625">
            <v>42376.430185185185</v>
          </cell>
          <cell r="D625" t="str">
            <v>Small</v>
          </cell>
          <cell r="E625" t="str">
            <v>Medium</v>
          </cell>
          <cell r="G625" t="b">
            <v>1</v>
          </cell>
          <cell r="J625">
            <v>42376.44327546296</v>
          </cell>
          <cell r="L625">
            <v>18.849999995436519</v>
          </cell>
          <cell r="S625" t="str">
            <v>FALSE</v>
          </cell>
        </row>
        <row r="626">
          <cell r="C626">
            <v>42376.524421296293</v>
          </cell>
          <cell r="D626" t="str">
            <v>Large</v>
          </cell>
          <cell r="G626" t="b">
            <v>0</v>
          </cell>
          <cell r="J626">
            <v>42376.526504629626</v>
          </cell>
          <cell r="L626">
            <v>2.9999999993015081</v>
          </cell>
          <cell r="S626" t="str">
            <v>TRUE</v>
          </cell>
        </row>
        <row r="627">
          <cell r="C627">
            <v>42376.526273148149</v>
          </cell>
          <cell r="D627" t="str">
            <v>Small</v>
          </cell>
          <cell r="G627" t="b">
            <v>1</v>
          </cell>
          <cell r="J627">
            <v>42376.536400462966</v>
          </cell>
          <cell r="L627">
            <v>14.583333337213844</v>
          </cell>
          <cell r="S627" t="str">
            <v>TRUE</v>
          </cell>
        </row>
        <row r="628">
          <cell r="C628">
            <v>42376.513425925928</v>
          </cell>
          <cell r="D628" t="str">
            <v>Medium</v>
          </cell>
          <cell r="G628" t="b">
            <v>0</v>
          </cell>
          <cell r="J628">
            <v>42376.515497685185</v>
          </cell>
          <cell r="L628">
            <v>2.9833333287388086</v>
          </cell>
          <cell r="S628" t="str">
            <v>TRUE</v>
          </cell>
        </row>
        <row r="629">
          <cell r="C629">
            <v>42376.447060185186</v>
          </cell>
          <cell r="D629" t="str">
            <v>Large</v>
          </cell>
          <cell r="G629" t="b">
            <v>1</v>
          </cell>
          <cell r="J629">
            <v>42376.4606712963</v>
          </cell>
          <cell r="L629">
            <v>19.600000003119931</v>
          </cell>
          <cell r="S629" t="str">
            <v>FALSE</v>
          </cell>
        </row>
        <row r="630">
          <cell r="C630">
            <v>42376.484351851854</v>
          </cell>
          <cell r="D630" t="str">
            <v>Small</v>
          </cell>
          <cell r="E630" t="str">
            <v>Medium</v>
          </cell>
          <cell r="G630" t="b">
            <v>1</v>
          </cell>
          <cell r="J630">
            <v>42376.489282407405</v>
          </cell>
          <cell r="L630">
            <v>7.0999999938067049</v>
          </cell>
          <cell r="S630" t="str">
            <v>TRUE</v>
          </cell>
        </row>
        <row r="631">
          <cell r="C631">
            <v>42376.495659722219</v>
          </cell>
          <cell r="D631" t="str">
            <v>Small</v>
          </cell>
          <cell r="G631" t="b">
            <v>1</v>
          </cell>
          <cell r="J631">
            <v>42376.501909722225</v>
          </cell>
          <cell r="L631">
            <v>9.0000000083819032</v>
          </cell>
          <cell r="S631" t="str">
            <v>TRUE</v>
          </cell>
        </row>
        <row r="632">
          <cell r="C632">
            <v>42376.456192129626</v>
          </cell>
          <cell r="D632" t="str">
            <v>Medium</v>
          </cell>
          <cell r="G632" t="b">
            <v>1</v>
          </cell>
          <cell r="J632">
            <v>42376.466909722221</v>
          </cell>
          <cell r="L632">
            <v>15.433333336841315</v>
          </cell>
          <cell r="S632" t="str">
            <v>TRUE</v>
          </cell>
        </row>
        <row r="633">
          <cell r="C633">
            <v>42376.517534722225</v>
          </cell>
          <cell r="D633" t="str">
            <v>Small</v>
          </cell>
          <cell r="G633" t="b">
            <v>0</v>
          </cell>
          <cell r="J633">
            <v>42376.519618055558</v>
          </cell>
          <cell r="L633">
            <v>2.9999999993015081</v>
          </cell>
          <cell r="S633" t="str">
            <v>TRUE</v>
          </cell>
        </row>
        <row r="634">
          <cell r="C634">
            <v>42376.463449074072</v>
          </cell>
          <cell r="D634" t="str">
            <v>Medium</v>
          </cell>
          <cell r="G634" t="b">
            <v>1</v>
          </cell>
          <cell r="J634">
            <v>42376.477118055554</v>
          </cell>
          <cell r="L634">
            <v>19.68333333497867</v>
          </cell>
          <cell r="S634" t="str">
            <v>FALSE</v>
          </cell>
        </row>
        <row r="635">
          <cell r="C635">
            <v>42376.602581018517</v>
          </cell>
          <cell r="D635" t="str">
            <v>Medium</v>
          </cell>
          <cell r="G635" t="b">
            <v>0</v>
          </cell>
          <cell r="J635">
            <v>42376.604675925926</v>
          </cell>
          <cell r="L635">
            <v>3.0166666698642075</v>
          </cell>
          <cell r="S635" t="str">
            <v>TRUE</v>
          </cell>
        </row>
        <row r="636">
          <cell r="C636">
            <v>42376.500567129631</v>
          </cell>
          <cell r="D636" t="str">
            <v>Small</v>
          </cell>
          <cell r="G636" t="b">
            <v>0</v>
          </cell>
          <cell r="J636">
            <v>42376.502650462964</v>
          </cell>
          <cell r="L636">
            <v>2.9999999993015081</v>
          </cell>
          <cell r="S636" t="str">
            <v>TRUE</v>
          </cell>
        </row>
        <row r="637">
          <cell r="C637">
            <v>42376.467210648145</v>
          </cell>
          <cell r="D637" t="str">
            <v>Medium</v>
          </cell>
          <cell r="G637" t="b">
            <v>0</v>
          </cell>
          <cell r="J637">
            <v>42376.469282407408</v>
          </cell>
          <cell r="L637">
            <v>2.9833333392161876</v>
          </cell>
          <cell r="S637" t="str">
            <v>TRUE</v>
          </cell>
        </row>
        <row r="638">
          <cell r="C638">
            <v>42376.447789351849</v>
          </cell>
          <cell r="D638" t="str">
            <v>Medium</v>
          </cell>
          <cell r="G638" t="b">
            <v>0</v>
          </cell>
          <cell r="J638">
            <v>42376.449884259258</v>
          </cell>
          <cell r="L638">
            <v>3.0166666698642075</v>
          </cell>
          <cell r="S638" t="str">
            <v>TRUE</v>
          </cell>
        </row>
        <row r="639">
          <cell r="C639">
            <v>42377.495138888888</v>
          </cell>
          <cell r="D639" t="str">
            <v>Large</v>
          </cell>
          <cell r="G639" t="b">
            <v>0</v>
          </cell>
          <cell r="J639">
            <v>42377.497233796297</v>
          </cell>
          <cell r="L639">
            <v>3.0166666698642075</v>
          </cell>
          <cell r="S639" t="str">
            <v>TRUE</v>
          </cell>
        </row>
        <row r="640">
          <cell r="C640">
            <v>42377.54142361111</v>
          </cell>
          <cell r="D640" t="str">
            <v>Small</v>
          </cell>
          <cell r="E640" t="str">
            <v>Large</v>
          </cell>
          <cell r="G640" t="b">
            <v>0</v>
          </cell>
          <cell r="J640">
            <v>42377.543495370373</v>
          </cell>
          <cell r="L640">
            <v>2.9833333392161876</v>
          </cell>
          <cell r="S640" t="str">
            <v>TRUE</v>
          </cell>
        </row>
        <row r="641">
          <cell r="C641">
            <v>42377.452951388892</v>
          </cell>
          <cell r="D641" t="str">
            <v>Large</v>
          </cell>
          <cell r="G641" t="b">
            <v>0</v>
          </cell>
          <cell r="J641">
            <v>42377.455023148148</v>
          </cell>
          <cell r="L641">
            <v>2.9833333287388086</v>
          </cell>
          <cell r="S641" t="str">
            <v>TRUE</v>
          </cell>
        </row>
        <row r="642">
          <cell r="C642">
            <v>42377.513124999998</v>
          </cell>
          <cell r="D642" t="str">
            <v>Medium</v>
          </cell>
          <cell r="G642" t="b">
            <v>0</v>
          </cell>
          <cell r="J642">
            <v>42377.515219907407</v>
          </cell>
          <cell r="L642">
            <v>3.0166666698642075</v>
          </cell>
          <cell r="S642" t="str">
            <v>TRUE</v>
          </cell>
        </row>
        <row r="643">
          <cell r="C643">
            <v>42377.448055555556</v>
          </cell>
          <cell r="D643" t="str">
            <v>Medium</v>
          </cell>
          <cell r="G643" t="b">
            <v>1</v>
          </cell>
          <cell r="J643">
            <v>42377.459791666668</v>
          </cell>
          <cell r="L643">
            <v>16.90000000060536</v>
          </cell>
          <cell r="S643" t="str">
            <v>FALSE</v>
          </cell>
        </row>
        <row r="644">
          <cell r="C644">
            <v>42377.541203703702</v>
          </cell>
          <cell r="D644" t="str">
            <v>Small</v>
          </cell>
          <cell r="E644" t="str">
            <v>Large</v>
          </cell>
          <cell r="G644" t="b">
            <v>1</v>
          </cell>
          <cell r="J644">
            <v>42377.548750000002</v>
          </cell>
          <cell r="L644">
            <v>10.866666671354324</v>
          </cell>
          <cell r="S644" t="str">
            <v>TRUE</v>
          </cell>
        </row>
        <row r="645">
          <cell r="C645">
            <v>42377.480185185188</v>
          </cell>
          <cell r="D645" t="str">
            <v>Medium</v>
          </cell>
          <cell r="G645" t="b">
            <v>1</v>
          </cell>
          <cell r="J645">
            <v>42377.487638888888</v>
          </cell>
          <cell r="L645">
            <v>10.733333327807486</v>
          </cell>
          <cell r="S645" t="str">
            <v>TRUE</v>
          </cell>
        </row>
        <row r="646">
          <cell r="C646">
            <v>42377.501886574071</v>
          </cell>
          <cell r="D646" t="str">
            <v>Large</v>
          </cell>
          <cell r="G646" t="b">
            <v>0</v>
          </cell>
          <cell r="J646">
            <v>42377.503981481481</v>
          </cell>
          <cell r="L646">
            <v>3.0166666698642075</v>
          </cell>
          <cell r="S646" t="str">
            <v>TRUE</v>
          </cell>
        </row>
        <row r="647">
          <cell r="C647">
            <v>42377.481481481482</v>
          </cell>
          <cell r="D647" t="str">
            <v>Small</v>
          </cell>
          <cell r="E647" t="str">
            <v>Medium</v>
          </cell>
          <cell r="G647" t="b">
            <v>0</v>
          </cell>
          <cell r="J647">
            <v>42377.483576388891</v>
          </cell>
          <cell r="L647">
            <v>3.0166666698642075</v>
          </cell>
          <cell r="S647" t="str">
            <v>TRUE</v>
          </cell>
        </row>
        <row r="648">
          <cell r="C648">
            <v>42377.476863425924</v>
          </cell>
          <cell r="D648" t="str">
            <v>Medium</v>
          </cell>
          <cell r="G648" t="b">
            <v>1</v>
          </cell>
          <cell r="J648">
            <v>42377.479826388888</v>
          </cell>
          <cell r="L648">
            <v>4.2666666687000543</v>
          </cell>
          <cell r="S648" t="str">
            <v>TRUE</v>
          </cell>
        </row>
        <row r="649">
          <cell r="C649">
            <v>42377.537986111114</v>
          </cell>
          <cell r="D649" t="str">
            <v>Small</v>
          </cell>
          <cell r="G649" t="b">
            <v>0</v>
          </cell>
          <cell r="J649">
            <v>42377.540081018517</v>
          </cell>
          <cell r="L649">
            <v>3.0166666593868285</v>
          </cell>
          <cell r="S649" t="str">
            <v>TRUE</v>
          </cell>
        </row>
        <row r="650">
          <cell r="C650">
            <v>42377.519976851851</v>
          </cell>
          <cell r="D650" t="str">
            <v>Small</v>
          </cell>
          <cell r="E650" t="str">
            <v>Medium</v>
          </cell>
          <cell r="G650" t="b">
            <v>1</v>
          </cell>
          <cell r="J650">
            <v>42377.53224537037</v>
          </cell>
          <cell r="L650">
            <v>17.666666668374091</v>
          </cell>
          <cell r="S650" t="str">
            <v>FALSE</v>
          </cell>
        </row>
        <row r="651">
          <cell r="C651">
            <v>42377.517638888887</v>
          </cell>
          <cell r="D651" t="str">
            <v>Large</v>
          </cell>
          <cell r="G651" t="b">
            <v>0</v>
          </cell>
          <cell r="J651">
            <v>42377.51972222222</v>
          </cell>
          <cell r="L651">
            <v>2.9999999993015081</v>
          </cell>
          <cell r="S651" t="str">
            <v>TRUE</v>
          </cell>
        </row>
        <row r="652">
          <cell r="C652">
            <v>42377.531886574077</v>
          </cell>
          <cell r="D652" t="str">
            <v>Large</v>
          </cell>
          <cell r="G652" t="b">
            <v>1</v>
          </cell>
          <cell r="J652">
            <v>42377.549027777779</v>
          </cell>
          <cell r="L652">
            <v>24.683333330322057</v>
          </cell>
          <cell r="S652" t="str">
            <v>FALSE</v>
          </cell>
        </row>
        <row r="653">
          <cell r="C653">
            <v>42377.493981481479</v>
          </cell>
          <cell r="D653" t="str">
            <v>Large</v>
          </cell>
          <cell r="G653" t="b">
            <v>0</v>
          </cell>
          <cell r="J653">
            <v>42377.496064814812</v>
          </cell>
          <cell r="L653">
            <v>2.9999999993015081</v>
          </cell>
          <cell r="S653" t="str">
            <v>TRUE</v>
          </cell>
        </row>
        <row r="654">
          <cell r="C654">
            <v>42377.532372685186</v>
          </cell>
          <cell r="D654" t="str">
            <v>Small</v>
          </cell>
          <cell r="E654" t="str">
            <v>Large</v>
          </cell>
          <cell r="G654" t="b">
            <v>1</v>
          </cell>
          <cell r="J654">
            <v>42377.548692129632</v>
          </cell>
          <cell r="L654">
            <v>23.500000003259629</v>
          </cell>
          <cell r="S654" t="str">
            <v>FALSE</v>
          </cell>
        </row>
        <row r="655">
          <cell r="C655">
            <v>42377.475949074076</v>
          </cell>
          <cell r="D655" t="str">
            <v>Large</v>
          </cell>
          <cell r="G655" t="b">
            <v>0</v>
          </cell>
          <cell r="J655">
            <v>42377.478020833332</v>
          </cell>
          <cell r="L655">
            <v>2.9833333287388086</v>
          </cell>
          <cell r="S655" t="str">
            <v>TRUE</v>
          </cell>
        </row>
        <row r="656">
          <cell r="C656">
            <v>42377.548368055555</v>
          </cell>
          <cell r="D656" t="str">
            <v>Large</v>
          </cell>
          <cell r="G656" t="b">
            <v>0</v>
          </cell>
          <cell r="J656">
            <v>42377.550428240742</v>
          </cell>
          <cell r="L656">
            <v>2.9666666686534882</v>
          </cell>
          <cell r="S656" t="str">
            <v>TRUE</v>
          </cell>
        </row>
        <row r="657">
          <cell r="C657">
            <v>42377.496666666666</v>
          </cell>
          <cell r="D657" t="str">
            <v>Small</v>
          </cell>
          <cell r="E657" t="str">
            <v>Medium</v>
          </cell>
          <cell r="G657" t="b">
            <v>0</v>
          </cell>
          <cell r="J657">
            <v>42377.498738425929</v>
          </cell>
          <cell r="L657">
            <v>2.9833333392161876</v>
          </cell>
          <cell r="S657" t="str">
            <v>TRUE</v>
          </cell>
        </row>
        <row r="658">
          <cell r="C658">
            <v>42377.451828703706</v>
          </cell>
          <cell r="D658" t="str">
            <v>Medium</v>
          </cell>
          <cell r="G658" t="b">
            <v>0</v>
          </cell>
          <cell r="J658">
            <v>42377.453900462962</v>
          </cell>
          <cell r="L658">
            <v>2.9833333287388086</v>
          </cell>
          <cell r="S658" t="str">
            <v>TRUE</v>
          </cell>
        </row>
        <row r="659">
          <cell r="C659">
            <v>42377.427337962959</v>
          </cell>
          <cell r="D659" t="str">
            <v>Small</v>
          </cell>
          <cell r="G659" t="b">
            <v>0</v>
          </cell>
          <cell r="J659">
            <v>42377.429409722223</v>
          </cell>
          <cell r="L659">
            <v>2.9833333392161876</v>
          </cell>
          <cell r="S659" t="str">
            <v>TRUE</v>
          </cell>
        </row>
        <row r="660">
          <cell r="C660">
            <v>42377.543564814812</v>
          </cell>
          <cell r="D660" t="str">
            <v>Small</v>
          </cell>
          <cell r="E660" t="str">
            <v>Medium</v>
          </cell>
          <cell r="G660" t="b">
            <v>1</v>
          </cell>
          <cell r="J660">
            <v>42377.552025462966</v>
          </cell>
          <cell r="L660">
            <v>12.183333341963589</v>
          </cell>
          <cell r="S660" t="str">
            <v>TRUE</v>
          </cell>
        </row>
        <row r="661">
          <cell r="C661">
            <v>42377.429398148146</v>
          </cell>
          <cell r="D661" t="str">
            <v>Small</v>
          </cell>
          <cell r="E661" t="str">
            <v>Medium</v>
          </cell>
          <cell r="G661" t="b">
            <v>1</v>
          </cell>
          <cell r="J661">
            <v>42377.440393518518</v>
          </cell>
          <cell r="L661">
            <v>15.833333336049691</v>
          </cell>
          <cell r="S661" t="str">
            <v>TRUE</v>
          </cell>
        </row>
        <row r="662">
          <cell r="C662">
            <v>42377.539236111108</v>
          </cell>
          <cell r="D662" t="str">
            <v>Medium</v>
          </cell>
          <cell r="G662" t="b">
            <v>0</v>
          </cell>
          <cell r="J662">
            <v>42377.541307870371</v>
          </cell>
          <cell r="L662">
            <v>2.9833333392161876</v>
          </cell>
          <cell r="S662" t="str">
            <v>TRUE</v>
          </cell>
        </row>
        <row r="663">
          <cell r="C663">
            <v>42377.534004629626</v>
          </cell>
          <cell r="D663" t="str">
            <v>Large</v>
          </cell>
          <cell r="G663" t="b">
            <v>1</v>
          </cell>
          <cell r="J663">
            <v>42377.543240740742</v>
          </cell>
          <cell r="L663">
            <v>13.300000007729977</v>
          </cell>
          <cell r="S663" t="str">
            <v>TRUE</v>
          </cell>
        </row>
        <row r="664">
          <cell r="C664">
            <v>42377.50372685185</v>
          </cell>
          <cell r="D664" t="str">
            <v>Large</v>
          </cell>
          <cell r="G664" t="b">
            <v>1</v>
          </cell>
          <cell r="J664">
            <v>42377.510960648149</v>
          </cell>
          <cell r="L664">
            <v>10.416666670935228</v>
          </cell>
          <cell r="S664" t="str">
            <v>TRUE</v>
          </cell>
        </row>
        <row r="665">
          <cell r="C665">
            <v>42377.575057870374</v>
          </cell>
          <cell r="D665" t="str">
            <v>Large</v>
          </cell>
          <cell r="G665" t="b">
            <v>1</v>
          </cell>
          <cell r="J665">
            <v>42377.592152777775</v>
          </cell>
          <cell r="L665">
            <v>24.616666658548638</v>
          </cell>
          <cell r="S665" t="str">
            <v>FALSE</v>
          </cell>
        </row>
        <row r="666">
          <cell r="C666">
            <v>42377.539884259262</v>
          </cell>
          <cell r="D666" t="str">
            <v>Small</v>
          </cell>
          <cell r="E666" t="str">
            <v>Medium</v>
          </cell>
          <cell r="G666" t="b">
            <v>1</v>
          </cell>
          <cell r="J666">
            <v>42377.551504629628</v>
          </cell>
          <cell r="L666">
            <v>16.733333326410502</v>
          </cell>
          <cell r="S666" t="str">
            <v>FALSE</v>
          </cell>
        </row>
        <row r="667">
          <cell r="C667">
            <v>42377.472118055557</v>
          </cell>
          <cell r="D667" t="str">
            <v>Small</v>
          </cell>
          <cell r="G667" t="b">
            <v>1</v>
          </cell>
          <cell r="J667">
            <v>42377.479687500003</v>
          </cell>
          <cell r="L667">
            <v>10.900000002002344</v>
          </cell>
          <cell r="S667" t="str">
            <v>TRUE</v>
          </cell>
        </row>
        <row r="668">
          <cell r="C668">
            <v>42377.48159722222</v>
          </cell>
          <cell r="D668" t="str">
            <v>Large</v>
          </cell>
          <cell r="G668" t="b">
            <v>1</v>
          </cell>
          <cell r="J668">
            <v>42377.495474537034</v>
          </cell>
          <cell r="L668">
            <v>19.983333331765607</v>
          </cell>
          <cell r="S668" t="str">
            <v>FALSE</v>
          </cell>
        </row>
        <row r="669">
          <cell r="C669">
            <v>42377.531585648147</v>
          </cell>
          <cell r="D669" t="str">
            <v>Small</v>
          </cell>
          <cell r="G669" t="b">
            <v>1</v>
          </cell>
          <cell r="J669">
            <v>42377.533807870372</v>
          </cell>
          <cell r="L669">
            <v>3.2000000041443855</v>
          </cell>
          <cell r="S669" t="str">
            <v>TRUE</v>
          </cell>
        </row>
        <row r="670">
          <cell r="C670">
            <v>42377.535624999997</v>
          </cell>
          <cell r="D670" t="str">
            <v>Small</v>
          </cell>
          <cell r="E670" t="str">
            <v>Medium</v>
          </cell>
          <cell r="G670" t="b">
            <v>0</v>
          </cell>
          <cell r="J670">
            <v>42377.537708333337</v>
          </cell>
          <cell r="L670">
            <v>3.000000009778887</v>
          </cell>
          <cell r="S670" t="str">
            <v>TRUE</v>
          </cell>
        </row>
        <row r="671">
          <cell r="C671">
            <v>42377.533599537041</v>
          </cell>
          <cell r="D671" t="str">
            <v>Medium</v>
          </cell>
          <cell r="G671" t="b">
            <v>0</v>
          </cell>
          <cell r="J671">
            <v>42377.535671296297</v>
          </cell>
          <cell r="L671">
            <v>2.9833333287388086</v>
          </cell>
          <cell r="S671" t="str">
            <v>TRUE</v>
          </cell>
        </row>
        <row r="672">
          <cell r="C672">
            <v>42377.508252314816</v>
          </cell>
          <cell r="D672" t="str">
            <v>Medium</v>
          </cell>
          <cell r="G672" t="b">
            <v>1</v>
          </cell>
          <cell r="J672">
            <v>42377.518391203703</v>
          </cell>
          <cell r="L672">
            <v>14.599999997299165</v>
          </cell>
          <cell r="S672" t="str">
            <v>TRUE</v>
          </cell>
        </row>
        <row r="673">
          <cell r="C673">
            <v>42377.48846064815</v>
          </cell>
          <cell r="D673" t="str">
            <v>Medium</v>
          </cell>
          <cell r="G673" t="b">
            <v>0</v>
          </cell>
          <cell r="J673">
            <v>42377.490532407406</v>
          </cell>
          <cell r="L673">
            <v>2.9833333287388086</v>
          </cell>
          <cell r="S673" t="str">
            <v>TRUE</v>
          </cell>
        </row>
        <row r="674">
          <cell r="C674">
            <v>42377.474537037036</v>
          </cell>
          <cell r="D674" t="str">
            <v>Small</v>
          </cell>
          <cell r="G674" t="b">
            <v>1</v>
          </cell>
          <cell r="J674">
            <v>42377.484606481485</v>
          </cell>
          <cell r="L674">
            <v>14.500000005355105</v>
          </cell>
          <cell r="S674" t="str">
            <v>TRUE</v>
          </cell>
        </row>
        <row r="675">
          <cell r="C675">
            <v>42377.538541666669</v>
          </cell>
          <cell r="D675" t="str">
            <v>Large</v>
          </cell>
          <cell r="G675" t="b">
            <v>0</v>
          </cell>
          <cell r="J675">
            <v>42377.540613425925</v>
          </cell>
          <cell r="L675">
            <v>2.9833333287388086</v>
          </cell>
          <cell r="S675" t="str">
            <v>TRUE</v>
          </cell>
        </row>
        <row r="676">
          <cell r="C676">
            <v>42377.496377314812</v>
          </cell>
          <cell r="D676" t="str">
            <v>Large</v>
          </cell>
          <cell r="G676" t="b">
            <v>1</v>
          </cell>
          <cell r="J676">
            <v>42377.506203703706</v>
          </cell>
          <cell r="L676">
            <v>14.150000007357448</v>
          </cell>
          <cell r="S676" t="str">
            <v>TRUE</v>
          </cell>
        </row>
        <row r="677">
          <cell r="C677">
            <v>42377.484861111108</v>
          </cell>
          <cell r="D677" t="str">
            <v>Small</v>
          </cell>
          <cell r="E677" t="str">
            <v>Medium</v>
          </cell>
          <cell r="G677" t="b">
            <v>0</v>
          </cell>
          <cell r="J677">
            <v>42377.486944444441</v>
          </cell>
          <cell r="L677">
            <v>2.9999999993015081</v>
          </cell>
          <cell r="S677" t="str">
            <v>TRUE</v>
          </cell>
        </row>
        <row r="678">
          <cell r="C678">
            <v>42377.480682870373</v>
          </cell>
          <cell r="D678" t="str">
            <v>Small</v>
          </cell>
          <cell r="G678" t="b">
            <v>1</v>
          </cell>
          <cell r="J678">
            <v>42377.493668981479</v>
          </cell>
          <cell r="L678">
            <v>18.699999991804361</v>
          </cell>
          <cell r="S678" t="str">
            <v>FALSE</v>
          </cell>
        </row>
        <row r="679">
          <cell r="C679">
            <v>42377.526423611111</v>
          </cell>
          <cell r="D679" t="str">
            <v>Medium</v>
          </cell>
          <cell r="G679" t="b">
            <v>0</v>
          </cell>
          <cell r="J679">
            <v>42377.528506944444</v>
          </cell>
          <cell r="L679">
            <v>2.9999999993015081</v>
          </cell>
          <cell r="S679" t="str">
            <v>TRUE</v>
          </cell>
        </row>
        <row r="680">
          <cell r="C680">
            <v>42377.518611111111</v>
          </cell>
          <cell r="D680" t="str">
            <v>Small</v>
          </cell>
          <cell r="G680" t="b">
            <v>0</v>
          </cell>
          <cell r="J680">
            <v>42377.520694444444</v>
          </cell>
          <cell r="L680">
            <v>2.9999999993015081</v>
          </cell>
          <cell r="S680" t="str">
            <v>TRUE</v>
          </cell>
        </row>
        <row r="681">
          <cell r="C681">
            <v>42377.588726851849</v>
          </cell>
          <cell r="D681" t="str">
            <v>Medium</v>
          </cell>
          <cell r="G681" t="b">
            <v>1</v>
          </cell>
          <cell r="J681">
            <v>42377.594733796293</v>
          </cell>
          <cell r="L681">
            <v>8.6499999999068677</v>
          </cell>
          <cell r="S681" t="str">
            <v>TRUE</v>
          </cell>
        </row>
        <row r="682">
          <cell r="C682">
            <v>42377.520092592589</v>
          </cell>
          <cell r="D682" t="str">
            <v>Large</v>
          </cell>
          <cell r="G682" t="b">
            <v>0</v>
          </cell>
          <cell r="J682">
            <v>42377.522187499999</v>
          </cell>
          <cell r="L682">
            <v>3.0166666698642075</v>
          </cell>
          <cell r="S682" t="str">
            <v>TRUE</v>
          </cell>
        </row>
        <row r="683">
          <cell r="C683">
            <v>42377.500983796293</v>
          </cell>
          <cell r="D683" t="str">
            <v>Medium</v>
          </cell>
          <cell r="G683" t="b">
            <v>0</v>
          </cell>
          <cell r="J683">
            <v>42377.503067129626</v>
          </cell>
          <cell r="L683">
            <v>2.9999999993015081</v>
          </cell>
          <cell r="S683" t="str">
            <v>TRUE</v>
          </cell>
        </row>
        <row r="684">
          <cell r="C684">
            <v>42377.525312500002</v>
          </cell>
          <cell r="D684" t="str">
            <v>Large</v>
          </cell>
          <cell r="G684" t="b">
            <v>1</v>
          </cell>
          <cell r="J684">
            <v>42377.528761574074</v>
          </cell>
          <cell r="L684">
            <v>4.9666666646953672</v>
          </cell>
          <cell r="S684" t="str">
            <v>TRUE</v>
          </cell>
        </row>
        <row r="685">
          <cell r="C685">
            <v>42377.565868055557</v>
          </cell>
          <cell r="D685" t="str">
            <v>Small</v>
          </cell>
          <cell r="G685" t="b">
            <v>0</v>
          </cell>
          <cell r="J685">
            <v>42377.567939814813</v>
          </cell>
          <cell r="L685">
            <v>2.9833333287388086</v>
          </cell>
          <cell r="S685" t="str">
            <v>TRUE</v>
          </cell>
        </row>
        <row r="686">
          <cell r="C686">
            <v>42377.521215277775</v>
          </cell>
          <cell r="D686" t="str">
            <v>Large</v>
          </cell>
          <cell r="G686" t="b">
            <v>1</v>
          </cell>
          <cell r="J686">
            <v>42377.535000000003</v>
          </cell>
          <cell r="L686">
            <v>19.850000009173527</v>
          </cell>
          <cell r="S686" t="str">
            <v>FALSE</v>
          </cell>
        </row>
        <row r="687">
          <cell r="C687">
            <v>42377.497974537036</v>
          </cell>
          <cell r="D687" t="str">
            <v>Small</v>
          </cell>
          <cell r="E687" t="str">
            <v>Medium</v>
          </cell>
          <cell r="G687" t="b">
            <v>1</v>
          </cell>
          <cell r="J687">
            <v>42377.501203703701</v>
          </cell>
          <cell r="L687">
            <v>4.6499999973457307</v>
          </cell>
          <cell r="S687" t="str">
            <v>TRUE</v>
          </cell>
        </row>
        <row r="688">
          <cell r="C688">
            <v>42377.464212962965</v>
          </cell>
          <cell r="D688" t="str">
            <v>Medium</v>
          </cell>
          <cell r="G688" t="b">
            <v>1</v>
          </cell>
          <cell r="J688">
            <v>42377.47991898148</v>
          </cell>
          <cell r="L688">
            <v>22.616666662506759</v>
          </cell>
          <cell r="S688" t="str">
            <v>FALSE</v>
          </cell>
        </row>
        <row r="689">
          <cell r="C689">
            <v>42377.465196759258</v>
          </cell>
          <cell r="D689" t="str">
            <v>Large</v>
          </cell>
          <cell r="G689" t="b">
            <v>1</v>
          </cell>
          <cell r="J689">
            <v>42377.476307870369</v>
          </cell>
          <cell r="L689">
            <v>15.999999999767169</v>
          </cell>
          <cell r="S689" t="str">
            <v>FALSE</v>
          </cell>
        </row>
        <row r="690">
          <cell r="C690">
            <v>42377.439652777779</v>
          </cell>
          <cell r="D690" t="str">
            <v>Medium</v>
          </cell>
          <cell r="G690" t="b">
            <v>1</v>
          </cell>
          <cell r="J690">
            <v>42377.451724537037</v>
          </cell>
          <cell r="L690">
            <v>17.383333331672475</v>
          </cell>
          <cell r="S690" t="str">
            <v>FALSE</v>
          </cell>
        </row>
        <row r="691">
          <cell r="C691">
            <v>42377.493344907409</v>
          </cell>
          <cell r="D691" t="str">
            <v>Small</v>
          </cell>
          <cell r="G691" t="b">
            <v>0</v>
          </cell>
          <cell r="J691">
            <v>42377.495416666665</v>
          </cell>
          <cell r="L691">
            <v>2.9833333287388086</v>
          </cell>
          <cell r="S691" t="str">
            <v>TRUE</v>
          </cell>
        </row>
        <row r="692">
          <cell r="C692">
            <v>42377.485891203702</v>
          </cell>
          <cell r="D692" t="str">
            <v>Large</v>
          </cell>
          <cell r="G692" t="b">
            <v>1</v>
          </cell>
          <cell r="J692">
            <v>42377.492210648146</v>
          </cell>
          <cell r="L692">
            <v>9.1000000003259629</v>
          </cell>
          <cell r="S692" t="str">
            <v>TRUE</v>
          </cell>
        </row>
        <row r="693">
          <cell r="C693">
            <v>42377.515046296299</v>
          </cell>
          <cell r="D693" t="str">
            <v>Large</v>
          </cell>
          <cell r="G693" t="b">
            <v>1</v>
          </cell>
          <cell r="J693">
            <v>42377.530069444445</v>
          </cell>
          <cell r="L693">
            <v>21.63333332980983</v>
          </cell>
          <cell r="S693" t="str">
            <v>FALSE</v>
          </cell>
        </row>
        <row r="694">
          <cell r="C694">
            <v>42377.434513888889</v>
          </cell>
          <cell r="D694" t="str">
            <v>Small</v>
          </cell>
          <cell r="E694" t="str">
            <v>Medium</v>
          </cell>
          <cell r="G694" t="b">
            <v>1</v>
          </cell>
          <cell r="J694">
            <v>42377.443981481483</v>
          </cell>
          <cell r="L694">
            <v>13.633333335164934</v>
          </cell>
          <cell r="S694" t="str">
            <v>TRUE</v>
          </cell>
        </row>
        <row r="695">
          <cell r="C695">
            <v>42377.538541666669</v>
          </cell>
          <cell r="D695" t="str">
            <v>Small</v>
          </cell>
          <cell r="G695" t="b">
            <v>1</v>
          </cell>
          <cell r="J695">
            <v>42377.554849537039</v>
          </cell>
          <cell r="L695">
            <v>23.48333333269693</v>
          </cell>
          <cell r="S695" t="str">
            <v>FALSE</v>
          </cell>
        </row>
        <row r="696">
          <cell r="C696">
            <v>42377.602638888886</v>
          </cell>
          <cell r="D696" t="str">
            <v>Large</v>
          </cell>
          <cell r="G696" t="b">
            <v>1</v>
          </cell>
          <cell r="J696">
            <v>42377.609953703701</v>
          </cell>
          <cell r="L696">
            <v>10.533333333441988</v>
          </cell>
          <cell r="S696" t="str">
            <v>TRUE</v>
          </cell>
        </row>
        <row r="697">
          <cell r="C697">
            <v>42377.446689814817</v>
          </cell>
          <cell r="D697" t="str">
            <v>Small</v>
          </cell>
          <cell r="E697" t="str">
            <v>Medium</v>
          </cell>
          <cell r="G697" t="b">
            <v>0</v>
          </cell>
          <cell r="J697">
            <v>42377.448773148149</v>
          </cell>
          <cell r="L697">
            <v>2.9999999993015081</v>
          </cell>
          <cell r="S697" t="str">
            <v>TRUE</v>
          </cell>
        </row>
        <row r="698">
          <cell r="C698">
            <v>42377.518113425926</v>
          </cell>
          <cell r="D698" t="str">
            <v>Large</v>
          </cell>
          <cell r="G698" t="b">
            <v>1</v>
          </cell>
          <cell r="J698">
            <v>42377.530474537038</v>
          </cell>
          <cell r="L698">
            <v>17.80000000144355</v>
          </cell>
          <cell r="S698" t="str">
            <v>FALSE</v>
          </cell>
        </row>
        <row r="699">
          <cell r="C699">
            <v>42377.534571759257</v>
          </cell>
          <cell r="D699" t="str">
            <v>Large</v>
          </cell>
          <cell r="G699" t="b">
            <v>1</v>
          </cell>
          <cell r="J699">
            <v>42377.542013888888</v>
          </cell>
          <cell r="L699">
            <v>10.716666667722166</v>
          </cell>
          <cell r="S699" t="str">
            <v>TRUE</v>
          </cell>
        </row>
        <row r="700">
          <cell r="C700">
            <v>42377.534456018519</v>
          </cell>
          <cell r="D700" t="str">
            <v>Small</v>
          </cell>
          <cell r="E700" t="str">
            <v>Medium</v>
          </cell>
          <cell r="G700" t="b">
            <v>1</v>
          </cell>
          <cell r="J700">
            <v>42377.546400462961</v>
          </cell>
          <cell r="L700">
            <v>17.199999997392297</v>
          </cell>
          <cell r="S700" t="str">
            <v>FALSE</v>
          </cell>
        </row>
        <row r="701">
          <cell r="C701">
            <v>42377.497685185182</v>
          </cell>
          <cell r="D701" t="str">
            <v>Small</v>
          </cell>
          <cell r="E701" t="str">
            <v>Large</v>
          </cell>
          <cell r="G701" t="b">
            <v>1</v>
          </cell>
          <cell r="J701">
            <v>42377.507951388892</v>
          </cell>
          <cell r="L701">
            <v>14.783333342056721</v>
          </cell>
          <cell r="S701" t="str">
            <v>TRUE</v>
          </cell>
        </row>
        <row r="702">
          <cell r="C702">
            <v>42377.533506944441</v>
          </cell>
          <cell r="D702" t="str">
            <v>Small</v>
          </cell>
          <cell r="E702" t="str">
            <v>Large</v>
          </cell>
          <cell r="G702" t="b">
            <v>0</v>
          </cell>
          <cell r="J702">
            <v>42377.535578703704</v>
          </cell>
          <cell r="L702">
            <v>2.9833333392161876</v>
          </cell>
          <cell r="S702" t="str">
            <v>TRUE</v>
          </cell>
        </row>
        <row r="703">
          <cell r="C703">
            <v>42377.548321759263</v>
          </cell>
          <cell r="D703" t="str">
            <v>Small</v>
          </cell>
          <cell r="E703" t="str">
            <v>Large</v>
          </cell>
          <cell r="G703" t="b">
            <v>0</v>
          </cell>
          <cell r="J703">
            <v>42377.550393518519</v>
          </cell>
          <cell r="L703">
            <v>2.9833333287388086</v>
          </cell>
          <cell r="S703" t="str">
            <v>TRUE</v>
          </cell>
        </row>
        <row r="704">
          <cell r="C704">
            <v>42377.51363425926</v>
          </cell>
          <cell r="D704" t="str">
            <v>Medium</v>
          </cell>
          <cell r="G704" t="b">
            <v>1</v>
          </cell>
          <cell r="J704">
            <v>42377.527303240742</v>
          </cell>
          <cell r="L704">
            <v>19.68333333497867</v>
          </cell>
          <cell r="S704" t="str">
            <v>FALSE</v>
          </cell>
        </row>
        <row r="705">
          <cell r="C705">
            <v>42377.487534722219</v>
          </cell>
          <cell r="D705" t="str">
            <v>Medium</v>
          </cell>
          <cell r="G705" t="b">
            <v>0</v>
          </cell>
          <cell r="J705">
            <v>42377.489618055559</v>
          </cell>
          <cell r="L705">
            <v>3.000000009778887</v>
          </cell>
          <cell r="S705" t="str">
            <v>TRUE</v>
          </cell>
        </row>
        <row r="706">
          <cell r="C706">
            <v>42377.442870370367</v>
          </cell>
          <cell r="D706" t="str">
            <v>Small</v>
          </cell>
          <cell r="E706" t="str">
            <v>Medium</v>
          </cell>
          <cell r="F706" t="str">
            <v>Large</v>
          </cell>
          <cell r="G706" t="b">
            <v>0</v>
          </cell>
          <cell r="J706">
            <v>42377.44494212963</v>
          </cell>
          <cell r="L706">
            <v>2.9833333392161876</v>
          </cell>
          <cell r="S706" t="str">
            <v>TRUE</v>
          </cell>
        </row>
        <row r="707">
          <cell r="C707">
            <v>42377.518969907411</v>
          </cell>
          <cell r="D707" t="str">
            <v>Small</v>
          </cell>
          <cell r="E707" t="str">
            <v>Medium</v>
          </cell>
          <cell r="G707" t="b">
            <v>1</v>
          </cell>
          <cell r="J707">
            <v>42377.531099537038</v>
          </cell>
          <cell r="L707">
            <v>17.466666663531214</v>
          </cell>
          <cell r="S707" t="str">
            <v>FALSE</v>
          </cell>
        </row>
        <row r="708">
          <cell r="C708">
            <v>42377.485717592594</v>
          </cell>
          <cell r="D708" t="str">
            <v>Small</v>
          </cell>
          <cell r="E708" t="str">
            <v>Medium</v>
          </cell>
          <cell r="G708" t="b">
            <v>0</v>
          </cell>
          <cell r="J708">
            <v>42377.48778935185</v>
          </cell>
          <cell r="L708">
            <v>2.9833333287388086</v>
          </cell>
          <cell r="S708" t="str">
            <v>TRUE</v>
          </cell>
        </row>
        <row r="709">
          <cell r="C709">
            <v>42377.532372685186</v>
          </cell>
          <cell r="D709" t="str">
            <v>Small</v>
          </cell>
          <cell r="E709" t="str">
            <v>Large</v>
          </cell>
          <cell r="G709" t="b">
            <v>1</v>
          </cell>
          <cell r="J709">
            <v>42377.538275462961</v>
          </cell>
          <cell r="L709">
            <v>8.4999999962747097</v>
          </cell>
          <cell r="S709" t="str">
            <v>TRUE</v>
          </cell>
        </row>
        <row r="710">
          <cell r="C710">
            <v>42377.526817129627</v>
          </cell>
          <cell r="D710" t="str">
            <v>Medium</v>
          </cell>
          <cell r="G710" t="b">
            <v>0</v>
          </cell>
          <cell r="J710">
            <v>42377.528912037036</v>
          </cell>
          <cell r="L710">
            <v>3.0166666698642075</v>
          </cell>
          <cell r="S710" t="str">
            <v>TRUE</v>
          </cell>
        </row>
        <row r="711">
          <cell r="C711">
            <v>42377.492905092593</v>
          </cell>
          <cell r="D711" t="str">
            <v>Medium</v>
          </cell>
          <cell r="G711" t="b">
            <v>1</v>
          </cell>
          <cell r="J711">
            <v>42377.503148148149</v>
          </cell>
          <cell r="L711">
            <v>14.750000000931323</v>
          </cell>
          <cell r="S711" t="str">
            <v>TRUE</v>
          </cell>
        </row>
        <row r="712">
          <cell r="C712">
            <v>42377.510254629633</v>
          </cell>
          <cell r="D712" t="str">
            <v>Small</v>
          </cell>
          <cell r="E712" t="str">
            <v>Medium</v>
          </cell>
          <cell r="G712" t="b">
            <v>0</v>
          </cell>
          <cell r="J712">
            <v>42377.512337962966</v>
          </cell>
          <cell r="L712">
            <v>2.9999999993015081</v>
          </cell>
          <cell r="S712" t="str">
            <v>TRUE</v>
          </cell>
        </row>
        <row r="713">
          <cell r="C713">
            <v>42377.43346064815</v>
          </cell>
          <cell r="D713" t="str">
            <v>Small</v>
          </cell>
          <cell r="G713" t="b">
            <v>0</v>
          </cell>
          <cell r="J713">
            <v>42377.435520833336</v>
          </cell>
          <cell r="L713">
            <v>2.9666666686534882</v>
          </cell>
          <cell r="S713" t="str">
            <v>TRUE</v>
          </cell>
        </row>
        <row r="714">
          <cell r="C714">
            <v>42377.486250000002</v>
          </cell>
          <cell r="D714" t="str">
            <v>Large</v>
          </cell>
          <cell r="G714" t="b">
            <v>0</v>
          </cell>
          <cell r="J714">
            <v>42377.488321759258</v>
          </cell>
          <cell r="L714">
            <v>2.9833333287388086</v>
          </cell>
          <cell r="S714" t="str">
            <v>TRUE</v>
          </cell>
        </row>
        <row r="715">
          <cell r="C715">
            <v>42377.533634259256</v>
          </cell>
          <cell r="D715" t="str">
            <v>Medium</v>
          </cell>
          <cell r="G715" t="b">
            <v>1</v>
          </cell>
          <cell r="J715">
            <v>42377.540648148148</v>
          </cell>
          <cell r="L715">
            <v>10.100000003585592</v>
          </cell>
          <cell r="S715" t="str">
            <v>TRUE</v>
          </cell>
        </row>
        <row r="716">
          <cell r="C716">
            <v>42377.523784722223</v>
          </cell>
          <cell r="D716" t="str">
            <v>Medium</v>
          </cell>
          <cell r="G716" t="b">
            <v>0</v>
          </cell>
          <cell r="J716">
            <v>42377.525833333333</v>
          </cell>
          <cell r="L716">
            <v>2.9499999980907887</v>
          </cell>
          <cell r="S716" t="str">
            <v>TRUE</v>
          </cell>
        </row>
        <row r="717">
          <cell r="C717">
            <v>42377.543402777781</v>
          </cell>
          <cell r="D717" t="str">
            <v>Small</v>
          </cell>
          <cell r="E717" t="str">
            <v>Medium</v>
          </cell>
          <cell r="G717" t="b">
            <v>0</v>
          </cell>
          <cell r="J717">
            <v>42377.545486111114</v>
          </cell>
          <cell r="L717">
            <v>2.9999999993015081</v>
          </cell>
          <cell r="S717" t="str">
            <v>TRUE</v>
          </cell>
        </row>
        <row r="718">
          <cell r="C718">
            <v>42377.505497685182</v>
          </cell>
          <cell r="D718" t="str">
            <v>Large</v>
          </cell>
          <cell r="G718" t="b">
            <v>0</v>
          </cell>
          <cell r="J718">
            <v>42377.507569444446</v>
          </cell>
          <cell r="L718">
            <v>2.9833333392161876</v>
          </cell>
          <cell r="S718" t="str">
            <v>TRUE</v>
          </cell>
        </row>
        <row r="719">
          <cell r="C719">
            <v>42377.511990740742</v>
          </cell>
          <cell r="D719" t="str">
            <v>Small</v>
          </cell>
          <cell r="G719" t="b">
            <v>0</v>
          </cell>
          <cell r="J719">
            <v>42377.514062499999</v>
          </cell>
          <cell r="L719">
            <v>2.9833333287388086</v>
          </cell>
          <cell r="S719" t="str">
            <v>TRUE</v>
          </cell>
        </row>
        <row r="720">
          <cell r="C720">
            <v>42377.60260416667</v>
          </cell>
          <cell r="D720" t="str">
            <v>Medium</v>
          </cell>
          <cell r="G720" t="b">
            <v>1</v>
          </cell>
          <cell r="J720">
            <v>42377.621377314812</v>
          </cell>
          <cell r="L720">
            <v>27.033333324361593</v>
          </cell>
          <cell r="S720" t="str">
            <v>FALSE</v>
          </cell>
        </row>
        <row r="721">
          <cell r="C721">
            <v>42377.579756944448</v>
          </cell>
          <cell r="D721" t="str">
            <v>Small</v>
          </cell>
          <cell r="G721" t="b">
            <v>1</v>
          </cell>
          <cell r="J721">
            <v>42377.591423611113</v>
          </cell>
          <cell r="L721">
            <v>16.799999998183921</v>
          </cell>
          <cell r="S721" t="str">
            <v>FALSE</v>
          </cell>
        </row>
        <row r="722">
          <cell r="C722">
            <v>42377.52920138889</v>
          </cell>
          <cell r="D722" t="str">
            <v>Large</v>
          </cell>
          <cell r="G722" t="b">
            <v>0</v>
          </cell>
          <cell r="J722">
            <v>42377.531273148146</v>
          </cell>
          <cell r="L722">
            <v>2.9833333287388086</v>
          </cell>
          <cell r="S722" t="str">
            <v>TRUE</v>
          </cell>
        </row>
        <row r="723">
          <cell r="C723">
            <v>42377.533530092594</v>
          </cell>
          <cell r="D723" t="str">
            <v>Medium</v>
          </cell>
          <cell r="G723" t="b">
            <v>1</v>
          </cell>
          <cell r="J723">
            <v>42377.541701388887</v>
          </cell>
          <cell r="L723">
            <v>11.766666661715135</v>
          </cell>
          <cell r="S723" t="str">
            <v>TRUE</v>
          </cell>
        </row>
        <row r="724">
          <cell r="C724">
            <v>42377.481388888889</v>
          </cell>
          <cell r="D724" t="str">
            <v>Medium</v>
          </cell>
          <cell r="G724" t="b">
            <v>0</v>
          </cell>
          <cell r="J724">
            <v>42377.483472222222</v>
          </cell>
          <cell r="L724">
            <v>2.9999999993015081</v>
          </cell>
          <cell r="S724" t="str">
            <v>TRUE</v>
          </cell>
        </row>
        <row r="725">
          <cell r="C725">
            <v>42377.517696759256</v>
          </cell>
          <cell r="D725" t="str">
            <v>Medium</v>
          </cell>
          <cell r="G725" t="b">
            <v>1</v>
          </cell>
          <cell r="J725">
            <v>42377.532916666663</v>
          </cell>
          <cell r="L725">
            <v>21.916666666511446</v>
          </cell>
          <cell r="S725" t="str">
            <v>FALSE</v>
          </cell>
        </row>
        <row r="726">
          <cell r="C726">
            <v>42377.498761574076</v>
          </cell>
          <cell r="D726" t="str">
            <v>Medium</v>
          </cell>
          <cell r="G726" t="b">
            <v>0</v>
          </cell>
          <cell r="J726">
            <v>42377.500821759262</v>
          </cell>
          <cell r="L726">
            <v>2.9666666686534882</v>
          </cell>
          <cell r="S726" t="str">
            <v>TRUE</v>
          </cell>
        </row>
        <row r="727">
          <cell r="C727">
            <v>42377.456643518519</v>
          </cell>
          <cell r="D727" t="str">
            <v>Medium</v>
          </cell>
          <cell r="G727" t="b">
            <v>0</v>
          </cell>
          <cell r="J727">
            <v>42377.458726851852</v>
          </cell>
          <cell r="L727">
            <v>2.9999999993015081</v>
          </cell>
          <cell r="S727" t="str">
            <v>TRUE</v>
          </cell>
        </row>
        <row r="728">
          <cell r="C728">
            <v>42377.54959490741</v>
          </cell>
          <cell r="D728" t="str">
            <v>Small</v>
          </cell>
          <cell r="E728" t="str">
            <v>Medium</v>
          </cell>
          <cell r="G728" t="b">
            <v>0</v>
          </cell>
          <cell r="J728">
            <v>42377.551689814813</v>
          </cell>
          <cell r="L728">
            <v>3.0166666593868285</v>
          </cell>
          <cell r="S728" t="str">
            <v>TRUE</v>
          </cell>
        </row>
        <row r="729">
          <cell r="C729">
            <v>42377.566481481481</v>
          </cell>
          <cell r="D729" t="str">
            <v>Small</v>
          </cell>
          <cell r="E729" t="str">
            <v>Medium</v>
          </cell>
          <cell r="G729" t="b">
            <v>1</v>
          </cell>
          <cell r="J729">
            <v>42377.578067129631</v>
          </cell>
          <cell r="L729">
            <v>16.683333335677162</v>
          </cell>
          <cell r="S729" t="str">
            <v>FALSE</v>
          </cell>
        </row>
        <row r="730">
          <cell r="C730">
            <v>42377.470613425925</v>
          </cell>
          <cell r="D730" t="str">
            <v>Large</v>
          </cell>
          <cell r="G730" t="b">
            <v>0</v>
          </cell>
          <cell r="J730">
            <v>42377.472696759258</v>
          </cell>
          <cell r="L730">
            <v>2.9999999993015081</v>
          </cell>
          <cell r="S730" t="str">
            <v>TRUE</v>
          </cell>
        </row>
        <row r="731">
          <cell r="C731">
            <v>42377.629826388889</v>
          </cell>
          <cell r="D731" t="str">
            <v>Medium</v>
          </cell>
          <cell r="G731" t="b">
            <v>1</v>
          </cell>
          <cell r="J731">
            <v>42377.641250000001</v>
          </cell>
          <cell r="L731">
            <v>16.450000000186265</v>
          </cell>
          <cell r="S731" t="str">
            <v>FALSE</v>
          </cell>
        </row>
        <row r="732">
          <cell r="C732">
            <v>42377.504930555559</v>
          </cell>
          <cell r="D732" t="str">
            <v>Small</v>
          </cell>
          <cell r="E732" t="str">
            <v>Large</v>
          </cell>
          <cell r="G732" t="b">
            <v>1</v>
          </cell>
          <cell r="J732">
            <v>42377.514328703706</v>
          </cell>
          <cell r="L732">
            <v>13.533333332743496</v>
          </cell>
          <cell r="S732" t="str">
            <v>TRUE</v>
          </cell>
        </row>
        <row r="733">
          <cell r="C733">
            <v>42377.474004629628</v>
          </cell>
          <cell r="D733" t="str">
            <v>Small</v>
          </cell>
          <cell r="G733" t="b">
            <v>0</v>
          </cell>
          <cell r="J733">
            <v>42377.476099537038</v>
          </cell>
          <cell r="L733">
            <v>3.0166666698642075</v>
          </cell>
          <cell r="S733" t="str">
            <v>TRUE</v>
          </cell>
        </row>
        <row r="734">
          <cell r="C734">
            <v>42377.546180555553</v>
          </cell>
          <cell r="D734" t="str">
            <v>Medium</v>
          </cell>
          <cell r="G734" t="b">
            <v>0</v>
          </cell>
          <cell r="J734">
            <v>42377.548252314817</v>
          </cell>
          <cell r="L734">
            <v>2.9833333392161876</v>
          </cell>
          <cell r="S734" t="str">
            <v>TRUE</v>
          </cell>
        </row>
        <row r="735">
          <cell r="C735">
            <v>42377.500023148146</v>
          </cell>
          <cell r="D735" t="str">
            <v>Small</v>
          </cell>
          <cell r="G735" t="b">
            <v>1</v>
          </cell>
          <cell r="J735">
            <v>42377.501354166663</v>
          </cell>
          <cell r="L735">
            <v>1.9166666641831398</v>
          </cell>
          <cell r="S735" t="str">
            <v>TRUE</v>
          </cell>
        </row>
        <row r="736">
          <cell r="C736">
            <v>42377.49927083333</v>
          </cell>
          <cell r="D736" t="str">
            <v>Large</v>
          </cell>
          <cell r="G736" t="b">
            <v>1</v>
          </cell>
          <cell r="J736">
            <v>42377.515127314815</v>
          </cell>
          <cell r="L736">
            <v>22.833333337912336</v>
          </cell>
          <cell r="S736" t="str">
            <v>FALSE</v>
          </cell>
        </row>
        <row r="737">
          <cell r="C737">
            <v>42378.536157407405</v>
          </cell>
          <cell r="D737" t="str">
            <v>Small</v>
          </cell>
          <cell r="G737" t="b">
            <v>0</v>
          </cell>
          <cell r="J737">
            <v>42378.538229166668</v>
          </cell>
          <cell r="L737">
            <v>2.9833333392161876</v>
          </cell>
          <cell r="S737" t="str">
            <v>TRUE</v>
          </cell>
        </row>
        <row r="738">
          <cell r="C738">
            <v>42378.614872685182</v>
          </cell>
          <cell r="D738" t="str">
            <v>Medium</v>
          </cell>
          <cell r="G738" t="b">
            <v>0</v>
          </cell>
          <cell r="J738">
            <v>42378.616956018515</v>
          </cell>
          <cell r="L738">
            <v>2.9999999993015081</v>
          </cell>
          <cell r="S738" t="str">
            <v>TRUE</v>
          </cell>
        </row>
        <row r="739">
          <cell r="C739">
            <v>42378.480798611112</v>
          </cell>
          <cell r="D739" t="str">
            <v>Large</v>
          </cell>
          <cell r="G739" t="b">
            <v>1</v>
          </cell>
          <cell r="J739">
            <v>42378.488182870373</v>
          </cell>
          <cell r="L739">
            <v>10.633333335863426</v>
          </cell>
          <cell r="S739" t="str">
            <v>TRUE</v>
          </cell>
        </row>
        <row r="740">
          <cell r="C740">
            <v>42378.537152777775</v>
          </cell>
          <cell r="D740" t="str">
            <v>Small</v>
          </cell>
          <cell r="G740" t="b">
            <v>1</v>
          </cell>
          <cell r="J740">
            <v>42378.545578703706</v>
          </cell>
          <cell r="L740">
            <v>12.13333334075287</v>
          </cell>
          <cell r="S740" t="str">
            <v>TRUE</v>
          </cell>
        </row>
        <row r="741">
          <cell r="C741">
            <v>42378.526053240741</v>
          </cell>
          <cell r="D741" t="str">
            <v>Medium</v>
          </cell>
          <cell r="E741" t="str">
            <v>Large</v>
          </cell>
          <cell r="G741" t="b">
            <v>1</v>
          </cell>
          <cell r="J741">
            <v>42378.534143518518</v>
          </cell>
          <cell r="L741">
            <v>11.649999999208376</v>
          </cell>
          <cell r="S741" t="str">
            <v>TRUE</v>
          </cell>
        </row>
        <row r="742">
          <cell r="C742">
            <v>42378.521145833336</v>
          </cell>
          <cell r="D742" t="str">
            <v>Large</v>
          </cell>
          <cell r="G742" t="b">
            <v>1</v>
          </cell>
          <cell r="J742">
            <v>42378.535833333335</v>
          </cell>
          <cell r="L742">
            <v>21.149999998742715</v>
          </cell>
          <cell r="S742" t="str">
            <v>FALSE</v>
          </cell>
        </row>
        <row r="743">
          <cell r="C743">
            <v>42378.520335648151</v>
          </cell>
          <cell r="D743" t="str">
            <v>Large</v>
          </cell>
          <cell r="G743" t="b">
            <v>1</v>
          </cell>
          <cell r="J743">
            <v>42378.527337962965</v>
          </cell>
          <cell r="L743">
            <v>10.083333333022892</v>
          </cell>
          <cell r="S743" t="str">
            <v>TRUE</v>
          </cell>
        </row>
        <row r="744">
          <cell r="C744">
            <v>42378.494143518517</v>
          </cell>
          <cell r="D744" t="str">
            <v>Large</v>
          </cell>
          <cell r="G744" t="b">
            <v>1</v>
          </cell>
          <cell r="J744">
            <v>42378.497835648152</v>
          </cell>
          <cell r="L744">
            <v>5.3166666731704026</v>
          </cell>
          <cell r="S744" t="str">
            <v>TRUE</v>
          </cell>
        </row>
        <row r="745">
          <cell r="C745">
            <v>42378.550358796296</v>
          </cell>
          <cell r="D745" t="str">
            <v>Small</v>
          </cell>
          <cell r="E745" t="str">
            <v>Medium</v>
          </cell>
          <cell r="G745" t="b">
            <v>0</v>
          </cell>
          <cell r="J745">
            <v>42378.552418981482</v>
          </cell>
          <cell r="L745">
            <v>2.9666666686534882</v>
          </cell>
          <cell r="S745" t="str">
            <v>TRUE</v>
          </cell>
        </row>
        <row r="746">
          <cell r="C746">
            <v>42378.481666666667</v>
          </cell>
          <cell r="D746" t="str">
            <v>Large</v>
          </cell>
          <cell r="G746" t="b">
            <v>0</v>
          </cell>
          <cell r="J746">
            <v>42378.483761574076</v>
          </cell>
          <cell r="L746">
            <v>3.0166666698642075</v>
          </cell>
          <cell r="S746" t="str">
            <v>TRUE</v>
          </cell>
        </row>
        <row r="747">
          <cell r="C747">
            <v>42378.490624999999</v>
          </cell>
          <cell r="D747" t="str">
            <v>Small</v>
          </cell>
          <cell r="E747" t="str">
            <v>Medium</v>
          </cell>
          <cell r="G747" t="b">
            <v>1</v>
          </cell>
          <cell r="J747">
            <v>42378.503113425926</v>
          </cell>
          <cell r="L747">
            <v>17.983333335723728</v>
          </cell>
          <cell r="S747" t="str">
            <v>FALSE</v>
          </cell>
        </row>
        <row r="748">
          <cell r="C748">
            <v>42378.493449074071</v>
          </cell>
          <cell r="D748" t="str">
            <v>Small</v>
          </cell>
          <cell r="E748" t="str">
            <v>Medium</v>
          </cell>
          <cell r="G748" t="b">
            <v>0</v>
          </cell>
          <cell r="J748">
            <v>42378.495509259257</v>
          </cell>
          <cell r="L748">
            <v>2.9666666686534882</v>
          </cell>
          <cell r="S748" t="str">
            <v>TRUE</v>
          </cell>
        </row>
        <row r="749">
          <cell r="C749">
            <v>42378.58971064815</v>
          </cell>
          <cell r="D749" t="str">
            <v>Small</v>
          </cell>
          <cell r="E749" t="str">
            <v>Large</v>
          </cell>
          <cell r="G749" t="b">
            <v>1</v>
          </cell>
          <cell r="J749">
            <v>42378.601805555554</v>
          </cell>
          <cell r="L749">
            <v>17.416666662320495</v>
          </cell>
          <cell r="S749" t="str">
            <v>FALSE</v>
          </cell>
        </row>
        <row r="750">
          <cell r="C750">
            <v>42378.560856481483</v>
          </cell>
          <cell r="D750" t="str">
            <v>Small</v>
          </cell>
          <cell r="G750" t="b">
            <v>0</v>
          </cell>
          <cell r="J750">
            <v>42378.562939814816</v>
          </cell>
          <cell r="L750">
            <v>2.9999999993015081</v>
          </cell>
          <cell r="S750" t="str">
            <v>TRUE</v>
          </cell>
        </row>
        <row r="751">
          <cell r="C751">
            <v>42378.565069444441</v>
          </cell>
          <cell r="D751" t="str">
            <v>Small</v>
          </cell>
          <cell r="E751" t="str">
            <v>Medium</v>
          </cell>
          <cell r="G751" t="b">
            <v>0</v>
          </cell>
          <cell r="J751">
            <v>42378.567152777781</v>
          </cell>
          <cell r="L751">
            <v>3.000000009778887</v>
          </cell>
          <cell r="S751" t="str">
            <v>TRUE</v>
          </cell>
        </row>
        <row r="752">
          <cell r="C752">
            <v>42378.452210648145</v>
          </cell>
          <cell r="D752" t="str">
            <v>Medium</v>
          </cell>
          <cell r="G752" t="b">
            <v>0</v>
          </cell>
          <cell r="J752">
            <v>42378.454293981478</v>
          </cell>
          <cell r="L752">
            <v>2.9999999993015081</v>
          </cell>
          <cell r="S752" t="str">
            <v>TRUE</v>
          </cell>
        </row>
        <row r="753">
          <cell r="C753">
            <v>42378.427847222221</v>
          </cell>
          <cell r="D753" t="str">
            <v>Small</v>
          </cell>
          <cell r="E753" t="str">
            <v>Medium</v>
          </cell>
          <cell r="G753" t="b">
            <v>1</v>
          </cell>
          <cell r="J753">
            <v>42378.434386574074</v>
          </cell>
          <cell r="L753">
            <v>9.4166666676755995</v>
          </cell>
          <cell r="S753" t="str">
            <v>TRUE</v>
          </cell>
        </row>
        <row r="754">
          <cell r="C754">
            <v>42378.498692129629</v>
          </cell>
          <cell r="D754" t="str">
            <v>Small</v>
          </cell>
          <cell r="E754" t="str">
            <v>Medium</v>
          </cell>
          <cell r="G754" t="b">
            <v>0</v>
          </cell>
          <cell r="J754">
            <v>42378.500787037039</v>
          </cell>
          <cell r="L754">
            <v>3.0166666698642075</v>
          </cell>
          <cell r="S754" t="str">
            <v>TRUE</v>
          </cell>
        </row>
        <row r="755">
          <cell r="C755">
            <v>42378.47320601852</v>
          </cell>
          <cell r="D755" t="str">
            <v>Small</v>
          </cell>
          <cell r="G755" t="b">
            <v>0</v>
          </cell>
          <cell r="J755">
            <v>42378.475277777776</v>
          </cell>
          <cell r="L755">
            <v>2.9833333287388086</v>
          </cell>
          <cell r="S755" t="str">
            <v>TRUE</v>
          </cell>
        </row>
        <row r="756">
          <cell r="C756">
            <v>42378.455266203702</v>
          </cell>
          <cell r="D756" t="str">
            <v>Small</v>
          </cell>
          <cell r="G756" t="b">
            <v>0</v>
          </cell>
          <cell r="J756">
            <v>42378.457337962966</v>
          </cell>
          <cell r="L756">
            <v>2.9833333392161876</v>
          </cell>
          <cell r="S756" t="str">
            <v>TRUE</v>
          </cell>
        </row>
        <row r="757">
          <cell r="C757">
            <v>42378.52140046296</v>
          </cell>
          <cell r="D757" t="str">
            <v>Small</v>
          </cell>
          <cell r="E757" t="str">
            <v>Medium</v>
          </cell>
          <cell r="G757" t="b">
            <v>0</v>
          </cell>
          <cell r="J757">
            <v>42378.523460648146</v>
          </cell>
          <cell r="L757">
            <v>2.9666666686534882</v>
          </cell>
          <cell r="S757" t="str">
            <v>TRUE</v>
          </cell>
        </row>
        <row r="758">
          <cell r="C758">
            <v>42378.498865740738</v>
          </cell>
          <cell r="D758" t="str">
            <v>Small</v>
          </cell>
          <cell r="G758" t="b">
            <v>0</v>
          </cell>
          <cell r="J758">
            <v>42378.500949074078</v>
          </cell>
          <cell r="L758">
            <v>3.000000009778887</v>
          </cell>
          <cell r="S758" t="str">
            <v>TRUE</v>
          </cell>
        </row>
        <row r="759">
          <cell r="C759">
            <v>42378.522094907406</v>
          </cell>
          <cell r="D759" t="str">
            <v>Medium</v>
          </cell>
          <cell r="G759" t="b">
            <v>0</v>
          </cell>
          <cell r="J759">
            <v>42378.524155092593</v>
          </cell>
          <cell r="L759">
            <v>2.9666666686534882</v>
          </cell>
          <cell r="S759" t="str">
            <v>TRUE</v>
          </cell>
        </row>
        <row r="760">
          <cell r="C760">
            <v>42378.58394675926</v>
          </cell>
          <cell r="D760" t="str">
            <v>Small</v>
          </cell>
          <cell r="E760" t="str">
            <v>Medium</v>
          </cell>
          <cell r="G760" t="b">
            <v>1</v>
          </cell>
          <cell r="J760">
            <v>42378.587164351855</v>
          </cell>
          <cell r="L760">
            <v>4.6333333372604102</v>
          </cell>
          <cell r="S760" t="str">
            <v>TRUE</v>
          </cell>
        </row>
        <row r="761">
          <cell r="C761">
            <v>42378.497337962966</v>
          </cell>
          <cell r="D761" t="str">
            <v>Large</v>
          </cell>
          <cell r="G761" t="b">
            <v>0</v>
          </cell>
          <cell r="J761">
            <v>42378.499421296299</v>
          </cell>
          <cell r="L761">
            <v>2.9999999993015081</v>
          </cell>
          <cell r="S761" t="str">
            <v>TRUE</v>
          </cell>
        </row>
        <row r="762">
          <cell r="C762">
            <v>42378.494039351855</v>
          </cell>
          <cell r="D762" t="str">
            <v>Large</v>
          </cell>
          <cell r="G762" t="b">
            <v>1</v>
          </cell>
          <cell r="J762">
            <v>42378.504224537035</v>
          </cell>
          <cell r="L762">
            <v>14.666666658595204</v>
          </cell>
          <cell r="S762" t="str">
            <v>TRUE</v>
          </cell>
        </row>
        <row r="763">
          <cell r="C763">
            <v>42378.474872685183</v>
          </cell>
          <cell r="D763" t="str">
            <v>Medium</v>
          </cell>
          <cell r="G763" t="b">
            <v>0</v>
          </cell>
          <cell r="J763">
            <v>42378.476944444446</v>
          </cell>
          <cell r="L763">
            <v>2.9833333392161876</v>
          </cell>
          <cell r="S763" t="str">
            <v>TRUE</v>
          </cell>
        </row>
        <row r="764">
          <cell r="C764">
            <v>42378.498495370368</v>
          </cell>
          <cell r="D764" t="str">
            <v>Small</v>
          </cell>
          <cell r="G764" t="b">
            <v>1</v>
          </cell>
          <cell r="J764">
            <v>42378.510150462964</v>
          </cell>
          <cell r="L764">
            <v>16.783333338098601</v>
          </cell>
          <cell r="S764" t="str">
            <v>FALSE</v>
          </cell>
        </row>
        <row r="765">
          <cell r="C765">
            <v>42378.444733796299</v>
          </cell>
          <cell r="D765" t="str">
            <v>Medium</v>
          </cell>
          <cell r="G765" t="b">
            <v>1</v>
          </cell>
          <cell r="J765">
            <v>42378.456724537034</v>
          </cell>
          <cell r="L765">
            <v>17.266666658688337</v>
          </cell>
          <cell r="S765" t="str">
            <v>FALSE</v>
          </cell>
        </row>
        <row r="766">
          <cell r="C766">
            <v>42378.525462962964</v>
          </cell>
          <cell r="D766" t="str">
            <v>Large</v>
          </cell>
          <cell r="G766" t="b">
            <v>1</v>
          </cell>
          <cell r="J766">
            <v>42378.531435185185</v>
          </cell>
          <cell r="L766">
            <v>8.5999999986961484</v>
          </cell>
          <cell r="S766" t="str">
            <v>TRUE</v>
          </cell>
        </row>
        <row r="767">
          <cell r="C767">
            <v>42378.527245370373</v>
          </cell>
          <cell r="D767" t="str">
            <v>Medium</v>
          </cell>
          <cell r="G767" t="b">
            <v>0</v>
          </cell>
          <cell r="J767">
            <v>42378.529328703706</v>
          </cell>
          <cell r="L767">
            <v>2.9999999993015081</v>
          </cell>
          <cell r="S767" t="str">
            <v>TRUE</v>
          </cell>
        </row>
        <row r="768">
          <cell r="C768">
            <v>42378.470023148147</v>
          </cell>
          <cell r="D768" t="str">
            <v>Small</v>
          </cell>
          <cell r="G768" t="b">
            <v>1</v>
          </cell>
          <cell r="J768">
            <v>42378.475694444445</v>
          </cell>
          <cell r="L768">
            <v>8.1666666688397527</v>
          </cell>
          <cell r="S768" t="str">
            <v>TRUE</v>
          </cell>
        </row>
        <row r="769">
          <cell r="C769">
            <v>42378.488344907404</v>
          </cell>
          <cell r="D769" t="str">
            <v>Large</v>
          </cell>
          <cell r="G769" t="b">
            <v>0</v>
          </cell>
          <cell r="J769">
            <v>42378.490451388891</v>
          </cell>
          <cell r="L769">
            <v>3.0333333404269069</v>
          </cell>
          <cell r="S769" t="str">
            <v>TRUE</v>
          </cell>
        </row>
        <row r="770">
          <cell r="C770">
            <v>42378.483113425929</v>
          </cell>
          <cell r="D770" t="str">
            <v>Medium</v>
          </cell>
          <cell r="G770" t="b">
            <v>0</v>
          </cell>
          <cell r="J770">
            <v>42378.485196759262</v>
          </cell>
          <cell r="L770">
            <v>2.9999999993015081</v>
          </cell>
          <cell r="S770" t="str">
            <v>TRUE</v>
          </cell>
        </row>
        <row r="771">
          <cell r="C771">
            <v>42378.53402777778</v>
          </cell>
          <cell r="D771" t="str">
            <v>Small</v>
          </cell>
          <cell r="E771" t="str">
            <v>Medium</v>
          </cell>
          <cell r="G771" t="b">
            <v>0</v>
          </cell>
          <cell r="J771">
            <v>42378.536099537036</v>
          </cell>
          <cell r="L771">
            <v>2.9833333287388086</v>
          </cell>
          <cell r="S771" t="str">
            <v>TRUE</v>
          </cell>
        </row>
        <row r="772">
          <cell r="C772">
            <v>42378.496886574074</v>
          </cell>
          <cell r="D772" t="str">
            <v>Small</v>
          </cell>
          <cell r="E772" t="str">
            <v>Large</v>
          </cell>
          <cell r="G772" t="b">
            <v>0</v>
          </cell>
          <cell r="J772">
            <v>42378.49895833333</v>
          </cell>
          <cell r="L772">
            <v>2.9833333287388086</v>
          </cell>
          <cell r="S772" t="str">
            <v>TRUE</v>
          </cell>
        </row>
        <row r="773">
          <cell r="C773">
            <v>42378.559687499997</v>
          </cell>
          <cell r="D773" t="str">
            <v>Large</v>
          </cell>
          <cell r="G773" t="b">
            <v>0</v>
          </cell>
          <cell r="J773">
            <v>42378.561747685184</v>
          </cell>
          <cell r="L773">
            <v>2.9666666686534882</v>
          </cell>
          <cell r="S773" t="str">
            <v>TRUE</v>
          </cell>
        </row>
        <row r="774">
          <cell r="C774">
            <v>42378.487604166665</v>
          </cell>
          <cell r="D774" t="str">
            <v>Small</v>
          </cell>
          <cell r="E774" t="str">
            <v>Medium</v>
          </cell>
          <cell r="G774" t="b">
            <v>0</v>
          </cell>
          <cell r="J774">
            <v>42378.489675925928</v>
          </cell>
          <cell r="L774">
            <v>2.9833333392161876</v>
          </cell>
          <cell r="S774" t="str">
            <v>TRUE</v>
          </cell>
        </row>
        <row r="775">
          <cell r="C775">
            <v>42378.530312499999</v>
          </cell>
          <cell r="D775" t="str">
            <v>Small</v>
          </cell>
          <cell r="G775" t="b">
            <v>1</v>
          </cell>
          <cell r="J775">
            <v>42378.544710648152</v>
          </cell>
          <cell r="L775">
            <v>20.733333339449018</v>
          </cell>
          <cell r="S775" t="str">
            <v>FALSE</v>
          </cell>
        </row>
        <row r="776">
          <cell r="C776">
            <v>42378.513333333336</v>
          </cell>
          <cell r="D776" t="str">
            <v>Medium</v>
          </cell>
          <cell r="G776" t="b">
            <v>1</v>
          </cell>
          <cell r="J776">
            <v>42378.525601851848</v>
          </cell>
          <cell r="L776">
            <v>17.666666657896712</v>
          </cell>
          <cell r="S776" t="str">
            <v>FALSE</v>
          </cell>
        </row>
        <row r="777">
          <cell r="C777">
            <v>42378.551134259258</v>
          </cell>
          <cell r="D777" t="str">
            <v>Small</v>
          </cell>
          <cell r="G777" t="b">
            <v>0</v>
          </cell>
          <cell r="J777">
            <v>42378.553206018521</v>
          </cell>
          <cell r="L777">
            <v>2.9833333392161876</v>
          </cell>
          <cell r="S777" t="str">
            <v>TRUE</v>
          </cell>
        </row>
        <row r="778">
          <cell r="C778">
            <v>42378.531550925924</v>
          </cell>
          <cell r="D778" t="str">
            <v>Small</v>
          </cell>
          <cell r="E778" t="str">
            <v>Medium</v>
          </cell>
          <cell r="G778" t="b">
            <v>1</v>
          </cell>
          <cell r="J778">
            <v>42378.541030092594</v>
          </cell>
          <cell r="L778">
            <v>13.650000005727634</v>
          </cell>
          <cell r="S778" t="str">
            <v>TRUE</v>
          </cell>
        </row>
        <row r="779">
          <cell r="C779">
            <v>42378.502569444441</v>
          </cell>
          <cell r="D779" t="str">
            <v>Small</v>
          </cell>
          <cell r="E779" t="str">
            <v>Large</v>
          </cell>
          <cell r="G779" t="b">
            <v>1</v>
          </cell>
          <cell r="J779">
            <v>42378.516435185185</v>
          </cell>
          <cell r="L779">
            <v>19.966666671680287</v>
          </cell>
          <cell r="S779" t="str">
            <v>FALSE</v>
          </cell>
        </row>
        <row r="780">
          <cell r="C780">
            <v>42378.483136574076</v>
          </cell>
          <cell r="D780" t="str">
            <v>Large</v>
          </cell>
          <cell r="G780" t="b">
            <v>1</v>
          </cell>
          <cell r="J780">
            <v>42378.50267361111</v>
          </cell>
          <cell r="L780">
            <v>28.13333333004266</v>
          </cell>
          <cell r="S780" t="str">
            <v>FALSE</v>
          </cell>
        </row>
        <row r="781">
          <cell r="C781">
            <v>42378.527916666666</v>
          </cell>
          <cell r="D781" t="str">
            <v>Small</v>
          </cell>
          <cell r="E781" t="str">
            <v>Medium</v>
          </cell>
          <cell r="G781" t="b">
            <v>1</v>
          </cell>
          <cell r="J781">
            <v>42378.542766203704</v>
          </cell>
          <cell r="L781">
            <v>21.383333334233612</v>
          </cell>
          <cell r="S781" t="str">
            <v>FALSE</v>
          </cell>
        </row>
        <row r="782">
          <cell r="C782">
            <v>42378.550613425927</v>
          </cell>
          <cell r="D782" t="str">
            <v>Large</v>
          </cell>
          <cell r="G782" t="b">
            <v>0</v>
          </cell>
          <cell r="J782">
            <v>42378.552673611113</v>
          </cell>
          <cell r="L782">
            <v>2.9666666686534882</v>
          </cell>
          <cell r="S782" t="str">
            <v>TRUE</v>
          </cell>
        </row>
        <row r="783">
          <cell r="C783">
            <v>42378.43681712963</v>
          </cell>
          <cell r="D783" t="str">
            <v>Large</v>
          </cell>
          <cell r="G783" t="b">
            <v>0</v>
          </cell>
          <cell r="J783">
            <v>42378.438888888886</v>
          </cell>
          <cell r="L783">
            <v>2.9833333287388086</v>
          </cell>
          <cell r="S783" t="str">
            <v>TRUE</v>
          </cell>
        </row>
        <row r="784">
          <cell r="C784">
            <v>42378.485300925924</v>
          </cell>
          <cell r="D784" t="str">
            <v>Small</v>
          </cell>
          <cell r="E784" t="str">
            <v>Medium</v>
          </cell>
          <cell r="G784" t="b">
            <v>1</v>
          </cell>
          <cell r="J784">
            <v>42378.495381944442</v>
          </cell>
          <cell r="L784">
            <v>14.516666665440425</v>
          </cell>
          <cell r="S784" t="str">
            <v>TRUE</v>
          </cell>
        </row>
        <row r="785">
          <cell r="C785">
            <v>42378.519224537034</v>
          </cell>
          <cell r="D785" t="str">
            <v>Medium</v>
          </cell>
          <cell r="E785" t="str">
            <v>Large</v>
          </cell>
          <cell r="G785" t="b">
            <v>1</v>
          </cell>
          <cell r="J785">
            <v>42378.527777777781</v>
          </cell>
          <cell r="L785">
            <v>12.316666675033048</v>
          </cell>
          <cell r="S785" t="str">
            <v>TRUE</v>
          </cell>
        </row>
        <row r="786">
          <cell r="C786">
            <v>42378.464386574073</v>
          </cell>
          <cell r="D786" t="str">
            <v>Small</v>
          </cell>
          <cell r="G786" t="b">
            <v>1</v>
          </cell>
          <cell r="J786">
            <v>42378.473530092589</v>
          </cell>
          <cell r="L786">
            <v>13.16666666418314</v>
          </cell>
          <cell r="S786" t="str">
            <v>TRUE</v>
          </cell>
        </row>
        <row r="787">
          <cell r="C787">
            <v>42378.52443287037</v>
          </cell>
          <cell r="D787" t="str">
            <v>Small</v>
          </cell>
          <cell r="G787" t="b">
            <v>1</v>
          </cell>
          <cell r="J787">
            <v>42378.529131944444</v>
          </cell>
          <cell r="L787">
            <v>6.7666666663717479</v>
          </cell>
          <cell r="S787" t="str">
            <v>TRUE</v>
          </cell>
        </row>
        <row r="788">
          <cell r="C788">
            <v>42378.544131944444</v>
          </cell>
          <cell r="D788" t="str">
            <v>Small</v>
          </cell>
          <cell r="G788" t="b">
            <v>1</v>
          </cell>
          <cell r="J788">
            <v>42378.550324074073</v>
          </cell>
          <cell r="L788">
            <v>8.916666666045785</v>
          </cell>
          <cell r="S788" t="str">
            <v>TRUE</v>
          </cell>
        </row>
        <row r="789">
          <cell r="C789">
            <v>42378.531076388892</v>
          </cell>
          <cell r="D789" t="str">
            <v>Small</v>
          </cell>
          <cell r="G789" t="b">
            <v>0</v>
          </cell>
          <cell r="J789">
            <v>42378.533159722225</v>
          </cell>
          <cell r="L789">
            <v>2.9999999993015081</v>
          </cell>
          <cell r="S789" t="str">
            <v>TRUE</v>
          </cell>
        </row>
        <row r="790">
          <cell r="C790">
            <v>42378.432175925926</v>
          </cell>
          <cell r="D790" t="str">
            <v>Small</v>
          </cell>
          <cell r="E790" t="str">
            <v>Medium</v>
          </cell>
          <cell r="G790" t="b">
            <v>1</v>
          </cell>
          <cell r="J790">
            <v>42378.437465277777</v>
          </cell>
          <cell r="L790">
            <v>7.6166666659992188</v>
          </cell>
          <cell r="S790" t="str">
            <v>TRUE</v>
          </cell>
        </row>
        <row r="791">
          <cell r="C791">
            <v>42378.547534722224</v>
          </cell>
          <cell r="D791" t="str">
            <v>Medium</v>
          </cell>
          <cell r="G791" t="b">
            <v>1</v>
          </cell>
          <cell r="J791">
            <v>42378.55878472222</v>
          </cell>
          <cell r="L791">
            <v>16.199999994132668</v>
          </cell>
          <cell r="S791" t="str">
            <v>FALSE</v>
          </cell>
        </row>
        <row r="792">
          <cell r="C792">
            <v>42378.514050925929</v>
          </cell>
          <cell r="D792" t="str">
            <v>Large</v>
          </cell>
          <cell r="G792" t="b">
            <v>0</v>
          </cell>
          <cell r="J792">
            <v>42378.516134259262</v>
          </cell>
          <cell r="L792">
            <v>2.9999999993015081</v>
          </cell>
          <cell r="S792" t="str">
            <v>TRUE</v>
          </cell>
        </row>
        <row r="793">
          <cell r="C793">
            <v>42378.435787037037</v>
          </cell>
          <cell r="D793" t="str">
            <v>Small</v>
          </cell>
          <cell r="E793" t="str">
            <v>Medium</v>
          </cell>
          <cell r="G793" t="b">
            <v>0</v>
          </cell>
          <cell r="J793">
            <v>42378.437858796293</v>
          </cell>
          <cell r="L793">
            <v>2.9833333287388086</v>
          </cell>
          <cell r="S793" t="str">
            <v>TRUE</v>
          </cell>
        </row>
        <row r="794">
          <cell r="C794">
            <v>42378.44672453704</v>
          </cell>
          <cell r="D794" t="str">
            <v>Medium</v>
          </cell>
          <cell r="G794" t="b">
            <v>1</v>
          </cell>
          <cell r="J794">
            <v>42378.461863425924</v>
          </cell>
          <cell r="L794">
            <v>21.799999993527308</v>
          </cell>
          <cell r="S794" t="str">
            <v>FALSE</v>
          </cell>
        </row>
        <row r="795">
          <cell r="C795">
            <v>42378.542141203703</v>
          </cell>
          <cell r="D795" t="str">
            <v>Large</v>
          </cell>
          <cell r="G795" t="b">
            <v>1</v>
          </cell>
          <cell r="J795">
            <v>42378.551817129628</v>
          </cell>
          <cell r="L795">
            <v>13.933333331951872</v>
          </cell>
          <cell r="S795" t="str">
            <v>TRUE</v>
          </cell>
        </row>
        <row r="796">
          <cell r="C796">
            <v>42378.536863425928</v>
          </cell>
          <cell r="D796" t="str">
            <v>Medium</v>
          </cell>
          <cell r="G796" t="b">
            <v>0</v>
          </cell>
          <cell r="J796">
            <v>42378.538912037038</v>
          </cell>
          <cell r="L796">
            <v>2.9499999980907887</v>
          </cell>
          <cell r="S796" t="str">
            <v>TRUE</v>
          </cell>
        </row>
        <row r="797">
          <cell r="C797">
            <v>42378.521192129629</v>
          </cell>
          <cell r="D797" t="str">
            <v>Large</v>
          </cell>
          <cell r="G797" t="b">
            <v>1</v>
          </cell>
          <cell r="J797">
            <v>42378.528761574074</v>
          </cell>
          <cell r="L797">
            <v>10.900000002002344</v>
          </cell>
          <cell r="S797" t="str">
            <v>TRUE</v>
          </cell>
        </row>
        <row r="798">
          <cell r="C798">
            <v>42378.490254629629</v>
          </cell>
          <cell r="D798" t="str">
            <v>Large</v>
          </cell>
          <cell r="G798" t="b">
            <v>0</v>
          </cell>
          <cell r="J798">
            <v>42378.492326388892</v>
          </cell>
          <cell r="L798">
            <v>2.9833333392161876</v>
          </cell>
          <cell r="S798" t="str">
            <v>TRUE</v>
          </cell>
        </row>
        <row r="799">
          <cell r="C799">
            <v>42378.45853009259</v>
          </cell>
          <cell r="D799" t="str">
            <v>Small</v>
          </cell>
          <cell r="G799" t="b">
            <v>0</v>
          </cell>
          <cell r="J799">
            <v>42378.460613425923</v>
          </cell>
          <cell r="L799">
            <v>2.9999999993015081</v>
          </cell>
          <cell r="S799" t="str">
            <v>TRUE</v>
          </cell>
        </row>
        <row r="800">
          <cell r="C800">
            <v>42378.505555555559</v>
          </cell>
          <cell r="D800" t="str">
            <v>Small</v>
          </cell>
          <cell r="G800" t="b">
            <v>1</v>
          </cell>
          <cell r="J800">
            <v>42378.516435185185</v>
          </cell>
          <cell r="L800">
            <v>15.666666661854833</v>
          </cell>
          <cell r="S800" t="str">
            <v>TRUE</v>
          </cell>
        </row>
        <row r="801">
          <cell r="C801">
            <v>42378.506782407407</v>
          </cell>
          <cell r="D801" t="str">
            <v>Large</v>
          </cell>
          <cell r="G801" t="b">
            <v>0</v>
          </cell>
          <cell r="J801">
            <v>42378.508842592593</v>
          </cell>
          <cell r="L801">
            <v>2.9666666686534882</v>
          </cell>
          <cell r="S801" t="str">
            <v>TRUE</v>
          </cell>
        </row>
        <row r="802">
          <cell r="C802">
            <v>42378.465543981481</v>
          </cell>
          <cell r="D802" t="str">
            <v>Medium</v>
          </cell>
          <cell r="G802" t="b">
            <v>0</v>
          </cell>
          <cell r="J802">
            <v>42378.467638888891</v>
          </cell>
          <cell r="L802">
            <v>3.0166666698642075</v>
          </cell>
          <cell r="S802" t="str">
            <v>TRUE</v>
          </cell>
        </row>
        <row r="803">
          <cell r="C803">
            <v>42378.53392361111</v>
          </cell>
          <cell r="D803" t="str">
            <v>Large</v>
          </cell>
          <cell r="G803" t="b">
            <v>0</v>
          </cell>
          <cell r="J803">
            <v>42378.535995370374</v>
          </cell>
          <cell r="L803">
            <v>2.9833333392161876</v>
          </cell>
          <cell r="S803" t="str">
            <v>TRUE</v>
          </cell>
        </row>
        <row r="804">
          <cell r="C804">
            <v>42378.496481481481</v>
          </cell>
          <cell r="D804" t="str">
            <v>Large</v>
          </cell>
          <cell r="G804" t="b">
            <v>0</v>
          </cell>
          <cell r="J804">
            <v>42378.498576388891</v>
          </cell>
          <cell r="L804">
            <v>3.0166666698642075</v>
          </cell>
          <cell r="S804" t="str">
            <v>TRUE</v>
          </cell>
        </row>
        <row r="805">
          <cell r="C805">
            <v>42378.45516203704</v>
          </cell>
          <cell r="D805" t="str">
            <v>Small</v>
          </cell>
          <cell r="G805" t="b">
            <v>0</v>
          </cell>
          <cell r="J805">
            <v>42378.457256944443</v>
          </cell>
          <cell r="L805">
            <v>3.0166666593868285</v>
          </cell>
          <cell r="S805" t="str">
            <v>TRUE</v>
          </cell>
        </row>
        <row r="806">
          <cell r="C806">
            <v>42378.480451388888</v>
          </cell>
          <cell r="D806" t="str">
            <v>Large</v>
          </cell>
          <cell r="G806" t="b">
            <v>0</v>
          </cell>
          <cell r="J806">
            <v>42378.482523148145</v>
          </cell>
          <cell r="L806">
            <v>2.9833333287388086</v>
          </cell>
          <cell r="S806" t="str">
            <v>TRUE</v>
          </cell>
        </row>
        <row r="807">
          <cell r="C807">
            <v>42378.496006944442</v>
          </cell>
          <cell r="D807" t="str">
            <v>Medium</v>
          </cell>
          <cell r="G807" t="b">
            <v>0</v>
          </cell>
          <cell r="J807">
            <v>42378.498055555552</v>
          </cell>
          <cell r="L807">
            <v>2.9499999980907887</v>
          </cell>
          <cell r="S807" t="str">
            <v>TRUE</v>
          </cell>
        </row>
        <row r="808">
          <cell r="C808">
            <v>42378.540613425925</v>
          </cell>
          <cell r="D808" t="str">
            <v>Large</v>
          </cell>
          <cell r="G808" t="b">
            <v>1</v>
          </cell>
          <cell r="J808">
            <v>42378.546342592592</v>
          </cell>
          <cell r="L808">
            <v>8.2500000006984919</v>
          </cell>
          <cell r="S808" t="str">
            <v>TRUE</v>
          </cell>
        </row>
        <row r="809">
          <cell r="C809">
            <v>42378.485671296294</v>
          </cell>
          <cell r="D809" t="str">
            <v>Medium</v>
          </cell>
          <cell r="G809" t="b">
            <v>0</v>
          </cell>
          <cell r="J809">
            <v>42378.487766203703</v>
          </cell>
          <cell r="L809">
            <v>3.0166666698642075</v>
          </cell>
          <cell r="S809" t="str">
            <v>TRUE</v>
          </cell>
        </row>
        <row r="810">
          <cell r="C810">
            <v>42378.52103009259</v>
          </cell>
          <cell r="D810" t="str">
            <v>Small</v>
          </cell>
          <cell r="E810" t="str">
            <v>Medium</v>
          </cell>
          <cell r="G810" t="b">
            <v>1</v>
          </cell>
          <cell r="J810">
            <v>42378.527337962965</v>
          </cell>
          <cell r="L810">
            <v>9.0833333402406424</v>
          </cell>
          <cell r="S810" t="str">
            <v>TRUE</v>
          </cell>
        </row>
        <row r="811">
          <cell r="C811">
            <v>42378.507777777777</v>
          </cell>
          <cell r="D811" t="str">
            <v>Small</v>
          </cell>
          <cell r="G811" t="b">
            <v>0</v>
          </cell>
          <cell r="J811">
            <v>42378.50984953704</v>
          </cell>
          <cell r="L811">
            <v>2.9833333392161876</v>
          </cell>
          <cell r="S811" t="str">
            <v>TRUE</v>
          </cell>
        </row>
        <row r="812">
          <cell r="C812">
            <v>42378.508287037039</v>
          </cell>
          <cell r="D812" t="str">
            <v>Small</v>
          </cell>
          <cell r="G812" t="b">
            <v>1</v>
          </cell>
          <cell r="J812">
            <v>42378.519826388889</v>
          </cell>
          <cell r="L812">
            <v>16.616666663903743</v>
          </cell>
          <cell r="S812" t="str">
            <v>FALSE</v>
          </cell>
        </row>
        <row r="813">
          <cell r="C813">
            <v>42378.491296296299</v>
          </cell>
          <cell r="D813" t="str">
            <v>Large</v>
          </cell>
          <cell r="G813" t="b">
            <v>0</v>
          </cell>
          <cell r="J813">
            <v>42378.493379629632</v>
          </cell>
          <cell r="L813">
            <v>2.9999999993015081</v>
          </cell>
          <cell r="S813" t="str">
            <v>TRUE</v>
          </cell>
        </row>
        <row r="814">
          <cell r="C814">
            <v>42378.47693287037</v>
          </cell>
          <cell r="D814" t="str">
            <v>Large</v>
          </cell>
          <cell r="G814" t="b">
            <v>0</v>
          </cell>
          <cell r="J814">
            <v>42378.479004629633</v>
          </cell>
          <cell r="L814">
            <v>2.9833333392161876</v>
          </cell>
          <cell r="S814" t="str">
            <v>TRUE</v>
          </cell>
        </row>
        <row r="815">
          <cell r="C815">
            <v>42378.49318287037</v>
          </cell>
          <cell r="D815" t="str">
            <v>Large</v>
          </cell>
          <cell r="G815" t="b">
            <v>1</v>
          </cell>
          <cell r="J815">
            <v>42378.507303240738</v>
          </cell>
          <cell r="L815">
            <v>20.333333329763263</v>
          </cell>
          <cell r="S815" t="str">
            <v>FALSE</v>
          </cell>
        </row>
        <row r="816">
          <cell r="C816">
            <v>42378.534814814811</v>
          </cell>
          <cell r="D816" t="str">
            <v>Large</v>
          </cell>
          <cell r="G816" t="b">
            <v>0</v>
          </cell>
          <cell r="J816">
            <v>42378.536909722221</v>
          </cell>
          <cell r="L816">
            <v>3.0166666698642075</v>
          </cell>
          <cell r="S816" t="str">
            <v>TRUE</v>
          </cell>
        </row>
        <row r="817">
          <cell r="C817">
            <v>42378.497488425928</v>
          </cell>
          <cell r="D817" t="str">
            <v>Large</v>
          </cell>
          <cell r="G817" t="b">
            <v>1</v>
          </cell>
          <cell r="J817">
            <v>42378.509918981479</v>
          </cell>
          <cell r="L817">
            <v>17.89999999338761</v>
          </cell>
          <cell r="S817" t="str">
            <v>FALSE</v>
          </cell>
        </row>
        <row r="818">
          <cell r="C818">
            <v>42378.438923611109</v>
          </cell>
          <cell r="D818" t="str">
            <v>Small</v>
          </cell>
          <cell r="E818" t="str">
            <v>Medium</v>
          </cell>
          <cell r="G818" t="b">
            <v>1</v>
          </cell>
          <cell r="J818">
            <v>42378.447187500002</v>
          </cell>
          <cell r="L818">
            <v>11.900000005261973</v>
          </cell>
          <cell r="S818" t="str">
            <v>TRUE</v>
          </cell>
        </row>
        <row r="819">
          <cell r="C819">
            <v>42378.513229166667</v>
          </cell>
          <cell r="D819" t="str">
            <v>Small</v>
          </cell>
          <cell r="G819" t="b">
            <v>1</v>
          </cell>
          <cell r="J819">
            <v>42378.534502314818</v>
          </cell>
          <cell r="L819">
            <v>30.633333338191733</v>
          </cell>
          <cell r="S819" t="str">
            <v>FALSE</v>
          </cell>
        </row>
        <row r="820">
          <cell r="C820">
            <v>42378.522407407407</v>
          </cell>
          <cell r="D820" t="str">
            <v>Small</v>
          </cell>
          <cell r="G820" t="b">
            <v>1</v>
          </cell>
          <cell r="J820">
            <v>42378.535671296297</v>
          </cell>
          <cell r="L820">
            <v>19.100000001490116</v>
          </cell>
          <cell r="S820" t="str">
            <v>FALSE</v>
          </cell>
        </row>
        <row r="821">
          <cell r="C821">
            <v>42378.600428240738</v>
          </cell>
          <cell r="D821" t="str">
            <v>Small</v>
          </cell>
          <cell r="G821" t="b">
            <v>1</v>
          </cell>
          <cell r="J821">
            <v>42378.610879629632</v>
          </cell>
          <cell r="L821">
            <v>15.050000008195639</v>
          </cell>
          <cell r="S821" t="str">
            <v>TRUE</v>
          </cell>
        </row>
        <row r="822">
          <cell r="C822">
            <v>42378.444155092591</v>
          </cell>
          <cell r="D822" t="str">
            <v>Small</v>
          </cell>
          <cell r="E822" t="str">
            <v>Large</v>
          </cell>
          <cell r="G822" t="b">
            <v>0</v>
          </cell>
          <cell r="J822">
            <v>42378.446238425924</v>
          </cell>
          <cell r="L822">
            <v>2.9999999993015081</v>
          </cell>
          <cell r="S822" t="str">
            <v>TRUE</v>
          </cell>
        </row>
        <row r="823">
          <cell r="C823">
            <v>42378.443333333336</v>
          </cell>
          <cell r="D823" t="str">
            <v>Medium</v>
          </cell>
          <cell r="G823" t="b">
            <v>0</v>
          </cell>
          <cell r="J823">
            <v>42378.445416666669</v>
          </cell>
          <cell r="L823">
            <v>2.9999999993015081</v>
          </cell>
          <cell r="S823" t="str">
            <v>TRUE</v>
          </cell>
        </row>
        <row r="824">
          <cell r="C824">
            <v>42378.540266203701</v>
          </cell>
          <cell r="D824" t="str">
            <v>Large</v>
          </cell>
          <cell r="G824" t="b">
            <v>1</v>
          </cell>
          <cell r="J824">
            <v>42378.560694444444</v>
          </cell>
          <cell r="L824">
            <v>29.416666670003906</v>
          </cell>
          <cell r="S824" t="str">
            <v>FALSE</v>
          </cell>
        </row>
        <row r="825">
          <cell r="C825">
            <v>42378.441747685189</v>
          </cell>
          <cell r="D825" t="str">
            <v>Large</v>
          </cell>
          <cell r="G825" t="b">
            <v>0</v>
          </cell>
          <cell r="J825">
            <v>42378.443807870368</v>
          </cell>
          <cell r="L825">
            <v>2.9666666581761092</v>
          </cell>
          <cell r="S825" t="str">
            <v>TRUE</v>
          </cell>
        </row>
        <row r="826">
          <cell r="C826">
            <v>42378.563773148147</v>
          </cell>
          <cell r="D826" t="str">
            <v>Medium</v>
          </cell>
          <cell r="G826" t="b">
            <v>1</v>
          </cell>
          <cell r="J826">
            <v>42378.566770833335</v>
          </cell>
          <cell r="L826">
            <v>4.3166666699107736</v>
          </cell>
          <cell r="S826" t="str">
            <v>TRUE</v>
          </cell>
        </row>
        <row r="827">
          <cell r="C827">
            <v>42378.545972222222</v>
          </cell>
          <cell r="D827" t="str">
            <v>Small</v>
          </cell>
          <cell r="E827" t="str">
            <v>Large</v>
          </cell>
          <cell r="G827" t="b">
            <v>1</v>
          </cell>
          <cell r="J827">
            <v>42378.559953703705</v>
          </cell>
          <cell r="L827">
            <v>20.133333335397765</v>
          </cell>
          <cell r="S827" t="str">
            <v>FALSE</v>
          </cell>
        </row>
        <row r="828">
          <cell r="C828">
            <v>42378.457175925927</v>
          </cell>
          <cell r="D828" t="str">
            <v>Small</v>
          </cell>
          <cell r="G828" t="b">
            <v>0</v>
          </cell>
          <cell r="J828">
            <v>42378.459236111114</v>
          </cell>
          <cell r="L828">
            <v>2.9666666686534882</v>
          </cell>
          <cell r="S828" t="str">
            <v>TRUE</v>
          </cell>
        </row>
        <row r="829">
          <cell r="C829">
            <v>42378.487916666665</v>
          </cell>
          <cell r="D829" t="str">
            <v>Large</v>
          </cell>
          <cell r="G829" t="b">
            <v>1</v>
          </cell>
          <cell r="J829">
            <v>42378.504201388889</v>
          </cell>
          <cell r="L829">
            <v>23.45000000204891</v>
          </cell>
          <cell r="S829" t="str">
            <v>FALSE</v>
          </cell>
        </row>
        <row r="830">
          <cell r="C830">
            <v>42378.481921296298</v>
          </cell>
          <cell r="D830" t="str">
            <v>Small</v>
          </cell>
          <cell r="E830" t="str">
            <v>Large</v>
          </cell>
          <cell r="G830" t="b">
            <v>0</v>
          </cell>
          <cell r="J830">
            <v>42378.483981481484</v>
          </cell>
          <cell r="L830">
            <v>2.9666666686534882</v>
          </cell>
          <cell r="S830" t="str">
            <v>TRUE</v>
          </cell>
        </row>
        <row r="831">
          <cell r="C831">
            <v>42378.548356481479</v>
          </cell>
          <cell r="D831" t="str">
            <v>Medium</v>
          </cell>
          <cell r="G831" t="b">
            <v>1</v>
          </cell>
          <cell r="J831">
            <v>42378.554363425923</v>
          </cell>
          <cell r="L831">
            <v>8.6499999999068677</v>
          </cell>
          <cell r="S831" t="str">
            <v>TRUE</v>
          </cell>
        </row>
        <row r="832">
          <cell r="C832">
            <v>42378.49832175926</v>
          </cell>
          <cell r="D832" t="str">
            <v>Large</v>
          </cell>
          <cell r="G832" t="b">
            <v>1</v>
          </cell>
          <cell r="J832">
            <v>42378.506863425922</v>
          </cell>
          <cell r="L832">
            <v>12.299999993992969</v>
          </cell>
          <cell r="S832" t="str">
            <v>TRUE</v>
          </cell>
        </row>
        <row r="833">
          <cell r="C833">
            <v>42378.553923611114</v>
          </cell>
          <cell r="D833" t="str">
            <v>Small</v>
          </cell>
          <cell r="E833" t="str">
            <v>Medium</v>
          </cell>
          <cell r="G833" t="b">
            <v>1</v>
          </cell>
          <cell r="J833">
            <v>42378.565196759257</v>
          </cell>
          <cell r="L833">
            <v>16.233333324780688</v>
          </cell>
          <cell r="S833" t="str">
            <v>FALSE</v>
          </cell>
        </row>
        <row r="834">
          <cell r="C834">
            <v>42378.572696759256</v>
          </cell>
          <cell r="D834" t="str">
            <v>Medium</v>
          </cell>
          <cell r="G834" t="b">
            <v>0</v>
          </cell>
          <cell r="J834">
            <v>42378.574780092589</v>
          </cell>
          <cell r="L834">
            <v>2.9999999993015081</v>
          </cell>
          <cell r="S834" t="str">
            <v>TRUE</v>
          </cell>
        </row>
        <row r="835">
          <cell r="C835">
            <v>42378.473587962966</v>
          </cell>
          <cell r="D835" t="str">
            <v>Small</v>
          </cell>
          <cell r="E835" t="str">
            <v>Medium</v>
          </cell>
          <cell r="G835" t="b">
            <v>0</v>
          </cell>
          <cell r="J835">
            <v>42378.475636574076</v>
          </cell>
          <cell r="L835">
            <v>2.9499999980907887</v>
          </cell>
          <cell r="S835" t="str">
            <v>TRUE</v>
          </cell>
        </row>
        <row r="836">
          <cell r="C836">
            <v>42378.513182870367</v>
          </cell>
          <cell r="D836" t="str">
            <v>Small</v>
          </cell>
          <cell r="G836" t="b">
            <v>1</v>
          </cell>
          <cell r="J836">
            <v>42378.524085648147</v>
          </cell>
          <cell r="L836">
            <v>15.700000002980232</v>
          </cell>
          <cell r="S836" t="str">
            <v>TRUE</v>
          </cell>
        </row>
        <row r="837">
          <cell r="C837">
            <v>42378.433344907404</v>
          </cell>
          <cell r="D837" t="str">
            <v>Small</v>
          </cell>
          <cell r="E837" t="str">
            <v>Medium</v>
          </cell>
          <cell r="G837" t="b">
            <v>0</v>
          </cell>
          <cell r="J837">
            <v>42378.435428240744</v>
          </cell>
          <cell r="L837">
            <v>3.000000009778887</v>
          </cell>
          <cell r="S837" t="str">
            <v>TRUE</v>
          </cell>
        </row>
        <row r="838">
          <cell r="C838">
            <v>42378.522361111114</v>
          </cell>
          <cell r="D838" t="str">
            <v>Large</v>
          </cell>
          <cell r="G838" t="b">
            <v>0</v>
          </cell>
          <cell r="J838">
            <v>42378.524444444447</v>
          </cell>
          <cell r="L838">
            <v>2.9999999993015081</v>
          </cell>
          <cell r="S838" t="str">
            <v>TRUE</v>
          </cell>
        </row>
        <row r="839">
          <cell r="C839">
            <v>42378.506527777776</v>
          </cell>
          <cell r="D839" t="str">
            <v>Medium</v>
          </cell>
          <cell r="G839" t="b">
            <v>1</v>
          </cell>
          <cell r="J839">
            <v>42378.516412037039</v>
          </cell>
          <cell r="L839">
            <v>14.233333339216188</v>
          </cell>
          <cell r="S839" t="str">
            <v>TRUE</v>
          </cell>
        </row>
        <row r="840">
          <cell r="C840">
            <v>42378.569050925929</v>
          </cell>
          <cell r="D840" t="str">
            <v>Small</v>
          </cell>
          <cell r="E840" t="str">
            <v>Medium</v>
          </cell>
          <cell r="G840" t="b">
            <v>1</v>
          </cell>
          <cell r="J840">
            <v>42378.585740740738</v>
          </cell>
          <cell r="L840">
            <v>24.033333325060084</v>
          </cell>
          <cell r="S840" t="str">
            <v>FALSE</v>
          </cell>
        </row>
        <row r="841">
          <cell r="C841">
            <v>42378.512928240743</v>
          </cell>
          <cell r="D841" t="str">
            <v>Small</v>
          </cell>
          <cell r="E841" t="str">
            <v>Medium</v>
          </cell>
          <cell r="G841" t="b">
            <v>1</v>
          </cell>
          <cell r="J841">
            <v>42378.518993055557</v>
          </cell>
          <cell r="L841">
            <v>8.733333331765607</v>
          </cell>
          <cell r="S841" t="str">
            <v>TRUE</v>
          </cell>
        </row>
        <row r="842">
          <cell r="C842">
            <v>42378.531469907408</v>
          </cell>
          <cell r="D842" t="str">
            <v>Small</v>
          </cell>
          <cell r="E842" t="str">
            <v>Medium</v>
          </cell>
          <cell r="G842" t="b">
            <v>0</v>
          </cell>
          <cell r="J842">
            <v>42378.533564814818</v>
          </cell>
          <cell r="L842">
            <v>3.0166666698642075</v>
          </cell>
          <cell r="S842" t="str">
            <v>TRUE</v>
          </cell>
        </row>
        <row r="843">
          <cell r="C843">
            <v>42378.580335648148</v>
          </cell>
          <cell r="D843" t="str">
            <v>Medium</v>
          </cell>
          <cell r="G843" t="b">
            <v>0</v>
          </cell>
          <cell r="J843">
            <v>42378.582407407404</v>
          </cell>
          <cell r="L843">
            <v>2.9833333287388086</v>
          </cell>
          <cell r="S843" t="str">
            <v>TRUE</v>
          </cell>
        </row>
        <row r="844">
          <cell r="C844">
            <v>42378.448877314811</v>
          </cell>
          <cell r="D844" t="str">
            <v>Small</v>
          </cell>
          <cell r="G844" t="b">
            <v>1</v>
          </cell>
          <cell r="J844">
            <v>42378.454965277779</v>
          </cell>
          <cell r="L844">
            <v>8.7666666728910059</v>
          </cell>
          <cell r="S844" t="str">
            <v>TRUE</v>
          </cell>
        </row>
        <row r="845">
          <cell r="C845">
            <v>42378.504467592589</v>
          </cell>
          <cell r="D845" t="str">
            <v>Small</v>
          </cell>
          <cell r="G845" t="b">
            <v>0</v>
          </cell>
          <cell r="J845">
            <v>42378.506527777776</v>
          </cell>
          <cell r="L845">
            <v>2.9666666686534882</v>
          </cell>
          <cell r="S845" t="str">
            <v>TRUE</v>
          </cell>
        </row>
        <row r="846">
          <cell r="C846">
            <v>42378.50980324074</v>
          </cell>
          <cell r="D846" t="str">
            <v>Medium</v>
          </cell>
          <cell r="G846" t="b">
            <v>0</v>
          </cell>
          <cell r="J846">
            <v>42378.511886574073</v>
          </cell>
          <cell r="L846">
            <v>2.9999999993015081</v>
          </cell>
          <cell r="S846" t="str">
            <v>TRUE</v>
          </cell>
        </row>
        <row r="847">
          <cell r="C847">
            <v>42378.53837962963</v>
          </cell>
          <cell r="D847" t="str">
            <v>Medium</v>
          </cell>
          <cell r="G847" t="b">
            <v>1</v>
          </cell>
          <cell r="J847">
            <v>42378.557083333333</v>
          </cell>
          <cell r="L847">
            <v>26.933333332417533</v>
          </cell>
          <cell r="S847" t="str">
            <v>FALSE</v>
          </cell>
        </row>
        <row r="848">
          <cell r="C848">
            <v>42379.504583333335</v>
          </cell>
          <cell r="D848" t="str">
            <v>Medium</v>
          </cell>
          <cell r="G848" t="b">
            <v>1</v>
          </cell>
          <cell r="J848">
            <v>42379.514328703706</v>
          </cell>
          <cell r="L848">
            <v>14.03333333437331</v>
          </cell>
          <cell r="S848" t="str">
            <v>TRUE</v>
          </cell>
        </row>
        <row r="849">
          <cell r="C849">
            <v>42379.569652777776</v>
          </cell>
          <cell r="D849" t="str">
            <v>Large</v>
          </cell>
          <cell r="G849" t="b">
            <v>0</v>
          </cell>
          <cell r="J849">
            <v>42379.571736111109</v>
          </cell>
          <cell r="L849">
            <v>2.9999999993015081</v>
          </cell>
          <cell r="S849" t="str">
            <v>TRUE</v>
          </cell>
        </row>
        <row r="850">
          <cell r="C850">
            <v>42379.463807870372</v>
          </cell>
          <cell r="D850" t="str">
            <v>Small</v>
          </cell>
          <cell r="G850" t="b">
            <v>0</v>
          </cell>
          <cell r="J850">
            <v>42379.465891203705</v>
          </cell>
          <cell r="L850">
            <v>2.9999999993015081</v>
          </cell>
          <cell r="S850" t="str">
            <v>TRUE</v>
          </cell>
        </row>
        <row r="851">
          <cell r="C851">
            <v>42379.575972222221</v>
          </cell>
          <cell r="D851" t="str">
            <v>Large</v>
          </cell>
          <cell r="G851" t="b">
            <v>1</v>
          </cell>
          <cell r="J851">
            <v>42379.588761574072</v>
          </cell>
          <cell r="L851">
            <v>18.416666665580124</v>
          </cell>
          <cell r="S851" t="str">
            <v>FALSE</v>
          </cell>
        </row>
        <row r="852">
          <cell r="C852">
            <v>42379.490104166667</v>
          </cell>
          <cell r="D852" t="str">
            <v>Small</v>
          </cell>
          <cell r="E852" t="str">
            <v>Medium</v>
          </cell>
          <cell r="G852" t="b">
            <v>1</v>
          </cell>
          <cell r="J852">
            <v>42379.505370370367</v>
          </cell>
          <cell r="L852">
            <v>21.983333327807486</v>
          </cell>
          <cell r="S852" t="str">
            <v>FALSE</v>
          </cell>
        </row>
        <row r="853">
          <cell r="C853">
            <v>42379.518645833334</v>
          </cell>
          <cell r="D853" t="str">
            <v>Small</v>
          </cell>
          <cell r="E853" t="str">
            <v>Medium</v>
          </cell>
          <cell r="G853" t="b">
            <v>1</v>
          </cell>
          <cell r="J853">
            <v>42379.527037037034</v>
          </cell>
          <cell r="L853">
            <v>12.083333329064772</v>
          </cell>
          <cell r="S853" t="str">
            <v>TRUE</v>
          </cell>
        </row>
        <row r="854">
          <cell r="C854">
            <v>42379.560324074075</v>
          </cell>
          <cell r="D854" t="str">
            <v>Small</v>
          </cell>
          <cell r="E854" t="str">
            <v>Medium</v>
          </cell>
          <cell r="F854" t="str">
            <v>Large</v>
          </cell>
          <cell r="G854" t="b">
            <v>1</v>
          </cell>
          <cell r="J854">
            <v>42379.570520833331</v>
          </cell>
          <cell r="L854">
            <v>14.683333329157904</v>
          </cell>
          <cell r="S854" t="str">
            <v>TRUE</v>
          </cell>
        </row>
        <row r="855">
          <cell r="C855">
            <v>42379.48946759259</v>
          </cell>
          <cell r="D855" t="str">
            <v>Small</v>
          </cell>
          <cell r="E855" t="str">
            <v>Medium</v>
          </cell>
          <cell r="G855" t="b">
            <v>1</v>
          </cell>
          <cell r="J855">
            <v>42379.498402777775</v>
          </cell>
          <cell r="L855">
            <v>12.866666667396203</v>
          </cell>
          <cell r="S855" t="str">
            <v>TRUE</v>
          </cell>
        </row>
        <row r="856">
          <cell r="C856">
            <v>42379.538275462961</v>
          </cell>
          <cell r="D856" t="str">
            <v>Medium</v>
          </cell>
          <cell r="G856" t="b">
            <v>1</v>
          </cell>
          <cell r="J856">
            <v>42379.55395833333</v>
          </cell>
          <cell r="L856">
            <v>22.583333331858739</v>
          </cell>
          <cell r="S856" t="str">
            <v>FALSE</v>
          </cell>
        </row>
        <row r="857">
          <cell r="C857">
            <v>42379.492835648147</v>
          </cell>
          <cell r="D857" t="str">
            <v>Large</v>
          </cell>
          <cell r="G857" t="b">
            <v>1</v>
          </cell>
          <cell r="J857">
            <v>42379.507592592592</v>
          </cell>
          <cell r="L857">
            <v>21.250000001164153</v>
          </cell>
          <cell r="S857" t="str">
            <v>FALSE</v>
          </cell>
        </row>
        <row r="858">
          <cell r="C858">
            <v>42379.494988425926</v>
          </cell>
          <cell r="D858" t="str">
            <v>Medium</v>
          </cell>
          <cell r="G858" t="b">
            <v>1</v>
          </cell>
          <cell r="J858">
            <v>42379.501689814817</v>
          </cell>
          <cell r="L858">
            <v>9.6500000031664968</v>
          </cell>
          <cell r="S858" t="str">
            <v>TRUE</v>
          </cell>
        </row>
        <row r="859">
          <cell r="C859">
            <v>42379.460752314815</v>
          </cell>
          <cell r="D859" t="str">
            <v>Small</v>
          </cell>
          <cell r="G859" t="b">
            <v>0</v>
          </cell>
          <cell r="J859">
            <v>42379.462835648148</v>
          </cell>
          <cell r="L859">
            <v>2.9999999993015081</v>
          </cell>
          <cell r="S859" t="str">
            <v>TRUE</v>
          </cell>
        </row>
        <row r="860">
          <cell r="C860">
            <v>42379.438379629632</v>
          </cell>
          <cell r="D860" t="str">
            <v>Medium</v>
          </cell>
          <cell r="G860" t="b">
            <v>0</v>
          </cell>
          <cell r="J860">
            <v>42379.440462962964</v>
          </cell>
          <cell r="L860">
            <v>2.9999999993015081</v>
          </cell>
          <cell r="S860" t="str">
            <v>TRUE</v>
          </cell>
        </row>
        <row r="861">
          <cell r="C861">
            <v>42379.570150462961</v>
          </cell>
          <cell r="D861" t="str">
            <v>Large</v>
          </cell>
          <cell r="G861" t="b">
            <v>0</v>
          </cell>
          <cell r="J861">
            <v>42379.572222222225</v>
          </cell>
          <cell r="L861">
            <v>2.9833333392161876</v>
          </cell>
          <cell r="S861" t="str">
            <v>TRUE</v>
          </cell>
        </row>
        <row r="862">
          <cell r="C862">
            <v>42379.447662037041</v>
          </cell>
          <cell r="D862" t="str">
            <v>Large</v>
          </cell>
          <cell r="G862" t="b">
            <v>1</v>
          </cell>
          <cell r="J862">
            <v>42379.454479166663</v>
          </cell>
          <cell r="L862">
            <v>9.8166666564065963</v>
          </cell>
          <cell r="S862" t="str">
            <v>TRUE</v>
          </cell>
        </row>
        <row r="863">
          <cell r="C863">
            <v>42379.491215277776</v>
          </cell>
          <cell r="D863" t="str">
            <v>Large</v>
          </cell>
          <cell r="G863" t="b">
            <v>0</v>
          </cell>
          <cell r="J863">
            <v>42379.493298611109</v>
          </cell>
          <cell r="L863">
            <v>2.9999999993015081</v>
          </cell>
          <cell r="S863" t="str">
            <v>TRUE</v>
          </cell>
        </row>
        <row r="864">
          <cell r="C864">
            <v>42379.489340277774</v>
          </cell>
          <cell r="D864" t="str">
            <v>Large</v>
          </cell>
          <cell r="G864" t="b">
            <v>1</v>
          </cell>
          <cell r="J864">
            <v>42379.495983796296</v>
          </cell>
          <cell r="L864">
            <v>9.5666666713077575</v>
          </cell>
          <cell r="S864" t="str">
            <v>TRUE</v>
          </cell>
        </row>
        <row r="865">
          <cell r="C865">
            <v>42379.50440972222</v>
          </cell>
          <cell r="D865" t="str">
            <v>Medium</v>
          </cell>
          <cell r="G865" t="b">
            <v>0</v>
          </cell>
          <cell r="J865">
            <v>42379.506493055553</v>
          </cell>
          <cell r="L865">
            <v>2.9999999993015081</v>
          </cell>
          <cell r="S865" t="str">
            <v>TRUE</v>
          </cell>
        </row>
        <row r="866">
          <cell r="C866">
            <v>42379.499131944445</v>
          </cell>
          <cell r="D866" t="str">
            <v>Large</v>
          </cell>
          <cell r="G866" t="b">
            <v>1</v>
          </cell>
          <cell r="J866">
            <v>42379.514236111114</v>
          </cell>
          <cell r="L866">
            <v>21.750000002793968</v>
          </cell>
          <cell r="S866" t="str">
            <v>FALSE</v>
          </cell>
        </row>
        <row r="867">
          <cell r="C867">
            <v>42379.495520833334</v>
          </cell>
          <cell r="D867" t="str">
            <v>Medium</v>
          </cell>
          <cell r="G867" t="b">
            <v>1</v>
          </cell>
          <cell r="J867">
            <v>42379.503761574073</v>
          </cell>
          <cell r="L867">
            <v>11.866666664136574</v>
          </cell>
          <cell r="S867" t="str">
            <v>TRUE</v>
          </cell>
        </row>
        <row r="868">
          <cell r="C868">
            <v>42379.450173611112</v>
          </cell>
          <cell r="D868" t="str">
            <v>Small</v>
          </cell>
          <cell r="G868" t="b">
            <v>1</v>
          </cell>
          <cell r="J868">
            <v>42379.463587962964</v>
          </cell>
          <cell r="L868">
            <v>19.316666666418314</v>
          </cell>
          <cell r="S868" t="str">
            <v>FALSE</v>
          </cell>
        </row>
        <row r="869">
          <cell r="C869">
            <v>42379.537789351853</v>
          </cell>
          <cell r="D869" t="str">
            <v>Small</v>
          </cell>
          <cell r="G869" t="b">
            <v>0</v>
          </cell>
          <cell r="J869">
            <v>42379.539837962962</v>
          </cell>
          <cell r="L869">
            <v>2.9499999980907887</v>
          </cell>
          <cell r="S869" t="str">
            <v>TRUE</v>
          </cell>
        </row>
        <row r="870">
          <cell r="C870">
            <v>42379.446331018517</v>
          </cell>
          <cell r="D870" t="str">
            <v>Medium</v>
          </cell>
          <cell r="G870" t="b">
            <v>0</v>
          </cell>
          <cell r="J870">
            <v>42379.44840277778</v>
          </cell>
          <cell r="L870">
            <v>2.9833333392161876</v>
          </cell>
          <cell r="S870" t="str">
            <v>TRUE</v>
          </cell>
        </row>
        <row r="871">
          <cell r="C871">
            <v>42379.551828703705</v>
          </cell>
          <cell r="D871" t="str">
            <v>Small</v>
          </cell>
          <cell r="G871" t="b">
            <v>1</v>
          </cell>
          <cell r="J871">
            <v>42379.565162037034</v>
          </cell>
          <cell r="L871">
            <v>19.199999993434176</v>
          </cell>
          <cell r="S871" t="str">
            <v>FALSE</v>
          </cell>
        </row>
        <row r="872">
          <cell r="C872">
            <v>42379.491342592592</v>
          </cell>
          <cell r="D872" t="str">
            <v>Medium</v>
          </cell>
          <cell r="G872" t="b">
            <v>0</v>
          </cell>
          <cell r="J872">
            <v>42379.493414351855</v>
          </cell>
          <cell r="L872">
            <v>2.9833333392161876</v>
          </cell>
          <cell r="S872" t="str">
            <v>TRUE</v>
          </cell>
        </row>
        <row r="873">
          <cell r="C873">
            <v>42379.490891203706</v>
          </cell>
          <cell r="D873" t="str">
            <v>Small</v>
          </cell>
          <cell r="G873" t="b">
            <v>1</v>
          </cell>
          <cell r="J873">
            <v>42379.498020833336</v>
          </cell>
          <cell r="L873">
            <v>10.26666666730307</v>
          </cell>
          <cell r="S873" t="str">
            <v>TRUE</v>
          </cell>
        </row>
        <row r="874">
          <cell r="C874">
            <v>42379.480243055557</v>
          </cell>
          <cell r="D874" t="str">
            <v>Small</v>
          </cell>
          <cell r="E874" t="str">
            <v>Medium</v>
          </cell>
          <cell r="G874" t="b">
            <v>1</v>
          </cell>
          <cell r="J874">
            <v>42379.494768518518</v>
          </cell>
          <cell r="L874">
            <v>20.916666663251817</v>
          </cell>
          <cell r="S874" t="str">
            <v>FALSE</v>
          </cell>
        </row>
        <row r="875">
          <cell r="C875">
            <v>42379.583414351851</v>
          </cell>
          <cell r="D875" t="str">
            <v>Medium</v>
          </cell>
          <cell r="G875" t="b">
            <v>0</v>
          </cell>
          <cell r="J875">
            <v>42379.585497685184</v>
          </cell>
          <cell r="L875">
            <v>2.9999999993015081</v>
          </cell>
          <cell r="S875" t="str">
            <v>TRUE</v>
          </cell>
        </row>
        <row r="876">
          <cell r="C876">
            <v>42379.491215277776</v>
          </cell>
          <cell r="D876" t="str">
            <v>Small</v>
          </cell>
          <cell r="E876" t="str">
            <v>Large</v>
          </cell>
          <cell r="G876" t="b">
            <v>1</v>
          </cell>
          <cell r="J876">
            <v>42379.508391203701</v>
          </cell>
          <cell r="L876">
            <v>24.733333331532776</v>
          </cell>
          <cell r="S876" t="str">
            <v>FALSE</v>
          </cell>
        </row>
        <row r="877">
          <cell r="C877">
            <v>42379.502708333333</v>
          </cell>
          <cell r="D877" t="str">
            <v>Large</v>
          </cell>
          <cell r="G877" t="b">
            <v>0</v>
          </cell>
          <cell r="J877">
            <v>42379.504803240743</v>
          </cell>
          <cell r="L877">
            <v>3.0166666698642075</v>
          </cell>
          <cell r="S877" t="str">
            <v>TRUE</v>
          </cell>
        </row>
        <row r="878">
          <cell r="C878">
            <v>42379.53197916667</v>
          </cell>
          <cell r="D878" t="str">
            <v>Small</v>
          </cell>
          <cell r="E878" t="str">
            <v>Medium</v>
          </cell>
          <cell r="G878" t="b">
            <v>1</v>
          </cell>
          <cell r="J878">
            <v>42379.544629629629</v>
          </cell>
          <cell r="L878">
            <v>18.216666660737246</v>
          </cell>
          <cell r="S878" t="str">
            <v>FALSE</v>
          </cell>
        </row>
        <row r="879">
          <cell r="C879">
            <v>42379.570370370369</v>
          </cell>
          <cell r="D879" t="str">
            <v>Medium</v>
          </cell>
          <cell r="G879" t="b">
            <v>0</v>
          </cell>
          <cell r="J879">
            <v>42379.572465277779</v>
          </cell>
          <cell r="L879">
            <v>3.0166666698642075</v>
          </cell>
          <cell r="S879" t="str">
            <v>TRUE</v>
          </cell>
        </row>
        <row r="880">
          <cell r="C880">
            <v>42379.495879629627</v>
          </cell>
          <cell r="D880" t="str">
            <v>Small</v>
          </cell>
          <cell r="G880" t="b">
            <v>0</v>
          </cell>
          <cell r="J880">
            <v>42379.49795138889</v>
          </cell>
          <cell r="L880">
            <v>2.9833333392161876</v>
          </cell>
          <cell r="S880" t="str">
            <v>TRUE</v>
          </cell>
        </row>
        <row r="881">
          <cell r="C881">
            <v>42379.480856481481</v>
          </cell>
          <cell r="D881" t="str">
            <v>Small</v>
          </cell>
          <cell r="E881" t="str">
            <v>Large</v>
          </cell>
          <cell r="G881" t="b">
            <v>1</v>
          </cell>
          <cell r="J881">
            <v>42379.488530092596</v>
          </cell>
          <cell r="L881">
            <v>11.050000005634502</v>
          </cell>
          <cell r="S881" t="str">
            <v>TRUE</v>
          </cell>
        </row>
        <row r="882">
          <cell r="C882">
            <v>42379.618055555555</v>
          </cell>
          <cell r="D882" t="str">
            <v>Large</v>
          </cell>
          <cell r="G882" t="b">
            <v>0</v>
          </cell>
          <cell r="J882">
            <v>42379.620127314818</v>
          </cell>
          <cell r="L882">
            <v>2.9833333392161876</v>
          </cell>
          <cell r="S882" t="str">
            <v>TRUE</v>
          </cell>
        </row>
        <row r="883">
          <cell r="C883">
            <v>42379.453090277777</v>
          </cell>
          <cell r="D883" t="str">
            <v>Small</v>
          </cell>
          <cell r="E883" t="str">
            <v>Medium</v>
          </cell>
          <cell r="G883" t="b">
            <v>1</v>
          </cell>
          <cell r="J883">
            <v>42379.460532407407</v>
          </cell>
          <cell r="L883">
            <v>10.716666667722166</v>
          </cell>
          <cell r="S883" t="str">
            <v>TRUE</v>
          </cell>
        </row>
        <row r="884">
          <cell r="C884">
            <v>42379.493796296294</v>
          </cell>
          <cell r="D884" t="str">
            <v>Small</v>
          </cell>
          <cell r="E884" t="str">
            <v>Large</v>
          </cell>
          <cell r="G884" t="b">
            <v>1</v>
          </cell>
          <cell r="J884">
            <v>42379.500694444447</v>
          </cell>
          <cell r="L884">
            <v>9.9333333398681134</v>
          </cell>
          <cell r="S884" t="str">
            <v>TRUE</v>
          </cell>
        </row>
        <row r="885">
          <cell r="C885">
            <v>42379.48033564815</v>
          </cell>
          <cell r="D885" t="str">
            <v>Medium</v>
          </cell>
          <cell r="G885" t="b">
            <v>1</v>
          </cell>
          <cell r="J885">
            <v>42379.498333333337</v>
          </cell>
          <cell r="L885">
            <v>25.916666669072583</v>
          </cell>
          <cell r="S885" t="str">
            <v>FALSE</v>
          </cell>
        </row>
        <row r="886">
          <cell r="C886">
            <v>42379.460023148145</v>
          </cell>
          <cell r="D886" t="str">
            <v>Large</v>
          </cell>
          <cell r="G886" t="b">
            <v>0</v>
          </cell>
          <cell r="J886">
            <v>42379.462094907409</v>
          </cell>
          <cell r="L886">
            <v>2.9833333392161876</v>
          </cell>
          <cell r="S886" t="str">
            <v>TRUE</v>
          </cell>
        </row>
        <row r="887">
          <cell r="C887">
            <v>42379.58697916667</v>
          </cell>
          <cell r="D887" t="str">
            <v>Small</v>
          </cell>
          <cell r="G887" t="b">
            <v>1</v>
          </cell>
          <cell r="J887">
            <v>42379.593240740738</v>
          </cell>
          <cell r="L887">
            <v>9.0166666579898447</v>
          </cell>
          <cell r="S887" t="str">
            <v>TRUE</v>
          </cell>
        </row>
        <row r="888">
          <cell r="C888">
            <v>42379.446076388886</v>
          </cell>
          <cell r="D888" t="str">
            <v>Large</v>
          </cell>
          <cell r="G888" t="b">
            <v>1</v>
          </cell>
          <cell r="J888">
            <v>42379.45579861111</v>
          </cell>
          <cell r="L888">
            <v>14.00000000372529</v>
          </cell>
          <cell r="S888" t="str">
            <v>TRUE</v>
          </cell>
        </row>
        <row r="889">
          <cell r="C889">
            <v>42379.505902777775</v>
          </cell>
          <cell r="D889" t="str">
            <v>Medium</v>
          </cell>
          <cell r="G889" t="b">
            <v>0</v>
          </cell>
          <cell r="J889">
            <v>42379.507986111108</v>
          </cell>
          <cell r="L889">
            <v>2.9999999993015081</v>
          </cell>
          <cell r="S889" t="str">
            <v>TRUE</v>
          </cell>
        </row>
        <row r="890">
          <cell r="C890">
            <v>42379.518333333333</v>
          </cell>
          <cell r="D890" t="str">
            <v>Small</v>
          </cell>
          <cell r="G890" t="b">
            <v>1</v>
          </cell>
          <cell r="J890">
            <v>42379.525706018518</v>
          </cell>
          <cell r="L890">
            <v>10.616666665300727</v>
          </cell>
          <cell r="S890" t="str">
            <v>TRUE</v>
          </cell>
        </row>
        <row r="891">
          <cell r="C891">
            <v>42379.489027777781</v>
          </cell>
          <cell r="D891" t="str">
            <v>Small</v>
          </cell>
          <cell r="E891" t="str">
            <v>Large</v>
          </cell>
          <cell r="G891" t="b">
            <v>1</v>
          </cell>
          <cell r="J891">
            <v>42379.498900462961</v>
          </cell>
          <cell r="L891">
            <v>14.216666658176109</v>
          </cell>
          <cell r="S891" t="str">
            <v>TRUE</v>
          </cell>
        </row>
        <row r="892">
          <cell r="C892">
            <v>42379.548090277778</v>
          </cell>
          <cell r="D892" t="str">
            <v>Medium</v>
          </cell>
          <cell r="G892" t="b">
            <v>0</v>
          </cell>
          <cell r="J892">
            <v>42379.550173611111</v>
          </cell>
          <cell r="L892">
            <v>2.9999999993015081</v>
          </cell>
          <cell r="S892" t="str">
            <v>TRUE</v>
          </cell>
        </row>
        <row r="893">
          <cell r="C893">
            <v>42379.634363425925</v>
          </cell>
          <cell r="D893" t="str">
            <v>Small</v>
          </cell>
          <cell r="E893" t="str">
            <v>Large</v>
          </cell>
          <cell r="G893" t="b">
            <v>0</v>
          </cell>
          <cell r="J893">
            <v>42379.636446759258</v>
          </cell>
          <cell r="L893">
            <v>2.9999999993015081</v>
          </cell>
          <cell r="S893" t="str">
            <v>TRUE</v>
          </cell>
        </row>
        <row r="894">
          <cell r="C894">
            <v>42379.550428240742</v>
          </cell>
          <cell r="D894" t="str">
            <v>Large</v>
          </cell>
          <cell r="G894" t="b">
            <v>1</v>
          </cell>
          <cell r="J894">
            <v>42379.567743055559</v>
          </cell>
          <cell r="L894">
            <v>24.933333336375654</v>
          </cell>
          <cell r="S894" t="str">
            <v>FALSE</v>
          </cell>
        </row>
        <row r="895">
          <cell r="C895">
            <v>42379.493009259262</v>
          </cell>
          <cell r="D895" t="str">
            <v>Medium</v>
          </cell>
          <cell r="G895" t="b">
            <v>1</v>
          </cell>
          <cell r="J895">
            <v>42379.501446759263</v>
          </cell>
          <cell r="L895">
            <v>12.15000000083819</v>
          </cell>
          <cell r="S895" t="str">
            <v>TRUE</v>
          </cell>
        </row>
        <row r="896">
          <cell r="C896">
            <v>42379.543657407405</v>
          </cell>
          <cell r="D896" t="str">
            <v>Small</v>
          </cell>
          <cell r="G896" t="b">
            <v>1</v>
          </cell>
          <cell r="J896">
            <v>42379.552002314813</v>
          </cell>
          <cell r="L896">
            <v>12.016666667768732</v>
          </cell>
          <cell r="S896" t="str">
            <v>TRUE</v>
          </cell>
        </row>
        <row r="897">
          <cell r="C897">
            <v>42379.501469907409</v>
          </cell>
          <cell r="D897" t="str">
            <v>Medium</v>
          </cell>
          <cell r="G897" t="b">
            <v>0</v>
          </cell>
          <cell r="J897">
            <v>42379.503541666665</v>
          </cell>
          <cell r="L897">
            <v>2.9833333287388086</v>
          </cell>
          <cell r="S897" t="str">
            <v>TRUE</v>
          </cell>
        </row>
        <row r="898">
          <cell r="C898">
            <v>42379.510995370372</v>
          </cell>
          <cell r="D898" t="str">
            <v>Small</v>
          </cell>
          <cell r="E898" t="str">
            <v>Medium</v>
          </cell>
          <cell r="G898" t="b">
            <v>0</v>
          </cell>
          <cell r="J898">
            <v>42379.513078703705</v>
          </cell>
          <cell r="L898">
            <v>2.9999999993015081</v>
          </cell>
          <cell r="S898" t="str">
            <v>TRUE</v>
          </cell>
        </row>
        <row r="899">
          <cell r="C899">
            <v>42379.439328703702</v>
          </cell>
          <cell r="D899" t="str">
            <v>Small</v>
          </cell>
          <cell r="G899" t="b">
            <v>1</v>
          </cell>
          <cell r="J899">
            <v>42379.450208333335</v>
          </cell>
          <cell r="L899">
            <v>15.666666672332212</v>
          </cell>
          <cell r="S899" t="str">
            <v>TRUE</v>
          </cell>
        </row>
        <row r="900">
          <cell r="C900">
            <v>42379.443159722221</v>
          </cell>
          <cell r="D900" t="str">
            <v>Large</v>
          </cell>
          <cell r="G900" t="b">
            <v>0</v>
          </cell>
          <cell r="J900">
            <v>42379.445243055554</v>
          </cell>
          <cell r="L900">
            <v>2.9999999993015081</v>
          </cell>
          <cell r="S900" t="str">
            <v>TRUE</v>
          </cell>
        </row>
        <row r="901">
          <cell r="C901">
            <v>42379.539884259262</v>
          </cell>
          <cell r="D901" t="str">
            <v>Medium</v>
          </cell>
          <cell r="G901" t="b">
            <v>1</v>
          </cell>
          <cell r="J901">
            <v>42379.548425925925</v>
          </cell>
          <cell r="L901">
            <v>12.299999993992969</v>
          </cell>
          <cell r="S901" t="str">
            <v>TRUE</v>
          </cell>
        </row>
        <row r="902">
          <cell r="C902">
            <v>42379.582986111112</v>
          </cell>
          <cell r="D902" t="str">
            <v>Small</v>
          </cell>
          <cell r="G902" t="b">
            <v>0</v>
          </cell>
          <cell r="J902">
            <v>42379.585069444445</v>
          </cell>
          <cell r="L902">
            <v>2.9999999993015081</v>
          </cell>
          <cell r="S902" t="str">
            <v>TRUE</v>
          </cell>
        </row>
        <row r="903">
          <cell r="C903">
            <v>42379.540185185186</v>
          </cell>
          <cell r="D903" t="str">
            <v>Small</v>
          </cell>
          <cell r="G903" t="b">
            <v>1</v>
          </cell>
          <cell r="J903">
            <v>42379.553506944445</v>
          </cell>
          <cell r="L903">
            <v>19.183333333348855</v>
          </cell>
          <cell r="S903" t="str">
            <v>FALSE</v>
          </cell>
        </row>
        <row r="904">
          <cell r="C904">
            <v>42379.550185185188</v>
          </cell>
          <cell r="D904" t="str">
            <v>Small</v>
          </cell>
          <cell r="G904" t="b">
            <v>1</v>
          </cell>
          <cell r="J904">
            <v>42379.560717592591</v>
          </cell>
          <cell r="L904">
            <v>15.166666660225019</v>
          </cell>
          <cell r="S904" t="str">
            <v>TRUE</v>
          </cell>
        </row>
        <row r="905">
          <cell r="C905">
            <v>42379.546979166669</v>
          </cell>
          <cell r="D905" t="str">
            <v>Large</v>
          </cell>
          <cell r="G905" t="b">
            <v>1</v>
          </cell>
          <cell r="J905">
            <v>42379.556307870371</v>
          </cell>
          <cell r="L905">
            <v>13.433333330322057</v>
          </cell>
          <cell r="S905" t="str">
            <v>TRUE</v>
          </cell>
        </row>
        <row r="906">
          <cell r="C906">
            <v>42379.52244212963</v>
          </cell>
          <cell r="D906" t="str">
            <v>Medium</v>
          </cell>
          <cell r="G906" t="b">
            <v>0</v>
          </cell>
          <cell r="J906">
            <v>42379.524513888886</v>
          </cell>
          <cell r="L906">
            <v>2.9833333287388086</v>
          </cell>
          <cell r="S906" t="str">
            <v>TRUE</v>
          </cell>
        </row>
        <row r="907">
          <cell r="C907">
            <v>42379.508067129631</v>
          </cell>
          <cell r="D907" t="str">
            <v>Large</v>
          </cell>
          <cell r="G907" t="b">
            <v>0</v>
          </cell>
          <cell r="J907">
            <v>42379.510127314818</v>
          </cell>
          <cell r="L907">
            <v>2.9666666686534882</v>
          </cell>
          <cell r="S907" t="str">
            <v>TRUE</v>
          </cell>
        </row>
        <row r="908">
          <cell r="C908">
            <v>42379.509097222224</v>
          </cell>
          <cell r="D908" t="str">
            <v>Small</v>
          </cell>
          <cell r="G908" t="b">
            <v>0</v>
          </cell>
          <cell r="J908">
            <v>42379.51116898148</v>
          </cell>
          <cell r="L908">
            <v>2.9833333287388086</v>
          </cell>
          <cell r="S908" t="str">
            <v>TRUE</v>
          </cell>
        </row>
        <row r="909">
          <cell r="C909">
            <v>42379.486643518518</v>
          </cell>
          <cell r="D909" t="str">
            <v>Large</v>
          </cell>
          <cell r="G909" t="b">
            <v>1</v>
          </cell>
          <cell r="J909">
            <v>42379.497233796297</v>
          </cell>
          <cell r="L909">
            <v>15.250000002561137</v>
          </cell>
          <cell r="S909" t="str">
            <v>TRUE</v>
          </cell>
        </row>
        <row r="910">
          <cell r="C910">
            <v>42379.558645833335</v>
          </cell>
          <cell r="D910" t="str">
            <v>Small</v>
          </cell>
          <cell r="E910" t="str">
            <v>Large</v>
          </cell>
          <cell r="G910" t="b">
            <v>0</v>
          </cell>
          <cell r="J910">
            <v>42379.560740740744</v>
          </cell>
          <cell r="L910">
            <v>3.0166666698642075</v>
          </cell>
          <cell r="S910" t="str">
            <v>TRUE</v>
          </cell>
        </row>
        <row r="911">
          <cell r="C911">
            <v>42379.451805555553</v>
          </cell>
          <cell r="D911" t="str">
            <v>Medium</v>
          </cell>
          <cell r="G911" t="b">
            <v>1</v>
          </cell>
          <cell r="J911">
            <v>42379.461782407408</v>
          </cell>
          <cell r="L911">
            <v>14.366666672285646</v>
          </cell>
          <cell r="S911" t="str">
            <v>TRUE</v>
          </cell>
        </row>
        <row r="912">
          <cell r="C912">
            <v>42379.434930555559</v>
          </cell>
          <cell r="D912" t="str">
            <v>Small</v>
          </cell>
          <cell r="E912" t="str">
            <v>Medium</v>
          </cell>
          <cell r="G912" t="b">
            <v>0</v>
          </cell>
          <cell r="J912">
            <v>42379.437002314815</v>
          </cell>
          <cell r="L912">
            <v>2.9833333287388086</v>
          </cell>
          <cell r="S912" t="str">
            <v>TRUE</v>
          </cell>
        </row>
        <row r="913">
          <cell r="C913">
            <v>42379.517800925925</v>
          </cell>
          <cell r="D913" t="str">
            <v>Small</v>
          </cell>
          <cell r="E913" t="str">
            <v>Medium</v>
          </cell>
          <cell r="G913" t="b">
            <v>0</v>
          </cell>
          <cell r="J913">
            <v>42379.519872685189</v>
          </cell>
          <cell r="L913">
            <v>2.9833333392161876</v>
          </cell>
          <cell r="S913" t="str">
            <v>TRUE</v>
          </cell>
        </row>
        <row r="914">
          <cell r="C914">
            <v>42379.491875</v>
          </cell>
          <cell r="D914" t="str">
            <v>Large</v>
          </cell>
          <cell r="G914" t="b">
            <v>0</v>
          </cell>
          <cell r="J914">
            <v>42379.493958333333</v>
          </cell>
          <cell r="L914">
            <v>2.9999999993015081</v>
          </cell>
          <cell r="S914" t="str">
            <v>TRUE</v>
          </cell>
        </row>
        <row r="915">
          <cell r="C915">
            <v>42379.521365740744</v>
          </cell>
          <cell r="D915" t="str">
            <v>Small</v>
          </cell>
          <cell r="G915" t="b">
            <v>0</v>
          </cell>
          <cell r="J915">
            <v>42379.523449074077</v>
          </cell>
          <cell r="L915">
            <v>2.9999999993015081</v>
          </cell>
          <cell r="S915" t="str">
            <v>TRUE</v>
          </cell>
        </row>
        <row r="916">
          <cell r="C916">
            <v>42379.444675925923</v>
          </cell>
          <cell r="D916" t="str">
            <v>Small</v>
          </cell>
          <cell r="E916" t="str">
            <v>Large</v>
          </cell>
          <cell r="G916" t="b">
            <v>0</v>
          </cell>
          <cell r="J916">
            <v>42379.446770833332</v>
          </cell>
          <cell r="L916">
            <v>3.0166666698642075</v>
          </cell>
          <cell r="S916" t="str">
            <v>TRUE</v>
          </cell>
        </row>
        <row r="917">
          <cell r="C917">
            <v>42379.519953703704</v>
          </cell>
          <cell r="D917" t="str">
            <v>Medium</v>
          </cell>
          <cell r="G917" t="b">
            <v>1</v>
          </cell>
          <cell r="J917">
            <v>42379.528055555558</v>
          </cell>
          <cell r="L917">
            <v>11.666666669771075</v>
          </cell>
          <cell r="S917" t="str">
            <v>TRUE</v>
          </cell>
        </row>
        <row r="918">
          <cell r="C918">
            <v>42379.53638888889</v>
          </cell>
          <cell r="D918" t="str">
            <v>Large</v>
          </cell>
          <cell r="G918" t="b">
            <v>1</v>
          </cell>
          <cell r="J918">
            <v>42379.55195601852</v>
          </cell>
          <cell r="L918">
            <v>22.416666668141261</v>
          </cell>
          <cell r="S918" t="str">
            <v>FALSE</v>
          </cell>
        </row>
        <row r="919">
          <cell r="C919">
            <v>42379.514988425923</v>
          </cell>
          <cell r="D919" t="str">
            <v>Small</v>
          </cell>
          <cell r="E919" t="str">
            <v>Large</v>
          </cell>
          <cell r="G919" t="b">
            <v>1</v>
          </cell>
          <cell r="J919">
            <v>42379.527303240742</v>
          </cell>
          <cell r="L919">
            <v>17.73333334014751</v>
          </cell>
          <cell r="S919" t="str">
            <v>FALSE</v>
          </cell>
        </row>
        <row r="920">
          <cell r="C920">
            <v>42379.485439814816</v>
          </cell>
          <cell r="D920" t="str">
            <v>Small</v>
          </cell>
          <cell r="E920" t="str">
            <v>Medium</v>
          </cell>
          <cell r="G920" t="b">
            <v>1</v>
          </cell>
          <cell r="J920">
            <v>42379.50341435185</v>
          </cell>
          <cell r="L920">
            <v>25.883333327947184</v>
          </cell>
          <cell r="S920" t="str">
            <v>FALSE</v>
          </cell>
        </row>
        <row r="921">
          <cell r="C921">
            <v>42379.490439814814</v>
          </cell>
          <cell r="D921" t="str">
            <v>Small</v>
          </cell>
          <cell r="G921" t="b">
            <v>0</v>
          </cell>
          <cell r="J921">
            <v>42379.492523148147</v>
          </cell>
          <cell r="L921">
            <v>2.9999999993015081</v>
          </cell>
          <cell r="S921" t="str">
            <v>TRUE</v>
          </cell>
        </row>
        <row r="922">
          <cell r="C922">
            <v>42379.628391203703</v>
          </cell>
          <cell r="D922" t="str">
            <v>Medium</v>
          </cell>
          <cell r="G922" t="b">
            <v>1</v>
          </cell>
          <cell r="J922">
            <v>42379.638749999998</v>
          </cell>
          <cell r="L922">
            <v>14.916666664648801</v>
          </cell>
          <cell r="S922" t="str">
            <v>TRUE</v>
          </cell>
        </row>
        <row r="923">
          <cell r="C923">
            <v>42379.492893518516</v>
          </cell>
          <cell r="D923" t="str">
            <v>Small</v>
          </cell>
          <cell r="E923" t="str">
            <v>Medium</v>
          </cell>
          <cell r="G923" t="b">
            <v>1</v>
          </cell>
          <cell r="J923">
            <v>42379.504895833335</v>
          </cell>
          <cell r="L923">
            <v>17.283333339728415</v>
          </cell>
          <cell r="S923" t="str">
            <v>FALSE</v>
          </cell>
        </row>
        <row r="924">
          <cell r="C924">
            <v>42379.520543981482</v>
          </cell>
          <cell r="D924" t="str">
            <v>Medium</v>
          </cell>
          <cell r="G924" t="b">
            <v>1</v>
          </cell>
          <cell r="J924">
            <v>42379.529918981483</v>
          </cell>
          <cell r="L924">
            <v>13.500000002095476</v>
          </cell>
          <cell r="S924" t="str">
            <v>TRUE</v>
          </cell>
        </row>
        <row r="925">
          <cell r="C925">
            <v>42379.531134259261</v>
          </cell>
          <cell r="D925" t="str">
            <v>Medium</v>
          </cell>
          <cell r="G925" t="b">
            <v>0</v>
          </cell>
          <cell r="J925">
            <v>42379.533217592594</v>
          </cell>
          <cell r="L925">
            <v>2.9999999993015081</v>
          </cell>
          <cell r="S925" t="str">
            <v>TRUE</v>
          </cell>
        </row>
        <row r="926">
          <cell r="C926">
            <v>42379.483460648145</v>
          </cell>
          <cell r="D926" t="str">
            <v>Medium</v>
          </cell>
          <cell r="G926" t="b">
            <v>0</v>
          </cell>
          <cell r="J926">
            <v>42379.485555555555</v>
          </cell>
          <cell r="L926">
            <v>3.0166666698642075</v>
          </cell>
          <cell r="S926" t="str">
            <v>TRUE</v>
          </cell>
        </row>
        <row r="927">
          <cell r="C927">
            <v>42379.495532407411</v>
          </cell>
          <cell r="D927" t="str">
            <v>Medium</v>
          </cell>
          <cell r="G927" t="b">
            <v>1</v>
          </cell>
          <cell r="J927">
            <v>42379.509340277778</v>
          </cell>
          <cell r="L927">
            <v>19.883333329344168</v>
          </cell>
          <cell r="S927" t="str">
            <v>FALSE</v>
          </cell>
        </row>
        <row r="928">
          <cell r="C928">
            <v>42379.50068287037</v>
          </cell>
          <cell r="D928" t="str">
            <v>Small</v>
          </cell>
          <cell r="E928" t="str">
            <v>Medium</v>
          </cell>
          <cell r="G928" t="b">
            <v>1</v>
          </cell>
          <cell r="J928">
            <v>42379.507094907407</v>
          </cell>
          <cell r="L928">
            <v>9.2333333333954215</v>
          </cell>
          <cell r="S928" t="str">
            <v>TRUE</v>
          </cell>
        </row>
        <row r="929">
          <cell r="C929">
            <v>42379.485821759263</v>
          </cell>
          <cell r="D929" t="str">
            <v>Medium</v>
          </cell>
          <cell r="G929" t="b">
            <v>1</v>
          </cell>
          <cell r="J929">
            <v>42379.502314814818</v>
          </cell>
          <cell r="L929">
            <v>23.749999998835847</v>
          </cell>
          <cell r="S929" t="str">
            <v>FALSE</v>
          </cell>
        </row>
        <row r="930">
          <cell r="C930">
            <v>42379.58258101852</v>
          </cell>
          <cell r="D930" t="str">
            <v>Large</v>
          </cell>
          <cell r="G930" t="b">
            <v>1</v>
          </cell>
          <cell r="J930">
            <v>42379.593344907407</v>
          </cell>
          <cell r="L930">
            <v>15.499999998137355</v>
          </cell>
          <cell r="S930" t="str">
            <v>TRUE</v>
          </cell>
        </row>
        <row r="931">
          <cell r="C931">
            <v>42379.545949074076</v>
          </cell>
          <cell r="D931" t="str">
            <v>Medium</v>
          </cell>
          <cell r="G931" t="b">
            <v>0</v>
          </cell>
          <cell r="J931">
            <v>42379.548032407409</v>
          </cell>
          <cell r="L931">
            <v>2.9999999993015081</v>
          </cell>
          <cell r="S931" t="str">
            <v>TRUE</v>
          </cell>
        </row>
        <row r="932">
          <cell r="C932">
            <v>42379.537824074076</v>
          </cell>
          <cell r="D932" t="str">
            <v>Medium</v>
          </cell>
          <cell r="G932" t="b">
            <v>1</v>
          </cell>
          <cell r="J932">
            <v>42379.555798611109</v>
          </cell>
          <cell r="L932">
            <v>25.883333327947184</v>
          </cell>
          <cell r="S932" t="str">
            <v>FALSE</v>
          </cell>
        </row>
        <row r="933">
          <cell r="C933">
            <v>42379.543171296296</v>
          </cell>
          <cell r="D933" t="str">
            <v>Small</v>
          </cell>
          <cell r="G933" t="b">
            <v>1</v>
          </cell>
          <cell r="J933">
            <v>42379.556273148148</v>
          </cell>
          <cell r="L933">
            <v>18.866666665999219</v>
          </cell>
          <cell r="S933" t="str">
            <v>FALSE</v>
          </cell>
        </row>
        <row r="934">
          <cell r="C934">
            <v>42379.500231481485</v>
          </cell>
          <cell r="D934" t="str">
            <v>Small</v>
          </cell>
          <cell r="G934" t="b">
            <v>0</v>
          </cell>
          <cell r="J934">
            <v>42379.502314814818</v>
          </cell>
          <cell r="L934">
            <v>2.9999999993015081</v>
          </cell>
          <cell r="S934" t="str">
            <v>TRUE</v>
          </cell>
        </row>
        <row r="935">
          <cell r="C935">
            <v>42379.560312499998</v>
          </cell>
          <cell r="D935" t="str">
            <v>Large</v>
          </cell>
          <cell r="G935" t="b">
            <v>0</v>
          </cell>
          <cell r="J935">
            <v>42379.562407407408</v>
          </cell>
          <cell r="L935">
            <v>3.0166666698642075</v>
          </cell>
          <cell r="S935" t="str">
            <v>TRUE</v>
          </cell>
        </row>
        <row r="936">
          <cell r="C936">
            <v>42379.593298611115</v>
          </cell>
          <cell r="D936" t="str">
            <v>Large</v>
          </cell>
          <cell r="G936" t="b">
            <v>0</v>
          </cell>
          <cell r="J936">
            <v>42379.595370370371</v>
          </cell>
          <cell r="L936">
            <v>2.9833333287388086</v>
          </cell>
          <cell r="S936" t="str">
            <v>TRUE</v>
          </cell>
        </row>
        <row r="937">
          <cell r="C937">
            <v>42379.480127314811</v>
          </cell>
          <cell r="D937" t="str">
            <v>Small</v>
          </cell>
          <cell r="E937" t="str">
            <v>Medium</v>
          </cell>
          <cell r="G937" t="b">
            <v>1</v>
          </cell>
          <cell r="J937">
            <v>42379.483483796299</v>
          </cell>
          <cell r="L937">
            <v>4.8333333421032876</v>
          </cell>
          <cell r="S937" t="str">
            <v>TRUE</v>
          </cell>
        </row>
        <row r="938">
          <cell r="C938">
            <v>42379.55431712963</v>
          </cell>
          <cell r="D938" t="str">
            <v>Small</v>
          </cell>
          <cell r="E938" t="str">
            <v>Medium</v>
          </cell>
          <cell r="G938" t="b">
            <v>0</v>
          </cell>
          <cell r="J938">
            <v>42379.55641203704</v>
          </cell>
          <cell r="L938">
            <v>3.0166666698642075</v>
          </cell>
          <cell r="S938" t="str">
            <v>TRUE</v>
          </cell>
        </row>
        <row r="939">
          <cell r="C939">
            <v>42379.533692129633</v>
          </cell>
          <cell r="D939" t="str">
            <v>Small</v>
          </cell>
          <cell r="E939" t="str">
            <v>Medium</v>
          </cell>
          <cell r="G939" t="b">
            <v>1</v>
          </cell>
          <cell r="J939">
            <v>42379.546793981484</v>
          </cell>
          <cell r="L939">
            <v>18.866666665999219</v>
          </cell>
          <cell r="S939" t="str">
            <v>FALSE</v>
          </cell>
        </row>
        <row r="940">
          <cell r="C940">
            <v>42379.483298611114</v>
          </cell>
          <cell r="D940" t="str">
            <v>Medium</v>
          </cell>
          <cell r="G940" t="b">
            <v>1</v>
          </cell>
          <cell r="J940">
            <v>42379.497442129628</v>
          </cell>
          <cell r="L940">
            <v>20.366666660411283</v>
          </cell>
          <cell r="S940" t="str">
            <v>FALSE</v>
          </cell>
        </row>
        <row r="941">
          <cell r="C941">
            <v>42379.627291666664</v>
          </cell>
          <cell r="D941" t="str">
            <v>Small</v>
          </cell>
          <cell r="G941" t="b">
            <v>0</v>
          </cell>
          <cell r="J941">
            <v>42379.629340277781</v>
          </cell>
          <cell r="L941">
            <v>2.9500000085681677</v>
          </cell>
          <cell r="S941" t="str">
            <v>TRUE</v>
          </cell>
        </row>
        <row r="942">
          <cell r="C942">
            <v>42379.474618055552</v>
          </cell>
          <cell r="D942" t="str">
            <v>Small</v>
          </cell>
          <cell r="E942" t="str">
            <v>Medium</v>
          </cell>
          <cell r="G942" t="b">
            <v>0</v>
          </cell>
          <cell r="J942">
            <v>42379.476689814815</v>
          </cell>
          <cell r="L942">
            <v>2.9833333392161876</v>
          </cell>
          <cell r="S942" t="str">
            <v>TRUE</v>
          </cell>
        </row>
        <row r="943">
          <cell r="C943">
            <v>42379.530092592591</v>
          </cell>
          <cell r="D943" t="str">
            <v>Small</v>
          </cell>
          <cell r="E943" t="str">
            <v>Medium</v>
          </cell>
          <cell r="G943" t="b">
            <v>1</v>
          </cell>
          <cell r="J943">
            <v>42379.53628472222</v>
          </cell>
          <cell r="L943">
            <v>8.916666666045785</v>
          </cell>
          <cell r="S943" t="str">
            <v>TRUE</v>
          </cell>
        </row>
        <row r="944">
          <cell r="C944">
            <v>42379.44667824074</v>
          </cell>
          <cell r="D944" t="str">
            <v>Small</v>
          </cell>
          <cell r="E944" t="str">
            <v>Medium</v>
          </cell>
          <cell r="G944" t="b">
            <v>1</v>
          </cell>
          <cell r="J944">
            <v>42379.463831018518</v>
          </cell>
          <cell r="L944">
            <v>24.700000000884756</v>
          </cell>
          <cell r="S944" t="str">
            <v>FALSE</v>
          </cell>
        </row>
        <row r="945">
          <cell r="C945">
            <v>42379.530428240738</v>
          </cell>
          <cell r="D945" t="str">
            <v>Small</v>
          </cell>
          <cell r="E945" t="str">
            <v>Large</v>
          </cell>
          <cell r="G945" t="b">
            <v>0</v>
          </cell>
          <cell r="J945">
            <v>42379.532511574071</v>
          </cell>
          <cell r="L945">
            <v>2.9999999993015081</v>
          </cell>
          <cell r="S945" t="str">
            <v>TRUE</v>
          </cell>
        </row>
        <row r="946">
          <cell r="C946">
            <v>42379.601956018516</v>
          </cell>
          <cell r="D946" t="str">
            <v>Small</v>
          </cell>
          <cell r="G946" t="b">
            <v>1</v>
          </cell>
          <cell r="J946">
            <v>42379.619143518517</v>
          </cell>
          <cell r="L946">
            <v>24.750000002095476</v>
          </cell>
          <cell r="S946" t="str">
            <v>FALSE</v>
          </cell>
        </row>
        <row r="947">
          <cell r="C947">
            <v>42379.526689814818</v>
          </cell>
          <cell r="D947" t="str">
            <v>Small</v>
          </cell>
          <cell r="E947" t="str">
            <v>Medium</v>
          </cell>
          <cell r="G947" t="b">
            <v>1</v>
          </cell>
          <cell r="J947">
            <v>42379.533217592594</v>
          </cell>
          <cell r="L947">
            <v>9.3999999971129</v>
          </cell>
          <cell r="S947" t="str">
            <v>TRUE</v>
          </cell>
        </row>
        <row r="948">
          <cell r="C948">
            <v>42379.539722222224</v>
          </cell>
          <cell r="D948" t="str">
            <v>Medium</v>
          </cell>
          <cell r="G948" t="b">
            <v>1</v>
          </cell>
          <cell r="J948">
            <v>42379.555451388886</v>
          </cell>
          <cell r="L948">
            <v>22.649999993154779</v>
          </cell>
          <cell r="S948" t="str">
            <v>FALSE</v>
          </cell>
        </row>
        <row r="949">
          <cell r="C949">
            <v>42379.50577546296</v>
          </cell>
          <cell r="D949" t="str">
            <v>Medium</v>
          </cell>
          <cell r="G949" t="b">
            <v>1</v>
          </cell>
          <cell r="J949">
            <v>42379.511678240742</v>
          </cell>
          <cell r="L949">
            <v>8.5000000067520887</v>
          </cell>
          <cell r="S949" t="str">
            <v>TRUE</v>
          </cell>
        </row>
        <row r="950">
          <cell r="C950">
            <v>42379.469560185185</v>
          </cell>
          <cell r="D950" t="str">
            <v>Large</v>
          </cell>
          <cell r="G950" t="b">
            <v>0</v>
          </cell>
          <cell r="J950">
            <v>42379.471631944441</v>
          </cell>
          <cell r="L950">
            <v>2.9833333287388086</v>
          </cell>
          <cell r="S950" t="str">
            <v>TRUE</v>
          </cell>
        </row>
        <row r="951">
          <cell r="C951">
            <v>42379.507245370369</v>
          </cell>
          <cell r="D951" t="str">
            <v>Medium</v>
          </cell>
          <cell r="G951" t="b">
            <v>1</v>
          </cell>
          <cell r="J951">
            <v>42379.516238425924</v>
          </cell>
          <cell r="L951">
            <v>12.949999999254942</v>
          </cell>
          <cell r="S951" t="str">
            <v>TRUE</v>
          </cell>
        </row>
        <row r="952">
          <cell r="C952">
            <v>42379.462604166663</v>
          </cell>
          <cell r="D952" t="str">
            <v>Large</v>
          </cell>
          <cell r="G952" t="b">
            <v>0</v>
          </cell>
          <cell r="J952">
            <v>42379.464675925927</v>
          </cell>
          <cell r="L952">
            <v>2.9833333392161876</v>
          </cell>
          <cell r="S952" t="str">
            <v>TRUE</v>
          </cell>
        </row>
        <row r="953">
          <cell r="C953">
            <v>42379.526875000003</v>
          </cell>
          <cell r="D953" t="str">
            <v>Small</v>
          </cell>
          <cell r="E953" t="str">
            <v>Medium</v>
          </cell>
          <cell r="G953" t="b">
            <v>0</v>
          </cell>
          <cell r="J953">
            <v>42379.528923611113</v>
          </cell>
          <cell r="L953">
            <v>2.9499999980907887</v>
          </cell>
          <cell r="S953" t="str">
            <v>TRUE</v>
          </cell>
        </row>
        <row r="954">
          <cell r="C954">
            <v>42379.469826388886</v>
          </cell>
          <cell r="D954" t="str">
            <v>Large</v>
          </cell>
          <cell r="G954" t="b">
            <v>1</v>
          </cell>
          <cell r="J954">
            <v>42379.485451388886</v>
          </cell>
          <cell r="L954">
            <v>22.5</v>
          </cell>
          <cell r="S954" t="str">
            <v>FALSE</v>
          </cell>
        </row>
        <row r="955">
          <cell r="C955">
            <v>42379.493321759262</v>
          </cell>
          <cell r="D955" t="str">
            <v>Large</v>
          </cell>
          <cell r="G955" t="b">
            <v>0</v>
          </cell>
          <cell r="J955">
            <v>42379.495416666665</v>
          </cell>
          <cell r="L955">
            <v>3.0166666593868285</v>
          </cell>
          <cell r="S955" t="str">
            <v>TRUE</v>
          </cell>
        </row>
        <row r="956">
          <cell r="C956">
            <v>42379.497337962966</v>
          </cell>
          <cell r="D956" t="str">
            <v>Medium</v>
          </cell>
          <cell r="G956" t="b">
            <v>1</v>
          </cell>
          <cell r="J956">
            <v>42379.511678240742</v>
          </cell>
          <cell r="L956">
            <v>20.6499999971129</v>
          </cell>
          <cell r="S956" t="str">
            <v>FALSE</v>
          </cell>
        </row>
        <row r="957">
          <cell r="C957">
            <v>42379.551111111112</v>
          </cell>
          <cell r="D957" t="str">
            <v>Medium</v>
          </cell>
          <cell r="G957" t="b">
            <v>0</v>
          </cell>
          <cell r="J957">
            <v>42379.553171296298</v>
          </cell>
          <cell r="L957">
            <v>2.9666666686534882</v>
          </cell>
          <cell r="S957" t="str">
            <v>TRUE</v>
          </cell>
        </row>
        <row r="958">
          <cell r="C958">
            <v>42379.442685185182</v>
          </cell>
          <cell r="D958" t="str">
            <v>Medium</v>
          </cell>
          <cell r="G958" t="b">
            <v>0</v>
          </cell>
          <cell r="J958">
            <v>42379.444745370369</v>
          </cell>
          <cell r="L958">
            <v>2.9666666686534882</v>
          </cell>
          <cell r="S958" t="str">
            <v>TRUE</v>
          </cell>
        </row>
        <row r="959">
          <cell r="C959">
            <v>42379.566250000003</v>
          </cell>
          <cell r="D959" t="str">
            <v>Large</v>
          </cell>
          <cell r="G959" t="b">
            <v>1</v>
          </cell>
          <cell r="J959">
            <v>42379.584710648145</v>
          </cell>
          <cell r="L959">
            <v>26.583333323942497</v>
          </cell>
          <cell r="S959" t="str">
            <v>FALSE</v>
          </cell>
        </row>
        <row r="960">
          <cell r="C960">
            <v>42379.551481481481</v>
          </cell>
          <cell r="D960" t="str">
            <v>Small</v>
          </cell>
          <cell r="E960" t="str">
            <v>Medium</v>
          </cell>
          <cell r="G960" t="b">
            <v>0</v>
          </cell>
          <cell r="J960">
            <v>42379.553553240738</v>
          </cell>
          <cell r="L960">
            <v>2.9833333287388086</v>
          </cell>
          <cell r="S960" t="str">
            <v>TRUE</v>
          </cell>
        </row>
        <row r="961">
          <cell r="C961">
            <v>42379.536273148151</v>
          </cell>
          <cell r="D961" t="str">
            <v>Medium</v>
          </cell>
          <cell r="G961" t="b">
            <v>1</v>
          </cell>
          <cell r="J961">
            <v>42379.544062499997</v>
          </cell>
          <cell r="L961">
            <v>11.216666658874601</v>
          </cell>
          <cell r="S961" t="str">
            <v>TRUE</v>
          </cell>
        </row>
        <row r="962">
          <cell r="C962">
            <v>42379.556215277778</v>
          </cell>
          <cell r="D962" t="str">
            <v>Medium</v>
          </cell>
          <cell r="G962" t="b">
            <v>1</v>
          </cell>
          <cell r="J962">
            <v>42379.565601851849</v>
          </cell>
          <cell r="L962">
            <v>13.516666662180796</v>
          </cell>
          <cell r="S962" t="str">
            <v>TRUE</v>
          </cell>
        </row>
        <row r="963">
          <cell r="C963">
            <v>42379.557233796295</v>
          </cell>
          <cell r="D963" t="str">
            <v>Medium</v>
          </cell>
          <cell r="G963" t="b">
            <v>1</v>
          </cell>
          <cell r="J963">
            <v>42379.566689814812</v>
          </cell>
          <cell r="L963">
            <v>13.616666664602235</v>
          </cell>
          <cell r="S963" t="str">
            <v>TRUE</v>
          </cell>
        </row>
        <row r="964">
          <cell r="C964">
            <v>42379.485821759263</v>
          </cell>
          <cell r="D964" t="str">
            <v>Large</v>
          </cell>
          <cell r="G964" t="b">
            <v>1</v>
          </cell>
          <cell r="J964">
            <v>42379.496898148151</v>
          </cell>
          <cell r="L964">
            <v>15.94999999855645</v>
          </cell>
          <cell r="S964" t="str">
            <v>TRUE</v>
          </cell>
        </row>
        <row r="965">
          <cell r="C965">
            <v>42379.475370370368</v>
          </cell>
          <cell r="D965" t="str">
            <v>Medium</v>
          </cell>
          <cell r="G965" t="b">
            <v>1</v>
          </cell>
          <cell r="J965">
            <v>42379.488946759258</v>
          </cell>
          <cell r="L965">
            <v>19.550000001909211</v>
          </cell>
          <cell r="S965" t="str">
            <v>FALSE</v>
          </cell>
        </row>
        <row r="966">
          <cell r="C966">
            <v>42380.47583333333</v>
          </cell>
          <cell r="D966" t="str">
            <v>Small</v>
          </cell>
          <cell r="G966" t="b">
            <v>1</v>
          </cell>
          <cell r="J966">
            <v>42380.493194444447</v>
          </cell>
          <cell r="L966">
            <v>25.000000008149073</v>
          </cell>
          <cell r="S966" t="str">
            <v>FALSE</v>
          </cell>
        </row>
        <row r="967">
          <cell r="C967">
            <v>42380.499131944445</v>
          </cell>
          <cell r="D967" t="str">
            <v>Small</v>
          </cell>
          <cell r="G967" t="b">
            <v>1</v>
          </cell>
          <cell r="J967">
            <v>42380.515231481484</v>
          </cell>
          <cell r="L967">
            <v>23.183333335909992</v>
          </cell>
          <cell r="S967" t="str">
            <v>FALSE</v>
          </cell>
        </row>
        <row r="968">
          <cell r="C968">
            <v>42380.513796296298</v>
          </cell>
          <cell r="D968" t="str">
            <v>Medium</v>
          </cell>
          <cell r="G968" t="b">
            <v>0</v>
          </cell>
          <cell r="J968">
            <v>42380.5158912037</v>
          </cell>
          <cell r="L968">
            <v>3.0166666593868285</v>
          </cell>
          <cell r="S968" t="str">
            <v>TRUE</v>
          </cell>
        </row>
        <row r="969">
          <cell r="C969">
            <v>42380.534849537034</v>
          </cell>
          <cell r="D969" t="str">
            <v>Medium</v>
          </cell>
          <cell r="G969" t="b">
            <v>1</v>
          </cell>
          <cell r="J969">
            <v>42380.538738425923</v>
          </cell>
          <cell r="L969">
            <v>5.5999999993946403</v>
          </cell>
          <cell r="S969" t="str">
            <v>TRUE</v>
          </cell>
        </row>
        <row r="970">
          <cell r="C970">
            <v>42380.569884259261</v>
          </cell>
          <cell r="D970" t="str">
            <v>Small</v>
          </cell>
          <cell r="G970" t="b">
            <v>1</v>
          </cell>
          <cell r="J970">
            <v>42380.581516203703</v>
          </cell>
          <cell r="L970">
            <v>16.749999996973202</v>
          </cell>
          <cell r="S970" t="str">
            <v>FALSE</v>
          </cell>
        </row>
        <row r="971">
          <cell r="C971">
            <v>42380.603333333333</v>
          </cell>
          <cell r="D971" t="str">
            <v>Small</v>
          </cell>
          <cell r="E971" t="str">
            <v>Large</v>
          </cell>
          <cell r="G971" t="b">
            <v>1</v>
          </cell>
          <cell r="J971">
            <v>42380.617997685185</v>
          </cell>
          <cell r="L971">
            <v>21.116666668094695</v>
          </cell>
          <cell r="S971" t="str">
            <v>FALSE</v>
          </cell>
        </row>
        <row r="972">
          <cell r="C972">
            <v>42380.489363425928</v>
          </cell>
          <cell r="D972" t="str">
            <v>Small</v>
          </cell>
          <cell r="E972" t="str">
            <v>Medium</v>
          </cell>
          <cell r="F972" t="str">
            <v>Large</v>
          </cell>
          <cell r="G972" t="b">
            <v>1</v>
          </cell>
          <cell r="J972">
            <v>42380.498356481483</v>
          </cell>
          <cell r="L972">
            <v>12.949999999254942</v>
          </cell>
          <cell r="S972" t="str">
            <v>TRUE</v>
          </cell>
        </row>
        <row r="973">
          <cell r="C973">
            <v>42380.592893518522</v>
          </cell>
          <cell r="D973" t="str">
            <v>Small</v>
          </cell>
          <cell r="G973" t="b">
            <v>1</v>
          </cell>
          <cell r="J973">
            <v>42380.599641203706</v>
          </cell>
          <cell r="L973">
            <v>9.7166666644625366</v>
          </cell>
          <cell r="S973" t="str">
            <v>TRUE</v>
          </cell>
        </row>
        <row r="974">
          <cell r="C974">
            <v>42380.501400462963</v>
          </cell>
          <cell r="D974" t="str">
            <v>Small</v>
          </cell>
          <cell r="E974" t="str">
            <v>Medium</v>
          </cell>
          <cell r="G974" t="b">
            <v>0</v>
          </cell>
          <cell r="J974">
            <v>42380.503472222219</v>
          </cell>
          <cell r="L974">
            <v>2.9833333287388086</v>
          </cell>
          <cell r="S974" t="str">
            <v>TRUE</v>
          </cell>
        </row>
        <row r="975">
          <cell r="C975">
            <v>42380.528622685182</v>
          </cell>
          <cell r="D975" t="str">
            <v>Small</v>
          </cell>
          <cell r="E975" t="str">
            <v>Medium</v>
          </cell>
          <cell r="G975" t="b">
            <v>1</v>
          </cell>
          <cell r="J975">
            <v>42380.539097222223</v>
          </cell>
          <cell r="L975">
            <v>15.083333338843659</v>
          </cell>
          <cell r="S975" t="str">
            <v>TRUE</v>
          </cell>
        </row>
        <row r="976">
          <cell r="C976">
            <v>42380.480046296296</v>
          </cell>
          <cell r="D976" t="str">
            <v>Small</v>
          </cell>
          <cell r="E976" t="str">
            <v>Medium</v>
          </cell>
          <cell r="G976" t="b">
            <v>1</v>
          </cell>
          <cell r="J976">
            <v>42380.488935185182</v>
          </cell>
          <cell r="L976">
            <v>12.799999995622784</v>
          </cell>
          <cell r="S976" t="str">
            <v>TRUE</v>
          </cell>
        </row>
        <row r="977">
          <cell r="C977">
            <v>42380.533043981479</v>
          </cell>
          <cell r="D977" t="str">
            <v>Small</v>
          </cell>
          <cell r="G977" t="b">
            <v>1</v>
          </cell>
          <cell r="J977">
            <v>42380.536122685182</v>
          </cell>
          <cell r="L977">
            <v>4.4333333324175328</v>
          </cell>
          <cell r="S977" t="str">
            <v>TRUE</v>
          </cell>
        </row>
        <row r="978">
          <cell r="C978">
            <v>42380.487430555557</v>
          </cell>
          <cell r="D978" t="str">
            <v>Medium</v>
          </cell>
          <cell r="G978" t="b">
            <v>1</v>
          </cell>
          <cell r="J978">
            <v>42380.501168981478</v>
          </cell>
          <cell r="L978">
            <v>19.78333332692273</v>
          </cell>
          <cell r="S978" t="str">
            <v>FALSE</v>
          </cell>
        </row>
        <row r="979">
          <cell r="C979">
            <v>42380.452847222223</v>
          </cell>
          <cell r="D979" t="str">
            <v>Small</v>
          </cell>
          <cell r="G979" t="b">
            <v>0</v>
          </cell>
          <cell r="J979">
            <v>42380.454918981479</v>
          </cell>
          <cell r="L979">
            <v>2.9833333287388086</v>
          </cell>
          <cell r="S979" t="str">
            <v>TRUE</v>
          </cell>
        </row>
        <row r="980">
          <cell r="C980">
            <v>42380.478206018517</v>
          </cell>
          <cell r="D980" t="str">
            <v>Small</v>
          </cell>
          <cell r="G980" t="b">
            <v>1</v>
          </cell>
          <cell r="J980">
            <v>42380.484131944446</v>
          </cell>
          <cell r="L980">
            <v>8.5333333374001086</v>
          </cell>
          <cell r="S980" t="str">
            <v>TRUE</v>
          </cell>
        </row>
        <row r="981">
          <cell r="C981">
            <v>42380.4840625</v>
          </cell>
          <cell r="D981" t="str">
            <v>Small</v>
          </cell>
          <cell r="E981" t="str">
            <v>Medium</v>
          </cell>
          <cell r="G981" t="b">
            <v>0</v>
          </cell>
          <cell r="J981">
            <v>42380.486134259256</v>
          </cell>
          <cell r="L981">
            <v>2.9833333287388086</v>
          </cell>
          <cell r="S981" t="str">
            <v>TRUE</v>
          </cell>
        </row>
        <row r="982">
          <cell r="C982">
            <v>42380.581828703704</v>
          </cell>
          <cell r="D982" t="str">
            <v>Small</v>
          </cell>
          <cell r="G982" t="b">
            <v>1</v>
          </cell>
          <cell r="J982">
            <v>42380.598935185182</v>
          </cell>
          <cell r="L982">
            <v>24.633333329111338</v>
          </cell>
          <cell r="S982" t="str">
            <v>FALSE</v>
          </cell>
        </row>
        <row r="983">
          <cell r="C983">
            <v>42380.490601851852</v>
          </cell>
          <cell r="D983" t="str">
            <v>Small</v>
          </cell>
          <cell r="G983" t="b">
            <v>0</v>
          </cell>
          <cell r="J983">
            <v>42380.492673611108</v>
          </cell>
          <cell r="L983">
            <v>2.9833333287388086</v>
          </cell>
          <cell r="S983" t="str">
            <v>TRUE</v>
          </cell>
        </row>
        <row r="984">
          <cell r="C984">
            <v>42380.539861111109</v>
          </cell>
          <cell r="D984" t="str">
            <v>Medium</v>
          </cell>
          <cell r="G984" t="b">
            <v>0</v>
          </cell>
          <cell r="J984">
            <v>42380.541921296295</v>
          </cell>
          <cell r="L984">
            <v>2.9666666686534882</v>
          </cell>
          <cell r="S984" t="str">
            <v>TRUE</v>
          </cell>
        </row>
        <row r="985">
          <cell r="C985">
            <v>42380.479502314818</v>
          </cell>
          <cell r="D985" t="str">
            <v>Medium</v>
          </cell>
          <cell r="G985" t="b">
            <v>1</v>
          </cell>
          <cell r="J985">
            <v>42380.490127314813</v>
          </cell>
          <cell r="L985">
            <v>15.299999993294477</v>
          </cell>
          <cell r="S985" t="str">
            <v>TRUE</v>
          </cell>
        </row>
        <row r="986">
          <cell r="C986">
            <v>42380.445648148147</v>
          </cell>
          <cell r="D986" t="str">
            <v>Large</v>
          </cell>
          <cell r="G986" t="b">
            <v>0</v>
          </cell>
          <cell r="J986">
            <v>42380.44771990741</v>
          </cell>
          <cell r="L986">
            <v>2.9833333392161876</v>
          </cell>
          <cell r="S986" t="str">
            <v>TRUE</v>
          </cell>
        </row>
        <row r="987">
          <cell r="C987">
            <v>42380.472141203703</v>
          </cell>
          <cell r="D987" t="str">
            <v>Small</v>
          </cell>
          <cell r="E987" t="str">
            <v>Medium</v>
          </cell>
          <cell r="G987" t="b">
            <v>1</v>
          </cell>
          <cell r="J987">
            <v>42380.478206018517</v>
          </cell>
          <cell r="L987">
            <v>8.733333331765607</v>
          </cell>
          <cell r="S987" t="str">
            <v>TRUE</v>
          </cell>
        </row>
        <row r="988">
          <cell r="C988">
            <v>42380.485208333332</v>
          </cell>
          <cell r="D988" t="str">
            <v>Medium</v>
          </cell>
          <cell r="G988" t="b">
            <v>1</v>
          </cell>
          <cell r="J988">
            <v>42380.490891203706</v>
          </cell>
          <cell r="L988">
            <v>8.1833333394024521</v>
          </cell>
          <cell r="S988" t="str">
            <v>TRUE</v>
          </cell>
        </row>
        <row r="989">
          <cell r="C989">
            <v>42380.479664351849</v>
          </cell>
          <cell r="D989" t="str">
            <v>Small</v>
          </cell>
          <cell r="E989" t="str">
            <v>Medium</v>
          </cell>
          <cell r="G989" t="b">
            <v>1</v>
          </cell>
          <cell r="J989">
            <v>42380.488032407404</v>
          </cell>
          <cell r="L989">
            <v>12.049999998416752</v>
          </cell>
          <cell r="S989" t="str">
            <v>TRUE</v>
          </cell>
        </row>
        <row r="990">
          <cell r="C990">
            <v>42380.475381944445</v>
          </cell>
          <cell r="D990" t="str">
            <v>Medium</v>
          </cell>
          <cell r="G990" t="b">
            <v>0</v>
          </cell>
          <cell r="J990">
            <v>42380.477476851855</v>
          </cell>
          <cell r="L990">
            <v>3.0166666698642075</v>
          </cell>
          <cell r="S990" t="str">
            <v>TRUE</v>
          </cell>
        </row>
        <row r="991">
          <cell r="C991">
            <v>42380.571851851855</v>
          </cell>
          <cell r="D991" t="str">
            <v>Medium</v>
          </cell>
          <cell r="G991" t="b">
            <v>0</v>
          </cell>
          <cell r="J991">
            <v>42380.573912037034</v>
          </cell>
          <cell r="L991">
            <v>2.9666666581761092</v>
          </cell>
          <cell r="S991" t="str">
            <v>TRUE</v>
          </cell>
        </row>
        <row r="992">
          <cell r="C992">
            <v>42380.486504629633</v>
          </cell>
          <cell r="D992" t="str">
            <v>Small</v>
          </cell>
          <cell r="E992" t="str">
            <v>Large</v>
          </cell>
          <cell r="G992" t="b">
            <v>1</v>
          </cell>
          <cell r="J992">
            <v>42380.493773148148</v>
          </cell>
          <cell r="L992">
            <v>10.466666661668569</v>
          </cell>
          <cell r="S992" t="str">
            <v>TRUE</v>
          </cell>
        </row>
        <row r="993">
          <cell r="C993">
            <v>42380.446481481478</v>
          </cell>
          <cell r="D993" t="str">
            <v>Large</v>
          </cell>
          <cell r="G993" t="b">
            <v>0</v>
          </cell>
          <cell r="J993">
            <v>42380.448564814818</v>
          </cell>
          <cell r="L993">
            <v>3.000000009778887</v>
          </cell>
          <cell r="S993" t="str">
            <v>TRUE</v>
          </cell>
        </row>
        <row r="994">
          <cell r="C994">
            <v>42380.54859953704</v>
          </cell>
          <cell r="D994" t="str">
            <v>Small</v>
          </cell>
          <cell r="E994" t="str">
            <v>Medium</v>
          </cell>
          <cell r="G994" t="b">
            <v>0</v>
          </cell>
          <cell r="J994">
            <v>42380.550682870373</v>
          </cell>
          <cell r="L994">
            <v>2.9999999993015081</v>
          </cell>
          <cell r="S994" t="str">
            <v>TRUE</v>
          </cell>
        </row>
        <row r="995">
          <cell r="C995">
            <v>42380.438506944447</v>
          </cell>
          <cell r="D995" t="str">
            <v>Large</v>
          </cell>
          <cell r="G995" t="b">
            <v>1</v>
          </cell>
          <cell r="J995">
            <v>42380.45275462963</v>
          </cell>
          <cell r="L995">
            <v>20.516666664043441</v>
          </cell>
          <cell r="S995" t="str">
            <v>FALSE</v>
          </cell>
        </row>
        <row r="996">
          <cell r="C996">
            <v>42380.48400462963</v>
          </cell>
          <cell r="D996" t="str">
            <v>Medium</v>
          </cell>
          <cell r="G996" t="b">
            <v>0</v>
          </cell>
          <cell r="J996">
            <v>42380.486087962963</v>
          </cell>
          <cell r="L996">
            <v>2.9999999993015081</v>
          </cell>
          <cell r="S996" t="str">
            <v>TRUE</v>
          </cell>
        </row>
        <row r="997">
          <cell r="C997">
            <v>42380.449641203704</v>
          </cell>
          <cell r="D997" t="str">
            <v>Medium</v>
          </cell>
          <cell r="G997" t="b">
            <v>0</v>
          </cell>
          <cell r="J997">
            <v>42380.45171296296</v>
          </cell>
          <cell r="L997">
            <v>2.9833333287388086</v>
          </cell>
          <cell r="S997" t="str">
            <v>TRUE</v>
          </cell>
        </row>
        <row r="998">
          <cell r="C998">
            <v>42380.458819444444</v>
          </cell>
          <cell r="D998" t="str">
            <v>Medium</v>
          </cell>
          <cell r="G998" t="b">
            <v>0</v>
          </cell>
          <cell r="J998">
            <v>42380.4608912037</v>
          </cell>
          <cell r="L998">
            <v>2.9833333287388086</v>
          </cell>
          <cell r="S998" t="str">
            <v>TRUE</v>
          </cell>
        </row>
        <row r="999">
          <cell r="C999">
            <v>42380.504513888889</v>
          </cell>
          <cell r="D999" t="str">
            <v>Small</v>
          </cell>
          <cell r="G999" t="b">
            <v>1</v>
          </cell>
          <cell r="J999">
            <v>42380.515266203707</v>
          </cell>
          <cell r="L999">
            <v>15.483333338052034</v>
          </cell>
          <cell r="S999" t="str">
            <v>TRUE</v>
          </cell>
        </row>
        <row r="1000">
          <cell r="C1000">
            <v>42380.488703703704</v>
          </cell>
          <cell r="D1000" t="str">
            <v>Medium</v>
          </cell>
          <cell r="G1000" t="b">
            <v>1</v>
          </cell>
          <cell r="J1000">
            <v>42380.501712962963</v>
          </cell>
          <cell r="L1000">
            <v>18.73333333292976</v>
          </cell>
          <cell r="S1000" t="str">
            <v>FALSE</v>
          </cell>
        </row>
        <row r="1001">
          <cell r="C1001">
            <v>42380.546111111114</v>
          </cell>
          <cell r="D1001" t="str">
            <v>Medium</v>
          </cell>
          <cell r="G1001" t="b">
            <v>1</v>
          </cell>
          <cell r="J1001">
            <v>42380.554768518516</v>
          </cell>
          <cell r="L1001">
            <v>12.466666657710448</v>
          </cell>
          <cell r="S1001" t="str">
            <v>TRUE</v>
          </cell>
        </row>
        <row r="1002">
          <cell r="C1002">
            <v>42380.535034722219</v>
          </cell>
          <cell r="D1002" t="str">
            <v>Medium</v>
          </cell>
          <cell r="G1002" t="b">
            <v>0</v>
          </cell>
          <cell r="J1002">
            <v>42380.537118055552</v>
          </cell>
          <cell r="L1002">
            <v>2.9999999993015081</v>
          </cell>
          <cell r="S1002" t="str">
            <v>TRUE</v>
          </cell>
        </row>
        <row r="1003">
          <cell r="C1003">
            <v>42380.526296296295</v>
          </cell>
          <cell r="D1003" t="str">
            <v>Large</v>
          </cell>
          <cell r="G1003" t="b">
            <v>1</v>
          </cell>
          <cell r="J1003">
            <v>42380.531493055554</v>
          </cell>
          <cell r="L1003">
            <v>7.4833333329297602</v>
          </cell>
          <cell r="S1003" t="str">
            <v>TRUE</v>
          </cell>
        </row>
        <row r="1004">
          <cell r="C1004">
            <v>42380.444780092592</v>
          </cell>
          <cell r="D1004" t="str">
            <v>Small</v>
          </cell>
          <cell r="E1004" t="str">
            <v>Large</v>
          </cell>
          <cell r="G1004" t="b">
            <v>0</v>
          </cell>
          <cell r="J1004">
            <v>42380.446875000001</v>
          </cell>
          <cell r="L1004">
            <v>3.0166666698642075</v>
          </cell>
          <cell r="S1004" t="str">
            <v>TRUE</v>
          </cell>
        </row>
        <row r="1005">
          <cell r="C1005">
            <v>42380.581689814811</v>
          </cell>
          <cell r="D1005" t="str">
            <v>Medium</v>
          </cell>
          <cell r="G1005" t="b">
            <v>0</v>
          </cell>
          <cell r="J1005">
            <v>42380.583761574075</v>
          </cell>
          <cell r="L1005">
            <v>2.9833333392161876</v>
          </cell>
          <cell r="S1005" t="str">
            <v>TRUE</v>
          </cell>
        </row>
        <row r="1006">
          <cell r="C1006">
            <v>42380.476793981485</v>
          </cell>
          <cell r="D1006" t="str">
            <v>Small</v>
          </cell>
          <cell r="E1006" t="str">
            <v>Large</v>
          </cell>
          <cell r="G1006" t="b">
            <v>1</v>
          </cell>
          <cell r="J1006">
            <v>42380.490300925929</v>
          </cell>
          <cell r="L1006">
            <v>19.449999999487773</v>
          </cell>
          <cell r="S1006" t="str">
            <v>FALSE</v>
          </cell>
        </row>
        <row r="1007">
          <cell r="C1007">
            <v>42380.529016203705</v>
          </cell>
          <cell r="D1007" t="str">
            <v>Small</v>
          </cell>
          <cell r="E1007" t="str">
            <v>Medium</v>
          </cell>
          <cell r="G1007" t="b">
            <v>1</v>
          </cell>
          <cell r="J1007">
            <v>42380.538715277777</v>
          </cell>
          <cell r="L1007">
            <v>13.966666662599891</v>
          </cell>
          <cell r="S1007" t="str">
            <v>TRUE</v>
          </cell>
        </row>
        <row r="1008">
          <cell r="C1008">
            <v>42380.576909722222</v>
          </cell>
          <cell r="D1008" t="str">
            <v>Medium</v>
          </cell>
          <cell r="G1008" t="b">
            <v>0</v>
          </cell>
          <cell r="J1008">
            <v>42380.578981481478</v>
          </cell>
          <cell r="L1008">
            <v>2.9833333287388086</v>
          </cell>
          <cell r="S1008" t="str">
            <v>TRUE</v>
          </cell>
        </row>
        <row r="1009">
          <cell r="C1009">
            <v>42380.516296296293</v>
          </cell>
          <cell r="D1009" t="str">
            <v>Small</v>
          </cell>
          <cell r="E1009" t="str">
            <v>Medium</v>
          </cell>
          <cell r="G1009" t="b">
            <v>0</v>
          </cell>
          <cell r="J1009">
            <v>42380.518391203703</v>
          </cell>
          <cell r="L1009">
            <v>3.0166666698642075</v>
          </cell>
          <cell r="S1009" t="str">
            <v>TRUE</v>
          </cell>
        </row>
        <row r="1010">
          <cell r="C1010">
            <v>42380.487997685188</v>
          </cell>
          <cell r="D1010" t="str">
            <v>Medium</v>
          </cell>
          <cell r="G1010" t="b">
            <v>1</v>
          </cell>
          <cell r="J1010">
            <v>42380.494791666664</v>
          </cell>
          <cell r="L1010">
            <v>9.7833333257585764</v>
          </cell>
          <cell r="S1010" t="str">
            <v>TRUE</v>
          </cell>
        </row>
        <row r="1011">
          <cell r="C1011">
            <v>42380.478506944448</v>
          </cell>
          <cell r="D1011" t="str">
            <v>Small</v>
          </cell>
          <cell r="E1011" t="str">
            <v>Medium</v>
          </cell>
          <cell r="G1011" t="b">
            <v>1</v>
          </cell>
          <cell r="J1011">
            <v>42380.485011574077</v>
          </cell>
          <cell r="L1011">
            <v>9.3666666664648801</v>
          </cell>
          <cell r="S1011" t="str">
            <v>TRUE</v>
          </cell>
        </row>
        <row r="1012">
          <cell r="C1012">
            <v>42380.473402777781</v>
          </cell>
          <cell r="D1012" t="str">
            <v>Large</v>
          </cell>
          <cell r="G1012" t="b">
            <v>0</v>
          </cell>
          <cell r="J1012">
            <v>42380.475497685184</v>
          </cell>
          <cell r="L1012">
            <v>3.0166666593868285</v>
          </cell>
          <cell r="S1012" t="str">
            <v>TRUE</v>
          </cell>
        </row>
        <row r="1013">
          <cell r="C1013">
            <v>42380.530243055553</v>
          </cell>
          <cell r="D1013" t="str">
            <v>Medium</v>
          </cell>
          <cell r="G1013" t="b">
            <v>1</v>
          </cell>
          <cell r="J1013">
            <v>42380.543749999997</v>
          </cell>
          <cell r="L1013">
            <v>19.449999999487773</v>
          </cell>
          <cell r="S1013" t="str">
            <v>FALSE</v>
          </cell>
        </row>
        <row r="1014">
          <cell r="C1014">
            <v>42380.517800925925</v>
          </cell>
          <cell r="D1014" t="str">
            <v>Medium</v>
          </cell>
          <cell r="G1014" t="b">
            <v>1</v>
          </cell>
          <cell r="J1014">
            <v>42380.520995370367</v>
          </cell>
          <cell r="L1014">
            <v>4.5999999961350113</v>
          </cell>
          <cell r="S1014" t="str">
            <v>TRUE</v>
          </cell>
        </row>
        <row r="1015">
          <cell r="C1015">
            <v>42380.492824074077</v>
          </cell>
          <cell r="D1015" t="str">
            <v>Medium</v>
          </cell>
          <cell r="G1015" t="b">
            <v>0</v>
          </cell>
          <cell r="J1015">
            <v>42380.494884259257</v>
          </cell>
          <cell r="L1015">
            <v>2.9666666581761092</v>
          </cell>
          <cell r="S1015" t="str">
            <v>TRUE</v>
          </cell>
        </row>
        <row r="1016">
          <cell r="C1016">
            <v>42380.486388888887</v>
          </cell>
          <cell r="D1016" t="str">
            <v>Small</v>
          </cell>
          <cell r="E1016" t="str">
            <v>Medium</v>
          </cell>
          <cell r="G1016" t="b">
            <v>0</v>
          </cell>
          <cell r="J1016">
            <v>42380.48846064815</v>
          </cell>
          <cell r="L1016">
            <v>2.9833333392161876</v>
          </cell>
          <cell r="S1016" t="str">
            <v>TRUE</v>
          </cell>
        </row>
        <row r="1017">
          <cell r="C1017">
            <v>42380.549178240741</v>
          </cell>
          <cell r="D1017" t="str">
            <v>Small</v>
          </cell>
          <cell r="E1017" t="str">
            <v>Large</v>
          </cell>
          <cell r="G1017" t="b">
            <v>1</v>
          </cell>
          <cell r="J1017">
            <v>42380.555138888885</v>
          </cell>
          <cell r="L1017">
            <v>8.583333328133449</v>
          </cell>
          <cell r="S1017" t="str">
            <v>TRUE</v>
          </cell>
        </row>
        <row r="1018">
          <cell r="C1018">
            <v>42380.474861111114</v>
          </cell>
          <cell r="D1018" t="str">
            <v>Small</v>
          </cell>
          <cell r="E1018" t="str">
            <v>Large</v>
          </cell>
          <cell r="G1018" t="b">
            <v>1</v>
          </cell>
          <cell r="J1018">
            <v>42380.4841087963</v>
          </cell>
          <cell r="L1018">
            <v>13.316666667815298</v>
          </cell>
          <cell r="S1018" t="str">
            <v>TRUE</v>
          </cell>
        </row>
        <row r="1019">
          <cell r="C1019">
            <v>42380.540995370371</v>
          </cell>
          <cell r="D1019" t="str">
            <v>Medium</v>
          </cell>
          <cell r="G1019" t="b">
            <v>0</v>
          </cell>
          <cell r="J1019">
            <v>42380.543055555558</v>
          </cell>
          <cell r="L1019">
            <v>2.9666666686534882</v>
          </cell>
          <cell r="S1019" t="str">
            <v>TRUE</v>
          </cell>
        </row>
        <row r="1020">
          <cell r="C1020">
            <v>42380.540717592594</v>
          </cell>
          <cell r="D1020" t="str">
            <v>Small</v>
          </cell>
          <cell r="E1020" t="str">
            <v>Medium</v>
          </cell>
          <cell r="G1020" t="b">
            <v>0</v>
          </cell>
          <cell r="J1020">
            <v>42380.542800925927</v>
          </cell>
          <cell r="L1020">
            <v>2.9999999993015081</v>
          </cell>
          <cell r="S1020" t="str">
            <v>TRUE</v>
          </cell>
        </row>
        <row r="1021">
          <cell r="C1021">
            <v>42380.519756944443</v>
          </cell>
          <cell r="D1021" t="str">
            <v>Medium</v>
          </cell>
          <cell r="G1021" t="b">
            <v>0</v>
          </cell>
          <cell r="J1021">
            <v>42380.521840277775</v>
          </cell>
          <cell r="L1021">
            <v>2.9999999993015081</v>
          </cell>
          <cell r="S1021" t="str">
            <v>TRUE</v>
          </cell>
        </row>
        <row r="1022">
          <cell r="C1022">
            <v>42380.573275462964</v>
          </cell>
          <cell r="D1022" t="str">
            <v>Large</v>
          </cell>
          <cell r="G1022" t="b">
            <v>0</v>
          </cell>
          <cell r="J1022">
            <v>42380.57534722222</v>
          </cell>
          <cell r="L1022">
            <v>2.9833333287388086</v>
          </cell>
          <cell r="S1022" t="str">
            <v>TRUE</v>
          </cell>
        </row>
        <row r="1023">
          <cell r="C1023">
            <v>42380.483611111114</v>
          </cell>
          <cell r="D1023" t="str">
            <v>Medium</v>
          </cell>
          <cell r="E1023" t="str">
            <v>Large</v>
          </cell>
          <cell r="G1023" t="b">
            <v>0</v>
          </cell>
          <cell r="J1023">
            <v>42380.485694444447</v>
          </cell>
          <cell r="L1023">
            <v>2.9999999993015081</v>
          </cell>
          <cell r="S1023" t="str">
            <v>TRUE</v>
          </cell>
        </row>
        <row r="1024">
          <cell r="C1024">
            <v>42380.498240740744</v>
          </cell>
          <cell r="D1024" t="str">
            <v>Large</v>
          </cell>
          <cell r="G1024" t="b">
            <v>0</v>
          </cell>
          <cell r="J1024">
            <v>42380.5003125</v>
          </cell>
          <cell r="L1024">
            <v>2.9833333287388086</v>
          </cell>
          <cell r="S1024" t="str">
            <v>TRUE</v>
          </cell>
        </row>
        <row r="1025">
          <cell r="C1025">
            <v>42380.517893518518</v>
          </cell>
          <cell r="D1025" t="str">
            <v>Small</v>
          </cell>
          <cell r="E1025" t="str">
            <v>Large</v>
          </cell>
          <cell r="G1025" t="b">
            <v>0</v>
          </cell>
          <cell r="J1025">
            <v>42380.519976851851</v>
          </cell>
          <cell r="L1025">
            <v>2.9999999993015081</v>
          </cell>
          <cell r="S1025" t="str">
            <v>TRUE</v>
          </cell>
        </row>
        <row r="1026">
          <cell r="C1026">
            <v>42380.530381944445</v>
          </cell>
          <cell r="D1026" t="str">
            <v>Medium</v>
          </cell>
          <cell r="G1026" t="b">
            <v>0</v>
          </cell>
          <cell r="J1026">
            <v>42380.532476851855</v>
          </cell>
          <cell r="L1026">
            <v>3.0166666698642075</v>
          </cell>
          <cell r="S1026" t="str">
            <v>TRUE</v>
          </cell>
        </row>
        <row r="1027">
          <cell r="C1027">
            <v>42380.52449074074</v>
          </cell>
          <cell r="D1027" t="str">
            <v>Medium</v>
          </cell>
          <cell r="G1027" t="b">
            <v>0</v>
          </cell>
          <cell r="J1027">
            <v>42380.526550925926</v>
          </cell>
          <cell r="L1027">
            <v>2.9666666686534882</v>
          </cell>
          <cell r="S1027" t="str">
            <v>TRUE</v>
          </cell>
        </row>
        <row r="1028">
          <cell r="C1028">
            <v>42380.531087962961</v>
          </cell>
          <cell r="D1028" t="str">
            <v>Small</v>
          </cell>
          <cell r="G1028" t="b">
            <v>0</v>
          </cell>
          <cell r="J1028">
            <v>42380.533159722225</v>
          </cell>
          <cell r="L1028">
            <v>2.9833333392161876</v>
          </cell>
          <cell r="S1028" t="str">
            <v>TRUE</v>
          </cell>
        </row>
        <row r="1029">
          <cell r="C1029">
            <v>42380.513067129628</v>
          </cell>
          <cell r="D1029" t="str">
            <v>Small</v>
          </cell>
          <cell r="E1029" t="str">
            <v>Medium</v>
          </cell>
          <cell r="G1029" t="b">
            <v>0</v>
          </cell>
          <cell r="J1029">
            <v>42380.515150462961</v>
          </cell>
          <cell r="L1029">
            <v>2.9999999993015081</v>
          </cell>
          <cell r="S1029" t="str">
            <v>TRUE</v>
          </cell>
        </row>
        <row r="1030">
          <cell r="C1030">
            <v>42380.572916666664</v>
          </cell>
          <cell r="D1030" t="str">
            <v>Large</v>
          </cell>
          <cell r="G1030" t="b">
            <v>0</v>
          </cell>
          <cell r="J1030">
            <v>42380.574999999997</v>
          </cell>
          <cell r="L1030">
            <v>2.9999999993015081</v>
          </cell>
          <cell r="S1030" t="str">
            <v>TRUE</v>
          </cell>
        </row>
        <row r="1031">
          <cell r="C1031">
            <v>42380.42800925926</v>
          </cell>
          <cell r="D1031" t="str">
            <v>Large</v>
          </cell>
          <cell r="G1031" t="b">
            <v>0</v>
          </cell>
          <cell r="J1031">
            <v>42380.430104166669</v>
          </cell>
          <cell r="L1031">
            <v>3.0166666698642075</v>
          </cell>
          <cell r="S1031" t="str">
            <v>TRUE</v>
          </cell>
        </row>
        <row r="1032">
          <cell r="C1032">
            <v>42380.572523148148</v>
          </cell>
          <cell r="D1032" t="str">
            <v>Small</v>
          </cell>
          <cell r="G1032" t="b">
            <v>1</v>
          </cell>
          <cell r="J1032">
            <v>42380.578773148147</v>
          </cell>
          <cell r="L1032">
            <v>8.9999999979045242</v>
          </cell>
          <cell r="S1032" t="str">
            <v>TRUE</v>
          </cell>
        </row>
        <row r="1033">
          <cell r="C1033">
            <v>42380.500879629632</v>
          </cell>
          <cell r="D1033" t="str">
            <v>Small</v>
          </cell>
          <cell r="G1033" t="b">
            <v>0</v>
          </cell>
          <cell r="J1033">
            <v>42380.502962962964</v>
          </cell>
          <cell r="L1033">
            <v>2.9999999993015081</v>
          </cell>
          <cell r="S1033" t="str">
            <v>TRUE</v>
          </cell>
        </row>
        <row r="1034">
          <cell r="C1034">
            <v>42380.484479166669</v>
          </cell>
          <cell r="D1034" t="str">
            <v>Medium</v>
          </cell>
          <cell r="E1034" t="str">
            <v>Large</v>
          </cell>
          <cell r="G1034" t="b">
            <v>1</v>
          </cell>
          <cell r="J1034">
            <v>42380.496527777781</v>
          </cell>
          <cell r="L1034">
            <v>17.350000001024455</v>
          </cell>
          <cell r="S1034" t="str">
            <v>FALSE</v>
          </cell>
        </row>
        <row r="1035">
          <cell r="C1035">
            <v>42380.483611111114</v>
          </cell>
          <cell r="D1035" t="str">
            <v>Small</v>
          </cell>
          <cell r="E1035" t="str">
            <v>Medium</v>
          </cell>
          <cell r="G1035" t="b">
            <v>1</v>
          </cell>
          <cell r="J1035">
            <v>42380.492951388886</v>
          </cell>
          <cell r="L1035">
            <v>13.449999990407377</v>
          </cell>
          <cell r="S1035" t="str">
            <v>TRUE</v>
          </cell>
        </row>
        <row r="1036">
          <cell r="C1036">
            <v>42380.468981481485</v>
          </cell>
          <cell r="D1036" t="str">
            <v>Small</v>
          </cell>
          <cell r="E1036" t="str">
            <v>Large</v>
          </cell>
          <cell r="G1036" t="b">
            <v>0</v>
          </cell>
          <cell r="J1036">
            <v>42380.471076388887</v>
          </cell>
          <cell r="L1036">
            <v>3.0166666593868285</v>
          </cell>
          <cell r="S1036" t="str">
            <v>TRUE</v>
          </cell>
        </row>
        <row r="1037">
          <cell r="C1037">
            <v>42380.539826388886</v>
          </cell>
          <cell r="D1037" t="str">
            <v>Large</v>
          </cell>
          <cell r="G1037" t="b">
            <v>1</v>
          </cell>
          <cell r="J1037">
            <v>42380.544930555552</v>
          </cell>
          <cell r="L1037">
            <v>7.3499999998603016</v>
          </cell>
          <cell r="S1037" t="str">
            <v>TRUE</v>
          </cell>
        </row>
        <row r="1038">
          <cell r="C1038">
            <v>42380.563946759263</v>
          </cell>
          <cell r="D1038" t="str">
            <v>Medium</v>
          </cell>
          <cell r="G1038" t="b">
            <v>1</v>
          </cell>
          <cell r="J1038">
            <v>42380.579282407409</v>
          </cell>
          <cell r="L1038">
            <v>22.083333330228925</v>
          </cell>
          <cell r="S1038" t="str">
            <v>FALSE</v>
          </cell>
        </row>
        <row r="1039">
          <cell r="C1039">
            <v>42380.523252314815</v>
          </cell>
          <cell r="D1039" t="str">
            <v>Small</v>
          </cell>
          <cell r="E1039" t="str">
            <v>Medium</v>
          </cell>
          <cell r="G1039" t="b">
            <v>0</v>
          </cell>
          <cell r="J1039">
            <v>42380.525347222225</v>
          </cell>
          <cell r="L1039">
            <v>3.0166666698642075</v>
          </cell>
          <cell r="S1039" t="str">
            <v>TRUE</v>
          </cell>
        </row>
        <row r="1040">
          <cell r="C1040">
            <v>42380.436643518522</v>
          </cell>
          <cell r="D1040" t="str">
            <v>Large</v>
          </cell>
          <cell r="G1040" t="b">
            <v>1</v>
          </cell>
          <cell r="J1040">
            <v>42380.450335648151</v>
          </cell>
          <cell r="L1040">
            <v>19.71666666562669</v>
          </cell>
          <cell r="S1040" t="str">
            <v>FALSE</v>
          </cell>
        </row>
        <row r="1041">
          <cell r="C1041">
            <v>42380.54582175926</v>
          </cell>
          <cell r="D1041" t="str">
            <v>Large</v>
          </cell>
          <cell r="G1041" t="b">
            <v>0</v>
          </cell>
          <cell r="J1041">
            <v>42380.547893518517</v>
          </cell>
          <cell r="L1041">
            <v>2.9833333287388086</v>
          </cell>
          <cell r="S1041" t="str">
            <v>TRUE</v>
          </cell>
        </row>
        <row r="1042">
          <cell r="C1042">
            <v>42380.51835648148</v>
          </cell>
          <cell r="D1042" t="str">
            <v>Small</v>
          </cell>
          <cell r="E1042" t="str">
            <v>Large</v>
          </cell>
          <cell r="G1042" t="b">
            <v>1</v>
          </cell>
          <cell r="J1042">
            <v>42380.533692129633</v>
          </cell>
          <cell r="L1042">
            <v>22.083333340706304</v>
          </cell>
          <cell r="S1042" t="str">
            <v>FALSE</v>
          </cell>
        </row>
        <row r="1043">
          <cell r="C1043">
            <v>42380.534108796295</v>
          </cell>
          <cell r="D1043" t="str">
            <v>Large</v>
          </cell>
          <cell r="G1043" t="b">
            <v>0</v>
          </cell>
          <cell r="J1043">
            <v>42380.536180555559</v>
          </cell>
          <cell r="L1043">
            <v>2.9833333392161876</v>
          </cell>
          <cell r="S1043" t="str">
            <v>TRUE</v>
          </cell>
        </row>
        <row r="1044">
          <cell r="C1044">
            <v>42380.536412037036</v>
          </cell>
          <cell r="D1044" t="str">
            <v>Medium</v>
          </cell>
          <cell r="G1044" t="b">
            <v>0</v>
          </cell>
          <cell r="J1044">
            <v>42380.538483796299</v>
          </cell>
          <cell r="L1044">
            <v>2.9833333392161876</v>
          </cell>
          <cell r="S1044" t="str">
            <v>TRUE</v>
          </cell>
        </row>
        <row r="1045">
          <cell r="C1045">
            <v>42380.439641203702</v>
          </cell>
          <cell r="D1045" t="str">
            <v>Large</v>
          </cell>
          <cell r="G1045" t="b">
            <v>1</v>
          </cell>
          <cell r="J1045">
            <v>42380.445844907408</v>
          </cell>
          <cell r="L1045">
            <v>8.9333333366084844</v>
          </cell>
          <cell r="S1045" t="str">
            <v>TRUE</v>
          </cell>
        </row>
        <row r="1046">
          <cell r="C1046">
            <v>42380.562905092593</v>
          </cell>
          <cell r="D1046" t="str">
            <v>Large</v>
          </cell>
          <cell r="G1046" t="b">
            <v>1</v>
          </cell>
          <cell r="J1046">
            <v>42380.579016203701</v>
          </cell>
          <cell r="L1046">
            <v>23.199999995995313</v>
          </cell>
          <cell r="S1046" t="str">
            <v>FALSE</v>
          </cell>
        </row>
        <row r="1047">
          <cell r="C1047">
            <v>42380.505196759259</v>
          </cell>
          <cell r="D1047" t="str">
            <v>Large</v>
          </cell>
          <cell r="G1047" t="b">
            <v>1</v>
          </cell>
          <cell r="J1047">
            <v>42380.512002314812</v>
          </cell>
          <cell r="L1047">
            <v>9.7999999963212758</v>
          </cell>
          <cell r="S1047" t="str">
            <v>TRUE</v>
          </cell>
        </row>
        <row r="1048">
          <cell r="C1048">
            <v>42380.533668981479</v>
          </cell>
          <cell r="D1048" t="str">
            <v>Small</v>
          </cell>
          <cell r="E1048" t="str">
            <v>Medium</v>
          </cell>
          <cell r="G1048" t="b">
            <v>1</v>
          </cell>
          <cell r="J1048">
            <v>42380.544629629629</v>
          </cell>
          <cell r="L1048">
            <v>15.783333334838971</v>
          </cell>
          <cell r="S1048" t="str">
            <v>TRUE</v>
          </cell>
        </row>
        <row r="1049">
          <cell r="C1049">
            <v>42380.626111111109</v>
          </cell>
          <cell r="D1049" t="str">
            <v>Small</v>
          </cell>
          <cell r="E1049" t="str">
            <v>Medium</v>
          </cell>
          <cell r="G1049" t="b">
            <v>0</v>
          </cell>
          <cell r="J1049">
            <v>42380.628182870372</v>
          </cell>
          <cell r="L1049">
            <v>2.9833333392161876</v>
          </cell>
          <cell r="S1049" t="str">
            <v>TRUE</v>
          </cell>
        </row>
        <row r="1050">
          <cell r="C1050">
            <v>42380.541192129633</v>
          </cell>
          <cell r="D1050" t="str">
            <v>Small</v>
          </cell>
          <cell r="G1050" t="b">
            <v>1</v>
          </cell>
          <cell r="J1050">
            <v>42380.554826388892</v>
          </cell>
          <cell r="L1050">
            <v>19.633333333767951</v>
          </cell>
          <cell r="S1050" t="str">
            <v>FALSE</v>
          </cell>
        </row>
        <row r="1051">
          <cell r="C1051">
            <v>42380.49763888889</v>
          </cell>
          <cell r="D1051" t="str">
            <v>Medium</v>
          </cell>
          <cell r="G1051" t="b">
            <v>1</v>
          </cell>
          <cell r="J1051">
            <v>42380.506203703706</v>
          </cell>
          <cell r="L1051">
            <v>12.333333335118368</v>
          </cell>
          <cell r="S1051" t="str">
            <v>TRUE</v>
          </cell>
        </row>
        <row r="1052">
          <cell r="C1052">
            <v>42380.529976851853</v>
          </cell>
          <cell r="D1052" t="str">
            <v>Medium</v>
          </cell>
          <cell r="G1052" t="b">
            <v>0</v>
          </cell>
          <cell r="J1052">
            <v>42380.532048611109</v>
          </cell>
          <cell r="L1052">
            <v>2.9833333287388086</v>
          </cell>
          <cell r="S1052" t="str">
            <v>TRUE</v>
          </cell>
        </row>
        <row r="1053">
          <cell r="C1053">
            <v>42380.529189814813</v>
          </cell>
          <cell r="D1053" t="str">
            <v>Medium</v>
          </cell>
          <cell r="G1053" t="b">
            <v>1</v>
          </cell>
          <cell r="J1053">
            <v>42380.539942129632</v>
          </cell>
          <cell r="L1053">
            <v>15.483333338052034</v>
          </cell>
          <cell r="S1053" t="str">
            <v>TRUE</v>
          </cell>
        </row>
        <row r="1054">
          <cell r="C1054">
            <v>42380.478634259256</v>
          </cell>
          <cell r="D1054" t="str">
            <v>Small</v>
          </cell>
          <cell r="G1054" t="b">
            <v>0</v>
          </cell>
          <cell r="J1054">
            <v>42380.480706018519</v>
          </cell>
          <cell r="L1054">
            <v>2.9833333392161876</v>
          </cell>
          <cell r="S1054" t="str">
            <v>TRUE</v>
          </cell>
        </row>
        <row r="1055">
          <cell r="C1055">
            <v>42380.481828703705</v>
          </cell>
          <cell r="D1055" t="str">
            <v>Small</v>
          </cell>
          <cell r="E1055" t="str">
            <v>Medium</v>
          </cell>
          <cell r="G1055" t="b">
            <v>1</v>
          </cell>
          <cell r="J1055">
            <v>42380.491909722223</v>
          </cell>
          <cell r="L1055">
            <v>14.516666665440425</v>
          </cell>
          <cell r="S1055" t="str">
            <v>TRUE</v>
          </cell>
        </row>
        <row r="1056">
          <cell r="C1056">
            <v>42380.557141203702</v>
          </cell>
          <cell r="D1056" t="str">
            <v>Small</v>
          </cell>
          <cell r="G1056" t="b">
            <v>1</v>
          </cell>
          <cell r="J1056">
            <v>42380.56863425926</v>
          </cell>
          <cell r="L1056">
            <v>16.550000002607703</v>
          </cell>
          <cell r="S1056" t="str">
            <v>FALSE</v>
          </cell>
        </row>
        <row r="1057">
          <cell r="C1057">
            <v>42380.460196759261</v>
          </cell>
          <cell r="D1057" t="str">
            <v>Medium</v>
          </cell>
          <cell r="G1057" t="b">
            <v>1</v>
          </cell>
          <cell r="J1057">
            <v>42380.471458333333</v>
          </cell>
          <cell r="L1057">
            <v>16.216666664695367</v>
          </cell>
          <cell r="S1057" t="str">
            <v>FALSE</v>
          </cell>
        </row>
        <row r="1058">
          <cell r="C1058">
            <v>42380.530798611115</v>
          </cell>
          <cell r="D1058" t="str">
            <v>Medium</v>
          </cell>
          <cell r="G1058" t="b">
            <v>1</v>
          </cell>
          <cell r="J1058">
            <v>42380.542523148149</v>
          </cell>
          <cell r="L1058">
            <v>16.88333333004266</v>
          </cell>
          <cell r="S1058" t="str">
            <v>FALSE</v>
          </cell>
        </row>
        <row r="1059">
          <cell r="C1059">
            <v>42380.542974537035</v>
          </cell>
          <cell r="D1059" t="str">
            <v>Large</v>
          </cell>
          <cell r="G1059" t="b">
            <v>1</v>
          </cell>
          <cell r="J1059">
            <v>42380.553472222222</v>
          </cell>
          <cell r="L1059">
            <v>15.116666669491678</v>
          </cell>
          <cell r="S1059" t="str">
            <v>TRUE</v>
          </cell>
        </row>
        <row r="1060">
          <cell r="C1060">
            <v>42380.492939814816</v>
          </cell>
          <cell r="D1060" t="str">
            <v>Large</v>
          </cell>
          <cell r="G1060" t="b">
            <v>0</v>
          </cell>
          <cell r="J1060">
            <v>42380.495011574072</v>
          </cell>
          <cell r="L1060">
            <v>2.9833333287388086</v>
          </cell>
          <cell r="S1060" t="str">
            <v>TRUE</v>
          </cell>
        </row>
        <row r="1061">
          <cell r="C1061">
            <v>42380.585439814815</v>
          </cell>
          <cell r="D1061" t="str">
            <v>Small</v>
          </cell>
          <cell r="E1061" t="str">
            <v>Large</v>
          </cell>
          <cell r="G1061" t="b">
            <v>0</v>
          </cell>
          <cell r="J1061">
            <v>42380.587523148148</v>
          </cell>
          <cell r="L1061">
            <v>2.9999999993015081</v>
          </cell>
          <cell r="S1061" t="str">
            <v>TRUE</v>
          </cell>
        </row>
        <row r="1062">
          <cell r="C1062">
            <v>42380.516851851855</v>
          </cell>
          <cell r="D1062" t="str">
            <v>Medium</v>
          </cell>
          <cell r="G1062" t="b">
            <v>1</v>
          </cell>
          <cell r="J1062">
            <v>42380.52648148148</v>
          </cell>
          <cell r="L1062">
            <v>13.866666660178453</v>
          </cell>
          <cell r="S1062" t="str">
            <v>TRUE</v>
          </cell>
        </row>
        <row r="1063">
          <cell r="C1063">
            <v>42380.492291666669</v>
          </cell>
          <cell r="D1063" t="str">
            <v>Large</v>
          </cell>
          <cell r="G1063" t="b">
            <v>0</v>
          </cell>
          <cell r="J1063">
            <v>42380.494375000002</v>
          </cell>
          <cell r="L1063">
            <v>2.9999999993015081</v>
          </cell>
          <cell r="S1063" t="str">
            <v>TRUE</v>
          </cell>
        </row>
        <row r="1064">
          <cell r="C1064">
            <v>42380.53229166667</v>
          </cell>
          <cell r="D1064" t="str">
            <v>Small</v>
          </cell>
          <cell r="E1064" t="str">
            <v>Medium</v>
          </cell>
          <cell r="G1064" t="b">
            <v>0</v>
          </cell>
          <cell r="J1064">
            <v>42380.534375000003</v>
          </cell>
          <cell r="L1064">
            <v>2.9999999993015081</v>
          </cell>
          <cell r="S1064" t="str">
            <v>TRUE</v>
          </cell>
        </row>
        <row r="1065">
          <cell r="C1065">
            <v>42380.490601851852</v>
          </cell>
          <cell r="D1065" t="str">
            <v>Medium</v>
          </cell>
          <cell r="G1065" t="b">
            <v>1</v>
          </cell>
          <cell r="J1065">
            <v>42380.508634259262</v>
          </cell>
          <cell r="L1065">
            <v>25.966666670283303</v>
          </cell>
          <cell r="S1065" t="str">
            <v>FALSE</v>
          </cell>
        </row>
        <row r="1066">
          <cell r="C1066">
            <v>42380.518391203703</v>
          </cell>
          <cell r="D1066" t="str">
            <v>Medium</v>
          </cell>
          <cell r="G1066" t="b">
            <v>0</v>
          </cell>
          <cell r="J1066">
            <v>42380.520451388889</v>
          </cell>
          <cell r="L1066">
            <v>2.9666666686534882</v>
          </cell>
          <cell r="S1066" t="str">
            <v>TRUE</v>
          </cell>
        </row>
        <row r="1067">
          <cell r="C1067">
            <v>42380.455671296295</v>
          </cell>
          <cell r="D1067" t="str">
            <v>Large</v>
          </cell>
          <cell r="G1067" t="b">
            <v>0</v>
          </cell>
          <cell r="J1067">
            <v>42380.457743055558</v>
          </cell>
          <cell r="L1067">
            <v>2.9833333392161876</v>
          </cell>
          <cell r="S1067" t="str">
            <v>TRUE</v>
          </cell>
        </row>
        <row r="1068">
          <cell r="C1068">
            <v>42381.503935185188</v>
          </cell>
          <cell r="D1068" t="str">
            <v>Medium</v>
          </cell>
          <cell r="G1068" t="b">
            <v>1</v>
          </cell>
          <cell r="J1068">
            <v>42381.513935185183</v>
          </cell>
          <cell r="L1068">
            <v>14.399999992456287</v>
          </cell>
          <cell r="S1068" t="str">
            <v>TRUE</v>
          </cell>
        </row>
        <row r="1069">
          <cell r="C1069">
            <v>42381.50340277778</v>
          </cell>
          <cell r="D1069" t="str">
            <v>Medium</v>
          </cell>
          <cell r="G1069" t="b">
            <v>1</v>
          </cell>
          <cell r="J1069">
            <v>42381.517777777779</v>
          </cell>
          <cell r="L1069">
            <v>20.699999998323619</v>
          </cell>
          <cell r="S1069" t="str">
            <v>FALSE</v>
          </cell>
        </row>
        <row r="1070">
          <cell r="C1070">
            <v>42381.48945601852</v>
          </cell>
          <cell r="D1070" t="str">
            <v>Medium</v>
          </cell>
          <cell r="G1070" t="b">
            <v>1</v>
          </cell>
          <cell r="J1070">
            <v>42381.495243055557</v>
          </cell>
          <cell r="L1070">
            <v>8.3333333325572312</v>
          </cell>
          <cell r="S1070" t="str">
            <v>TRUE</v>
          </cell>
        </row>
        <row r="1071">
          <cell r="C1071">
            <v>42381.459687499999</v>
          </cell>
          <cell r="D1071" t="str">
            <v>Medium</v>
          </cell>
          <cell r="G1071" t="b">
            <v>1</v>
          </cell>
          <cell r="J1071">
            <v>42381.467604166668</v>
          </cell>
          <cell r="L1071">
            <v>11.400000003632158</v>
          </cell>
          <cell r="S1071" t="str">
            <v>TRUE</v>
          </cell>
        </row>
        <row r="1072">
          <cell r="C1072">
            <v>42381.61141203704</v>
          </cell>
          <cell r="D1072" t="str">
            <v>Large</v>
          </cell>
          <cell r="G1072" t="b">
            <v>0</v>
          </cell>
          <cell r="J1072">
            <v>42381.613483796296</v>
          </cell>
          <cell r="L1072">
            <v>2.9833333287388086</v>
          </cell>
          <cell r="S1072" t="str">
            <v>TRUE</v>
          </cell>
        </row>
        <row r="1073">
          <cell r="C1073">
            <v>42381.464143518519</v>
          </cell>
          <cell r="D1073" t="str">
            <v>Large</v>
          </cell>
          <cell r="G1073" t="b">
            <v>1</v>
          </cell>
          <cell r="J1073">
            <v>42381.469039351854</v>
          </cell>
          <cell r="L1073">
            <v>7.0500000030733645</v>
          </cell>
          <cell r="S1073" t="str">
            <v>TRUE</v>
          </cell>
        </row>
        <row r="1074">
          <cell r="C1074">
            <v>42381.491284722222</v>
          </cell>
          <cell r="D1074" t="str">
            <v>Small</v>
          </cell>
          <cell r="E1074" t="str">
            <v>Medium</v>
          </cell>
          <cell r="G1074" t="b">
            <v>0</v>
          </cell>
          <cell r="J1074">
            <v>42381.493356481478</v>
          </cell>
          <cell r="L1074">
            <v>2.9833333287388086</v>
          </cell>
          <cell r="S1074" t="str">
            <v>TRUE</v>
          </cell>
        </row>
        <row r="1075">
          <cell r="C1075">
            <v>42381.467407407406</v>
          </cell>
          <cell r="D1075" t="str">
            <v>Medium</v>
          </cell>
          <cell r="G1075" t="b">
            <v>0</v>
          </cell>
          <cell r="J1075">
            <v>42381.46947916667</v>
          </cell>
          <cell r="L1075">
            <v>2.9833333392161876</v>
          </cell>
          <cell r="S1075" t="str">
            <v>TRUE</v>
          </cell>
        </row>
        <row r="1076">
          <cell r="C1076">
            <v>42381.450659722221</v>
          </cell>
          <cell r="D1076" t="str">
            <v>Large</v>
          </cell>
          <cell r="G1076" t="b">
            <v>1</v>
          </cell>
          <cell r="J1076">
            <v>42381.462256944447</v>
          </cell>
          <cell r="L1076">
            <v>16.700000006239861</v>
          </cell>
          <cell r="S1076" t="str">
            <v>FALSE</v>
          </cell>
        </row>
        <row r="1077">
          <cell r="C1077">
            <v>42381.544444444444</v>
          </cell>
          <cell r="D1077" t="str">
            <v>Small</v>
          </cell>
          <cell r="G1077" t="b">
            <v>1</v>
          </cell>
          <cell r="J1077">
            <v>42381.552685185183</v>
          </cell>
          <cell r="L1077">
            <v>11.866666664136574</v>
          </cell>
          <cell r="S1077" t="str">
            <v>TRUE</v>
          </cell>
        </row>
        <row r="1078">
          <cell r="C1078">
            <v>42381.589085648149</v>
          </cell>
          <cell r="D1078" t="str">
            <v>Large</v>
          </cell>
          <cell r="G1078" t="b">
            <v>0</v>
          </cell>
          <cell r="J1078">
            <v>42381.591168981482</v>
          </cell>
          <cell r="L1078">
            <v>2.9999999993015081</v>
          </cell>
          <cell r="S1078" t="str">
            <v>TRUE</v>
          </cell>
        </row>
        <row r="1079">
          <cell r="C1079">
            <v>42381.53638888889</v>
          </cell>
          <cell r="D1079" t="str">
            <v>Large</v>
          </cell>
          <cell r="G1079" t="b">
            <v>1</v>
          </cell>
          <cell r="J1079">
            <v>42381.54954861111</v>
          </cell>
          <cell r="L1079">
            <v>18.949999997857958</v>
          </cell>
          <cell r="S1079" t="str">
            <v>FALSE</v>
          </cell>
        </row>
        <row r="1080">
          <cell r="C1080">
            <v>42381.502754629626</v>
          </cell>
          <cell r="D1080" t="str">
            <v>Medium</v>
          </cell>
          <cell r="G1080" t="b">
            <v>1</v>
          </cell>
          <cell r="J1080">
            <v>42381.517326388886</v>
          </cell>
          <cell r="L1080">
            <v>20.983333335025236</v>
          </cell>
          <cell r="S1080" t="str">
            <v>FALSE</v>
          </cell>
        </row>
        <row r="1081">
          <cell r="C1081">
            <v>42381.501828703702</v>
          </cell>
          <cell r="D1081" t="str">
            <v>Small</v>
          </cell>
          <cell r="E1081" t="str">
            <v>Medium</v>
          </cell>
          <cell r="G1081" t="b">
            <v>1</v>
          </cell>
          <cell r="J1081">
            <v>42381.507615740738</v>
          </cell>
          <cell r="L1081">
            <v>8.3333333325572312</v>
          </cell>
          <cell r="S1081" t="str">
            <v>TRUE</v>
          </cell>
        </row>
        <row r="1082">
          <cell r="C1082">
            <v>42381.500185185185</v>
          </cell>
          <cell r="D1082" t="str">
            <v>Small</v>
          </cell>
          <cell r="E1082" t="str">
            <v>Large</v>
          </cell>
          <cell r="G1082" t="b">
            <v>0</v>
          </cell>
          <cell r="J1082">
            <v>42381.502268518518</v>
          </cell>
          <cell r="L1082">
            <v>2.9999999993015081</v>
          </cell>
          <cell r="S1082" t="str">
            <v>TRUE</v>
          </cell>
        </row>
        <row r="1083">
          <cell r="C1083">
            <v>42381.509826388887</v>
          </cell>
          <cell r="D1083" t="str">
            <v>Large</v>
          </cell>
          <cell r="G1083" t="b">
            <v>1</v>
          </cell>
          <cell r="J1083">
            <v>42381.525034722225</v>
          </cell>
          <cell r="L1083">
            <v>21.900000006426126</v>
          </cell>
          <cell r="S1083" t="str">
            <v>FALSE</v>
          </cell>
        </row>
        <row r="1084">
          <cell r="C1084">
            <v>42381.518321759257</v>
          </cell>
          <cell r="D1084" t="str">
            <v>Medium</v>
          </cell>
          <cell r="G1084" t="b">
            <v>1</v>
          </cell>
          <cell r="J1084">
            <v>42381.529803240737</v>
          </cell>
          <cell r="L1084">
            <v>16.533333332045004</v>
          </cell>
          <cell r="S1084" t="str">
            <v>FALSE</v>
          </cell>
        </row>
        <row r="1085">
          <cell r="C1085">
            <v>42381.521180555559</v>
          </cell>
          <cell r="D1085" t="str">
            <v>Medium</v>
          </cell>
          <cell r="G1085" t="b">
            <v>0</v>
          </cell>
          <cell r="J1085">
            <v>42381.523252314815</v>
          </cell>
          <cell r="L1085">
            <v>2.9833333287388086</v>
          </cell>
          <cell r="S1085" t="str">
            <v>TRUE</v>
          </cell>
        </row>
        <row r="1086">
          <cell r="C1086">
            <v>42381.526192129626</v>
          </cell>
          <cell r="D1086" t="str">
            <v>Small</v>
          </cell>
          <cell r="E1086" t="str">
            <v>Medium</v>
          </cell>
          <cell r="G1086" t="b">
            <v>0</v>
          </cell>
          <cell r="J1086">
            <v>42381.528287037036</v>
          </cell>
          <cell r="L1086">
            <v>3.0166666698642075</v>
          </cell>
          <cell r="S1086" t="str">
            <v>TRUE</v>
          </cell>
        </row>
        <row r="1087">
          <cell r="C1087">
            <v>42381.443506944444</v>
          </cell>
          <cell r="D1087" t="str">
            <v>Small</v>
          </cell>
          <cell r="G1087" t="b">
            <v>1</v>
          </cell>
          <cell r="J1087">
            <v>42381.456504629627</v>
          </cell>
          <cell r="L1087">
            <v>18.716666662367061</v>
          </cell>
          <cell r="S1087" t="str">
            <v>FALSE</v>
          </cell>
        </row>
        <row r="1088">
          <cell r="C1088">
            <v>42381.523043981484</v>
          </cell>
          <cell r="D1088" t="str">
            <v>Medium</v>
          </cell>
          <cell r="G1088" t="b">
            <v>0</v>
          </cell>
          <cell r="J1088">
            <v>42381.525138888886</v>
          </cell>
          <cell r="L1088">
            <v>3.0166666593868285</v>
          </cell>
          <cell r="S1088" t="str">
            <v>TRUE</v>
          </cell>
        </row>
        <row r="1089">
          <cell r="C1089">
            <v>42381.454074074078</v>
          </cell>
          <cell r="D1089" t="str">
            <v>Medium</v>
          </cell>
          <cell r="G1089" t="b">
            <v>1</v>
          </cell>
          <cell r="J1089">
            <v>42381.463587962964</v>
          </cell>
          <cell r="L1089">
            <v>13.699999996460974</v>
          </cell>
          <cell r="S1089" t="str">
            <v>TRUE</v>
          </cell>
        </row>
        <row r="1090">
          <cell r="C1090">
            <v>42381.528240740743</v>
          </cell>
          <cell r="D1090" t="str">
            <v>Small</v>
          </cell>
          <cell r="E1090" t="str">
            <v>Medium</v>
          </cell>
          <cell r="G1090" t="b">
            <v>0</v>
          </cell>
          <cell r="J1090">
            <v>42381.530312499999</v>
          </cell>
          <cell r="L1090">
            <v>2.9833333287388086</v>
          </cell>
          <cell r="S1090" t="str">
            <v>TRUE</v>
          </cell>
        </row>
        <row r="1091">
          <cell r="C1091">
            <v>42381.533229166664</v>
          </cell>
          <cell r="D1091" t="str">
            <v>Small</v>
          </cell>
          <cell r="E1091" t="str">
            <v>Medium</v>
          </cell>
          <cell r="G1091" t="b">
            <v>1</v>
          </cell>
          <cell r="J1091">
            <v>42381.538773148146</v>
          </cell>
          <cell r="L1091">
            <v>7.9833333345595747</v>
          </cell>
          <cell r="S1091" t="str">
            <v>TRUE</v>
          </cell>
        </row>
        <row r="1092">
          <cell r="C1092">
            <v>42381.490729166668</v>
          </cell>
          <cell r="D1092" t="str">
            <v>Large</v>
          </cell>
          <cell r="G1092" t="b">
            <v>1</v>
          </cell>
          <cell r="J1092">
            <v>42381.503657407404</v>
          </cell>
          <cell r="L1092">
            <v>18.616666659945622</v>
          </cell>
          <cell r="S1092" t="str">
            <v>FALSE</v>
          </cell>
        </row>
        <row r="1093">
          <cell r="C1093">
            <v>42381.476076388892</v>
          </cell>
          <cell r="D1093" t="str">
            <v>Small</v>
          </cell>
          <cell r="E1093" t="str">
            <v>Large</v>
          </cell>
          <cell r="G1093" t="b">
            <v>1</v>
          </cell>
          <cell r="J1093">
            <v>42381.478032407409</v>
          </cell>
          <cell r="L1093">
            <v>2.8166666650213301</v>
          </cell>
          <cell r="S1093" t="str">
            <v>TRUE</v>
          </cell>
        </row>
        <row r="1094">
          <cell r="C1094">
            <v>42381.488055555557</v>
          </cell>
          <cell r="D1094" t="str">
            <v>Large</v>
          </cell>
          <cell r="G1094" t="b">
            <v>1</v>
          </cell>
          <cell r="J1094">
            <v>42381.497523148151</v>
          </cell>
          <cell r="L1094">
            <v>13.633333335164934</v>
          </cell>
          <cell r="S1094" t="str">
            <v>TRUE</v>
          </cell>
        </row>
        <row r="1095">
          <cell r="C1095">
            <v>42381.519074074073</v>
          </cell>
          <cell r="D1095" t="str">
            <v>Large</v>
          </cell>
          <cell r="G1095" t="b">
            <v>0</v>
          </cell>
          <cell r="J1095">
            <v>42381.521157407406</v>
          </cell>
          <cell r="L1095">
            <v>2.9999999993015081</v>
          </cell>
          <cell r="S1095" t="str">
            <v>TRUE</v>
          </cell>
        </row>
        <row r="1096">
          <cell r="C1096">
            <v>42381.53162037037</v>
          </cell>
          <cell r="D1096" t="str">
            <v>Small</v>
          </cell>
          <cell r="G1096" t="b">
            <v>0</v>
          </cell>
          <cell r="J1096">
            <v>42381.533680555556</v>
          </cell>
          <cell r="L1096">
            <v>2.9666666686534882</v>
          </cell>
          <cell r="S1096" t="str">
            <v>TRUE</v>
          </cell>
        </row>
        <row r="1097">
          <cell r="C1097">
            <v>42381.569224537037</v>
          </cell>
          <cell r="D1097" t="str">
            <v>Small</v>
          </cell>
          <cell r="E1097" t="str">
            <v>Large</v>
          </cell>
          <cell r="G1097" t="b">
            <v>0</v>
          </cell>
          <cell r="J1097">
            <v>42381.571296296293</v>
          </cell>
          <cell r="L1097">
            <v>2.9833333287388086</v>
          </cell>
          <cell r="S1097" t="str">
            <v>TRUE</v>
          </cell>
        </row>
        <row r="1098">
          <cell r="C1098">
            <v>42381.540150462963</v>
          </cell>
          <cell r="D1098" t="str">
            <v>Medium</v>
          </cell>
          <cell r="E1098" t="str">
            <v>Large</v>
          </cell>
          <cell r="G1098" t="b">
            <v>1</v>
          </cell>
          <cell r="J1098">
            <v>42381.555486111109</v>
          </cell>
          <cell r="L1098">
            <v>22.083333330228925</v>
          </cell>
          <cell r="S1098" t="str">
            <v>FALSE</v>
          </cell>
        </row>
        <row r="1099">
          <cell r="C1099">
            <v>42381.5003125</v>
          </cell>
          <cell r="D1099" t="str">
            <v>Large</v>
          </cell>
          <cell r="G1099" t="b">
            <v>1</v>
          </cell>
          <cell r="J1099">
            <v>42381.511921296296</v>
          </cell>
          <cell r="L1099">
            <v>16.716666666325182</v>
          </cell>
          <cell r="S1099" t="str">
            <v>FALSE</v>
          </cell>
        </row>
        <row r="1100">
          <cell r="C1100">
            <v>42381.49324074074</v>
          </cell>
          <cell r="D1100" t="str">
            <v>Large</v>
          </cell>
          <cell r="G1100" t="b">
            <v>0</v>
          </cell>
          <cell r="J1100">
            <v>42381.495289351849</v>
          </cell>
          <cell r="L1100">
            <v>2.9499999980907887</v>
          </cell>
          <cell r="S1100" t="str">
            <v>TRUE</v>
          </cell>
        </row>
        <row r="1101">
          <cell r="C1101">
            <v>42381.447465277779</v>
          </cell>
          <cell r="D1101" t="str">
            <v>Medium</v>
          </cell>
          <cell r="G1101" t="b">
            <v>0</v>
          </cell>
          <cell r="J1101">
            <v>42381.449548611112</v>
          </cell>
          <cell r="L1101">
            <v>2.9999999993015081</v>
          </cell>
          <cell r="S1101" t="str">
            <v>TRUE</v>
          </cell>
        </row>
        <row r="1102">
          <cell r="C1102">
            <v>42381.519328703704</v>
          </cell>
          <cell r="D1102" t="str">
            <v>Large</v>
          </cell>
          <cell r="G1102" t="b">
            <v>1</v>
          </cell>
          <cell r="J1102">
            <v>42381.533541666664</v>
          </cell>
          <cell r="L1102">
            <v>20.466666662832722</v>
          </cell>
          <cell r="S1102" t="str">
            <v>FALSE</v>
          </cell>
        </row>
        <row r="1103">
          <cell r="C1103">
            <v>42381.623645833337</v>
          </cell>
          <cell r="D1103" t="str">
            <v>Large</v>
          </cell>
          <cell r="G1103" t="b">
            <v>1</v>
          </cell>
          <cell r="J1103">
            <v>42381.635300925926</v>
          </cell>
          <cell r="L1103">
            <v>16.783333327621222</v>
          </cell>
          <cell r="S1103" t="str">
            <v>FALSE</v>
          </cell>
        </row>
        <row r="1104">
          <cell r="C1104">
            <v>42381.529143518521</v>
          </cell>
          <cell r="D1104" t="str">
            <v>Small</v>
          </cell>
          <cell r="E1104" t="str">
            <v>Medium</v>
          </cell>
          <cell r="G1104" t="b">
            <v>1</v>
          </cell>
          <cell r="J1104">
            <v>42381.546956018516</v>
          </cell>
          <cell r="L1104">
            <v>25.649999992456287</v>
          </cell>
          <cell r="S1104" t="str">
            <v>FALSE</v>
          </cell>
        </row>
        <row r="1105">
          <cell r="C1105">
            <v>42381.541446759256</v>
          </cell>
          <cell r="D1105" t="str">
            <v>Large</v>
          </cell>
          <cell r="G1105" t="b">
            <v>1</v>
          </cell>
          <cell r="J1105">
            <v>42381.551446759258</v>
          </cell>
          <cell r="L1105">
            <v>14.400000002933666</v>
          </cell>
          <cell r="S1105" t="str">
            <v>TRUE</v>
          </cell>
        </row>
        <row r="1106">
          <cell r="C1106">
            <v>42381.507962962962</v>
          </cell>
          <cell r="D1106" t="str">
            <v>Large</v>
          </cell>
          <cell r="G1106" t="b">
            <v>1</v>
          </cell>
          <cell r="J1106">
            <v>42381.51289351852</v>
          </cell>
          <cell r="L1106">
            <v>7.1000000042840838</v>
          </cell>
          <cell r="S1106" t="str">
            <v>TRUE</v>
          </cell>
        </row>
        <row r="1107">
          <cell r="C1107">
            <v>42381.511064814818</v>
          </cell>
          <cell r="D1107" t="str">
            <v>Small</v>
          </cell>
          <cell r="G1107" t="b">
            <v>1</v>
          </cell>
          <cell r="J1107">
            <v>42381.524907407409</v>
          </cell>
          <cell r="L1107">
            <v>19.933333330554888</v>
          </cell>
          <cell r="S1107" t="str">
            <v>FALSE</v>
          </cell>
        </row>
        <row r="1108">
          <cell r="C1108">
            <v>42381.502893518518</v>
          </cell>
          <cell r="D1108" t="str">
            <v>Large</v>
          </cell>
          <cell r="G1108" t="b">
            <v>0</v>
          </cell>
          <cell r="J1108">
            <v>42381.504988425928</v>
          </cell>
          <cell r="L1108">
            <v>3.0166666698642075</v>
          </cell>
          <cell r="S1108" t="str">
            <v>TRUE</v>
          </cell>
        </row>
        <row r="1109">
          <cell r="C1109">
            <v>42381.489131944443</v>
          </cell>
          <cell r="D1109" t="str">
            <v>Small</v>
          </cell>
          <cell r="E1109" t="str">
            <v>Medium</v>
          </cell>
          <cell r="G1109" t="b">
            <v>0</v>
          </cell>
          <cell r="J1109">
            <v>42381.491215277776</v>
          </cell>
          <cell r="L1109">
            <v>2.9999999993015081</v>
          </cell>
          <cell r="S1109" t="str">
            <v>TRUE</v>
          </cell>
        </row>
        <row r="1110">
          <cell r="C1110">
            <v>42381.49324074074</v>
          </cell>
          <cell r="D1110" t="str">
            <v>Medium</v>
          </cell>
          <cell r="G1110" t="b">
            <v>1</v>
          </cell>
          <cell r="J1110">
            <v>42381.506608796299</v>
          </cell>
          <cell r="L1110">
            <v>19.250000005122274</v>
          </cell>
          <cell r="S1110" t="str">
            <v>FALSE</v>
          </cell>
        </row>
        <row r="1111">
          <cell r="C1111">
            <v>42381.545162037037</v>
          </cell>
          <cell r="D1111" t="str">
            <v>Large</v>
          </cell>
          <cell r="G1111" t="b">
            <v>1</v>
          </cell>
          <cell r="J1111">
            <v>42381.559120370373</v>
          </cell>
          <cell r="L1111">
            <v>20.100000004749745</v>
          </cell>
          <cell r="S1111" t="str">
            <v>FALSE</v>
          </cell>
        </row>
        <row r="1112">
          <cell r="C1112">
            <v>42381.479537037034</v>
          </cell>
          <cell r="D1112" t="str">
            <v>Small</v>
          </cell>
          <cell r="E1112" t="str">
            <v>Large</v>
          </cell>
          <cell r="G1112" t="b">
            <v>0</v>
          </cell>
          <cell r="J1112">
            <v>42381.481620370374</v>
          </cell>
          <cell r="L1112">
            <v>3.000000009778887</v>
          </cell>
          <cell r="S1112" t="str">
            <v>TRUE</v>
          </cell>
        </row>
        <row r="1113">
          <cell r="C1113">
            <v>42381.474016203705</v>
          </cell>
          <cell r="D1113" t="str">
            <v>Large</v>
          </cell>
          <cell r="G1113" t="b">
            <v>1</v>
          </cell>
          <cell r="J1113">
            <v>42381.486967592595</v>
          </cell>
          <cell r="L1113">
            <v>18.650000001071021</v>
          </cell>
          <cell r="S1113" t="str">
            <v>FALSE</v>
          </cell>
        </row>
        <row r="1114">
          <cell r="C1114">
            <v>42381.591608796298</v>
          </cell>
          <cell r="D1114" t="str">
            <v>Large</v>
          </cell>
          <cell r="G1114" t="b">
            <v>0</v>
          </cell>
          <cell r="J1114">
            <v>42381.593680555554</v>
          </cell>
          <cell r="L1114">
            <v>2.9833333287388086</v>
          </cell>
          <cell r="S1114" t="str">
            <v>TRUE</v>
          </cell>
        </row>
        <row r="1115">
          <cell r="C1115">
            <v>42381.527592592596</v>
          </cell>
          <cell r="D1115" t="str">
            <v>Medium</v>
          </cell>
          <cell r="G1115" t="b">
            <v>0</v>
          </cell>
          <cell r="J1115">
            <v>42381.529664351852</v>
          </cell>
          <cell r="L1115">
            <v>2.9833333287388086</v>
          </cell>
          <cell r="S1115" t="str">
            <v>TRUE</v>
          </cell>
        </row>
        <row r="1116">
          <cell r="C1116">
            <v>42381.527974537035</v>
          </cell>
          <cell r="D1116" t="str">
            <v>Medium</v>
          </cell>
          <cell r="G1116" t="b">
            <v>0</v>
          </cell>
          <cell r="J1116">
            <v>42381.530057870368</v>
          </cell>
          <cell r="L1116">
            <v>2.9999999993015081</v>
          </cell>
          <cell r="S1116" t="str">
            <v>TRUE</v>
          </cell>
        </row>
        <row r="1117">
          <cell r="C1117">
            <v>42381.570289351854</v>
          </cell>
          <cell r="D1117" t="str">
            <v>Small</v>
          </cell>
          <cell r="G1117" t="b">
            <v>1</v>
          </cell>
          <cell r="J1117">
            <v>42381.580104166664</v>
          </cell>
          <cell r="L1117">
            <v>14.13333332631737</v>
          </cell>
          <cell r="S1117" t="str">
            <v>TRUE</v>
          </cell>
        </row>
        <row r="1118">
          <cell r="C1118">
            <v>42381.541192129633</v>
          </cell>
          <cell r="D1118" t="str">
            <v>Medium</v>
          </cell>
          <cell r="G1118" t="b">
            <v>0</v>
          </cell>
          <cell r="J1118">
            <v>42381.543263888889</v>
          </cell>
          <cell r="L1118">
            <v>2.9833333287388086</v>
          </cell>
          <cell r="S1118" t="str">
            <v>TRUE</v>
          </cell>
        </row>
        <row r="1119">
          <cell r="C1119">
            <v>42381.448379629626</v>
          </cell>
          <cell r="D1119" t="str">
            <v>Small</v>
          </cell>
          <cell r="E1119" t="str">
            <v>Medium</v>
          </cell>
          <cell r="G1119" t="b">
            <v>0</v>
          </cell>
          <cell r="J1119">
            <v>42381.450439814813</v>
          </cell>
          <cell r="L1119">
            <v>2.9666666686534882</v>
          </cell>
          <cell r="S1119" t="str">
            <v>TRUE</v>
          </cell>
        </row>
        <row r="1120">
          <cell r="C1120">
            <v>42381.532129629632</v>
          </cell>
          <cell r="D1120" t="str">
            <v>Small</v>
          </cell>
          <cell r="E1120" t="str">
            <v>Medium</v>
          </cell>
          <cell r="G1120" t="b">
            <v>1</v>
          </cell>
          <cell r="J1120">
            <v>42381.544409722221</v>
          </cell>
          <cell r="L1120">
            <v>17.683333328459412</v>
          </cell>
          <cell r="S1120" t="str">
            <v>FALSE</v>
          </cell>
        </row>
        <row r="1121">
          <cell r="C1121">
            <v>42381.476979166669</v>
          </cell>
          <cell r="D1121" t="str">
            <v>Large</v>
          </cell>
          <cell r="G1121" t="b">
            <v>0</v>
          </cell>
          <cell r="J1121">
            <v>42381.479039351849</v>
          </cell>
          <cell r="L1121">
            <v>2.9666666581761092</v>
          </cell>
          <cell r="S1121" t="str">
            <v>TRUE</v>
          </cell>
        </row>
        <row r="1122">
          <cell r="C1122">
            <v>42381.547488425924</v>
          </cell>
          <cell r="D1122" t="str">
            <v>Medium</v>
          </cell>
          <cell r="G1122" t="b">
            <v>1</v>
          </cell>
          <cell r="J1122">
            <v>42381.559189814812</v>
          </cell>
          <cell r="L1122">
            <v>16.84999999939464</v>
          </cell>
          <cell r="S1122" t="str">
            <v>FALSE</v>
          </cell>
        </row>
        <row r="1123">
          <cell r="C1123">
            <v>42381.570277777777</v>
          </cell>
          <cell r="D1123" t="str">
            <v>Large</v>
          </cell>
          <cell r="G1123" t="b">
            <v>0</v>
          </cell>
          <cell r="J1123">
            <v>42381.57236111111</v>
          </cell>
          <cell r="L1123">
            <v>2.9999999993015081</v>
          </cell>
          <cell r="S1123" t="str">
            <v>TRUE</v>
          </cell>
        </row>
        <row r="1124">
          <cell r="C1124">
            <v>42381.43204861111</v>
          </cell>
          <cell r="D1124" t="str">
            <v>Small</v>
          </cell>
          <cell r="E1124" t="str">
            <v>Large</v>
          </cell>
          <cell r="G1124" t="b">
            <v>1</v>
          </cell>
          <cell r="J1124">
            <v>42381.439351851855</v>
          </cell>
          <cell r="L1124">
            <v>10.516666673356667</v>
          </cell>
          <cell r="S1124" t="str">
            <v>TRUE</v>
          </cell>
        </row>
        <row r="1125">
          <cell r="C1125">
            <v>42381.546851851854</v>
          </cell>
          <cell r="D1125" t="str">
            <v>Medium</v>
          </cell>
          <cell r="G1125" t="b">
            <v>1</v>
          </cell>
          <cell r="J1125">
            <v>42381.560717592591</v>
          </cell>
          <cell r="L1125">
            <v>19.966666661202908</v>
          </cell>
          <cell r="S1125" t="str">
            <v>FALSE</v>
          </cell>
        </row>
        <row r="1126">
          <cell r="C1126">
            <v>42381.496099537035</v>
          </cell>
          <cell r="D1126" t="str">
            <v>Medium</v>
          </cell>
          <cell r="G1126" t="b">
            <v>0</v>
          </cell>
          <cell r="J1126">
            <v>42381.498194444444</v>
          </cell>
          <cell r="L1126">
            <v>3.0166666698642075</v>
          </cell>
          <cell r="S1126" t="str">
            <v>TRUE</v>
          </cell>
        </row>
        <row r="1127">
          <cell r="C1127">
            <v>42381.537870370368</v>
          </cell>
          <cell r="D1127" t="str">
            <v>Small</v>
          </cell>
          <cell r="G1127" t="b">
            <v>0</v>
          </cell>
          <cell r="J1127">
            <v>42381.539942129632</v>
          </cell>
          <cell r="L1127">
            <v>2.9833333392161876</v>
          </cell>
          <cell r="S1127" t="str">
            <v>TRUE</v>
          </cell>
        </row>
        <row r="1128">
          <cell r="C1128">
            <v>42381.538518518515</v>
          </cell>
          <cell r="D1128" t="str">
            <v>Large</v>
          </cell>
          <cell r="G1128" t="b">
            <v>1</v>
          </cell>
          <cell r="J1128">
            <v>42381.550335648149</v>
          </cell>
          <cell r="L1128">
            <v>17.016666673589498</v>
          </cell>
          <cell r="S1128" t="str">
            <v>FALSE</v>
          </cell>
        </row>
        <row r="1129">
          <cell r="C1129">
            <v>42381.526493055557</v>
          </cell>
          <cell r="D1129" t="str">
            <v>Small</v>
          </cell>
          <cell r="E1129" t="str">
            <v>Medium</v>
          </cell>
          <cell r="G1129" t="b">
            <v>0</v>
          </cell>
          <cell r="J1129">
            <v>42381.52857638889</v>
          </cell>
          <cell r="L1129">
            <v>2.9999999993015081</v>
          </cell>
          <cell r="S1129" t="str">
            <v>TRUE</v>
          </cell>
        </row>
        <row r="1130">
          <cell r="C1130">
            <v>42381.575659722221</v>
          </cell>
          <cell r="D1130" t="str">
            <v>Small</v>
          </cell>
          <cell r="G1130" t="b">
            <v>0</v>
          </cell>
          <cell r="J1130">
            <v>42381.577743055554</v>
          </cell>
          <cell r="L1130">
            <v>2.9999999993015081</v>
          </cell>
          <cell r="S1130" t="str">
            <v>TRUE</v>
          </cell>
        </row>
        <row r="1131">
          <cell r="C1131">
            <v>42381.432824074072</v>
          </cell>
          <cell r="D1131" t="str">
            <v>Large</v>
          </cell>
          <cell r="G1131" t="b">
            <v>1</v>
          </cell>
          <cell r="J1131">
            <v>42381.444212962961</v>
          </cell>
          <cell r="L1131">
            <v>16.399999998975545</v>
          </cell>
          <cell r="S1131" t="str">
            <v>FALSE</v>
          </cell>
        </row>
        <row r="1132">
          <cell r="C1132">
            <v>42381.533506944441</v>
          </cell>
          <cell r="D1132" t="str">
            <v>Medium</v>
          </cell>
          <cell r="G1132" t="b">
            <v>0</v>
          </cell>
          <cell r="J1132">
            <v>42381.535601851851</v>
          </cell>
          <cell r="L1132">
            <v>3.0166666698642075</v>
          </cell>
          <cell r="S1132" t="str">
            <v>TRUE</v>
          </cell>
        </row>
        <row r="1133">
          <cell r="C1133">
            <v>42381.606863425928</v>
          </cell>
          <cell r="D1133" t="str">
            <v>Medium</v>
          </cell>
          <cell r="E1133" t="str">
            <v>Large</v>
          </cell>
          <cell r="G1133" t="b">
            <v>1</v>
          </cell>
          <cell r="J1133">
            <v>42381.616226851853</v>
          </cell>
          <cell r="L1133">
            <v>13.483333331532776</v>
          </cell>
          <cell r="S1133" t="str">
            <v>TRUE</v>
          </cell>
        </row>
        <row r="1134">
          <cell r="C1134">
            <v>42381.546342592592</v>
          </cell>
          <cell r="D1134" t="str">
            <v>Large</v>
          </cell>
          <cell r="G1134" t="b">
            <v>1</v>
          </cell>
          <cell r="J1134">
            <v>42381.554606481484</v>
          </cell>
          <cell r="L1134">
            <v>11.900000005261973</v>
          </cell>
          <cell r="S1134" t="str">
            <v>TRUE</v>
          </cell>
        </row>
        <row r="1135">
          <cell r="C1135">
            <v>42381.494537037041</v>
          </cell>
          <cell r="D1135" t="str">
            <v>Small</v>
          </cell>
          <cell r="E1135" t="str">
            <v>Medium</v>
          </cell>
          <cell r="G1135" t="b">
            <v>1</v>
          </cell>
          <cell r="J1135">
            <v>42381.504201388889</v>
          </cell>
          <cell r="L1135">
            <v>13.916666661389172</v>
          </cell>
          <cell r="S1135" t="str">
            <v>TRUE</v>
          </cell>
        </row>
        <row r="1136">
          <cell r="C1136">
            <v>42381.544212962966</v>
          </cell>
          <cell r="D1136" t="str">
            <v>Small</v>
          </cell>
          <cell r="E1136" t="str">
            <v>Medium</v>
          </cell>
          <cell r="G1136" t="b">
            <v>1</v>
          </cell>
          <cell r="J1136">
            <v>42381.546249999999</v>
          </cell>
          <cell r="L1136">
            <v>2.9333333275280893</v>
          </cell>
          <cell r="S1136" t="str">
            <v>TRUE</v>
          </cell>
        </row>
        <row r="1137">
          <cell r="C1137">
            <v>42381.478159722225</v>
          </cell>
          <cell r="D1137" t="str">
            <v>Large</v>
          </cell>
          <cell r="G1137" t="b">
            <v>1</v>
          </cell>
          <cell r="J1137">
            <v>42381.485833333332</v>
          </cell>
          <cell r="L1137">
            <v>11.049999995157123</v>
          </cell>
          <cell r="S1137" t="str">
            <v>TRUE</v>
          </cell>
        </row>
        <row r="1138">
          <cell r="C1138">
            <v>42381.50885416667</v>
          </cell>
          <cell r="D1138" t="str">
            <v>Large</v>
          </cell>
          <cell r="G1138" t="b">
            <v>0</v>
          </cell>
          <cell r="J1138">
            <v>42381.510891203703</v>
          </cell>
          <cell r="L1138">
            <v>2.9333333275280893</v>
          </cell>
          <cell r="S1138" t="str">
            <v>TRUE</v>
          </cell>
        </row>
        <row r="1139">
          <cell r="C1139">
            <v>42381.467395833337</v>
          </cell>
          <cell r="D1139" t="str">
            <v>Medium</v>
          </cell>
          <cell r="G1139" t="b">
            <v>1</v>
          </cell>
          <cell r="J1139">
            <v>42381.472800925927</v>
          </cell>
          <cell r="L1139">
            <v>7.7833333297166973</v>
          </cell>
          <cell r="S1139" t="str">
            <v>TRUE</v>
          </cell>
        </row>
        <row r="1140">
          <cell r="C1140">
            <v>42381.541203703702</v>
          </cell>
          <cell r="D1140" t="str">
            <v>Medium</v>
          </cell>
          <cell r="G1140" t="b">
            <v>1</v>
          </cell>
          <cell r="J1140">
            <v>42381.551793981482</v>
          </cell>
          <cell r="L1140">
            <v>15.250000002561137</v>
          </cell>
          <cell r="S1140" t="str">
            <v>TRUE</v>
          </cell>
        </row>
        <row r="1141">
          <cell r="C1141">
            <v>42381.63082175926</v>
          </cell>
          <cell r="D1141" t="str">
            <v>Medium</v>
          </cell>
          <cell r="G1141" t="b">
            <v>1</v>
          </cell>
          <cell r="J1141">
            <v>42381.643854166665</v>
          </cell>
          <cell r="L1141">
            <v>18.76666666357778</v>
          </cell>
          <cell r="S1141" t="str">
            <v>FALSE</v>
          </cell>
        </row>
        <row r="1142">
          <cell r="C1142">
            <v>42381.495937500003</v>
          </cell>
          <cell r="D1142" t="str">
            <v>Small</v>
          </cell>
          <cell r="E1142" t="str">
            <v>Medium</v>
          </cell>
          <cell r="G1142" t="b">
            <v>1</v>
          </cell>
          <cell r="J1142">
            <v>42381.509097222224</v>
          </cell>
          <cell r="L1142">
            <v>18.949999997857958</v>
          </cell>
          <cell r="S1142" t="str">
            <v>FALSE</v>
          </cell>
        </row>
        <row r="1143">
          <cell r="C1143">
            <v>42381.540763888886</v>
          </cell>
          <cell r="D1143" t="str">
            <v>Medium</v>
          </cell>
          <cell r="G1143" t="b">
            <v>0</v>
          </cell>
          <cell r="J1143">
            <v>42381.542847222219</v>
          </cell>
          <cell r="L1143">
            <v>2.9999999993015081</v>
          </cell>
          <cell r="S1143" t="str">
            <v>TRUE</v>
          </cell>
        </row>
        <row r="1144">
          <cell r="C1144">
            <v>42381.487557870372</v>
          </cell>
          <cell r="D1144" t="str">
            <v>Small</v>
          </cell>
          <cell r="G1144" t="b">
            <v>0</v>
          </cell>
          <cell r="J1144">
            <v>42381.489641203705</v>
          </cell>
          <cell r="L1144">
            <v>2.9999999993015081</v>
          </cell>
          <cell r="S1144" t="str">
            <v>TRUE</v>
          </cell>
        </row>
        <row r="1145">
          <cell r="C1145">
            <v>42381.43854166667</v>
          </cell>
          <cell r="D1145" t="str">
            <v>Large</v>
          </cell>
          <cell r="G1145" t="b">
            <v>1</v>
          </cell>
          <cell r="J1145">
            <v>42381.45722222222</v>
          </cell>
          <cell r="L1145">
            <v>26.899999991292134</v>
          </cell>
          <cell r="S1145" t="str">
            <v>FALSE</v>
          </cell>
        </row>
        <row r="1146">
          <cell r="C1146">
            <v>42381.503263888888</v>
          </cell>
          <cell r="D1146" t="str">
            <v>Medium</v>
          </cell>
          <cell r="G1146" t="b">
            <v>0</v>
          </cell>
          <cell r="J1146">
            <v>42381.505358796298</v>
          </cell>
          <cell r="L1146">
            <v>3.0166666698642075</v>
          </cell>
          <cell r="S1146" t="str">
            <v>TRUE</v>
          </cell>
        </row>
        <row r="1147">
          <cell r="C1147">
            <v>42381.467916666668</v>
          </cell>
          <cell r="D1147" t="str">
            <v>Medium</v>
          </cell>
          <cell r="G1147" t="b">
            <v>1</v>
          </cell>
          <cell r="J1147">
            <v>42381.477280092593</v>
          </cell>
          <cell r="L1147">
            <v>13.483333331532776</v>
          </cell>
          <cell r="S1147" t="str">
            <v>TRUE</v>
          </cell>
        </row>
        <row r="1148">
          <cell r="C1148">
            <v>42381.514988425923</v>
          </cell>
          <cell r="D1148" t="str">
            <v>Small</v>
          </cell>
          <cell r="E1148" t="str">
            <v>Large</v>
          </cell>
          <cell r="G1148" t="b">
            <v>0</v>
          </cell>
          <cell r="J1148">
            <v>42381.517071759263</v>
          </cell>
          <cell r="L1148">
            <v>3.000000009778887</v>
          </cell>
          <cell r="S1148" t="str">
            <v>TRUE</v>
          </cell>
        </row>
        <row r="1149">
          <cell r="C1149">
            <v>42381.435393518521</v>
          </cell>
          <cell r="D1149" t="str">
            <v>Small</v>
          </cell>
          <cell r="G1149" t="b">
            <v>0</v>
          </cell>
          <cell r="J1149">
            <v>42381.437476851854</v>
          </cell>
          <cell r="L1149">
            <v>2.9999999993015081</v>
          </cell>
          <cell r="S1149" t="str">
            <v>TRUE</v>
          </cell>
        </row>
        <row r="1150">
          <cell r="C1150">
            <v>42381.547685185185</v>
          </cell>
          <cell r="D1150" t="str">
            <v>Small</v>
          </cell>
          <cell r="G1150" t="b">
            <v>1</v>
          </cell>
          <cell r="J1150">
            <v>42381.557372685187</v>
          </cell>
          <cell r="L1150">
            <v>13.950000002514571</v>
          </cell>
          <cell r="S1150" t="str">
            <v>TRUE</v>
          </cell>
        </row>
        <row r="1151">
          <cell r="C1151">
            <v>42381.473194444443</v>
          </cell>
          <cell r="D1151" t="str">
            <v>Large</v>
          </cell>
          <cell r="G1151" t="b">
            <v>0</v>
          </cell>
          <cell r="J1151">
            <v>42381.475266203706</v>
          </cell>
          <cell r="L1151">
            <v>2.9833333392161876</v>
          </cell>
          <cell r="S1151" t="str">
            <v>TRUE</v>
          </cell>
        </row>
        <row r="1152">
          <cell r="C1152">
            <v>42381.586817129632</v>
          </cell>
          <cell r="D1152" t="str">
            <v>Small</v>
          </cell>
          <cell r="E1152" t="str">
            <v>Medium</v>
          </cell>
          <cell r="G1152" t="b">
            <v>0</v>
          </cell>
          <cell r="J1152">
            <v>42381.588900462964</v>
          </cell>
          <cell r="L1152">
            <v>2.9999999993015081</v>
          </cell>
          <cell r="S1152" t="str">
            <v>TRUE</v>
          </cell>
        </row>
        <row r="1153">
          <cell r="C1153">
            <v>42381.477638888886</v>
          </cell>
          <cell r="D1153" t="str">
            <v>Small</v>
          </cell>
          <cell r="G1153" t="b">
            <v>0</v>
          </cell>
          <cell r="J1153">
            <v>42381.479710648149</v>
          </cell>
          <cell r="L1153">
            <v>2.9833333392161876</v>
          </cell>
          <cell r="S1153" t="str">
            <v>TRUE</v>
          </cell>
        </row>
        <row r="1154">
          <cell r="C1154">
            <v>42381.541979166665</v>
          </cell>
          <cell r="D1154" t="str">
            <v>Large</v>
          </cell>
          <cell r="G1154" t="b">
            <v>0</v>
          </cell>
          <cell r="J1154">
            <v>42381.544050925928</v>
          </cell>
          <cell r="L1154">
            <v>2.9833333392161876</v>
          </cell>
          <cell r="S1154" t="str">
            <v>TRUE</v>
          </cell>
        </row>
        <row r="1155">
          <cell r="C1155">
            <v>42381.546620370369</v>
          </cell>
          <cell r="D1155" t="str">
            <v>Large</v>
          </cell>
          <cell r="G1155" t="b">
            <v>1</v>
          </cell>
          <cell r="J1155">
            <v>42381.556562500002</v>
          </cell>
          <cell r="L1155">
            <v>14.316666671074927</v>
          </cell>
          <cell r="S1155" t="str">
            <v>TRUE</v>
          </cell>
        </row>
        <row r="1156">
          <cell r="C1156">
            <v>42381.557569444441</v>
          </cell>
          <cell r="D1156" t="str">
            <v>Small</v>
          </cell>
          <cell r="E1156" t="str">
            <v>Large</v>
          </cell>
          <cell r="G1156" t="b">
            <v>1</v>
          </cell>
          <cell r="J1156">
            <v>42381.571157407408</v>
          </cell>
          <cell r="L1156">
            <v>19.566666672471911</v>
          </cell>
          <cell r="S1156" t="str">
            <v>FALSE</v>
          </cell>
        </row>
        <row r="1157">
          <cell r="C1157">
            <v>42381.485821759263</v>
          </cell>
          <cell r="D1157" t="str">
            <v>Large</v>
          </cell>
          <cell r="G1157" t="b">
            <v>0</v>
          </cell>
          <cell r="J1157">
            <v>42381.487893518519</v>
          </cell>
          <cell r="L1157">
            <v>2.9833333287388086</v>
          </cell>
          <cell r="S1157" t="str">
            <v>TRUE</v>
          </cell>
        </row>
        <row r="1158">
          <cell r="C1158">
            <v>42381.469270833331</v>
          </cell>
          <cell r="D1158" t="str">
            <v>Medium</v>
          </cell>
          <cell r="G1158" t="b">
            <v>0</v>
          </cell>
          <cell r="J1158">
            <v>42381.471354166664</v>
          </cell>
          <cell r="L1158">
            <v>2.9999999993015081</v>
          </cell>
          <cell r="S1158" t="str">
            <v>TRUE</v>
          </cell>
        </row>
        <row r="1159">
          <cell r="C1159">
            <v>42381.48269675926</v>
          </cell>
          <cell r="D1159" t="str">
            <v>Medium</v>
          </cell>
          <cell r="G1159" t="b">
            <v>0</v>
          </cell>
          <cell r="J1159">
            <v>42381.484733796293</v>
          </cell>
          <cell r="L1159">
            <v>2.9333333275280893</v>
          </cell>
          <cell r="S1159" t="str">
            <v>TRUE</v>
          </cell>
        </row>
        <row r="1160">
          <cell r="C1160">
            <v>42381.569976851853</v>
          </cell>
          <cell r="D1160" t="str">
            <v>Medium</v>
          </cell>
          <cell r="G1160" t="b">
            <v>1</v>
          </cell>
          <cell r="J1160">
            <v>42381.576967592591</v>
          </cell>
          <cell r="L1160">
            <v>10.066666662460193</v>
          </cell>
          <cell r="S1160" t="str">
            <v>TRUE</v>
          </cell>
        </row>
        <row r="1161">
          <cell r="C1161">
            <v>42382.487303240741</v>
          </cell>
          <cell r="D1161" t="str">
            <v>Small</v>
          </cell>
          <cell r="G1161" t="b">
            <v>0</v>
          </cell>
          <cell r="J1161">
            <v>42382.48940972222</v>
          </cell>
          <cell r="L1161">
            <v>3.033333329949528</v>
          </cell>
          <cell r="S1161" t="str">
            <v>TRUE</v>
          </cell>
        </row>
        <row r="1162">
          <cell r="C1162">
            <v>42382.458055555559</v>
          </cell>
          <cell r="D1162" t="str">
            <v>Small</v>
          </cell>
          <cell r="E1162" t="str">
            <v>Medium</v>
          </cell>
          <cell r="G1162" t="b">
            <v>1</v>
          </cell>
          <cell r="J1162">
            <v>42382.464884259258</v>
          </cell>
          <cell r="L1162">
            <v>9.8333333269692957</v>
          </cell>
          <cell r="S1162" t="str">
            <v>TRUE</v>
          </cell>
        </row>
        <row r="1163">
          <cell r="C1163">
            <v>42382.520555555559</v>
          </cell>
          <cell r="D1163" t="str">
            <v>Medium</v>
          </cell>
          <cell r="G1163" t="b">
            <v>0</v>
          </cell>
          <cell r="J1163">
            <v>42382.522627314815</v>
          </cell>
          <cell r="L1163">
            <v>2.9833333287388086</v>
          </cell>
          <cell r="S1163" t="str">
            <v>TRUE</v>
          </cell>
        </row>
        <row r="1164">
          <cell r="C1164">
            <v>42382.524722222224</v>
          </cell>
          <cell r="D1164" t="str">
            <v>Small</v>
          </cell>
          <cell r="E1164" t="str">
            <v>Medium</v>
          </cell>
          <cell r="G1164" t="b">
            <v>1</v>
          </cell>
          <cell r="J1164">
            <v>42382.533935185187</v>
          </cell>
          <cell r="L1164">
            <v>13.266666666604578</v>
          </cell>
          <cell r="S1164" t="str">
            <v>TRUE</v>
          </cell>
        </row>
        <row r="1165">
          <cell r="C1165">
            <v>42382.437048611115</v>
          </cell>
          <cell r="D1165" t="str">
            <v>Small</v>
          </cell>
          <cell r="E1165" t="str">
            <v>Medium</v>
          </cell>
          <cell r="G1165" t="b">
            <v>1</v>
          </cell>
          <cell r="J1165">
            <v>42382.447430555556</v>
          </cell>
          <cell r="L1165">
            <v>14.949999995296821</v>
          </cell>
          <cell r="S1165" t="str">
            <v>TRUE</v>
          </cell>
        </row>
        <row r="1166">
          <cell r="C1166">
            <v>42382.57476851852</v>
          </cell>
          <cell r="D1166" t="str">
            <v>Small</v>
          </cell>
          <cell r="G1166" t="b">
            <v>1</v>
          </cell>
          <cell r="J1166">
            <v>42382.587013888886</v>
          </cell>
          <cell r="L1166">
            <v>17.633333327248693</v>
          </cell>
          <cell r="S1166" t="str">
            <v>FALSE</v>
          </cell>
        </row>
        <row r="1167">
          <cell r="C1167">
            <v>42382.507905092592</v>
          </cell>
          <cell r="D1167" t="str">
            <v>Medium</v>
          </cell>
          <cell r="G1167" t="b">
            <v>0</v>
          </cell>
          <cell r="J1167">
            <v>42382.509965277779</v>
          </cell>
          <cell r="L1167">
            <v>2.9666666686534882</v>
          </cell>
          <cell r="S1167" t="str">
            <v>TRUE</v>
          </cell>
        </row>
        <row r="1168">
          <cell r="C1168">
            <v>42382.500277777777</v>
          </cell>
          <cell r="D1168" t="str">
            <v>Small</v>
          </cell>
          <cell r="E1168" t="str">
            <v>Medium</v>
          </cell>
          <cell r="G1168" t="b">
            <v>1</v>
          </cell>
          <cell r="J1168">
            <v>42382.51226851852</v>
          </cell>
          <cell r="L1168">
            <v>17.266666669165716</v>
          </cell>
          <cell r="S1168" t="str">
            <v>FALSE</v>
          </cell>
        </row>
        <row r="1169">
          <cell r="C1169">
            <v>42382.525752314818</v>
          </cell>
          <cell r="D1169" t="str">
            <v>Large</v>
          </cell>
          <cell r="G1169" t="b">
            <v>1</v>
          </cell>
          <cell r="J1169">
            <v>42382.534583333334</v>
          </cell>
          <cell r="L1169">
            <v>12.716666663764045</v>
          </cell>
          <cell r="S1169" t="str">
            <v>TRUE</v>
          </cell>
        </row>
        <row r="1170">
          <cell r="C1170">
            <v>42382.58116898148</v>
          </cell>
          <cell r="D1170" t="str">
            <v>Small</v>
          </cell>
          <cell r="E1170" t="str">
            <v>Medium</v>
          </cell>
          <cell r="G1170" t="b">
            <v>0</v>
          </cell>
          <cell r="J1170">
            <v>42382.583252314813</v>
          </cell>
          <cell r="L1170">
            <v>2.9999999993015081</v>
          </cell>
          <cell r="S1170" t="str">
            <v>TRUE</v>
          </cell>
        </row>
        <row r="1171">
          <cell r="C1171">
            <v>42382.476840277777</v>
          </cell>
          <cell r="D1171" t="str">
            <v>Medium</v>
          </cell>
          <cell r="G1171" t="b">
            <v>0</v>
          </cell>
          <cell r="J1171">
            <v>42382.47892361111</v>
          </cell>
          <cell r="L1171">
            <v>2.9999999993015081</v>
          </cell>
          <cell r="S1171" t="str">
            <v>TRUE</v>
          </cell>
        </row>
        <row r="1172">
          <cell r="C1172">
            <v>42382.513761574075</v>
          </cell>
          <cell r="D1172" t="str">
            <v>Medium</v>
          </cell>
          <cell r="E1172" t="str">
            <v>Large</v>
          </cell>
          <cell r="G1172" t="b">
            <v>1</v>
          </cell>
          <cell r="J1172">
            <v>42382.522118055553</v>
          </cell>
          <cell r="L1172">
            <v>12.033333327854052</v>
          </cell>
          <cell r="S1172" t="str">
            <v>TRUE</v>
          </cell>
        </row>
        <row r="1173">
          <cell r="C1173">
            <v>42382.539074074077</v>
          </cell>
          <cell r="D1173" t="str">
            <v>Small</v>
          </cell>
          <cell r="G1173" t="b">
            <v>1</v>
          </cell>
          <cell r="J1173">
            <v>42382.548078703701</v>
          </cell>
          <cell r="L1173">
            <v>12.966666659340262</v>
          </cell>
          <cell r="S1173" t="str">
            <v>TRUE</v>
          </cell>
        </row>
        <row r="1174">
          <cell r="C1174">
            <v>42382.554155092592</v>
          </cell>
          <cell r="D1174" t="str">
            <v>Medium</v>
          </cell>
          <cell r="G1174" t="b">
            <v>0</v>
          </cell>
          <cell r="J1174">
            <v>42382.556261574071</v>
          </cell>
          <cell r="L1174">
            <v>3.033333329949528</v>
          </cell>
          <cell r="S1174" t="str">
            <v>TRUE</v>
          </cell>
        </row>
        <row r="1175">
          <cell r="C1175">
            <v>42382.49359953704</v>
          </cell>
          <cell r="D1175" t="str">
            <v>Small</v>
          </cell>
          <cell r="E1175" t="str">
            <v>Large</v>
          </cell>
          <cell r="G1175" t="b">
            <v>0</v>
          </cell>
          <cell r="J1175">
            <v>42382.495671296296</v>
          </cell>
          <cell r="L1175">
            <v>2.9833333287388086</v>
          </cell>
          <cell r="S1175" t="str">
            <v>TRUE</v>
          </cell>
        </row>
        <row r="1176">
          <cell r="C1176">
            <v>42382.498368055552</v>
          </cell>
          <cell r="D1176" t="str">
            <v>Large</v>
          </cell>
          <cell r="G1176" t="b">
            <v>1</v>
          </cell>
          <cell r="J1176">
            <v>42382.513472222221</v>
          </cell>
          <cell r="L1176">
            <v>21.750000002793968</v>
          </cell>
          <cell r="S1176" t="str">
            <v>FALSE</v>
          </cell>
        </row>
        <row r="1177">
          <cell r="C1177">
            <v>42382.543495370373</v>
          </cell>
          <cell r="D1177" t="str">
            <v>Small</v>
          </cell>
          <cell r="G1177" t="b">
            <v>0</v>
          </cell>
          <cell r="J1177">
            <v>42382.545567129629</v>
          </cell>
          <cell r="L1177">
            <v>2.9833333287388086</v>
          </cell>
          <cell r="S1177" t="str">
            <v>TRUE</v>
          </cell>
        </row>
        <row r="1178">
          <cell r="C1178">
            <v>42382.498854166668</v>
          </cell>
          <cell r="D1178" t="str">
            <v>Small</v>
          </cell>
          <cell r="G1178" t="b">
            <v>0</v>
          </cell>
          <cell r="J1178">
            <v>42382.500949074078</v>
          </cell>
          <cell r="L1178">
            <v>3.0166666698642075</v>
          </cell>
          <cell r="S1178" t="str">
            <v>TRUE</v>
          </cell>
        </row>
        <row r="1179">
          <cell r="C1179">
            <v>42382.453182870369</v>
          </cell>
          <cell r="D1179" t="str">
            <v>Small</v>
          </cell>
          <cell r="G1179" t="b">
            <v>0</v>
          </cell>
          <cell r="J1179">
            <v>42382.455243055556</v>
          </cell>
          <cell r="L1179">
            <v>2.9666666686534882</v>
          </cell>
          <cell r="S1179" t="str">
            <v>TRUE</v>
          </cell>
        </row>
        <row r="1180">
          <cell r="C1180">
            <v>42382.497083333335</v>
          </cell>
          <cell r="D1180" t="str">
            <v>Large</v>
          </cell>
          <cell r="G1180" t="b">
            <v>1</v>
          </cell>
          <cell r="J1180">
            <v>42382.510034722225</v>
          </cell>
          <cell r="L1180">
            <v>18.650000001071021</v>
          </cell>
          <cell r="S1180" t="str">
            <v>FALSE</v>
          </cell>
        </row>
        <row r="1181">
          <cell r="C1181">
            <v>42382.569953703707</v>
          </cell>
          <cell r="D1181" t="str">
            <v>Medium</v>
          </cell>
          <cell r="G1181" t="b">
            <v>0</v>
          </cell>
          <cell r="J1181">
            <v>42382.57203703704</v>
          </cell>
          <cell r="L1181">
            <v>2.9999999993015081</v>
          </cell>
          <cell r="S1181" t="str">
            <v>TRUE</v>
          </cell>
        </row>
        <row r="1182">
          <cell r="C1182">
            <v>42382.525972222225</v>
          </cell>
          <cell r="D1182" t="str">
            <v>Small</v>
          </cell>
          <cell r="E1182" t="str">
            <v>Medium</v>
          </cell>
          <cell r="G1182" t="b">
            <v>1</v>
          </cell>
          <cell r="J1182">
            <v>42382.535219907404</v>
          </cell>
          <cell r="L1182">
            <v>13.316666657337919</v>
          </cell>
          <cell r="S1182" t="str">
            <v>TRUE</v>
          </cell>
        </row>
        <row r="1183">
          <cell r="C1183">
            <v>42382.53738425926</v>
          </cell>
          <cell r="D1183" t="str">
            <v>Medium</v>
          </cell>
          <cell r="G1183" t="b">
            <v>0</v>
          </cell>
          <cell r="J1183">
            <v>42382.539456018516</v>
          </cell>
          <cell r="L1183">
            <v>2.9833333287388086</v>
          </cell>
          <cell r="S1183" t="str">
            <v>TRUE</v>
          </cell>
        </row>
        <row r="1184">
          <cell r="C1184">
            <v>42382.503622685188</v>
          </cell>
          <cell r="D1184" t="str">
            <v>Small</v>
          </cell>
          <cell r="G1184" t="b">
            <v>1</v>
          </cell>
          <cell r="J1184">
            <v>42382.517650462964</v>
          </cell>
          <cell r="L1184">
            <v>20.199999996693805</v>
          </cell>
          <cell r="S1184" t="str">
            <v>FALSE</v>
          </cell>
        </row>
        <row r="1185">
          <cell r="C1185">
            <v>42382.529131944444</v>
          </cell>
          <cell r="D1185" t="str">
            <v>Medium</v>
          </cell>
          <cell r="G1185" t="b">
            <v>0</v>
          </cell>
          <cell r="J1185">
            <v>42382.531215277777</v>
          </cell>
          <cell r="L1185">
            <v>2.9999999993015081</v>
          </cell>
          <cell r="S1185" t="str">
            <v>TRUE</v>
          </cell>
        </row>
        <row r="1186">
          <cell r="C1186">
            <v>42382.527511574073</v>
          </cell>
          <cell r="D1186" t="str">
            <v>Small</v>
          </cell>
          <cell r="E1186" t="str">
            <v>Large</v>
          </cell>
          <cell r="G1186" t="b">
            <v>1</v>
          </cell>
          <cell r="J1186">
            <v>42382.537256944444</v>
          </cell>
          <cell r="L1186">
            <v>14.03333333437331</v>
          </cell>
          <cell r="S1186" t="str">
            <v>TRUE</v>
          </cell>
        </row>
        <row r="1187">
          <cell r="C1187">
            <v>42382.480138888888</v>
          </cell>
          <cell r="D1187" t="str">
            <v>Small</v>
          </cell>
          <cell r="E1187" t="str">
            <v>Medium</v>
          </cell>
          <cell r="G1187" t="b">
            <v>1</v>
          </cell>
          <cell r="J1187">
            <v>42382.486620370371</v>
          </cell>
          <cell r="L1187">
            <v>9.3333333358168602</v>
          </cell>
          <cell r="S1187" t="str">
            <v>TRUE</v>
          </cell>
        </row>
        <row r="1188">
          <cell r="C1188">
            <v>42382.523541666669</v>
          </cell>
          <cell r="D1188" t="str">
            <v>Small</v>
          </cell>
          <cell r="E1188" t="str">
            <v>Large</v>
          </cell>
          <cell r="G1188" t="b">
            <v>0</v>
          </cell>
          <cell r="J1188">
            <v>42382.525625000002</v>
          </cell>
          <cell r="L1188">
            <v>2.9999999993015081</v>
          </cell>
          <cell r="S1188" t="str">
            <v>TRUE</v>
          </cell>
        </row>
        <row r="1189">
          <cell r="C1189">
            <v>42382.537569444445</v>
          </cell>
          <cell r="D1189" t="str">
            <v>Medium</v>
          </cell>
          <cell r="G1189" t="b">
            <v>0</v>
          </cell>
          <cell r="J1189">
            <v>42382.539652777778</v>
          </cell>
          <cell r="L1189">
            <v>2.9999999993015081</v>
          </cell>
          <cell r="S1189" t="str">
            <v>TRUE</v>
          </cell>
        </row>
        <row r="1190">
          <cell r="C1190">
            <v>42382.487847222219</v>
          </cell>
          <cell r="D1190" t="str">
            <v>Large</v>
          </cell>
          <cell r="G1190" t="b">
            <v>0</v>
          </cell>
          <cell r="J1190">
            <v>42382.489918981482</v>
          </cell>
          <cell r="L1190">
            <v>2.9833333392161876</v>
          </cell>
          <cell r="S1190" t="str">
            <v>TRUE</v>
          </cell>
        </row>
        <row r="1191">
          <cell r="C1191">
            <v>42382.621331018519</v>
          </cell>
          <cell r="D1191" t="str">
            <v>Medium</v>
          </cell>
          <cell r="G1191" t="b">
            <v>1</v>
          </cell>
          <cell r="J1191">
            <v>42382.62605324074</v>
          </cell>
          <cell r="L1191">
            <v>6.7999999970197678</v>
          </cell>
          <cell r="S1191" t="str">
            <v>TRUE</v>
          </cell>
        </row>
        <row r="1192">
          <cell r="C1192">
            <v>42382.503750000003</v>
          </cell>
          <cell r="D1192" t="str">
            <v>Medium</v>
          </cell>
          <cell r="G1192" t="b">
            <v>0</v>
          </cell>
          <cell r="J1192">
            <v>42382.50582175926</v>
          </cell>
          <cell r="L1192">
            <v>2.9833333287388086</v>
          </cell>
          <cell r="S1192" t="str">
            <v>TRUE</v>
          </cell>
        </row>
        <row r="1193">
          <cell r="C1193">
            <v>42382.4840625</v>
          </cell>
          <cell r="D1193" t="str">
            <v>Small</v>
          </cell>
          <cell r="E1193" t="str">
            <v>Medium</v>
          </cell>
          <cell r="G1193" t="b">
            <v>0</v>
          </cell>
          <cell r="J1193">
            <v>42382.486122685186</v>
          </cell>
          <cell r="L1193">
            <v>2.9666666686534882</v>
          </cell>
          <cell r="S1193" t="str">
            <v>TRUE</v>
          </cell>
        </row>
        <row r="1194">
          <cell r="C1194">
            <v>42382.486504629633</v>
          </cell>
          <cell r="D1194" t="str">
            <v>Small</v>
          </cell>
          <cell r="E1194" t="str">
            <v>Medium</v>
          </cell>
          <cell r="G1194" t="b">
            <v>0</v>
          </cell>
          <cell r="J1194">
            <v>42382.488587962966</v>
          </cell>
          <cell r="L1194">
            <v>2.9999999993015081</v>
          </cell>
          <cell r="S1194" t="str">
            <v>TRUE</v>
          </cell>
        </row>
        <row r="1195">
          <cell r="C1195">
            <v>42382.476377314815</v>
          </cell>
          <cell r="D1195" t="str">
            <v>Medium</v>
          </cell>
          <cell r="G1195" t="b">
            <v>0</v>
          </cell>
          <cell r="J1195">
            <v>42382.478460648148</v>
          </cell>
          <cell r="L1195">
            <v>2.9999999993015081</v>
          </cell>
          <cell r="S1195" t="str">
            <v>TRUE</v>
          </cell>
        </row>
        <row r="1196">
          <cell r="C1196">
            <v>42382.59138888889</v>
          </cell>
          <cell r="D1196" t="str">
            <v>Medium</v>
          </cell>
          <cell r="G1196" t="b">
            <v>1</v>
          </cell>
          <cell r="J1196">
            <v>42382.597141203703</v>
          </cell>
          <cell r="L1196">
            <v>8.2833333313465118</v>
          </cell>
          <cell r="S1196" t="str">
            <v>TRUE</v>
          </cell>
        </row>
        <row r="1197">
          <cell r="C1197">
            <v>42382.500543981485</v>
          </cell>
          <cell r="D1197" t="str">
            <v>Small</v>
          </cell>
          <cell r="E1197" t="str">
            <v>Medium</v>
          </cell>
          <cell r="G1197" t="b">
            <v>0</v>
          </cell>
          <cell r="J1197">
            <v>42382.502615740741</v>
          </cell>
          <cell r="L1197">
            <v>2.9833333287388086</v>
          </cell>
          <cell r="S1197" t="str">
            <v>TRUE</v>
          </cell>
        </row>
        <row r="1198">
          <cell r="C1198">
            <v>42382.558518518519</v>
          </cell>
          <cell r="D1198" t="str">
            <v>Small</v>
          </cell>
          <cell r="G1198" t="b">
            <v>1</v>
          </cell>
          <cell r="J1198">
            <v>42382.571747685186</v>
          </cell>
          <cell r="L1198">
            <v>19.050000000279397</v>
          </cell>
          <cell r="S1198" t="str">
            <v>FALSE</v>
          </cell>
        </row>
        <row r="1199">
          <cell r="C1199">
            <v>42382.541574074072</v>
          </cell>
          <cell r="D1199" t="str">
            <v>Large</v>
          </cell>
          <cell r="G1199" t="b">
            <v>1</v>
          </cell>
          <cell r="J1199">
            <v>42382.548344907409</v>
          </cell>
          <cell r="L1199">
            <v>9.7500000055879354</v>
          </cell>
          <cell r="S1199" t="str">
            <v>TRUE</v>
          </cell>
        </row>
        <row r="1200">
          <cell r="C1200">
            <v>42382.562523148146</v>
          </cell>
          <cell r="D1200" t="str">
            <v>Small</v>
          </cell>
          <cell r="E1200" t="str">
            <v>Medium</v>
          </cell>
          <cell r="G1200" t="b">
            <v>1</v>
          </cell>
          <cell r="J1200">
            <v>42382.574537037035</v>
          </cell>
          <cell r="L1200">
            <v>17.299999999813735</v>
          </cell>
          <cell r="S1200" t="str">
            <v>FALSE</v>
          </cell>
        </row>
        <row r="1201">
          <cell r="C1201">
            <v>42382.573391203703</v>
          </cell>
          <cell r="D1201" t="str">
            <v>Large</v>
          </cell>
          <cell r="G1201" t="b">
            <v>0</v>
          </cell>
          <cell r="J1201">
            <v>42382.575462962966</v>
          </cell>
          <cell r="L1201">
            <v>2.9833333392161876</v>
          </cell>
          <cell r="S1201" t="str">
            <v>TRUE</v>
          </cell>
        </row>
        <row r="1202">
          <cell r="C1202">
            <v>42382.570555555554</v>
          </cell>
          <cell r="D1202" t="str">
            <v>Small</v>
          </cell>
          <cell r="E1202" t="str">
            <v>Large</v>
          </cell>
          <cell r="G1202" t="b">
            <v>1</v>
          </cell>
          <cell r="J1202">
            <v>42382.582418981481</v>
          </cell>
          <cell r="L1202">
            <v>17.083333334885538</v>
          </cell>
          <cell r="S1202" t="str">
            <v>FALSE</v>
          </cell>
        </row>
        <row r="1203">
          <cell r="C1203">
            <v>42382.47552083333</v>
          </cell>
          <cell r="D1203" t="str">
            <v>Medium</v>
          </cell>
          <cell r="G1203" t="b">
            <v>1</v>
          </cell>
          <cell r="J1203">
            <v>42382.493807870371</v>
          </cell>
          <cell r="L1203">
            <v>26.333333338843659</v>
          </cell>
          <cell r="S1203" t="str">
            <v>FALSE</v>
          </cell>
        </row>
        <row r="1204">
          <cell r="C1204">
            <v>42382.474618055552</v>
          </cell>
          <cell r="D1204" t="str">
            <v>Small</v>
          </cell>
          <cell r="G1204" t="b">
            <v>1</v>
          </cell>
          <cell r="J1204">
            <v>42382.484456018516</v>
          </cell>
          <cell r="L1204">
            <v>14.166666667442769</v>
          </cell>
          <cell r="S1204" t="str">
            <v>TRUE</v>
          </cell>
        </row>
        <row r="1205">
          <cell r="C1205">
            <v>42382.538738425923</v>
          </cell>
          <cell r="D1205" t="str">
            <v>Medium</v>
          </cell>
          <cell r="G1205" t="b">
            <v>0</v>
          </cell>
          <cell r="J1205">
            <v>42382.540821759256</v>
          </cell>
          <cell r="L1205">
            <v>2.9999999993015081</v>
          </cell>
          <cell r="S1205" t="str">
            <v>TRUE</v>
          </cell>
        </row>
        <row r="1206">
          <cell r="C1206">
            <v>42382.579444444447</v>
          </cell>
          <cell r="D1206" t="str">
            <v>Small</v>
          </cell>
          <cell r="G1206" t="b">
            <v>0</v>
          </cell>
          <cell r="J1206">
            <v>42382.58152777778</v>
          </cell>
          <cell r="L1206">
            <v>2.9999999993015081</v>
          </cell>
          <cell r="S1206" t="str">
            <v>TRUE</v>
          </cell>
        </row>
        <row r="1207">
          <cell r="C1207">
            <v>42382.472881944443</v>
          </cell>
          <cell r="D1207" t="str">
            <v>Medium</v>
          </cell>
          <cell r="E1207" t="str">
            <v>Large</v>
          </cell>
          <cell r="G1207" t="b">
            <v>1</v>
          </cell>
          <cell r="J1207">
            <v>42382.483969907407</v>
          </cell>
          <cell r="L1207">
            <v>15.966666669119149</v>
          </cell>
          <cell r="S1207" t="str">
            <v>TRUE</v>
          </cell>
        </row>
        <row r="1208">
          <cell r="C1208">
            <v>42382.479074074072</v>
          </cell>
          <cell r="D1208" t="str">
            <v>Large</v>
          </cell>
          <cell r="G1208" t="b">
            <v>0</v>
          </cell>
          <cell r="J1208">
            <v>42382.481145833335</v>
          </cell>
          <cell r="L1208">
            <v>2.9833333392161876</v>
          </cell>
          <cell r="S1208" t="str">
            <v>TRUE</v>
          </cell>
        </row>
        <row r="1209">
          <cell r="C1209">
            <v>42382.546203703707</v>
          </cell>
          <cell r="D1209" t="str">
            <v>Small</v>
          </cell>
          <cell r="E1209" t="str">
            <v>Medium</v>
          </cell>
          <cell r="G1209" t="b">
            <v>0</v>
          </cell>
          <cell r="J1209">
            <v>42382.548275462963</v>
          </cell>
          <cell r="L1209">
            <v>2.9833333287388086</v>
          </cell>
          <cell r="S1209" t="str">
            <v>TRUE</v>
          </cell>
        </row>
        <row r="1210">
          <cell r="C1210">
            <v>42382.614999999998</v>
          </cell>
          <cell r="D1210" t="str">
            <v>Medium</v>
          </cell>
          <cell r="G1210" t="b">
            <v>1</v>
          </cell>
          <cell r="J1210">
            <v>42382.621064814812</v>
          </cell>
          <cell r="L1210">
            <v>8.733333331765607</v>
          </cell>
          <cell r="S1210" t="str">
            <v>TRUE</v>
          </cell>
        </row>
        <row r="1211">
          <cell r="C1211">
            <v>42382.473194444443</v>
          </cell>
          <cell r="D1211" t="str">
            <v>Small</v>
          </cell>
          <cell r="E1211" t="str">
            <v>Medium</v>
          </cell>
          <cell r="G1211" t="b">
            <v>0</v>
          </cell>
          <cell r="J1211">
            <v>42382.475277777776</v>
          </cell>
          <cell r="L1211">
            <v>2.9999999993015081</v>
          </cell>
          <cell r="S1211" t="str">
            <v>TRUE</v>
          </cell>
        </row>
        <row r="1212">
          <cell r="C1212">
            <v>42382.524722222224</v>
          </cell>
          <cell r="D1212" t="str">
            <v>Large</v>
          </cell>
          <cell r="G1212" t="b">
            <v>1</v>
          </cell>
          <cell r="J1212">
            <v>42382.533275462964</v>
          </cell>
          <cell r="L1212">
            <v>12.316666664555669</v>
          </cell>
          <cell r="S1212" t="str">
            <v>TRUE</v>
          </cell>
        </row>
        <row r="1213">
          <cell r="C1213">
            <v>42382.457777777781</v>
          </cell>
          <cell r="D1213" t="str">
            <v>Small</v>
          </cell>
          <cell r="G1213" t="b">
            <v>1</v>
          </cell>
          <cell r="J1213">
            <v>42382.470185185186</v>
          </cell>
          <cell r="L1213">
            <v>17.86666666273959</v>
          </cell>
          <cell r="S1213" t="str">
            <v>FALSE</v>
          </cell>
        </row>
        <row r="1214">
          <cell r="C1214">
            <v>42382.627604166664</v>
          </cell>
          <cell r="D1214" t="str">
            <v>Medium</v>
          </cell>
          <cell r="G1214" t="b">
            <v>1</v>
          </cell>
          <cell r="J1214">
            <v>42382.636134259257</v>
          </cell>
          <cell r="L1214">
            <v>12.283333333907649</v>
          </cell>
          <cell r="S1214" t="str">
            <v>TRUE</v>
          </cell>
        </row>
        <row r="1215">
          <cell r="C1215">
            <v>42382.615914351853</v>
          </cell>
          <cell r="D1215" t="str">
            <v>Small</v>
          </cell>
          <cell r="E1215" t="str">
            <v>Medium</v>
          </cell>
          <cell r="G1215" t="b">
            <v>1</v>
          </cell>
          <cell r="J1215">
            <v>42382.624027777776</v>
          </cell>
          <cell r="L1215">
            <v>11.683333329856396</v>
          </cell>
          <cell r="S1215" t="str">
            <v>TRUE</v>
          </cell>
        </row>
        <row r="1216">
          <cell r="C1216">
            <v>42382.492442129631</v>
          </cell>
          <cell r="D1216" t="str">
            <v>Small</v>
          </cell>
          <cell r="G1216" t="b">
            <v>0</v>
          </cell>
          <cell r="J1216">
            <v>42382.494513888887</v>
          </cell>
          <cell r="L1216">
            <v>2.9833333287388086</v>
          </cell>
          <cell r="S1216" t="str">
            <v>TRUE</v>
          </cell>
        </row>
        <row r="1217">
          <cell r="C1217">
            <v>42382.557060185187</v>
          </cell>
          <cell r="D1217" t="str">
            <v>Large</v>
          </cell>
          <cell r="G1217" t="b">
            <v>0</v>
          </cell>
          <cell r="J1217">
            <v>42382.559155092589</v>
          </cell>
          <cell r="L1217">
            <v>3.0166666593868285</v>
          </cell>
          <cell r="S1217" t="str">
            <v>TRUE</v>
          </cell>
        </row>
        <row r="1218">
          <cell r="C1218">
            <v>42382.518437500003</v>
          </cell>
          <cell r="D1218" t="str">
            <v>Medium</v>
          </cell>
          <cell r="G1218" t="b">
            <v>0</v>
          </cell>
          <cell r="J1218">
            <v>42382.520520833335</v>
          </cell>
          <cell r="L1218">
            <v>2.9999999993015081</v>
          </cell>
          <cell r="S1218" t="str">
            <v>TRUE</v>
          </cell>
        </row>
        <row r="1219">
          <cell r="C1219">
            <v>42382.450949074075</v>
          </cell>
          <cell r="D1219" t="str">
            <v>Large</v>
          </cell>
          <cell r="G1219" t="b">
            <v>1</v>
          </cell>
          <cell r="J1219">
            <v>42382.464687500003</v>
          </cell>
          <cell r="L1219">
            <v>19.783333337400109</v>
          </cell>
          <cell r="S1219" t="str">
            <v>FALSE</v>
          </cell>
        </row>
        <row r="1220">
          <cell r="C1220">
            <v>42382.506585648145</v>
          </cell>
          <cell r="D1220" t="str">
            <v>Small</v>
          </cell>
          <cell r="E1220" t="str">
            <v>Large</v>
          </cell>
          <cell r="G1220" t="b">
            <v>1</v>
          </cell>
          <cell r="J1220">
            <v>42382.514687499999</v>
          </cell>
          <cell r="L1220">
            <v>11.666666669771075</v>
          </cell>
          <cell r="S1220" t="str">
            <v>TRUE</v>
          </cell>
        </row>
        <row r="1221">
          <cell r="C1221">
            <v>42382.480937499997</v>
          </cell>
          <cell r="D1221" t="str">
            <v>Small</v>
          </cell>
          <cell r="E1221" t="str">
            <v>Medium</v>
          </cell>
          <cell r="G1221" t="b">
            <v>0</v>
          </cell>
          <cell r="J1221">
            <v>42382.483020833337</v>
          </cell>
          <cell r="L1221">
            <v>3.000000009778887</v>
          </cell>
          <cell r="S1221" t="str">
            <v>TRUE</v>
          </cell>
        </row>
        <row r="1222">
          <cell r="C1222">
            <v>42382.530497685184</v>
          </cell>
          <cell r="D1222" t="str">
            <v>Small</v>
          </cell>
          <cell r="E1222" t="str">
            <v>Medium</v>
          </cell>
          <cell r="G1222" t="b">
            <v>1</v>
          </cell>
          <cell r="J1222">
            <v>42382.537511574075</v>
          </cell>
          <cell r="L1222">
            <v>10.100000003585592</v>
          </cell>
          <cell r="S1222" t="str">
            <v>TRUE</v>
          </cell>
        </row>
        <row r="1223">
          <cell r="C1223">
            <v>42382.517025462963</v>
          </cell>
          <cell r="D1223" t="str">
            <v>Large</v>
          </cell>
          <cell r="G1223" t="b">
            <v>1</v>
          </cell>
          <cell r="J1223">
            <v>42382.520856481482</v>
          </cell>
          <cell r="L1223">
            <v>5.5166666675359011</v>
          </cell>
          <cell r="S1223" t="str">
            <v>TRUE</v>
          </cell>
        </row>
        <row r="1224">
          <cell r="C1224">
            <v>42382.592187499999</v>
          </cell>
          <cell r="D1224" t="str">
            <v>Medium</v>
          </cell>
          <cell r="E1224" t="str">
            <v>Large</v>
          </cell>
          <cell r="G1224" t="b">
            <v>1</v>
          </cell>
          <cell r="J1224">
            <v>42382.599259259259</v>
          </cell>
          <cell r="L1224">
            <v>10.183333335444331</v>
          </cell>
          <cell r="S1224" t="str">
            <v>TRUE</v>
          </cell>
        </row>
        <row r="1225">
          <cell r="C1225">
            <v>42382.532997685186</v>
          </cell>
          <cell r="D1225" t="str">
            <v>Small</v>
          </cell>
          <cell r="E1225" t="str">
            <v>Medium</v>
          </cell>
          <cell r="G1225" t="b">
            <v>1</v>
          </cell>
          <cell r="J1225">
            <v>42382.542384259257</v>
          </cell>
          <cell r="L1225">
            <v>13.516666662180796</v>
          </cell>
          <cell r="S1225" t="str">
            <v>TRUE</v>
          </cell>
        </row>
        <row r="1226">
          <cell r="C1226">
            <v>42382.495347222219</v>
          </cell>
          <cell r="D1226" t="str">
            <v>Small</v>
          </cell>
          <cell r="E1226" t="str">
            <v>Medium</v>
          </cell>
          <cell r="G1226" t="b">
            <v>1</v>
          </cell>
          <cell r="J1226">
            <v>42382.508310185185</v>
          </cell>
          <cell r="L1226">
            <v>18.66666667163372</v>
          </cell>
          <cell r="S1226" t="str">
            <v>FALSE</v>
          </cell>
        </row>
        <row r="1227">
          <cell r="C1227">
            <v>42382.473692129628</v>
          </cell>
          <cell r="D1227" t="str">
            <v>Small</v>
          </cell>
          <cell r="E1227" t="str">
            <v>Medium</v>
          </cell>
          <cell r="G1227" t="b">
            <v>0</v>
          </cell>
          <cell r="J1227">
            <v>42382.475787037038</v>
          </cell>
          <cell r="L1227">
            <v>3.0166666698642075</v>
          </cell>
          <cell r="S1227" t="str">
            <v>TRUE</v>
          </cell>
        </row>
        <row r="1228">
          <cell r="C1228">
            <v>42382.542824074073</v>
          </cell>
          <cell r="D1228" t="str">
            <v>Small</v>
          </cell>
          <cell r="G1228" t="b">
            <v>1</v>
          </cell>
          <cell r="J1228">
            <v>42382.550856481481</v>
          </cell>
          <cell r="L1228">
            <v>11.566666667349637</v>
          </cell>
          <cell r="S1228" t="str">
            <v>TRUE</v>
          </cell>
        </row>
        <row r="1229">
          <cell r="C1229">
            <v>42382.518912037034</v>
          </cell>
          <cell r="D1229" t="str">
            <v>Large</v>
          </cell>
          <cell r="G1229" t="b">
            <v>1</v>
          </cell>
          <cell r="J1229">
            <v>42382.534884259258</v>
          </cell>
          <cell r="L1229">
            <v>23.000000001629815</v>
          </cell>
          <cell r="S1229" t="str">
            <v>FALSE</v>
          </cell>
        </row>
        <row r="1230">
          <cell r="C1230">
            <v>42382.549166666664</v>
          </cell>
          <cell r="D1230" t="str">
            <v>Large</v>
          </cell>
          <cell r="G1230" t="b">
            <v>0</v>
          </cell>
          <cell r="J1230">
            <v>42382.551238425927</v>
          </cell>
          <cell r="L1230">
            <v>2.9833333392161876</v>
          </cell>
          <cell r="S1230" t="str">
            <v>TRUE</v>
          </cell>
        </row>
        <row r="1231">
          <cell r="C1231">
            <v>42382.517060185186</v>
          </cell>
          <cell r="D1231" t="str">
            <v>Small</v>
          </cell>
          <cell r="E1231" t="str">
            <v>Medium</v>
          </cell>
          <cell r="G1231" t="b">
            <v>0</v>
          </cell>
          <cell r="J1231">
            <v>42382.519131944442</v>
          </cell>
          <cell r="L1231">
            <v>2.9833333287388086</v>
          </cell>
          <cell r="S1231" t="str">
            <v>TRUE</v>
          </cell>
        </row>
        <row r="1232">
          <cell r="C1232">
            <v>42382.514699074076</v>
          </cell>
          <cell r="D1232" t="str">
            <v>Medium</v>
          </cell>
          <cell r="E1232" t="str">
            <v>Large</v>
          </cell>
          <cell r="G1232" t="b">
            <v>1</v>
          </cell>
          <cell r="J1232">
            <v>42382.528715277775</v>
          </cell>
          <cell r="L1232">
            <v>20.183333326131105</v>
          </cell>
          <cell r="S1232" t="str">
            <v>FALSE</v>
          </cell>
        </row>
        <row r="1233">
          <cell r="C1233">
            <v>42382.57508101852</v>
          </cell>
          <cell r="D1233" t="str">
            <v>Small</v>
          </cell>
          <cell r="E1233" t="str">
            <v>Medium</v>
          </cell>
          <cell r="G1233" t="b">
            <v>0</v>
          </cell>
          <cell r="J1233">
            <v>42382.577152777776</v>
          </cell>
          <cell r="L1233">
            <v>2.9833333287388086</v>
          </cell>
          <cell r="S1233" t="str">
            <v>TRUE</v>
          </cell>
        </row>
        <row r="1234">
          <cell r="C1234">
            <v>42382.482546296298</v>
          </cell>
          <cell r="D1234" t="str">
            <v>Medium</v>
          </cell>
          <cell r="G1234" t="b">
            <v>1</v>
          </cell>
          <cell r="J1234">
            <v>42382.494490740741</v>
          </cell>
          <cell r="L1234">
            <v>17.199999997392297</v>
          </cell>
          <cell r="S1234" t="str">
            <v>FALSE</v>
          </cell>
        </row>
        <row r="1235">
          <cell r="C1235">
            <v>42382.543402777781</v>
          </cell>
          <cell r="D1235" t="str">
            <v>Large</v>
          </cell>
          <cell r="G1235" t="b">
            <v>1</v>
          </cell>
          <cell r="J1235">
            <v>42382.549039351848</v>
          </cell>
          <cell r="L1235">
            <v>8.1166666571516544</v>
          </cell>
          <cell r="S1235" t="str">
            <v>TRUE</v>
          </cell>
        </row>
        <row r="1236">
          <cell r="C1236">
            <v>42382.485451388886</v>
          </cell>
          <cell r="D1236" t="str">
            <v>Small</v>
          </cell>
          <cell r="E1236" t="str">
            <v>Medium</v>
          </cell>
          <cell r="G1236" t="b">
            <v>0</v>
          </cell>
          <cell r="J1236">
            <v>42382.487534722219</v>
          </cell>
          <cell r="L1236">
            <v>2.9999999993015081</v>
          </cell>
          <cell r="S1236" t="str">
            <v>TRUE</v>
          </cell>
        </row>
        <row r="1237">
          <cell r="C1237">
            <v>42382.48400462963</v>
          </cell>
          <cell r="D1237" t="str">
            <v>Medium</v>
          </cell>
          <cell r="G1237" t="b">
            <v>0</v>
          </cell>
          <cell r="J1237">
            <v>42382.486076388886</v>
          </cell>
          <cell r="L1237">
            <v>2.9833333287388086</v>
          </cell>
          <cell r="S1237" t="str">
            <v>TRUE</v>
          </cell>
        </row>
        <row r="1238">
          <cell r="C1238">
            <v>42382.469629629632</v>
          </cell>
          <cell r="D1238" t="str">
            <v>Small</v>
          </cell>
          <cell r="E1238" t="str">
            <v>Medium</v>
          </cell>
          <cell r="G1238" t="b">
            <v>1</v>
          </cell>
          <cell r="J1238">
            <v>42382.484560185185</v>
          </cell>
          <cell r="L1238">
            <v>21.499999996740371</v>
          </cell>
          <cell r="S1238" t="str">
            <v>FALSE</v>
          </cell>
        </row>
        <row r="1239">
          <cell r="C1239">
            <v>42382.534212962964</v>
          </cell>
          <cell r="D1239" t="str">
            <v>Medium</v>
          </cell>
          <cell r="G1239" t="b">
            <v>1</v>
          </cell>
          <cell r="J1239">
            <v>42382.548356481479</v>
          </cell>
          <cell r="L1239">
            <v>20.366666660411283</v>
          </cell>
          <cell r="S1239" t="str">
            <v>FALSE</v>
          </cell>
        </row>
        <row r="1240">
          <cell r="C1240">
            <v>42382.518831018519</v>
          </cell>
          <cell r="D1240" t="str">
            <v>Large</v>
          </cell>
          <cell r="G1240" t="b">
            <v>1</v>
          </cell>
          <cell r="J1240">
            <v>42382.539710648147</v>
          </cell>
          <cell r="L1240">
            <v>30.066666664788499</v>
          </cell>
          <cell r="S1240" t="str">
            <v>FALSE</v>
          </cell>
        </row>
        <row r="1241">
          <cell r="C1241">
            <v>42382.528738425928</v>
          </cell>
          <cell r="D1241" t="str">
            <v>Large</v>
          </cell>
          <cell r="G1241" t="b">
            <v>0</v>
          </cell>
          <cell r="J1241">
            <v>42382.530821759261</v>
          </cell>
          <cell r="L1241">
            <v>2.9999999993015081</v>
          </cell>
          <cell r="S1241" t="str">
            <v>TRUE</v>
          </cell>
        </row>
        <row r="1242">
          <cell r="C1242">
            <v>42382.524525462963</v>
          </cell>
          <cell r="D1242" t="str">
            <v>Medium</v>
          </cell>
          <cell r="E1242" t="str">
            <v>Large</v>
          </cell>
          <cell r="G1242" t="b">
            <v>1</v>
          </cell>
          <cell r="J1242">
            <v>42382.539131944446</v>
          </cell>
          <cell r="L1242">
            <v>21.033333336235955</v>
          </cell>
          <cell r="S1242" t="str">
            <v>FALSE</v>
          </cell>
        </row>
        <row r="1243">
          <cell r="C1243">
            <v>42382.565092592595</v>
          </cell>
          <cell r="D1243" t="str">
            <v>Small</v>
          </cell>
          <cell r="E1243" t="str">
            <v>Medium</v>
          </cell>
          <cell r="G1243" t="b">
            <v>0</v>
          </cell>
          <cell r="J1243">
            <v>42382.567175925928</v>
          </cell>
          <cell r="L1243">
            <v>2.9999999993015081</v>
          </cell>
          <cell r="S1243" t="str">
            <v>TRUE</v>
          </cell>
        </row>
        <row r="1244">
          <cell r="C1244">
            <v>42382.445972222224</v>
          </cell>
          <cell r="D1244" t="str">
            <v>Large</v>
          </cell>
          <cell r="G1244" t="b">
            <v>0</v>
          </cell>
          <cell r="J1244">
            <v>42382.44803240741</v>
          </cell>
          <cell r="L1244">
            <v>2.9666666686534882</v>
          </cell>
          <cell r="S1244" t="str">
            <v>TRUE</v>
          </cell>
        </row>
        <row r="1245">
          <cell r="C1245">
            <v>42382.524629629632</v>
          </cell>
          <cell r="D1245" t="str">
            <v>Medium</v>
          </cell>
          <cell r="G1245" t="b">
            <v>0</v>
          </cell>
          <cell r="J1245">
            <v>42382.526701388888</v>
          </cell>
          <cell r="L1245">
            <v>2.9833333287388086</v>
          </cell>
          <cell r="S1245" t="str">
            <v>TRUE</v>
          </cell>
        </row>
        <row r="1246">
          <cell r="C1246">
            <v>42382.530335648145</v>
          </cell>
          <cell r="D1246" t="str">
            <v>Large</v>
          </cell>
          <cell r="G1246" t="b">
            <v>1</v>
          </cell>
          <cell r="J1246">
            <v>42382.548206018517</v>
          </cell>
          <cell r="L1246">
            <v>25.733333334792405</v>
          </cell>
          <cell r="S1246" t="str">
            <v>FALSE</v>
          </cell>
        </row>
        <row r="1247">
          <cell r="C1247">
            <v>42382.451111111113</v>
          </cell>
          <cell r="D1247" t="str">
            <v>Large</v>
          </cell>
          <cell r="G1247" t="b">
            <v>1</v>
          </cell>
          <cell r="J1247">
            <v>42382.460995370369</v>
          </cell>
          <cell r="L1247">
            <v>14.233333328738809</v>
          </cell>
          <cell r="S1247" t="str">
            <v>TRUE</v>
          </cell>
        </row>
        <row r="1248">
          <cell r="C1248">
            <v>42382.448252314818</v>
          </cell>
          <cell r="D1248" t="str">
            <v>Large</v>
          </cell>
          <cell r="G1248" t="b">
            <v>0</v>
          </cell>
          <cell r="J1248">
            <v>42382.450335648151</v>
          </cell>
          <cell r="L1248">
            <v>2.9999999993015081</v>
          </cell>
          <cell r="S1248" t="str">
            <v>TRUE</v>
          </cell>
        </row>
        <row r="1249">
          <cell r="C1249">
            <v>42382.448263888888</v>
          </cell>
          <cell r="D1249" t="str">
            <v>Medium</v>
          </cell>
          <cell r="G1249" t="b">
            <v>0</v>
          </cell>
          <cell r="J1249">
            <v>42382.450324074074</v>
          </cell>
          <cell r="L1249">
            <v>2.9666666686534882</v>
          </cell>
          <cell r="S1249" t="str">
            <v>TRUE</v>
          </cell>
        </row>
        <row r="1250">
          <cell r="C1250">
            <v>42382.515798611108</v>
          </cell>
          <cell r="D1250" t="str">
            <v>Medium</v>
          </cell>
          <cell r="G1250" t="b">
            <v>0</v>
          </cell>
          <cell r="J1250">
            <v>42382.517858796295</v>
          </cell>
          <cell r="L1250">
            <v>2.9666666686534882</v>
          </cell>
          <cell r="S1250" t="str">
            <v>TRUE</v>
          </cell>
        </row>
        <row r="1251">
          <cell r="C1251">
            <v>42382.445011574076</v>
          </cell>
          <cell r="D1251" t="str">
            <v>Medium</v>
          </cell>
          <cell r="G1251" t="b">
            <v>0</v>
          </cell>
          <cell r="J1251">
            <v>42382.447083333333</v>
          </cell>
          <cell r="L1251">
            <v>2.9833333287388086</v>
          </cell>
          <cell r="S1251" t="str">
            <v>TRUE</v>
          </cell>
        </row>
        <row r="1252">
          <cell r="C1252">
            <v>42382.55060185185</v>
          </cell>
          <cell r="D1252" t="str">
            <v>Small</v>
          </cell>
          <cell r="G1252" t="b">
            <v>0</v>
          </cell>
          <cell r="J1252">
            <v>42382.552673611113</v>
          </cell>
          <cell r="L1252">
            <v>2.9833333392161876</v>
          </cell>
          <cell r="S1252" t="str">
            <v>TRUE</v>
          </cell>
        </row>
        <row r="1253">
          <cell r="C1253">
            <v>42382.613622685189</v>
          </cell>
          <cell r="D1253" t="str">
            <v>Medium</v>
          </cell>
          <cell r="G1253" t="b">
            <v>0</v>
          </cell>
          <cell r="J1253">
            <v>42382.615706018521</v>
          </cell>
          <cell r="L1253">
            <v>2.9999999993015081</v>
          </cell>
          <cell r="S1253" t="str">
            <v>TRUE</v>
          </cell>
        </row>
        <row r="1254">
          <cell r="C1254">
            <v>42382.444525462961</v>
          </cell>
          <cell r="D1254" t="str">
            <v>Large</v>
          </cell>
          <cell r="G1254" t="b">
            <v>1</v>
          </cell>
          <cell r="J1254">
            <v>42382.4528125</v>
          </cell>
          <cell r="L1254">
            <v>11.933333335909992</v>
          </cell>
          <cell r="S1254" t="str">
            <v>TRUE</v>
          </cell>
        </row>
        <row r="1255">
          <cell r="C1255">
            <v>42382.492546296293</v>
          </cell>
          <cell r="D1255" t="str">
            <v>Large</v>
          </cell>
          <cell r="G1255" t="b">
            <v>1</v>
          </cell>
          <cell r="J1255">
            <v>42382.496793981481</v>
          </cell>
          <cell r="L1255">
            <v>6.1166666715871543</v>
          </cell>
          <cell r="S1255" t="str">
            <v>TRUE</v>
          </cell>
        </row>
        <row r="1256">
          <cell r="C1256">
            <v>42382.484189814815</v>
          </cell>
          <cell r="D1256" t="str">
            <v>Small</v>
          </cell>
          <cell r="G1256" t="b">
            <v>1</v>
          </cell>
          <cell r="J1256">
            <v>42382.491550925923</v>
          </cell>
          <cell r="L1256">
            <v>10.599999994738027</v>
          </cell>
          <cell r="S1256" t="str">
            <v>TRUE</v>
          </cell>
        </row>
        <row r="1257">
          <cell r="C1257">
            <v>42382.470381944448</v>
          </cell>
          <cell r="D1257" t="str">
            <v>Medium</v>
          </cell>
          <cell r="G1257" t="b">
            <v>0</v>
          </cell>
          <cell r="J1257">
            <v>42382.47246527778</v>
          </cell>
          <cell r="L1257">
            <v>2.9999999993015081</v>
          </cell>
          <cell r="S1257" t="str">
            <v>TRUE</v>
          </cell>
        </row>
        <row r="1258">
          <cell r="C1258">
            <v>42382.512048611112</v>
          </cell>
          <cell r="D1258" t="str">
            <v>Large</v>
          </cell>
          <cell r="G1258" t="b">
            <v>1</v>
          </cell>
          <cell r="J1258">
            <v>42382.535543981481</v>
          </cell>
          <cell r="L1258">
            <v>33.833333331858739</v>
          </cell>
          <cell r="S1258" t="str">
            <v>FALSE</v>
          </cell>
        </row>
        <row r="1259">
          <cell r="C1259">
            <v>42382.478576388887</v>
          </cell>
          <cell r="D1259" t="str">
            <v>Medium</v>
          </cell>
          <cell r="G1259" t="b">
            <v>1</v>
          </cell>
          <cell r="J1259">
            <v>42382.489351851851</v>
          </cell>
          <cell r="L1259">
            <v>15.516666668700054</v>
          </cell>
          <cell r="S1259" t="str">
            <v>TRUE</v>
          </cell>
        </row>
        <row r="1260">
          <cell r="C1260">
            <v>42382.57335648148</v>
          </cell>
          <cell r="D1260" t="str">
            <v>Small</v>
          </cell>
          <cell r="E1260" t="str">
            <v>Medium</v>
          </cell>
          <cell r="G1260" t="b">
            <v>1</v>
          </cell>
          <cell r="J1260">
            <v>42382.581875000003</v>
          </cell>
          <cell r="L1260">
            <v>12.266666673822328</v>
          </cell>
          <cell r="S1260" t="str">
            <v>TRUE</v>
          </cell>
        </row>
        <row r="1261">
          <cell r="C1261">
            <v>42382.486342592594</v>
          </cell>
          <cell r="D1261" t="str">
            <v>Small</v>
          </cell>
          <cell r="G1261" t="b">
            <v>1</v>
          </cell>
          <cell r="J1261">
            <v>42382.49523148148</v>
          </cell>
          <cell r="L1261">
            <v>12.799999995622784</v>
          </cell>
          <cell r="S1261" t="str">
            <v>TRUE</v>
          </cell>
        </row>
        <row r="1262">
          <cell r="C1262">
            <v>42382.470266203702</v>
          </cell>
          <cell r="D1262" t="str">
            <v>Small</v>
          </cell>
          <cell r="G1262" t="b">
            <v>0</v>
          </cell>
          <cell r="J1262">
            <v>42382.472326388888</v>
          </cell>
          <cell r="L1262">
            <v>2.9666666686534882</v>
          </cell>
          <cell r="S1262" t="str">
            <v>TRUE</v>
          </cell>
        </row>
        <row r="1263">
          <cell r="C1263">
            <v>42382.578217592592</v>
          </cell>
          <cell r="D1263" t="str">
            <v>Small</v>
          </cell>
          <cell r="E1263" t="str">
            <v>Medium</v>
          </cell>
          <cell r="G1263" t="b">
            <v>0</v>
          </cell>
          <cell r="J1263">
            <v>42382.580300925925</v>
          </cell>
          <cell r="L1263">
            <v>2.9999999993015081</v>
          </cell>
          <cell r="S1263" t="str">
            <v>TRUE</v>
          </cell>
        </row>
        <row r="1264">
          <cell r="C1264">
            <v>42382.473414351851</v>
          </cell>
          <cell r="D1264" t="str">
            <v>Small</v>
          </cell>
          <cell r="E1264" t="str">
            <v>Large</v>
          </cell>
          <cell r="G1264" t="b">
            <v>0</v>
          </cell>
          <cell r="J1264">
            <v>42382.475497685184</v>
          </cell>
          <cell r="L1264">
            <v>2.9999999993015081</v>
          </cell>
          <cell r="S1264" t="str">
            <v>TRUE</v>
          </cell>
        </row>
        <row r="1265">
          <cell r="C1265">
            <v>42382.470196759263</v>
          </cell>
          <cell r="D1265" t="str">
            <v>Small</v>
          </cell>
          <cell r="E1265" t="str">
            <v>Medium</v>
          </cell>
          <cell r="G1265" t="b">
            <v>1</v>
          </cell>
          <cell r="J1265">
            <v>42382.479907407411</v>
          </cell>
          <cell r="L1265">
            <v>13.983333333162591</v>
          </cell>
          <cell r="S1265" t="str">
            <v>TRUE</v>
          </cell>
        </row>
        <row r="1266">
          <cell r="C1266">
            <v>42382.456805555557</v>
          </cell>
          <cell r="D1266" t="str">
            <v>Small</v>
          </cell>
          <cell r="E1266" t="str">
            <v>Medium</v>
          </cell>
          <cell r="G1266" t="b">
            <v>0</v>
          </cell>
          <cell r="J1266">
            <v>42382.45888888889</v>
          </cell>
          <cell r="L1266">
            <v>2.9999999993015081</v>
          </cell>
          <cell r="S1266" t="str">
            <v>TRUE</v>
          </cell>
        </row>
        <row r="1267">
          <cell r="C1267">
            <v>42382.537870370368</v>
          </cell>
          <cell r="D1267" t="str">
            <v>Small</v>
          </cell>
          <cell r="G1267" t="b">
            <v>0</v>
          </cell>
          <cell r="J1267">
            <v>42382.539953703701</v>
          </cell>
          <cell r="L1267">
            <v>2.9999999993015081</v>
          </cell>
          <cell r="S1267" t="str">
            <v>TRUE</v>
          </cell>
        </row>
        <row r="1268">
          <cell r="C1268">
            <v>42382.509282407409</v>
          </cell>
          <cell r="D1268" t="str">
            <v>Medium</v>
          </cell>
          <cell r="G1268" t="b">
            <v>0</v>
          </cell>
          <cell r="J1268">
            <v>42382.511365740742</v>
          </cell>
          <cell r="L1268">
            <v>2.9999999993015081</v>
          </cell>
          <cell r="S1268" t="str">
            <v>TRUE</v>
          </cell>
        </row>
        <row r="1269">
          <cell r="C1269">
            <v>42382.443067129629</v>
          </cell>
          <cell r="D1269" t="str">
            <v>Large</v>
          </cell>
          <cell r="G1269" t="b">
            <v>0</v>
          </cell>
          <cell r="J1269">
            <v>42382.445150462961</v>
          </cell>
          <cell r="L1269">
            <v>2.9999999993015081</v>
          </cell>
          <cell r="S1269" t="str">
            <v>TRUE</v>
          </cell>
        </row>
        <row r="1270">
          <cell r="C1270">
            <v>42382.503946759258</v>
          </cell>
          <cell r="D1270" t="str">
            <v>Medium</v>
          </cell>
          <cell r="G1270" t="b">
            <v>0</v>
          </cell>
          <cell r="J1270">
            <v>42382.506018518521</v>
          </cell>
          <cell r="L1270">
            <v>2.9833333392161876</v>
          </cell>
          <cell r="S1270" t="str">
            <v>TRUE</v>
          </cell>
        </row>
        <row r="1271">
          <cell r="C1271">
            <v>42382.607997685183</v>
          </cell>
          <cell r="D1271" t="str">
            <v>Medium</v>
          </cell>
          <cell r="G1271" t="b">
            <v>0</v>
          </cell>
          <cell r="J1271">
            <v>42382.610081018516</v>
          </cell>
          <cell r="L1271">
            <v>2.9999999993015081</v>
          </cell>
          <cell r="S1271" t="str">
            <v>TRUE</v>
          </cell>
        </row>
        <row r="1272">
          <cell r="C1272">
            <v>42382.523819444446</v>
          </cell>
          <cell r="D1272" t="str">
            <v>Large</v>
          </cell>
          <cell r="G1272" t="b">
            <v>1</v>
          </cell>
          <cell r="J1272">
            <v>42382.526087962964</v>
          </cell>
          <cell r="L1272">
            <v>3.2666666654404253</v>
          </cell>
          <cell r="S1272" t="str">
            <v>TRUE</v>
          </cell>
        </row>
        <row r="1273">
          <cell r="C1273">
            <v>42382.490023148152</v>
          </cell>
          <cell r="D1273" t="str">
            <v>Small</v>
          </cell>
          <cell r="G1273" t="b">
            <v>1</v>
          </cell>
          <cell r="J1273">
            <v>42382.500983796293</v>
          </cell>
          <cell r="L1273">
            <v>15.783333324361593</v>
          </cell>
          <cell r="S1273" t="str">
            <v>TRUE</v>
          </cell>
        </row>
        <row r="1274">
          <cell r="C1274">
            <v>42382.603252314817</v>
          </cell>
          <cell r="D1274" t="str">
            <v>Large</v>
          </cell>
          <cell r="G1274" t="b">
            <v>1</v>
          </cell>
          <cell r="J1274">
            <v>42382.619085648148</v>
          </cell>
          <cell r="L1274">
            <v>22.799999996786937</v>
          </cell>
          <cell r="S1274" t="str">
            <v>FALSE</v>
          </cell>
        </row>
        <row r="1275">
          <cell r="C1275">
            <v>42382.482268518521</v>
          </cell>
          <cell r="D1275" t="str">
            <v>Large</v>
          </cell>
          <cell r="G1275" t="b">
            <v>1</v>
          </cell>
          <cell r="J1275">
            <v>42382.501458333332</v>
          </cell>
          <cell r="L1275">
            <v>27.633333328412846</v>
          </cell>
          <cell r="S1275" t="str">
            <v>FALSE</v>
          </cell>
        </row>
        <row r="1276">
          <cell r="C1276">
            <v>42382.440081018518</v>
          </cell>
          <cell r="D1276" t="str">
            <v>Medium</v>
          </cell>
          <cell r="G1276" t="b">
            <v>1</v>
          </cell>
          <cell r="J1276">
            <v>42382.453738425924</v>
          </cell>
          <cell r="L1276">
            <v>19.66666666441597</v>
          </cell>
          <cell r="S1276" t="str">
            <v>FALSE</v>
          </cell>
        </row>
        <row r="1277">
          <cell r="C1277">
            <v>42382.587083333332</v>
          </cell>
          <cell r="D1277" t="str">
            <v>Large</v>
          </cell>
          <cell r="G1277" t="b">
            <v>0</v>
          </cell>
          <cell r="J1277">
            <v>42382.589166666665</v>
          </cell>
          <cell r="L1277">
            <v>2.9999999993015081</v>
          </cell>
          <cell r="S1277" t="str">
            <v>TRUE</v>
          </cell>
        </row>
        <row r="1278">
          <cell r="C1278">
            <v>42382.472210648149</v>
          </cell>
          <cell r="D1278" t="str">
            <v>Small</v>
          </cell>
          <cell r="G1278" t="b">
            <v>0</v>
          </cell>
          <cell r="J1278">
            <v>42382.474270833336</v>
          </cell>
          <cell r="L1278">
            <v>2.9666666686534882</v>
          </cell>
          <cell r="S1278" t="str">
            <v>TRUE</v>
          </cell>
        </row>
        <row r="1279">
          <cell r="C1279">
            <v>42382.578969907408</v>
          </cell>
          <cell r="D1279" t="str">
            <v>Medium</v>
          </cell>
          <cell r="E1279" t="str">
            <v>Large</v>
          </cell>
          <cell r="G1279" t="b">
            <v>1</v>
          </cell>
          <cell r="J1279">
            <v>42382.591944444444</v>
          </cell>
          <cell r="L1279">
            <v>18.683333331719041</v>
          </cell>
          <cell r="S1279" t="str">
            <v>FALSE</v>
          </cell>
        </row>
        <row r="1280">
          <cell r="C1280">
            <v>42382.521122685182</v>
          </cell>
          <cell r="D1280" t="str">
            <v>Large</v>
          </cell>
          <cell r="G1280" t="b">
            <v>0</v>
          </cell>
          <cell r="J1280">
            <v>42382.523206018515</v>
          </cell>
          <cell r="L1280">
            <v>2.9999999993015081</v>
          </cell>
          <cell r="S1280" t="str">
            <v>TRUE</v>
          </cell>
        </row>
        <row r="1281">
          <cell r="C1281">
            <v>42382.532372685186</v>
          </cell>
          <cell r="D1281" t="str">
            <v>Large</v>
          </cell>
          <cell r="G1281" t="b">
            <v>0</v>
          </cell>
          <cell r="J1281">
            <v>42382.534456018519</v>
          </cell>
          <cell r="L1281">
            <v>2.9999999993015081</v>
          </cell>
          <cell r="S1281" t="str">
            <v>TRUE</v>
          </cell>
        </row>
        <row r="1282">
          <cell r="C1282">
            <v>42383.429027777776</v>
          </cell>
          <cell r="D1282" t="str">
            <v>Medium</v>
          </cell>
          <cell r="G1282" t="b">
            <v>1</v>
          </cell>
          <cell r="J1282">
            <v>42383.437881944446</v>
          </cell>
          <cell r="L1282">
            <v>12.750000004889444</v>
          </cell>
          <cell r="S1282" t="str">
            <v>TRUE</v>
          </cell>
        </row>
        <row r="1283">
          <cell r="C1283">
            <v>42383.540046296293</v>
          </cell>
          <cell r="D1283" t="str">
            <v>Small</v>
          </cell>
          <cell r="G1283" t="b">
            <v>1</v>
          </cell>
          <cell r="J1283">
            <v>42383.55840277778</v>
          </cell>
          <cell r="L1283">
            <v>26.433333341265097</v>
          </cell>
          <cell r="S1283" t="str">
            <v>FALSE</v>
          </cell>
        </row>
        <row r="1284">
          <cell r="C1284">
            <v>42383.541030092594</v>
          </cell>
          <cell r="D1284" t="str">
            <v>Small</v>
          </cell>
          <cell r="E1284" t="str">
            <v>Medium</v>
          </cell>
          <cell r="G1284" t="b">
            <v>1</v>
          </cell>
          <cell r="J1284">
            <v>42383.549525462964</v>
          </cell>
          <cell r="L1284">
            <v>12.23333333269693</v>
          </cell>
          <cell r="S1284" t="str">
            <v>TRUE</v>
          </cell>
        </row>
        <row r="1285">
          <cell r="C1285">
            <v>42383.448773148149</v>
          </cell>
          <cell r="D1285" t="str">
            <v>Medium</v>
          </cell>
          <cell r="G1285" t="b">
            <v>0</v>
          </cell>
          <cell r="J1285">
            <v>42383.450833333336</v>
          </cell>
          <cell r="L1285">
            <v>2.9666666686534882</v>
          </cell>
          <cell r="S1285" t="str">
            <v>TRUE</v>
          </cell>
        </row>
        <row r="1286">
          <cell r="C1286">
            <v>42383.446192129632</v>
          </cell>
          <cell r="D1286" t="str">
            <v>Medium</v>
          </cell>
          <cell r="G1286" t="b">
            <v>1</v>
          </cell>
          <cell r="J1286">
            <v>42383.45952546296</v>
          </cell>
          <cell r="L1286">
            <v>19.199999993434176</v>
          </cell>
          <cell r="S1286" t="str">
            <v>FALSE</v>
          </cell>
        </row>
        <row r="1287">
          <cell r="C1287">
            <v>42383.448437500003</v>
          </cell>
          <cell r="D1287" t="str">
            <v>Large</v>
          </cell>
          <cell r="G1287" t="b">
            <v>1</v>
          </cell>
          <cell r="J1287">
            <v>42383.459328703706</v>
          </cell>
          <cell r="L1287">
            <v>15.683333332417533</v>
          </cell>
          <cell r="S1287" t="str">
            <v>TRUE</v>
          </cell>
        </row>
        <row r="1288">
          <cell r="C1288">
            <v>42383.48505787037</v>
          </cell>
          <cell r="D1288" t="str">
            <v>Medium</v>
          </cell>
          <cell r="G1288" t="b">
            <v>0</v>
          </cell>
          <cell r="J1288">
            <v>42383.487141203703</v>
          </cell>
          <cell r="L1288">
            <v>2.9999999993015081</v>
          </cell>
          <cell r="S1288" t="str">
            <v>TRUE</v>
          </cell>
        </row>
        <row r="1289">
          <cell r="C1289">
            <v>42383.525891203702</v>
          </cell>
          <cell r="D1289" t="str">
            <v>Medium</v>
          </cell>
          <cell r="G1289" t="b">
            <v>0</v>
          </cell>
          <cell r="J1289">
            <v>42383.527962962966</v>
          </cell>
          <cell r="L1289">
            <v>2.9833333392161876</v>
          </cell>
          <cell r="S1289" t="str">
            <v>TRUE</v>
          </cell>
        </row>
        <row r="1290">
          <cell r="C1290">
            <v>42383.514305555553</v>
          </cell>
          <cell r="D1290" t="str">
            <v>Large</v>
          </cell>
          <cell r="G1290" t="b">
            <v>0</v>
          </cell>
          <cell r="J1290">
            <v>42383.516400462962</v>
          </cell>
          <cell r="L1290">
            <v>3.0166666698642075</v>
          </cell>
          <cell r="S1290" t="str">
            <v>TRUE</v>
          </cell>
        </row>
        <row r="1291">
          <cell r="C1291">
            <v>42383.485833333332</v>
          </cell>
          <cell r="D1291" t="str">
            <v>Small</v>
          </cell>
          <cell r="E1291" t="str">
            <v>Medium</v>
          </cell>
          <cell r="G1291" t="b">
            <v>1</v>
          </cell>
          <cell r="J1291">
            <v>42383.497615740744</v>
          </cell>
          <cell r="L1291">
            <v>16.966666672378778</v>
          </cell>
          <cell r="S1291" t="str">
            <v>FALSE</v>
          </cell>
        </row>
        <row r="1292">
          <cell r="C1292">
            <v>42383.433368055557</v>
          </cell>
          <cell r="D1292" t="str">
            <v>Large</v>
          </cell>
          <cell r="G1292" t="b">
            <v>0</v>
          </cell>
          <cell r="J1292">
            <v>42383.43545138889</v>
          </cell>
          <cell r="L1292">
            <v>2.9999999993015081</v>
          </cell>
          <cell r="S1292" t="str">
            <v>TRUE</v>
          </cell>
        </row>
        <row r="1293">
          <cell r="C1293">
            <v>42383.541516203702</v>
          </cell>
          <cell r="D1293" t="str">
            <v>Small</v>
          </cell>
          <cell r="E1293" t="str">
            <v>Medium</v>
          </cell>
          <cell r="G1293" t="b">
            <v>1</v>
          </cell>
          <cell r="J1293">
            <v>42383.54587962963</v>
          </cell>
          <cell r="L1293">
            <v>6.2833333353046328</v>
          </cell>
          <cell r="S1293" t="str">
            <v>TRUE</v>
          </cell>
        </row>
        <row r="1294">
          <cell r="C1294">
            <v>42383.455231481479</v>
          </cell>
          <cell r="D1294" t="str">
            <v>Small</v>
          </cell>
          <cell r="E1294" t="str">
            <v>Large</v>
          </cell>
          <cell r="G1294" t="b">
            <v>0</v>
          </cell>
          <cell r="J1294">
            <v>42383.457291666666</v>
          </cell>
          <cell r="L1294">
            <v>2.9666666686534882</v>
          </cell>
          <cell r="S1294" t="str">
            <v>TRUE</v>
          </cell>
        </row>
        <row r="1295">
          <cell r="C1295">
            <v>42383.504270833335</v>
          </cell>
          <cell r="D1295" t="str">
            <v>Large</v>
          </cell>
          <cell r="G1295" t="b">
            <v>1</v>
          </cell>
          <cell r="J1295">
            <v>42383.518680555557</v>
          </cell>
          <cell r="L1295">
            <v>20.749999999534339</v>
          </cell>
          <cell r="S1295" t="str">
            <v>FALSE</v>
          </cell>
        </row>
        <row r="1296">
          <cell r="C1296">
            <v>42383.457175925927</v>
          </cell>
          <cell r="D1296" t="str">
            <v>Small</v>
          </cell>
          <cell r="E1296" t="str">
            <v>Medium</v>
          </cell>
          <cell r="G1296" t="b">
            <v>1</v>
          </cell>
          <cell r="J1296">
            <v>42383.473263888889</v>
          </cell>
          <cell r="L1296">
            <v>23.166666665347293</v>
          </cell>
          <cell r="S1296" t="str">
            <v>FALSE</v>
          </cell>
        </row>
        <row r="1297">
          <cell r="C1297">
            <v>42383.542395833334</v>
          </cell>
          <cell r="D1297" t="str">
            <v>Large</v>
          </cell>
          <cell r="G1297" t="b">
            <v>1</v>
          </cell>
          <cell r="J1297">
            <v>42383.558703703704</v>
          </cell>
          <cell r="L1297">
            <v>23.48333333269693</v>
          </cell>
          <cell r="S1297" t="str">
            <v>FALSE</v>
          </cell>
        </row>
        <row r="1298">
          <cell r="C1298">
            <v>42383.519837962966</v>
          </cell>
          <cell r="D1298" t="str">
            <v>Medium</v>
          </cell>
          <cell r="G1298" t="b">
            <v>1</v>
          </cell>
          <cell r="J1298">
            <v>42383.532013888886</v>
          </cell>
          <cell r="L1298">
            <v>17.533333324827254</v>
          </cell>
          <cell r="S1298" t="str">
            <v>FALSE</v>
          </cell>
        </row>
        <row r="1299">
          <cell r="C1299">
            <v>42383.533136574071</v>
          </cell>
          <cell r="D1299" t="str">
            <v>Large</v>
          </cell>
          <cell r="G1299" t="b">
            <v>0</v>
          </cell>
          <cell r="J1299">
            <v>42383.535231481481</v>
          </cell>
          <cell r="L1299">
            <v>3.0166666698642075</v>
          </cell>
          <cell r="S1299" t="str">
            <v>TRUE</v>
          </cell>
        </row>
        <row r="1300">
          <cell r="C1300">
            <v>42383.477337962962</v>
          </cell>
          <cell r="D1300" t="str">
            <v>Large</v>
          </cell>
          <cell r="G1300" t="b">
            <v>1</v>
          </cell>
          <cell r="J1300">
            <v>42383.489131944443</v>
          </cell>
          <cell r="L1300">
            <v>16.983333332464099</v>
          </cell>
          <cell r="S1300" t="str">
            <v>FALSE</v>
          </cell>
        </row>
        <row r="1301">
          <cell r="C1301">
            <v>42383.44902777778</v>
          </cell>
          <cell r="D1301" t="str">
            <v>Large</v>
          </cell>
          <cell r="G1301" t="b">
            <v>1</v>
          </cell>
          <cell r="J1301">
            <v>42383.460960648146</v>
          </cell>
          <cell r="L1301">
            <v>17.183333326829597</v>
          </cell>
          <cell r="S1301" t="str">
            <v>FALSE</v>
          </cell>
        </row>
        <row r="1302">
          <cell r="C1302">
            <v>42383.535694444443</v>
          </cell>
          <cell r="D1302" t="str">
            <v>Medium</v>
          </cell>
          <cell r="G1302" t="b">
            <v>1</v>
          </cell>
          <cell r="J1302">
            <v>42383.540601851855</v>
          </cell>
          <cell r="L1302">
            <v>7.0666666736360639</v>
          </cell>
          <cell r="S1302" t="str">
            <v>TRUE</v>
          </cell>
        </row>
        <row r="1303">
          <cell r="C1303">
            <v>42383.440451388888</v>
          </cell>
          <cell r="D1303" t="str">
            <v>Medium</v>
          </cell>
          <cell r="G1303" t="b">
            <v>0</v>
          </cell>
          <cell r="J1303">
            <v>42383.442523148151</v>
          </cell>
          <cell r="L1303">
            <v>2.9833333392161876</v>
          </cell>
          <cell r="S1303" t="str">
            <v>TRUE</v>
          </cell>
        </row>
        <row r="1304">
          <cell r="C1304">
            <v>42383.522187499999</v>
          </cell>
          <cell r="D1304" t="str">
            <v>Medium</v>
          </cell>
          <cell r="G1304" t="b">
            <v>0</v>
          </cell>
          <cell r="J1304">
            <v>42383.524282407408</v>
          </cell>
          <cell r="L1304">
            <v>3.0166666698642075</v>
          </cell>
          <cell r="S1304" t="str">
            <v>TRUE</v>
          </cell>
        </row>
        <row r="1305">
          <cell r="C1305">
            <v>42383.503923611112</v>
          </cell>
          <cell r="D1305" t="str">
            <v>Large</v>
          </cell>
          <cell r="G1305" t="b">
            <v>1</v>
          </cell>
          <cell r="J1305">
            <v>42383.522951388892</v>
          </cell>
          <cell r="L1305">
            <v>27.400000003399327</v>
          </cell>
          <cell r="S1305" t="str">
            <v>FALSE</v>
          </cell>
        </row>
        <row r="1306">
          <cell r="C1306">
            <v>42383.507384259261</v>
          </cell>
          <cell r="D1306" t="str">
            <v>Small</v>
          </cell>
          <cell r="G1306" t="b">
            <v>0</v>
          </cell>
          <cell r="J1306">
            <v>42383.509456018517</v>
          </cell>
          <cell r="L1306">
            <v>2.9833333287388086</v>
          </cell>
          <cell r="S1306" t="str">
            <v>TRUE</v>
          </cell>
        </row>
        <row r="1307">
          <cell r="C1307">
            <v>42383.473344907405</v>
          </cell>
          <cell r="D1307" t="str">
            <v>Small</v>
          </cell>
          <cell r="G1307" t="b">
            <v>0</v>
          </cell>
          <cell r="J1307">
            <v>42383.475416666668</v>
          </cell>
          <cell r="L1307">
            <v>2.9833333392161876</v>
          </cell>
          <cell r="S1307" t="str">
            <v>TRUE</v>
          </cell>
        </row>
        <row r="1308">
          <cell r="C1308">
            <v>42383.567835648151</v>
          </cell>
          <cell r="D1308" t="str">
            <v>Small</v>
          </cell>
          <cell r="G1308" t="b">
            <v>0</v>
          </cell>
          <cell r="J1308">
            <v>42383.569918981484</v>
          </cell>
          <cell r="L1308">
            <v>2.9999999993015081</v>
          </cell>
          <cell r="S1308" t="str">
            <v>TRUE</v>
          </cell>
        </row>
        <row r="1309">
          <cell r="C1309">
            <v>42383.449803240743</v>
          </cell>
          <cell r="D1309" t="str">
            <v>Large</v>
          </cell>
          <cell r="G1309" t="b">
            <v>1</v>
          </cell>
          <cell r="J1309">
            <v>42383.460439814815</v>
          </cell>
          <cell r="L1309">
            <v>15.316666663857177</v>
          </cell>
          <cell r="S1309" t="str">
            <v>TRUE</v>
          </cell>
        </row>
        <row r="1310">
          <cell r="C1310">
            <v>42383.546944444446</v>
          </cell>
          <cell r="D1310" t="str">
            <v>Medium</v>
          </cell>
          <cell r="G1310" t="b">
            <v>0</v>
          </cell>
          <cell r="J1310">
            <v>42383.549016203702</v>
          </cell>
          <cell r="L1310">
            <v>2.9833333287388086</v>
          </cell>
          <cell r="S1310" t="str">
            <v>TRUE</v>
          </cell>
        </row>
        <row r="1311">
          <cell r="C1311">
            <v>42383.519444444442</v>
          </cell>
          <cell r="D1311" t="str">
            <v>Large</v>
          </cell>
          <cell r="G1311" t="b">
            <v>1</v>
          </cell>
          <cell r="J1311">
            <v>42383.531192129631</v>
          </cell>
          <cell r="L1311">
            <v>16.916666671168059</v>
          </cell>
          <cell r="S1311" t="str">
            <v>FALSE</v>
          </cell>
        </row>
        <row r="1312">
          <cell r="C1312">
            <v>42383.526030092595</v>
          </cell>
          <cell r="D1312" t="str">
            <v>Small</v>
          </cell>
          <cell r="E1312" t="str">
            <v>Medium</v>
          </cell>
          <cell r="G1312" t="b">
            <v>0</v>
          </cell>
          <cell r="J1312">
            <v>42383.528113425928</v>
          </cell>
          <cell r="L1312">
            <v>2.9999999993015081</v>
          </cell>
          <cell r="S1312" t="str">
            <v>TRUE</v>
          </cell>
        </row>
        <row r="1313">
          <cell r="C1313">
            <v>42383.449826388889</v>
          </cell>
          <cell r="D1313" t="str">
            <v>Small</v>
          </cell>
          <cell r="G1313" t="b">
            <v>0</v>
          </cell>
          <cell r="J1313">
            <v>42383.451874999999</v>
          </cell>
          <cell r="L1313">
            <v>2.9499999980907887</v>
          </cell>
          <cell r="S1313" t="str">
            <v>TRUE</v>
          </cell>
        </row>
        <row r="1314">
          <cell r="C1314">
            <v>42383.536585648151</v>
          </cell>
          <cell r="D1314" t="str">
            <v>Medium</v>
          </cell>
          <cell r="G1314" t="b">
            <v>1</v>
          </cell>
          <cell r="J1314">
            <v>42383.54109953704</v>
          </cell>
          <cell r="L1314">
            <v>6.5000000002328306</v>
          </cell>
          <cell r="S1314" t="str">
            <v>TRUE</v>
          </cell>
        </row>
        <row r="1315">
          <cell r="C1315">
            <v>42383.493298611109</v>
          </cell>
          <cell r="D1315" t="str">
            <v>Medium</v>
          </cell>
          <cell r="G1315" t="b">
            <v>0</v>
          </cell>
          <cell r="J1315">
            <v>42383.495358796295</v>
          </cell>
          <cell r="L1315">
            <v>2.9666666686534882</v>
          </cell>
          <cell r="S1315" t="str">
            <v>TRUE</v>
          </cell>
        </row>
        <row r="1316">
          <cell r="C1316">
            <v>42383.495092592595</v>
          </cell>
          <cell r="D1316" t="str">
            <v>Small</v>
          </cell>
          <cell r="E1316" t="str">
            <v>Large</v>
          </cell>
          <cell r="G1316" t="b">
            <v>1</v>
          </cell>
          <cell r="J1316">
            <v>42383.500636574077</v>
          </cell>
          <cell r="L1316">
            <v>7.9833333345595747</v>
          </cell>
          <cell r="S1316" t="str">
            <v>TRUE</v>
          </cell>
        </row>
        <row r="1317">
          <cell r="C1317">
            <v>42383.604027777779</v>
          </cell>
          <cell r="D1317" t="str">
            <v>Small</v>
          </cell>
          <cell r="E1317" t="str">
            <v>Medium</v>
          </cell>
          <cell r="G1317" t="b">
            <v>0</v>
          </cell>
          <cell r="J1317">
            <v>42383.606087962966</v>
          </cell>
          <cell r="L1317">
            <v>2.9666666686534882</v>
          </cell>
          <cell r="S1317" t="str">
            <v>TRUE</v>
          </cell>
        </row>
        <row r="1318">
          <cell r="C1318">
            <v>42383.534942129627</v>
          </cell>
          <cell r="D1318" t="str">
            <v>Small</v>
          </cell>
          <cell r="E1318" t="str">
            <v>Medium</v>
          </cell>
          <cell r="G1318" t="b">
            <v>1</v>
          </cell>
          <cell r="J1318">
            <v>42383.550682870373</v>
          </cell>
          <cell r="L1318">
            <v>22.666666674194857</v>
          </cell>
          <cell r="S1318" t="str">
            <v>FALSE</v>
          </cell>
        </row>
        <row r="1319">
          <cell r="C1319">
            <v>42383.541215277779</v>
          </cell>
          <cell r="D1319" t="str">
            <v>Large</v>
          </cell>
          <cell r="G1319" t="b">
            <v>0</v>
          </cell>
          <cell r="J1319">
            <v>42383.543275462966</v>
          </cell>
          <cell r="L1319">
            <v>2.9666666686534882</v>
          </cell>
          <cell r="S1319" t="str">
            <v>TRUE</v>
          </cell>
        </row>
        <row r="1320">
          <cell r="C1320">
            <v>42383.532800925925</v>
          </cell>
          <cell r="D1320" t="str">
            <v>Medium</v>
          </cell>
          <cell r="G1320" t="b">
            <v>0</v>
          </cell>
          <cell r="J1320">
            <v>42383.534895833334</v>
          </cell>
          <cell r="L1320">
            <v>3.0166666698642075</v>
          </cell>
          <cell r="S1320" t="str">
            <v>TRUE</v>
          </cell>
        </row>
        <row r="1321">
          <cell r="C1321">
            <v>42383.53361111111</v>
          </cell>
          <cell r="D1321" t="str">
            <v>Medium</v>
          </cell>
          <cell r="G1321" t="b">
            <v>1</v>
          </cell>
          <cell r="J1321">
            <v>42383.547256944446</v>
          </cell>
          <cell r="L1321">
            <v>19.65000000433065</v>
          </cell>
          <cell r="S1321" t="str">
            <v>FALSE</v>
          </cell>
        </row>
        <row r="1322">
          <cell r="C1322">
            <v>42383.450752314813</v>
          </cell>
          <cell r="D1322" t="str">
            <v>Small</v>
          </cell>
          <cell r="G1322" t="b">
            <v>0</v>
          </cell>
          <cell r="J1322">
            <v>42383.4528125</v>
          </cell>
          <cell r="L1322">
            <v>2.9666666686534882</v>
          </cell>
          <cell r="S1322" t="str">
            <v>TRUE</v>
          </cell>
        </row>
        <row r="1323">
          <cell r="C1323">
            <v>42383.542268518519</v>
          </cell>
          <cell r="D1323" t="str">
            <v>Medium</v>
          </cell>
          <cell r="G1323" t="b">
            <v>0</v>
          </cell>
          <cell r="J1323">
            <v>42383.544340277775</v>
          </cell>
          <cell r="L1323">
            <v>2.9833333287388086</v>
          </cell>
          <cell r="S1323" t="str">
            <v>TRUE</v>
          </cell>
        </row>
        <row r="1324">
          <cell r="C1324">
            <v>42383.53365740741</v>
          </cell>
          <cell r="D1324" t="str">
            <v>Medium</v>
          </cell>
          <cell r="G1324" t="b">
            <v>1</v>
          </cell>
          <cell r="J1324">
            <v>42383.543368055558</v>
          </cell>
          <cell r="L1324">
            <v>13.983333333162591</v>
          </cell>
          <cell r="S1324" t="str">
            <v>TRUE</v>
          </cell>
        </row>
        <row r="1325">
          <cell r="C1325">
            <v>42383.562638888892</v>
          </cell>
          <cell r="D1325" t="str">
            <v>Large</v>
          </cell>
          <cell r="G1325" t="b">
            <v>1</v>
          </cell>
          <cell r="J1325">
            <v>42383.569560185184</v>
          </cell>
          <cell r="L1325">
            <v>9.9666666600387543</v>
          </cell>
          <cell r="S1325" t="str">
            <v>TRUE</v>
          </cell>
        </row>
        <row r="1326">
          <cell r="C1326">
            <v>42383.457569444443</v>
          </cell>
          <cell r="D1326" t="str">
            <v>Medium</v>
          </cell>
          <cell r="G1326" t="b">
            <v>0</v>
          </cell>
          <cell r="J1326">
            <v>42383.459641203706</v>
          </cell>
          <cell r="L1326">
            <v>2.9833333392161876</v>
          </cell>
          <cell r="S1326" t="str">
            <v>TRUE</v>
          </cell>
        </row>
        <row r="1327">
          <cell r="C1327">
            <v>42383.541319444441</v>
          </cell>
          <cell r="D1327" t="str">
            <v>Large</v>
          </cell>
          <cell r="G1327" t="b">
            <v>1</v>
          </cell>
          <cell r="J1327">
            <v>42383.550069444442</v>
          </cell>
          <cell r="L1327">
            <v>12.600000001257285</v>
          </cell>
          <cell r="S1327" t="str">
            <v>TRUE</v>
          </cell>
        </row>
        <row r="1328">
          <cell r="C1328">
            <v>42383.517997685187</v>
          </cell>
          <cell r="D1328" t="str">
            <v>Large</v>
          </cell>
          <cell r="G1328" t="b">
            <v>1</v>
          </cell>
          <cell r="J1328">
            <v>42383.525567129633</v>
          </cell>
          <cell r="L1328">
            <v>10.900000002002344</v>
          </cell>
          <cell r="S1328" t="str">
            <v>TRUE</v>
          </cell>
        </row>
        <row r="1329">
          <cell r="C1329">
            <v>42383.506469907406</v>
          </cell>
          <cell r="D1329" t="str">
            <v>Large</v>
          </cell>
          <cell r="G1329" t="b">
            <v>1</v>
          </cell>
          <cell r="J1329">
            <v>42383.522256944445</v>
          </cell>
          <cell r="L1329">
            <v>22.733333335490897</v>
          </cell>
          <cell r="S1329" t="str">
            <v>FALSE</v>
          </cell>
        </row>
        <row r="1330">
          <cell r="C1330">
            <v>42383.56925925926</v>
          </cell>
          <cell r="D1330" t="str">
            <v>Medium</v>
          </cell>
          <cell r="G1330" t="b">
            <v>1</v>
          </cell>
          <cell r="J1330">
            <v>42383.58798611111</v>
          </cell>
          <cell r="L1330">
            <v>26.966666663065553</v>
          </cell>
          <cell r="S1330" t="str">
            <v>FALSE</v>
          </cell>
        </row>
        <row r="1331">
          <cell r="C1331">
            <v>42383.467928240738</v>
          </cell>
          <cell r="D1331" t="str">
            <v>Small</v>
          </cell>
          <cell r="E1331" t="str">
            <v>Large</v>
          </cell>
          <cell r="G1331" t="b">
            <v>1</v>
          </cell>
          <cell r="J1331">
            <v>42383.475231481483</v>
          </cell>
          <cell r="L1331">
            <v>10.516666673356667</v>
          </cell>
          <cell r="S1331" t="str">
            <v>TRUE</v>
          </cell>
        </row>
        <row r="1332">
          <cell r="C1332">
            <v>42383.633020833331</v>
          </cell>
          <cell r="D1332" t="str">
            <v>Large</v>
          </cell>
          <cell r="G1332" t="b">
            <v>0</v>
          </cell>
          <cell r="J1332">
            <v>42383.635092592594</v>
          </cell>
          <cell r="L1332">
            <v>2.9833333392161876</v>
          </cell>
          <cell r="S1332" t="str">
            <v>TRUE</v>
          </cell>
        </row>
        <row r="1333">
          <cell r="C1333">
            <v>42383.566516203704</v>
          </cell>
          <cell r="D1333" t="str">
            <v>Small</v>
          </cell>
          <cell r="G1333" t="b">
            <v>1</v>
          </cell>
          <cell r="J1333">
            <v>42383.575023148151</v>
          </cell>
          <cell r="L1333">
            <v>12.250000003259629</v>
          </cell>
          <cell r="S1333" t="str">
            <v>TRUE</v>
          </cell>
        </row>
        <row r="1334">
          <cell r="C1334">
            <v>42383.53869212963</v>
          </cell>
          <cell r="D1334" t="str">
            <v>Large</v>
          </cell>
          <cell r="G1334" t="b">
            <v>1</v>
          </cell>
          <cell r="J1334">
            <v>42383.552453703705</v>
          </cell>
          <cell r="L1334">
            <v>19.816666668048128</v>
          </cell>
          <cell r="S1334" t="str">
            <v>FALSE</v>
          </cell>
        </row>
        <row r="1335">
          <cell r="C1335">
            <v>42383.503703703704</v>
          </cell>
          <cell r="D1335" t="str">
            <v>Medium</v>
          </cell>
          <cell r="G1335" t="b">
            <v>1</v>
          </cell>
          <cell r="J1335">
            <v>42383.515057870369</v>
          </cell>
          <cell r="L1335">
            <v>16.349999997764826</v>
          </cell>
          <cell r="S1335" t="str">
            <v>FALSE</v>
          </cell>
        </row>
        <row r="1336">
          <cell r="C1336">
            <v>42383.535752314812</v>
          </cell>
          <cell r="D1336" t="str">
            <v>Large</v>
          </cell>
          <cell r="G1336" t="b">
            <v>1</v>
          </cell>
          <cell r="J1336">
            <v>42383.543877314813</v>
          </cell>
          <cell r="L1336">
            <v>11.700000000419095</v>
          </cell>
          <cell r="S1336" t="str">
            <v>TRUE</v>
          </cell>
        </row>
        <row r="1337">
          <cell r="C1337">
            <v>42383.520335648151</v>
          </cell>
          <cell r="D1337" t="str">
            <v>Small</v>
          </cell>
          <cell r="G1337" t="b">
            <v>0</v>
          </cell>
          <cell r="J1337">
            <v>42383.522418981483</v>
          </cell>
          <cell r="L1337">
            <v>2.9999999993015081</v>
          </cell>
          <cell r="S1337" t="str">
            <v>TRUE</v>
          </cell>
        </row>
        <row r="1338">
          <cell r="C1338">
            <v>42383.593692129631</v>
          </cell>
          <cell r="D1338" t="str">
            <v>Small</v>
          </cell>
          <cell r="E1338" t="str">
            <v>Large</v>
          </cell>
          <cell r="G1338" t="b">
            <v>0</v>
          </cell>
          <cell r="J1338">
            <v>42383.595775462964</v>
          </cell>
          <cell r="L1338">
            <v>2.9999999993015081</v>
          </cell>
          <cell r="S1338" t="str">
            <v>TRUE</v>
          </cell>
        </row>
        <row r="1339">
          <cell r="C1339">
            <v>42383.518773148149</v>
          </cell>
          <cell r="D1339" t="str">
            <v>Medium</v>
          </cell>
          <cell r="G1339" t="b">
            <v>1</v>
          </cell>
          <cell r="J1339">
            <v>42383.530115740738</v>
          </cell>
          <cell r="L1339">
            <v>16.333333327202126</v>
          </cell>
          <cell r="S1339" t="str">
            <v>FALSE</v>
          </cell>
        </row>
        <row r="1340">
          <cell r="C1340">
            <v>42383.5700462963</v>
          </cell>
          <cell r="D1340" t="str">
            <v>Small</v>
          </cell>
          <cell r="G1340" t="b">
            <v>0</v>
          </cell>
          <cell r="J1340">
            <v>42383.572129629632</v>
          </cell>
          <cell r="L1340">
            <v>2.9999999993015081</v>
          </cell>
          <cell r="S1340" t="str">
            <v>TRUE</v>
          </cell>
        </row>
        <row r="1341">
          <cell r="C1341">
            <v>42383.521898148145</v>
          </cell>
          <cell r="D1341" t="str">
            <v>Medium</v>
          </cell>
          <cell r="G1341" t="b">
            <v>0</v>
          </cell>
          <cell r="J1341">
            <v>42383.523981481485</v>
          </cell>
          <cell r="L1341">
            <v>3.000000009778887</v>
          </cell>
          <cell r="S1341" t="str">
            <v>TRUE</v>
          </cell>
        </row>
        <row r="1342">
          <cell r="C1342">
            <v>42383.497581018521</v>
          </cell>
          <cell r="D1342" t="str">
            <v>Large</v>
          </cell>
          <cell r="G1342" t="b">
            <v>0</v>
          </cell>
          <cell r="J1342">
            <v>42383.499652777777</v>
          </cell>
          <cell r="L1342">
            <v>2.9833333287388086</v>
          </cell>
          <cell r="S1342" t="str">
            <v>TRUE</v>
          </cell>
        </row>
        <row r="1343">
          <cell r="C1343">
            <v>42383.455277777779</v>
          </cell>
          <cell r="D1343" t="str">
            <v>Small</v>
          </cell>
          <cell r="E1343" t="str">
            <v>Medium</v>
          </cell>
          <cell r="G1343" t="b">
            <v>1</v>
          </cell>
          <cell r="J1343">
            <v>42383.461423611108</v>
          </cell>
          <cell r="L1343">
            <v>8.8499999942723662</v>
          </cell>
          <cell r="S1343" t="str">
            <v>TRUE</v>
          </cell>
        </row>
        <row r="1344">
          <cell r="C1344">
            <v>42383.536712962959</v>
          </cell>
          <cell r="D1344" t="str">
            <v>Medium</v>
          </cell>
          <cell r="G1344" t="b">
            <v>1</v>
          </cell>
          <cell r="J1344">
            <v>42383.547372685185</v>
          </cell>
          <cell r="L1344">
            <v>15.350000004982576</v>
          </cell>
          <cell r="S1344" t="str">
            <v>TRUE</v>
          </cell>
        </row>
        <row r="1345">
          <cell r="C1345">
            <v>42383.482395833336</v>
          </cell>
          <cell r="D1345" t="str">
            <v>Medium</v>
          </cell>
          <cell r="E1345" t="str">
            <v>Large</v>
          </cell>
          <cell r="G1345" t="b">
            <v>1</v>
          </cell>
          <cell r="J1345">
            <v>42383.494502314818</v>
          </cell>
          <cell r="L1345">
            <v>17.433333332883194</v>
          </cell>
          <cell r="S1345" t="str">
            <v>FALSE</v>
          </cell>
        </row>
        <row r="1346">
          <cell r="C1346">
            <v>42383.500081018516</v>
          </cell>
          <cell r="D1346" t="str">
            <v>Medium</v>
          </cell>
          <cell r="G1346" t="b">
            <v>1</v>
          </cell>
          <cell r="J1346">
            <v>42383.508402777778</v>
          </cell>
          <cell r="L1346">
            <v>11.983333337120712</v>
          </cell>
          <cell r="S1346" t="str">
            <v>TRUE</v>
          </cell>
        </row>
        <row r="1347">
          <cell r="C1347">
            <v>42383.578703703701</v>
          </cell>
          <cell r="D1347" t="str">
            <v>Large</v>
          </cell>
          <cell r="G1347" t="b">
            <v>1</v>
          </cell>
          <cell r="J1347">
            <v>42383.582905092589</v>
          </cell>
          <cell r="L1347">
            <v>6.0499999998137355</v>
          </cell>
          <cell r="S1347" t="str">
            <v>TRUE</v>
          </cell>
        </row>
        <row r="1348">
          <cell r="C1348">
            <v>42383.508634259262</v>
          </cell>
          <cell r="D1348" t="str">
            <v>Small</v>
          </cell>
          <cell r="G1348" t="b">
            <v>1</v>
          </cell>
          <cell r="J1348">
            <v>42383.519756944443</v>
          </cell>
          <cell r="L1348">
            <v>16.01666665985249</v>
          </cell>
          <cell r="S1348" t="str">
            <v>FALSE</v>
          </cell>
        </row>
        <row r="1349">
          <cell r="C1349">
            <v>42383.544606481482</v>
          </cell>
          <cell r="D1349" t="str">
            <v>Small</v>
          </cell>
          <cell r="G1349" t="b">
            <v>0</v>
          </cell>
          <cell r="J1349">
            <v>42383.546678240738</v>
          </cell>
          <cell r="L1349">
            <v>2.9833333287388086</v>
          </cell>
          <cell r="S1349" t="str">
            <v>TRUE</v>
          </cell>
        </row>
        <row r="1350">
          <cell r="C1350">
            <v>42383.456886574073</v>
          </cell>
          <cell r="D1350" t="str">
            <v>Small</v>
          </cell>
          <cell r="E1350" t="str">
            <v>Medium</v>
          </cell>
          <cell r="G1350" t="b">
            <v>0</v>
          </cell>
          <cell r="J1350">
            <v>42383.45894675926</v>
          </cell>
          <cell r="L1350">
            <v>2.9666666686534882</v>
          </cell>
          <cell r="S1350" t="str">
            <v>TRUE</v>
          </cell>
        </row>
        <row r="1351">
          <cell r="C1351">
            <v>42383.504791666666</v>
          </cell>
          <cell r="D1351" t="str">
            <v>Medium</v>
          </cell>
          <cell r="G1351" t="b">
            <v>0</v>
          </cell>
          <cell r="J1351">
            <v>42383.506863425922</v>
          </cell>
          <cell r="L1351">
            <v>2.9833333287388086</v>
          </cell>
          <cell r="S1351" t="str">
            <v>TRUE</v>
          </cell>
        </row>
        <row r="1352">
          <cell r="C1352">
            <v>42383.516886574071</v>
          </cell>
          <cell r="D1352" t="str">
            <v>Small</v>
          </cell>
          <cell r="G1352" t="b">
            <v>0</v>
          </cell>
          <cell r="J1352">
            <v>42383.518969907411</v>
          </cell>
          <cell r="L1352">
            <v>3.000000009778887</v>
          </cell>
          <cell r="S1352" t="str">
            <v>TRUE</v>
          </cell>
        </row>
        <row r="1353">
          <cell r="C1353">
            <v>42383.439270833333</v>
          </cell>
          <cell r="D1353" t="str">
            <v>Small</v>
          </cell>
          <cell r="E1353" t="str">
            <v>Medium</v>
          </cell>
          <cell r="G1353" t="b">
            <v>1</v>
          </cell>
          <cell r="J1353">
            <v>42383.454756944448</v>
          </cell>
          <cell r="L1353">
            <v>22.300000005634502</v>
          </cell>
          <cell r="S1353" t="str">
            <v>FALSE</v>
          </cell>
        </row>
        <row r="1354">
          <cell r="C1354">
            <v>42383.479270833333</v>
          </cell>
          <cell r="D1354" t="str">
            <v>Small</v>
          </cell>
          <cell r="E1354" t="str">
            <v>Medium</v>
          </cell>
          <cell r="G1354" t="b">
            <v>1</v>
          </cell>
          <cell r="J1354">
            <v>42383.486550925925</v>
          </cell>
          <cell r="L1354">
            <v>10.483333332231268</v>
          </cell>
          <cell r="S1354" t="str">
            <v>TRUE</v>
          </cell>
        </row>
        <row r="1355">
          <cell r="C1355">
            <v>42383.527291666665</v>
          </cell>
          <cell r="D1355" t="str">
            <v>Medium</v>
          </cell>
          <cell r="G1355" t="b">
            <v>0</v>
          </cell>
          <cell r="J1355">
            <v>42383.529363425929</v>
          </cell>
          <cell r="L1355">
            <v>2.9833333392161876</v>
          </cell>
          <cell r="S1355" t="str">
            <v>TRUE</v>
          </cell>
        </row>
        <row r="1356">
          <cell r="C1356">
            <v>42383.49726851852</v>
          </cell>
          <cell r="D1356" t="str">
            <v>Small</v>
          </cell>
          <cell r="E1356" t="str">
            <v>Large</v>
          </cell>
          <cell r="G1356" t="b">
            <v>0</v>
          </cell>
          <cell r="J1356">
            <v>42383.499328703707</v>
          </cell>
          <cell r="L1356">
            <v>2.9666666686534882</v>
          </cell>
          <cell r="S1356" t="str">
            <v>TRUE</v>
          </cell>
        </row>
        <row r="1357">
          <cell r="C1357">
            <v>42383.512129629627</v>
          </cell>
          <cell r="D1357" t="str">
            <v>Medium</v>
          </cell>
          <cell r="G1357" t="b">
            <v>0</v>
          </cell>
          <cell r="J1357">
            <v>42383.51421296296</v>
          </cell>
          <cell r="L1357">
            <v>2.9999999993015081</v>
          </cell>
          <cell r="S1357" t="str">
            <v>TRUE</v>
          </cell>
        </row>
        <row r="1358">
          <cell r="C1358">
            <v>42383.490324074075</v>
          </cell>
          <cell r="D1358" t="str">
            <v>Medium</v>
          </cell>
          <cell r="G1358" t="b">
            <v>0</v>
          </cell>
          <cell r="J1358">
            <v>42383.492395833331</v>
          </cell>
          <cell r="L1358">
            <v>2.9833333287388086</v>
          </cell>
          <cell r="S1358" t="str">
            <v>TRUE</v>
          </cell>
        </row>
        <row r="1359">
          <cell r="C1359">
            <v>42383.525266203702</v>
          </cell>
          <cell r="D1359" t="str">
            <v>Small</v>
          </cell>
          <cell r="G1359" t="b">
            <v>1</v>
          </cell>
          <cell r="J1359">
            <v>42383.539849537039</v>
          </cell>
          <cell r="L1359">
            <v>21.000000005587935</v>
          </cell>
          <cell r="S1359" t="str">
            <v>FALSE</v>
          </cell>
        </row>
        <row r="1360">
          <cell r="C1360">
            <v>42383.463263888887</v>
          </cell>
          <cell r="D1360" t="str">
            <v>Large</v>
          </cell>
          <cell r="G1360" t="b">
            <v>1</v>
          </cell>
          <cell r="J1360">
            <v>42383.4690162037</v>
          </cell>
          <cell r="L1360">
            <v>8.2833333313465118</v>
          </cell>
          <cell r="S1360" t="str">
            <v>TRUE</v>
          </cell>
        </row>
        <row r="1361">
          <cell r="C1361">
            <v>42383.486550925925</v>
          </cell>
          <cell r="D1361" t="str">
            <v>Small</v>
          </cell>
          <cell r="E1361" t="str">
            <v>Medium</v>
          </cell>
          <cell r="G1361" t="b">
            <v>1</v>
          </cell>
          <cell r="J1361">
            <v>42383.496203703704</v>
          </cell>
          <cell r="L1361">
            <v>13.900000001303852</v>
          </cell>
          <cell r="S1361" t="str">
            <v>TRUE</v>
          </cell>
        </row>
        <row r="1362">
          <cell r="C1362">
            <v>42383.551504629628</v>
          </cell>
          <cell r="D1362" t="str">
            <v>Medium</v>
          </cell>
          <cell r="G1362" t="b">
            <v>1</v>
          </cell>
          <cell r="J1362">
            <v>42383.563368055555</v>
          </cell>
          <cell r="L1362">
            <v>17.083333334885538</v>
          </cell>
          <cell r="S1362" t="str">
            <v>FALSE</v>
          </cell>
        </row>
        <row r="1363">
          <cell r="C1363">
            <v>42383.544259259259</v>
          </cell>
          <cell r="D1363" t="str">
            <v>Medium</v>
          </cell>
          <cell r="E1363" t="str">
            <v>Large</v>
          </cell>
          <cell r="G1363" t="b">
            <v>1</v>
          </cell>
          <cell r="J1363">
            <v>42383.557754629626</v>
          </cell>
          <cell r="L1363">
            <v>19.433333328925073</v>
          </cell>
          <cell r="S1363" t="str">
            <v>FALSE</v>
          </cell>
        </row>
        <row r="1364">
          <cell r="C1364">
            <v>42383.528993055559</v>
          </cell>
          <cell r="D1364" t="str">
            <v>Large</v>
          </cell>
          <cell r="G1364" t="b">
            <v>0</v>
          </cell>
          <cell r="J1364">
            <v>42383.531064814815</v>
          </cell>
          <cell r="L1364">
            <v>2.9833333287388086</v>
          </cell>
          <cell r="S1364" t="str">
            <v>TRUE</v>
          </cell>
        </row>
        <row r="1365">
          <cell r="C1365">
            <v>42383.537835648145</v>
          </cell>
          <cell r="D1365" t="str">
            <v>Small</v>
          </cell>
          <cell r="E1365" t="str">
            <v>Medium</v>
          </cell>
          <cell r="G1365" t="b">
            <v>0</v>
          </cell>
          <cell r="J1365">
            <v>42383.539930555555</v>
          </cell>
          <cell r="L1365">
            <v>3.0166666698642075</v>
          </cell>
          <cell r="S1365" t="str">
            <v>TRUE</v>
          </cell>
        </row>
        <row r="1366">
          <cell r="C1366">
            <v>42383.489988425928</v>
          </cell>
          <cell r="D1366" t="str">
            <v>Medium</v>
          </cell>
          <cell r="E1366" t="str">
            <v>Large</v>
          </cell>
          <cell r="G1366" t="b">
            <v>0</v>
          </cell>
          <cell r="J1366">
            <v>42383.492071759261</v>
          </cell>
          <cell r="L1366">
            <v>2.9999999993015081</v>
          </cell>
          <cell r="S1366" t="str">
            <v>TRUE</v>
          </cell>
        </row>
        <row r="1367">
          <cell r="C1367">
            <v>42383.510787037034</v>
          </cell>
          <cell r="D1367" t="str">
            <v>Large</v>
          </cell>
          <cell r="G1367" t="b">
            <v>1</v>
          </cell>
          <cell r="J1367">
            <v>42383.520011574074</v>
          </cell>
          <cell r="L1367">
            <v>13.283333337167278</v>
          </cell>
          <cell r="S1367" t="str">
            <v>TRUE</v>
          </cell>
        </row>
        <row r="1368">
          <cell r="C1368">
            <v>42383.442199074074</v>
          </cell>
          <cell r="D1368" t="str">
            <v>Large</v>
          </cell>
          <cell r="G1368" t="b">
            <v>0</v>
          </cell>
          <cell r="J1368">
            <v>42383.444282407407</v>
          </cell>
          <cell r="L1368">
            <v>2.9999999993015081</v>
          </cell>
          <cell r="S1368" t="str">
            <v>TRUE</v>
          </cell>
        </row>
        <row r="1369">
          <cell r="C1369">
            <v>42383.440717592595</v>
          </cell>
          <cell r="D1369" t="str">
            <v>Medium</v>
          </cell>
          <cell r="G1369" t="b">
            <v>1</v>
          </cell>
          <cell r="J1369">
            <v>42383.458078703705</v>
          </cell>
          <cell r="L1369">
            <v>24.999999997671694</v>
          </cell>
          <cell r="S1369" t="str">
            <v>FALSE</v>
          </cell>
        </row>
        <row r="1370">
          <cell r="C1370">
            <v>42383.492291666669</v>
          </cell>
          <cell r="D1370" t="str">
            <v>Small</v>
          </cell>
          <cell r="G1370" t="b">
            <v>1</v>
          </cell>
          <cell r="J1370">
            <v>42383.506643518522</v>
          </cell>
          <cell r="L1370">
            <v>20.666666667675599</v>
          </cell>
          <cell r="S1370" t="str">
            <v>FALSE</v>
          </cell>
        </row>
        <row r="1371">
          <cell r="C1371">
            <v>42383.4766087963</v>
          </cell>
          <cell r="D1371" t="str">
            <v>Large</v>
          </cell>
          <cell r="G1371" t="b">
            <v>1</v>
          </cell>
          <cell r="J1371">
            <v>42383.496388888889</v>
          </cell>
          <cell r="L1371">
            <v>28.483333328040317</v>
          </cell>
          <cell r="S1371" t="str">
            <v>FALSE</v>
          </cell>
        </row>
        <row r="1372">
          <cell r="C1372">
            <v>42383.583518518521</v>
          </cell>
          <cell r="D1372" t="str">
            <v>Large</v>
          </cell>
          <cell r="G1372" t="b">
            <v>1</v>
          </cell>
          <cell r="J1372">
            <v>42383.5862037037</v>
          </cell>
          <cell r="L1372">
            <v>3.8666666590142995</v>
          </cell>
          <cell r="S1372" t="str">
            <v>TRUE</v>
          </cell>
        </row>
        <row r="1373">
          <cell r="C1373">
            <v>42383.665243055555</v>
          </cell>
          <cell r="D1373" t="str">
            <v>Large</v>
          </cell>
          <cell r="G1373" t="b">
            <v>0</v>
          </cell>
          <cell r="J1373">
            <v>42383.667314814818</v>
          </cell>
          <cell r="L1373">
            <v>2.9833333392161876</v>
          </cell>
          <cell r="S1373" t="str">
            <v>TRUE</v>
          </cell>
        </row>
        <row r="1374">
          <cell r="C1374">
            <v>42383.48982638889</v>
          </cell>
          <cell r="D1374" t="str">
            <v>Large</v>
          </cell>
          <cell r="G1374" t="b">
            <v>1</v>
          </cell>
          <cell r="J1374">
            <v>42383.501250000001</v>
          </cell>
          <cell r="L1374">
            <v>16.450000000186265</v>
          </cell>
          <cell r="S1374" t="str">
            <v>FALSE</v>
          </cell>
        </row>
        <row r="1375">
          <cell r="C1375">
            <v>42383.55572916667</v>
          </cell>
          <cell r="D1375" t="str">
            <v>Medium</v>
          </cell>
          <cell r="G1375" t="b">
            <v>0</v>
          </cell>
          <cell r="J1375">
            <v>42383.557800925926</v>
          </cell>
          <cell r="L1375">
            <v>2.9833333287388086</v>
          </cell>
          <cell r="S1375" t="str">
            <v>TRUE</v>
          </cell>
        </row>
        <row r="1376">
          <cell r="C1376">
            <v>42383.493298611109</v>
          </cell>
          <cell r="D1376" t="str">
            <v>Small</v>
          </cell>
          <cell r="G1376" t="b">
            <v>0</v>
          </cell>
          <cell r="J1376">
            <v>42383.495370370372</v>
          </cell>
          <cell r="L1376">
            <v>2.9833333392161876</v>
          </cell>
          <cell r="S1376" t="str">
            <v>TRUE</v>
          </cell>
        </row>
        <row r="1377">
          <cell r="C1377">
            <v>42383.484259259261</v>
          </cell>
          <cell r="D1377" t="str">
            <v>Large</v>
          </cell>
          <cell r="G1377" t="b">
            <v>0</v>
          </cell>
          <cell r="J1377">
            <v>42383.486342592594</v>
          </cell>
          <cell r="L1377">
            <v>2.9999999993015081</v>
          </cell>
          <cell r="S1377" t="str">
            <v>TRUE</v>
          </cell>
        </row>
        <row r="1378">
          <cell r="C1378">
            <v>42383.517476851855</v>
          </cell>
          <cell r="D1378" t="str">
            <v>Medium</v>
          </cell>
          <cell r="G1378" t="b">
            <v>1</v>
          </cell>
          <cell r="J1378">
            <v>42383.536203703705</v>
          </cell>
          <cell r="L1378">
            <v>26.966666663065553</v>
          </cell>
          <cell r="S1378" t="str">
            <v>FALSE</v>
          </cell>
        </row>
        <row r="1379">
          <cell r="C1379">
            <v>42383.492673611108</v>
          </cell>
          <cell r="D1379" t="str">
            <v>Small</v>
          </cell>
          <cell r="E1379" t="str">
            <v>Medium</v>
          </cell>
          <cell r="G1379" t="b">
            <v>1</v>
          </cell>
          <cell r="J1379">
            <v>42383.50105324074</v>
          </cell>
          <cell r="L1379">
            <v>12.066666668979451</v>
          </cell>
          <cell r="S1379" t="str">
            <v>TRUE</v>
          </cell>
        </row>
        <row r="1380">
          <cell r="C1380">
            <v>42383.504965277774</v>
          </cell>
          <cell r="D1380" t="str">
            <v>Small</v>
          </cell>
          <cell r="G1380" t="b">
            <v>0</v>
          </cell>
          <cell r="J1380">
            <v>42383.507048611114</v>
          </cell>
          <cell r="L1380">
            <v>3.000000009778887</v>
          </cell>
          <cell r="S1380" t="str">
            <v>TRUE</v>
          </cell>
        </row>
        <row r="1381">
          <cell r="C1381">
            <v>42383.497881944444</v>
          </cell>
          <cell r="D1381" t="str">
            <v>Medium</v>
          </cell>
          <cell r="G1381" t="b">
            <v>0</v>
          </cell>
          <cell r="J1381">
            <v>42383.499976851854</v>
          </cell>
          <cell r="L1381">
            <v>3.0166666698642075</v>
          </cell>
          <cell r="S1381" t="str">
            <v>TRUE</v>
          </cell>
        </row>
        <row r="1382">
          <cell r="C1382">
            <v>42383.480034722219</v>
          </cell>
          <cell r="D1382" t="str">
            <v>Small</v>
          </cell>
          <cell r="E1382" t="str">
            <v>Large</v>
          </cell>
          <cell r="G1382" t="b">
            <v>0</v>
          </cell>
          <cell r="J1382">
            <v>42383.482094907406</v>
          </cell>
          <cell r="L1382">
            <v>2.9666666686534882</v>
          </cell>
          <cell r="S1382" t="str">
            <v>TRUE</v>
          </cell>
        </row>
        <row r="1383">
          <cell r="C1383">
            <v>42383.491377314815</v>
          </cell>
          <cell r="D1383" t="str">
            <v>Large</v>
          </cell>
          <cell r="G1383" t="b">
            <v>1</v>
          </cell>
          <cell r="J1383">
            <v>42383.497696759259</v>
          </cell>
          <cell r="L1383">
            <v>9.1000000003259629</v>
          </cell>
          <cell r="S1383" t="str">
            <v>TRUE</v>
          </cell>
        </row>
        <row r="1384">
          <cell r="C1384">
            <v>42383.442870370367</v>
          </cell>
          <cell r="D1384" t="str">
            <v>Large</v>
          </cell>
          <cell r="G1384" t="b">
            <v>1</v>
          </cell>
          <cell r="J1384">
            <v>42383.456493055557</v>
          </cell>
          <cell r="L1384">
            <v>19.61666667368263</v>
          </cell>
          <cell r="S1384" t="str">
            <v>FALSE</v>
          </cell>
        </row>
        <row r="1385">
          <cell r="C1385">
            <v>42383.514421296299</v>
          </cell>
          <cell r="D1385" t="str">
            <v>Large</v>
          </cell>
          <cell r="G1385" t="b">
            <v>0</v>
          </cell>
          <cell r="J1385">
            <v>42383.516516203701</v>
          </cell>
          <cell r="L1385">
            <v>3.0166666593868285</v>
          </cell>
          <cell r="S1385" t="str">
            <v>TRUE</v>
          </cell>
        </row>
        <row r="1386">
          <cell r="C1386">
            <v>42383.492604166669</v>
          </cell>
          <cell r="D1386" t="str">
            <v>Medium</v>
          </cell>
          <cell r="G1386" t="b">
            <v>1</v>
          </cell>
          <cell r="J1386">
            <v>42383.50105324074</v>
          </cell>
          <cell r="L1386">
            <v>12.166666660923511</v>
          </cell>
          <cell r="S1386" t="str">
            <v>TRUE</v>
          </cell>
        </row>
        <row r="1387">
          <cell r="C1387">
            <v>42383.443553240744</v>
          </cell>
          <cell r="D1387" t="str">
            <v>Large</v>
          </cell>
          <cell r="G1387" t="b">
            <v>1</v>
          </cell>
          <cell r="J1387">
            <v>42383.45416666667</v>
          </cell>
          <cell r="L1387">
            <v>15.283333333209157</v>
          </cell>
          <cell r="S1387" t="str">
            <v>TRUE</v>
          </cell>
        </row>
        <row r="1388">
          <cell r="C1388">
            <v>42383.587546296294</v>
          </cell>
          <cell r="D1388" t="str">
            <v>Small</v>
          </cell>
          <cell r="G1388" t="b">
            <v>1</v>
          </cell>
          <cell r="J1388">
            <v>42383.597951388889</v>
          </cell>
          <cell r="L1388">
            <v>14.98333333642222</v>
          </cell>
          <cell r="S1388" t="str">
            <v>TRUE</v>
          </cell>
        </row>
        <row r="1389">
          <cell r="C1389">
            <v>42383.469513888886</v>
          </cell>
          <cell r="D1389" t="str">
            <v>Large</v>
          </cell>
          <cell r="G1389" t="b">
            <v>0</v>
          </cell>
          <cell r="J1389">
            <v>42383.471597222226</v>
          </cell>
          <cell r="L1389">
            <v>3.000000009778887</v>
          </cell>
          <cell r="S1389" t="str">
            <v>TRUE</v>
          </cell>
        </row>
        <row r="1390">
          <cell r="C1390">
            <v>42383.502418981479</v>
          </cell>
          <cell r="D1390" t="str">
            <v>Large</v>
          </cell>
          <cell r="G1390" t="b">
            <v>0</v>
          </cell>
          <cell r="J1390">
            <v>42383.504513888889</v>
          </cell>
          <cell r="L1390">
            <v>3.0166666698642075</v>
          </cell>
          <cell r="S1390" t="str">
            <v>TRUE</v>
          </cell>
        </row>
        <row r="1391">
          <cell r="C1391">
            <v>42383.525381944448</v>
          </cell>
          <cell r="D1391" t="str">
            <v>Medium</v>
          </cell>
          <cell r="E1391" t="str">
            <v>Large</v>
          </cell>
          <cell r="G1391" t="b">
            <v>0</v>
          </cell>
          <cell r="J1391">
            <v>42383.527465277781</v>
          </cell>
          <cell r="L1391">
            <v>2.9999999993015081</v>
          </cell>
          <cell r="S1391" t="str">
            <v>TRUE</v>
          </cell>
        </row>
        <row r="1392">
          <cell r="C1392">
            <v>42383.559560185182</v>
          </cell>
          <cell r="D1392" t="str">
            <v>Large</v>
          </cell>
          <cell r="G1392" t="b">
            <v>0</v>
          </cell>
          <cell r="J1392">
            <v>42383.561643518522</v>
          </cell>
          <cell r="L1392">
            <v>3.000000009778887</v>
          </cell>
          <cell r="S1392" t="str">
            <v>TRUE</v>
          </cell>
        </row>
        <row r="1393">
          <cell r="C1393">
            <v>42383.47079861111</v>
          </cell>
          <cell r="D1393" t="str">
            <v>Small</v>
          </cell>
          <cell r="G1393" t="b">
            <v>0</v>
          </cell>
          <cell r="J1393">
            <v>42383.472870370373</v>
          </cell>
          <cell r="L1393">
            <v>2.9833333392161876</v>
          </cell>
          <cell r="S1393" t="str">
            <v>TRUE</v>
          </cell>
        </row>
        <row r="1394">
          <cell r="C1394">
            <v>42383.471458333333</v>
          </cell>
          <cell r="D1394" t="str">
            <v>Large</v>
          </cell>
          <cell r="G1394" t="b">
            <v>1</v>
          </cell>
          <cell r="J1394">
            <v>42383.482106481482</v>
          </cell>
          <cell r="L1394">
            <v>15.333333334419876</v>
          </cell>
          <cell r="S1394" t="str">
            <v>TRUE</v>
          </cell>
        </row>
        <row r="1395">
          <cell r="C1395">
            <v>42383.450162037036</v>
          </cell>
          <cell r="D1395" t="str">
            <v>Small</v>
          </cell>
          <cell r="E1395" t="str">
            <v>Medium</v>
          </cell>
          <cell r="G1395" t="b">
            <v>1</v>
          </cell>
          <cell r="J1395">
            <v>42383.46303240741</v>
          </cell>
          <cell r="L1395">
            <v>18.533333338564262</v>
          </cell>
          <cell r="S1395" t="str">
            <v>FALSE</v>
          </cell>
        </row>
        <row r="1396">
          <cell r="C1396">
            <v>42383.545011574075</v>
          </cell>
          <cell r="D1396" t="str">
            <v>Small</v>
          </cell>
          <cell r="E1396" t="str">
            <v>Large</v>
          </cell>
          <cell r="G1396" t="b">
            <v>1</v>
          </cell>
          <cell r="J1396">
            <v>42383.556620370371</v>
          </cell>
          <cell r="L1396">
            <v>16.716666666325182</v>
          </cell>
          <cell r="S1396" t="str">
            <v>FALSE</v>
          </cell>
        </row>
        <row r="1397">
          <cell r="C1397">
            <v>42383.593449074076</v>
          </cell>
          <cell r="D1397" t="str">
            <v>Small</v>
          </cell>
          <cell r="E1397" t="str">
            <v>Medium</v>
          </cell>
          <cell r="G1397" t="b">
            <v>1</v>
          </cell>
          <cell r="J1397">
            <v>42383.6012962963</v>
          </cell>
          <cell r="L1397">
            <v>11.300000001210719</v>
          </cell>
          <cell r="S1397" t="str">
            <v>TRUE</v>
          </cell>
        </row>
        <row r="1398">
          <cell r="C1398">
            <v>42383.442546296297</v>
          </cell>
          <cell r="D1398" t="str">
            <v>Small</v>
          </cell>
          <cell r="E1398" t="str">
            <v>Medium</v>
          </cell>
          <cell r="G1398" t="b">
            <v>0</v>
          </cell>
          <cell r="J1398">
            <v>42383.44462962963</v>
          </cell>
          <cell r="L1398">
            <v>2.9999999993015081</v>
          </cell>
          <cell r="S1398" t="str">
            <v>TRUE</v>
          </cell>
        </row>
        <row r="1399">
          <cell r="C1399">
            <v>42383.446655092594</v>
          </cell>
          <cell r="D1399" t="str">
            <v>Large</v>
          </cell>
          <cell r="G1399" t="b">
            <v>0</v>
          </cell>
          <cell r="J1399">
            <v>42383.448738425926</v>
          </cell>
          <cell r="L1399">
            <v>2.9999999993015081</v>
          </cell>
          <cell r="S1399" t="str">
            <v>TRUE</v>
          </cell>
        </row>
        <row r="1400">
          <cell r="C1400">
            <v>42383.545243055552</v>
          </cell>
          <cell r="D1400" t="str">
            <v>Small</v>
          </cell>
          <cell r="E1400" t="str">
            <v>Large</v>
          </cell>
          <cell r="G1400" t="b">
            <v>1</v>
          </cell>
          <cell r="J1400">
            <v>42383.56145833333</v>
          </cell>
          <cell r="L1400">
            <v>23.349999999627471</v>
          </cell>
          <cell r="S1400" t="str">
            <v>FALSE</v>
          </cell>
        </row>
        <row r="1401">
          <cell r="C1401">
            <v>42383.574560185189</v>
          </cell>
          <cell r="D1401" t="str">
            <v>Medium</v>
          </cell>
          <cell r="E1401" t="str">
            <v>Large</v>
          </cell>
          <cell r="G1401" t="b">
            <v>1</v>
          </cell>
          <cell r="J1401">
            <v>42383.586712962962</v>
          </cell>
          <cell r="L1401">
            <v>17.499999994179234</v>
          </cell>
          <cell r="S1401" t="str">
            <v>FALSE</v>
          </cell>
        </row>
        <row r="1402">
          <cell r="C1402">
            <v>42383.502662037034</v>
          </cell>
          <cell r="D1402" t="str">
            <v>Large</v>
          </cell>
          <cell r="G1402" t="b">
            <v>0</v>
          </cell>
          <cell r="J1402">
            <v>42383.504745370374</v>
          </cell>
          <cell r="L1402">
            <v>3.000000009778887</v>
          </cell>
          <cell r="S1402" t="str">
            <v>TRUE</v>
          </cell>
        </row>
        <row r="1403">
          <cell r="C1403">
            <v>42383.474710648145</v>
          </cell>
          <cell r="D1403" t="str">
            <v>Small</v>
          </cell>
          <cell r="E1403" t="str">
            <v>Medium</v>
          </cell>
          <cell r="G1403" t="b">
            <v>0</v>
          </cell>
          <cell r="J1403">
            <v>42383.476793981485</v>
          </cell>
          <cell r="L1403">
            <v>3.000000009778887</v>
          </cell>
          <cell r="S1403" t="str">
            <v>TRUE</v>
          </cell>
        </row>
        <row r="1404">
          <cell r="C1404">
            <v>42383.545694444445</v>
          </cell>
          <cell r="D1404" t="str">
            <v>Medium</v>
          </cell>
          <cell r="G1404" t="b">
            <v>1</v>
          </cell>
          <cell r="J1404">
            <v>42383.558356481481</v>
          </cell>
          <cell r="L1404">
            <v>18.233333331299946</v>
          </cell>
          <cell r="S1404" t="str">
            <v>FALSE</v>
          </cell>
        </row>
        <row r="1405">
          <cell r="C1405">
            <v>42384.475185185183</v>
          </cell>
          <cell r="D1405" t="str">
            <v>Small</v>
          </cell>
          <cell r="E1405" t="str">
            <v>Medium</v>
          </cell>
          <cell r="G1405" t="b">
            <v>0</v>
          </cell>
          <cell r="J1405">
            <v>42384.477280092593</v>
          </cell>
          <cell r="L1405">
            <v>3.0166666698642075</v>
          </cell>
          <cell r="S1405" t="str">
            <v>TRUE</v>
          </cell>
        </row>
        <row r="1406">
          <cell r="C1406">
            <v>42384.449594907404</v>
          </cell>
          <cell r="D1406" t="str">
            <v>Medium</v>
          </cell>
          <cell r="G1406" t="b">
            <v>1</v>
          </cell>
          <cell r="J1406">
            <v>42384.458854166667</v>
          </cell>
          <cell r="L1406">
            <v>13.333333338377997</v>
          </cell>
          <cell r="S1406" t="str">
            <v>TRUE</v>
          </cell>
        </row>
        <row r="1407">
          <cell r="C1407">
            <v>42384.531319444446</v>
          </cell>
          <cell r="D1407" t="str">
            <v>Large</v>
          </cell>
          <cell r="G1407" t="b">
            <v>0</v>
          </cell>
          <cell r="J1407">
            <v>42384.533391203702</v>
          </cell>
          <cell r="L1407">
            <v>2.9833333287388086</v>
          </cell>
          <cell r="S1407" t="str">
            <v>TRUE</v>
          </cell>
        </row>
        <row r="1408">
          <cell r="C1408">
            <v>42384.569641203707</v>
          </cell>
          <cell r="D1408" t="str">
            <v>Small</v>
          </cell>
          <cell r="E1408" t="str">
            <v>Large</v>
          </cell>
          <cell r="G1408" t="b">
            <v>1</v>
          </cell>
          <cell r="J1408">
            <v>42384.582835648151</v>
          </cell>
          <cell r="L1408">
            <v>18.999999999068677</v>
          </cell>
          <cell r="S1408" t="str">
            <v>FALSE</v>
          </cell>
        </row>
        <row r="1409">
          <cell r="C1409">
            <v>42384.492592592593</v>
          </cell>
          <cell r="D1409" t="str">
            <v>Medium</v>
          </cell>
          <cell r="E1409" t="str">
            <v>Large</v>
          </cell>
          <cell r="G1409" t="b">
            <v>1</v>
          </cell>
          <cell r="J1409">
            <v>42384.508634259262</v>
          </cell>
          <cell r="L1409">
            <v>23.100000004051253</v>
          </cell>
          <cell r="S1409" t="str">
            <v>FALSE</v>
          </cell>
        </row>
        <row r="1410">
          <cell r="C1410">
            <v>42384.47</v>
          </cell>
          <cell r="D1410" t="str">
            <v>Medium</v>
          </cell>
          <cell r="G1410" t="b">
            <v>0</v>
          </cell>
          <cell r="J1410">
            <v>42384.472071759257</v>
          </cell>
          <cell r="L1410">
            <v>2.9833333287388086</v>
          </cell>
          <cell r="S1410" t="str">
            <v>TRUE</v>
          </cell>
        </row>
        <row r="1411">
          <cell r="C1411">
            <v>42384.553171296298</v>
          </cell>
          <cell r="D1411" t="str">
            <v>Large</v>
          </cell>
          <cell r="G1411" t="b">
            <v>1</v>
          </cell>
          <cell r="J1411">
            <v>42384.570324074077</v>
          </cell>
          <cell r="L1411">
            <v>24.700000000884756</v>
          </cell>
          <cell r="S1411" t="str">
            <v>FALSE</v>
          </cell>
        </row>
        <row r="1412">
          <cell r="C1412">
            <v>42384.532349537039</v>
          </cell>
          <cell r="D1412" t="str">
            <v>Medium</v>
          </cell>
          <cell r="G1412" t="b">
            <v>1</v>
          </cell>
          <cell r="J1412">
            <v>42384.546284722222</v>
          </cell>
          <cell r="L1412">
            <v>20.066666663624346</v>
          </cell>
          <cell r="S1412" t="str">
            <v>FALSE</v>
          </cell>
        </row>
        <row r="1413">
          <cell r="C1413">
            <v>42384.488622685189</v>
          </cell>
          <cell r="D1413" t="str">
            <v>Small</v>
          </cell>
          <cell r="E1413" t="str">
            <v>Medium</v>
          </cell>
          <cell r="G1413" t="b">
            <v>0</v>
          </cell>
          <cell r="J1413">
            <v>42384.490694444445</v>
          </cell>
          <cell r="L1413">
            <v>2.9833333287388086</v>
          </cell>
          <cell r="S1413" t="str">
            <v>TRUE</v>
          </cell>
        </row>
        <row r="1414">
          <cell r="C1414">
            <v>42384.481064814812</v>
          </cell>
          <cell r="D1414" t="str">
            <v>Small</v>
          </cell>
          <cell r="E1414" t="str">
            <v>Large</v>
          </cell>
          <cell r="G1414" t="b">
            <v>1</v>
          </cell>
          <cell r="J1414">
            <v>42384.492523148147</v>
          </cell>
          <cell r="L1414">
            <v>16.500000001396984</v>
          </cell>
          <cell r="S1414" t="str">
            <v>FALSE</v>
          </cell>
        </row>
        <row r="1415">
          <cell r="C1415">
            <v>42384.488634259258</v>
          </cell>
          <cell r="D1415" t="str">
            <v>Large</v>
          </cell>
          <cell r="G1415" t="b">
            <v>1</v>
          </cell>
          <cell r="J1415">
            <v>42384.500972222224</v>
          </cell>
          <cell r="L1415">
            <v>17.76666667079553</v>
          </cell>
          <cell r="S1415" t="str">
            <v>FALSE</v>
          </cell>
        </row>
        <row r="1416">
          <cell r="C1416">
            <v>42384.510694444441</v>
          </cell>
          <cell r="D1416" t="str">
            <v>Small</v>
          </cell>
          <cell r="G1416" t="b">
            <v>1</v>
          </cell>
          <cell r="J1416">
            <v>42384.519247685188</v>
          </cell>
          <cell r="L1416">
            <v>12.316666675033048</v>
          </cell>
          <cell r="S1416" t="str">
            <v>TRUE</v>
          </cell>
        </row>
        <row r="1417">
          <cell r="C1417">
            <v>42384.491956018515</v>
          </cell>
          <cell r="D1417" t="str">
            <v>Medium</v>
          </cell>
          <cell r="G1417" t="b">
            <v>0</v>
          </cell>
          <cell r="J1417">
            <v>42384.494050925925</v>
          </cell>
          <cell r="L1417">
            <v>3.0166666698642075</v>
          </cell>
          <cell r="S1417" t="str">
            <v>TRUE</v>
          </cell>
        </row>
        <row r="1418">
          <cell r="C1418">
            <v>42384.449120370373</v>
          </cell>
          <cell r="D1418" t="str">
            <v>Small</v>
          </cell>
          <cell r="E1418" t="str">
            <v>Large</v>
          </cell>
          <cell r="G1418" t="b">
            <v>0</v>
          </cell>
          <cell r="J1418">
            <v>42384.451192129629</v>
          </cell>
          <cell r="L1418">
            <v>2.9833333287388086</v>
          </cell>
          <cell r="S1418" t="str">
            <v>TRUE</v>
          </cell>
        </row>
        <row r="1419">
          <cell r="C1419">
            <v>42384.519942129627</v>
          </cell>
          <cell r="D1419" t="str">
            <v>Large</v>
          </cell>
          <cell r="G1419" t="b">
            <v>1</v>
          </cell>
          <cell r="J1419">
            <v>42384.533483796295</v>
          </cell>
          <cell r="L1419">
            <v>19.500000000698492</v>
          </cell>
          <cell r="S1419" t="str">
            <v>FALSE</v>
          </cell>
        </row>
        <row r="1420">
          <cell r="C1420">
            <v>42384.532650462963</v>
          </cell>
          <cell r="D1420" t="str">
            <v>Small</v>
          </cell>
          <cell r="E1420" t="str">
            <v>Large</v>
          </cell>
          <cell r="G1420" t="b">
            <v>1</v>
          </cell>
          <cell r="J1420">
            <v>42384.538761574076</v>
          </cell>
          <cell r="L1420">
            <v>8.8000000035390258</v>
          </cell>
          <cell r="S1420" t="str">
            <v>TRUE</v>
          </cell>
        </row>
        <row r="1421">
          <cell r="C1421">
            <v>42384.541342592594</v>
          </cell>
          <cell r="D1421" t="str">
            <v>Large</v>
          </cell>
          <cell r="G1421" t="b">
            <v>0</v>
          </cell>
          <cell r="J1421">
            <v>42384.543425925927</v>
          </cell>
          <cell r="L1421">
            <v>2.9999999993015081</v>
          </cell>
          <cell r="S1421" t="str">
            <v>TRUE</v>
          </cell>
        </row>
        <row r="1422">
          <cell r="C1422">
            <v>42384.488587962966</v>
          </cell>
          <cell r="D1422" t="str">
            <v>Medium</v>
          </cell>
          <cell r="G1422" t="b">
            <v>1</v>
          </cell>
          <cell r="J1422">
            <v>42384.500289351854</v>
          </cell>
          <cell r="L1422">
            <v>16.84999999939464</v>
          </cell>
          <cell r="S1422" t="str">
            <v>FALSE</v>
          </cell>
        </row>
        <row r="1423">
          <cell r="C1423">
            <v>42384.54724537037</v>
          </cell>
          <cell r="D1423" t="str">
            <v>Large</v>
          </cell>
          <cell r="G1423" t="b">
            <v>0</v>
          </cell>
          <cell r="J1423">
            <v>42384.549317129633</v>
          </cell>
          <cell r="L1423">
            <v>2.9833333392161876</v>
          </cell>
          <cell r="S1423" t="str">
            <v>TRUE</v>
          </cell>
        </row>
        <row r="1424">
          <cell r="C1424">
            <v>42384.570891203701</v>
          </cell>
          <cell r="D1424" t="str">
            <v>Small</v>
          </cell>
          <cell r="G1424" t="b">
            <v>1</v>
          </cell>
          <cell r="J1424">
            <v>42384.580335648148</v>
          </cell>
          <cell r="L1424">
            <v>13.600000004516914</v>
          </cell>
          <cell r="S1424" t="str">
            <v>TRUE</v>
          </cell>
        </row>
        <row r="1425">
          <cell r="C1425">
            <v>42384.479583333334</v>
          </cell>
          <cell r="D1425" t="str">
            <v>Medium</v>
          </cell>
          <cell r="G1425" t="b">
            <v>1</v>
          </cell>
          <cell r="J1425">
            <v>42384.491493055553</v>
          </cell>
          <cell r="L1425">
            <v>17.149999996181577</v>
          </cell>
          <cell r="S1425" t="str">
            <v>FALSE</v>
          </cell>
        </row>
        <row r="1426">
          <cell r="C1426">
            <v>42384.525902777779</v>
          </cell>
          <cell r="D1426" t="str">
            <v>Medium</v>
          </cell>
          <cell r="G1426" t="b">
            <v>0</v>
          </cell>
          <cell r="J1426">
            <v>42384.527962962966</v>
          </cell>
          <cell r="L1426">
            <v>2.9666666686534882</v>
          </cell>
          <cell r="S1426" t="str">
            <v>TRUE</v>
          </cell>
        </row>
        <row r="1427">
          <cell r="C1427">
            <v>42384.487962962965</v>
          </cell>
          <cell r="D1427" t="str">
            <v>Medium</v>
          </cell>
          <cell r="G1427" t="b">
            <v>1</v>
          </cell>
          <cell r="J1427">
            <v>42384.498576388891</v>
          </cell>
          <cell r="L1427">
            <v>15.283333333209157</v>
          </cell>
          <cell r="S1427" t="str">
            <v>TRUE</v>
          </cell>
        </row>
        <row r="1428">
          <cell r="C1428">
            <v>42384.477187500001</v>
          </cell>
          <cell r="D1428" t="str">
            <v>Large</v>
          </cell>
          <cell r="G1428" t="b">
            <v>0</v>
          </cell>
          <cell r="J1428">
            <v>42384.47923611111</v>
          </cell>
          <cell r="L1428">
            <v>2.9499999980907887</v>
          </cell>
          <cell r="S1428" t="str">
            <v>TRUE</v>
          </cell>
        </row>
        <row r="1429">
          <cell r="C1429">
            <v>42384.575995370367</v>
          </cell>
          <cell r="D1429" t="str">
            <v>Large</v>
          </cell>
          <cell r="G1429" t="b">
            <v>0</v>
          </cell>
          <cell r="J1429">
            <v>42384.578067129631</v>
          </cell>
          <cell r="L1429">
            <v>2.9833333392161876</v>
          </cell>
          <cell r="S1429" t="str">
            <v>TRUE</v>
          </cell>
        </row>
        <row r="1430">
          <cell r="C1430">
            <v>42384.5237037037</v>
          </cell>
          <cell r="D1430" t="str">
            <v>Small</v>
          </cell>
          <cell r="G1430" t="b">
            <v>0</v>
          </cell>
          <cell r="J1430">
            <v>42384.525787037041</v>
          </cell>
          <cell r="L1430">
            <v>3.000000009778887</v>
          </cell>
          <cell r="S1430" t="str">
            <v>TRUE</v>
          </cell>
        </row>
        <row r="1431">
          <cell r="C1431">
            <v>42384.535833333335</v>
          </cell>
          <cell r="D1431" t="str">
            <v>Small</v>
          </cell>
          <cell r="G1431" t="b">
            <v>1</v>
          </cell>
          <cell r="J1431">
            <v>42384.540312500001</v>
          </cell>
          <cell r="L1431">
            <v>6.4499999990221113</v>
          </cell>
          <cell r="S1431" t="str">
            <v>TRUE</v>
          </cell>
        </row>
        <row r="1432">
          <cell r="C1432">
            <v>42384.555706018517</v>
          </cell>
          <cell r="D1432" t="str">
            <v>Small</v>
          </cell>
          <cell r="E1432" t="str">
            <v>Medium</v>
          </cell>
          <cell r="G1432" t="b">
            <v>0</v>
          </cell>
          <cell r="J1432">
            <v>42384.55777777778</v>
          </cell>
          <cell r="L1432">
            <v>2.9833333392161876</v>
          </cell>
          <cell r="S1432" t="str">
            <v>TRUE</v>
          </cell>
        </row>
        <row r="1433">
          <cell r="C1433">
            <v>42384.479502314818</v>
          </cell>
          <cell r="D1433" t="str">
            <v>Small</v>
          </cell>
          <cell r="G1433" t="b">
            <v>1</v>
          </cell>
          <cell r="J1433">
            <v>42384.490659722222</v>
          </cell>
          <cell r="L1433">
            <v>16.066666661063209</v>
          </cell>
          <cell r="S1433" t="str">
            <v>FALSE</v>
          </cell>
        </row>
        <row r="1434">
          <cell r="C1434">
            <v>42384.536631944444</v>
          </cell>
          <cell r="D1434" t="str">
            <v>Large</v>
          </cell>
          <cell r="G1434" t="b">
            <v>1</v>
          </cell>
          <cell r="J1434">
            <v>42384.549479166664</v>
          </cell>
          <cell r="L1434">
            <v>18.499999997438863</v>
          </cell>
          <cell r="S1434" t="str">
            <v>FALSE</v>
          </cell>
        </row>
        <row r="1435">
          <cell r="C1435">
            <v>42384.536446759259</v>
          </cell>
          <cell r="D1435" t="str">
            <v>Large</v>
          </cell>
          <cell r="G1435" t="b">
            <v>0</v>
          </cell>
          <cell r="J1435">
            <v>42384.538530092592</v>
          </cell>
          <cell r="L1435">
            <v>2.9999999993015081</v>
          </cell>
          <cell r="S1435" t="str">
            <v>TRUE</v>
          </cell>
        </row>
        <row r="1436">
          <cell r="C1436">
            <v>42384.499062499999</v>
          </cell>
          <cell r="D1436" t="str">
            <v>Small</v>
          </cell>
          <cell r="E1436" t="str">
            <v>Medium</v>
          </cell>
          <cell r="G1436" t="b">
            <v>1</v>
          </cell>
          <cell r="J1436">
            <v>42384.504548611112</v>
          </cell>
          <cell r="L1436">
            <v>7.9000000027008355</v>
          </cell>
          <cell r="S1436" t="str">
            <v>TRUE</v>
          </cell>
        </row>
        <row r="1437">
          <cell r="C1437">
            <v>42384.438263888886</v>
          </cell>
          <cell r="D1437" t="str">
            <v>Small</v>
          </cell>
          <cell r="G1437" t="b">
            <v>0</v>
          </cell>
          <cell r="J1437">
            <v>42384.440335648149</v>
          </cell>
          <cell r="L1437">
            <v>2.9833333392161876</v>
          </cell>
          <cell r="S1437" t="str">
            <v>TRUE</v>
          </cell>
        </row>
        <row r="1438">
          <cell r="C1438">
            <v>42384.531724537039</v>
          </cell>
          <cell r="D1438" t="str">
            <v>Medium</v>
          </cell>
          <cell r="G1438" t="b">
            <v>0</v>
          </cell>
          <cell r="J1438">
            <v>42384.533819444441</v>
          </cell>
          <cell r="L1438">
            <v>3.0166666593868285</v>
          </cell>
          <cell r="S1438" t="str">
            <v>TRUE</v>
          </cell>
        </row>
        <row r="1439">
          <cell r="C1439">
            <v>42384.524409722224</v>
          </cell>
          <cell r="D1439" t="str">
            <v>Small</v>
          </cell>
          <cell r="E1439" t="str">
            <v>Medium</v>
          </cell>
          <cell r="G1439" t="b">
            <v>0</v>
          </cell>
          <cell r="J1439">
            <v>42384.526469907411</v>
          </cell>
          <cell r="L1439">
            <v>2.9666666686534882</v>
          </cell>
          <cell r="S1439" t="str">
            <v>TRUE</v>
          </cell>
        </row>
        <row r="1440">
          <cell r="C1440">
            <v>42384.574178240742</v>
          </cell>
          <cell r="D1440" t="str">
            <v>Medium</v>
          </cell>
          <cell r="G1440" t="b">
            <v>1</v>
          </cell>
          <cell r="J1440">
            <v>42384.583703703705</v>
          </cell>
          <cell r="L1440">
            <v>13.716666667023674</v>
          </cell>
          <cell r="S1440" t="str">
            <v>TRUE</v>
          </cell>
        </row>
        <row r="1441">
          <cell r="C1441">
            <v>42384.514108796298</v>
          </cell>
          <cell r="D1441" t="str">
            <v>Large</v>
          </cell>
          <cell r="G1441" t="b">
            <v>0</v>
          </cell>
          <cell r="J1441">
            <v>42384.516192129631</v>
          </cell>
          <cell r="L1441">
            <v>2.9999999993015081</v>
          </cell>
          <cell r="S1441" t="str">
            <v>TRUE</v>
          </cell>
        </row>
        <row r="1442">
          <cell r="C1442">
            <v>42384.493946759256</v>
          </cell>
          <cell r="D1442" t="str">
            <v>Large</v>
          </cell>
          <cell r="G1442" t="b">
            <v>0</v>
          </cell>
          <cell r="J1442">
            <v>42384.496018518519</v>
          </cell>
          <cell r="L1442">
            <v>2.9833333392161876</v>
          </cell>
          <cell r="S1442" t="str">
            <v>TRUE</v>
          </cell>
        </row>
        <row r="1443">
          <cell r="C1443">
            <v>42384.578252314815</v>
          </cell>
          <cell r="D1443" t="str">
            <v>Small</v>
          </cell>
          <cell r="E1443" t="str">
            <v>Medium</v>
          </cell>
          <cell r="G1443" t="b">
            <v>1</v>
          </cell>
          <cell r="J1443">
            <v>42384.593217592592</v>
          </cell>
          <cell r="L1443">
            <v>21.54999999795109</v>
          </cell>
          <cell r="S1443" t="str">
            <v>FALSE</v>
          </cell>
        </row>
        <row r="1444">
          <cell r="C1444">
            <v>42384.523159722223</v>
          </cell>
          <cell r="D1444" t="str">
            <v>Medium</v>
          </cell>
          <cell r="G1444" t="b">
            <v>0</v>
          </cell>
          <cell r="J1444">
            <v>42384.525219907409</v>
          </cell>
          <cell r="L1444">
            <v>2.9666666686534882</v>
          </cell>
          <cell r="S1444" t="str">
            <v>TRUE</v>
          </cell>
        </row>
        <row r="1445">
          <cell r="C1445">
            <v>42384.533692129633</v>
          </cell>
          <cell r="D1445" t="str">
            <v>Small</v>
          </cell>
          <cell r="E1445" t="str">
            <v>Medium</v>
          </cell>
          <cell r="G1445" t="b">
            <v>0</v>
          </cell>
          <cell r="J1445">
            <v>42384.535787037035</v>
          </cell>
          <cell r="L1445">
            <v>3.0166666593868285</v>
          </cell>
          <cell r="S1445" t="str">
            <v>TRUE</v>
          </cell>
        </row>
        <row r="1446">
          <cell r="C1446">
            <v>42384.54178240741</v>
          </cell>
          <cell r="D1446" t="str">
            <v>Large</v>
          </cell>
          <cell r="G1446" t="b">
            <v>1</v>
          </cell>
          <cell r="J1446">
            <v>42384.549097222225</v>
          </cell>
          <cell r="L1446">
            <v>10.533333333441988</v>
          </cell>
          <cell r="S1446" t="str">
            <v>TRUE</v>
          </cell>
        </row>
        <row r="1447">
          <cell r="C1447">
            <v>42384.478831018518</v>
          </cell>
          <cell r="D1447" t="str">
            <v>Medium</v>
          </cell>
          <cell r="G1447" t="b">
            <v>1</v>
          </cell>
          <cell r="J1447">
            <v>42384.490891203706</v>
          </cell>
          <cell r="L1447">
            <v>17.366666671587154</v>
          </cell>
          <cell r="S1447" t="str">
            <v>FALSE</v>
          </cell>
        </row>
        <row r="1448">
          <cell r="C1448">
            <v>42384.585775462961</v>
          </cell>
          <cell r="D1448" t="str">
            <v>Medium</v>
          </cell>
          <cell r="E1448" t="str">
            <v>Large</v>
          </cell>
          <cell r="G1448" t="b">
            <v>0</v>
          </cell>
          <cell r="J1448">
            <v>42384.587847222225</v>
          </cell>
          <cell r="L1448">
            <v>2.9833333392161876</v>
          </cell>
          <cell r="S1448" t="str">
            <v>TRUE</v>
          </cell>
        </row>
        <row r="1449">
          <cell r="C1449">
            <v>42384.587800925925</v>
          </cell>
          <cell r="D1449" t="str">
            <v>Medium</v>
          </cell>
          <cell r="G1449" t="b">
            <v>0</v>
          </cell>
          <cell r="J1449">
            <v>42384.589884259258</v>
          </cell>
          <cell r="L1449">
            <v>2.9999999993015081</v>
          </cell>
          <cell r="S1449" t="str">
            <v>TRUE</v>
          </cell>
        </row>
        <row r="1450">
          <cell r="C1450">
            <v>42384.496666666666</v>
          </cell>
          <cell r="D1450" t="str">
            <v>Medium</v>
          </cell>
          <cell r="G1450" t="b">
            <v>0</v>
          </cell>
          <cell r="J1450">
            <v>42384.498749999999</v>
          </cell>
          <cell r="L1450">
            <v>2.9999999993015081</v>
          </cell>
          <cell r="S1450" t="str">
            <v>TRUE</v>
          </cell>
        </row>
        <row r="1451">
          <cell r="C1451">
            <v>42384.532337962963</v>
          </cell>
          <cell r="D1451" t="str">
            <v>Small</v>
          </cell>
          <cell r="G1451" t="b">
            <v>1</v>
          </cell>
          <cell r="J1451">
            <v>42384.540162037039</v>
          </cell>
          <cell r="L1451">
            <v>11.266666670562699</v>
          </cell>
          <cell r="S1451" t="str">
            <v>TRUE</v>
          </cell>
        </row>
        <row r="1452">
          <cell r="C1452">
            <v>42384.481631944444</v>
          </cell>
          <cell r="D1452" t="str">
            <v>Medium</v>
          </cell>
          <cell r="G1452" t="b">
            <v>1</v>
          </cell>
          <cell r="J1452">
            <v>42384.496898148151</v>
          </cell>
          <cell r="L1452">
            <v>21.983333338284865</v>
          </cell>
          <cell r="S1452" t="str">
            <v>FALSE</v>
          </cell>
        </row>
        <row r="1453">
          <cell r="C1453">
            <v>42384.503125000003</v>
          </cell>
          <cell r="D1453" t="str">
            <v>Small</v>
          </cell>
          <cell r="E1453" t="str">
            <v>Medium</v>
          </cell>
          <cell r="G1453" t="b">
            <v>1</v>
          </cell>
          <cell r="J1453">
            <v>42384.513460648152</v>
          </cell>
          <cell r="L1453">
            <v>14.883333334000781</v>
          </cell>
          <cell r="S1453" t="str">
            <v>TRUE</v>
          </cell>
        </row>
        <row r="1454">
          <cell r="C1454">
            <v>42384.511238425926</v>
          </cell>
          <cell r="D1454" t="str">
            <v>Large</v>
          </cell>
          <cell r="G1454" t="b">
            <v>1</v>
          </cell>
          <cell r="J1454">
            <v>42384.530949074076</v>
          </cell>
          <cell r="L1454">
            <v>28.383333336096257</v>
          </cell>
          <cell r="S1454" t="str">
            <v>FALSE</v>
          </cell>
        </row>
        <row r="1455">
          <cell r="C1455">
            <v>42384.430486111109</v>
          </cell>
          <cell r="D1455" t="str">
            <v>Small</v>
          </cell>
          <cell r="G1455" t="b">
            <v>1</v>
          </cell>
          <cell r="J1455">
            <v>42384.435752314814</v>
          </cell>
          <cell r="L1455">
            <v>7.5833333353511989</v>
          </cell>
          <cell r="S1455" t="str">
            <v>TRUE</v>
          </cell>
        </row>
        <row r="1456">
          <cell r="C1456">
            <v>42384.478020833332</v>
          </cell>
          <cell r="D1456" t="str">
            <v>Large</v>
          </cell>
          <cell r="G1456" t="b">
            <v>0</v>
          </cell>
          <cell r="J1456">
            <v>42384.480115740742</v>
          </cell>
          <cell r="L1456">
            <v>3.0166666698642075</v>
          </cell>
          <cell r="S1456" t="str">
            <v>TRUE</v>
          </cell>
        </row>
        <row r="1457">
          <cell r="C1457">
            <v>42384.441435185188</v>
          </cell>
          <cell r="D1457" t="str">
            <v>Small</v>
          </cell>
          <cell r="G1457" t="b">
            <v>1</v>
          </cell>
          <cell r="J1457">
            <v>42384.45689814815</v>
          </cell>
          <cell r="L1457">
            <v>22.266666664509103</v>
          </cell>
          <cell r="S1457" t="str">
            <v>FALSE</v>
          </cell>
        </row>
        <row r="1458">
          <cell r="C1458">
            <v>42384.533495370371</v>
          </cell>
          <cell r="D1458" t="str">
            <v>Large</v>
          </cell>
          <cell r="G1458" t="b">
            <v>0</v>
          </cell>
          <cell r="J1458">
            <v>42384.535567129627</v>
          </cell>
          <cell r="L1458">
            <v>2.9833333287388086</v>
          </cell>
          <cell r="S1458" t="str">
            <v>TRUE</v>
          </cell>
        </row>
        <row r="1459">
          <cell r="C1459">
            <v>42384.51258101852</v>
          </cell>
          <cell r="D1459" t="str">
            <v>Medium</v>
          </cell>
          <cell r="G1459" t="b">
            <v>1</v>
          </cell>
          <cell r="J1459">
            <v>42384.526504629626</v>
          </cell>
          <cell r="L1459">
            <v>20.049999993061647</v>
          </cell>
          <cell r="S1459" t="str">
            <v>FALSE</v>
          </cell>
        </row>
        <row r="1460">
          <cell r="C1460">
            <v>42384.505752314813</v>
          </cell>
          <cell r="D1460" t="str">
            <v>Large</v>
          </cell>
          <cell r="G1460" t="b">
            <v>1</v>
          </cell>
          <cell r="J1460">
            <v>42384.519166666665</v>
          </cell>
          <cell r="L1460">
            <v>19.316666666418314</v>
          </cell>
          <cell r="S1460" t="str">
            <v>FALSE</v>
          </cell>
        </row>
        <row r="1461">
          <cell r="C1461">
            <v>42384.504918981482</v>
          </cell>
          <cell r="D1461" t="str">
            <v>Small</v>
          </cell>
          <cell r="G1461" t="b">
            <v>1</v>
          </cell>
          <cell r="J1461">
            <v>42384.510092592594</v>
          </cell>
          <cell r="L1461">
            <v>7.4500000022817403</v>
          </cell>
          <cell r="S1461" t="str">
            <v>TRUE</v>
          </cell>
        </row>
        <row r="1462">
          <cell r="C1462">
            <v>42384.538576388892</v>
          </cell>
          <cell r="D1462" t="str">
            <v>Large</v>
          </cell>
          <cell r="G1462" t="b">
            <v>0</v>
          </cell>
          <cell r="J1462">
            <v>42384.540648148148</v>
          </cell>
          <cell r="L1462">
            <v>2.9833333287388086</v>
          </cell>
          <cell r="S1462" t="str">
            <v>TRUE</v>
          </cell>
        </row>
        <row r="1463">
          <cell r="C1463">
            <v>42384.540520833332</v>
          </cell>
          <cell r="D1463" t="str">
            <v>Small</v>
          </cell>
          <cell r="E1463" t="str">
            <v>Large</v>
          </cell>
          <cell r="G1463" t="b">
            <v>1</v>
          </cell>
          <cell r="J1463">
            <v>42384.555543981478</v>
          </cell>
          <cell r="L1463">
            <v>21.63333332980983</v>
          </cell>
          <cell r="S1463" t="str">
            <v>FALSE</v>
          </cell>
        </row>
        <row r="1464">
          <cell r="C1464">
            <v>42384.490428240744</v>
          </cell>
          <cell r="D1464" t="str">
            <v>Small</v>
          </cell>
          <cell r="G1464" t="b">
            <v>1</v>
          </cell>
          <cell r="J1464">
            <v>42384.503125000003</v>
          </cell>
          <cell r="L1464">
            <v>18.283333332510665</v>
          </cell>
          <cell r="S1464" t="str">
            <v>FALSE</v>
          </cell>
        </row>
        <row r="1465">
          <cell r="C1465">
            <v>42384.541863425926</v>
          </cell>
          <cell r="D1465" t="str">
            <v>Small</v>
          </cell>
          <cell r="G1465" t="b">
            <v>0</v>
          </cell>
          <cell r="J1465">
            <v>42384.543946759259</v>
          </cell>
          <cell r="L1465">
            <v>2.9999999993015081</v>
          </cell>
          <cell r="S1465" t="str">
            <v>TRUE</v>
          </cell>
        </row>
        <row r="1466">
          <cell r="C1466">
            <v>42384.543726851851</v>
          </cell>
          <cell r="D1466" t="str">
            <v>Medium</v>
          </cell>
          <cell r="G1466" t="b">
            <v>0</v>
          </cell>
          <cell r="J1466">
            <v>42384.545810185184</v>
          </cell>
          <cell r="L1466">
            <v>2.9999999993015081</v>
          </cell>
          <cell r="S1466" t="str">
            <v>TRUE</v>
          </cell>
        </row>
        <row r="1467">
          <cell r="C1467">
            <v>42384.514953703707</v>
          </cell>
          <cell r="D1467" t="str">
            <v>Medium</v>
          </cell>
          <cell r="G1467" t="b">
            <v>0</v>
          </cell>
          <cell r="J1467">
            <v>42384.517048611109</v>
          </cell>
          <cell r="L1467">
            <v>3.0166666593868285</v>
          </cell>
          <cell r="S1467" t="str">
            <v>TRUE</v>
          </cell>
        </row>
        <row r="1468">
          <cell r="C1468">
            <v>42384.430868055555</v>
          </cell>
          <cell r="D1468" t="str">
            <v>Large</v>
          </cell>
          <cell r="G1468" t="b">
            <v>1</v>
          </cell>
          <cell r="J1468">
            <v>42384.440324074072</v>
          </cell>
          <cell r="L1468">
            <v>13.616666664602235</v>
          </cell>
          <cell r="S1468" t="str">
            <v>TRUE</v>
          </cell>
        </row>
        <row r="1469">
          <cell r="C1469">
            <v>42384.478900462964</v>
          </cell>
          <cell r="D1469" t="str">
            <v>Small</v>
          </cell>
          <cell r="E1469" t="str">
            <v>Medium</v>
          </cell>
          <cell r="G1469" t="b">
            <v>0</v>
          </cell>
          <cell r="J1469">
            <v>42384.48097222222</v>
          </cell>
          <cell r="L1469">
            <v>2.9833333287388086</v>
          </cell>
          <cell r="S1469" t="str">
            <v>TRUE</v>
          </cell>
        </row>
        <row r="1470">
          <cell r="C1470">
            <v>42384.600405092591</v>
          </cell>
          <cell r="D1470" t="str">
            <v>Medium</v>
          </cell>
          <cell r="G1470" t="b">
            <v>0</v>
          </cell>
          <cell r="J1470">
            <v>42384.602476851855</v>
          </cell>
          <cell r="L1470">
            <v>2.9833333392161876</v>
          </cell>
          <cell r="S1470" t="str">
            <v>TRUE</v>
          </cell>
        </row>
        <row r="1471">
          <cell r="C1471">
            <v>42384.467650462961</v>
          </cell>
          <cell r="D1471" t="str">
            <v>Medium</v>
          </cell>
          <cell r="G1471" t="b">
            <v>0</v>
          </cell>
          <cell r="J1471">
            <v>42384.469733796293</v>
          </cell>
          <cell r="L1471">
            <v>2.9999999993015081</v>
          </cell>
          <cell r="S1471" t="str">
            <v>TRUE</v>
          </cell>
        </row>
        <row r="1472">
          <cell r="C1472">
            <v>42384.530925925923</v>
          </cell>
          <cell r="D1472" t="str">
            <v>Small</v>
          </cell>
          <cell r="E1472" t="str">
            <v>Large</v>
          </cell>
          <cell r="G1472" t="b">
            <v>0</v>
          </cell>
          <cell r="J1472">
            <v>42384.532997685186</v>
          </cell>
          <cell r="L1472">
            <v>2.9833333392161876</v>
          </cell>
          <cell r="S1472" t="str">
            <v>TRUE</v>
          </cell>
        </row>
        <row r="1473">
          <cell r="C1473">
            <v>42384.535150462965</v>
          </cell>
          <cell r="D1473" t="str">
            <v>Small</v>
          </cell>
          <cell r="E1473" t="str">
            <v>Medium</v>
          </cell>
          <cell r="G1473" t="b">
            <v>1</v>
          </cell>
          <cell r="J1473">
            <v>42384.543935185182</v>
          </cell>
          <cell r="L1473">
            <v>12.649999991990626</v>
          </cell>
          <cell r="S1473" t="str">
            <v>TRUE</v>
          </cell>
        </row>
        <row r="1474">
          <cell r="C1474">
            <v>42384.478252314817</v>
          </cell>
          <cell r="D1474" t="str">
            <v>Small</v>
          </cell>
          <cell r="E1474" t="str">
            <v>Medium</v>
          </cell>
          <cell r="G1474" t="b">
            <v>0</v>
          </cell>
          <cell r="J1474">
            <v>42384.480324074073</v>
          </cell>
          <cell r="L1474">
            <v>2.9833333287388086</v>
          </cell>
          <cell r="S1474" t="str">
            <v>TRUE</v>
          </cell>
        </row>
        <row r="1475">
          <cell r="C1475">
            <v>42384.480682870373</v>
          </cell>
          <cell r="D1475" t="str">
            <v>Small</v>
          </cell>
          <cell r="E1475" t="str">
            <v>Medium</v>
          </cell>
          <cell r="G1475" t="b">
            <v>0</v>
          </cell>
          <cell r="J1475">
            <v>42384.482766203706</v>
          </cell>
          <cell r="L1475">
            <v>2.9999999993015081</v>
          </cell>
          <cell r="S1475" t="str">
            <v>TRUE</v>
          </cell>
        </row>
        <row r="1476">
          <cell r="C1476">
            <v>42384.581412037034</v>
          </cell>
          <cell r="D1476" t="str">
            <v>Small</v>
          </cell>
          <cell r="E1476" t="str">
            <v>Medium</v>
          </cell>
          <cell r="G1476" t="b">
            <v>0</v>
          </cell>
          <cell r="J1476">
            <v>42384.583506944444</v>
          </cell>
          <cell r="L1476">
            <v>3.0166666698642075</v>
          </cell>
          <cell r="S1476" t="str">
            <v>TRUE</v>
          </cell>
        </row>
        <row r="1477">
          <cell r="C1477">
            <v>42384.532384259262</v>
          </cell>
          <cell r="D1477" t="str">
            <v>Small</v>
          </cell>
          <cell r="G1477" t="b">
            <v>0</v>
          </cell>
          <cell r="J1477">
            <v>42384.534444444442</v>
          </cell>
          <cell r="L1477">
            <v>2.9666666581761092</v>
          </cell>
          <cell r="S1477" t="str">
            <v>TRUE</v>
          </cell>
        </row>
        <row r="1478">
          <cell r="C1478">
            <v>42384.546469907407</v>
          </cell>
          <cell r="D1478" t="str">
            <v>Small</v>
          </cell>
          <cell r="E1478" t="str">
            <v>Medium</v>
          </cell>
          <cell r="G1478" t="b">
            <v>0</v>
          </cell>
          <cell r="J1478">
            <v>42384.54855324074</v>
          </cell>
          <cell r="L1478">
            <v>2.9999999993015081</v>
          </cell>
          <cell r="S1478" t="str">
            <v>TRUE</v>
          </cell>
        </row>
        <row r="1479">
          <cell r="C1479">
            <v>42384.493298611109</v>
          </cell>
          <cell r="D1479" t="str">
            <v>Large</v>
          </cell>
          <cell r="G1479" t="b">
            <v>1</v>
          </cell>
          <cell r="J1479">
            <v>42384.50340277778</v>
          </cell>
          <cell r="L1479">
            <v>14.550000006565824</v>
          </cell>
          <cell r="S1479" t="str">
            <v>TRUE</v>
          </cell>
        </row>
        <row r="1480">
          <cell r="C1480">
            <v>42384.460219907407</v>
          </cell>
          <cell r="D1480" t="str">
            <v>Large</v>
          </cell>
          <cell r="G1480" t="b">
            <v>1</v>
          </cell>
          <cell r="J1480">
            <v>42384.462557870371</v>
          </cell>
          <cell r="L1480">
            <v>3.366666667861864</v>
          </cell>
          <cell r="S1480" t="str">
            <v>TRUE</v>
          </cell>
        </row>
        <row r="1481">
          <cell r="C1481">
            <v>42384.546747685185</v>
          </cell>
          <cell r="D1481" t="str">
            <v>Small</v>
          </cell>
          <cell r="E1481" t="str">
            <v>Medium</v>
          </cell>
          <cell r="G1481" t="b">
            <v>1</v>
          </cell>
          <cell r="J1481">
            <v>42384.564583333333</v>
          </cell>
          <cell r="L1481">
            <v>25.683333333581686</v>
          </cell>
          <cell r="S1481" t="str">
            <v>FALSE</v>
          </cell>
        </row>
        <row r="1482">
          <cell r="C1482">
            <v>42384.474166666667</v>
          </cell>
          <cell r="D1482" t="str">
            <v>Large</v>
          </cell>
          <cell r="G1482" t="b">
            <v>1</v>
          </cell>
          <cell r="J1482">
            <v>42384.483414351853</v>
          </cell>
          <cell r="L1482">
            <v>13.316666667815298</v>
          </cell>
          <cell r="S1482" t="str">
            <v>TRUE</v>
          </cell>
        </row>
        <row r="1483">
          <cell r="C1483">
            <v>42384.551412037035</v>
          </cell>
          <cell r="D1483" t="str">
            <v>Small</v>
          </cell>
          <cell r="E1483" t="str">
            <v>Large</v>
          </cell>
          <cell r="G1483" t="b">
            <v>0</v>
          </cell>
          <cell r="J1483">
            <v>42384.553472222222</v>
          </cell>
          <cell r="L1483">
            <v>2.9666666686534882</v>
          </cell>
          <cell r="S1483" t="str">
            <v>TRUE</v>
          </cell>
        </row>
        <row r="1484">
          <cell r="C1484">
            <v>42384.603263888886</v>
          </cell>
          <cell r="D1484" t="str">
            <v>Large</v>
          </cell>
          <cell r="G1484" t="b">
            <v>1</v>
          </cell>
          <cell r="J1484">
            <v>42384.624178240738</v>
          </cell>
          <cell r="L1484">
            <v>30.116666665999219</v>
          </cell>
          <cell r="S1484" t="str">
            <v>FALSE</v>
          </cell>
        </row>
        <row r="1485">
          <cell r="C1485">
            <v>42384.491412037038</v>
          </cell>
          <cell r="D1485" t="str">
            <v>Medium</v>
          </cell>
          <cell r="G1485" t="b">
            <v>1</v>
          </cell>
          <cell r="J1485">
            <v>42384.499849537038</v>
          </cell>
          <cell r="L1485">
            <v>12.15000000083819</v>
          </cell>
          <cell r="S1485" t="str">
            <v>TRUE</v>
          </cell>
        </row>
        <row r="1486">
          <cell r="C1486">
            <v>42384.5078125</v>
          </cell>
          <cell r="D1486" t="str">
            <v>Medium</v>
          </cell>
          <cell r="G1486" t="b">
            <v>0</v>
          </cell>
          <cell r="J1486">
            <v>42384.509872685187</v>
          </cell>
          <cell r="L1486">
            <v>2.9666666686534882</v>
          </cell>
          <cell r="S1486" t="str">
            <v>TRUE</v>
          </cell>
        </row>
        <row r="1487">
          <cell r="C1487">
            <v>42384.488611111112</v>
          </cell>
          <cell r="D1487" t="str">
            <v>Medium</v>
          </cell>
          <cell r="G1487" t="b">
            <v>0</v>
          </cell>
          <cell r="J1487">
            <v>42384.490706018521</v>
          </cell>
          <cell r="L1487">
            <v>3.0166666698642075</v>
          </cell>
          <cell r="S1487" t="str">
            <v>TRUE</v>
          </cell>
        </row>
        <row r="1488">
          <cell r="C1488">
            <v>42384.472974537035</v>
          </cell>
          <cell r="D1488" t="str">
            <v>Large</v>
          </cell>
          <cell r="G1488" t="b">
            <v>1</v>
          </cell>
          <cell r="J1488">
            <v>42384.481377314813</v>
          </cell>
          <cell r="L1488">
            <v>12.099999999627471</v>
          </cell>
          <cell r="S1488" t="str">
            <v>TRUE</v>
          </cell>
        </row>
        <row r="1489">
          <cell r="C1489">
            <v>42384.486550925925</v>
          </cell>
          <cell r="D1489" t="str">
            <v>Large</v>
          </cell>
          <cell r="G1489" t="b">
            <v>1</v>
          </cell>
          <cell r="J1489">
            <v>42384.500335648147</v>
          </cell>
          <cell r="L1489">
            <v>19.849999998696148</v>
          </cell>
          <cell r="S1489" t="str">
            <v>FALSE</v>
          </cell>
        </row>
        <row r="1490">
          <cell r="C1490">
            <v>42384.523599537039</v>
          </cell>
          <cell r="D1490" t="str">
            <v>Large</v>
          </cell>
          <cell r="G1490" t="b">
            <v>0</v>
          </cell>
          <cell r="J1490">
            <v>42384.525682870371</v>
          </cell>
          <cell r="L1490">
            <v>2.9999999993015081</v>
          </cell>
          <cell r="S1490" t="str">
            <v>TRUE</v>
          </cell>
        </row>
        <row r="1491">
          <cell r="C1491">
            <v>42384.459224537037</v>
          </cell>
          <cell r="D1491" t="str">
            <v>Small</v>
          </cell>
          <cell r="E1491" t="str">
            <v>Large</v>
          </cell>
          <cell r="G1491" t="b">
            <v>0</v>
          </cell>
          <cell r="J1491">
            <v>42384.461296296293</v>
          </cell>
          <cell r="L1491">
            <v>2.9833333287388086</v>
          </cell>
          <cell r="S1491" t="str">
            <v>TRUE</v>
          </cell>
        </row>
        <row r="1492">
          <cell r="C1492">
            <v>42384.567407407405</v>
          </cell>
          <cell r="D1492" t="str">
            <v>Large</v>
          </cell>
          <cell r="G1492" t="b">
            <v>0</v>
          </cell>
          <cell r="J1492">
            <v>42384.569479166668</v>
          </cell>
          <cell r="L1492">
            <v>2.9833333392161876</v>
          </cell>
          <cell r="S1492" t="str">
            <v>TRUE</v>
          </cell>
        </row>
        <row r="1493">
          <cell r="C1493">
            <v>42384.472361111111</v>
          </cell>
          <cell r="D1493" t="str">
            <v>Small</v>
          </cell>
          <cell r="G1493" t="b">
            <v>1</v>
          </cell>
          <cell r="J1493">
            <v>42384.482164351852</v>
          </cell>
          <cell r="L1493">
            <v>14.116666666232049</v>
          </cell>
          <cell r="S1493" t="str">
            <v>TRUE</v>
          </cell>
        </row>
        <row r="1494">
          <cell r="C1494">
            <v>42384.509409722225</v>
          </cell>
          <cell r="D1494" t="str">
            <v>Large</v>
          </cell>
          <cell r="G1494" t="b">
            <v>1</v>
          </cell>
          <cell r="J1494">
            <v>42384.519224537034</v>
          </cell>
          <cell r="L1494">
            <v>14.13333332631737</v>
          </cell>
          <cell r="S1494" t="str">
            <v>TRUE</v>
          </cell>
        </row>
        <row r="1495">
          <cell r="C1495">
            <v>42384.522592592592</v>
          </cell>
          <cell r="D1495" t="str">
            <v>Medium</v>
          </cell>
          <cell r="G1495" t="b">
            <v>0</v>
          </cell>
          <cell r="J1495">
            <v>42384.524675925924</v>
          </cell>
          <cell r="L1495">
            <v>2.9999999993015081</v>
          </cell>
          <cell r="S1495" t="str">
            <v>TRUE</v>
          </cell>
        </row>
        <row r="1496">
          <cell r="C1496">
            <v>42384.515092592592</v>
          </cell>
          <cell r="D1496" t="str">
            <v>Large</v>
          </cell>
          <cell r="G1496" t="b">
            <v>1</v>
          </cell>
          <cell r="J1496">
            <v>42384.531111111108</v>
          </cell>
          <cell r="L1496">
            <v>23.066666662925854</v>
          </cell>
          <cell r="S1496" t="str">
            <v>FALSE</v>
          </cell>
        </row>
        <row r="1497">
          <cell r="C1497">
            <v>42384.531597222223</v>
          </cell>
          <cell r="D1497" t="str">
            <v>Large</v>
          </cell>
          <cell r="G1497" t="b">
            <v>1</v>
          </cell>
          <cell r="J1497">
            <v>42384.539687500001</v>
          </cell>
          <cell r="L1497">
            <v>11.649999999208376</v>
          </cell>
          <cell r="S1497" t="str">
            <v>TRUE</v>
          </cell>
        </row>
        <row r="1498">
          <cell r="C1498">
            <v>42384.548761574071</v>
          </cell>
          <cell r="D1498" t="str">
            <v>Small</v>
          </cell>
          <cell r="G1498" t="b">
            <v>1</v>
          </cell>
          <cell r="J1498">
            <v>42384.550474537034</v>
          </cell>
          <cell r="L1498">
            <v>2.4666666670236737</v>
          </cell>
          <cell r="S1498" t="str">
            <v>TRUE</v>
          </cell>
        </row>
        <row r="1499">
          <cell r="C1499">
            <v>42384.531030092592</v>
          </cell>
          <cell r="D1499" t="str">
            <v>Large</v>
          </cell>
          <cell r="G1499" t="b">
            <v>0</v>
          </cell>
          <cell r="J1499">
            <v>42384.533113425925</v>
          </cell>
          <cell r="L1499">
            <v>2.9999999993015081</v>
          </cell>
          <cell r="S1499" t="str">
            <v>TRUE</v>
          </cell>
        </row>
        <row r="1500">
          <cell r="C1500">
            <v>42384.502650462964</v>
          </cell>
          <cell r="D1500" t="str">
            <v>Small</v>
          </cell>
          <cell r="E1500" t="str">
            <v>Large</v>
          </cell>
          <cell r="G1500" t="b">
            <v>1</v>
          </cell>
          <cell r="J1500">
            <v>42384.515289351853</v>
          </cell>
          <cell r="L1500">
            <v>18.200000000651926</v>
          </cell>
          <cell r="S1500" t="str">
            <v>FALSE</v>
          </cell>
        </row>
        <row r="1501">
          <cell r="C1501">
            <v>42384.527708333335</v>
          </cell>
          <cell r="D1501" t="str">
            <v>Medium</v>
          </cell>
          <cell r="G1501" t="b">
            <v>1</v>
          </cell>
          <cell r="J1501">
            <v>42384.541122685187</v>
          </cell>
          <cell r="L1501">
            <v>19.316666666418314</v>
          </cell>
          <cell r="S1501" t="str">
            <v>FALSE</v>
          </cell>
        </row>
      </sheetData>
      <sheetData sheetId="1">
        <row r="3">
          <cell r="A3" t="str">
            <v>Small</v>
          </cell>
          <cell r="B3">
            <v>7</v>
          </cell>
          <cell r="C3">
            <v>1</v>
          </cell>
        </row>
        <row r="4">
          <cell r="A4" t="str">
            <v>Medium</v>
          </cell>
          <cell r="B4">
            <v>10</v>
          </cell>
          <cell r="C4">
            <v>1.7</v>
          </cell>
        </row>
        <row r="5">
          <cell r="A5" t="str">
            <v>Large</v>
          </cell>
          <cell r="B5">
            <v>14</v>
          </cell>
          <cell r="C5">
            <v>2.2999999999999998</v>
          </cell>
        </row>
        <row r="17">
          <cell r="B17">
            <v>0.14166666666666666</v>
          </cell>
        </row>
        <row r="21">
          <cell r="B21">
            <v>3.2</v>
          </cell>
        </row>
        <row r="25">
          <cell r="B25">
            <v>30</v>
          </cell>
        </row>
        <row r="40">
          <cell r="B40">
            <v>3.1211314053779811E-2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68B3-5F94-4A43-A1D6-AED8F8A9F853}">
  <dimension ref="A1:X1501"/>
  <sheetViews>
    <sheetView tabSelected="1" workbookViewId="0">
      <selection sqref="A1:X1501"/>
    </sheetView>
  </sheetViews>
  <sheetFormatPr defaultRowHeight="14.4" x14ac:dyDescent="0.3"/>
  <cols>
    <col min="1" max="1" width="16" bestFit="1" customWidth="1"/>
    <col min="2" max="2" width="12.88671875" bestFit="1" customWidth="1"/>
    <col min="3" max="3" width="13.88671875" bestFit="1" customWidth="1"/>
    <col min="4" max="5" width="16.33203125" bestFit="1" customWidth="1"/>
    <col min="7" max="7" width="10" bestFit="1" customWidth="1"/>
    <col min="8" max="8" width="18.77734375" bestFit="1" customWidth="1"/>
    <col min="9" max="9" width="19.44140625" bestFit="1" customWidth="1"/>
    <col min="10" max="10" width="16.33203125" bestFit="1" customWidth="1"/>
    <col min="11" max="11" width="22.5546875" bestFit="1" customWidth="1"/>
    <col min="12" max="12" width="19.5546875" bestFit="1" customWidth="1"/>
    <col min="13" max="13" width="27.109375" bestFit="1" customWidth="1"/>
    <col min="14" max="16" width="15.21875" bestFit="1" customWidth="1"/>
    <col min="17" max="17" width="20.5546875" bestFit="1" customWidth="1"/>
    <col min="18" max="18" width="26.44140625" bestFit="1" customWidth="1"/>
    <col min="19" max="19" width="14.21875" bestFit="1" customWidth="1"/>
    <col min="20" max="20" width="26.33203125" bestFit="1" customWidth="1"/>
    <col min="21" max="21" width="22.5546875" bestFit="1" customWidth="1"/>
    <col min="22" max="24" width="12.6640625" bestFit="1" customWidth="1"/>
  </cols>
  <sheetData>
    <row r="1" spans="1:24" ht="18" x14ac:dyDescent="0.35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48</v>
      </c>
      <c r="K1" s="13" t="s">
        <v>49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54</v>
      </c>
      <c r="Q1" s="13" t="s">
        <v>55</v>
      </c>
      <c r="R1" s="13" t="s">
        <v>56</v>
      </c>
      <c r="S1" s="13" t="s">
        <v>57</v>
      </c>
      <c r="T1" s="13" t="s">
        <v>58</v>
      </c>
      <c r="U1" s="13" t="s">
        <v>59</v>
      </c>
      <c r="V1" s="13" t="s">
        <v>60</v>
      </c>
      <c r="W1" s="13" t="s">
        <v>61</v>
      </c>
      <c r="X1" s="13" t="s">
        <v>62</v>
      </c>
    </row>
    <row r="2" spans="1:24" x14ac:dyDescent="0.3">
      <c r="A2">
        <v>1</v>
      </c>
      <c r="B2" s="14">
        <v>42370.517604166664</v>
      </c>
      <c r="C2" s="14">
        <v>42370.528009259258</v>
      </c>
      <c r="D2" t="s">
        <v>3</v>
      </c>
      <c r="E2" t="s">
        <v>4</v>
      </c>
      <c r="G2" t="b">
        <v>0</v>
      </c>
      <c r="H2">
        <v>70803</v>
      </c>
      <c r="I2" s="5">
        <v>0</v>
      </c>
      <c r="J2" s="14">
        <v>42370.530069444445</v>
      </c>
      <c r="K2">
        <v>19.579999999999998</v>
      </c>
      <c r="L2" s="5">
        <f>('[1]Pizza Sales Calculations'!$J2-'[1]Pizza Sales Calculations'!$C2)*24*60</f>
        <v>2.9666666686534882</v>
      </c>
      <c r="M2">
        <f>COUNTA('[1]Pizza Sales Calculations'!$D2:$F2)</f>
        <v>2</v>
      </c>
      <c r="N2">
        <f>IFERROR(VLOOKUP(D2,[1]Parameters!$A$3:$C$5,3,FALSE),0)</f>
        <v>1</v>
      </c>
      <c r="O2">
        <f>IFERROR(VLOOKUP(E2,[1]Parameters!$A$3:$C$5,3,FALSE),0)</f>
        <v>1.7</v>
      </c>
      <c r="P2">
        <f>IFERROR(VLOOKUP(F2,[1]Parameters!$A$3:$C$5,3,FALSE),0)</f>
        <v>0</v>
      </c>
      <c r="Q2">
        <f>SUM(N2:P2)</f>
        <v>2.7</v>
      </c>
      <c r="R2" s="10">
        <f>IF('[1]Pizza Sales Calculations'!$G2=TRUE, [1]Parameters!$B$17*'[1]Pizza Sales Calculations'!$L2*2, 0)</f>
        <v>0</v>
      </c>
      <c r="S2" t="str">
        <f>IF(I2&lt;[1]Parameters!$B$21,"TRUE","FALSE")</f>
        <v>TRUE</v>
      </c>
      <c r="T2" s="5">
        <f>(I2/[1]Parameters!$B$25)*60</f>
        <v>0</v>
      </c>
      <c r="U2" s="10">
        <f>IF(AND('[1]Pizza Sales Calculations'!G2=TRUE,'[1]Pizza Sales Calculations'!S2="TRUE"),T2*[1]Parameters!$B$40*2,0)</f>
        <v>0</v>
      </c>
      <c r="V2">
        <f>INDEX([1]Parameters!$A$3:$C$5,MATCH('[1]Pizza Sales Calculations'!D2,[1]Parameters!$A$3:$A$5,0),2)</f>
        <v>7</v>
      </c>
      <c r="W2">
        <f>INDEX([1]Parameters!$A$3:$C$5,MATCH('[1]Pizza Sales Calculations'!E2,[1]Parameters!$A$3:$A$5,0),2)</f>
        <v>10</v>
      </c>
      <c r="X2" t="e">
        <f>INDEX([1]Parameters!$A$3:$C$5,MATCH('[1]Pizza Sales Calculations'!F2,[1]Parameters!$A$3:$A$5,0),2)</f>
        <v>#N/A</v>
      </c>
    </row>
    <row r="3" spans="1:24" x14ac:dyDescent="0.3">
      <c r="A3">
        <v>2</v>
      </c>
      <c r="B3" s="14">
        <v>42370.523356481484</v>
      </c>
      <c r="C3" s="14">
        <v>42370.533761574072</v>
      </c>
      <c r="D3" t="s">
        <v>5</v>
      </c>
      <c r="G3" t="b">
        <v>0</v>
      </c>
      <c r="H3">
        <v>70804</v>
      </c>
      <c r="I3" s="5">
        <v>0</v>
      </c>
      <c r="J3" s="14">
        <v>42370.535821759258</v>
      </c>
      <c r="K3">
        <v>15.35</v>
      </c>
      <c r="L3" s="5">
        <f>('[1]Pizza Sales Calculations'!$J3-'[1]Pizza Sales Calculations'!$C3)*24*60</f>
        <v>2.9666666686534882</v>
      </c>
      <c r="M3">
        <f>COUNTA('[1]Pizza Sales Calculations'!$D3:$F3)</f>
        <v>1</v>
      </c>
      <c r="N3">
        <f>IFERROR(VLOOKUP(D3,[1]Parameters!$A$3:$C$5,3,FALSE),0)</f>
        <v>2.2999999999999998</v>
      </c>
      <c r="O3">
        <f>IFERROR(VLOOKUP(E3,[1]Parameters!$A$3:$C$5,3,FALSE),0)</f>
        <v>0</v>
      </c>
      <c r="P3">
        <f>IFERROR(VLOOKUP(F3,[1]Parameters!$A$3:$C$5,3,FALSE),0)</f>
        <v>0</v>
      </c>
      <c r="Q3">
        <f t="shared" ref="Q3:Q66" si="0">SUM(N3:P3)</f>
        <v>2.2999999999999998</v>
      </c>
      <c r="R3" s="10">
        <f>IF('[1]Pizza Sales Calculations'!$G3=TRUE, [1]Parameters!$B$17*'[1]Pizza Sales Calculations'!$L3*2, 0)</f>
        <v>0</v>
      </c>
      <c r="S3" t="str">
        <f>IF(I3&lt;[1]Parameters!$B$21,"TRUE","FALSE")</f>
        <v>TRUE</v>
      </c>
      <c r="T3" s="5">
        <f>(I3/[1]Parameters!$B$25)*60</f>
        <v>0</v>
      </c>
      <c r="U3" s="10">
        <f>IF(AND('[1]Pizza Sales Calculations'!G3=TRUE,'[1]Pizza Sales Calculations'!S3="TRUE"),T3*[1]Parameters!$B$40*2,0)</f>
        <v>0</v>
      </c>
      <c r="V3">
        <f>INDEX([1]Parameters!$A$3:$C$5,MATCH('[1]Pizza Sales Calculations'!D3,[1]Parameters!$A$3:$A$5,0),2)</f>
        <v>14</v>
      </c>
      <c r="W3" t="e">
        <f>INDEX([1]Parameters!$A$3:$C$5,MATCH('[1]Pizza Sales Calculations'!E3,[1]Parameters!$A$3:$A$5,0),2)</f>
        <v>#N/A</v>
      </c>
      <c r="X3" t="e">
        <f>INDEX([1]Parameters!$A$3:$C$5,MATCH('[1]Pizza Sales Calculations'!F3,[1]Parameters!$A$3:$A$5,0),2)</f>
        <v>#N/A</v>
      </c>
    </row>
    <row r="4" spans="1:24" x14ac:dyDescent="0.3">
      <c r="A4">
        <v>3</v>
      </c>
      <c r="B4" s="14">
        <v>42370.527002314811</v>
      </c>
      <c r="C4" s="14">
        <v>42370.537407407406</v>
      </c>
      <c r="D4" t="s">
        <v>3</v>
      </c>
      <c r="E4" t="s">
        <v>4</v>
      </c>
      <c r="G4" t="b">
        <v>0</v>
      </c>
      <c r="H4">
        <v>70804</v>
      </c>
      <c r="I4" s="5">
        <v>0</v>
      </c>
      <c r="J4" s="14">
        <v>42370.539479166669</v>
      </c>
      <c r="K4">
        <v>19.579999999999998</v>
      </c>
      <c r="L4" s="5">
        <f>('[1]Pizza Sales Calculations'!$J4-'[1]Pizza Sales Calculations'!$C4)*24*60</f>
        <v>2.9833333392161876</v>
      </c>
      <c r="M4">
        <f>COUNTA('[1]Pizza Sales Calculations'!$D4:$F4)</f>
        <v>2</v>
      </c>
      <c r="N4">
        <f>IFERROR(VLOOKUP(D4,[1]Parameters!$A$3:$C$5,3,FALSE),0)</f>
        <v>1</v>
      </c>
      <c r="O4">
        <f>IFERROR(VLOOKUP(E4,[1]Parameters!$A$3:$C$5,3,FALSE),0)</f>
        <v>1.7</v>
      </c>
      <c r="P4">
        <f>IFERROR(VLOOKUP(F4,[1]Parameters!$A$3:$C$5,3,FALSE),0)</f>
        <v>0</v>
      </c>
      <c r="Q4">
        <f t="shared" si="0"/>
        <v>2.7</v>
      </c>
      <c r="R4" s="10">
        <f>IF('[1]Pizza Sales Calculations'!$G4=TRUE, [1]Parameters!$B$17*'[1]Pizza Sales Calculations'!$L4*2, 0)</f>
        <v>0</v>
      </c>
      <c r="S4" t="str">
        <f>IF(I4&lt;[1]Parameters!$B$21,"TRUE","FALSE")</f>
        <v>TRUE</v>
      </c>
      <c r="T4" s="5">
        <f>(I4/[1]Parameters!$B$25)*60</f>
        <v>0</v>
      </c>
      <c r="U4" s="10">
        <f>IF(AND('[1]Pizza Sales Calculations'!G4=TRUE,'[1]Pizza Sales Calculations'!S4="TRUE"),T4*[1]Parameters!$B$40*2,0)</f>
        <v>0</v>
      </c>
      <c r="V4">
        <f>INDEX([1]Parameters!$A$3:$C$5,MATCH('[1]Pizza Sales Calculations'!D4,[1]Parameters!$A$3:$A$5,0),2)</f>
        <v>7</v>
      </c>
      <c r="W4">
        <f>INDEX([1]Parameters!$A$3:$C$5,MATCH('[1]Pizza Sales Calculations'!E4,[1]Parameters!$A$3:$A$5,0),2)</f>
        <v>10</v>
      </c>
      <c r="X4" t="e">
        <f>INDEX([1]Parameters!$A$3:$C$5,MATCH('[1]Pizza Sales Calculations'!F4,[1]Parameters!$A$3:$A$5,0),2)</f>
        <v>#N/A</v>
      </c>
    </row>
    <row r="5" spans="1:24" x14ac:dyDescent="0.3">
      <c r="A5">
        <v>4</v>
      </c>
      <c r="B5" s="14">
        <v>42370.492893518516</v>
      </c>
      <c r="C5" s="14">
        <v>42370.503310185188</v>
      </c>
      <c r="D5" t="s">
        <v>3</v>
      </c>
      <c r="G5" t="b">
        <v>0</v>
      </c>
      <c r="H5">
        <v>70806</v>
      </c>
      <c r="I5" s="5">
        <v>0</v>
      </c>
      <c r="J5" s="14">
        <v>42370.505393518521</v>
      </c>
      <c r="K5">
        <v>7.99</v>
      </c>
      <c r="L5" s="5">
        <f>('[1]Pizza Sales Calculations'!$J5-'[1]Pizza Sales Calculations'!$C5)*24*60</f>
        <v>2.9999999993015081</v>
      </c>
      <c r="M5">
        <f>COUNTA('[1]Pizza Sales Calculations'!$D5:$F5)</f>
        <v>1</v>
      </c>
      <c r="N5">
        <f>IFERROR(VLOOKUP(D5,[1]Parameters!$A$3:$C$5,3,FALSE),0)</f>
        <v>1</v>
      </c>
      <c r="O5">
        <f>IFERROR(VLOOKUP(E5,[1]Parameters!$A$3:$C$5,3,FALSE),0)</f>
        <v>0</v>
      </c>
      <c r="P5">
        <f>IFERROR(VLOOKUP(F5,[1]Parameters!$A$3:$C$5,3,FALSE),0)</f>
        <v>0</v>
      </c>
      <c r="Q5">
        <f t="shared" si="0"/>
        <v>1</v>
      </c>
      <c r="R5" s="10">
        <f>IF('[1]Pizza Sales Calculations'!$G5=TRUE, [1]Parameters!$B$17*'[1]Pizza Sales Calculations'!$L5*2, 0)</f>
        <v>0</v>
      </c>
      <c r="S5" t="str">
        <f>IF(I5&lt;[1]Parameters!$B$21,"TRUE","FALSE")</f>
        <v>TRUE</v>
      </c>
      <c r="T5" s="5">
        <f>(I5/[1]Parameters!$B$25)*60</f>
        <v>0</v>
      </c>
      <c r="U5" s="10">
        <f>IF(AND('[1]Pizza Sales Calculations'!G5=TRUE,'[1]Pizza Sales Calculations'!S5="TRUE"),T5*[1]Parameters!$B$40*2,0)</f>
        <v>0</v>
      </c>
      <c r="V5">
        <f>INDEX([1]Parameters!$A$3:$C$5,MATCH('[1]Pizza Sales Calculations'!D5,[1]Parameters!$A$3:$A$5,0),2)</f>
        <v>7</v>
      </c>
      <c r="W5" t="e">
        <f>INDEX([1]Parameters!$A$3:$C$5,MATCH('[1]Pizza Sales Calculations'!E5,[1]Parameters!$A$3:$A$5,0),2)</f>
        <v>#N/A</v>
      </c>
      <c r="X5" t="e">
        <f>INDEX([1]Parameters!$A$3:$C$5,MATCH('[1]Pizza Sales Calculations'!F5,[1]Parameters!$A$3:$A$5,0),2)</f>
        <v>#N/A</v>
      </c>
    </row>
    <row r="6" spans="1:24" x14ac:dyDescent="0.3">
      <c r="A6">
        <v>5</v>
      </c>
      <c r="B6" s="14">
        <v>42370.450856481482</v>
      </c>
      <c r="C6" s="14">
        <v>42370.461273148147</v>
      </c>
      <c r="D6" t="s">
        <v>4</v>
      </c>
      <c r="G6" t="b">
        <v>1</v>
      </c>
      <c r="H6">
        <v>70805</v>
      </c>
      <c r="I6" s="5">
        <v>2.47933232917446</v>
      </c>
      <c r="J6" s="14">
        <v>42370.469872685186</v>
      </c>
      <c r="K6">
        <v>11.59</v>
      </c>
      <c r="L6" s="5">
        <f>('[1]Pizza Sales Calculations'!$J6-'[1]Pizza Sales Calculations'!$C6)*24*60</f>
        <v>12.383333336329088</v>
      </c>
      <c r="M6">
        <f>COUNTA('[1]Pizza Sales Calculations'!$D6:$F6)</f>
        <v>1</v>
      </c>
      <c r="N6">
        <f>IFERROR(VLOOKUP(D6,[1]Parameters!$A$3:$C$5,3,FALSE),0)</f>
        <v>1.7</v>
      </c>
      <c r="O6">
        <f>IFERROR(VLOOKUP(E6,[1]Parameters!$A$3:$C$5,3,FALSE),0)</f>
        <v>0</v>
      </c>
      <c r="P6">
        <f>IFERROR(VLOOKUP(F6,[1]Parameters!$A$3:$C$5,3,FALSE),0)</f>
        <v>0</v>
      </c>
      <c r="Q6">
        <f t="shared" si="0"/>
        <v>1.7</v>
      </c>
      <c r="R6" s="10">
        <f>IF('[1]Pizza Sales Calculations'!$G6=TRUE, [1]Parameters!$B$17*'[1]Pizza Sales Calculations'!$L6*2, 0)</f>
        <v>3.5086111119599082</v>
      </c>
      <c r="S6" t="str">
        <f>IF(I6&lt;[1]Parameters!$B$21,"TRUE","FALSE")</f>
        <v>TRUE</v>
      </c>
      <c r="T6" s="5">
        <f>(I6/[1]Parameters!$B$25)*60</f>
        <v>4.95866465834892</v>
      </c>
      <c r="U6" s="10">
        <f>IF(AND('[1]Pizza Sales Calculations'!G6=TRUE,'[1]Pizza Sales Calculations'!S6="TRUE"),T6*[1]Parameters!$B$40*2,0)</f>
        <v>0.30953287987821382</v>
      </c>
      <c r="V6">
        <f>INDEX([1]Parameters!$A$3:$C$5,MATCH('[1]Pizza Sales Calculations'!D6,[1]Parameters!$A$3:$A$5,0),2)</f>
        <v>10</v>
      </c>
      <c r="W6" t="e">
        <f>INDEX([1]Parameters!$A$3:$C$5,MATCH('[1]Pizza Sales Calculations'!E6,[1]Parameters!$A$3:$A$5,0),2)</f>
        <v>#N/A</v>
      </c>
      <c r="X6" t="e">
        <f>INDEX([1]Parameters!$A$3:$C$5,MATCH('[1]Pizza Sales Calculations'!F6,[1]Parameters!$A$3:$A$5,0),2)</f>
        <v>#N/A</v>
      </c>
    </row>
    <row r="7" spans="1:24" x14ac:dyDescent="0.3">
      <c r="A7">
        <v>6</v>
      </c>
      <c r="B7" s="14">
        <v>42370.521307870367</v>
      </c>
      <c r="C7" s="14">
        <v>42370.531712962962</v>
      </c>
      <c r="D7" t="s">
        <v>3</v>
      </c>
      <c r="G7" t="b">
        <v>1</v>
      </c>
      <c r="H7">
        <v>70803</v>
      </c>
      <c r="I7" s="5">
        <v>2.3576022999170898</v>
      </c>
      <c r="J7" s="14">
        <v>42370.539895833332</v>
      </c>
      <c r="K7">
        <v>7.99</v>
      </c>
      <c r="L7" s="5">
        <f>('[1]Pizza Sales Calculations'!$J7-'[1]Pizza Sales Calculations'!$C7)*24*60</f>
        <v>11.783333332277834</v>
      </c>
      <c r="M7">
        <f>COUNTA('[1]Pizza Sales Calculations'!$D7:$F7)</f>
        <v>1</v>
      </c>
      <c r="N7">
        <f>IFERROR(VLOOKUP(D7,[1]Parameters!$A$3:$C$5,3,FALSE),0)</f>
        <v>1</v>
      </c>
      <c r="O7">
        <f>IFERROR(VLOOKUP(E7,[1]Parameters!$A$3:$C$5,3,FALSE),0)</f>
        <v>0</v>
      </c>
      <c r="P7">
        <f>IFERROR(VLOOKUP(F7,[1]Parameters!$A$3:$C$5,3,FALSE),0)</f>
        <v>0</v>
      </c>
      <c r="Q7">
        <f t="shared" si="0"/>
        <v>1</v>
      </c>
      <c r="R7" s="10">
        <f>IF('[1]Pizza Sales Calculations'!$G7=TRUE, [1]Parameters!$B$17*'[1]Pizza Sales Calculations'!$L7*2, 0)</f>
        <v>3.3386111108120531</v>
      </c>
      <c r="S7" t="str">
        <f>IF(I7&lt;[1]Parameters!$B$21,"TRUE","FALSE")</f>
        <v>TRUE</v>
      </c>
      <c r="T7" s="5">
        <f>(I7/[1]Parameters!$B$25)*60</f>
        <v>4.7152045998341796</v>
      </c>
      <c r="U7" s="10">
        <f>IF(AND('[1]Pizza Sales Calculations'!G7=TRUE,'[1]Pizza Sales Calculations'!S7="TRUE"),T7*[1]Parameters!$B$40*2,0)</f>
        <v>0.2943354631865035</v>
      </c>
      <c r="V7">
        <f>INDEX([1]Parameters!$A$3:$C$5,MATCH('[1]Pizza Sales Calculations'!D7,[1]Parameters!$A$3:$A$5,0),2)</f>
        <v>7</v>
      </c>
      <c r="W7" t="e">
        <f>INDEX([1]Parameters!$A$3:$C$5,MATCH('[1]Pizza Sales Calculations'!E7,[1]Parameters!$A$3:$A$5,0),2)</f>
        <v>#N/A</v>
      </c>
      <c r="X7" t="e">
        <f>INDEX([1]Parameters!$A$3:$C$5,MATCH('[1]Pizza Sales Calculations'!F7,[1]Parameters!$A$3:$A$5,0),2)</f>
        <v>#N/A</v>
      </c>
    </row>
    <row r="8" spans="1:24" x14ac:dyDescent="0.3">
      <c r="A8">
        <v>7</v>
      </c>
      <c r="B8" s="14">
        <v>42370.523032407407</v>
      </c>
      <c r="C8" s="14">
        <v>42370.533437500002</v>
      </c>
      <c r="D8" t="s">
        <v>4</v>
      </c>
      <c r="G8" t="b">
        <v>1</v>
      </c>
      <c r="H8">
        <v>70807</v>
      </c>
      <c r="I8" s="5">
        <v>2.0571562895913802</v>
      </c>
      <c r="J8" s="14">
        <v>42370.540578703702</v>
      </c>
      <c r="K8">
        <v>11.59</v>
      </c>
      <c r="L8" s="5">
        <f>('[1]Pizza Sales Calculations'!$J8-'[1]Pizza Sales Calculations'!$C8)*24*60</f>
        <v>10.283333327388391</v>
      </c>
      <c r="M8">
        <f>COUNTA('[1]Pizza Sales Calculations'!$D8:$F8)</f>
        <v>1</v>
      </c>
      <c r="N8">
        <f>IFERROR(VLOOKUP(D8,[1]Parameters!$A$3:$C$5,3,FALSE),0)</f>
        <v>1.7</v>
      </c>
      <c r="O8">
        <f>IFERROR(VLOOKUP(E8,[1]Parameters!$A$3:$C$5,3,FALSE),0)</f>
        <v>0</v>
      </c>
      <c r="P8">
        <f>IFERROR(VLOOKUP(F8,[1]Parameters!$A$3:$C$5,3,FALSE),0)</f>
        <v>0</v>
      </c>
      <c r="Q8">
        <f t="shared" si="0"/>
        <v>1.7</v>
      </c>
      <c r="R8" s="10">
        <f>IF('[1]Pizza Sales Calculations'!$G8=TRUE, [1]Parameters!$B$17*'[1]Pizza Sales Calculations'!$L8*2, 0)</f>
        <v>2.9136111094267108</v>
      </c>
      <c r="S8" t="str">
        <f>IF(I8&lt;[1]Parameters!$B$21,"TRUE","FALSE")</f>
        <v>TRUE</v>
      </c>
      <c r="T8" s="5">
        <f>(I8/[1]Parameters!$B$25)*60</f>
        <v>4.1143125791827604</v>
      </c>
      <c r="U8" s="10">
        <f>IF(AND('[1]Pizza Sales Calculations'!G8=TRUE,'[1]Pizza Sales Calculations'!S8="TRUE"),T8*[1]Parameters!$B$40*2,0)</f>
        <v>0.25682620404857992</v>
      </c>
      <c r="V8">
        <f>INDEX([1]Parameters!$A$3:$C$5,MATCH('[1]Pizza Sales Calculations'!D8,[1]Parameters!$A$3:$A$5,0),2)</f>
        <v>10</v>
      </c>
      <c r="W8" t="e">
        <f>INDEX([1]Parameters!$A$3:$C$5,MATCH('[1]Pizza Sales Calculations'!E8,[1]Parameters!$A$3:$A$5,0),2)</f>
        <v>#N/A</v>
      </c>
      <c r="X8" t="e">
        <f>INDEX([1]Parameters!$A$3:$C$5,MATCH('[1]Pizza Sales Calculations'!F8,[1]Parameters!$A$3:$A$5,0),2)</f>
        <v>#N/A</v>
      </c>
    </row>
    <row r="9" spans="1:24" x14ac:dyDescent="0.3">
      <c r="A9">
        <v>8</v>
      </c>
      <c r="B9" s="14">
        <v>42370.55740740741</v>
      </c>
      <c r="C9" s="14">
        <v>42370.567812499998</v>
      </c>
      <c r="D9" t="s">
        <v>3</v>
      </c>
      <c r="E9" t="s">
        <v>4</v>
      </c>
      <c r="G9" t="b">
        <v>1</v>
      </c>
      <c r="H9">
        <v>70804</v>
      </c>
      <c r="I9" s="5">
        <v>4.8175174510815202</v>
      </c>
      <c r="J9" s="14">
        <v>42370.584537037037</v>
      </c>
      <c r="K9">
        <v>19.579999999999998</v>
      </c>
      <c r="L9" s="5">
        <f>('[1]Pizza Sales Calculations'!$J9-'[1]Pizza Sales Calculations'!$C9)*24*60</f>
        <v>24.083333336748183</v>
      </c>
      <c r="M9">
        <f>COUNTA('[1]Pizza Sales Calculations'!$D9:$F9)</f>
        <v>2</v>
      </c>
      <c r="N9">
        <f>IFERROR(VLOOKUP(D9,[1]Parameters!$A$3:$C$5,3,FALSE),0)</f>
        <v>1</v>
      </c>
      <c r="O9">
        <f>IFERROR(VLOOKUP(E9,[1]Parameters!$A$3:$C$5,3,FALSE),0)</f>
        <v>1.7</v>
      </c>
      <c r="P9">
        <f>IFERROR(VLOOKUP(F9,[1]Parameters!$A$3:$C$5,3,FALSE),0)</f>
        <v>0</v>
      </c>
      <c r="Q9">
        <f t="shared" si="0"/>
        <v>2.7</v>
      </c>
      <c r="R9" s="10">
        <f>IF('[1]Pizza Sales Calculations'!$G9=TRUE, [1]Parameters!$B$17*'[1]Pizza Sales Calculations'!$L9*2, 0)</f>
        <v>6.8236111120786518</v>
      </c>
      <c r="S9" t="str">
        <f>IF(I9&lt;[1]Parameters!$B$21,"TRUE","FALSE")</f>
        <v>FALSE</v>
      </c>
      <c r="T9" s="5">
        <f>(I9/[1]Parameters!$B$25)*60</f>
        <v>9.6350349021630404</v>
      </c>
      <c r="U9" s="10">
        <f>IF(AND('[1]Pizza Sales Calculations'!G9=TRUE,'[1]Pizza Sales Calculations'!S9="TRUE"),T9*[1]Parameters!$B$40*2,0)</f>
        <v>0</v>
      </c>
      <c r="V9">
        <f>INDEX([1]Parameters!$A$3:$C$5,MATCH('[1]Pizza Sales Calculations'!D9,[1]Parameters!$A$3:$A$5,0),2)</f>
        <v>7</v>
      </c>
      <c r="W9">
        <f>INDEX([1]Parameters!$A$3:$C$5,MATCH('[1]Pizza Sales Calculations'!E9,[1]Parameters!$A$3:$A$5,0),2)</f>
        <v>10</v>
      </c>
      <c r="X9" t="e">
        <f>INDEX([1]Parameters!$A$3:$C$5,MATCH('[1]Pizza Sales Calculations'!F9,[1]Parameters!$A$3:$A$5,0),2)</f>
        <v>#N/A</v>
      </c>
    </row>
    <row r="10" spans="1:24" x14ac:dyDescent="0.3">
      <c r="A10">
        <v>9</v>
      </c>
      <c r="B10" s="14">
        <v>42370.488449074073</v>
      </c>
      <c r="C10" s="14">
        <v>42370.498865740738</v>
      </c>
      <c r="D10" t="s">
        <v>3</v>
      </c>
      <c r="E10" t="s">
        <v>4</v>
      </c>
      <c r="G10" t="b">
        <v>1</v>
      </c>
      <c r="H10">
        <v>70803</v>
      </c>
      <c r="I10" s="5">
        <v>3.1066756345474298</v>
      </c>
      <c r="J10" s="14">
        <v>42370.509652777779</v>
      </c>
      <c r="K10">
        <v>19.579999999999998</v>
      </c>
      <c r="L10" s="5">
        <f>('[1]Pizza Sales Calculations'!$J10-'[1]Pizza Sales Calculations'!$C10)*24*60</f>
        <v>15.533333339262754</v>
      </c>
      <c r="M10">
        <f>COUNTA('[1]Pizza Sales Calculations'!$D10:$F10)</f>
        <v>2</v>
      </c>
      <c r="N10">
        <f>IFERROR(VLOOKUP(D10,[1]Parameters!$A$3:$C$5,3,FALSE),0)</f>
        <v>1</v>
      </c>
      <c r="O10">
        <f>IFERROR(VLOOKUP(E10,[1]Parameters!$A$3:$C$5,3,FALSE),0)</f>
        <v>1.7</v>
      </c>
      <c r="P10">
        <f>IFERROR(VLOOKUP(F10,[1]Parameters!$A$3:$C$5,3,FALSE),0)</f>
        <v>0</v>
      </c>
      <c r="Q10">
        <f t="shared" si="0"/>
        <v>2.7</v>
      </c>
      <c r="R10" s="10">
        <f>IF('[1]Pizza Sales Calculations'!$G10=TRUE, [1]Parameters!$B$17*'[1]Pizza Sales Calculations'!$L10*2, 0)</f>
        <v>4.4011111127911136</v>
      </c>
      <c r="S10" t="str">
        <f>IF(I10&lt;[1]Parameters!$B$21,"TRUE","FALSE")</f>
        <v>TRUE</v>
      </c>
      <c r="T10" s="5">
        <f>(I10/[1]Parameters!$B$25)*60</f>
        <v>6.2133512690948596</v>
      </c>
      <c r="U10" s="10">
        <f>IF(AND('[1]Pizza Sales Calculations'!G10=TRUE,'[1]Pizza Sales Calculations'!S10="TRUE"),T10*[1]Parameters!$B$40*2,0)</f>
        <v>0.38785371557234205</v>
      </c>
      <c r="V10">
        <f>INDEX([1]Parameters!$A$3:$C$5,MATCH('[1]Pizza Sales Calculations'!D10,[1]Parameters!$A$3:$A$5,0),2)</f>
        <v>7</v>
      </c>
      <c r="W10">
        <f>INDEX([1]Parameters!$A$3:$C$5,MATCH('[1]Pizza Sales Calculations'!E10,[1]Parameters!$A$3:$A$5,0),2)</f>
        <v>10</v>
      </c>
      <c r="X10" t="e">
        <f>INDEX([1]Parameters!$A$3:$C$5,MATCH('[1]Pizza Sales Calculations'!F10,[1]Parameters!$A$3:$A$5,0),2)</f>
        <v>#N/A</v>
      </c>
    </row>
    <row r="11" spans="1:24" x14ac:dyDescent="0.3">
      <c r="A11">
        <v>10</v>
      </c>
      <c r="B11" s="14">
        <v>42370.434803240743</v>
      </c>
      <c r="C11" s="14">
        <v>42370.445208333331</v>
      </c>
      <c r="D11" t="s">
        <v>4</v>
      </c>
      <c r="G11" t="b">
        <v>1</v>
      </c>
      <c r="H11">
        <v>70804</v>
      </c>
      <c r="I11" s="5">
        <v>4.5560160201321196</v>
      </c>
      <c r="J11" s="14">
        <v>42370.461018518516</v>
      </c>
      <c r="K11">
        <v>11.59</v>
      </c>
      <c r="L11" s="5">
        <f>('[1]Pizza Sales Calculations'!$J11-'[1]Pizza Sales Calculations'!$C11)*24*60</f>
        <v>22.766666666138917</v>
      </c>
      <c r="M11">
        <f>COUNTA('[1]Pizza Sales Calculations'!$D11:$F11)</f>
        <v>1</v>
      </c>
      <c r="N11">
        <f>IFERROR(VLOOKUP(D11,[1]Parameters!$A$3:$C$5,3,FALSE),0)</f>
        <v>1.7</v>
      </c>
      <c r="O11">
        <f>IFERROR(VLOOKUP(E11,[1]Parameters!$A$3:$C$5,3,FALSE),0)</f>
        <v>0</v>
      </c>
      <c r="P11">
        <f>IFERROR(VLOOKUP(F11,[1]Parameters!$A$3:$C$5,3,FALSE),0)</f>
        <v>0</v>
      </c>
      <c r="Q11">
        <f t="shared" si="0"/>
        <v>1.7</v>
      </c>
      <c r="R11" s="10">
        <f>IF('[1]Pizza Sales Calculations'!$G11=TRUE, [1]Parameters!$B$17*'[1]Pizza Sales Calculations'!$L11*2, 0)</f>
        <v>6.4505555554060265</v>
      </c>
      <c r="S11" t="str">
        <f>IF(I11&lt;[1]Parameters!$B$21,"TRUE","FALSE")</f>
        <v>FALSE</v>
      </c>
      <c r="T11" s="5">
        <f>(I11/[1]Parameters!$B$25)*60</f>
        <v>9.1120320402642392</v>
      </c>
      <c r="U11" s="10">
        <f>IF(AND('[1]Pizza Sales Calculations'!G11=TRUE,'[1]Pizza Sales Calculations'!S11="TRUE"),T11*[1]Parameters!$B$40*2,0)</f>
        <v>0</v>
      </c>
      <c r="V11">
        <f>INDEX([1]Parameters!$A$3:$C$5,MATCH('[1]Pizza Sales Calculations'!D11,[1]Parameters!$A$3:$A$5,0),2)</f>
        <v>10</v>
      </c>
      <c r="W11" t="e">
        <f>INDEX([1]Parameters!$A$3:$C$5,MATCH('[1]Pizza Sales Calculations'!E11,[1]Parameters!$A$3:$A$5,0),2)</f>
        <v>#N/A</v>
      </c>
      <c r="X11" t="e">
        <f>INDEX([1]Parameters!$A$3:$C$5,MATCH('[1]Pizza Sales Calculations'!F11,[1]Parameters!$A$3:$A$5,0),2)</f>
        <v>#N/A</v>
      </c>
    </row>
    <row r="12" spans="1:24" x14ac:dyDescent="0.3">
      <c r="A12">
        <v>11</v>
      </c>
      <c r="B12" s="14">
        <v>42370.513784722221</v>
      </c>
      <c r="C12" s="14">
        <v>42370.524189814816</v>
      </c>
      <c r="D12" t="s">
        <v>4</v>
      </c>
      <c r="G12" t="b">
        <v>0</v>
      </c>
      <c r="H12">
        <v>70804</v>
      </c>
      <c r="I12" s="5">
        <v>0</v>
      </c>
      <c r="J12" s="14">
        <v>42370.526273148149</v>
      </c>
      <c r="K12">
        <v>11.59</v>
      </c>
      <c r="L12" s="5">
        <f>('[1]Pizza Sales Calculations'!$J12-'[1]Pizza Sales Calculations'!$C12)*24*60</f>
        <v>2.9999999993015081</v>
      </c>
      <c r="M12">
        <f>COUNTA('[1]Pizza Sales Calculations'!$D12:$F12)</f>
        <v>1</v>
      </c>
      <c r="N12">
        <f>IFERROR(VLOOKUP(D12,[1]Parameters!$A$3:$C$5,3,FALSE),0)</f>
        <v>1.7</v>
      </c>
      <c r="O12">
        <f>IFERROR(VLOOKUP(E12,[1]Parameters!$A$3:$C$5,3,FALSE),0)</f>
        <v>0</v>
      </c>
      <c r="P12">
        <f>IFERROR(VLOOKUP(F12,[1]Parameters!$A$3:$C$5,3,FALSE),0)</f>
        <v>0</v>
      </c>
      <c r="Q12">
        <f t="shared" si="0"/>
        <v>1.7</v>
      </c>
      <c r="R12" s="10">
        <f>IF('[1]Pizza Sales Calculations'!$G12=TRUE, [1]Parameters!$B$17*'[1]Pizza Sales Calculations'!$L12*2, 0)</f>
        <v>0</v>
      </c>
      <c r="S12" t="str">
        <f>IF(I12&lt;[1]Parameters!$B$21,"TRUE","FALSE")</f>
        <v>TRUE</v>
      </c>
      <c r="T12" s="5">
        <f>(I12/[1]Parameters!$B$25)*60</f>
        <v>0</v>
      </c>
      <c r="U12" s="10">
        <f>IF(AND('[1]Pizza Sales Calculations'!G12=TRUE,'[1]Pizza Sales Calculations'!S12="TRUE"),T12*[1]Parameters!$B$40*2,0)</f>
        <v>0</v>
      </c>
      <c r="V12">
        <f>INDEX([1]Parameters!$A$3:$C$5,MATCH('[1]Pizza Sales Calculations'!D12,[1]Parameters!$A$3:$A$5,0),2)</f>
        <v>10</v>
      </c>
      <c r="W12" t="e">
        <f>INDEX([1]Parameters!$A$3:$C$5,MATCH('[1]Pizza Sales Calculations'!E12,[1]Parameters!$A$3:$A$5,0),2)</f>
        <v>#N/A</v>
      </c>
      <c r="X12" t="e">
        <f>INDEX([1]Parameters!$A$3:$C$5,MATCH('[1]Pizza Sales Calculations'!F12,[1]Parameters!$A$3:$A$5,0),2)</f>
        <v>#N/A</v>
      </c>
    </row>
    <row r="13" spans="1:24" x14ac:dyDescent="0.3">
      <c r="A13">
        <v>12</v>
      </c>
      <c r="B13" s="14">
        <v>42370.523229166669</v>
      </c>
      <c r="C13" s="14">
        <v>42370.533668981479</v>
      </c>
      <c r="D13" t="s">
        <v>3</v>
      </c>
      <c r="E13" t="s">
        <v>5</v>
      </c>
      <c r="G13" t="b">
        <v>0</v>
      </c>
      <c r="H13">
        <v>70805</v>
      </c>
      <c r="I13" s="5">
        <v>0</v>
      </c>
      <c r="J13" s="14">
        <v>42370.535740740743</v>
      </c>
      <c r="K13">
        <v>23.34</v>
      </c>
      <c r="L13" s="5">
        <f>('[1]Pizza Sales Calculations'!$J13-'[1]Pizza Sales Calculations'!$C13)*24*60</f>
        <v>2.9833333392161876</v>
      </c>
      <c r="M13">
        <f>COUNTA('[1]Pizza Sales Calculations'!$D13:$F13)</f>
        <v>2</v>
      </c>
      <c r="N13">
        <f>IFERROR(VLOOKUP(D13,[1]Parameters!$A$3:$C$5,3,FALSE),0)</f>
        <v>1</v>
      </c>
      <c r="O13">
        <f>IFERROR(VLOOKUP(E13,[1]Parameters!$A$3:$C$5,3,FALSE),0)</f>
        <v>2.2999999999999998</v>
      </c>
      <c r="P13">
        <f>IFERROR(VLOOKUP(F13,[1]Parameters!$A$3:$C$5,3,FALSE),0)</f>
        <v>0</v>
      </c>
      <c r="Q13">
        <f t="shared" si="0"/>
        <v>3.3</v>
      </c>
      <c r="R13" s="10">
        <f>IF('[1]Pizza Sales Calculations'!$G13=TRUE, [1]Parameters!$B$17*'[1]Pizza Sales Calculations'!$L13*2, 0)</f>
        <v>0</v>
      </c>
      <c r="S13" t="str">
        <f>IF(I13&lt;[1]Parameters!$B$21,"TRUE","FALSE")</f>
        <v>TRUE</v>
      </c>
      <c r="T13" s="5">
        <f>(I13/[1]Parameters!$B$25)*60</f>
        <v>0</v>
      </c>
      <c r="U13" s="10">
        <f>IF(AND('[1]Pizza Sales Calculations'!G13=TRUE,'[1]Pizza Sales Calculations'!S13="TRUE"),T13*[1]Parameters!$B$40*2,0)</f>
        <v>0</v>
      </c>
      <c r="V13">
        <f>INDEX([1]Parameters!$A$3:$C$5,MATCH('[1]Pizza Sales Calculations'!D13,[1]Parameters!$A$3:$A$5,0),2)</f>
        <v>7</v>
      </c>
      <c r="W13">
        <f>INDEX([1]Parameters!$A$3:$C$5,MATCH('[1]Pizza Sales Calculations'!E13,[1]Parameters!$A$3:$A$5,0),2)</f>
        <v>14</v>
      </c>
      <c r="X13" t="e">
        <f>INDEX([1]Parameters!$A$3:$C$5,MATCH('[1]Pizza Sales Calculations'!F13,[1]Parameters!$A$3:$A$5,0),2)</f>
        <v>#N/A</v>
      </c>
    </row>
    <row r="14" spans="1:24" x14ac:dyDescent="0.3">
      <c r="A14">
        <v>13</v>
      </c>
      <c r="B14" s="14">
        <v>42370.482499999998</v>
      </c>
      <c r="C14" s="14">
        <v>42370.492905092593</v>
      </c>
      <c r="D14" t="s">
        <v>3</v>
      </c>
      <c r="E14" t="s">
        <v>4</v>
      </c>
      <c r="G14" t="b">
        <v>1</v>
      </c>
      <c r="H14">
        <v>70806</v>
      </c>
      <c r="I14" s="5">
        <v>3.1092623645255801</v>
      </c>
      <c r="J14" s="14">
        <v>42370.503692129627</v>
      </c>
      <c r="K14">
        <v>19.579999999999998</v>
      </c>
      <c r="L14" s="5">
        <f>('[1]Pizza Sales Calculations'!$J14-'[1]Pizza Sales Calculations'!$C14)*24*60</f>
        <v>15.533333328785375</v>
      </c>
      <c r="M14">
        <f>COUNTA('[1]Pizza Sales Calculations'!$D14:$F14)</f>
        <v>2</v>
      </c>
      <c r="N14">
        <f>IFERROR(VLOOKUP(D14,[1]Parameters!$A$3:$C$5,3,FALSE),0)</f>
        <v>1</v>
      </c>
      <c r="O14">
        <f>IFERROR(VLOOKUP(E14,[1]Parameters!$A$3:$C$5,3,FALSE),0)</f>
        <v>1.7</v>
      </c>
      <c r="P14">
        <f>IFERROR(VLOOKUP(F14,[1]Parameters!$A$3:$C$5,3,FALSE),0)</f>
        <v>0</v>
      </c>
      <c r="Q14">
        <f t="shared" si="0"/>
        <v>2.7</v>
      </c>
      <c r="R14" s="10">
        <f>IF('[1]Pizza Sales Calculations'!$G14=TRUE, [1]Parameters!$B$17*'[1]Pizza Sales Calculations'!$L14*2, 0)</f>
        <v>4.4011111098225228</v>
      </c>
      <c r="S14" t="str">
        <f>IF(I14&lt;[1]Parameters!$B$21,"TRUE","FALSE")</f>
        <v>TRUE</v>
      </c>
      <c r="T14" s="5">
        <f>(I14/[1]Parameters!$B$25)*60</f>
        <v>6.2185247290511603</v>
      </c>
      <c r="U14" s="10">
        <f>IF(AND('[1]Pizza Sales Calculations'!G14=TRUE,'[1]Pizza Sales Calculations'!S14="TRUE"),T14*[1]Parameters!$B$40*2,0)</f>
        <v>0.38817665653922356</v>
      </c>
      <c r="V14">
        <f>INDEX([1]Parameters!$A$3:$C$5,MATCH('[1]Pizza Sales Calculations'!D14,[1]Parameters!$A$3:$A$5,0),2)</f>
        <v>7</v>
      </c>
      <c r="W14">
        <f>INDEX([1]Parameters!$A$3:$C$5,MATCH('[1]Pizza Sales Calculations'!E14,[1]Parameters!$A$3:$A$5,0),2)</f>
        <v>10</v>
      </c>
      <c r="X14" t="e">
        <f>INDEX([1]Parameters!$A$3:$C$5,MATCH('[1]Pizza Sales Calculations'!F14,[1]Parameters!$A$3:$A$5,0),2)</f>
        <v>#N/A</v>
      </c>
    </row>
    <row r="15" spans="1:24" x14ac:dyDescent="0.3">
      <c r="A15">
        <v>14</v>
      </c>
      <c r="B15" s="14">
        <v>42370.510266203702</v>
      </c>
      <c r="C15" s="14">
        <v>42370.520682870374</v>
      </c>
      <c r="D15" t="s">
        <v>3</v>
      </c>
      <c r="G15" t="b">
        <v>0</v>
      </c>
      <c r="H15">
        <v>70804</v>
      </c>
      <c r="I15" s="5">
        <v>0</v>
      </c>
      <c r="J15" s="14">
        <v>42370.522766203707</v>
      </c>
      <c r="K15">
        <v>7.99</v>
      </c>
      <c r="L15" s="5">
        <f>('[1]Pizza Sales Calculations'!$J15-'[1]Pizza Sales Calculations'!$C15)*24*60</f>
        <v>2.9999999993015081</v>
      </c>
      <c r="M15">
        <f>COUNTA('[1]Pizza Sales Calculations'!$D15:$F15)</f>
        <v>1</v>
      </c>
      <c r="N15">
        <f>IFERROR(VLOOKUP(D15,[1]Parameters!$A$3:$C$5,3,FALSE),0)</f>
        <v>1</v>
      </c>
      <c r="O15">
        <f>IFERROR(VLOOKUP(E15,[1]Parameters!$A$3:$C$5,3,FALSE),0)</f>
        <v>0</v>
      </c>
      <c r="P15">
        <f>IFERROR(VLOOKUP(F15,[1]Parameters!$A$3:$C$5,3,FALSE),0)</f>
        <v>0</v>
      </c>
      <c r="Q15">
        <f t="shared" si="0"/>
        <v>1</v>
      </c>
      <c r="R15" s="10">
        <f>IF('[1]Pizza Sales Calculations'!$G15=TRUE, [1]Parameters!$B$17*'[1]Pizza Sales Calculations'!$L15*2, 0)</f>
        <v>0</v>
      </c>
      <c r="S15" t="str">
        <f>IF(I15&lt;[1]Parameters!$B$21,"TRUE","FALSE")</f>
        <v>TRUE</v>
      </c>
      <c r="T15" s="5">
        <f>(I15/[1]Parameters!$B$25)*60</f>
        <v>0</v>
      </c>
      <c r="U15" s="10">
        <f>IF(AND('[1]Pizza Sales Calculations'!G15=TRUE,'[1]Pizza Sales Calculations'!S15="TRUE"),T15*[1]Parameters!$B$40*2,0)</f>
        <v>0</v>
      </c>
      <c r="V15">
        <f>INDEX([1]Parameters!$A$3:$C$5,MATCH('[1]Pizza Sales Calculations'!D15,[1]Parameters!$A$3:$A$5,0),2)</f>
        <v>7</v>
      </c>
      <c r="W15" t="e">
        <f>INDEX([1]Parameters!$A$3:$C$5,MATCH('[1]Pizza Sales Calculations'!E15,[1]Parameters!$A$3:$A$5,0),2)</f>
        <v>#N/A</v>
      </c>
      <c r="X15" t="e">
        <f>INDEX([1]Parameters!$A$3:$C$5,MATCH('[1]Pizza Sales Calculations'!F15,[1]Parameters!$A$3:$A$5,0),2)</f>
        <v>#N/A</v>
      </c>
    </row>
    <row r="16" spans="1:24" x14ac:dyDescent="0.3">
      <c r="A16">
        <v>15</v>
      </c>
      <c r="B16" s="14">
        <v>42370.528958333336</v>
      </c>
      <c r="C16" s="14">
        <v>42370.539363425924</v>
      </c>
      <c r="D16" t="s">
        <v>4</v>
      </c>
      <c r="G16" t="b">
        <v>0</v>
      </c>
      <c r="H16">
        <v>70803</v>
      </c>
      <c r="I16" s="5">
        <v>0</v>
      </c>
      <c r="J16" s="14">
        <v>42370.541435185187</v>
      </c>
      <c r="K16">
        <v>11.59</v>
      </c>
      <c r="L16" s="5">
        <f>('[1]Pizza Sales Calculations'!$J16-'[1]Pizza Sales Calculations'!$C16)*24*60</f>
        <v>2.9833333392161876</v>
      </c>
      <c r="M16">
        <f>COUNTA('[1]Pizza Sales Calculations'!$D16:$F16)</f>
        <v>1</v>
      </c>
      <c r="N16">
        <f>IFERROR(VLOOKUP(D16,[1]Parameters!$A$3:$C$5,3,FALSE),0)</f>
        <v>1.7</v>
      </c>
      <c r="O16">
        <f>IFERROR(VLOOKUP(E16,[1]Parameters!$A$3:$C$5,3,FALSE),0)</f>
        <v>0</v>
      </c>
      <c r="P16">
        <f>IFERROR(VLOOKUP(F16,[1]Parameters!$A$3:$C$5,3,FALSE),0)</f>
        <v>0</v>
      </c>
      <c r="Q16">
        <f t="shared" si="0"/>
        <v>1.7</v>
      </c>
      <c r="R16" s="10">
        <f>IF('[1]Pizza Sales Calculations'!$G16=TRUE, [1]Parameters!$B$17*'[1]Pizza Sales Calculations'!$L16*2, 0)</f>
        <v>0</v>
      </c>
      <c r="S16" t="str">
        <f>IF(I16&lt;[1]Parameters!$B$21,"TRUE","FALSE")</f>
        <v>TRUE</v>
      </c>
      <c r="T16" s="5">
        <f>(I16/[1]Parameters!$B$25)*60</f>
        <v>0</v>
      </c>
      <c r="U16" s="10">
        <f>IF(AND('[1]Pizza Sales Calculations'!G16=TRUE,'[1]Pizza Sales Calculations'!S16="TRUE"),T16*[1]Parameters!$B$40*2,0)</f>
        <v>0</v>
      </c>
      <c r="V16">
        <f>INDEX([1]Parameters!$A$3:$C$5,MATCH('[1]Pizza Sales Calculations'!D16,[1]Parameters!$A$3:$A$5,0),2)</f>
        <v>10</v>
      </c>
      <c r="W16" t="e">
        <f>INDEX([1]Parameters!$A$3:$C$5,MATCH('[1]Pizza Sales Calculations'!E16,[1]Parameters!$A$3:$A$5,0),2)</f>
        <v>#N/A</v>
      </c>
      <c r="X16" t="e">
        <f>INDEX([1]Parameters!$A$3:$C$5,MATCH('[1]Pizza Sales Calculations'!F16,[1]Parameters!$A$3:$A$5,0),2)</f>
        <v>#N/A</v>
      </c>
    </row>
    <row r="17" spans="1:24" x14ac:dyDescent="0.3">
      <c r="A17">
        <v>16</v>
      </c>
      <c r="B17" s="14">
        <v>42370.496898148151</v>
      </c>
      <c r="C17" s="14">
        <v>42370.507314814815</v>
      </c>
      <c r="D17" t="s">
        <v>3</v>
      </c>
      <c r="E17" t="s">
        <v>4</v>
      </c>
      <c r="G17" t="b">
        <v>1</v>
      </c>
      <c r="H17">
        <v>70806</v>
      </c>
      <c r="I17" s="5">
        <v>3.4135036809386099</v>
      </c>
      <c r="J17" s="14">
        <v>42370.519166666665</v>
      </c>
      <c r="K17">
        <v>19.579999999999998</v>
      </c>
      <c r="L17" s="5">
        <f>('[1]Pizza Sales Calculations'!$J17-'[1]Pizza Sales Calculations'!$C17)*24*60</f>
        <v>17.066666664322838</v>
      </c>
      <c r="M17">
        <f>COUNTA('[1]Pizza Sales Calculations'!$D17:$F17)</f>
        <v>2</v>
      </c>
      <c r="N17">
        <f>IFERROR(VLOOKUP(D17,[1]Parameters!$A$3:$C$5,3,FALSE),0)</f>
        <v>1</v>
      </c>
      <c r="O17">
        <f>IFERROR(VLOOKUP(E17,[1]Parameters!$A$3:$C$5,3,FALSE),0)</f>
        <v>1.7</v>
      </c>
      <c r="P17">
        <f>IFERROR(VLOOKUP(F17,[1]Parameters!$A$3:$C$5,3,FALSE),0)</f>
        <v>0</v>
      </c>
      <c r="Q17">
        <f t="shared" si="0"/>
        <v>2.7</v>
      </c>
      <c r="R17" s="10">
        <f>IF('[1]Pizza Sales Calculations'!$G17=TRUE, [1]Parameters!$B$17*'[1]Pizza Sales Calculations'!$L17*2, 0)</f>
        <v>4.8355555548914708</v>
      </c>
      <c r="S17" t="str">
        <f>IF(I17&lt;[1]Parameters!$B$21,"TRUE","FALSE")</f>
        <v>FALSE</v>
      </c>
      <c r="T17" s="5">
        <f>(I17/[1]Parameters!$B$25)*60</f>
        <v>6.8270073618772198</v>
      </c>
      <c r="U17" s="10">
        <f>IF(AND('[1]Pizza Sales Calculations'!G17=TRUE,'[1]Pizza Sales Calculations'!S17="TRUE"),T17*[1]Parameters!$B$40*2,0)</f>
        <v>0</v>
      </c>
      <c r="V17">
        <f>INDEX([1]Parameters!$A$3:$C$5,MATCH('[1]Pizza Sales Calculations'!D17,[1]Parameters!$A$3:$A$5,0),2)</f>
        <v>7</v>
      </c>
      <c r="W17">
        <f>INDEX([1]Parameters!$A$3:$C$5,MATCH('[1]Pizza Sales Calculations'!E17,[1]Parameters!$A$3:$A$5,0),2)</f>
        <v>10</v>
      </c>
      <c r="X17" t="e">
        <f>INDEX([1]Parameters!$A$3:$C$5,MATCH('[1]Pizza Sales Calculations'!F17,[1]Parameters!$A$3:$A$5,0),2)</f>
        <v>#N/A</v>
      </c>
    </row>
    <row r="18" spans="1:24" x14ac:dyDescent="0.3">
      <c r="A18">
        <v>17</v>
      </c>
      <c r="B18" s="14">
        <v>42370.57603009259</v>
      </c>
      <c r="C18" s="14">
        <v>42370.586435185185</v>
      </c>
      <c r="D18" t="s">
        <v>4</v>
      </c>
      <c r="G18" t="b">
        <v>1</v>
      </c>
      <c r="H18">
        <v>70806</v>
      </c>
      <c r="I18" s="5">
        <v>2.5641446436778601</v>
      </c>
      <c r="J18" s="14">
        <v>42370.595335648148</v>
      </c>
      <c r="K18">
        <v>11.59</v>
      </c>
      <c r="L18" s="5">
        <f>('[1]Pizza Sales Calculations'!$J18-'[1]Pizza Sales Calculations'!$C18)*24*60</f>
        <v>12.816666666185483</v>
      </c>
      <c r="M18">
        <f>COUNTA('[1]Pizza Sales Calculations'!$D18:$F18)</f>
        <v>1</v>
      </c>
      <c r="N18">
        <f>IFERROR(VLOOKUP(D18,[1]Parameters!$A$3:$C$5,3,FALSE),0)</f>
        <v>1.7</v>
      </c>
      <c r="O18">
        <f>IFERROR(VLOOKUP(E18,[1]Parameters!$A$3:$C$5,3,FALSE),0)</f>
        <v>0</v>
      </c>
      <c r="P18">
        <f>IFERROR(VLOOKUP(F18,[1]Parameters!$A$3:$C$5,3,FALSE),0)</f>
        <v>0</v>
      </c>
      <c r="Q18">
        <f t="shared" si="0"/>
        <v>1.7</v>
      </c>
      <c r="R18" s="10">
        <f>IF('[1]Pizza Sales Calculations'!$G18=TRUE, [1]Parameters!$B$17*'[1]Pizza Sales Calculations'!$L18*2, 0)</f>
        <v>3.6313888887525536</v>
      </c>
      <c r="S18" t="str">
        <f>IF(I18&lt;[1]Parameters!$B$21,"TRUE","FALSE")</f>
        <v>TRUE</v>
      </c>
      <c r="T18" s="5">
        <f>(I18/[1]Parameters!$B$25)*60</f>
        <v>5.1282892873557202</v>
      </c>
      <c r="U18" s="10">
        <f>IF(AND('[1]Pizza Sales Calculations'!G18=TRUE,'[1]Pizza Sales Calculations'!S18="TRUE"),T18*[1]Parameters!$B$40*2,0)</f>
        <v>0.32012129501258807</v>
      </c>
      <c r="V18">
        <f>INDEX([1]Parameters!$A$3:$C$5,MATCH('[1]Pizza Sales Calculations'!D18,[1]Parameters!$A$3:$A$5,0),2)</f>
        <v>10</v>
      </c>
      <c r="W18" t="e">
        <f>INDEX([1]Parameters!$A$3:$C$5,MATCH('[1]Pizza Sales Calculations'!E18,[1]Parameters!$A$3:$A$5,0),2)</f>
        <v>#N/A</v>
      </c>
      <c r="X18" t="e">
        <f>INDEX([1]Parameters!$A$3:$C$5,MATCH('[1]Pizza Sales Calculations'!F18,[1]Parameters!$A$3:$A$5,0),2)</f>
        <v>#N/A</v>
      </c>
    </row>
    <row r="19" spans="1:24" x14ac:dyDescent="0.3">
      <c r="A19">
        <v>18</v>
      </c>
      <c r="B19" s="14">
        <v>42370.52</v>
      </c>
      <c r="C19" s="14">
        <v>42370.530416666668</v>
      </c>
      <c r="D19" t="s">
        <v>4</v>
      </c>
      <c r="G19" t="b">
        <v>1</v>
      </c>
      <c r="H19">
        <v>70803</v>
      </c>
      <c r="I19" s="5">
        <v>4.4542171598828899</v>
      </c>
      <c r="J19" s="14">
        <v>42370.54587962963</v>
      </c>
      <c r="K19">
        <v>11.59</v>
      </c>
      <c r="L19" s="5">
        <f>('[1]Pizza Sales Calculations'!$J19-'[1]Pizza Sales Calculations'!$C19)*24*60</f>
        <v>22.266666664509103</v>
      </c>
      <c r="M19">
        <f>COUNTA('[1]Pizza Sales Calculations'!$D19:$F19)</f>
        <v>1</v>
      </c>
      <c r="N19">
        <f>IFERROR(VLOOKUP(D19,[1]Parameters!$A$3:$C$5,3,FALSE),0)</f>
        <v>1.7</v>
      </c>
      <c r="O19">
        <f>IFERROR(VLOOKUP(E19,[1]Parameters!$A$3:$C$5,3,FALSE),0)</f>
        <v>0</v>
      </c>
      <c r="P19">
        <f>IFERROR(VLOOKUP(F19,[1]Parameters!$A$3:$C$5,3,FALSE),0)</f>
        <v>0</v>
      </c>
      <c r="Q19">
        <f t="shared" si="0"/>
        <v>1.7</v>
      </c>
      <c r="R19" s="10">
        <f>IF('[1]Pizza Sales Calculations'!$G19=TRUE, [1]Parameters!$B$17*'[1]Pizza Sales Calculations'!$L19*2, 0)</f>
        <v>6.3088888882775791</v>
      </c>
      <c r="S19" t="str">
        <f>IF(I19&lt;[1]Parameters!$B$21,"TRUE","FALSE")</f>
        <v>FALSE</v>
      </c>
      <c r="T19" s="5">
        <f>(I19/[1]Parameters!$B$25)*60</f>
        <v>8.9084343197657798</v>
      </c>
      <c r="U19" s="10">
        <f>IF(AND('[1]Pizza Sales Calculations'!G19=TRUE,'[1]Pizza Sales Calculations'!S19="TRUE"),T19*[1]Parameters!$B$40*2,0)</f>
        <v>0</v>
      </c>
      <c r="V19">
        <f>INDEX([1]Parameters!$A$3:$C$5,MATCH('[1]Pizza Sales Calculations'!D19,[1]Parameters!$A$3:$A$5,0),2)</f>
        <v>10</v>
      </c>
      <c r="W19" t="e">
        <f>INDEX([1]Parameters!$A$3:$C$5,MATCH('[1]Pizza Sales Calculations'!E19,[1]Parameters!$A$3:$A$5,0),2)</f>
        <v>#N/A</v>
      </c>
      <c r="X19" t="e">
        <f>INDEX([1]Parameters!$A$3:$C$5,MATCH('[1]Pizza Sales Calculations'!F19,[1]Parameters!$A$3:$A$5,0),2)</f>
        <v>#N/A</v>
      </c>
    </row>
    <row r="20" spans="1:24" x14ac:dyDescent="0.3">
      <c r="A20">
        <v>19</v>
      </c>
      <c r="B20" s="14">
        <v>42370.531377314815</v>
      </c>
      <c r="C20" s="14">
        <v>42370.541770833333</v>
      </c>
      <c r="D20" t="s">
        <v>5</v>
      </c>
      <c r="G20" t="b">
        <v>1</v>
      </c>
      <c r="H20">
        <v>70803</v>
      </c>
      <c r="I20" s="5">
        <v>4.1472807620025902</v>
      </c>
      <c r="J20" s="14">
        <v>42370.556168981479</v>
      </c>
      <c r="K20">
        <v>15.35</v>
      </c>
      <c r="L20" s="5">
        <f>('[1]Pizza Sales Calculations'!$J20-'[1]Pizza Sales Calculations'!$C20)*24*60</f>
        <v>20.733333328971639</v>
      </c>
      <c r="M20">
        <f>COUNTA('[1]Pizza Sales Calculations'!$D20:$F20)</f>
        <v>1</v>
      </c>
      <c r="N20">
        <f>IFERROR(VLOOKUP(D20,[1]Parameters!$A$3:$C$5,3,FALSE),0)</f>
        <v>2.2999999999999998</v>
      </c>
      <c r="O20">
        <f>IFERROR(VLOOKUP(E20,[1]Parameters!$A$3:$C$5,3,FALSE),0)</f>
        <v>0</v>
      </c>
      <c r="P20">
        <f>IFERROR(VLOOKUP(F20,[1]Parameters!$A$3:$C$5,3,FALSE),0)</f>
        <v>0</v>
      </c>
      <c r="Q20">
        <f t="shared" si="0"/>
        <v>2.2999999999999998</v>
      </c>
      <c r="R20" s="10">
        <f>IF('[1]Pizza Sales Calculations'!$G20=TRUE, [1]Parameters!$B$17*'[1]Pizza Sales Calculations'!$L20*2, 0)</f>
        <v>5.8744444432086311</v>
      </c>
      <c r="S20" t="str">
        <f>IF(I20&lt;[1]Parameters!$B$21,"TRUE","FALSE")</f>
        <v>FALSE</v>
      </c>
      <c r="T20" s="5">
        <f>(I20/[1]Parameters!$B$25)*60</f>
        <v>8.2945615240051804</v>
      </c>
      <c r="U20" s="10">
        <f>IF(AND('[1]Pizza Sales Calculations'!G20=TRUE,'[1]Pizza Sales Calculations'!S20="TRUE"),T20*[1]Parameters!$B$40*2,0)</f>
        <v>0</v>
      </c>
      <c r="V20">
        <f>INDEX([1]Parameters!$A$3:$C$5,MATCH('[1]Pizza Sales Calculations'!D20,[1]Parameters!$A$3:$A$5,0),2)</f>
        <v>14</v>
      </c>
      <c r="W20" t="e">
        <f>INDEX([1]Parameters!$A$3:$C$5,MATCH('[1]Pizza Sales Calculations'!E20,[1]Parameters!$A$3:$A$5,0),2)</f>
        <v>#N/A</v>
      </c>
      <c r="X20" t="e">
        <f>INDEX([1]Parameters!$A$3:$C$5,MATCH('[1]Pizza Sales Calculations'!F20,[1]Parameters!$A$3:$A$5,0),2)</f>
        <v>#N/A</v>
      </c>
    </row>
    <row r="21" spans="1:24" x14ac:dyDescent="0.3">
      <c r="A21">
        <v>20</v>
      </c>
      <c r="B21" s="14">
        <v>42370.49428240741</v>
      </c>
      <c r="C21" s="14">
        <v>42370.504699074074</v>
      </c>
      <c r="D21" t="s">
        <v>5</v>
      </c>
      <c r="G21" t="b">
        <v>0</v>
      </c>
      <c r="H21">
        <v>70807</v>
      </c>
      <c r="I21" s="5">
        <v>0</v>
      </c>
      <c r="J21" s="14">
        <v>42370.506793981483</v>
      </c>
      <c r="K21">
        <v>15.35</v>
      </c>
      <c r="L21" s="5">
        <f>('[1]Pizza Sales Calculations'!$J21-'[1]Pizza Sales Calculations'!$C21)*24*60</f>
        <v>3.0166666698642075</v>
      </c>
      <c r="M21">
        <f>COUNTA('[1]Pizza Sales Calculations'!$D21:$F21)</f>
        <v>1</v>
      </c>
      <c r="N21">
        <f>IFERROR(VLOOKUP(D21,[1]Parameters!$A$3:$C$5,3,FALSE),0)</f>
        <v>2.2999999999999998</v>
      </c>
      <c r="O21">
        <f>IFERROR(VLOOKUP(E21,[1]Parameters!$A$3:$C$5,3,FALSE),0)</f>
        <v>0</v>
      </c>
      <c r="P21">
        <f>IFERROR(VLOOKUP(F21,[1]Parameters!$A$3:$C$5,3,FALSE),0)</f>
        <v>0</v>
      </c>
      <c r="Q21">
        <f t="shared" si="0"/>
        <v>2.2999999999999998</v>
      </c>
      <c r="R21" s="10">
        <f>IF('[1]Pizza Sales Calculations'!$G21=TRUE, [1]Parameters!$B$17*'[1]Pizza Sales Calculations'!$L21*2, 0)</f>
        <v>0</v>
      </c>
      <c r="S21" t="str">
        <f>IF(I21&lt;[1]Parameters!$B$21,"TRUE","FALSE")</f>
        <v>TRUE</v>
      </c>
      <c r="T21" s="5">
        <f>(I21/[1]Parameters!$B$25)*60</f>
        <v>0</v>
      </c>
      <c r="U21" s="10">
        <f>IF(AND('[1]Pizza Sales Calculations'!G21=TRUE,'[1]Pizza Sales Calculations'!S21="TRUE"),T21*[1]Parameters!$B$40*2,0)</f>
        <v>0</v>
      </c>
      <c r="V21">
        <f>INDEX([1]Parameters!$A$3:$C$5,MATCH('[1]Pizza Sales Calculations'!D21,[1]Parameters!$A$3:$A$5,0),2)</f>
        <v>14</v>
      </c>
      <c r="W21" t="e">
        <f>INDEX([1]Parameters!$A$3:$C$5,MATCH('[1]Pizza Sales Calculations'!E21,[1]Parameters!$A$3:$A$5,0),2)</f>
        <v>#N/A</v>
      </c>
      <c r="X21" t="e">
        <f>INDEX([1]Parameters!$A$3:$C$5,MATCH('[1]Pizza Sales Calculations'!F21,[1]Parameters!$A$3:$A$5,0),2)</f>
        <v>#N/A</v>
      </c>
    </row>
    <row r="22" spans="1:24" x14ac:dyDescent="0.3">
      <c r="A22">
        <v>21</v>
      </c>
      <c r="B22" s="14">
        <v>42370.430752314816</v>
      </c>
      <c r="C22" s="14">
        <v>42370.441157407404</v>
      </c>
      <c r="D22" t="s">
        <v>4</v>
      </c>
      <c r="G22" t="b">
        <v>1</v>
      </c>
      <c r="H22">
        <v>70804</v>
      </c>
      <c r="I22" s="5">
        <v>2.0976294495055101</v>
      </c>
      <c r="J22" s="14">
        <v>42370.448437500003</v>
      </c>
      <c r="K22">
        <v>11.59</v>
      </c>
      <c r="L22" s="5">
        <f>('[1]Pizza Sales Calculations'!$J22-'[1]Pizza Sales Calculations'!$C22)*24*60</f>
        <v>10.483333342708647</v>
      </c>
      <c r="M22">
        <f>COUNTA('[1]Pizza Sales Calculations'!$D22:$F22)</f>
        <v>1</v>
      </c>
      <c r="N22">
        <f>IFERROR(VLOOKUP(D22,[1]Parameters!$A$3:$C$5,3,FALSE),0)</f>
        <v>1.7</v>
      </c>
      <c r="O22">
        <f>IFERROR(VLOOKUP(E22,[1]Parameters!$A$3:$C$5,3,FALSE),0)</f>
        <v>0</v>
      </c>
      <c r="P22">
        <f>IFERROR(VLOOKUP(F22,[1]Parameters!$A$3:$C$5,3,FALSE),0)</f>
        <v>0</v>
      </c>
      <c r="Q22">
        <f t="shared" si="0"/>
        <v>1.7</v>
      </c>
      <c r="R22" s="10">
        <f>IF('[1]Pizza Sales Calculations'!$G22=TRUE, [1]Parameters!$B$17*'[1]Pizza Sales Calculations'!$L22*2, 0)</f>
        <v>2.9702777804341167</v>
      </c>
      <c r="S22" t="str">
        <f>IF(I22&lt;[1]Parameters!$B$21,"TRUE","FALSE")</f>
        <v>TRUE</v>
      </c>
      <c r="T22" s="5">
        <f>(I22/[1]Parameters!$B$25)*60</f>
        <v>4.1952588990110202</v>
      </c>
      <c r="U22" s="10">
        <f>IF(AND('[1]Pizza Sales Calculations'!G22=TRUE,'[1]Pizza Sales Calculations'!S22="TRUE"),T22*[1]Parameters!$B$40*2,0)</f>
        <v>0.26187908606789495</v>
      </c>
      <c r="V22">
        <f>INDEX([1]Parameters!$A$3:$C$5,MATCH('[1]Pizza Sales Calculations'!D22,[1]Parameters!$A$3:$A$5,0),2)</f>
        <v>10</v>
      </c>
      <c r="W22" t="e">
        <f>INDEX([1]Parameters!$A$3:$C$5,MATCH('[1]Pizza Sales Calculations'!E22,[1]Parameters!$A$3:$A$5,0),2)</f>
        <v>#N/A</v>
      </c>
      <c r="X22" t="e">
        <f>INDEX([1]Parameters!$A$3:$C$5,MATCH('[1]Pizza Sales Calculations'!F22,[1]Parameters!$A$3:$A$5,0),2)</f>
        <v>#N/A</v>
      </c>
    </row>
    <row r="23" spans="1:24" x14ac:dyDescent="0.3">
      <c r="A23">
        <v>22</v>
      </c>
      <c r="B23" s="14">
        <v>42370.425821759258</v>
      </c>
      <c r="C23" s="14">
        <v>42370.436249999999</v>
      </c>
      <c r="D23" t="s">
        <v>3</v>
      </c>
      <c r="G23" t="b">
        <v>0</v>
      </c>
      <c r="H23">
        <v>70805</v>
      </c>
      <c r="I23" s="5">
        <v>0</v>
      </c>
      <c r="J23" s="14">
        <v>42370.438344907408</v>
      </c>
      <c r="K23">
        <v>7.99</v>
      </c>
      <c r="L23" s="5">
        <f>('[1]Pizza Sales Calculations'!$J23-'[1]Pizza Sales Calculations'!$C23)*24*60</f>
        <v>3.0166666698642075</v>
      </c>
      <c r="M23">
        <f>COUNTA('[1]Pizza Sales Calculations'!$D23:$F23)</f>
        <v>1</v>
      </c>
      <c r="N23">
        <f>IFERROR(VLOOKUP(D23,[1]Parameters!$A$3:$C$5,3,FALSE),0)</f>
        <v>1</v>
      </c>
      <c r="O23">
        <f>IFERROR(VLOOKUP(E23,[1]Parameters!$A$3:$C$5,3,FALSE),0)</f>
        <v>0</v>
      </c>
      <c r="P23">
        <f>IFERROR(VLOOKUP(F23,[1]Parameters!$A$3:$C$5,3,FALSE),0)</f>
        <v>0</v>
      </c>
      <c r="Q23">
        <f t="shared" si="0"/>
        <v>1</v>
      </c>
      <c r="R23" s="10">
        <f>IF('[1]Pizza Sales Calculations'!$G23=TRUE, [1]Parameters!$B$17*'[1]Pizza Sales Calculations'!$L23*2, 0)</f>
        <v>0</v>
      </c>
      <c r="S23" t="str">
        <f>IF(I23&lt;[1]Parameters!$B$21,"TRUE","FALSE")</f>
        <v>TRUE</v>
      </c>
      <c r="T23" s="5">
        <f>(I23/[1]Parameters!$B$25)*60</f>
        <v>0</v>
      </c>
      <c r="U23" s="10">
        <f>IF(AND('[1]Pizza Sales Calculations'!G23=TRUE,'[1]Pizza Sales Calculations'!S23="TRUE"),T23*[1]Parameters!$B$40*2,0)</f>
        <v>0</v>
      </c>
      <c r="V23">
        <f>INDEX([1]Parameters!$A$3:$C$5,MATCH('[1]Pizza Sales Calculations'!D23,[1]Parameters!$A$3:$A$5,0),2)</f>
        <v>7</v>
      </c>
      <c r="W23" t="e">
        <f>INDEX([1]Parameters!$A$3:$C$5,MATCH('[1]Pizza Sales Calculations'!E23,[1]Parameters!$A$3:$A$5,0),2)</f>
        <v>#N/A</v>
      </c>
      <c r="X23" t="e">
        <f>INDEX([1]Parameters!$A$3:$C$5,MATCH('[1]Pizza Sales Calculations'!F23,[1]Parameters!$A$3:$A$5,0),2)</f>
        <v>#N/A</v>
      </c>
    </row>
    <row r="24" spans="1:24" x14ac:dyDescent="0.3">
      <c r="A24">
        <v>23</v>
      </c>
      <c r="B24" s="14">
        <v>42370.528402777774</v>
      </c>
      <c r="C24" s="14">
        <v>42370.538819444446</v>
      </c>
      <c r="D24" t="s">
        <v>5</v>
      </c>
      <c r="G24" t="b">
        <v>1</v>
      </c>
      <c r="H24">
        <v>70805</v>
      </c>
      <c r="I24" s="5">
        <v>2.5751772916617801</v>
      </c>
      <c r="J24" s="14">
        <v>42370.547754629632</v>
      </c>
      <c r="K24">
        <v>15.35</v>
      </c>
      <c r="L24" s="5">
        <f>('[1]Pizza Sales Calculations'!$J24-'[1]Pizza Sales Calculations'!$C24)*24*60</f>
        <v>12.866666667396203</v>
      </c>
      <c r="M24">
        <f>COUNTA('[1]Pizza Sales Calculations'!$D24:$F24)</f>
        <v>1</v>
      </c>
      <c r="N24">
        <f>IFERROR(VLOOKUP(D24,[1]Parameters!$A$3:$C$5,3,FALSE),0)</f>
        <v>2.2999999999999998</v>
      </c>
      <c r="O24">
        <f>IFERROR(VLOOKUP(E24,[1]Parameters!$A$3:$C$5,3,FALSE),0)</f>
        <v>0</v>
      </c>
      <c r="P24">
        <f>IFERROR(VLOOKUP(F24,[1]Parameters!$A$3:$C$5,3,FALSE),0)</f>
        <v>0</v>
      </c>
      <c r="Q24">
        <f t="shared" si="0"/>
        <v>2.2999999999999998</v>
      </c>
      <c r="R24" s="10">
        <f>IF('[1]Pizza Sales Calculations'!$G24=TRUE, [1]Parameters!$B$17*'[1]Pizza Sales Calculations'!$L24*2, 0)</f>
        <v>3.6455555557622574</v>
      </c>
      <c r="S24" t="str">
        <f>IF(I24&lt;[1]Parameters!$B$21,"TRUE","FALSE")</f>
        <v>TRUE</v>
      </c>
      <c r="T24" s="5">
        <f>(I24/[1]Parameters!$B$25)*60</f>
        <v>5.1503545833235602</v>
      </c>
      <c r="U24" s="10">
        <f>IF(AND('[1]Pizza Sales Calculations'!G24=TRUE,'[1]Pizza Sales Calculations'!S24="TRUE"),T24*[1]Parameters!$B$40*2,0)</f>
        <v>0.32149866877687178</v>
      </c>
      <c r="V24">
        <f>INDEX([1]Parameters!$A$3:$C$5,MATCH('[1]Pizza Sales Calculations'!D24,[1]Parameters!$A$3:$A$5,0),2)</f>
        <v>14</v>
      </c>
      <c r="W24" t="e">
        <f>INDEX([1]Parameters!$A$3:$C$5,MATCH('[1]Pizza Sales Calculations'!E24,[1]Parameters!$A$3:$A$5,0),2)</f>
        <v>#N/A</v>
      </c>
      <c r="X24" t="e">
        <f>INDEX([1]Parameters!$A$3:$C$5,MATCH('[1]Pizza Sales Calculations'!F24,[1]Parameters!$A$3:$A$5,0),2)</f>
        <v>#N/A</v>
      </c>
    </row>
    <row r="25" spans="1:24" x14ac:dyDescent="0.3">
      <c r="A25">
        <v>24</v>
      </c>
      <c r="B25" s="14">
        <v>42370.525324074071</v>
      </c>
      <c r="C25" s="14">
        <v>42370.535717592589</v>
      </c>
      <c r="D25" t="s">
        <v>4</v>
      </c>
      <c r="G25" t="b">
        <v>1</v>
      </c>
      <c r="H25">
        <v>70804</v>
      </c>
      <c r="I25" s="5">
        <v>4.1683095170733999</v>
      </c>
      <c r="J25" s="14">
        <v>42370.550185185188</v>
      </c>
      <c r="K25">
        <v>11.59</v>
      </c>
      <c r="L25" s="5">
        <f>('[1]Pizza Sales Calculations'!$J25-'[1]Pizza Sales Calculations'!$C25)*24*60</f>
        <v>20.833333341870457</v>
      </c>
      <c r="M25">
        <f>COUNTA('[1]Pizza Sales Calculations'!$D25:$F25)</f>
        <v>1</v>
      </c>
      <c r="N25">
        <f>IFERROR(VLOOKUP(D25,[1]Parameters!$A$3:$C$5,3,FALSE),0)</f>
        <v>1.7</v>
      </c>
      <c r="O25">
        <f>IFERROR(VLOOKUP(E25,[1]Parameters!$A$3:$C$5,3,FALSE),0)</f>
        <v>0</v>
      </c>
      <c r="P25">
        <f>IFERROR(VLOOKUP(F25,[1]Parameters!$A$3:$C$5,3,FALSE),0)</f>
        <v>0</v>
      </c>
      <c r="Q25">
        <f t="shared" si="0"/>
        <v>1.7</v>
      </c>
      <c r="R25" s="10">
        <f>IF('[1]Pizza Sales Calculations'!$G25=TRUE, [1]Parameters!$B$17*'[1]Pizza Sales Calculations'!$L25*2, 0)</f>
        <v>5.9027777801966295</v>
      </c>
      <c r="S25" t="str">
        <f>IF(I25&lt;[1]Parameters!$B$21,"TRUE","FALSE")</f>
        <v>FALSE</v>
      </c>
      <c r="T25" s="5">
        <f>(I25/[1]Parameters!$B$25)*60</f>
        <v>8.3366190341467998</v>
      </c>
      <c r="U25" s="10">
        <f>IF(AND('[1]Pizza Sales Calculations'!G25=TRUE,'[1]Pizza Sales Calculations'!S25="TRUE"),T25*[1]Parameters!$B$40*2,0)</f>
        <v>0</v>
      </c>
      <c r="V25">
        <f>INDEX([1]Parameters!$A$3:$C$5,MATCH('[1]Pizza Sales Calculations'!D25,[1]Parameters!$A$3:$A$5,0),2)</f>
        <v>10</v>
      </c>
      <c r="W25" t="e">
        <f>INDEX([1]Parameters!$A$3:$C$5,MATCH('[1]Pizza Sales Calculations'!E25,[1]Parameters!$A$3:$A$5,0),2)</f>
        <v>#N/A</v>
      </c>
      <c r="X25" t="e">
        <f>INDEX([1]Parameters!$A$3:$C$5,MATCH('[1]Pizza Sales Calculations'!F25,[1]Parameters!$A$3:$A$5,0),2)</f>
        <v>#N/A</v>
      </c>
    </row>
    <row r="26" spans="1:24" x14ac:dyDescent="0.3">
      <c r="A26">
        <v>25</v>
      </c>
      <c r="B26" s="14">
        <v>42370.438831018517</v>
      </c>
      <c r="C26" s="14">
        <v>42370.449259259258</v>
      </c>
      <c r="D26" t="s">
        <v>4</v>
      </c>
      <c r="E26" t="s">
        <v>5</v>
      </c>
      <c r="G26" t="b">
        <v>1</v>
      </c>
      <c r="H26">
        <v>70804</v>
      </c>
      <c r="I26" s="5">
        <v>1.96784533268511</v>
      </c>
      <c r="J26" s="14">
        <v>42370.456087962964</v>
      </c>
      <c r="K26">
        <v>25.94</v>
      </c>
      <c r="L26" s="5">
        <f>('[1]Pizza Sales Calculations'!$J26-'[1]Pizza Sales Calculations'!$C26)*24*60</f>
        <v>9.8333333374466747</v>
      </c>
      <c r="M26">
        <f>COUNTA('[1]Pizza Sales Calculations'!$D26:$F26)</f>
        <v>2</v>
      </c>
      <c r="N26">
        <f>IFERROR(VLOOKUP(D26,[1]Parameters!$A$3:$C$5,3,FALSE),0)</f>
        <v>1.7</v>
      </c>
      <c r="O26">
        <f>IFERROR(VLOOKUP(E26,[1]Parameters!$A$3:$C$5,3,FALSE),0)</f>
        <v>2.2999999999999998</v>
      </c>
      <c r="P26">
        <f>IFERROR(VLOOKUP(F26,[1]Parameters!$A$3:$C$5,3,FALSE),0)</f>
        <v>0</v>
      </c>
      <c r="Q26">
        <f t="shared" si="0"/>
        <v>4</v>
      </c>
      <c r="R26" s="10">
        <f>IF('[1]Pizza Sales Calculations'!$G26=TRUE, [1]Parameters!$B$17*'[1]Pizza Sales Calculations'!$L26*2, 0)</f>
        <v>2.7861111122765578</v>
      </c>
      <c r="S26" t="str">
        <f>IF(I26&lt;[1]Parameters!$B$21,"TRUE","FALSE")</f>
        <v>TRUE</v>
      </c>
      <c r="T26" s="5">
        <f>(I26/[1]Parameters!$B$25)*60</f>
        <v>3.9356906653702199</v>
      </c>
      <c r="U26" s="10">
        <f>IF(AND('[1]Pizza Sales Calculations'!G26=TRUE,'[1]Pizza Sales Calculations'!S26="TRUE"),T26*[1]Parameters!$B$40*2,0)</f>
        <v>0.24567615475079913</v>
      </c>
      <c r="V26">
        <f>INDEX([1]Parameters!$A$3:$C$5,MATCH('[1]Pizza Sales Calculations'!D26,[1]Parameters!$A$3:$A$5,0),2)</f>
        <v>10</v>
      </c>
      <c r="W26">
        <f>INDEX([1]Parameters!$A$3:$C$5,MATCH('[1]Pizza Sales Calculations'!E26,[1]Parameters!$A$3:$A$5,0),2)</f>
        <v>14</v>
      </c>
      <c r="X26" t="e">
        <f>INDEX([1]Parameters!$A$3:$C$5,MATCH('[1]Pizza Sales Calculations'!F26,[1]Parameters!$A$3:$A$5,0),2)</f>
        <v>#N/A</v>
      </c>
    </row>
    <row r="27" spans="1:24" x14ac:dyDescent="0.3">
      <c r="A27">
        <v>26</v>
      </c>
      <c r="B27" s="14">
        <v>42370.471377314818</v>
      </c>
      <c r="C27" s="14">
        <v>42370.481805555559</v>
      </c>
      <c r="D27" t="s">
        <v>3</v>
      </c>
      <c r="E27" t="s">
        <v>5</v>
      </c>
      <c r="G27" t="b">
        <v>0</v>
      </c>
      <c r="H27">
        <v>70807</v>
      </c>
      <c r="I27" s="5">
        <v>0</v>
      </c>
      <c r="J27" s="14">
        <v>42370.483865740738</v>
      </c>
      <c r="K27">
        <v>23.34</v>
      </c>
      <c r="L27" s="5">
        <f>('[1]Pizza Sales Calculations'!$J27-'[1]Pizza Sales Calculations'!$C27)*24*60</f>
        <v>2.9666666581761092</v>
      </c>
      <c r="M27">
        <f>COUNTA('[1]Pizza Sales Calculations'!$D27:$F27)</f>
        <v>2</v>
      </c>
      <c r="N27">
        <f>IFERROR(VLOOKUP(D27,[1]Parameters!$A$3:$C$5,3,FALSE),0)</f>
        <v>1</v>
      </c>
      <c r="O27">
        <f>IFERROR(VLOOKUP(E27,[1]Parameters!$A$3:$C$5,3,FALSE),0)</f>
        <v>2.2999999999999998</v>
      </c>
      <c r="P27">
        <f>IFERROR(VLOOKUP(F27,[1]Parameters!$A$3:$C$5,3,FALSE),0)</f>
        <v>0</v>
      </c>
      <c r="Q27">
        <f t="shared" si="0"/>
        <v>3.3</v>
      </c>
      <c r="R27" s="10">
        <f>IF('[1]Pizza Sales Calculations'!$G27=TRUE, [1]Parameters!$B$17*'[1]Pizza Sales Calculations'!$L27*2, 0)</f>
        <v>0</v>
      </c>
      <c r="S27" t="str">
        <f>IF(I27&lt;[1]Parameters!$B$21,"TRUE","FALSE")</f>
        <v>TRUE</v>
      </c>
      <c r="T27" s="5">
        <f>(I27/[1]Parameters!$B$25)*60</f>
        <v>0</v>
      </c>
      <c r="U27" s="10">
        <f>IF(AND('[1]Pizza Sales Calculations'!G27=TRUE,'[1]Pizza Sales Calculations'!S27="TRUE"),T27*[1]Parameters!$B$40*2,0)</f>
        <v>0</v>
      </c>
      <c r="V27">
        <f>INDEX([1]Parameters!$A$3:$C$5,MATCH('[1]Pizza Sales Calculations'!D27,[1]Parameters!$A$3:$A$5,0),2)</f>
        <v>7</v>
      </c>
      <c r="W27">
        <f>INDEX([1]Parameters!$A$3:$C$5,MATCH('[1]Pizza Sales Calculations'!E27,[1]Parameters!$A$3:$A$5,0),2)</f>
        <v>14</v>
      </c>
      <c r="X27" t="e">
        <f>INDEX([1]Parameters!$A$3:$C$5,MATCH('[1]Pizza Sales Calculations'!F27,[1]Parameters!$A$3:$A$5,0),2)</f>
        <v>#N/A</v>
      </c>
    </row>
    <row r="28" spans="1:24" x14ac:dyDescent="0.3">
      <c r="A28">
        <v>27</v>
      </c>
      <c r="B28" s="14">
        <v>42371.522881944446</v>
      </c>
      <c r="C28" s="14">
        <v>42371.533263888887</v>
      </c>
      <c r="D28" t="s">
        <v>3</v>
      </c>
      <c r="E28" t="s">
        <v>4</v>
      </c>
      <c r="G28" t="b">
        <v>1</v>
      </c>
      <c r="H28">
        <v>70806</v>
      </c>
      <c r="I28" s="5">
        <v>3.61264885489445</v>
      </c>
      <c r="J28" s="14">
        <v>42371.545798611114</v>
      </c>
      <c r="K28">
        <v>19.579999999999998</v>
      </c>
      <c r="L28" s="5">
        <f>('[1]Pizza Sales Calculations'!$J28-'[1]Pizza Sales Calculations'!$C28)*24*60</f>
        <v>18.050000007497147</v>
      </c>
      <c r="M28">
        <f>COUNTA('[1]Pizza Sales Calculations'!$D28:$F28)</f>
        <v>2</v>
      </c>
      <c r="N28">
        <f>IFERROR(VLOOKUP(D28,[1]Parameters!$A$3:$C$5,3,FALSE),0)</f>
        <v>1</v>
      </c>
      <c r="O28">
        <f>IFERROR(VLOOKUP(E28,[1]Parameters!$A$3:$C$5,3,FALSE),0)</f>
        <v>1.7</v>
      </c>
      <c r="P28">
        <f>IFERROR(VLOOKUP(F28,[1]Parameters!$A$3:$C$5,3,FALSE),0)</f>
        <v>0</v>
      </c>
      <c r="Q28">
        <f t="shared" si="0"/>
        <v>2.7</v>
      </c>
      <c r="R28" s="10">
        <f>IF('[1]Pizza Sales Calculations'!$G28=TRUE, [1]Parameters!$B$17*'[1]Pizza Sales Calculations'!$L28*2, 0)</f>
        <v>5.1141666687908582</v>
      </c>
      <c r="S28" t="str">
        <f>IF(I28&lt;[1]Parameters!$B$21,"TRUE","FALSE")</f>
        <v>FALSE</v>
      </c>
      <c r="T28" s="5">
        <f>(I28/[1]Parameters!$B$25)*60</f>
        <v>7.2252977097889</v>
      </c>
      <c r="U28" s="10">
        <f>IF(AND('[1]Pizza Sales Calculations'!G28=TRUE,'[1]Pizza Sales Calculations'!S28="TRUE"),T28*[1]Parameters!$B$40*2,0)</f>
        <v>0</v>
      </c>
      <c r="V28">
        <f>INDEX([1]Parameters!$A$3:$C$5,MATCH('[1]Pizza Sales Calculations'!D28,[1]Parameters!$A$3:$A$5,0),2)</f>
        <v>7</v>
      </c>
      <c r="W28">
        <f>INDEX([1]Parameters!$A$3:$C$5,MATCH('[1]Pizza Sales Calculations'!E28,[1]Parameters!$A$3:$A$5,0),2)</f>
        <v>10</v>
      </c>
      <c r="X28" t="e">
        <f>INDEX([1]Parameters!$A$3:$C$5,MATCH('[1]Pizza Sales Calculations'!F28,[1]Parameters!$A$3:$A$5,0),2)</f>
        <v>#N/A</v>
      </c>
    </row>
    <row r="29" spans="1:24" x14ac:dyDescent="0.3">
      <c r="A29">
        <v>28</v>
      </c>
      <c r="B29" s="14">
        <v>42371.508171296293</v>
      </c>
      <c r="C29" s="14">
        <v>42371.518564814818</v>
      </c>
      <c r="D29" t="s">
        <v>3</v>
      </c>
      <c r="G29" t="b">
        <v>0</v>
      </c>
      <c r="H29">
        <v>70803</v>
      </c>
      <c r="I29" s="5">
        <v>0</v>
      </c>
      <c r="J29" s="14">
        <v>42371.520648148151</v>
      </c>
      <c r="K29">
        <v>7.99</v>
      </c>
      <c r="L29" s="5">
        <f>('[1]Pizza Sales Calculations'!$J29-'[1]Pizza Sales Calculations'!$C29)*24*60</f>
        <v>2.9999999993015081</v>
      </c>
      <c r="M29">
        <f>COUNTA('[1]Pizza Sales Calculations'!$D29:$F29)</f>
        <v>1</v>
      </c>
      <c r="N29">
        <f>IFERROR(VLOOKUP(D29,[1]Parameters!$A$3:$C$5,3,FALSE),0)</f>
        <v>1</v>
      </c>
      <c r="O29">
        <f>IFERROR(VLOOKUP(E29,[1]Parameters!$A$3:$C$5,3,FALSE),0)</f>
        <v>0</v>
      </c>
      <c r="P29">
        <f>IFERROR(VLOOKUP(F29,[1]Parameters!$A$3:$C$5,3,FALSE),0)</f>
        <v>0</v>
      </c>
      <c r="Q29">
        <f t="shared" si="0"/>
        <v>1</v>
      </c>
      <c r="R29" s="10">
        <f>IF('[1]Pizza Sales Calculations'!$G29=TRUE, [1]Parameters!$B$17*'[1]Pizza Sales Calculations'!$L29*2, 0)</f>
        <v>0</v>
      </c>
      <c r="S29" t="str">
        <f>IF(I29&lt;[1]Parameters!$B$21,"TRUE","FALSE")</f>
        <v>TRUE</v>
      </c>
      <c r="T29" s="5">
        <f>(I29/[1]Parameters!$B$25)*60</f>
        <v>0</v>
      </c>
      <c r="U29" s="10">
        <f>IF(AND('[1]Pizza Sales Calculations'!G29=TRUE,'[1]Pizza Sales Calculations'!S29="TRUE"),T29*[1]Parameters!$B$40*2,0)</f>
        <v>0</v>
      </c>
      <c r="V29">
        <f>INDEX([1]Parameters!$A$3:$C$5,MATCH('[1]Pizza Sales Calculations'!D29,[1]Parameters!$A$3:$A$5,0),2)</f>
        <v>7</v>
      </c>
      <c r="W29" t="e">
        <f>INDEX([1]Parameters!$A$3:$C$5,MATCH('[1]Pizza Sales Calculations'!E29,[1]Parameters!$A$3:$A$5,0),2)</f>
        <v>#N/A</v>
      </c>
      <c r="X29" t="e">
        <f>INDEX([1]Parameters!$A$3:$C$5,MATCH('[1]Pizza Sales Calculations'!F29,[1]Parameters!$A$3:$A$5,0),2)</f>
        <v>#N/A</v>
      </c>
    </row>
    <row r="30" spans="1:24" x14ac:dyDescent="0.3">
      <c r="A30">
        <v>29</v>
      </c>
      <c r="B30" s="14">
        <v>42371.458506944444</v>
      </c>
      <c r="C30" s="14">
        <v>42371.468923611108</v>
      </c>
      <c r="D30" t="s">
        <v>5</v>
      </c>
      <c r="G30" t="b">
        <v>0</v>
      </c>
      <c r="H30">
        <v>70805</v>
      </c>
      <c r="I30" s="5">
        <v>0</v>
      </c>
      <c r="J30" s="14">
        <v>42371.470995370371</v>
      </c>
      <c r="K30">
        <v>15.35</v>
      </c>
      <c r="L30" s="5">
        <f>('[1]Pizza Sales Calculations'!$J30-'[1]Pizza Sales Calculations'!$C30)*24*60</f>
        <v>2.9833333392161876</v>
      </c>
      <c r="M30">
        <f>COUNTA('[1]Pizza Sales Calculations'!$D30:$F30)</f>
        <v>1</v>
      </c>
      <c r="N30">
        <f>IFERROR(VLOOKUP(D30,[1]Parameters!$A$3:$C$5,3,FALSE),0)</f>
        <v>2.2999999999999998</v>
      </c>
      <c r="O30">
        <f>IFERROR(VLOOKUP(E30,[1]Parameters!$A$3:$C$5,3,FALSE),0)</f>
        <v>0</v>
      </c>
      <c r="P30">
        <f>IFERROR(VLOOKUP(F30,[1]Parameters!$A$3:$C$5,3,FALSE),0)</f>
        <v>0</v>
      </c>
      <c r="Q30">
        <f t="shared" si="0"/>
        <v>2.2999999999999998</v>
      </c>
      <c r="R30" s="10">
        <f>IF('[1]Pizza Sales Calculations'!$G30=TRUE, [1]Parameters!$B$17*'[1]Pizza Sales Calculations'!$L30*2, 0)</f>
        <v>0</v>
      </c>
      <c r="S30" t="str">
        <f>IF(I30&lt;[1]Parameters!$B$21,"TRUE","FALSE")</f>
        <v>TRUE</v>
      </c>
      <c r="T30" s="5">
        <f>(I30/[1]Parameters!$B$25)*60</f>
        <v>0</v>
      </c>
      <c r="U30" s="10">
        <f>IF(AND('[1]Pizza Sales Calculations'!G30=TRUE,'[1]Pizza Sales Calculations'!S30="TRUE"),T30*[1]Parameters!$B$40*2,0)</f>
        <v>0</v>
      </c>
      <c r="V30">
        <f>INDEX([1]Parameters!$A$3:$C$5,MATCH('[1]Pizza Sales Calculations'!D30,[1]Parameters!$A$3:$A$5,0),2)</f>
        <v>14</v>
      </c>
      <c r="W30" t="e">
        <f>INDEX([1]Parameters!$A$3:$C$5,MATCH('[1]Pizza Sales Calculations'!E30,[1]Parameters!$A$3:$A$5,0),2)</f>
        <v>#N/A</v>
      </c>
      <c r="X30" t="e">
        <f>INDEX([1]Parameters!$A$3:$C$5,MATCH('[1]Pizza Sales Calculations'!F30,[1]Parameters!$A$3:$A$5,0),2)</f>
        <v>#N/A</v>
      </c>
    </row>
    <row r="31" spans="1:24" x14ac:dyDescent="0.3">
      <c r="A31">
        <v>30</v>
      </c>
      <c r="B31" s="14">
        <v>42371.548993055556</v>
      </c>
      <c r="C31" s="14">
        <v>42371.55940972222</v>
      </c>
      <c r="D31" t="s">
        <v>4</v>
      </c>
      <c r="G31" t="b">
        <v>1</v>
      </c>
      <c r="H31">
        <v>70805</v>
      </c>
      <c r="I31" s="5">
        <v>2.9869999056655501</v>
      </c>
      <c r="J31" s="14">
        <v>42371.569780092592</v>
      </c>
      <c r="K31">
        <v>11.59</v>
      </c>
      <c r="L31" s="5">
        <f>('[1]Pizza Sales Calculations'!$J31-'[1]Pizza Sales Calculations'!$C31)*24*60</f>
        <v>14.933333335211501</v>
      </c>
      <c r="M31">
        <f>COUNTA('[1]Pizza Sales Calculations'!$D31:$F31)</f>
        <v>1</v>
      </c>
      <c r="N31">
        <f>IFERROR(VLOOKUP(D31,[1]Parameters!$A$3:$C$5,3,FALSE),0)</f>
        <v>1.7</v>
      </c>
      <c r="O31">
        <f>IFERROR(VLOOKUP(E31,[1]Parameters!$A$3:$C$5,3,FALSE),0)</f>
        <v>0</v>
      </c>
      <c r="P31">
        <f>IFERROR(VLOOKUP(F31,[1]Parameters!$A$3:$C$5,3,FALSE),0)</f>
        <v>0</v>
      </c>
      <c r="Q31">
        <f t="shared" si="0"/>
        <v>1.7</v>
      </c>
      <c r="R31" s="10">
        <f>IF('[1]Pizza Sales Calculations'!$G31=TRUE, [1]Parameters!$B$17*'[1]Pizza Sales Calculations'!$L31*2, 0)</f>
        <v>4.2311111116432585</v>
      </c>
      <c r="S31" t="str">
        <f>IF(I31&lt;[1]Parameters!$B$21,"TRUE","FALSE")</f>
        <v>TRUE</v>
      </c>
      <c r="T31" s="5">
        <f>(I31/[1]Parameters!$B$25)*60</f>
        <v>5.9739998113311001</v>
      </c>
      <c r="U31" s="10">
        <f>IF(AND('[1]Pizza Sales Calculations'!G31=TRUE,'[1]Pizza Sales Calculations'!S31="TRUE"),T31*[1]Parameters!$B$40*2,0)</f>
        <v>0.37291276853735261</v>
      </c>
      <c r="V31">
        <f>INDEX([1]Parameters!$A$3:$C$5,MATCH('[1]Pizza Sales Calculations'!D31,[1]Parameters!$A$3:$A$5,0),2)</f>
        <v>10</v>
      </c>
      <c r="W31" t="e">
        <f>INDEX([1]Parameters!$A$3:$C$5,MATCH('[1]Pizza Sales Calculations'!E31,[1]Parameters!$A$3:$A$5,0),2)</f>
        <v>#N/A</v>
      </c>
      <c r="X31" t="e">
        <f>INDEX([1]Parameters!$A$3:$C$5,MATCH('[1]Pizza Sales Calculations'!F31,[1]Parameters!$A$3:$A$5,0),2)</f>
        <v>#N/A</v>
      </c>
    </row>
    <row r="32" spans="1:24" x14ac:dyDescent="0.3">
      <c r="A32">
        <v>31</v>
      </c>
      <c r="B32" s="14">
        <v>42371.512812499997</v>
      </c>
      <c r="C32" s="14">
        <v>42371.523240740738</v>
      </c>
      <c r="D32" t="s">
        <v>5</v>
      </c>
      <c r="G32" t="b">
        <v>0</v>
      </c>
      <c r="H32">
        <v>70804</v>
      </c>
      <c r="I32" s="5">
        <v>0</v>
      </c>
      <c r="J32" s="14">
        <v>42371.525289351855</v>
      </c>
      <c r="K32">
        <v>15.35</v>
      </c>
      <c r="L32" s="5">
        <f>('[1]Pizza Sales Calculations'!$J32-'[1]Pizza Sales Calculations'!$C32)*24*60</f>
        <v>2.9500000085681677</v>
      </c>
      <c r="M32">
        <f>COUNTA('[1]Pizza Sales Calculations'!$D32:$F32)</f>
        <v>1</v>
      </c>
      <c r="N32">
        <f>IFERROR(VLOOKUP(D32,[1]Parameters!$A$3:$C$5,3,FALSE),0)</f>
        <v>2.2999999999999998</v>
      </c>
      <c r="O32">
        <f>IFERROR(VLOOKUP(E32,[1]Parameters!$A$3:$C$5,3,FALSE),0)</f>
        <v>0</v>
      </c>
      <c r="P32">
        <f>IFERROR(VLOOKUP(F32,[1]Parameters!$A$3:$C$5,3,FALSE),0)</f>
        <v>0</v>
      </c>
      <c r="Q32">
        <f t="shared" si="0"/>
        <v>2.2999999999999998</v>
      </c>
      <c r="R32" s="10">
        <f>IF('[1]Pizza Sales Calculations'!$G32=TRUE, [1]Parameters!$B$17*'[1]Pizza Sales Calculations'!$L32*2, 0)</f>
        <v>0</v>
      </c>
      <c r="S32" t="str">
        <f>IF(I32&lt;[1]Parameters!$B$21,"TRUE","FALSE")</f>
        <v>TRUE</v>
      </c>
      <c r="T32" s="5">
        <f>(I32/[1]Parameters!$B$25)*60</f>
        <v>0</v>
      </c>
      <c r="U32" s="10">
        <f>IF(AND('[1]Pizza Sales Calculations'!G32=TRUE,'[1]Pizza Sales Calculations'!S32="TRUE"),T32*[1]Parameters!$B$40*2,0)</f>
        <v>0</v>
      </c>
      <c r="V32">
        <f>INDEX([1]Parameters!$A$3:$C$5,MATCH('[1]Pizza Sales Calculations'!D32,[1]Parameters!$A$3:$A$5,0),2)</f>
        <v>14</v>
      </c>
      <c r="W32" t="e">
        <f>INDEX([1]Parameters!$A$3:$C$5,MATCH('[1]Pizza Sales Calculations'!E32,[1]Parameters!$A$3:$A$5,0),2)</f>
        <v>#N/A</v>
      </c>
      <c r="X32" t="e">
        <f>INDEX([1]Parameters!$A$3:$C$5,MATCH('[1]Pizza Sales Calculations'!F32,[1]Parameters!$A$3:$A$5,0),2)</f>
        <v>#N/A</v>
      </c>
    </row>
    <row r="33" spans="1:24" x14ac:dyDescent="0.3">
      <c r="A33">
        <v>32</v>
      </c>
      <c r="B33" s="14">
        <v>42371.5234837963</v>
      </c>
      <c r="C33" s="14">
        <v>42371.533900462964</v>
      </c>
      <c r="D33" t="s">
        <v>4</v>
      </c>
      <c r="G33" t="b">
        <v>1</v>
      </c>
      <c r="H33">
        <v>70805</v>
      </c>
      <c r="I33" s="5">
        <v>1.875019619431</v>
      </c>
      <c r="J33" s="14">
        <v>42371.540405092594</v>
      </c>
      <c r="K33">
        <v>11.59</v>
      </c>
      <c r="L33" s="5">
        <f>('[1]Pizza Sales Calculations'!$J33-'[1]Pizza Sales Calculations'!$C33)*24*60</f>
        <v>9.3666666664648801</v>
      </c>
      <c r="M33">
        <f>COUNTA('[1]Pizza Sales Calculations'!$D33:$F33)</f>
        <v>1</v>
      </c>
      <c r="N33">
        <f>IFERROR(VLOOKUP(D33,[1]Parameters!$A$3:$C$5,3,FALSE),0)</f>
        <v>1.7</v>
      </c>
      <c r="O33">
        <f>IFERROR(VLOOKUP(E33,[1]Parameters!$A$3:$C$5,3,FALSE),0)</f>
        <v>0</v>
      </c>
      <c r="P33">
        <f>IFERROR(VLOOKUP(F33,[1]Parameters!$A$3:$C$5,3,FALSE),0)</f>
        <v>0</v>
      </c>
      <c r="Q33">
        <f t="shared" si="0"/>
        <v>1.7</v>
      </c>
      <c r="R33" s="10">
        <f>IF('[1]Pizza Sales Calculations'!$G33=TRUE, [1]Parameters!$B$17*'[1]Pizza Sales Calculations'!$L33*2, 0)</f>
        <v>2.653888888831716</v>
      </c>
      <c r="S33" t="str">
        <f>IF(I33&lt;[1]Parameters!$B$21,"TRUE","FALSE")</f>
        <v>TRUE</v>
      </c>
      <c r="T33" s="5">
        <f>(I33/[1]Parameters!$B$25)*60</f>
        <v>3.7500392388620005</v>
      </c>
      <c r="U33" s="10">
        <f>IF(AND('[1]Pizza Sales Calculations'!G33=TRUE,'[1]Pizza Sales Calculations'!S33="TRUE"),T33*[1]Parameters!$B$40*2,0)</f>
        <v>0.2340873047962386</v>
      </c>
      <c r="V33">
        <f>INDEX([1]Parameters!$A$3:$C$5,MATCH('[1]Pizza Sales Calculations'!D33,[1]Parameters!$A$3:$A$5,0),2)</f>
        <v>10</v>
      </c>
      <c r="W33" t="e">
        <f>INDEX([1]Parameters!$A$3:$C$5,MATCH('[1]Pizza Sales Calculations'!E33,[1]Parameters!$A$3:$A$5,0),2)</f>
        <v>#N/A</v>
      </c>
      <c r="X33" t="e">
        <f>INDEX([1]Parameters!$A$3:$C$5,MATCH('[1]Pizza Sales Calculations'!F33,[1]Parameters!$A$3:$A$5,0),2)</f>
        <v>#N/A</v>
      </c>
    </row>
    <row r="34" spans="1:24" x14ac:dyDescent="0.3">
      <c r="A34">
        <v>33</v>
      </c>
      <c r="B34" s="14">
        <v>42371.431226851855</v>
      </c>
      <c r="C34" s="14">
        <v>42371.441643518519</v>
      </c>
      <c r="D34" t="s">
        <v>5</v>
      </c>
      <c r="G34" t="b">
        <v>0</v>
      </c>
      <c r="H34">
        <v>70804</v>
      </c>
      <c r="I34" s="5">
        <v>0</v>
      </c>
      <c r="J34" s="14">
        <v>42371.443715277775</v>
      </c>
      <c r="K34">
        <v>15.35</v>
      </c>
      <c r="L34" s="5">
        <f>('[1]Pizza Sales Calculations'!$J34-'[1]Pizza Sales Calculations'!$C34)*24*60</f>
        <v>2.9833333287388086</v>
      </c>
      <c r="M34">
        <f>COUNTA('[1]Pizza Sales Calculations'!$D34:$F34)</f>
        <v>1</v>
      </c>
      <c r="N34">
        <f>IFERROR(VLOOKUP(D34,[1]Parameters!$A$3:$C$5,3,FALSE),0)</f>
        <v>2.2999999999999998</v>
      </c>
      <c r="O34">
        <f>IFERROR(VLOOKUP(E34,[1]Parameters!$A$3:$C$5,3,FALSE),0)</f>
        <v>0</v>
      </c>
      <c r="P34">
        <f>IFERROR(VLOOKUP(F34,[1]Parameters!$A$3:$C$5,3,FALSE),0)</f>
        <v>0</v>
      </c>
      <c r="Q34">
        <f t="shared" si="0"/>
        <v>2.2999999999999998</v>
      </c>
      <c r="R34" s="10">
        <f>IF('[1]Pizza Sales Calculations'!$G34=TRUE, [1]Parameters!$B$17*'[1]Pizza Sales Calculations'!$L34*2, 0)</f>
        <v>0</v>
      </c>
      <c r="S34" t="str">
        <f>IF(I34&lt;[1]Parameters!$B$21,"TRUE","FALSE")</f>
        <v>TRUE</v>
      </c>
      <c r="T34" s="5">
        <f>(I34/[1]Parameters!$B$25)*60</f>
        <v>0</v>
      </c>
      <c r="U34" s="10">
        <f>IF(AND('[1]Pizza Sales Calculations'!G34=TRUE,'[1]Pizza Sales Calculations'!S34="TRUE"),T34*[1]Parameters!$B$40*2,0)</f>
        <v>0</v>
      </c>
      <c r="V34">
        <f>INDEX([1]Parameters!$A$3:$C$5,MATCH('[1]Pizza Sales Calculations'!D34,[1]Parameters!$A$3:$A$5,0),2)</f>
        <v>14</v>
      </c>
      <c r="W34" t="e">
        <f>INDEX([1]Parameters!$A$3:$C$5,MATCH('[1]Pizza Sales Calculations'!E34,[1]Parameters!$A$3:$A$5,0),2)</f>
        <v>#N/A</v>
      </c>
      <c r="X34" t="e">
        <f>INDEX([1]Parameters!$A$3:$C$5,MATCH('[1]Pizza Sales Calculations'!F34,[1]Parameters!$A$3:$A$5,0),2)</f>
        <v>#N/A</v>
      </c>
    </row>
    <row r="35" spans="1:24" x14ac:dyDescent="0.3">
      <c r="A35">
        <v>34</v>
      </c>
      <c r="B35" s="14">
        <v>42371.466307870367</v>
      </c>
      <c r="C35" s="14">
        <v>42371.476712962962</v>
      </c>
      <c r="D35" t="s">
        <v>3</v>
      </c>
      <c r="E35" t="s">
        <v>4</v>
      </c>
      <c r="G35" t="b">
        <v>1</v>
      </c>
      <c r="H35">
        <v>70803</v>
      </c>
      <c r="I35" s="5">
        <v>2.6679713212832201</v>
      </c>
      <c r="J35" s="14">
        <v>42371.485972222225</v>
      </c>
      <c r="K35">
        <v>19.579999999999998</v>
      </c>
      <c r="L35" s="5">
        <f>('[1]Pizza Sales Calculations'!$J35-'[1]Pizza Sales Calculations'!$C35)*24*60</f>
        <v>13.333333338377997</v>
      </c>
      <c r="M35">
        <f>COUNTA('[1]Pizza Sales Calculations'!$D35:$F35)</f>
        <v>2</v>
      </c>
      <c r="N35">
        <f>IFERROR(VLOOKUP(D35,[1]Parameters!$A$3:$C$5,3,FALSE),0)</f>
        <v>1</v>
      </c>
      <c r="O35">
        <f>IFERROR(VLOOKUP(E35,[1]Parameters!$A$3:$C$5,3,FALSE),0)</f>
        <v>1.7</v>
      </c>
      <c r="P35">
        <f>IFERROR(VLOOKUP(F35,[1]Parameters!$A$3:$C$5,3,FALSE),0)</f>
        <v>0</v>
      </c>
      <c r="Q35">
        <f t="shared" si="0"/>
        <v>2.7</v>
      </c>
      <c r="R35" s="10">
        <f>IF('[1]Pizza Sales Calculations'!$G35=TRUE, [1]Parameters!$B$17*'[1]Pizza Sales Calculations'!$L35*2, 0)</f>
        <v>3.7777777792070992</v>
      </c>
      <c r="S35" t="str">
        <f>IF(I35&lt;[1]Parameters!$B$21,"TRUE","FALSE")</f>
        <v>TRUE</v>
      </c>
      <c r="T35" s="5">
        <f>(I35/[1]Parameters!$B$25)*60</f>
        <v>5.3359426425664402</v>
      </c>
      <c r="U35" s="10">
        <f>IF(AND('[1]Pizza Sales Calculations'!G35=TRUE,'[1]Pizza Sales Calculations'!S35="TRUE"),T35*[1]Parameters!$B$40*2,0)</f>
        <v>0.33308356318019383</v>
      </c>
      <c r="V35">
        <f>INDEX([1]Parameters!$A$3:$C$5,MATCH('[1]Pizza Sales Calculations'!D35,[1]Parameters!$A$3:$A$5,0),2)</f>
        <v>7</v>
      </c>
      <c r="W35">
        <f>INDEX([1]Parameters!$A$3:$C$5,MATCH('[1]Pizza Sales Calculations'!E35,[1]Parameters!$A$3:$A$5,0),2)</f>
        <v>10</v>
      </c>
      <c r="X35" t="e">
        <f>INDEX([1]Parameters!$A$3:$C$5,MATCH('[1]Pizza Sales Calculations'!F35,[1]Parameters!$A$3:$A$5,0),2)</f>
        <v>#N/A</v>
      </c>
    </row>
    <row r="36" spans="1:24" x14ac:dyDescent="0.3">
      <c r="A36">
        <v>35</v>
      </c>
      <c r="B36" s="14">
        <v>42371.537372685183</v>
      </c>
      <c r="C36" s="14">
        <v>42371.547766203701</v>
      </c>
      <c r="D36" t="s">
        <v>4</v>
      </c>
      <c r="G36" t="b">
        <v>0</v>
      </c>
      <c r="H36">
        <v>70806</v>
      </c>
      <c r="I36" s="5">
        <v>0</v>
      </c>
      <c r="J36" s="14">
        <v>42371.549837962964</v>
      </c>
      <c r="K36">
        <v>11.59</v>
      </c>
      <c r="L36" s="5">
        <f>('[1]Pizza Sales Calculations'!$J36-'[1]Pizza Sales Calculations'!$C36)*24*60</f>
        <v>2.9833333392161876</v>
      </c>
      <c r="M36">
        <f>COUNTA('[1]Pizza Sales Calculations'!$D36:$F36)</f>
        <v>1</v>
      </c>
      <c r="N36">
        <f>IFERROR(VLOOKUP(D36,[1]Parameters!$A$3:$C$5,3,FALSE),0)</f>
        <v>1.7</v>
      </c>
      <c r="O36">
        <f>IFERROR(VLOOKUP(E36,[1]Parameters!$A$3:$C$5,3,FALSE),0)</f>
        <v>0</v>
      </c>
      <c r="P36">
        <f>IFERROR(VLOOKUP(F36,[1]Parameters!$A$3:$C$5,3,FALSE),0)</f>
        <v>0</v>
      </c>
      <c r="Q36">
        <f t="shared" si="0"/>
        <v>1.7</v>
      </c>
      <c r="R36" s="10">
        <f>IF('[1]Pizza Sales Calculations'!$G36=TRUE, [1]Parameters!$B$17*'[1]Pizza Sales Calculations'!$L36*2, 0)</f>
        <v>0</v>
      </c>
      <c r="S36" t="str">
        <f>IF(I36&lt;[1]Parameters!$B$21,"TRUE","FALSE")</f>
        <v>TRUE</v>
      </c>
      <c r="T36" s="5">
        <f>(I36/[1]Parameters!$B$25)*60</f>
        <v>0</v>
      </c>
      <c r="U36" s="10">
        <f>IF(AND('[1]Pizza Sales Calculations'!G36=TRUE,'[1]Pizza Sales Calculations'!S36="TRUE"),T36*[1]Parameters!$B$40*2,0)</f>
        <v>0</v>
      </c>
      <c r="V36">
        <f>INDEX([1]Parameters!$A$3:$C$5,MATCH('[1]Pizza Sales Calculations'!D36,[1]Parameters!$A$3:$A$5,0),2)</f>
        <v>10</v>
      </c>
      <c r="W36" t="e">
        <f>INDEX([1]Parameters!$A$3:$C$5,MATCH('[1]Pizza Sales Calculations'!E36,[1]Parameters!$A$3:$A$5,0),2)</f>
        <v>#N/A</v>
      </c>
      <c r="X36" t="e">
        <f>INDEX([1]Parameters!$A$3:$C$5,MATCH('[1]Pizza Sales Calculations'!F36,[1]Parameters!$A$3:$A$5,0),2)</f>
        <v>#N/A</v>
      </c>
    </row>
    <row r="37" spans="1:24" x14ac:dyDescent="0.3">
      <c r="A37">
        <v>36</v>
      </c>
      <c r="B37" s="14">
        <v>42371.47960648148</v>
      </c>
      <c r="C37" s="14">
        <v>42371.490023148152</v>
      </c>
      <c r="D37" t="s">
        <v>5</v>
      </c>
      <c r="G37" t="b">
        <v>1</v>
      </c>
      <c r="H37">
        <v>70805</v>
      </c>
      <c r="I37" s="5">
        <v>3.9470079157879798</v>
      </c>
      <c r="J37" s="14">
        <v>42371.50372685185</v>
      </c>
      <c r="K37">
        <v>15.35</v>
      </c>
      <c r="L37" s="5">
        <f>('[1]Pizza Sales Calculations'!$J37-'[1]Pizza Sales Calculations'!$C37)*24*60</f>
        <v>19.73333332571201</v>
      </c>
      <c r="M37">
        <f>COUNTA('[1]Pizza Sales Calculations'!$D37:$F37)</f>
        <v>1</v>
      </c>
      <c r="N37">
        <f>IFERROR(VLOOKUP(D37,[1]Parameters!$A$3:$C$5,3,FALSE),0)</f>
        <v>2.2999999999999998</v>
      </c>
      <c r="O37">
        <f>IFERROR(VLOOKUP(E37,[1]Parameters!$A$3:$C$5,3,FALSE),0)</f>
        <v>0</v>
      </c>
      <c r="P37">
        <f>IFERROR(VLOOKUP(F37,[1]Parameters!$A$3:$C$5,3,FALSE),0)</f>
        <v>0</v>
      </c>
      <c r="Q37">
        <f t="shared" si="0"/>
        <v>2.2999999999999998</v>
      </c>
      <c r="R37" s="10">
        <f>IF('[1]Pizza Sales Calculations'!$G37=TRUE, [1]Parameters!$B$17*'[1]Pizza Sales Calculations'!$L37*2, 0)</f>
        <v>5.5911111089517362</v>
      </c>
      <c r="S37" t="str">
        <f>IF(I37&lt;[1]Parameters!$B$21,"TRUE","FALSE")</f>
        <v>FALSE</v>
      </c>
      <c r="T37" s="5">
        <f>(I37/[1]Parameters!$B$25)*60</f>
        <v>7.8940158315759597</v>
      </c>
      <c r="U37" s="10">
        <f>IF(AND('[1]Pizza Sales Calculations'!G37=TRUE,'[1]Pizza Sales Calculations'!S37="TRUE"),T37*[1]Parameters!$B$40*2,0)</f>
        <v>0</v>
      </c>
      <c r="V37">
        <f>INDEX([1]Parameters!$A$3:$C$5,MATCH('[1]Pizza Sales Calculations'!D37,[1]Parameters!$A$3:$A$5,0),2)</f>
        <v>14</v>
      </c>
      <c r="W37" t="e">
        <f>INDEX([1]Parameters!$A$3:$C$5,MATCH('[1]Pizza Sales Calculations'!E37,[1]Parameters!$A$3:$A$5,0),2)</f>
        <v>#N/A</v>
      </c>
      <c r="X37" t="e">
        <f>INDEX([1]Parameters!$A$3:$C$5,MATCH('[1]Pizza Sales Calculations'!F37,[1]Parameters!$A$3:$A$5,0),2)</f>
        <v>#N/A</v>
      </c>
    </row>
    <row r="38" spans="1:24" x14ac:dyDescent="0.3">
      <c r="A38">
        <v>37</v>
      </c>
      <c r="B38" s="14">
        <v>42371.539953703701</v>
      </c>
      <c r="C38" s="14">
        <v>42371.550370370373</v>
      </c>
      <c r="D38" t="s">
        <v>3</v>
      </c>
      <c r="G38" t="b">
        <v>1</v>
      </c>
      <c r="H38">
        <v>70805</v>
      </c>
      <c r="I38" s="5">
        <v>2.2604540765060799</v>
      </c>
      <c r="J38" s="14">
        <v>42371.558217592596</v>
      </c>
      <c r="K38">
        <v>7.99</v>
      </c>
      <c r="L38" s="5">
        <f>('[1]Pizza Sales Calculations'!$J38-'[1]Pizza Sales Calculations'!$C38)*24*60</f>
        <v>11.300000001210719</v>
      </c>
      <c r="M38">
        <f>COUNTA('[1]Pizza Sales Calculations'!$D38:$F38)</f>
        <v>1</v>
      </c>
      <c r="N38">
        <f>IFERROR(VLOOKUP(D38,[1]Parameters!$A$3:$C$5,3,FALSE),0)</f>
        <v>1</v>
      </c>
      <c r="O38">
        <f>IFERROR(VLOOKUP(E38,[1]Parameters!$A$3:$C$5,3,FALSE),0)</f>
        <v>0</v>
      </c>
      <c r="P38">
        <f>IFERROR(VLOOKUP(F38,[1]Parameters!$A$3:$C$5,3,FALSE),0)</f>
        <v>0</v>
      </c>
      <c r="Q38">
        <f t="shared" si="0"/>
        <v>1</v>
      </c>
      <c r="R38" s="10">
        <f>IF('[1]Pizza Sales Calculations'!$G38=TRUE, [1]Parameters!$B$17*'[1]Pizza Sales Calculations'!$L38*2, 0)</f>
        <v>3.2016666670097038</v>
      </c>
      <c r="S38" t="str">
        <f>IF(I38&lt;[1]Parameters!$B$21,"TRUE","FALSE")</f>
        <v>TRUE</v>
      </c>
      <c r="T38" s="5">
        <f>(I38/[1]Parameters!$B$25)*60</f>
        <v>4.5209081530121598</v>
      </c>
      <c r="U38" s="10">
        <f>IF(AND('[1]Pizza Sales Calculations'!G38=TRUE,'[1]Pizza Sales Calculations'!S38="TRUE"),T38*[1]Parameters!$B$40*2,0)</f>
        <v>0.28220696834391229</v>
      </c>
      <c r="V38">
        <f>INDEX([1]Parameters!$A$3:$C$5,MATCH('[1]Pizza Sales Calculations'!D38,[1]Parameters!$A$3:$A$5,0),2)</f>
        <v>7</v>
      </c>
      <c r="W38" t="e">
        <f>INDEX([1]Parameters!$A$3:$C$5,MATCH('[1]Pizza Sales Calculations'!E38,[1]Parameters!$A$3:$A$5,0),2)</f>
        <v>#N/A</v>
      </c>
      <c r="X38" t="e">
        <f>INDEX([1]Parameters!$A$3:$C$5,MATCH('[1]Pizza Sales Calculations'!F38,[1]Parameters!$A$3:$A$5,0),2)</f>
        <v>#N/A</v>
      </c>
    </row>
    <row r="39" spans="1:24" x14ac:dyDescent="0.3">
      <c r="A39">
        <v>38</v>
      </c>
      <c r="B39" s="14">
        <v>42371.466249999998</v>
      </c>
      <c r="C39" s="14">
        <v>42371.476666666669</v>
      </c>
      <c r="D39" t="s">
        <v>4</v>
      </c>
      <c r="G39" t="b">
        <v>1</v>
      </c>
      <c r="H39">
        <v>70807</v>
      </c>
      <c r="I39" s="5">
        <v>3.8581374440793201</v>
      </c>
      <c r="J39" s="14">
        <v>42371.490057870367</v>
      </c>
      <c r="K39">
        <v>11.59</v>
      </c>
      <c r="L39" s="5">
        <f>('[1]Pizza Sales Calculations'!$J39-'[1]Pizza Sales Calculations'!$C39)*24*60</f>
        <v>19.283333325292915</v>
      </c>
      <c r="M39">
        <f>COUNTA('[1]Pizza Sales Calculations'!$D39:$F39)</f>
        <v>1</v>
      </c>
      <c r="N39">
        <f>IFERROR(VLOOKUP(D39,[1]Parameters!$A$3:$C$5,3,FALSE),0)</f>
        <v>1.7</v>
      </c>
      <c r="O39">
        <f>IFERROR(VLOOKUP(E39,[1]Parameters!$A$3:$C$5,3,FALSE),0)</f>
        <v>0</v>
      </c>
      <c r="P39">
        <f>IFERROR(VLOOKUP(F39,[1]Parameters!$A$3:$C$5,3,FALSE),0)</f>
        <v>0</v>
      </c>
      <c r="Q39">
        <f t="shared" si="0"/>
        <v>1.7</v>
      </c>
      <c r="R39" s="10">
        <f>IF('[1]Pizza Sales Calculations'!$G39=TRUE, [1]Parameters!$B$17*'[1]Pizza Sales Calculations'!$L39*2, 0)</f>
        <v>5.4636111088329926</v>
      </c>
      <c r="S39" t="str">
        <f>IF(I39&lt;[1]Parameters!$B$21,"TRUE","FALSE")</f>
        <v>FALSE</v>
      </c>
      <c r="T39" s="5">
        <f>(I39/[1]Parameters!$B$25)*60</f>
        <v>7.7162748881586403</v>
      </c>
      <c r="U39" s="10">
        <f>IF(AND('[1]Pizza Sales Calculations'!G39=TRUE,'[1]Pizza Sales Calculations'!S39="TRUE"),T39*[1]Parameters!$B$40*2,0)</f>
        <v>0</v>
      </c>
      <c r="V39">
        <f>INDEX([1]Parameters!$A$3:$C$5,MATCH('[1]Pizza Sales Calculations'!D39,[1]Parameters!$A$3:$A$5,0),2)</f>
        <v>10</v>
      </c>
      <c r="W39" t="e">
        <f>INDEX([1]Parameters!$A$3:$C$5,MATCH('[1]Pizza Sales Calculations'!E39,[1]Parameters!$A$3:$A$5,0),2)</f>
        <v>#N/A</v>
      </c>
      <c r="X39" t="e">
        <f>INDEX([1]Parameters!$A$3:$C$5,MATCH('[1]Pizza Sales Calculations'!F39,[1]Parameters!$A$3:$A$5,0),2)</f>
        <v>#N/A</v>
      </c>
    </row>
    <row r="40" spans="1:24" x14ac:dyDescent="0.3">
      <c r="A40">
        <v>39</v>
      </c>
      <c r="B40" s="14">
        <v>42371.514270833337</v>
      </c>
      <c r="C40" s="14">
        <v>42371.524664351855</v>
      </c>
      <c r="D40" t="s">
        <v>5</v>
      </c>
      <c r="G40" t="b">
        <v>1</v>
      </c>
      <c r="H40">
        <v>70805</v>
      </c>
      <c r="I40" s="5">
        <v>2.3749016245181398</v>
      </c>
      <c r="J40" s="14">
        <v>42371.532905092594</v>
      </c>
      <c r="K40">
        <v>15.35</v>
      </c>
      <c r="L40" s="5">
        <f>('[1]Pizza Sales Calculations'!$J40-'[1]Pizza Sales Calculations'!$C40)*24*60</f>
        <v>11.866666664136574</v>
      </c>
      <c r="M40">
        <f>COUNTA('[1]Pizza Sales Calculations'!$D40:$F40)</f>
        <v>1</v>
      </c>
      <c r="N40">
        <f>IFERROR(VLOOKUP(D40,[1]Parameters!$A$3:$C$5,3,FALSE),0)</f>
        <v>2.2999999999999998</v>
      </c>
      <c r="O40">
        <f>IFERROR(VLOOKUP(E40,[1]Parameters!$A$3:$C$5,3,FALSE),0)</f>
        <v>0</v>
      </c>
      <c r="P40">
        <f>IFERROR(VLOOKUP(F40,[1]Parameters!$A$3:$C$5,3,FALSE),0)</f>
        <v>0</v>
      </c>
      <c r="Q40">
        <f t="shared" si="0"/>
        <v>2.2999999999999998</v>
      </c>
      <c r="R40" s="10">
        <f>IF('[1]Pizza Sales Calculations'!$G40=TRUE, [1]Parameters!$B$17*'[1]Pizza Sales Calculations'!$L40*2, 0)</f>
        <v>3.3622222215053625</v>
      </c>
      <c r="S40" t="str">
        <f>IF(I40&lt;[1]Parameters!$B$21,"TRUE","FALSE")</f>
        <v>TRUE</v>
      </c>
      <c r="T40" s="5">
        <f>(I40/[1]Parameters!$B$25)*60</f>
        <v>4.7498032490362796</v>
      </c>
      <c r="U40" s="10">
        <f>IF(AND('[1]Pizza Sales Calculations'!G40=TRUE,'[1]Pizza Sales Calculations'!S40="TRUE"),T40*[1]Parameters!$B$40*2,0)</f>
        <v>0.29649520179867006</v>
      </c>
      <c r="V40">
        <f>INDEX([1]Parameters!$A$3:$C$5,MATCH('[1]Pizza Sales Calculations'!D40,[1]Parameters!$A$3:$A$5,0),2)</f>
        <v>14</v>
      </c>
      <c r="W40" t="e">
        <f>INDEX([1]Parameters!$A$3:$C$5,MATCH('[1]Pizza Sales Calculations'!E40,[1]Parameters!$A$3:$A$5,0),2)</f>
        <v>#N/A</v>
      </c>
      <c r="X40" t="e">
        <f>INDEX([1]Parameters!$A$3:$C$5,MATCH('[1]Pizza Sales Calculations'!F40,[1]Parameters!$A$3:$A$5,0),2)</f>
        <v>#N/A</v>
      </c>
    </row>
    <row r="41" spans="1:24" x14ac:dyDescent="0.3">
      <c r="A41">
        <v>40</v>
      </c>
      <c r="B41" s="14">
        <v>42371.472094907411</v>
      </c>
      <c r="C41" s="14">
        <v>42371.482511574075</v>
      </c>
      <c r="D41" t="s">
        <v>3</v>
      </c>
      <c r="E41" t="s">
        <v>5</v>
      </c>
      <c r="G41" t="b">
        <v>1</v>
      </c>
      <c r="H41">
        <v>70805</v>
      </c>
      <c r="I41" s="5">
        <v>2.8217373515651301</v>
      </c>
      <c r="J41" s="14">
        <v>42371.492303240739</v>
      </c>
      <c r="K41">
        <v>23.34</v>
      </c>
      <c r="L41" s="5">
        <f>('[1]Pizza Sales Calculations'!$J41-'[1]Pizza Sales Calculations'!$C41)*24*60</f>
        <v>14.09999999566935</v>
      </c>
      <c r="M41">
        <f>COUNTA('[1]Pizza Sales Calculations'!$D41:$F41)</f>
        <v>2</v>
      </c>
      <c r="N41">
        <f>IFERROR(VLOOKUP(D41,[1]Parameters!$A$3:$C$5,3,FALSE),0)</f>
        <v>1</v>
      </c>
      <c r="O41">
        <f>IFERROR(VLOOKUP(E41,[1]Parameters!$A$3:$C$5,3,FALSE),0)</f>
        <v>2.2999999999999998</v>
      </c>
      <c r="P41">
        <f>IFERROR(VLOOKUP(F41,[1]Parameters!$A$3:$C$5,3,FALSE),0)</f>
        <v>0</v>
      </c>
      <c r="Q41">
        <f t="shared" si="0"/>
        <v>3.3</v>
      </c>
      <c r="R41" s="10">
        <f>IF('[1]Pizza Sales Calculations'!$G41=TRUE, [1]Parameters!$B$17*'[1]Pizza Sales Calculations'!$L41*2, 0)</f>
        <v>3.9949999987729825</v>
      </c>
      <c r="S41" t="str">
        <f>IF(I41&lt;[1]Parameters!$B$21,"TRUE","FALSE")</f>
        <v>TRUE</v>
      </c>
      <c r="T41" s="5">
        <f>(I41/[1]Parameters!$B$25)*60</f>
        <v>5.6434747031302601</v>
      </c>
      <c r="U41" s="10">
        <f>IF(AND('[1]Pizza Sales Calculations'!G41=TRUE,'[1]Pizza Sales Calculations'!S41="TRUE"),T41*[1]Parameters!$B$40*2,0)</f>
        <v>0.35228052262792064</v>
      </c>
      <c r="V41">
        <f>INDEX([1]Parameters!$A$3:$C$5,MATCH('[1]Pizza Sales Calculations'!D41,[1]Parameters!$A$3:$A$5,0),2)</f>
        <v>7</v>
      </c>
      <c r="W41">
        <f>INDEX([1]Parameters!$A$3:$C$5,MATCH('[1]Pizza Sales Calculations'!E41,[1]Parameters!$A$3:$A$5,0),2)</f>
        <v>14</v>
      </c>
      <c r="X41" t="e">
        <f>INDEX([1]Parameters!$A$3:$C$5,MATCH('[1]Pizza Sales Calculations'!F41,[1]Parameters!$A$3:$A$5,0),2)</f>
        <v>#N/A</v>
      </c>
    </row>
    <row r="42" spans="1:24" x14ac:dyDescent="0.3">
      <c r="A42">
        <v>41</v>
      </c>
      <c r="B42" s="14">
        <v>42371.466643518521</v>
      </c>
      <c r="C42" s="14">
        <v>42371.477060185185</v>
      </c>
      <c r="D42" t="s">
        <v>4</v>
      </c>
      <c r="G42" t="b">
        <v>1</v>
      </c>
      <c r="H42">
        <v>70803</v>
      </c>
      <c r="I42" s="5">
        <v>3.22539413462383</v>
      </c>
      <c r="J42" s="14">
        <v>42371.488252314812</v>
      </c>
      <c r="K42">
        <v>11.59</v>
      </c>
      <c r="L42" s="5">
        <f>('[1]Pizza Sales Calculations'!$J42-'[1]Pizza Sales Calculations'!$C42)*24*60</f>
        <v>16.116666662273929</v>
      </c>
      <c r="M42">
        <f>COUNTA('[1]Pizza Sales Calculations'!$D42:$F42)</f>
        <v>1</v>
      </c>
      <c r="N42">
        <f>IFERROR(VLOOKUP(D42,[1]Parameters!$A$3:$C$5,3,FALSE),0)</f>
        <v>1.7</v>
      </c>
      <c r="O42">
        <f>IFERROR(VLOOKUP(E42,[1]Parameters!$A$3:$C$5,3,FALSE),0)</f>
        <v>0</v>
      </c>
      <c r="P42">
        <f>IFERROR(VLOOKUP(F42,[1]Parameters!$A$3:$C$5,3,FALSE),0)</f>
        <v>0</v>
      </c>
      <c r="Q42">
        <f t="shared" si="0"/>
        <v>1.7</v>
      </c>
      <c r="R42" s="10">
        <f>IF('[1]Pizza Sales Calculations'!$G42=TRUE, [1]Parameters!$B$17*'[1]Pizza Sales Calculations'!$L42*2, 0)</f>
        <v>4.5663888876442797</v>
      </c>
      <c r="S42" t="str">
        <f>IF(I42&lt;[1]Parameters!$B$21,"TRUE","FALSE")</f>
        <v>FALSE</v>
      </c>
      <c r="T42" s="5">
        <f>(I42/[1]Parameters!$B$25)*60</f>
        <v>6.4507882692476599</v>
      </c>
      <c r="U42" s="10">
        <f>IF(AND('[1]Pizza Sales Calculations'!G42=TRUE,'[1]Pizza Sales Calculations'!S42="TRUE"),T42*[1]Parameters!$B$40*2,0)</f>
        <v>0</v>
      </c>
      <c r="V42">
        <f>INDEX([1]Parameters!$A$3:$C$5,MATCH('[1]Pizza Sales Calculations'!D42,[1]Parameters!$A$3:$A$5,0),2)</f>
        <v>10</v>
      </c>
      <c r="W42" t="e">
        <f>INDEX([1]Parameters!$A$3:$C$5,MATCH('[1]Pizza Sales Calculations'!E42,[1]Parameters!$A$3:$A$5,0),2)</f>
        <v>#N/A</v>
      </c>
      <c r="X42" t="e">
        <f>INDEX([1]Parameters!$A$3:$C$5,MATCH('[1]Pizza Sales Calculations'!F42,[1]Parameters!$A$3:$A$5,0),2)</f>
        <v>#N/A</v>
      </c>
    </row>
    <row r="43" spans="1:24" x14ac:dyDescent="0.3">
      <c r="A43">
        <v>42</v>
      </c>
      <c r="B43" s="14">
        <v>42371.541608796295</v>
      </c>
      <c r="C43" s="14">
        <v>42371.552025462966</v>
      </c>
      <c r="D43" t="s">
        <v>3</v>
      </c>
      <c r="G43" t="b">
        <v>1</v>
      </c>
      <c r="H43">
        <v>70807</v>
      </c>
      <c r="I43" s="5">
        <v>1.8333815959319999</v>
      </c>
      <c r="J43" s="14">
        <v>42371.558391203704</v>
      </c>
      <c r="K43">
        <v>7.99</v>
      </c>
      <c r="L43" s="5">
        <f>('[1]Pizza Sales Calculations'!$J43-'[1]Pizza Sales Calculations'!$C43)*24*60</f>
        <v>9.1666666616220027</v>
      </c>
      <c r="M43">
        <f>COUNTA('[1]Pizza Sales Calculations'!$D43:$F43)</f>
        <v>1</v>
      </c>
      <c r="N43">
        <f>IFERROR(VLOOKUP(D43,[1]Parameters!$A$3:$C$5,3,FALSE),0)</f>
        <v>1</v>
      </c>
      <c r="O43">
        <f>IFERROR(VLOOKUP(E43,[1]Parameters!$A$3:$C$5,3,FALSE),0)</f>
        <v>0</v>
      </c>
      <c r="P43">
        <f>IFERROR(VLOOKUP(F43,[1]Parameters!$A$3:$C$5,3,FALSE),0)</f>
        <v>0</v>
      </c>
      <c r="Q43">
        <f t="shared" si="0"/>
        <v>1</v>
      </c>
      <c r="R43" s="10">
        <f>IF('[1]Pizza Sales Calculations'!$G43=TRUE, [1]Parameters!$B$17*'[1]Pizza Sales Calculations'!$L43*2, 0)</f>
        <v>2.5972222207929008</v>
      </c>
      <c r="S43" t="str">
        <f>IF(I43&lt;[1]Parameters!$B$21,"TRUE","FALSE")</f>
        <v>TRUE</v>
      </c>
      <c r="T43" s="5">
        <f>(I43/[1]Parameters!$B$25)*60</f>
        <v>3.6667631918639998</v>
      </c>
      <c r="U43" s="10">
        <f>IF(AND('[1]Pizza Sales Calculations'!G43=TRUE,'[1]Pizza Sales Calculations'!S43="TRUE"),T43*[1]Parameters!$B$40*2,0)</f>
        <v>0.22888899508421476</v>
      </c>
      <c r="V43">
        <f>INDEX([1]Parameters!$A$3:$C$5,MATCH('[1]Pizza Sales Calculations'!D43,[1]Parameters!$A$3:$A$5,0),2)</f>
        <v>7</v>
      </c>
      <c r="W43" t="e">
        <f>INDEX([1]Parameters!$A$3:$C$5,MATCH('[1]Pizza Sales Calculations'!E43,[1]Parameters!$A$3:$A$5,0),2)</f>
        <v>#N/A</v>
      </c>
      <c r="X43" t="e">
        <f>INDEX([1]Parameters!$A$3:$C$5,MATCH('[1]Pizza Sales Calculations'!F43,[1]Parameters!$A$3:$A$5,0),2)</f>
        <v>#N/A</v>
      </c>
    </row>
    <row r="44" spans="1:24" x14ac:dyDescent="0.3">
      <c r="A44">
        <v>43</v>
      </c>
      <c r="B44" s="14">
        <v>42371.468391203707</v>
      </c>
      <c r="C44" s="14">
        <v>42371.478807870371</v>
      </c>
      <c r="D44" t="s">
        <v>3</v>
      </c>
      <c r="E44" t="s">
        <v>4</v>
      </c>
      <c r="G44" t="b">
        <v>1</v>
      </c>
      <c r="H44">
        <v>70804</v>
      </c>
      <c r="I44" s="5">
        <v>2.1957366118683299</v>
      </c>
      <c r="J44" s="14">
        <v>42371.48642361111</v>
      </c>
      <c r="K44">
        <v>19.579999999999998</v>
      </c>
      <c r="L44" s="5">
        <f>('[1]Pizza Sales Calculations'!$J44-'[1]Pizza Sales Calculations'!$C44)*24*60</f>
        <v>10.966666663298383</v>
      </c>
      <c r="M44">
        <f>COUNTA('[1]Pizza Sales Calculations'!$D44:$F44)</f>
        <v>2</v>
      </c>
      <c r="N44">
        <f>IFERROR(VLOOKUP(D44,[1]Parameters!$A$3:$C$5,3,FALSE),0)</f>
        <v>1</v>
      </c>
      <c r="O44">
        <f>IFERROR(VLOOKUP(E44,[1]Parameters!$A$3:$C$5,3,FALSE),0)</f>
        <v>1.7</v>
      </c>
      <c r="P44">
        <f>IFERROR(VLOOKUP(F44,[1]Parameters!$A$3:$C$5,3,FALSE),0)</f>
        <v>0</v>
      </c>
      <c r="Q44">
        <f t="shared" si="0"/>
        <v>2.7</v>
      </c>
      <c r="R44" s="10">
        <f>IF('[1]Pizza Sales Calculations'!$G44=TRUE, [1]Parameters!$B$17*'[1]Pizza Sales Calculations'!$L44*2, 0)</f>
        <v>3.1072222212678753</v>
      </c>
      <c r="S44" t="str">
        <f>IF(I44&lt;[1]Parameters!$B$21,"TRUE","FALSE")</f>
        <v>TRUE</v>
      </c>
      <c r="T44" s="5">
        <f>(I44/[1]Parameters!$B$25)*60</f>
        <v>4.3914732237366598</v>
      </c>
      <c r="U44" s="10">
        <f>IF(AND('[1]Pizza Sales Calculations'!G44=TRUE,'[1]Pizza Sales Calculations'!S44="TRUE"),T44*[1]Parameters!$B$40*2,0)</f>
        <v>0.27412729988961948</v>
      </c>
      <c r="V44">
        <f>INDEX([1]Parameters!$A$3:$C$5,MATCH('[1]Pizza Sales Calculations'!D44,[1]Parameters!$A$3:$A$5,0),2)</f>
        <v>7</v>
      </c>
      <c r="W44">
        <f>INDEX([1]Parameters!$A$3:$C$5,MATCH('[1]Pizza Sales Calculations'!E44,[1]Parameters!$A$3:$A$5,0),2)</f>
        <v>10</v>
      </c>
      <c r="X44" t="e">
        <f>INDEX([1]Parameters!$A$3:$C$5,MATCH('[1]Pizza Sales Calculations'!F44,[1]Parameters!$A$3:$A$5,0),2)</f>
        <v>#N/A</v>
      </c>
    </row>
    <row r="45" spans="1:24" x14ac:dyDescent="0.3">
      <c r="A45">
        <v>44</v>
      </c>
      <c r="B45" s="14">
        <v>42371.474039351851</v>
      </c>
      <c r="C45" s="14">
        <v>42371.484432870369</v>
      </c>
      <c r="D45" t="s">
        <v>4</v>
      </c>
      <c r="G45" t="b">
        <v>1</v>
      </c>
      <c r="H45">
        <v>70803</v>
      </c>
      <c r="I45" s="5">
        <v>2.03458661524511</v>
      </c>
      <c r="J45" s="14">
        <v>42371.491493055553</v>
      </c>
      <c r="K45">
        <v>11.59</v>
      </c>
      <c r="L45" s="5">
        <f>('[1]Pizza Sales Calculations'!$J45-'[1]Pizza Sales Calculations'!$C45)*24*60</f>
        <v>10.166666664881632</v>
      </c>
      <c r="M45">
        <f>COUNTA('[1]Pizza Sales Calculations'!$D45:$F45)</f>
        <v>1</v>
      </c>
      <c r="N45">
        <f>IFERROR(VLOOKUP(D45,[1]Parameters!$A$3:$C$5,3,FALSE),0)</f>
        <v>1.7</v>
      </c>
      <c r="O45">
        <f>IFERROR(VLOOKUP(E45,[1]Parameters!$A$3:$C$5,3,FALSE),0)</f>
        <v>0</v>
      </c>
      <c r="P45">
        <f>IFERROR(VLOOKUP(F45,[1]Parameters!$A$3:$C$5,3,FALSE),0)</f>
        <v>0</v>
      </c>
      <c r="Q45">
        <f t="shared" si="0"/>
        <v>1.7</v>
      </c>
      <c r="R45" s="10">
        <f>IF('[1]Pizza Sales Calculations'!$G45=TRUE, [1]Parameters!$B$17*'[1]Pizza Sales Calculations'!$L45*2, 0)</f>
        <v>2.8805555550497957</v>
      </c>
      <c r="S45" t="str">
        <f>IF(I45&lt;[1]Parameters!$B$21,"TRUE","FALSE")</f>
        <v>TRUE</v>
      </c>
      <c r="T45" s="5">
        <f>(I45/[1]Parameters!$B$25)*60</f>
        <v>4.06917323049022</v>
      </c>
      <c r="U45" s="10">
        <f>IF(AND('[1]Pizza Sales Calculations'!G45=TRUE,'[1]Pizza Sales Calculations'!S45="TRUE"),T45*[1]Parameters!$B$40*2,0)</f>
        <v>0.25400848727212799</v>
      </c>
      <c r="V45">
        <f>INDEX([1]Parameters!$A$3:$C$5,MATCH('[1]Pizza Sales Calculations'!D45,[1]Parameters!$A$3:$A$5,0),2)</f>
        <v>10</v>
      </c>
      <c r="W45" t="e">
        <f>INDEX([1]Parameters!$A$3:$C$5,MATCH('[1]Pizza Sales Calculations'!E45,[1]Parameters!$A$3:$A$5,0),2)</f>
        <v>#N/A</v>
      </c>
      <c r="X45" t="e">
        <f>INDEX([1]Parameters!$A$3:$C$5,MATCH('[1]Pizza Sales Calculations'!F45,[1]Parameters!$A$3:$A$5,0),2)</f>
        <v>#N/A</v>
      </c>
    </row>
    <row r="46" spans="1:24" x14ac:dyDescent="0.3">
      <c r="A46">
        <v>45</v>
      </c>
      <c r="B46" s="14">
        <v>42371.489502314813</v>
      </c>
      <c r="C46" s="14">
        <v>42371.499930555554</v>
      </c>
      <c r="D46" t="s">
        <v>5</v>
      </c>
      <c r="G46" t="b">
        <v>1</v>
      </c>
      <c r="H46">
        <v>70806</v>
      </c>
      <c r="I46" s="5">
        <v>3.2053033793644801</v>
      </c>
      <c r="J46" s="14">
        <v>42371.511053240742</v>
      </c>
      <c r="K46">
        <v>15.35</v>
      </c>
      <c r="L46" s="5">
        <f>('[1]Pizza Sales Calculations'!$J46-'[1]Pizza Sales Calculations'!$C46)*24*60</f>
        <v>16.016666670329869</v>
      </c>
      <c r="M46">
        <f>COUNTA('[1]Pizza Sales Calculations'!$D46:$F46)</f>
        <v>1</v>
      </c>
      <c r="N46">
        <f>IFERROR(VLOOKUP(D46,[1]Parameters!$A$3:$C$5,3,FALSE),0)</f>
        <v>2.2999999999999998</v>
      </c>
      <c r="O46">
        <f>IFERROR(VLOOKUP(E46,[1]Parameters!$A$3:$C$5,3,FALSE),0)</f>
        <v>0</v>
      </c>
      <c r="P46">
        <f>IFERROR(VLOOKUP(F46,[1]Parameters!$A$3:$C$5,3,FALSE),0)</f>
        <v>0</v>
      </c>
      <c r="Q46">
        <f t="shared" si="0"/>
        <v>2.2999999999999998</v>
      </c>
      <c r="R46" s="10">
        <f>IF('[1]Pizza Sales Calculations'!$G46=TRUE, [1]Parameters!$B$17*'[1]Pizza Sales Calculations'!$L46*2, 0)</f>
        <v>4.5380555565934628</v>
      </c>
      <c r="S46" t="str">
        <f>IF(I46&lt;[1]Parameters!$B$21,"TRUE","FALSE")</f>
        <v>FALSE</v>
      </c>
      <c r="T46" s="5">
        <f>(I46/[1]Parameters!$B$25)*60</f>
        <v>6.4106067587289601</v>
      </c>
      <c r="U46" s="10">
        <f>IF(AND('[1]Pizza Sales Calculations'!G46=TRUE,'[1]Pizza Sales Calculations'!S46="TRUE"),T46*[1]Parameters!$B$40*2,0)</f>
        <v>0</v>
      </c>
      <c r="V46">
        <f>INDEX([1]Parameters!$A$3:$C$5,MATCH('[1]Pizza Sales Calculations'!D46,[1]Parameters!$A$3:$A$5,0),2)</f>
        <v>14</v>
      </c>
      <c r="W46" t="e">
        <f>INDEX([1]Parameters!$A$3:$C$5,MATCH('[1]Pizza Sales Calculations'!E46,[1]Parameters!$A$3:$A$5,0),2)</f>
        <v>#N/A</v>
      </c>
      <c r="X46" t="e">
        <f>INDEX([1]Parameters!$A$3:$C$5,MATCH('[1]Pizza Sales Calculations'!F46,[1]Parameters!$A$3:$A$5,0),2)</f>
        <v>#N/A</v>
      </c>
    </row>
    <row r="47" spans="1:24" x14ac:dyDescent="0.3">
      <c r="A47">
        <v>46</v>
      </c>
      <c r="B47" s="14">
        <v>42371.459155092591</v>
      </c>
      <c r="C47" s="14">
        <v>42371.469571759262</v>
      </c>
      <c r="D47" t="s">
        <v>5</v>
      </c>
      <c r="G47" t="b">
        <v>0</v>
      </c>
      <c r="H47">
        <v>70806</v>
      </c>
      <c r="I47" s="5">
        <v>0</v>
      </c>
      <c r="J47" s="14">
        <v>42371.471655092595</v>
      </c>
      <c r="K47">
        <v>15.35</v>
      </c>
      <c r="L47" s="5">
        <f>('[1]Pizza Sales Calculations'!$J47-'[1]Pizza Sales Calculations'!$C47)*24*60</f>
        <v>2.9999999993015081</v>
      </c>
      <c r="M47">
        <f>COUNTA('[1]Pizza Sales Calculations'!$D47:$F47)</f>
        <v>1</v>
      </c>
      <c r="N47">
        <f>IFERROR(VLOOKUP(D47,[1]Parameters!$A$3:$C$5,3,FALSE),0)</f>
        <v>2.2999999999999998</v>
      </c>
      <c r="O47">
        <f>IFERROR(VLOOKUP(E47,[1]Parameters!$A$3:$C$5,3,FALSE),0)</f>
        <v>0</v>
      </c>
      <c r="P47">
        <f>IFERROR(VLOOKUP(F47,[1]Parameters!$A$3:$C$5,3,FALSE),0)</f>
        <v>0</v>
      </c>
      <c r="Q47">
        <f t="shared" si="0"/>
        <v>2.2999999999999998</v>
      </c>
      <c r="R47" s="10">
        <f>IF('[1]Pizza Sales Calculations'!$G47=TRUE, [1]Parameters!$B$17*'[1]Pizza Sales Calculations'!$L47*2, 0)</f>
        <v>0</v>
      </c>
      <c r="S47" t="str">
        <f>IF(I47&lt;[1]Parameters!$B$21,"TRUE","FALSE")</f>
        <v>TRUE</v>
      </c>
      <c r="T47" s="5">
        <f>(I47/[1]Parameters!$B$25)*60</f>
        <v>0</v>
      </c>
      <c r="U47" s="10">
        <f>IF(AND('[1]Pizza Sales Calculations'!G47=TRUE,'[1]Pizza Sales Calculations'!S47="TRUE"),T47*[1]Parameters!$B$40*2,0)</f>
        <v>0</v>
      </c>
      <c r="V47">
        <f>INDEX([1]Parameters!$A$3:$C$5,MATCH('[1]Pizza Sales Calculations'!D47,[1]Parameters!$A$3:$A$5,0),2)</f>
        <v>14</v>
      </c>
      <c r="W47" t="e">
        <f>INDEX([1]Parameters!$A$3:$C$5,MATCH('[1]Pizza Sales Calculations'!E47,[1]Parameters!$A$3:$A$5,0),2)</f>
        <v>#N/A</v>
      </c>
      <c r="X47" t="e">
        <f>INDEX([1]Parameters!$A$3:$C$5,MATCH('[1]Pizza Sales Calculations'!F47,[1]Parameters!$A$3:$A$5,0),2)</f>
        <v>#N/A</v>
      </c>
    </row>
    <row r="48" spans="1:24" x14ac:dyDescent="0.3">
      <c r="A48">
        <v>47</v>
      </c>
      <c r="B48" s="14">
        <v>42371.52857638889</v>
      </c>
      <c r="C48" s="14">
        <v>42371.538981481484</v>
      </c>
      <c r="D48" t="s">
        <v>5</v>
      </c>
      <c r="G48" t="b">
        <v>0</v>
      </c>
      <c r="H48">
        <v>70805</v>
      </c>
      <c r="I48" s="5">
        <v>0</v>
      </c>
      <c r="J48" s="14">
        <v>42371.541041666664</v>
      </c>
      <c r="K48">
        <v>15.35</v>
      </c>
      <c r="L48" s="5">
        <f>('[1]Pizza Sales Calculations'!$J48-'[1]Pizza Sales Calculations'!$C48)*24*60</f>
        <v>2.9666666581761092</v>
      </c>
      <c r="M48">
        <f>COUNTA('[1]Pizza Sales Calculations'!$D48:$F48)</f>
        <v>1</v>
      </c>
      <c r="N48">
        <f>IFERROR(VLOOKUP(D48,[1]Parameters!$A$3:$C$5,3,FALSE),0)</f>
        <v>2.2999999999999998</v>
      </c>
      <c r="O48">
        <f>IFERROR(VLOOKUP(E48,[1]Parameters!$A$3:$C$5,3,FALSE),0)</f>
        <v>0</v>
      </c>
      <c r="P48">
        <f>IFERROR(VLOOKUP(F48,[1]Parameters!$A$3:$C$5,3,FALSE),0)</f>
        <v>0</v>
      </c>
      <c r="Q48">
        <f t="shared" si="0"/>
        <v>2.2999999999999998</v>
      </c>
      <c r="R48" s="10">
        <f>IF('[1]Pizza Sales Calculations'!$G48=TRUE, [1]Parameters!$B$17*'[1]Pizza Sales Calculations'!$L48*2, 0)</f>
        <v>0</v>
      </c>
      <c r="S48" t="str">
        <f>IF(I48&lt;[1]Parameters!$B$21,"TRUE","FALSE")</f>
        <v>TRUE</v>
      </c>
      <c r="T48" s="5">
        <f>(I48/[1]Parameters!$B$25)*60</f>
        <v>0</v>
      </c>
      <c r="U48" s="10">
        <f>IF(AND('[1]Pizza Sales Calculations'!G48=TRUE,'[1]Pizza Sales Calculations'!S48="TRUE"),T48*[1]Parameters!$B$40*2,0)</f>
        <v>0</v>
      </c>
      <c r="V48">
        <f>INDEX([1]Parameters!$A$3:$C$5,MATCH('[1]Pizza Sales Calculations'!D48,[1]Parameters!$A$3:$A$5,0),2)</f>
        <v>14</v>
      </c>
      <c r="W48" t="e">
        <f>INDEX([1]Parameters!$A$3:$C$5,MATCH('[1]Pizza Sales Calculations'!E48,[1]Parameters!$A$3:$A$5,0),2)</f>
        <v>#N/A</v>
      </c>
      <c r="X48" t="e">
        <f>INDEX([1]Parameters!$A$3:$C$5,MATCH('[1]Pizza Sales Calculations'!F48,[1]Parameters!$A$3:$A$5,0),2)</f>
        <v>#N/A</v>
      </c>
    </row>
    <row r="49" spans="1:24" x14ac:dyDescent="0.3">
      <c r="A49">
        <v>48</v>
      </c>
      <c r="B49" s="14">
        <v>42371.466284722221</v>
      </c>
      <c r="C49" s="14">
        <v>42371.476712962962</v>
      </c>
      <c r="D49" t="s">
        <v>4</v>
      </c>
      <c r="G49" t="b">
        <v>1</v>
      </c>
      <c r="H49">
        <v>70806</v>
      </c>
      <c r="I49" s="5">
        <v>2.7278589041508998</v>
      </c>
      <c r="J49" s="14">
        <v>42371.486180555556</v>
      </c>
      <c r="K49">
        <v>11.59</v>
      </c>
      <c r="L49" s="5">
        <f>('[1]Pizza Sales Calculations'!$J49-'[1]Pizza Sales Calculations'!$C49)*24*60</f>
        <v>13.633333335164934</v>
      </c>
      <c r="M49">
        <f>COUNTA('[1]Pizza Sales Calculations'!$D49:$F49)</f>
        <v>1</v>
      </c>
      <c r="N49">
        <f>IFERROR(VLOOKUP(D49,[1]Parameters!$A$3:$C$5,3,FALSE),0)</f>
        <v>1.7</v>
      </c>
      <c r="O49">
        <f>IFERROR(VLOOKUP(E49,[1]Parameters!$A$3:$C$5,3,FALSE),0)</f>
        <v>0</v>
      </c>
      <c r="P49">
        <f>IFERROR(VLOOKUP(F49,[1]Parameters!$A$3:$C$5,3,FALSE),0)</f>
        <v>0</v>
      </c>
      <c r="Q49">
        <f t="shared" si="0"/>
        <v>1.7</v>
      </c>
      <c r="R49" s="10">
        <f>IF('[1]Pizza Sales Calculations'!$G49=TRUE, [1]Parameters!$B$17*'[1]Pizza Sales Calculations'!$L49*2, 0)</f>
        <v>3.8627777782967314</v>
      </c>
      <c r="S49" t="str">
        <f>IF(I49&lt;[1]Parameters!$B$21,"TRUE","FALSE")</f>
        <v>TRUE</v>
      </c>
      <c r="T49" s="5">
        <f>(I49/[1]Parameters!$B$25)*60</f>
        <v>5.4557178083017996</v>
      </c>
      <c r="U49" s="10">
        <f>IF(AND('[1]Pizza Sales Calculations'!G49=TRUE,'[1]Pizza Sales Calculations'!S49="TRUE"),T49*[1]Parameters!$B$40*2,0)</f>
        <v>0.34056024380741351</v>
      </c>
      <c r="V49">
        <f>INDEX([1]Parameters!$A$3:$C$5,MATCH('[1]Pizza Sales Calculations'!D49,[1]Parameters!$A$3:$A$5,0),2)</f>
        <v>10</v>
      </c>
      <c r="W49" t="e">
        <f>INDEX([1]Parameters!$A$3:$C$5,MATCH('[1]Pizza Sales Calculations'!E49,[1]Parameters!$A$3:$A$5,0),2)</f>
        <v>#N/A</v>
      </c>
      <c r="X49" t="e">
        <f>INDEX([1]Parameters!$A$3:$C$5,MATCH('[1]Pizza Sales Calculations'!F49,[1]Parameters!$A$3:$A$5,0),2)</f>
        <v>#N/A</v>
      </c>
    </row>
    <row r="50" spans="1:24" x14ac:dyDescent="0.3">
      <c r="A50">
        <v>49</v>
      </c>
      <c r="B50" s="14">
        <v>42371.580428240741</v>
      </c>
      <c r="C50" s="14">
        <v>42371.590810185182</v>
      </c>
      <c r="D50" t="s">
        <v>4</v>
      </c>
      <c r="G50" t="b">
        <v>0</v>
      </c>
      <c r="H50">
        <v>70804</v>
      </c>
      <c r="I50" s="5">
        <v>0</v>
      </c>
      <c r="J50" s="14">
        <v>42371.592881944445</v>
      </c>
      <c r="K50">
        <v>11.59</v>
      </c>
      <c r="L50" s="5">
        <f>('[1]Pizza Sales Calculations'!$J50-'[1]Pizza Sales Calculations'!$C50)*24*60</f>
        <v>2.9833333392161876</v>
      </c>
      <c r="M50">
        <f>COUNTA('[1]Pizza Sales Calculations'!$D50:$F50)</f>
        <v>1</v>
      </c>
      <c r="N50">
        <f>IFERROR(VLOOKUP(D50,[1]Parameters!$A$3:$C$5,3,FALSE),0)</f>
        <v>1.7</v>
      </c>
      <c r="O50">
        <f>IFERROR(VLOOKUP(E50,[1]Parameters!$A$3:$C$5,3,FALSE),0)</f>
        <v>0</v>
      </c>
      <c r="P50">
        <f>IFERROR(VLOOKUP(F50,[1]Parameters!$A$3:$C$5,3,FALSE),0)</f>
        <v>0</v>
      </c>
      <c r="Q50">
        <f t="shared" si="0"/>
        <v>1.7</v>
      </c>
      <c r="R50" s="10">
        <f>IF('[1]Pizza Sales Calculations'!$G50=TRUE, [1]Parameters!$B$17*'[1]Pizza Sales Calculations'!$L50*2, 0)</f>
        <v>0</v>
      </c>
      <c r="S50" t="str">
        <f>IF(I50&lt;[1]Parameters!$B$21,"TRUE","FALSE")</f>
        <v>TRUE</v>
      </c>
      <c r="T50" s="5">
        <f>(I50/[1]Parameters!$B$25)*60</f>
        <v>0</v>
      </c>
      <c r="U50" s="10">
        <f>IF(AND('[1]Pizza Sales Calculations'!G50=TRUE,'[1]Pizza Sales Calculations'!S50="TRUE"),T50*[1]Parameters!$B$40*2,0)</f>
        <v>0</v>
      </c>
      <c r="V50">
        <f>INDEX([1]Parameters!$A$3:$C$5,MATCH('[1]Pizza Sales Calculations'!D50,[1]Parameters!$A$3:$A$5,0),2)</f>
        <v>10</v>
      </c>
      <c r="W50" t="e">
        <f>INDEX([1]Parameters!$A$3:$C$5,MATCH('[1]Pizza Sales Calculations'!E50,[1]Parameters!$A$3:$A$5,0),2)</f>
        <v>#N/A</v>
      </c>
      <c r="X50" t="e">
        <f>INDEX([1]Parameters!$A$3:$C$5,MATCH('[1]Pizza Sales Calculations'!F50,[1]Parameters!$A$3:$A$5,0),2)</f>
        <v>#N/A</v>
      </c>
    </row>
    <row r="51" spans="1:24" x14ac:dyDescent="0.3">
      <c r="A51">
        <v>50</v>
      </c>
      <c r="B51" s="14">
        <v>42371.571620370371</v>
      </c>
      <c r="C51" s="14">
        <v>42371.582025462965</v>
      </c>
      <c r="D51" t="s">
        <v>4</v>
      </c>
      <c r="G51" t="b">
        <v>1</v>
      </c>
      <c r="H51">
        <v>70804</v>
      </c>
      <c r="I51" s="5">
        <v>2.9843168107281</v>
      </c>
      <c r="J51" s="14">
        <v>42371.59238425926</v>
      </c>
      <c r="K51">
        <v>11.59</v>
      </c>
      <c r="L51" s="5">
        <f>('[1]Pizza Sales Calculations'!$J51-'[1]Pizza Sales Calculations'!$C51)*24*60</f>
        <v>14.916666664648801</v>
      </c>
      <c r="M51">
        <f>COUNTA('[1]Pizza Sales Calculations'!$D51:$F51)</f>
        <v>1</v>
      </c>
      <c r="N51">
        <f>IFERROR(VLOOKUP(D51,[1]Parameters!$A$3:$C$5,3,FALSE),0)</f>
        <v>1.7</v>
      </c>
      <c r="O51">
        <f>IFERROR(VLOOKUP(E51,[1]Parameters!$A$3:$C$5,3,FALSE),0)</f>
        <v>0</v>
      </c>
      <c r="P51">
        <f>IFERROR(VLOOKUP(F51,[1]Parameters!$A$3:$C$5,3,FALSE),0)</f>
        <v>0</v>
      </c>
      <c r="Q51">
        <f t="shared" si="0"/>
        <v>1.7</v>
      </c>
      <c r="R51" s="10">
        <f>IF('[1]Pizza Sales Calculations'!$G51=TRUE, [1]Parameters!$B$17*'[1]Pizza Sales Calculations'!$L51*2, 0)</f>
        <v>4.2263888883171603</v>
      </c>
      <c r="S51" t="str">
        <f>IF(I51&lt;[1]Parameters!$B$21,"TRUE","FALSE")</f>
        <v>TRUE</v>
      </c>
      <c r="T51" s="5">
        <f>(I51/[1]Parameters!$B$25)*60</f>
        <v>5.9686336214561999</v>
      </c>
      <c r="U51" s="10">
        <f>IF(AND('[1]Pizza Sales Calculations'!G51=TRUE,'[1]Pizza Sales Calculations'!S51="TRUE"),T51*[1]Parameters!$B$40*2,0)</f>
        <v>0.37257779686243714</v>
      </c>
      <c r="V51">
        <f>INDEX([1]Parameters!$A$3:$C$5,MATCH('[1]Pizza Sales Calculations'!D51,[1]Parameters!$A$3:$A$5,0),2)</f>
        <v>10</v>
      </c>
      <c r="W51" t="e">
        <f>INDEX([1]Parameters!$A$3:$C$5,MATCH('[1]Pizza Sales Calculations'!E51,[1]Parameters!$A$3:$A$5,0),2)</f>
        <v>#N/A</v>
      </c>
      <c r="X51" t="e">
        <f>INDEX([1]Parameters!$A$3:$C$5,MATCH('[1]Pizza Sales Calculations'!F51,[1]Parameters!$A$3:$A$5,0),2)</f>
        <v>#N/A</v>
      </c>
    </row>
    <row r="52" spans="1:24" x14ac:dyDescent="0.3">
      <c r="A52">
        <v>51</v>
      </c>
      <c r="B52" s="14">
        <v>42371.4690162037</v>
      </c>
      <c r="C52" s="14">
        <v>42371.479409722226</v>
      </c>
      <c r="D52" t="s">
        <v>4</v>
      </c>
      <c r="E52" t="s">
        <v>5</v>
      </c>
      <c r="G52" t="b">
        <v>1</v>
      </c>
      <c r="H52">
        <v>70805</v>
      </c>
      <c r="I52" s="5">
        <v>3.1715635740238399</v>
      </c>
      <c r="J52" s="14">
        <v>42371.490416666667</v>
      </c>
      <c r="K52">
        <v>25.94</v>
      </c>
      <c r="L52" s="5">
        <f>('[1]Pizza Sales Calculations'!$J52-'[1]Pizza Sales Calculations'!$C52)*24*60</f>
        <v>15.849999996135011</v>
      </c>
      <c r="M52">
        <f>COUNTA('[1]Pizza Sales Calculations'!$D52:$F52)</f>
        <v>2</v>
      </c>
      <c r="N52">
        <f>IFERROR(VLOOKUP(D52,[1]Parameters!$A$3:$C$5,3,FALSE),0)</f>
        <v>1.7</v>
      </c>
      <c r="O52">
        <f>IFERROR(VLOOKUP(E52,[1]Parameters!$A$3:$C$5,3,FALSE),0)</f>
        <v>2.2999999999999998</v>
      </c>
      <c r="P52">
        <f>IFERROR(VLOOKUP(F52,[1]Parameters!$A$3:$C$5,3,FALSE),0)</f>
        <v>0</v>
      </c>
      <c r="Q52">
        <f t="shared" si="0"/>
        <v>4</v>
      </c>
      <c r="R52" s="10">
        <f>IF('[1]Pizza Sales Calculations'!$G52=TRUE, [1]Parameters!$B$17*'[1]Pizza Sales Calculations'!$L52*2, 0)</f>
        <v>4.4908333322382532</v>
      </c>
      <c r="S52" t="str">
        <f>IF(I52&lt;[1]Parameters!$B$21,"TRUE","FALSE")</f>
        <v>TRUE</v>
      </c>
      <c r="T52" s="5">
        <f>(I52/[1]Parameters!$B$25)*60</f>
        <v>6.3431271480476799</v>
      </c>
      <c r="U52" s="10">
        <f>IF(AND('[1]Pizza Sales Calculations'!G52=TRUE,'[1]Pizza Sales Calculations'!S52="TRUE"),T52*[1]Parameters!$B$40*2,0)</f>
        <v>0.39595466700154558</v>
      </c>
      <c r="V52">
        <f>INDEX([1]Parameters!$A$3:$C$5,MATCH('[1]Pizza Sales Calculations'!D52,[1]Parameters!$A$3:$A$5,0),2)</f>
        <v>10</v>
      </c>
      <c r="W52">
        <f>INDEX([1]Parameters!$A$3:$C$5,MATCH('[1]Pizza Sales Calculations'!E52,[1]Parameters!$A$3:$A$5,0),2)</f>
        <v>14</v>
      </c>
      <c r="X52" t="e">
        <f>INDEX([1]Parameters!$A$3:$C$5,MATCH('[1]Pizza Sales Calculations'!F52,[1]Parameters!$A$3:$A$5,0),2)</f>
        <v>#N/A</v>
      </c>
    </row>
    <row r="53" spans="1:24" x14ac:dyDescent="0.3">
      <c r="A53">
        <v>52</v>
      </c>
      <c r="B53" s="14">
        <v>42371.503101851849</v>
      </c>
      <c r="C53" s="14">
        <v>42371.51353009259</v>
      </c>
      <c r="D53" t="s">
        <v>5</v>
      </c>
      <c r="G53" t="b">
        <v>1</v>
      </c>
      <c r="H53">
        <v>70805</v>
      </c>
      <c r="I53" s="5">
        <v>4.0929925502637703</v>
      </c>
      <c r="J53" s="14">
        <v>42371.527731481481</v>
      </c>
      <c r="K53">
        <v>15.35</v>
      </c>
      <c r="L53" s="5">
        <f>('[1]Pizza Sales Calculations'!$J53-'[1]Pizza Sales Calculations'!$C53)*24*60</f>
        <v>20.450000002747402</v>
      </c>
      <c r="M53">
        <f>COUNTA('[1]Pizza Sales Calculations'!$D53:$F53)</f>
        <v>1</v>
      </c>
      <c r="N53">
        <f>IFERROR(VLOOKUP(D53,[1]Parameters!$A$3:$C$5,3,FALSE),0)</f>
        <v>2.2999999999999998</v>
      </c>
      <c r="O53">
        <f>IFERROR(VLOOKUP(E53,[1]Parameters!$A$3:$C$5,3,FALSE),0)</f>
        <v>0</v>
      </c>
      <c r="P53">
        <f>IFERROR(VLOOKUP(F53,[1]Parameters!$A$3:$C$5,3,FALSE),0)</f>
        <v>0</v>
      </c>
      <c r="Q53">
        <f t="shared" si="0"/>
        <v>2.2999999999999998</v>
      </c>
      <c r="R53" s="10">
        <f>IF('[1]Pizza Sales Calculations'!$G53=TRUE, [1]Parameters!$B$17*'[1]Pizza Sales Calculations'!$L53*2, 0)</f>
        <v>5.7941666674450971</v>
      </c>
      <c r="S53" t="str">
        <f>IF(I53&lt;[1]Parameters!$B$21,"TRUE","FALSE")</f>
        <v>FALSE</v>
      </c>
      <c r="T53" s="5">
        <f>(I53/[1]Parameters!$B$25)*60</f>
        <v>8.1859851005275406</v>
      </c>
      <c r="U53" s="10">
        <f>IF(AND('[1]Pizza Sales Calculations'!G53=TRUE,'[1]Pizza Sales Calculations'!S53="TRUE"),T53*[1]Parameters!$B$40*2,0)</f>
        <v>0</v>
      </c>
      <c r="V53">
        <f>INDEX([1]Parameters!$A$3:$C$5,MATCH('[1]Pizza Sales Calculations'!D53,[1]Parameters!$A$3:$A$5,0),2)</f>
        <v>14</v>
      </c>
      <c r="W53" t="e">
        <f>INDEX([1]Parameters!$A$3:$C$5,MATCH('[1]Pizza Sales Calculations'!E53,[1]Parameters!$A$3:$A$5,0),2)</f>
        <v>#N/A</v>
      </c>
      <c r="X53" t="e">
        <f>INDEX([1]Parameters!$A$3:$C$5,MATCH('[1]Pizza Sales Calculations'!F53,[1]Parameters!$A$3:$A$5,0),2)</f>
        <v>#N/A</v>
      </c>
    </row>
    <row r="54" spans="1:24" x14ac:dyDescent="0.3">
      <c r="A54">
        <v>53</v>
      </c>
      <c r="B54" s="14">
        <v>42371.436608796299</v>
      </c>
      <c r="C54" s="14">
        <v>42371.447013888886</v>
      </c>
      <c r="D54" t="s">
        <v>3</v>
      </c>
      <c r="E54" t="s">
        <v>4</v>
      </c>
      <c r="G54" t="b">
        <v>0</v>
      </c>
      <c r="H54">
        <v>70803</v>
      </c>
      <c r="I54" s="5">
        <v>0</v>
      </c>
      <c r="J54" s="14">
        <v>42371.449108796296</v>
      </c>
      <c r="K54">
        <v>19.579999999999998</v>
      </c>
      <c r="L54" s="5">
        <f>('[1]Pizza Sales Calculations'!$J54-'[1]Pizza Sales Calculations'!$C54)*24*60</f>
        <v>3.0166666698642075</v>
      </c>
      <c r="M54">
        <f>COUNTA('[1]Pizza Sales Calculations'!$D54:$F54)</f>
        <v>2</v>
      </c>
      <c r="N54">
        <f>IFERROR(VLOOKUP(D54,[1]Parameters!$A$3:$C$5,3,FALSE),0)</f>
        <v>1</v>
      </c>
      <c r="O54">
        <f>IFERROR(VLOOKUP(E54,[1]Parameters!$A$3:$C$5,3,FALSE),0)</f>
        <v>1.7</v>
      </c>
      <c r="P54">
        <f>IFERROR(VLOOKUP(F54,[1]Parameters!$A$3:$C$5,3,FALSE),0)</f>
        <v>0</v>
      </c>
      <c r="Q54">
        <f t="shared" si="0"/>
        <v>2.7</v>
      </c>
      <c r="R54" s="10">
        <f>IF('[1]Pizza Sales Calculations'!$G54=TRUE, [1]Parameters!$B$17*'[1]Pizza Sales Calculations'!$L54*2, 0)</f>
        <v>0</v>
      </c>
      <c r="S54" t="str">
        <f>IF(I54&lt;[1]Parameters!$B$21,"TRUE","FALSE")</f>
        <v>TRUE</v>
      </c>
      <c r="T54" s="5">
        <f>(I54/[1]Parameters!$B$25)*60</f>
        <v>0</v>
      </c>
      <c r="U54" s="10">
        <f>IF(AND('[1]Pizza Sales Calculations'!G54=TRUE,'[1]Pizza Sales Calculations'!S54="TRUE"),T54*[1]Parameters!$B$40*2,0)</f>
        <v>0</v>
      </c>
      <c r="V54">
        <f>INDEX([1]Parameters!$A$3:$C$5,MATCH('[1]Pizza Sales Calculations'!D54,[1]Parameters!$A$3:$A$5,0),2)</f>
        <v>7</v>
      </c>
      <c r="W54">
        <f>INDEX([1]Parameters!$A$3:$C$5,MATCH('[1]Pizza Sales Calculations'!E54,[1]Parameters!$A$3:$A$5,0),2)</f>
        <v>10</v>
      </c>
      <c r="X54" t="e">
        <f>INDEX([1]Parameters!$A$3:$C$5,MATCH('[1]Pizza Sales Calculations'!F54,[1]Parameters!$A$3:$A$5,0),2)</f>
        <v>#N/A</v>
      </c>
    </row>
    <row r="55" spans="1:24" x14ac:dyDescent="0.3">
      <c r="A55">
        <v>54</v>
      </c>
      <c r="B55" s="14">
        <v>42371.482118055559</v>
      </c>
      <c r="C55" s="14">
        <v>42371.492534722223</v>
      </c>
      <c r="D55" t="s">
        <v>5</v>
      </c>
      <c r="G55" t="b">
        <v>1</v>
      </c>
      <c r="H55">
        <v>70804</v>
      </c>
      <c r="I55" s="5">
        <v>2.9103330012913098</v>
      </c>
      <c r="J55" s="14">
        <v>42371.502638888887</v>
      </c>
      <c r="K55">
        <v>15.35</v>
      </c>
      <c r="L55" s="5">
        <f>('[1]Pizza Sales Calculations'!$J55-'[1]Pizza Sales Calculations'!$C55)*24*60</f>
        <v>14.549999996088445</v>
      </c>
      <c r="M55">
        <f>COUNTA('[1]Pizza Sales Calculations'!$D55:$F55)</f>
        <v>1</v>
      </c>
      <c r="N55">
        <f>IFERROR(VLOOKUP(D55,[1]Parameters!$A$3:$C$5,3,FALSE),0)</f>
        <v>2.2999999999999998</v>
      </c>
      <c r="O55">
        <f>IFERROR(VLOOKUP(E55,[1]Parameters!$A$3:$C$5,3,FALSE),0)</f>
        <v>0</v>
      </c>
      <c r="P55">
        <f>IFERROR(VLOOKUP(F55,[1]Parameters!$A$3:$C$5,3,FALSE),0)</f>
        <v>0</v>
      </c>
      <c r="Q55">
        <f t="shared" si="0"/>
        <v>2.2999999999999998</v>
      </c>
      <c r="R55" s="10">
        <f>IF('[1]Pizza Sales Calculations'!$G55=TRUE, [1]Parameters!$B$17*'[1]Pizza Sales Calculations'!$L55*2, 0)</f>
        <v>4.1224999988917261</v>
      </c>
      <c r="S55" t="str">
        <f>IF(I55&lt;[1]Parameters!$B$21,"TRUE","FALSE")</f>
        <v>TRUE</v>
      </c>
      <c r="T55" s="5">
        <f>(I55/[1]Parameters!$B$25)*60</f>
        <v>5.8206660025826196</v>
      </c>
      <c r="U55" s="10">
        <f>IF(AND('[1]Pizza Sales Calculations'!G55=TRUE,'[1]Pizza Sales Calculations'!S55="TRUE"),T55*[1]Parameters!$B$40*2,0)</f>
        <v>0.36334126921753052</v>
      </c>
      <c r="V55">
        <f>INDEX([1]Parameters!$A$3:$C$5,MATCH('[1]Pizza Sales Calculations'!D55,[1]Parameters!$A$3:$A$5,0),2)</f>
        <v>14</v>
      </c>
      <c r="W55" t="e">
        <f>INDEX([1]Parameters!$A$3:$C$5,MATCH('[1]Pizza Sales Calculations'!E55,[1]Parameters!$A$3:$A$5,0),2)</f>
        <v>#N/A</v>
      </c>
      <c r="X55" t="e">
        <f>INDEX([1]Parameters!$A$3:$C$5,MATCH('[1]Pizza Sales Calculations'!F55,[1]Parameters!$A$3:$A$5,0),2)</f>
        <v>#N/A</v>
      </c>
    </row>
    <row r="56" spans="1:24" x14ac:dyDescent="0.3">
      <c r="A56">
        <v>55</v>
      </c>
      <c r="B56" s="14">
        <v>42371.495405092595</v>
      </c>
      <c r="C56" s="14">
        <v>42371.505833333336</v>
      </c>
      <c r="D56" t="s">
        <v>4</v>
      </c>
      <c r="G56" t="b">
        <v>1</v>
      </c>
      <c r="H56">
        <v>70804</v>
      </c>
      <c r="I56" s="5">
        <v>1.1108593723642599</v>
      </c>
      <c r="J56" s="14">
        <v>42371.509687500002</v>
      </c>
      <c r="K56">
        <v>11.59</v>
      </c>
      <c r="L56" s="5">
        <f>('[1]Pizza Sales Calculations'!$J56-'[1]Pizza Sales Calculations'!$C56)*24*60</f>
        <v>5.549999998183921</v>
      </c>
      <c r="M56">
        <f>COUNTA('[1]Pizza Sales Calculations'!$D56:$F56)</f>
        <v>1</v>
      </c>
      <c r="N56">
        <f>IFERROR(VLOOKUP(D56,[1]Parameters!$A$3:$C$5,3,FALSE),0)</f>
        <v>1.7</v>
      </c>
      <c r="O56">
        <f>IFERROR(VLOOKUP(E56,[1]Parameters!$A$3:$C$5,3,FALSE),0)</f>
        <v>0</v>
      </c>
      <c r="P56">
        <f>IFERROR(VLOOKUP(F56,[1]Parameters!$A$3:$C$5,3,FALSE),0)</f>
        <v>0</v>
      </c>
      <c r="Q56">
        <f t="shared" si="0"/>
        <v>1.7</v>
      </c>
      <c r="R56" s="10">
        <f>IF('[1]Pizza Sales Calculations'!$G56=TRUE, [1]Parameters!$B$17*'[1]Pizza Sales Calculations'!$L56*2, 0)</f>
        <v>1.5724999994854443</v>
      </c>
      <c r="S56" t="str">
        <f>IF(I56&lt;[1]Parameters!$B$21,"TRUE","FALSE")</f>
        <v>TRUE</v>
      </c>
      <c r="T56" s="5">
        <f>(I56/[1]Parameters!$B$25)*60</f>
        <v>2.2217187447285198</v>
      </c>
      <c r="U56" s="10">
        <f>IF(AND('[1]Pizza Sales Calculations'!G56=TRUE,'[1]Pizza Sales Calculations'!S56="TRUE"),T56*[1]Parameters!$B$40*2,0)</f>
        <v>0.13868552296178258</v>
      </c>
      <c r="V56">
        <f>INDEX([1]Parameters!$A$3:$C$5,MATCH('[1]Pizza Sales Calculations'!D56,[1]Parameters!$A$3:$A$5,0),2)</f>
        <v>10</v>
      </c>
      <c r="W56" t="e">
        <f>INDEX([1]Parameters!$A$3:$C$5,MATCH('[1]Pizza Sales Calculations'!E56,[1]Parameters!$A$3:$A$5,0),2)</f>
        <v>#N/A</v>
      </c>
      <c r="X56" t="e">
        <f>INDEX([1]Parameters!$A$3:$C$5,MATCH('[1]Pizza Sales Calculations'!F56,[1]Parameters!$A$3:$A$5,0),2)</f>
        <v>#N/A</v>
      </c>
    </row>
    <row r="57" spans="1:24" x14ac:dyDescent="0.3">
      <c r="A57">
        <v>56</v>
      </c>
      <c r="B57" s="14">
        <v>42371.523217592592</v>
      </c>
      <c r="C57" s="14">
        <v>42371.53361111111</v>
      </c>
      <c r="D57" t="s">
        <v>5</v>
      </c>
      <c r="G57" t="b">
        <v>0</v>
      </c>
      <c r="H57">
        <v>70806</v>
      </c>
      <c r="I57" s="5">
        <v>0</v>
      </c>
      <c r="J57" s="14">
        <v>42371.535682870373</v>
      </c>
      <c r="K57">
        <v>15.35</v>
      </c>
      <c r="L57" s="5">
        <f>('[1]Pizza Sales Calculations'!$J57-'[1]Pizza Sales Calculations'!$C57)*24*60</f>
        <v>2.9833333392161876</v>
      </c>
      <c r="M57">
        <f>COUNTA('[1]Pizza Sales Calculations'!$D57:$F57)</f>
        <v>1</v>
      </c>
      <c r="N57">
        <f>IFERROR(VLOOKUP(D57,[1]Parameters!$A$3:$C$5,3,FALSE),0)</f>
        <v>2.2999999999999998</v>
      </c>
      <c r="O57">
        <f>IFERROR(VLOOKUP(E57,[1]Parameters!$A$3:$C$5,3,FALSE),0)</f>
        <v>0</v>
      </c>
      <c r="P57">
        <f>IFERROR(VLOOKUP(F57,[1]Parameters!$A$3:$C$5,3,FALSE),0)</f>
        <v>0</v>
      </c>
      <c r="Q57">
        <f t="shared" si="0"/>
        <v>2.2999999999999998</v>
      </c>
      <c r="R57" s="10">
        <f>IF('[1]Pizza Sales Calculations'!$G57=TRUE, [1]Parameters!$B$17*'[1]Pizza Sales Calculations'!$L57*2, 0)</f>
        <v>0</v>
      </c>
      <c r="S57" t="str">
        <f>IF(I57&lt;[1]Parameters!$B$21,"TRUE","FALSE")</f>
        <v>TRUE</v>
      </c>
      <c r="T57" s="5">
        <f>(I57/[1]Parameters!$B$25)*60</f>
        <v>0</v>
      </c>
      <c r="U57" s="10">
        <f>IF(AND('[1]Pizza Sales Calculations'!G57=TRUE,'[1]Pizza Sales Calculations'!S57="TRUE"),T57*[1]Parameters!$B$40*2,0)</f>
        <v>0</v>
      </c>
      <c r="V57">
        <f>INDEX([1]Parameters!$A$3:$C$5,MATCH('[1]Pizza Sales Calculations'!D57,[1]Parameters!$A$3:$A$5,0),2)</f>
        <v>14</v>
      </c>
      <c r="W57" t="e">
        <f>INDEX([1]Parameters!$A$3:$C$5,MATCH('[1]Pizza Sales Calculations'!E57,[1]Parameters!$A$3:$A$5,0),2)</f>
        <v>#N/A</v>
      </c>
      <c r="X57" t="e">
        <f>INDEX([1]Parameters!$A$3:$C$5,MATCH('[1]Pizza Sales Calculations'!F57,[1]Parameters!$A$3:$A$5,0),2)</f>
        <v>#N/A</v>
      </c>
    </row>
    <row r="58" spans="1:24" x14ac:dyDescent="0.3">
      <c r="A58">
        <v>57</v>
      </c>
      <c r="B58" s="14">
        <v>42371.515879629631</v>
      </c>
      <c r="C58" s="14">
        <v>42371.526273148149</v>
      </c>
      <c r="D58" t="s">
        <v>3</v>
      </c>
      <c r="E58" t="s">
        <v>4</v>
      </c>
      <c r="G58" t="b">
        <v>0</v>
      </c>
      <c r="H58">
        <v>70806</v>
      </c>
      <c r="I58" s="5">
        <v>0</v>
      </c>
      <c r="J58" s="14">
        <v>42371.528344907405</v>
      </c>
      <c r="K58">
        <v>19.579999999999998</v>
      </c>
      <c r="L58" s="5">
        <f>('[1]Pizza Sales Calculations'!$J58-'[1]Pizza Sales Calculations'!$C58)*24*60</f>
        <v>2.9833333287388086</v>
      </c>
      <c r="M58">
        <f>COUNTA('[1]Pizza Sales Calculations'!$D58:$F58)</f>
        <v>2</v>
      </c>
      <c r="N58">
        <f>IFERROR(VLOOKUP(D58,[1]Parameters!$A$3:$C$5,3,FALSE),0)</f>
        <v>1</v>
      </c>
      <c r="O58">
        <f>IFERROR(VLOOKUP(E58,[1]Parameters!$A$3:$C$5,3,FALSE),0)</f>
        <v>1.7</v>
      </c>
      <c r="P58">
        <f>IFERROR(VLOOKUP(F58,[1]Parameters!$A$3:$C$5,3,FALSE),0)</f>
        <v>0</v>
      </c>
      <c r="Q58">
        <f t="shared" si="0"/>
        <v>2.7</v>
      </c>
      <c r="R58" s="10">
        <f>IF('[1]Pizza Sales Calculations'!$G58=TRUE, [1]Parameters!$B$17*'[1]Pizza Sales Calculations'!$L58*2, 0)</f>
        <v>0</v>
      </c>
      <c r="S58" t="str">
        <f>IF(I58&lt;[1]Parameters!$B$21,"TRUE","FALSE")</f>
        <v>TRUE</v>
      </c>
      <c r="T58" s="5">
        <f>(I58/[1]Parameters!$B$25)*60</f>
        <v>0</v>
      </c>
      <c r="U58" s="10">
        <f>IF(AND('[1]Pizza Sales Calculations'!G58=TRUE,'[1]Pizza Sales Calculations'!S58="TRUE"),T58*[1]Parameters!$B$40*2,0)</f>
        <v>0</v>
      </c>
      <c r="V58">
        <f>INDEX([1]Parameters!$A$3:$C$5,MATCH('[1]Pizza Sales Calculations'!D58,[1]Parameters!$A$3:$A$5,0),2)</f>
        <v>7</v>
      </c>
      <c r="W58">
        <f>INDEX([1]Parameters!$A$3:$C$5,MATCH('[1]Pizza Sales Calculations'!E58,[1]Parameters!$A$3:$A$5,0),2)</f>
        <v>10</v>
      </c>
      <c r="X58" t="e">
        <f>INDEX([1]Parameters!$A$3:$C$5,MATCH('[1]Pizza Sales Calculations'!F58,[1]Parameters!$A$3:$A$5,0),2)</f>
        <v>#N/A</v>
      </c>
    </row>
    <row r="59" spans="1:24" x14ac:dyDescent="0.3">
      <c r="A59">
        <v>58</v>
      </c>
      <c r="B59" s="14">
        <v>42371.476840277777</v>
      </c>
      <c r="C59" s="14">
        <v>42371.487256944441</v>
      </c>
      <c r="D59" t="s">
        <v>5</v>
      </c>
      <c r="G59" t="b">
        <v>0</v>
      </c>
      <c r="H59">
        <v>70805</v>
      </c>
      <c r="I59" s="5">
        <v>0</v>
      </c>
      <c r="J59" s="14">
        <v>42371.489340277774</v>
      </c>
      <c r="K59">
        <v>15.35</v>
      </c>
      <c r="L59" s="5">
        <f>('[1]Pizza Sales Calculations'!$J59-'[1]Pizza Sales Calculations'!$C59)*24*60</f>
        <v>2.9999999993015081</v>
      </c>
      <c r="M59">
        <f>COUNTA('[1]Pizza Sales Calculations'!$D59:$F59)</f>
        <v>1</v>
      </c>
      <c r="N59">
        <f>IFERROR(VLOOKUP(D59,[1]Parameters!$A$3:$C$5,3,FALSE),0)</f>
        <v>2.2999999999999998</v>
      </c>
      <c r="O59">
        <f>IFERROR(VLOOKUP(E59,[1]Parameters!$A$3:$C$5,3,FALSE),0)</f>
        <v>0</v>
      </c>
      <c r="P59">
        <f>IFERROR(VLOOKUP(F59,[1]Parameters!$A$3:$C$5,3,FALSE),0)</f>
        <v>0</v>
      </c>
      <c r="Q59">
        <f t="shared" si="0"/>
        <v>2.2999999999999998</v>
      </c>
      <c r="R59" s="10">
        <f>IF('[1]Pizza Sales Calculations'!$G59=TRUE, [1]Parameters!$B$17*'[1]Pizza Sales Calculations'!$L59*2, 0)</f>
        <v>0</v>
      </c>
      <c r="S59" t="str">
        <f>IF(I59&lt;[1]Parameters!$B$21,"TRUE","FALSE")</f>
        <v>TRUE</v>
      </c>
      <c r="T59" s="5">
        <f>(I59/[1]Parameters!$B$25)*60</f>
        <v>0</v>
      </c>
      <c r="U59" s="10">
        <f>IF(AND('[1]Pizza Sales Calculations'!G59=TRUE,'[1]Pizza Sales Calculations'!S59="TRUE"),T59*[1]Parameters!$B$40*2,0)</f>
        <v>0</v>
      </c>
      <c r="V59">
        <f>INDEX([1]Parameters!$A$3:$C$5,MATCH('[1]Pizza Sales Calculations'!D59,[1]Parameters!$A$3:$A$5,0),2)</f>
        <v>14</v>
      </c>
      <c r="W59" t="e">
        <f>INDEX([1]Parameters!$A$3:$C$5,MATCH('[1]Pizza Sales Calculations'!E59,[1]Parameters!$A$3:$A$5,0),2)</f>
        <v>#N/A</v>
      </c>
      <c r="X59" t="e">
        <f>INDEX([1]Parameters!$A$3:$C$5,MATCH('[1]Pizza Sales Calculations'!F59,[1]Parameters!$A$3:$A$5,0),2)</f>
        <v>#N/A</v>
      </c>
    </row>
    <row r="60" spans="1:24" x14ac:dyDescent="0.3">
      <c r="A60">
        <v>59</v>
      </c>
      <c r="B60" s="14">
        <v>42371.471342592595</v>
      </c>
      <c r="C60" s="14">
        <v>42371.481747685182</v>
      </c>
      <c r="D60" t="s">
        <v>3</v>
      </c>
      <c r="E60" t="s">
        <v>4</v>
      </c>
      <c r="G60" t="b">
        <v>1</v>
      </c>
      <c r="H60">
        <v>70804</v>
      </c>
      <c r="I60" s="5">
        <v>3.1454836643385198</v>
      </c>
      <c r="J60" s="14">
        <v>42371.492662037039</v>
      </c>
      <c r="K60">
        <v>19.579999999999998</v>
      </c>
      <c r="L60" s="5">
        <f>('[1]Pizza Sales Calculations'!$J60-'[1]Pizza Sales Calculations'!$C60)*24*60</f>
        <v>15.716666673542932</v>
      </c>
      <c r="M60">
        <f>COUNTA('[1]Pizza Sales Calculations'!$D60:$F60)</f>
        <v>2</v>
      </c>
      <c r="N60">
        <f>IFERROR(VLOOKUP(D60,[1]Parameters!$A$3:$C$5,3,FALSE),0)</f>
        <v>1</v>
      </c>
      <c r="O60">
        <f>IFERROR(VLOOKUP(E60,[1]Parameters!$A$3:$C$5,3,FALSE),0)</f>
        <v>1.7</v>
      </c>
      <c r="P60">
        <f>IFERROR(VLOOKUP(F60,[1]Parameters!$A$3:$C$5,3,FALSE),0)</f>
        <v>0</v>
      </c>
      <c r="Q60">
        <f t="shared" si="0"/>
        <v>2.7</v>
      </c>
      <c r="R60" s="10">
        <f>IF('[1]Pizza Sales Calculations'!$G60=TRUE, [1]Parameters!$B$17*'[1]Pizza Sales Calculations'!$L60*2, 0)</f>
        <v>4.4530555575038306</v>
      </c>
      <c r="S60" t="str">
        <f>IF(I60&lt;[1]Parameters!$B$21,"TRUE","FALSE")</f>
        <v>TRUE</v>
      </c>
      <c r="T60" s="5">
        <f>(I60/[1]Parameters!$B$25)*60</f>
        <v>6.2909673286770396</v>
      </c>
      <c r="U60" s="10">
        <f>IF(AND('[1]Pizza Sales Calculations'!G60=TRUE,'[1]Pizza Sales Calculations'!S60="TRUE"),T60*[1]Parameters!$B$40*2,0)</f>
        <v>0.39269871399481465</v>
      </c>
      <c r="V60">
        <f>INDEX([1]Parameters!$A$3:$C$5,MATCH('[1]Pizza Sales Calculations'!D60,[1]Parameters!$A$3:$A$5,0),2)</f>
        <v>7</v>
      </c>
      <c r="W60">
        <f>INDEX([1]Parameters!$A$3:$C$5,MATCH('[1]Pizza Sales Calculations'!E60,[1]Parameters!$A$3:$A$5,0),2)</f>
        <v>10</v>
      </c>
      <c r="X60" t="e">
        <f>INDEX([1]Parameters!$A$3:$C$5,MATCH('[1]Pizza Sales Calculations'!F60,[1]Parameters!$A$3:$A$5,0),2)</f>
        <v>#N/A</v>
      </c>
    </row>
    <row r="61" spans="1:24" x14ac:dyDescent="0.3">
      <c r="A61">
        <v>60</v>
      </c>
      <c r="B61" s="14">
        <v>42371.458136574074</v>
      </c>
      <c r="C61" s="14">
        <v>42371.468518518515</v>
      </c>
      <c r="D61" t="s">
        <v>4</v>
      </c>
      <c r="G61" t="b">
        <v>1</v>
      </c>
      <c r="H61">
        <v>70807</v>
      </c>
      <c r="I61" s="5">
        <v>3.16189765547839</v>
      </c>
      <c r="J61" s="14">
        <v>42371.479490740741</v>
      </c>
      <c r="K61">
        <v>11.59</v>
      </c>
      <c r="L61" s="5">
        <f>('[1]Pizza Sales Calculations'!$J61-'[1]Pizza Sales Calculations'!$C61)*24*60</f>
        <v>15.800000005401671</v>
      </c>
      <c r="M61">
        <f>COUNTA('[1]Pizza Sales Calculations'!$D61:$F61)</f>
        <v>1</v>
      </c>
      <c r="N61">
        <f>IFERROR(VLOOKUP(D61,[1]Parameters!$A$3:$C$5,3,FALSE),0)</f>
        <v>1.7</v>
      </c>
      <c r="O61">
        <f>IFERROR(VLOOKUP(E61,[1]Parameters!$A$3:$C$5,3,FALSE),0)</f>
        <v>0</v>
      </c>
      <c r="P61">
        <f>IFERROR(VLOOKUP(F61,[1]Parameters!$A$3:$C$5,3,FALSE),0)</f>
        <v>0</v>
      </c>
      <c r="Q61">
        <f t="shared" si="0"/>
        <v>1.7</v>
      </c>
      <c r="R61" s="10">
        <f>IF('[1]Pizza Sales Calculations'!$G61=TRUE, [1]Parameters!$B$17*'[1]Pizza Sales Calculations'!$L61*2, 0)</f>
        <v>4.4766666681971401</v>
      </c>
      <c r="S61" t="str">
        <f>IF(I61&lt;[1]Parameters!$B$21,"TRUE","FALSE")</f>
        <v>TRUE</v>
      </c>
      <c r="T61" s="5">
        <f>(I61/[1]Parameters!$B$25)*60</f>
        <v>6.3237953109567799</v>
      </c>
      <c r="U61" s="10">
        <f>IF(AND('[1]Pizza Sales Calculations'!G61=TRUE,'[1]Pizza Sales Calculations'!S61="TRUE"),T61*[1]Parameters!$B$40*2,0)</f>
        <v>0.39474792292418442</v>
      </c>
      <c r="V61">
        <f>INDEX([1]Parameters!$A$3:$C$5,MATCH('[1]Pizza Sales Calculations'!D61,[1]Parameters!$A$3:$A$5,0),2)</f>
        <v>10</v>
      </c>
      <c r="W61" t="e">
        <f>INDEX([1]Parameters!$A$3:$C$5,MATCH('[1]Pizza Sales Calculations'!E61,[1]Parameters!$A$3:$A$5,0),2)</f>
        <v>#N/A</v>
      </c>
      <c r="X61" t="e">
        <f>INDEX([1]Parameters!$A$3:$C$5,MATCH('[1]Pizza Sales Calculations'!F61,[1]Parameters!$A$3:$A$5,0),2)</f>
        <v>#N/A</v>
      </c>
    </row>
    <row r="62" spans="1:24" x14ac:dyDescent="0.3">
      <c r="A62">
        <v>61</v>
      </c>
      <c r="B62" s="14">
        <v>42371.489085648151</v>
      </c>
      <c r="C62" s="14">
        <v>42371.499513888892</v>
      </c>
      <c r="D62" t="s">
        <v>3</v>
      </c>
      <c r="G62" t="b">
        <v>0</v>
      </c>
      <c r="H62">
        <v>70804</v>
      </c>
      <c r="I62" s="5">
        <v>0</v>
      </c>
      <c r="J62" s="14">
        <v>42371.501585648148</v>
      </c>
      <c r="K62">
        <v>7.99</v>
      </c>
      <c r="L62" s="5">
        <f>('[1]Pizza Sales Calculations'!$J62-'[1]Pizza Sales Calculations'!$C62)*24*60</f>
        <v>2.9833333287388086</v>
      </c>
      <c r="M62">
        <f>COUNTA('[1]Pizza Sales Calculations'!$D62:$F62)</f>
        <v>1</v>
      </c>
      <c r="N62">
        <f>IFERROR(VLOOKUP(D62,[1]Parameters!$A$3:$C$5,3,FALSE),0)</f>
        <v>1</v>
      </c>
      <c r="O62">
        <f>IFERROR(VLOOKUP(E62,[1]Parameters!$A$3:$C$5,3,FALSE),0)</f>
        <v>0</v>
      </c>
      <c r="P62">
        <f>IFERROR(VLOOKUP(F62,[1]Parameters!$A$3:$C$5,3,FALSE),0)</f>
        <v>0</v>
      </c>
      <c r="Q62">
        <f t="shared" si="0"/>
        <v>1</v>
      </c>
      <c r="R62" s="10">
        <f>IF('[1]Pizza Sales Calculations'!$G62=TRUE, [1]Parameters!$B$17*'[1]Pizza Sales Calculations'!$L62*2, 0)</f>
        <v>0</v>
      </c>
      <c r="S62" t="str">
        <f>IF(I62&lt;[1]Parameters!$B$21,"TRUE","FALSE")</f>
        <v>TRUE</v>
      </c>
      <c r="T62" s="5">
        <f>(I62/[1]Parameters!$B$25)*60</f>
        <v>0</v>
      </c>
      <c r="U62" s="10">
        <f>IF(AND('[1]Pizza Sales Calculations'!G62=TRUE,'[1]Pizza Sales Calculations'!S62="TRUE"),T62*[1]Parameters!$B$40*2,0)</f>
        <v>0</v>
      </c>
      <c r="V62">
        <f>INDEX([1]Parameters!$A$3:$C$5,MATCH('[1]Pizza Sales Calculations'!D62,[1]Parameters!$A$3:$A$5,0),2)</f>
        <v>7</v>
      </c>
      <c r="W62" t="e">
        <f>INDEX([1]Parameters!$A$3:$C$5,MATCH('[1]Pizza Sales Calculations'!E62,[1]Parameters!$A$3:$A$5,0),2)</f>
        <v>#N/A</v>
      </c>
      <c r="X62" t="e">
        <f>INDEX([1]Parameters!$A$3:$C$5,MATCH('[1]Pizza Sales Calculations'!F62,[1]Parameters!$A$3:$A$5,0),2)</f>
        <v>#N/A</v>
      </c>
    </row>
    <row r="63" spans="1:24" x14ac:dyDescent="0.3">
      <c r="A63">
        <v>62</v>
      </c>
      <c r="B63" s="14">
        <v>42371.538634259261</v>
      </c>
      <c r="C63" s="14">
        <v>42371.549039351848</v>
      </c>
      <c r="D63" t="s">
        <v>4</v>
      </c>
      <c r="G63" t="b">
        <v>1</v>
      </c>
      <c r="H63">
        <v>70804</v>
      </c>
      <c r="I63" s="5">
        <v>2.0121791223967902</v>
      </c>
      <c r="J63" s="14">
        <v>42371.556018518517</v>
      </c>
      <c r="K63">
        <v>11.59</v>
      </c>
      <c r="L63" s="5">
        <f>('[1]Pizza Sales Calculations'!$J63-'[1]Pizza Sales Calculations'!$C63)*24*60</f>
        <v>10.050000002374873</v>
      </c>
      <c r="M63">
        <f>COUNTA('[1]Pizza Sales Calculations'!$D63:$F63)</f>
        <v>1</v>
      </c>
      <c r="N63">
        <f>IFERROR(VLOOKUP(D63,[1]Parameters!$A$3:$C$5,3,FALSE),0)</f>
        <v>1.7</v>
      </c>
      <c r="O63">
        <f>IFERROR(VLOOKUP(E63,[1]Parameters!$A$3:$C$5,3,FALSE),0)</f>
        <v>0</v>
      </c>
      <c r="P63">
        <f>IFERROR(VLOOKUP(F63,[1]Parameters!$A$3:$C$5,3,FALSE),0)</f>
        <v>0</v>
      </c>
      <c r="Q63">
        <f t="shared" si="0"/>
        <v>1.7</v>
      </c>
      <c r="R63" s="10">
        <f>IF('[1]Pizza Sales Calculations'!$G63=TRUE, [1]Parameters!$B$17*'[1]Pizza Sales Calculations'!$L63*2, 0)</f>
        <v>2.8475000006728806</v>
      </c>
      <c r="S63" t="str">
        <f>IF(I63&lt;[1]Parameters!$B$21,"TRUE","FALSE")</f>
        <v>TRUE</v>
      </c>
      <c r="T63" s="5">
        <f>(I63/[1]Parameters!$B$25)*60</f>
        <v>4.0243582447935804</v>
      </c>
      <c r="U63" s="10">
        <f>IF(AND('[1]Pizza Sales Calculations'!G63=TRUE,'[1]Pizza Sales Calculations'!S63="TRUE"),T63*[1]Parameters!$B$40*2,0)</f>
        <v>0.25121101808634105</v>
      </c>
      <c r="V63">
        <f>INDEX([1]Parameters!$A$3:$C$5,MATCH('[1]Pizza Sales Calculations'!D63,[1]Parameters!$A$3:$A$5,0),2)</f>
        <v>10</v>
      </c>
      <c r="W63" t="e">
        <f>INDEX([1]Parameters!$A$3:$C$5,MATCH('[1]Pizza Sales Calculations'!E63,[1]Parameters!$A$3:$A$5,0),2)</f>
        <v>#N/A</v>
      </c>
      <c r="X63" t="e">
        <f>INDEX([1]Parameters!$A$3:$C$5,MATCH('[1]Pizza Sales Calculations'!F63,[1]Parameters!$A$3:$A$5,0),2)</f>
        <v>#N/A</v>
      </c>
    </row>
    <row r="64" spans="1:24" x14ac:dyDescent="0.3">
      <c r="A64">
        <v>63</v>
      </c>
      <c r="B64" s="14">
        <v>42371.492476851854</v>
      </c>
      <c r="C64" s="14">
        <v>42371.502870370372</v>
      </c>
      <c r="D64" t="s">
        <v>3</v>
      </c>
      <c r="E64" t="s">
        <v>4</v>
      </c>
      <c r="G64" t="b">
        <v>1</v>
      </c>
      <c r="H64">
        <v>70808</v>
      </c>
      <c r="I64" s="5">
        <v>4.9794773192476196</v>
      </c>
      <c r="J64" s="14">
        <v>42371.520150462966</v>
      </c>
      <c r="K64">
        <v>19.579999999999998</v>
      </c>
      <c r="L64" s="5">
        <f>('[1]Pizza Sales Calculations'!$J64-'[1]Pizza Sales Calculations'!$C64)*24*60</f>
        <v>24.883333335164934</v>
      </c>
      <c r="M64">
        <f>COUNTA('[1]Pizza Sales Calculations'!$D64:$F64)</f>
        <v>2</v>
      </c>
      <c r="N64">
        <f>IFERROR(VLOOKUP(D64,[1]Parameters!$A$3:$C$5,3,FALSE),0)</f>
        <v>1</v>
      </c>
      <c r="O64">
        <f>IFERROR(VLOOKUP(E64,[1]Parameters!$A$3:$C$5,3,FALSE),0)</f>
        <v>1.7</v>
      </c>
      <c r="P64">
        <f>IFERROR(VLOOKUP(F64,[1]Parameters!$A$3:$C$5,3,FALSE),0)</f>
        <v>0</v>
      </c>
      <c r="Q64">
        <f t="shared" si="0"/>
        <v>2.7</v>
      </c>
      <c r="R64" s="10">
        <f>IF('[1]Pizza Sales Calculations'!$G64=TRUE, [1]Parameters!$B$17*'[1]Pizza Sales Calculations'!$L64*2, 0)</f>
        <v>7.0502777782967314</v>
      </c>
      <c r="S64" t="str">
        <f>IF(I64&lt;[1]Parameters!$B$21,"TRUE","FALSE")</f>
        <v>FALSE</v>
      </c>
      <c r="T64" s="5">
        <f>(I64/[1]Parameters!$B$25)*60</f>
        <v>9.9589546384952392</v>
      </c>
      <c r="U64" s="10">
        <f>IF(AND('[1]Pizza Sales Calculations'!G64=TRUE,'[1]Pizza Sales Calculations'!S64="TRUE"),T64*[1]Parameters!$B$40*2,0)</f>
        <v>0</v>
      </c>
      <c r="V64">
        <f>INDEX([1]Parameters!$A$3:$C$5,MATCH('[1]Pizza Sales Calculations'!D64,[1]Parameters!$A$3:$A$5,0),2)</f>
        <v>7</v>
      </c>
      <c r="W64">
        <f>INDEX([1]Parameters!$A$3:$C$5,MATCH('[1]Pizza Sales Calculations'!E64,[1]Parameters!$A$3:$A$5,0),2)</f>
        <v>10</v>
      </c>
      <c r="X64" t="e">
        <f>INDEX([1]Parameters!$A$3:$C$5,MATCH('[1]Pizza Sales Calculations'!F64,[1]Parameters!$A$3:$A$5,0),2)</f>
        <v>#N/A</v>
      </c>
    </row>
    <row r="65" spans="1:24" x14ac:dyDescent="0.3">
      <c r="A65">
        <v>64</v>
      </c>
      <c r="B65" s="14">
        <v>42371.432881944442</v>
      </c>
      <c r="C65" s="14">
        <v>42371.443298611113</v>
      </c>
      <c r="D65" t="s">
        <v>5</v>
      </c>
      <c r="G65" t="b">
        <v>1</v>
      </c>
      <c r="H65">
        <v>70804</v>
      </c>
      <c r="I65" s="5">
        <v>4.4351197318016498</v>
      </c>
      <c r="J65" s="14">
        <v>42371.458692129629</v>
      </c>
      <c r="K65">
        <v>15.35</v>
      </c>
      <c r="L65" s="5">
        <f>('[1]Pizza Sales Calculations'!$J65-'[1]Pizza Sales Calculations'!$C65)*24*60</f>
        <v>22.166666662087664</v>
      </c>
      <c r="M65">
        <f>COUNTA('[1]Pizza Sales Calculations'!$D65:$F65)</f>
        <v>1</v>
      </c>
      <c r="N65">
        <f>IFERROR(VLOOKUP(D65,[1]Parameters!$A$3:$C$5,3,FALSE),0)</f>
        <v>2.2999999999999998</v>
      </c>
      <c r="O65">
        <f>IFERROR(VLOOKUP(E65,[1]Parameters!$A$3:$C$5,3,FALSE),0)</f>
        <v>0</v>
      </c>
      <c r="P65">
        <f>IFERROR(VLOOKUP(F65,[1]Parameters!$A$3:$C$5,3,FALSE),0)</f>
        <v>0</v>
      </c>
      <c r="Q65">
        <f t="shared" si="0"/>
        <v>2.2999999999999998</v>
      </c>
      <c r="R65" s="10">
        <f>IF('[1]Pizza Sales Calculations'!$G65=TRUE, [1]Parameters!$B$17*'[1]Pizza Sales Calculations'!$L65*2, 0)</f>
        <v>6.2805555542581715</v>
      </c>
      <c r="S65" t="str">
        <f>IF(I65&lt;[1]Parameters!$B$21,"TRUE","FALSE")</f>
        <v>FALSE</v>
      </c>
      <c r="T65" s="5">
        <f>(I65/[1]Parameters!$B$25)*60</f>
        <v>8.8702394636032995</v>
      </c>
      <c r="U65" s="10">
        <f>IF(AND('[1]Pizza Sales Calculations'!G65=TRUE,'[1]Pizza Sales Calculations'!S65="TRUE"),T65*[1]Parameters!$B$40*2,0)</f>
        <v>0</v>
      </c>
      <c r="V65">
        <f>INDEX([1]Parameters!$A$3:$C$5,MATCH('[1]Pizza Sales Calculations'!D65,[1]Parameters!$A$3:$A$5,0),2)</f>
        <v>14</v>
      </c>
      <c r="W65" t="e">
        <f>INDEX([1]Parameters!$A$3:$C$5,MATCH('[1]Pizza Sales Calculations'!E65,[1]Parameters!$A$3:$A$5,0),2)</f>
        <v>#N/A</v>
      </c>
      <c r="X65" t="e">
        <f>INDEX([1]Parameters!$A$3:$C$5,MATCH('[1]Pizza Sales Calculations'!F65,[1]Parameters!$A$3:$A$5,0),2)</f>
        <v>#N/A</v>
      </c>
    </row>
    <row r="66" spans="1:24" x14ac:dyDescent="0.3">
      <c r="A66">
        <v>65</v>
      </c>
      <c r="B66" s="14">
        <v>42371.52202546296</v>
      </c>
      <c r="C66" s="14">
        <v>42371.532453703701</v>
      </c>
      <c r="D66" t="s">
        <v>3</v>
      </c>
      <c r="E66" t="s">
        <v>4</v>
      </c>
      <c r="G66" t="b">
        <v>0</v>
      </c>
      <c r="H66">
        <v>70805</v>
      </c>
      <c r="I66" s="5">
        <v>0</v>
      </c>
      <c r="J66" s="14">
        <v>42371.534537037034</v>
      </c>
      <c r="K66">
        <v>19.579999999999998</v>
      </c>
      <c r="L66" s="5">
        <f>('[1]Pizza Sales Calculations'!$J66-'[1]Pizza Sales Calculations'!$C66)*24*60</f>
        <v>2.9999999993015081</v>
      </c>
      <c r="M66">
        <f>COUNTA('[1]Pizza Sales Calculations'!$D66:$F66)</f>
        <v>2</v>
      </c>
      <c r="N66">
        <f>IFERROR(VLOOKUP(D66,[1]Parameters!$A$3:$C$5,3,FALSE),0)</f>
        <v>1</v>
      </c>
      <c r="O66">
        <f>IFERROR(VLOOKUP(E66,[1]Parameters!$A$3:$C$5,3,FALSE),0)</f>
        <v>1.7</v>
      </c>
      <c r="P66">
        <f>IFERROR(VLOOKUP(F66,[1]Parameters!$A$3:$C$5,3,FALSE),0)</f>
        <v>0</v>
      </c>
      <c r="Q66">
        <f t="shared" si="0"/>
        <v>2.7</v>
      </c>
      <c r="R66" s="10">
        <f>IF('[1]Pizza Sales Calculations'!$G66=TRUE, [1]Parameters!$B$17*'[1]Pizza Sales Calculations'!$L66*2, 0)</f>
        <v>0</v>
      </c>
      <c r="S66" t="str">
        <f>IF(I66&lt;[1]Parameters!$B$21,"TRUE","FALSE")</f>
        <v>TRUE</v>
      </c>
      <c r="T66" s="5">
        <f>(I66/[1]Parameters!$B$25)*60</f>
        <v>0</v>
      </c>
      <c r="U66" s="10">
        <f>IF(AND('[1]Pizza Sales Calculations'!G66=TRUE,'[1]Pizza Sales Calculations'!S66="TRUE"),T66*[1]Parameters!$B$40*2,0)</f>
        <v>0</v>
      </c>
      <c r="V66">
        <f>INDEX([1]Parameters!$A$3:$C$5,MATCH('[1]Pizza Sales Calculations'!D66,[1]Parameters!$A$3:$A$5,0),2)</f>
        <v>7</v>
      </c>
      <c r="W66">
        <f>INDEX([1]Parameters!$A$3:$C$5,MATCH('[1]Pizza Sales Calculations'!E66,[1]Parameters!$A$3:$A$5,0),2)</f>
        <v>10</v>
      </c>
      <c r="X66" t="e">
        <f>INDEX([1]Parameters!$A$3:$C$5,MATCH('[1]Pizza Sales Calculations'!F66,[1]Parameters!$A$3:$A$5,0),2)</f>
        <v>#N/A</v>
      </c>
    </row>
    <row r="67" spans="1:24" x14ac:dyDescent="0.3">
      <c r="A67">
        <v>66</v>
      </c>
      <c r="B67" s="14">
        <v>42371.608865740738</v>
      </c>
      <c r="C67" s="14">
        <v>42371.619270833333</v>
      </c>
      <c r="D67" t="s">
        <v>5</v>
      </c>
      <c r="G67" t="b">
        <v>0</v>
      </c>
      <c r="H67">
        <v>70804</v>
      </c>
      <c r="I67" s="5">
        <v>0</v>
      </c>
      <c r="J67" s="14">
        <v>42371.621354166666</v>
      </c>
      <c r="K67">
        <v>15.35</v>
      </c>
      <c r="L67" s="5">
        <f>('[1]Pizza Sales Calculations'!$J67-'[1]Pizza Sales Calculations'!$C67)*24*60</f>
        <v>2.9999999993015081</v>
      </c>
      <c r="M67">
        <f>COUNTA('[1]Pizza Sales Calculations'!$D67:$F67)</f>
        <v>1</v>
      </c>
      <c r="N67">
        <f>IFERROR(VLOOKUP(D67,[1]Parameters!$A$3:$C$5,3,FALSE),0)</f>
        <v>2.2999999999999998</v>
      </c>
      <c r="O67">
        <f>IFERROR(VLOOKUP(E67,[1]Parameters!$A$3:$C$5,3,FALSE),0)</f>
        <v>0</v>
      </c>
      <c r="P67">
        <f>IFERROR(VLOOKUP(F67,[1]Parameters!$A$3:$C$5,3,FALSE),0)</f>
        <v>0</v>
      </c>
      <c r="Q67">
        <f t="shared" ref="Q67:Q130" si="1">SUM(N67:P67)</f>
        <v>2.2999999999999998</v>
      </c>
      <c r="R67" s="10">
        <f>IF('[1]Pizza Sales Calculations'!$G67=TRUE, [1]Parameters!$B$17*'[1]Pizza Sales Calculations'!$L67*2, 0)</f>
        <v>0</v>
      </c>
      <c r="S67" t="str">
        <f>IF(I67&lt;[1]Parameters!$B$21,"TRUE","FALSE")</f>
        <v>TRUE</v>
      </c>
      <c r="T67" s="5">
        <f>(I67/[1]Parameters!$B$25)*60</f>
        <v>0</v>
      </c>
      <c r="U67" s="10">
        <f>IF(AND('[1]Pizza Sales Calculations'!G67=TRUE,'[1]Pizza Sales Calculations'!S67="TRUE"),T67*[1]Parameters!$B$40*2,0)</f>
        <v>0</v>
      </c>
      <c r="V67">
        <f>INDEX([1]Parameters!$A$3:$C$5,MATCH('[1]Pizza Sales Calculations'!D67,[1]Parameters!$A$3:$A$5,0),2)</f>
        <v>14</v>
      </c>
      <c r="W67" t="e">
        <f>INDEX([1]Parameters!$A$3:$C$5,MATCH('[1]Pizza Sales Calculations'!E67,[1]Parameters!$A$3:$A$5,0),2)</f>
        <v>#N/A</v>
      </c>
      <c r="X67" t="e">
        <f>INDEX([1]Parameters!$A$3:$C$5,MATCH('[1]Pizza Sales Calculations'!F67,[1]Parameters!$A$3:$A$5,0),2)</f>
        <v>#N/A</v>
      </c>
    </row>
    <row r="68" spans="1:24" x14ac:dyDescent="0.3">
      <c r="A68">
        <v>67</v>
      </c>
      <c r="B68" s="14">
        <v>42371.549641203703</v>
      </c>
      <c r="C68" s="14">
        <v>42371.560069444444</v>
      </c>
      <c r="D68" t="s">
        <v>5</v>
      </c>
      <c r="G68" t="b">
        <v>0</v>
      </c>
      <c r="H68">
        <v>70807</v>
      </c>
      <c r="I68" s="5">
        <v>0</v>
      </c>
      <c r="J68" s="14">
        <v>42371.562141203707</v>
      </c>
      <c r="K68">
        <v>15.35</v>
      </c>
      <c r="L68" s="5">
        <f>('[1]Pizza Sales Calculations'!$J68-'[1]Pizza Sales Calculations'!$C68)*24*60</f>
        <v>2.9833333392161876</v>
      </c>
      <c r="M68">
        <f>COUNTA('[1]Pizza Sales Calculations'!$D68:$F68)</f>
        <v>1</v>
      </c>
      <c r="N68">
        <f>IFERROR(VLOOKUP(D68,[1]Parameters!$A$3:$C$5,3,FALSE),0)</f>
        <v>2.2999999999999998</v>
      </c>
      <c r="O68">
        <f>IFERROR(VLOOKUP(E68,[1]Parameters!$A$3:$C$5,3,FALSE),0)</f>
        <v>0</v>
      </c>
      <c r="P68">
        <f>IFERROR(VLOOKUP(F68,[1]Parameters!$A$3:$C$5,3,FALSE),0)</f>
        <v>0</v>
      </c>
      <c r="Q68">
        <f t="shared" si="1"/>
        <v>2.2999999999999998</v>
      </c>
      <c r="R68" s="10">
        <f>IF('[1]Pizza Sales Calculations'!$G68=TRUE, [1]Parameters!$B$17*'[1]Pizza Sales Calculations'!$L68*2, 0)</f>
        <v>0</v>
      </c>
      <c r="S68" t="str">
        <f>IF(I68&lt;[1]Parameters!$B$21,"TRUE","FALSE")</f>
        <v>TRUE</v>
      </c>
      <c r="T68" s="5">
        <f>(I68/[1]Parameters!$B$25)*60</f>
        <v>0</v>
      </c>
      <c r="U68" s="10">
        <f>IF(AND('[1]Pizza Sales Calculations'!G68=TRUE,'[1]Pizza Sales Calculations'!S68="TRUE"),T68*[1]Parameters!$B$40*2,0)</f>
        <v>0</v>
      </c>
      <c r="V68">
        <f>INDEX([1]Parameters!$A$3:$C$5,MATCH('[1]Pizza Sales Calculations'!D68,[1]Parameters!$A$3:$A$5,0),2)</f>
        <v>14</v>
      </c>
      <c r="W68" t="e">
        <f>INDEX([1]Parameters!$A$3:$C$5,MATCH('[1]Pizza Sales Calculations'!E68,[1]Parameters!$A$3:$A$5,0),2)</f>
        <v>#N/A</v>
      </c>
      <c r="X68" t="e">
        <f>INDEX([1]Parameters!$A$3:$C$5,MATCH('[1]Pizza Sales Calculations'!F68,[1]Parameters!$A$3:$A$5,0),2)</f>
        <v>#N/A</v>
      </c>
    </row>
    <row r="69" spans="1:24" x14ac:dyDescent="0.3">
      <c r="A69">
        <v>68</v>
      </c>
      <c r="B69" s="14">
        <v>42371.577314814815</v>
      </c>
      <c r="C69" s="14">
        <v>42371.587719907409</v>
      </c>
      <c r="D69" t="s">
        <v>3</v>
      </c>
      <c r="E69" t="s">
        <v>4</v>
      </c>
      <c r="G69" t="b">
        <v>1</v>
      </c>
      <c r="H69">
        <v>70805</v>
      </c>
      <c r="I69" s="5">
        <v>4.1676380545183198</v>
      </c>
      <c r="J69" s="14">
        <v>42371.602187500001</v>
      </c>
      <c r="K69">
        <v>19.579999999999998</v>
      </c>
      <c r="L69" s="5">
        <f>('[1]Pizza Sales Calculations'!$J69-'[1]Pizza Sales Calculations'!$C69)*24*60</f>
        <v>20.833333331393078</v>
      </c>
      <c r="M69">
        <f>COUNTA('[1]Pizza Sales Calculations'!$D69:$F69)</f>
        <v>2</v>
      </c>
      <c r="N69">
        <f>IFERROR(VLOOKUP(D69,[1]Parameters!$A$3:$C$5,3,FALSE),0)</f>
        <v>1</v>
      </c>
      <c r="O69">
        <f>IFERROR(VLOOKUP(E69,[1]Parameters!$A$3:$C$5,3,FALSE),0)</f>
        <v>1.7</v>
      </c>
      <c r="P69">
        <f>IFERROR(VLOOKUP(F69,[1]Parameters!$A$3:$C$5,3,FALSE),0)</f>
        <v>0</v>
      </c>
      <c r="Q69">
        <f t="shared" si="1"/>
        <v>2.7</v>
      </c>
      <c r="R69" s="10">
        <f>IF('[1]Pizza Sales Calculations'!$G69=TRUE, [1]Parameters!$B$17*'[1]Pizza Sales Calculations'!$L69*2, 0)</f>
        <v>5.9027777772280388</v>
      </c>
      <c r="S69" t="str">
        <f>IF(I69&lt;[1]Parameters!$B$21,"TRUE","FALSE")</f>
        <v>FALSE</v>
      </c>
      <c r="T69" s="5">
        <f>(I69/[1]Parameters!$B$25)*60</f>
        <v>8.3352761090366396</v>
      </c>
      <c r="U69" s="10">
        <f>IF(AND('[1]Pizza Sales Calculations'!G69=TRUE,'[1]Pizza Sales Calculations'!S69="TRUE"),T69*[1]Parameters!$B$40*2,0)</f>
        <v>0</v>
      </c>
      <c r="V69">
        <f>INDEX([1]Parameters!$A$3:$C$5,MATCH('[1]Pizza Sales Calculations'!D69,[1]Parameters!$A$3:$A$5,0),2)</f>
        <v>7</v>
      </c>
      <c r="W69">
        <f>INDEX([1]Parameters!$A$3:$C$5,MATCH('[1]Pizza Sales Calculations'!E69,[1]Parameters!$A$3:$A$5,0),2)</f>
        <v>10</v>
      </c>
      <c r="X69" t="e">
        <f>INDEX([1]Parameters!$A$3:$C$5,MATCH('[1]Pizza Sales Calculations'!F69,[1]Parameters!$A$3:$A$5,0),2)</f>
        <v>#N/A</v>
      </c>
    </row>
    <row r="70" spans="1:24" x14ac:dyDescent="0.3">
      <c r="A70">
        <v>69</v>
      </c>
      <c r="B70" s="14">
        <v>42371.461423611108</v>
      </c>
      <c r="C70" s="14">
        <v>42371.471828703703</v>
      </c>
      <c r="D70" t="s">
        <v>5</v>
      </c>
      <c r="G70" t="b">
        <v>1</v>
      </c>
      <c r="H70">
        <v>70805</v>
      </c>
      <c r="I70" s="5">
        <v>3.9637533894297401</v>
      </c>
      <c r="J70" s="14">
        <v>42371.485590277778</v>
      </c>
      <c r="K70">
        <v>15.35</v>
      </c>
      <c r="L70" s="5">
        <f>('[1]Pizza Sales Calculations'!$J70-'[1]Pizza Sales Calculations'!$C70)*24*60</f>
        <v>19.816666668048128</v>
      </c>
      <c r="M70">
        <f>COUNTA('[1]Pizza Sales Calculations'!$D70:$F70)</f>
        <v>1</v>
      </c>
      <c r="N70">
        <f>IFERROR(VLOOKUP(D70,[1]Parameters!$A$3:$C$5,3,FALSE),0)</f>
        <v>2.2999999999999998</v>
      </c>
      <c r="O70">
        <f>IFERROR(VLOOKUP(E70,[1]Parameters!$A$3:$C$5,3,FALSE),0)</f>
        <v>0</v>
      </c>
      <c r="P70">
        <f>IFERROR(VLOOKUP(F70,[1]Parameters!$A$3:$C$5,3,FALSE),0)</f>
        <v>0</v>
      </c>
      <c r="Q70">
        <f t="shared" si="1"/>
        <v>2.2999999999999998</v>
      </c>
      <c r="R70" s="10">
        <f>IF('[1]Pizza Sales Calculations'!$G70=TRUE, [1]Parameters!$B$17*'[1]Pizza Sales Calculations'!$L70*2, 0)</f>
        <v>5.6147222226136364</v>
      </c>
      <c r="S70" t="str">
        <f>IF(I70&lt;[1]Parameters!$B$21,"TRUE","FALSE")</f>
        <v>FALSE</v>
      </c>
      <c r="T70" s="5">
        <f>(I70/[1]Parameters!$B$25)*60</f>
        <v>7.9275067788594802</v>
      </c>
      <c r="U70" s="10">
        <f>IF(AND('[1]Pizza Sales Calculations'!G70=TRUE,'[1]Pizza Sales Calculations'!S70="TRUE"),T70*[1]Parameters!$B$40*2,0)</f>
        <v>0</v>
      </c>
      <c r="V70">
        <f>INDEX([1]Parameters!$A$3:$C$5,MATCH('[1]Pizza Sales Calculations'!D70,[1]Parameters!$A$3:$A$5,0),2)</f>
        <v>14</v>
      </c>
      <c r="W70" t="e">
        <f>INDEX([1]Parameters!$A$3:$C$5,MATCH('[1]Pizza Sales Calculations'!E70,[1]Parameters!$A$3:$A$5,0),2)</f>
        <v>#N/A</v>
      </c>
      <c r="X70" t="e">
        <f>INDEX([1]Parameters!$A$3:$C$5,MATCH('[1]Pizza Sales Calculations'!F70,[1]Parameters!$A$3:$A$5,0),2)</f>
        <v>#N/A</v>
      </c>
    </row>
    <row r="71" spans="1:24" x14ac:dyDescent="0.3">
      <c r="A71">
        <v>70</v>
      </c>
      <c r="B71" s="14">
        <v>42371.439398148148</v>
      </c>
      <c r="C71" s="14">
        <v>42371.449814814812</v>
      </c>
      <c r="D71" t="s">
        <v>3</v>
      </c>
      <c r="E71" t="s">
        <v>4</v>
      </c>
      <c r="G71" t="b">
        <v>0</v>
      </c>
      <c r="H71">
        <v>70805</v>
      </c>
      <c r="I71" s="5">
        <v>0</v>
      </c>
      <c r="J71" s="14">
        <v>42371.451874999999</v>
      </c>
      <c r="K71">
        <v>19.579999999999998</v>
      </c>
      <c r="L71" s="5">
        <f>('[1]Pizza Sales Calculations'!$J71-'[1]Pizza Sales Calculations'!$C71)*24*60</f>
        <v>2.9666666686534882</v>
      </c>
      <c r="M71">
        <f>COUNTA('[1]Pizza Sales Calculations'!$D71:$F71)</f>
        <v>2</v>
      </c>
      <c r="N71">
        <f>IFERROR(VLOOKUP(D71,[1]Parameters!$A$3:$C$5,3,FALSE),0)</f>
        <v>1</v>
      </c>
      <c r="O71">
        <f>IFERROR(VLOOKUP(E71,[1]Parameters!$A$3:$C$5,3,FALSE),0)</f>
        <v>1.7</v>
      </c>
      <c r="P71">
        <f>IFERROR(VLOOKUP(F71,[1]Parameters!$A$3:$C$5,3,FALSE),0)</f>
        <v>0</v>
      </c>
      <c r="Q71">
        <f t="shared" si="1"/>
        <v>2.7</v>
      </c>
      <c r="R71" s="10">
        <f>IF('[1]Pizza Sales Calculations'!$G71=TRUE, [1]Parameters!$B$17*'[1]Pizza Sales Calculations'!$L71*2, 0)</f>
        <v>0</v>
      </c>
      <c r="S71" t="str">
        <f>IF(I71&lt;[1]Parameters!$B$21,"TRUE","FALSE")</f>
        <v>TRUE</v>
      </c>
      <c r="T71" s="5">
        <f>(I71/[1]Parameters!$B$25)*60</f>
        <v>0</v>
      </c>
      <c r="U71" s="10">
        <f>IF(AND('[1]Pizza Sales Calculations'!G71=TRUE,'[1]Pizza Sales Calculations'!S71="TRUE"),T71*[1]Parameters!$B$40*2,0)</f>
        <v>0</v>
      </c>
      <c r="V71">
        <f>INDEX([1]Parameters!$A$3:$C$5,MATCH('[1]Pizza Sales Calculations'!D71,[1]Parameters!$A$3:$A$5,0),2)</f>
        <v>7</v>
      </c>
      <c r="W71">
        <f>INDEX([1]Parameters!$A$3:$C$5,MATCH('[1]Pizza Sales Calculations'!E71,[1]Parameters!$A$3:$A$5,0),2)</f>
        <v>10</v>
      </c>
      <c r="X71" t="e">
        <f>INDEX([1]Parameters!$A$3:$C$5,MATCH('[1]Pizza Sales Calculations'!F71,[1]Parameters!$A$3:$A$5,0),2)</f>
        <v>#N/A</v>
      </c>
    </row>
    <row r="72" spans="1:24" x14ac:dyDescent="0.3">
      <c r="A72">
        <v>71</v>
      </c>
      <c r="B72" s="14">
        <v>42371.525185185186</v>
      </c>
      <c r="C72" s="14">
        <v>42371.535590277781</v>
      </c>
      <c r="D72" t="s">
        <v>4</v>
      </c>
      <c r="E72" t="s">
        <v>5</v>
      </c>
      <c r="G72" t="b">
        <v>0</v>
      </c>
      <c r="H72">
        <v>70804</v>
      </c>
      <c r="I72" s="5">
        <v>0</v>
      </c>
      <c r="J72" s="14">
        <v>42371.53765046296</v>
      </c>
      <c r="K72">
        <v>25.94</v>
      </c>
      <c r="L72" s="5">
        <f>('[1]Pizza Sales Calculations'!$J72-'[1]Pizza Sales Calculations'!$C72)*24*60</f>
        <v>2.9666666581761092</v>
      </c>
      <c r="M72">
        <f>COUNTA('[1]Pizza Sales Calculations'!$D72:$F72)</f>
        <v>2</v>
      </c>
      <c r="N72">
        <f>IFERROR(VLOOKUP(D72,[1]Parameters!$A$3:$C$5,3,FALSE),0)</f>
        <v>1.7</v>
      </c>
      <c r="O72">
        <f>IFERROR(VLOOKUP(E72,[1]Parameters!$A$3:$C$5,3,FALSE),0)</f>
        <v>2.2999999999999998</v>
      </c>
      <c r="P72">
        <f>IFERROR(VLOOKUP(F72,[1]Parameters!$A$3:$C$5,3,FALSE),0)</f>
        <v>0</v>
      </c>
      <c r="Q72">
        <f t="shared" si="1"/>
        <v>4</v>
      </c>
      <c r="R72" s="10">
        <f>IF('[1]Pizza Sales Calculations'!$G72=TRUE, [1]Parameters!$B$17*'[1]Pizza Sales Calculations'!$L72*2, 0)</f>
        <v>0</v>
      </c>
      <c r="S72" t="str">
        <f>IF(I72&lt;[1]Parameters!$B$21,"TRUE","FALSE")</f>
        <v>TRUE</v>
      </c>
      <c r="T72" s="5">
        <f>(I72/[1]Parameters!$B$25)*60</f>
        <v>0</v>
      </c>
      <c r="U72" s="10">
        <f>IF(AND('[1]Pizza Sales Calculations'!G72=TRUE,'[1]Pizza Sales Calculations'!S72="TRUE"),T72*[1]Parameters!$B$40*2,0)</f>
        <v>0</v>
      </c>
      <c r="V72">
        <f>INDEX([1]Parameters!$A$3:$C$5,MATCH('[1]Pizza Sales Calculations'!D72,[1]Parameters!$A$3:$A$5,0),2)</f>
        <v>10</v>
      </c>
      <c r="W72">
        <f>INDEX([1]Parameters!$A$3:$C$5,MATCH('[1]Pizza Sales Calculations'!E72,[1]Parameters!$A$3:$A$5,0),2)</f>
        <v>14</v>
      </c>
      <c r="X72" t="e">
        <f>INDEX([1]Parameters!$A$3:$C$5,MATCH('[1]Pizza Sales Calculations'!F72,[1]Parameters!$A$3:$A$5,0),2)</f>
        <v>#N/A</v>
      </c>
    </row>
    <row r="73" spans="1:24" x14ac:dyDescent="0.3">
      <c r="A73">
        <v>72</v>
      </c>
      <c r="B73" s="14">
        <v>42371.520219907405</v>
      </c>
      <c r="C73" s="14">
        <v>42371.530659722222</v>
      </c>
      <c r="D73" t="s">
        <v>3</v>
      </c>
      <c r="E73" t="s">
        <v>4</v>
      </c>
      <c r="G73" t="b">
        <v>0</v>
      </c>
      <c r="H73">
        <v>70804</v>
      </c>
      <c r="I73" s="5">
        <v>0</v>
      </c>
      <c r="J73" s="14">
        <v>42371.532719907409</v>
      </c>
      <c r="K73">
        <v>19.579999999999998</v>
      </c>
      <c r="L73" s="5">
        <f>('[1]Pizza Sales Calculations'!$J73-'[1]Pizza Sales Calculations'!$C73)*24*60</f>
        <v>2.9666666686534882</v>
      </c>
      <c r="M73">
        <f>COUNTA('[1]Pizza Sales Calculations'!$D73:$F73)</f>
        <v>2</v>
      </c>
      <c r="N73">
        <f>IFERROR(VLOOKUP(D73,[1]Parameters!$A$3:$C$5,3,FALSE),0)</f>
        <v>1</v>
      </c>
      <c r="O73">
        <f>IFERROR(VLOOKUP(E73,[1]Parameters!$A$3:$C$5,3,FALSE),0)</f>
        <v>1.7</v>
      </c>
      <c r="P73">
        <f>IFERROR(VLOOKUP(F73,[1]Parameters!$A$3:$C$5,3,FALSE),0)</f>
        <v>0</v>
      </c>
      <c r="Q73">
        <f t="shared" si="1"/>
        <v>2.7</v>
      </c>
      <c r="R73" s="10">
        <f>IF('[1]Pizza Sales Calculations'!$G73=TRUE, [1]Parameters!$B$17*'[1]Pizza Sales Calculations'!$L73*2, 0)</f>
        <v>0</v>
      </c>
      <c r="S73" t="str">
        <f>IF(I73&lt;[1]Parameters!$B$21,"TRUE","FALSE")</f>
        <v>TRUE</v>
      </c>
      <c r="T73" s="5">
        <f>(I73/[1]Parameters!$B$25)*60</f>
        <v>0</v>
      </c>
      <c r="U73" s="10">
        <f>IF(AND('[1]Pizza Sales Calculations'!G73=TRUE,'[1]Pizza Sales Calculations'!S73="TRUE"),T73*[1]Parameters!$B$40*2,0)</f>
        <v>0</v>
      </c>
      <c r="V73">
        <f>INDEX([1]Parameters!$A$3:$C$5,MATCH('[1]Pizza Sales Calculations'!D73,[1]Parameters!$A$3:$A$5,0),2)</f>
        <v>7</v>
      </c>
      <c r="W73">
        <f>INDEX([1]Parameters!$A$3:$C$5,MATCH('[1]Pizza Sales Calculations'!E73,[1]Parameters!$A$3:$A$5,0),2)</f>
        <v>10</v>
      </c>
      <c r="X73" t="e">
        <f>INDEX([1]Parameters!$A$3:$C$5,MATCH('[1]Pizza Sales Calculations'!F73,[1]Parameters!$A$3:$A$5,0),2)</f>
        <v>#N/A</v>
      </c>
    </row>
    <row r="74" spans="1:24" x14ac:dyDescent="0.3">
      <c r="A74">
        <v>73</v>
      </c>
      <c r="B74" s="14">
        <v>42371.510370370372</v>
      </c>
      <c r="C74" s="14">
        <v>42371.520775462966</v>
      </c>
      <c r="D74" t="s">
        <v>3</v>
      </c>
      <c r="G74" t="b">
        <v>0</v>
      </c>
      <c r="H74">
        <v>70805</v>
      </c>
      <c r="I74" s="5">
        <v>0</v>
      </c>
      <c r="J74" s="14">
        <v>42371.522858796299</v>
      </c>
      <c r="K74">
        <v>7.99</v>
      </c>
      <c r="L74" s="5">
        <f>('[1]Pizza Sales Calculations'!$J74-'[1]Pizza Sales Calculations'!$C74)*24*60</f>
        <v>2.9999999993015081</v>
      </c>
      <c r="M74">
        <f>COUNTA('[1]Pizza Sales Calculations'!$D74:$F74)</f>
        <v>1</v>
      </c>
      <c r="N74">
        <f>IFERROR(VLOOKUP(D74,[1]Parameters!$A$3:$C$5,3,FALSE),0)</f>
        <v>1</v>
      </c>
      <c r="O74">
        <f>IFERROR(VLOOKUP(E74,[1]Parameters!$A$3:$C$5,3,FALSE),0)</f>
        <v>0</v>
      </c>
      <c r="P74">
        <f>IFERROR(VLOOKUP(F74,[1]Parameters!$A$3:$C$5,3,FALSE),0)</f>
        <v>0</v>
      </c>
      <c r="Q74">
        <f t="shared" si="1"/>
        <v>1</v>
      </c>
      <c r="R74" s="10">
        <f>IF('[1]Pizza Sales Calculations'!$G74=TRUE, [1]Parameters!$B$17*'[1]Pizza Sales Calculations'!$L74*2, 0)</f>
        <v>0</v>
      </c>
      <c r="S74" t="str">
        <f>IF(I74&lt;[1]Parameters!$B$21,"TRUE","FALSE")</f>
        <v>TRUE</v>
      </c>
      <c r="T74" s="5">
        <f>(I74/[1]Parameters!$B$25)*60</f>
        <v>0</v>
      </c>
      <c r="U74" s="10">
        <f>IF(AND('[1]Pizza Sales Calculations'!G74=TRUE,'[1]Pizza Sales Calculations'!S74="TRUE"),T74*[1]Parameters!$B$40*2,0)</f>
        <v>0</v>
      </c>
      <c r="V74">
        <f>INDEX([1]Parameters!$A$3:$C$5,MATCH('[1]Pizza Sales Calculations'!D74,[1]Parameters!$A$3:$A$5,0),2)</f>
        <v>7</v>
      </c>
      <c r="W74" t="e">
        <f>INDEX([1]Parameters!$A$3:$C$5,MATCH('[1]Pizza Sales Calculations'!E74,[1]Parameters!$A$3:$A$5,0),2)</f>
        <v>#N/A</v>
      </c>
      <c r="X74" t="e">
        <f>INDEX([1]Parameters!$A$3:$C$5,MATCH('[1]Pizza Sales Calculations'!F74,[1]Parameters!$A$3:$A$5,0),2)</f>
        <v>#N/A</v>
      </c>
    </row>
    <row r="75" spans="1:24" x14ac:dyDescent="0.3">
      <c r="A75">
        <v>74</v>
      </c>
      <c r="B75" s="14">
        <v>42371.507581018515</v>
      </c>
      <c r="C75" s="14">
        <v>42371.517974537041</v>
      </c>
      <c r="D75" t="s">
        <v>5</v>
      </c>
      <c r="G75" t="b">
        <v>1</v>
      </c>
      <c r="H75">
        <v>70806</v>
      </c>
      <c r="I75" s="5">
        <v>5.2816256178522396</v>
      </c>
      <c r="J75" s="14">
        <v>42371.536307870374</v>
      </c>
      <c r="K75">
        <v>15.35</v>
      </c>
      <c r="L75" s="5">
        <f>('[1]Pizza Sales Calculations'!$J75-'[1]Pizza Sales Calculations'!$C75)*24*60</f>
        <v>26.400000000139698</v>
      </c>
      <c r="M75">
        <f>COUNTA('[1]Pizza Sales Calculations'!$D75:$F75)</f>
        <v>1</v>
      </c>
      <c r="N75">
        <f>IFERROR(VLOOKUP(D75,[1]Parameters!$A$3:$C$5,3,FALSE),0)</f>
        <v>2.2999999999999998</v>
      </c>
      <c r="O75">
        <f>IFERROR(VLOOKUP(E75,[1]Parameters!$A$3:$C$5,3,FALSE),0)</f>
        <v>0</v>
      </c>
      <c r="P75">
        <f>IFERROR(VLOOKUP(F75,[1]Parameters!$A$3:$C$5,3,FALSE),0)</f>
        <v>0</v>
      </c>
      <c r="Q75">
        <f t="shared" si="1"/>
        <v>2.2999999999999998</v>
      </c>
      <c r="R75" s="10">
        <f>IF('[1]Pizza Sales Calculations'!$G75=TRUE, [1]Parameters!$B$17*'[1]Pizza Sales Calculations'!$L75*2, 0)</f>
        <v>7.4800000000395812</v>
      </c>
      <c r="S75" t="str">
        <f>IF(I75&lt;[1]Parameters!$B$21,"TRUE","FALSE")</f>
        <v>FALSE</v>
      </c>
      <c r="T75" s="5">
        <f>(I75/[1]Parameters!$B$25)*60</f>
        <v>10.563251235704479</v>
      </c>
      <c r="U75" s="10">
        <f>IF(AND('[1]Pizza Sales Calculations'!G75=TRUE,'[1]Pizza Sales Calculations'!S75="TRUE"),T75*[1]Parameters!$B$40*2,0)</f>
        <v>0</v>
      </c>
      <c r="V75">
        <f>INDEX([1]Parameters!$A$3:$C$5,MATCH('[1]Pizza Sales Calculations'!D75,[1]Parameters!$A$3:$A$5,0),2)</f>
        <v>14</v>
      </c>
      <c r="W75" t="e">
        <f>INDEX([1]Parameters!$A$3:$C$5,MATCH('[1]Pizza Sales Calculations'!E75,[1]Parameters!$A$3:$A$5,0),2)</f>
        <v>#N/A</v>
      </c>
      <c r="X75" t="e">
        <f>INDEX([1]Parameters!$A$3:$C$5,MATCH('[1]Pizza Sales Calculations'!F75,[1]Parameters!$A$3:$A$5,0),2)</f>
        <v>#N/A</v>
      </c>
    </row>
    <row r="76" spans="1:24" x14ac:dyDescent="0.3">
      <c r="A76">
        <v>75</v>
      </c>
      <c r="B76" s="14">
        <v>42371.432905092595</v>
      </c>
      <c r="C76" s="14">
        <v>42371.443298611113</v>
      </c>
      <c r="D76" t="s">
        <v>5</v>
      </c>
      <c r="G76" t="b">
        <v>0</v>
      </c>
      <c r="H76">
        <v>70804</v>
      </c>
      <c r="I76" s="5">
        <v>0</v>
      </c>
      <c r="J76" s="14">
        <v>42371.445370370369</v>
      </c>
      <c r="K76">
        <v>15.35</v>
      </c>
      <c r="L76" s="5">
        <f>('[1]Pizza Sales Calculations'!$J76-'[1]Pizza Sales Calculations'!$C76)*24*60</f>
        <v>2.9833333287388086</v>
      </c>
      <c r="M76">
        <f>COUNTA('[1]Pizza Sales Calculations'!$D76:$F76)</f>
        <v>1</v>
      </c>
      <c r="N76">
        <f>IFERROR(VLOOKUP(D76,[1]Parameters!$A$3:$C$5,3,FALSE),0)</f>
        <v>2.2999999999999998</v>
      </c>
      <c r="O76">
        <f>IFERROR(VLOOKUP(E76,[1]Parameters!$A$3:$C$5,3,FALSE),0)</f>
        <v>0</v>
      </c>
      <c r="P76">
        <f>IFERROR(VLOOKUP(F76,[1]Parameters!$A$3:$C$5,3,FALSE),0)</f>
        <v>0</v>
      </c>
      <c r="Q76">
        <f t="shared" si="1"/>
        <v>2.2999999999999998</v>
      </c>
      <c r="R76" s="10">
        <f>IF('[1]Pizza Sales Calculations'!$G76=TRUE, [1]Parameters!$B$17*'[1]Pizza Sales Calculations'!$L76*2, 0)</f>
        <v>0</v>
      </c>
      <c r="S76" t="str">
        <f>IF(I76&lt;[1]Parameters!$B$21,"TRUE","FALSE")</f>
        <v>TRUE</v>
      </c>
      <c r="T76" s="5">
        <f>(I76/[1]Parameters!$B$25)*60</f>
        <v>0</v>
      </c>
      <c r="U76" s="10">
        <f>IF(AND('[1]Pizza Sales Calculations'!G76=TRUE,'[1]Pizza Sales Calculations'!S76="TRUE"),T76*[1]Parameters!$B$40*2,0)</f>
        <v>0</v>
      </c>
      <c r="V76">
        <f>INDEX([1]Parameters!$A$3:$C$5,MATCH('[1]Pizza Sales Calculations'!D76,[1]Parameters!$A$3:$A$5,0),2)</f>
        <v>14</v>
      </c>
      <c r="W76" t="e">
        <f>INDEX([1]Parameters!$A$3:$C$5,MATCH('[1]Pizza Sales Calculations'!E76,[1]Parameters!$A$3:$A$5,0),2)</f>
        <v>#N/A</v>
      </c>
      <c r="X76" t="e">
        <f>INDEX([1]Parameters!$A$3:$C$5,MATCH('[1]Pizza Sales Calculations'!F76,[1]Parameters!$A$3:$A$5,0),2)</f>
        <v>#N/A</v>
      </c>
    </row>
    <row r="77" spans="1:24" x14ac:dyDescent="0.3">
      <c r="A77">
        <v>76</v>
      </c>
      <c r="B77" s="14">
        <v>42371.516979166663</v>
      </c>
      <c r="C77" s="14">
        <v>42371.527384259258</v>
      </c>
      <c r="D77" t="s">
        <v>5</v>
      </c>
      <c r="G77" t="b">
        <v>0</v>
      </c>
      <c r="H77">
        <v>70805</v>
      </c>
      <c r="I77" s="5">
        <v>0</v>
      </c>
      <c r="J77" s="14">
        <v>42371.529456018521</v>
      </c>
      <c r="K77">
        <v>15.35</v>
      </c>
      <c r="L77" s="5">
        <f>('[1]Pizza Sales Calculations'!$J77-'[1]Pizza Sales Calculations'!$C77)*24*60</f>
        <v>2.9833333392161876</v>
      </c>
      <c r="M77">
        <f>COUNTA('[1]Pizza Sales Calculations'!$D77:$F77)</f>
        <v>1</v>
      </c>
      <c r="N77">
        <f>IFERROR(VLOOKUP(D77,[1]Parameters!$A$3:$C$5,3,FALSE),0)</f>
        <v>2.2999999999999998</v>
      </c>
      <c r="O77">
        <f>IFERROR(VLOOKUP(E77,[1]Parameters!$A$3:$C$5,3,FALSE),0)</f>
        <v>0</v>
      </c>
      <c r="P77">
        <f>IFERROR(VLOOKUP(F77,[1]Parameters!$A$3:$C$5,3,FALSE),0)</f>
        <v>0</v>
      </c>
      <c r="Q77">
        <f t="shared" si="1"/>
        <v>2.2999999999999998</v>
      </c>
      <c r="R77" s="10">
        <f>IF('[1]Pizza Sales Calculations'!$G77=TRUE, [1]Parameters!$B$17*'[1]Pizza Sales Calculations'!$L77*2, 0)</f>
        <v>0</v>
      </c>
      <c r="S77" t="str">
        <f>IF(I77&lt;[1]Parameters!$B$21,"TRUE","FALSE")</f>
        <v>TRUE</v>
      </c>
      <c r="T77" s="5">
        <f>(I77/[1]Parameters!$B$25)*60</f>
        <v>0</v>
      </c>
      <c r="U77" s="10">
        <f>IF(AND('[1]Pizza Sales Calculations'!G77=TRUE,'[1]Pizza Sales Calculations'!S77="TRUE"),T77*[1]Parameters!$B$40*2,0)</f>
        <v>0</v>
      </c>
      <c r="V77">
        <f>INDEX([1]Parameters!$A$3:$C$5,MATCH('[1]Pizza Sales Calculations'!D77,[1]Parameters!$A$3:$A$5,0),2)</f>
        <v>14</v>
      </c>
      <c r="W77" t="e">
        <f>INDEX([1]Parameters!$A$3:$C$5,MATCH('[1]Pizza Sales Calculations'!E77,[1]Parameters!$A$3:$A$5,0),2)</f>
        <v>#N/A</v>
      </c>
      <c r="X77" t="e">
        <f>INDEX([1]Parameters!$A$3:$C$5,MATCH('[1]Pizza Sales Calculations'!F77,[1]Parameters!$A$3:$A$5,0),2)</f>
        <v>#N/A</v>
      </c>
    </row>
    <row r="78" spans="1:24" x14ac:dyDescent="0.3">
      <c r="A78">
        <v>77</v>
      </c>
      <c r="B78" s="14">
        <v>42371.478437500002</v>
      </c>
      <c r="C78" s="14">
        <v>42371.488854166666</v>
      </c>
      <c r="D78" t="s">
        <v>3</v>
      </c>
      <c r="G78" t="b">
        <v>1</v>
      </c>
      <c r="H78">
        <v>70804</v>
      </c>
      <c r="I78" s="5">
        <v>3.2452102868854298</v>
      </c>
      <c r="J78" s="14">
        <v>42371.500115740739</v>
      </c>
      <c r="K78">
        <v>7.99</v>
      </c>
      <c r="L78" s="5">
        <f>('[1]Pizza Sales Calculations'!$J78-'[1]Pizza Sales Calculations'!$C78)*24*60</f>
        <v>16.216666664695367</v>
      </c>
      <c r="M78">
        <f>COUNTA('[1]Pizza Sales Calculations'!$D78:$F78)</f>
        <v>1</v>
      </c>
      <c r="N78">
        <f>IFERROR(VLOOKUP(D78,[1]Parameters!$A$3:$C$5,3,FALSE),0)</f>
        <v>1</v>
      </c>
      <c r="O78">
        <f>IFERROR(VLOOKUP(E78,[1]Parameters!$A$3:$C$5,3,FALSE),0)</f>
        <v>0</v>
      </c>
      <c r="P78">
        <f>IFERROR(VLOOKUP(F78,[1]Parameters!$A$3:$C$5,3,FALSE),0)</f>
        <v>0</v>
      </c>
      <c r="Q78">
        <f t="shared" si="1"/>
        <v>1</v>
      </c>
      <c r="R78" s="10">
        <f>IF('[1]Pizza Sales Calculations'!$G78=TRUE, [1]Parameters!$B$17*'[1]Pizza Sales Calculations'!$L78*2, 0)</f>
        <v>4.5947222216636874</v>
      </c>
      <c r="S78" t="str">
        <f>IF(I78&lt;[1]Parameters!$B$21,"TRUE","FALSE")</f>
        <v>FALSE</v>
      </c>
      <c r="T78" s="5">
        <f>(I78/[1]Parameters!$B$25)*60</f>
        <v>6.4904205737708596</v>
      </c>
      <c r="U78" s="10">
        <f>IF(AND('[1]Pizza Sales Calculations'!G78=TRUE,'[1]Pizza Sales Calculations'!S78="TRUE"),T78*[1]Parameters!$B$40*2,0)</f>
        <v>0</v>
      </c>
      <c r="V78">
        <f>INDEX([1]Parameters!$A$3:$C$5,MATCH('[1]Pizza Sales Calculations'!D78,[1]Parameters!$A$3:$A$5,0),2)</f>
        <v>7</v>
      </c>
      <c r="W78" t="e">
        <f>INDEX([1]Parameters!$A$3:$C$5,MATCH('[1]Pizza Sales Calculations'!E78,[1]Parameters!$A$3:$A$5,0),2)</f>
        <v>#N/A</v>
      </c>
      <c r="X78" t="e">
        <f>INDEX([1]Parameters!$A$3:$C$5,MATCH('[1]Pizza Sales Calculations'!F78,[1]Parameters!$A$3:$A$5,0),2)</f>
        <v>#N/A</v>
      </c>
    </row>
    <row r="79" spans="1:24" x14ac:dyDescent="0.3">
      <c r="A79">
        <v>78</v>
      </c>
      <c r="B79" s="14">
        <v>42371.440185185187</v>
      </c>
      <c r="C79" s="14">
        <v>42371.450578703705</v>
      </c>
      <c r="D79" t="s">
        <v>4</v>
      </c>
      <c r="G79" t="b">
        <v>1</v>
      </c>
      <c r="H79">
        <v>70805</v>
      </c>
      <c r="I79" s="5">
        <v>3.6901531344721499</v>
      </c>
      <c r="J79" s="14">
        <v>42371.463391203702</v>
      </c>
      <c r="K79">
        <v>11.59</v>
      </c>
      <c r="L79" s="5">
        <f>('[1]Pizza Sales Calculations'!$J79-'[1]Pizza Sales Calculations'!$C79)*24*60</f>
        <v>18.449999996228144</v>
      </c>
      <c r="M79">
        <f>COUNTA('[1]Pizza Sales Calculations'!$D79:$F79)</f>
        <v>1</v>
      </c>
      <c r="N79">
        <f>IFERROR(VLOOKUP(D79,[1]Parameters!$A$3:$C$5,3,FALSE),0)</f>
        <v>1.7</v>
      </c>
      <c r="O79">
        <f>IFERROR(VLOOKUP(E79,[1]Parameters!$A$3:$C$5,3,FALSE),0)</f>
        <v>0</v>
      </c>
      <c r="P79">
        <f>IFERROR(VLOOKUP(F79,[1]Parameters!$A$3:$C$5,3,FALSE),0)</f>
        <v>0</v>
      </c>
      <c r="Q79">
        <f t="shared" si="1"/>
        <v>1.7</v>
      </c>
      <c r="R79" s="10">
        <f>IF('[1]Pizza Sales Calculations'!$G79=TRUE, [1]Parameters!$B$17*'[1]Pizza Sales Calculations'!$L79*2, 0)</f>
        <v>5.2274999989313073</v>
      </c>
      <c r="S79" t="str">
        <f>IF(I79&lt;[1]Parameters!$B$21,"TRUE","FALSE")</f>
        <v>FALSE</v>
      </c>
      <c r="T79" s="5">
        <f>(I79/[1]Parameters!$B$25)*60</f>
        <v>7.3803062689442998</v>
      </c>
      <c r="U79" s="10">
        <f>IF(AND('[1]Pizza Sales Calculations'!G79=TRUE,'[1]Pizza Sales Calculations'!S79="TRUE"),T79*[1]Parameters!$B$40*2,0)</f>
        <v>0</v>
      </c>
      <c r="V79">
        <f>INDEX([1]Parameters!$A$3:$C$5,MATCH('[1]Pizza Sales Calculations'!D79,[1]Parameters!$A$3:$A$5,0),2)</f>
        <v>10</v>
      </c>
      <c r="W79" t="e">
        <f>INDEX([1]Parameters!$A$3:$C$5,MATCH('[1]Pizza Sales Calculations'!E79,[1]Parameters!$A$3:$A$5,0),2)</f>
        <v>#N/A</v>
      </c>
      <c r="X79" t="e">
        <f>INDEX([1]Parameters!$A$3:$C$5,MATCH('[1]Pizza Sales Calculations'!F79,[1]Parameters!$A$3:$A$5,0),2)</f>
        <v>#N/A</v>
      </c>
    </row>
    <row r="80" spans="1:24" x14ac:dyDescent="0.3">
      <c r="A80">
        <v>79</v>
      </c>
      <c r="B80" s="14">
        <v>42371.515555555554</v>
      </c>
      <c r="C80" s="14">
        <v>42371.525949074072</v>
      </c>
      <c r="D80" t="s">
        <v>3</v>
      </c>
      <c r="G80" t="b">
        <v>1</v>
      </c>
      <c r="H80">
        <v>70804</v>
      </c>
      <c r="I80" s="5">
        <v>4.2130091769347002</v>
      </c>
      <c r="J80" s="14">
        <v>42371.540567129632</v>
      </c>
      <c r="K80">
        <v>7.99</v>
      </c>
      <c r="L80" s="5">
        <f>('[1]Pizza Sales Calculations'!$J80-'[1]Pizza Sales Calculations'!$C80)*24*60</f>
        <v>21.050000006798655</v>
      </c>
      <c r="M80">
        <f>COUNTA('[1]Pizza Sales Calculations'!$D80:$F80)</f>
        <v>1</v>
      </c>
      <c r="N80">
        <f>IFERROR(VLOOKUP(D80,[1]Parameters!$A$3:$C$5,3,FALSE),0)</f>
        <v>1</v>
      </c>
      <c r="O80">
        <f>IFERROR(VLOOKUP(E80,[1]Parameters!$A$3:$C$5,3,FALSE),0)</f>
        <v>0</v>
      </c>
      <c r="P80">
        <f>IFERROR(VLOOKUP(F80,[1]Parameters!$A$3:$C$5,3,FALSE),0)</f>
        <v>0</v>
      </c>
      <c r="Q80">
        <f t="shared" si="1"/>
        <v>1</v>
      </c>
      <c r="R80" s="10">
        <f>IF('[1]Pizza Sales Calculations'!$G80=TRUE, [1]Parameters!$B$17*'[1]Pizza Sales Calculations'!$L80*2, 0)</f>
        <v>5.9641666685929522</v>
      </c>
      <c r="S80" t="str">
        <f>IF(I80&lt;[1]Parameters!$B$21,"TRUE","FALSE")</f>
        <v>FALSE</v>
      </c>
      <c r="T80" s="5">
        <f>(I80/[1]Parameters!$B$25)*60</f>
        <v>8.4260183538694005</v>
      </c>
      <c r="U80" s="10">
        <f>IF(AND('[1]Pizza Sales Calculations'!G80=TRUE,'[1]Pizza Sales Calculations'!S80="TRUE"),T80*[1]Parameters!$B$40*2,0)</f>
        <v>0</v>
      </c>
      <c r="V80">
        <f>INDEX([1]Parameters!$A$3:$C$5,MATCH('[1]Pizza Sales Calculations'!D80,[1]Parameters!$A$3:$A$5,0),2)</f>
        <v>7</v>
      </c>
      <c r="W80" t="e">
        <f>INDEX([1]Parameters!$A$3:$C$5,MATCH('[1]Pizza Sales Calculations'!E80,[1]Parameters!$A$3:$A$5,0),2)</f>
        <v>#N/A</v>
      </c>
      <c r="X80" t="e">
        <f>INDEX([1]Parameters!$A$3:$C$5,MATCH('[1]Pizza Sales Calculations'!F80,[1]Parameters!$A$3:$A$5,0),2)</f>
        <v>#N/A</v>
      </c>
    </row>
    <row r="81" spans="1:24" x14ac:dyDescent="0.3">
      <c r="A81">
        <v>80</v>
      </c>
      <c r="B81" s="14">
        <v>42371.587280092594</v>
      </c>
      <c r="C81" s="14">
        <v>42371.597685185188</v>
      </c>
      <c r="D81" t="s">
        <v>5</v>
      </c>
      <c r="G81" t="b">
        <v>0</v>
      </c>
      <c r="H81">
        <v>70805</v>
      </c>
      <c r="I81" s="5">
        <v>0</v>
      </c>
      <c r="J81" s="14">
        <v>42371.599768518521</v>
      </c>
      <c r="K81">
        <v>15.35</v>
      </c>
      <c r="L81" s="5">
        <f>('[1]Pizza Sales Calculations'!$J81-'[1]Pizza Sales Calculations'!$C81)*24*60</f>
        <v>2.9999999993015081</v>
      </c>
      <c r="M81">
        <f>COUNTA('[1]Pizza Sales Calculations'!$D81:$F81)</f>
        <v>1</v>
      </c>
      <c r="N81">
        <f>IFERROR(VLOOKUP(D81,[1]Parameters!$A$3:$C$5,3,FALSE),0)</f>
        <v>2.2999999999999998</v>
      </c>
      <c r="O81">
        <f>IFERROR(VLOOKUP(E81,[1]Parameters!$A$3:$C$5,3,FALSE),0)</f>
        <v>0</v>
      </c>
      <c r="P81">
        <f>IFERROR(VLOOKUP(F81,[1]Parameters!$A$3:$C$5,3,FALSE),0)</f>
        <v>0</v>
      </c>
      <c r="Q81">
        <f t="shared" si="1"/>
        <v>2.2999999999999998</v>
      </c>
      <c r="R81" s="10">
        <f>IF('[1]Pizza Sales Calculations'!$G81=TRUE, [1]Parameters!$B$17*'[1]Pizza Sales Calculations'!$L81*2, 0)</f>
        <v>0</v>
      </c>
      <c r="S81" t="str">
        <f>IF(I81&lt;[1]Parameters!$B$21,"TRUE","FALSE")</f>
        <v>TRUE</v>
      </c>
      <c r="T81" s="5">
        <f>(I81/[1]Parameters!$B$25)*60</f>
        <v>0</v>
      </c>
      <c r="U81" s="10">
        <f>IF(AND('[1]Pizza Sales Calculations'!G81=TRUE,'[1]Pizza Sales Calculations'!S81="TRUE"),T81*[1]Parameters!$B$40*2,0)</f>
        <v>0</v>
      </c>
      <c r="V81">
        <f>INDEX([1]Parameters!$A$3:$C$5,MATCH('[1]Pizza Sales Calculations'!D81,[1]Parameters!$A$3:$A$5,0),2)</f>
        <v>14</v>
      </c>
      <c r="W81" t="e">
        <f>INDEX([1]Parameters!$A$3:$C$5,MATCH('[1]Pizza Sales Calculations'!E81,[1]Parameters!$A$3:$A$5,0),2)</f>
        <v>#N/A</v>
      </c>
      <c r="X81" t="e">
        <f>INDEX([1]Parameters!$A$3:$C$5,MATCH('[1]Pizza Sales Calculations'!F81,[1]Parameters!$A$3:$A$5,0),2)</f>
        <v>#N/A</v>
      </c>
    </row>
    <row r="82" spans="1:24" x14ac:dyDescent="0.3">
      <c r="A82">
        <v>81</v>
      </c>
      <c r="B82" s="14">
        <v>42371.469953703701</v>
      </c>
      <c r="C82" s="14">
        <v>42371.480370370373</v>
      </c>
      <c r="D82" t="s">
        <v>3</v>
      </c>
      <c r="E82" t="s">
        <v>5</v>
      </c>
      <c r="G82" t="b">
        <v>1</v>
      </c>
      <c r="H82">
        <v>70803</v>
      </c>
      <c r="I82" s="5">
        <v>2.9900452108273599</v>
      </c>
      <c r="J82" s="14">
        <v>42371.490752314814</v>
      </c>
      <c r="K82">
        <v>23.34</v>
      </c>
      <c r="L82" s="5">
        <f>('[1]Pizza Sales Calculations'!$J82-'[1]Pizza Sales Calculations'!$C82)*24*60</f>
        <v>14.949999995296821</v>
      </c>
      <c r="M82">
        <f>COUNTA('[1]Pizza Sales Calculations'!$D82:$F82)</f>
        <v>2</v>
      </c>
      <c r="N82">
        <f>IFERROR(VLOOKUP(D82,[1]Parameters!$A$3:$C$5,3,FALSE),0)</f>
        <v>1</v>
      </c>
      <c r="O82">
        <f>IFERROR(VLOOKUP(E82,[1]Parameters!$A$3:$C$5,3,FALSE),0)</f>
        <v>2.2999999999999998</v>
      </c>
      <c r="P82">
        <f>IFERROR(VLOOKUP(F82,[1]Parameters!$A$3:$C$5,3,FALSE),0)</f>
        <v>0</v>
      </c>
      <c r="Q82">
        <f t="shared" si="1"/>
        <v>3.3</v>
      </c>
      <c r="R82" s="10">
        <f>IF('[1]Pizza Sales Calculations'!$G82=TRUE, [1]Parameters!$B$17*'[1]Pizza Sales Calculations'!$L82*2, 0)</f>
        <v>4.2358333320007659</v>
      </c>
      <c r="S82" t="str">
        <f>IF(I82&lt;[1]Parameters!$B$21,"TRUE","FALSE")</f>
        <v>TRUE</v>
      </c>
      <c r="T82" s="5">
        <f>(I82/[1]Parameters!$B$25)*60</f>
        <v>5.9800904216547197</v>
      </c>
      <c r="U82" s="10">
        <f>IF(AND('[1]Pizza Sales Calculations'!G82=TRUE,'[1]Pizza Sales Calculations'!S82="TRUE"),T82*[1]Parameters!$B$40*2,0)</f>
        <v>0.37329296044053195</v>
      </c>
      <c r="V82">
        <f>INDEX([1]Parameters!$A$3:$C$5,MATCH('[1]Pizza Sales Calculations'!D82,[1]Parameters!$A$3:$A$5,0),2)</f>
        <v>7</v>
      </c>
      <c r="W82">
        <f>INDEX([1]Parameters!$A$3:$C$5,MATCH('[1]Pizza Sales Calculations'!E82,[1]Parameters!$A$3:$A$5,0),2)</f>
        <v>14</v>
      </c>
      <c r="X82" t="e">
        <f>INDEX([1]Parameters!$A$3:$C$5,MATCH('[1]Pizza Sales Calculations'!F82,[1]Parameters!$A$3:$A$5,0),2)</f>
        <v>#N/A</v>
      </c>
    </row>
    <row r="83" spans="1:24" x14ac:dyDescent="0.3">
      <c r="A83">
        <v>82</v>
      </c>
      <c r="B83" s="14">
        <v>42371.489212962966</v>
      </c>
      <c r="C83" s="14">
        <v>42371.49962962963</v>
      </c>
      <c r="D83" t="s">
        <v>3</v>
      </c>
      <c r="E83" t="s">
        <v>5</v>
      </c>
      <c r="G83" t="b">
        <v>1</v>
      </c>
      <c r="H83">
        <v>70804</v>
      </c>
      <c r="I83" s="5">
        <v>1.66198992874833</v>
      </c>
      <c r="J83" s="14">
        <v>42371.505393518521</v>
      </c>
      <c r="K83">
        <v>23.34</v>
      </c>
      <c r="L83" s="5">
        <f>('[1]Pizza Sales Calculations'!$J83-'[1]Pizza Sales Calculations'!$C83)*24*60</f>
        <v>8.3000000019092113</v>
      </c>
      <c r="M83">
        <f>COUNTA('[1]Pizza Sales Calculations'!$D83:$F83)</f>
        <v>2</v>
      </c>
      <c r="N83">
        <f>IFERROR(VLOOKUP(D83,[1]Parameters!$A$3:$C$5,3,FALSE),0)</f>
        <v>1</v>
      </c>
      <c r="O83">
        <f>IFERROR(VLOOKUP(E83,[1]Parameters!$A$3:$C$5,3,FALSE),0)</f>
        <v>2.2999999999999998</v>
      </c>
      <c r="P83">
        <f>IFERROR(VLOOKUP(F83,[1]Parameters!$A$3:$C$5,3,FALSE),0)</f>
        <v>0</v>
      </c>
      <c r="Q83">
        <f t="shared" si="1"/>
        <v>3.3</v>
      </c>
      <c r="R83" s="10">
        <f>IF('[1]Pizza Sales Calculations'!$G83=TRUE, [1]Parameters!$B$17*'[1]Pizza Sales Calculations'!$L83*2, 0)</f>
        <v>2.3516666672076099</v>
      </c>
      <c r="S83" t="str">
        <f>IF(I83&lt;[1]Parameters!$B$21,"TRUE","FALSE")</f>
        <v>TRUE</v>
      </c>
      <c r="T83" s="5">
        <f>(I83/[1]Parameters!$B$25)*60</f>
        <v>3.3239798574966599</v>
      </c>
      <c r="U83" s="10">
        <f>IF(AND('[1]Pizza Sales Calculations'!G83=TRUE,'[1]Pizza Sales Calculations'!S83="TRUE"),T83*[1]Parameters!$B$40*2,0)</f>
        <v>0.20749155848153303</v>
      </c>
      <c r="V83">
        <f>INDEX([1]Parameters!$A$3:$C$5,MATCH('[1]Pizza Sales Calculations'!D83,[1]Parameters!$A$3:$A$5,0),2)</f>
        <v>7</v>
      </c>
      <c r="W83">
        <f>INDEX([1]Parameters!$A$3:$C$5,MATCH('[1]Pizza Sales Calculations'!E83,[1]Parameters!$A$3:$A$5,0),2)</f>
        <v>14</v>
      </c>
      <c r="X83" t="e">
        <f>INDEX([1]Parameters!$A$3:$C$5,MATCH('[1]Pizza Sales Calculations'!F83,[1]Parameters!$A$3:$A$5,0),2)</f>
        <v>#N/A</v>
      </c>
    </row>
    <row r="84" spans="1:24" x14ac:dyDescent="0.3">
      <c r="A84">
        <v>83</v>
      </c>
      <c r="B84" s="14">
        <v>42371.478194444448</v>
      </c>
      <c r="C84" s="14">
        <v>42371.488599537035</v>
      </c>
      <c r="D84" t="s">
        <v>3</v>
      </c>
      <c r="G84" t="b">
        <v>1</v>
      </c>
      <c r="H84">
        <v>70805</v>
      </c>
      <c r="I84" s="5">
        <v>3.6148077105632699</v>
      </c>
      <c r="J84" s="14">
        <v>42371.501145833332</v>
      </c>
      <c r="K84">
        <v>7.99</v>
      </c>
      <c r="L84" s="5">
        <f>('[1]Pizza Sales Calculations'!$J84-'[1]Pizza Sales Calculations'!$C84)*24*60</f>
        <v>18.066666667582467</v>
      </c>
      <c r="M84">
        <f>COUNTA('[1]Pizza Sales Calculations'!$D84:$F84)</f>
        <v>1</v>
      </c>
      <c r="N84">
        <f>IFERROR(VLOOKUP(D84,[1]Parameters!$A$3:$C$5,3,FALSE),0)</f>
        <v>1</v>
      </c>
      <c r="O84">
        <f>IFERROR(VLOOKUP(E84,[1]Parameters!$A$3:$C$5,3,FALSE),0)</f>
        <v>0</v>
      </c>
      <c r="P84">
        <f>IFERROR(VLOOKUP(F84,[1]Parameters!$A$3:$C$5,3,FALSE),0)</f>
        <v>0</v>
      </c>
      <c r="Q84">
        <f t="shared" si="1"/>
        <v>1</v>
      </c>
      <c r="R84" s="10">
        <f>IF('[1]Pizza Sales Calculations'!$G84=TRUE, [1]Parameters!$B$17*'[1]Pizza Sales Calculations'!$L84*2, 0)</f>
        <v>5.1188888891483657</v>
      </c>
      <c r="S84" t="str">
        <f>IF(I84&lt;[1]Parameters!$B$21,"TRUE","FALSE")</f>
        <v>FALSE</v>
      </c>
      <c r="T84" s="5">
        <f>(I84/[1]Parameters!$B$25)*60</f>
        <v>7.2296154211265398</v>
      </c>
      <c r="U84" s="10">
        <f>IF(AND('[1]Pizza Sales Calculations'!G84=TRUE,'[1]Pizza Sales Calculations'!S84="TRUE"),T84*[1]Parameters!$B$40*2,0)</f>
        <v>0</v>
      </c>
      <c r="V84">
        <f>INDEX([1]Parameters!$A$3:$C$5,MATCH('[1]Pizza Sales Calculations'!D84,[1]Parameters!$A$3:$A$5,0),2)</f>
        <v>7</v>
      </c>
      <c r="W84" t="e">
        <f>INDEX([1]Parameters!$A$3:$C$5,MATCH('[1]Pizza Sales Calculations'!E84,[1]Parameters!$A$3:$A$5,0),2)</f>
        <v>#N/A</v>
      </c>
      <c r="X84" t="e">
        <f>INDEX([1]Parameters!$A$3:$C$5,MATCH('[1]Pizza Sales Calculations'!F84,[1]Parameters!$A$3:$A$5,0),2)</f>
        <v>#N/A</v>
      </c>
    </row>
    <row r="85" spans="1:24" x14ac:dyDescent="0.3">
      <c r="A85">
        <v>84</v>
      </c>
      <c r="B85" s="14">
        <v>42371.487175925926</v>
      </c>
      <c r="C85" s="14">
        <v>42371.497581018521</v>
      </c>
      <c r="D85" t="s">
        <v>5</v>
      </c>
      <c r="G85" t="b">
        <v>0</v>
      </c>
      <c r="H85">
        <v>70805</v>
      </c>
      <c r="I85" s="5">
        <v>0</v>
      </c>
      <c r="J85" s="14">
        <v>42371.499652777777</v>
      </c>
      <c r="K85">
        <v>15.35</v>
      </c>
      <c r="L85" s="5">
        <f>('[1]Pizza Sales Calculations'!$J85-'[1]Pizza Sales Calculations'!$C85)*24*60</f>
        <v>2.9833333287388086</v>
      </c>
      <c r="M85">
        <f>COUNTA('[1]Pizza Sales Calculations'!$D85:$F85)</f>
        <v>1</v>
      </c>
      <c r="N85">
        <f>IFERROR(VLOOKUP(D85,[1]Parameters!$A$3:$C$5,3,FALSE),0)</f>
        <v>2.2999999999999998</v>
      </c>
      <c r="O85">
        <f>IFERROR(VLOOKUP(E85,[1]Parameters!$A$3:$C$5,3,FALSE),0)</f>
        <v>0</v>
      </c>
      <c r="P85">
        <f>IFERROR(VLOOKUP(F85,[1]Parameters!$A$3:$C$5,3,FALSE),0)</f>
        <v>0</v>
      </c>
      <c r="Q85">
        <f t="shared" si="1"/>
        <v>2.2999999999999998</v>
      </c>
      <c r="R85" s="10">
        <f>IF('[1]Pizza Sales Calculations'!$G85=TRUE, [1]Parameters!$B$17*'[1]Pizza Sales Calculations'!$L85*2, 0)</f>
        <v>0</v>
      </c>
      <c r="S85" t="str">
        <f>IF(I85&lt;[1]Parameters!$B$21,"TRUE","FALSE")</f>
        <v>TRUE</v>
      </c>
      <c r="T85" s="5">
        <f>(I85/[1]Parameters!$B$25)*60</f>
        <v>0</v>
      </c>
      <c r="U85" s="10">
        <f>IF(AND('[1]Pizza Sales Calculations'!G85=TRUE,'[1]Pizza Sales Calculations'!S85="TRUE"),T85*[1]Parameters!$B$40*2,0)</f>
        <v>0</v>
      </c>
      <c r="V85">
        <f>INDEX([1]Parameters!$A$3:$C$5,MATCH('[1]Pizza Sales Calculations'!D85,[1]Parameters!$A$3:$A$5,0),2)</f>
        <v>14</v>
      </c>
      <c r="W85" t="e">
        <f>INDEX([1]Parameters!$A$3:$C$5,MATCH('[1]Pizza Sales Calculations'!E85,[1]Parameters!$A$3:$A$5,0),2)</f>
        <v>#N/A</v>
      </c>
      <c r="X85" t="e">
        <f>INDEX([1]Parameters!$A$3:$C$5,MATCH('[1]Pizza Sales Calculations'!F85,[1]Parameters!$A$3:$A$5,0),2)</f>
        <v>#N/A</v>
      </c>
    </row>
    <row r="86" spans="1:24" x14ac:dyDescent="0.3">
      <c r="A86">
        <v>85</v>
      </c>
      <c r="B86" s="14">
        <v>42371.500347222223</v>
      </c>
      <c r="C86" s="14">
        <v>42371.510752314818</v>
      </c>
      <c r="D86" t="s">
        <v>4</v>
      </c>
      <c r="G86" t="b">
        <v>0</v>
      </c>
      <c r="H86">
        <v>70804</v>
      </c>
      <c r="I86" s="5">
        <v>0</v>
      </c>
      <c r="J86" s="14">
        <v>42371.51284722222</v>
      </c>
      <c r="K86">
        <v>11.59</v>
      </c>
      <c r="L86" s="5">
        <f>('[1]Pizza Sales Calculations'!$J86-'[1]Pizza Sales Calculations'!$C86)*24*60</f>
        <v>3.0166666593868285</v>
      </c>
      <c r="M86">
        <f>COUNTA('[1]Pizza Sales Calculations'!$D86:$F86)</f>
        <v>1</v>
      </c>
      <c r="N86">
        <f>IFERROR(VLOOKUP(D86,[1]Parameters!$A$3:$C$5,3,FALSE),0)</f>
        <v>1.7</v>
      </c>
      <c r="O86">
        <f>IFERROR(VLOOKUP(E86,[1]Parameters!$A$3:$C$5,3,FALSE),0)</f>
        <v>0</v>
      </c>
      <c r="P86">
        <f>IFERROR(VLOOKUP(F86,[1]Parameters!$A$3:$C$5,3,FALSE),0)</f>
        <v>0</v>
      </c>
      <c r="Q86">
        <f t="shared" si="1"/>
        <v>1.7</v>
      </c>
      <c r="R86" s="10">
        <f>IF('[1]Pizza Sales Calculations'!$G86=TRUE, [1]Parameters!$B$17*'[1]Pizza Sales Calculations'!$L86*2, 0)</f>
        <v>0</v>
      </c>
      <c r="S86" t="str">
        <f>IF(I86&lt;[1]Parameters!$B$21,"TRUE","FALSE")</f>
        <v>TRUE</v>
      </c>
      <c r="T86" s="5">
        <f>(I86/[1]Parameters!$B$25)*60</f>
        <v>0</v>
      </c>
      <c r="U86" s="10">
        <f>IF(AND('[1]Pizza Sales Calculations'!G86=TRUE,'[1]Pizza Sales Calculations'!S86="TRUE"),T86*[1]Parameters!$B$40*2,0)</f>
        <v>0</v>
      </c>
      <c r="V86">
        <f>INDEX([1]Parameters!$A$3:$C$5,MATCH('[1]Pizza Sales Calculations'!D86,[1]Parameters!$A$3:$A$5,0),2)</f>
        <v>10</v>
      </c>
      <c r="W86" t="e">
        <f>INDEX([1]Parameters!$A$3:$C$5,MATCH('[1]Pizza Sales Calculations'!E86,[1]Parameters!$A$3:$A$5,0),2)</f>
        <v>#N/A</v>
      </c>
      <c r="X86" t="e">
        <f>INDEX([1]Parameters!$A$3:$C$5,MATCH('[1]Pizza Sales Calculations'!F86,[1]Parameters!$A$3:$A$5,0),2)</f>
        <v>#N/A</v>
      </c>
    </row>
    <row r="87" spans="1:24" x14ac:dyDescent="0.3">
      <c r="A87">
        <v>86</v>
      </c>
      <c r="B87" s="14">
        <v>42371.524467592593</v>
      </c>
      <c r="C87" s="14">
        <v>42371.534884259258</v>
      </c>
      <c r="D87" t="s">
        <v>3</v>
      </c>
      <c r="G87" t="b">
        <v>1</v>
      </c>
      <c r="H87">
        <v>70806</v>
      </c>
      <c r="I87" s="5">
        <v>1.6360924162659201</v>
      </c>
      <c r="J87" s="14">
        <v>42371.540555555555</v>
      </c>
      <c r="K87">
        <v>7.99</v>
      </c>
      <c r="L87" s="5">
        <f>('[1]Pizza Sales Calculations'!$J87-'[1]Pizza Sales Calculations'!$C87)*24*60</f>
        <v>8.1666666688397527</v>
      </c>
      <c r="M87">
        <f>COUNTA('[1]Pizza Sales Calculations'!$D87:$F87)</f>
        <v>1</v>
      </c>
      <c r="N87">
        <f>IFERROR(VLOOKUP(D87,[1]Parameters!$A$3:$C$5,3,FALSE),0)</f>
        <v>1</v>
      </c>
      <c r="O87">
        <f>IFERROR(VLOOKUP(E87,[1]Parameters!$A$3:$C$5,3,FALSE),0)</f>
        <v>0</v>
      </c>
      <c r="P87">
        <f>IFERROR(VLOOKUP(F87,[1]Parameters!$A$3:$C$5,3,FALSE),0)</f>
        <v>0</v>
      </c>
      <c r="Q87">
        <f t="shared" si="1"/>
        <v>1</v>
      </c>
      <c r="R87" s="10">
        <f>IF('[1]Pizza Sales Calculations'!$G87=TRUE, [1]Parameters!$B$17*'[1]Pizza Sales Calculations'!$L87*2, 0)</f>
        <v>2.3138888895045966</v>
      </c>
      <c r="S87" t="str">
        <f>IF(I87&lt;[1]Parameters!$B$21,"TRUE","FALSE")</f>
        <v>TRUE</v>
      </c>
      <c r="T87" s="5">
        <f>(I87/[1]Parameters!$B$25)*60</f>
        <v>3.2721848325318401</v>
      </c>
      <c r="U87" s="10">
        <f>IF(AND('[1]Pizza Sales Calculations'!G87=TRUE,'[1]Pizza Sales Calculations'!S87="TRUE"),T87*[1]Parameters!$B$40*2,0)</f>
        <v>0.20425837690033233</v>
      </c>
      <c r="V87">
        <f>INDEX([1]Parameters!$A$3:$C$5,MATCH('[1]Pizza Sales Calculations'!D87,[1]Parameters!$A$3:$A$5,0),2)</f>
        <v>7</v>
      </c>
      <c r="W87" t="e">
        <f>INDEX([1]Parameters!$A$3:$C$5,MATCH('[1]Pizza Sales Calculations'!E87,[1]Parameters!$A$3:$A$5,0),2)</f>
        <v>#N/A</v>
      </c>
      <c r="X87" t="e">
        <f>INDEX([1]Parameters!$A$3:$C$5,MATCH('[1]Pizza Sales Calculations'!F87,[1]Parameters!$A$3:$A$5,0),2)</f>
        <v>#N/A</v>
      </c>
    </row>
    <row r="88" spans="1:24" x14ac:dyDescent="0.3">
      <c r="A88">
        <v>87</v>
      </c>
      <c r="B88" s="14">
        <v>42371.441041666665</v>
      </c>
      <c r="C88" s="14">
        <v>42371.45144675926</v>
      </c>
      <c r="D88" t="s">
        <v>3</v>
      </c>
      <c r="G88" t="b">
        <v>0</v>
      </c>
      <c r="H88">
        <v>70803</v>
      </c>
      <c r="I88" s="5">
        <v>0</v>
      </c>
      <c r="J88" s="14">
        <v>42371.453530092593</v>
      </c>
      <c r="K88">
        <v>7.99</v>
      </c>
      <c r="L88" s="5">
        <f>('[1]Pizza Sales Calculations'!$J88-'[1]Pizza Sales Calculations'!$C88)*24*60</f>
        <v>2.9999999993015081</v>
      </c>
      <c r="M88">
        <f>COUNTA('[1]Pizza Sales Calculations'!$D88:$F88)</f>
        <v>1</v>
      </c>
      <c r="N88">
        <f>IFERROR(VLOOKUP(D88,[1]Parameters!$A$3:$C$5,3,FALSE),0)</f>
        <v>1</v>
      </c>
      <c r="O88">
        <f>IFERROR(VLOOKUP(E88,[1]Parameters!$A$3:$C$5,3,FALSE),0)</f>
        <v>0</v>
      </c>
      <c r="P88">
        <f>IFERROR(VLOOKUP(F88,[1]Parameters!$A$3:$C$5,3,FALSE),0)</f>
        <v>0</v>
      </c>
      <c r="Q88">
        <f t="shared" si="1"/>
        <v>1</v>
      </c>
      <c r="R88" s="10">
        <f>IF('[1]Pizza Sales Calculations'!$G88=TRUE, [1]Parameters!$B$17*'[1]Pizza Sales Calculations'!$L88*2, 0)</f>
        <v>0</v>
      </c>
      <c r="S88" t="str">
        <f>IF(I88&lt;[1]Parameters!$B$21,"TRUE","FALSE")</f>
        <v>TRUE</v>
      </c>
      <c r="T88" s="5">
        <f>(I88/[1]Parameters!$B$25)*60</f>
        <v>0</v>
      </c>
      <c r="U88" s="10">
        <f>IF(AND('[1]Pizza Sales Calculations'!G88=TRUE,'[1]Pizza Sales Calculations'!S88="TRUE"),T88*[1]Parameters!$B$40*2,0)</f>
        <v>0</v>
      </c>
      <c r="V88">
        <f>INDEX([1]Parameters!$A$3:$C$5,MATCH('[1]Pizza Sales Calculations'!D88,[1]Parameters!$A$3:$A$5,0),2)</f>
        <v>7</v>
      </c>
      <c r="W88" t="e">
        <f>INDEX([1]Parameters!$A$3:$C$5,MATCH('[1]Pizza Sales Calculations'!E88,[1]Parameters!$A$3:$A$5,0),2)</f>
        <v>#N/A</v>
      </c>
      <c r="X88" t="e">
        <f>INDEX([1]Parameters!$A$3:$C$5,MATCH('[1]Pizza Sales Calculations'!F88,[1]Parameters!$A$3:$A$5,0),2)</f>
        <v>#N/A</v>
      </c>
    </row>
    <row r="89" spans="1:24" x14ac:dyDescent="0.3">
      <c r="A89">
        <v>88</v>
      </c>
      <c r="B89" s="14">
        <v>42371.517048611109</v>
      </c>
      <c r="C89" s="14">
        <v>42371.527442129627</v>
      </c>
      <c r="D89" t="s">
        <v>5</v>
      </c>
      <c r="G89" t="b">
        <v>1</v>
      </c>
      <c r="H89">
        <v>70803</v>
      </c>
      <c r="I89" s="5">
        <v>2.61156704355637</v>
      </c>
      <c r="J89" s="14">
        <v>42371.536504629628</v>
      </c>
      <c r="K89">
        <v>15.35</v>
      </c>
      <c r="L89" s="5">
        <f>('[1]Pizza Sales Calculations'!$J89-'[1]Pizza Sales Calculations'!$C89)*24*60</f>
        <v>13.050000001676381</v>
      </c>
      <c r="M89">
        <f>COUNTA('[1]Pizza Sales Calculations'!$D89:$F89)</f>
        <v>1</v>
      </c>
      <c r="N89">
        <f>IFERROR(VLOOKUP(D89,[1]Parameters!$A$3:$C$5,3,FALSE),0)</f>
        <v>2.2999999999999998</v>
      </c>
      <c r="O89">
        <f>IFERROR(VLOOKUP(E89,[1]Parameters!$A$3:$C$5,3,FALSE),0)</f>
        <v>0</v>
      </c>
      <c r="P89">
        <f>IFERROR(VLOOKUP(F89,[1]Parameters!$A$3:$C$5,3,FALSE),0)</f>
        <v>0</v>
      </c>
      <c r="Q89">
        <f t="shared" si="1"/>
        <v>2.2999999999999998</v>
      </c>
      <c r="R89" s="10">
        <f>IF('[1]Pizza Sales Calculations'!$G89=TRUE, [1]Parameters!$B$17*'[1]Pizza Sales Calculations'!$L89*2, 0)</f>
        <v>3.6975000004749745</v>
      </c>
      <c r="S89" t="str">
        <f>IF(I89&lt;[1]Parameters!$B$21,"TRUE","FALSE")</f>
        <v>TRUE</v>
      </c>
      <c r="T89" s="5">
        <f>(I89/[1]Parameters!$B$25)*60</f>
        <v>5.2231340871127401</v>
      </c>
      <c r="U89" s="10">
        <f>IF(AND('[1]Pizza Sales Calculations'!G89=TRUE,'[1]Pizza Sales Calculations'!S89="TRUE"),T89*[1]Parameters!$B$40*2,0)</f>
        <v>0.32604175667575652</v>
      </c>
      <c r="V89">
        <f>INDEX([1]Parameters!$A$3:$C$5,MATCH('[1]Pizza Sales Calculations'!D89,[1]Parameters!$A$3:$A$5,0),2)</f>
        <v>14</v>
      </c>
      <c r="W89" t="e">
        <f>INDEX([1]Parameters!$A$3:$C$5,MATCH('[1]Pizza Sales Calculations'!E89,[1]Parameters!$A$3:$A$5,0),2)</f>
        <v>#N/A</v>
      </c>
      <c r="X89" t="e">
        <f>INDEX([1]Parameters!$A$3:$C$5,MATCH('[1]Pizza Sales Calculations'!F89,[1]Parameters!$A$3:$A$5,0),2)</f>
        <v>#N/A</v>
      </c>
    </row>
    <row r="90" spans="1:24" x14ac:dyDescent="0.3">
      <c r="A90">
        <v>89</v>
      </c>
      <c r="B90" s="14">
        <v>42371.535497685189</v>
      </c>
      <c r="C90" s="14">
        <v>42371.545902777776</v>
      </c>
      <c r="D90" t="s">
        <v>5</v>
      </c>
      <c r="G90" t="b">
        <v>0</v>
      </c>
      <c r="H90">
        <v>70804</v>
      </c>
      <c r="I90" s="5">
        <v>0</v>
      </c>
      <c r="J90" s="14">
        <v>42371.547974537039</v>
      </c>
      <c r="K90">
        <v>15.35</v>
      </c>
      <c r="L90" s="5">
        <f>('[1]Pizza Sales Calculations'!$J90-'[1]Pizza Sales Calculations'!$C90)*24*60</f>
        <v>2.9833333392161876</v>
      </c>
      <c r="M90">
        <f>COUNTA('[1]Pizza Sales Calculations'!$D90:$F90)</f>
        <v>1</v>
      </c>
      <c r="N90">
        <f>IFERROR(VLOOKUP(D90,[1]Parameters!$A$3:$C$5,3,FALSE),0)</f>
        <v>2.2999999999999998</v>
      </c>
      <c r="O90">
        <f>IFERROR(VLOOKUP(E90,[1]Parameters!$A$3:$C$5,3,FALSE),0)</f>
        <v>0</v>
      </c>
      <c r="P90">
        <f>IFERROR(VLOOKUP(F90,[1]Parameters!$A$3:$C$5,3,FALSE),0)</f>
        <v>0</v>
      </c>
      <c r="Q90">
        <f t="shared" si="1"/>
        <v>2.2999999999999998</v>
      </c>
      <c r="R90" s="10">
        <f>IF('[1]Pizza Sales Calculations'!$G90=TRUE, [1]Parameters!$B$17*'[1]Pizza Sales Calculations'!$L90*2, 0)</f>
        <v>0</v>
      </c>
      <c r="S90" t="str">
        <f>IF(I90&lt;[1]Parameters!$B$21,"TRUE","FALSE")</f>
        <v>TRUE</v>
      </c>
      <c r="T90" s="5">
        <f>(I90/[1]Parameters!$B$25)*60</f>
        <v>0</v>
      </c>
      <c r="U90" s="10">
        <f>IF(AND('[1]Pizza Sales Calculations'!G90=TRUE,'[1]Pizza Sales Calculations'!S90="TRUE"),T90*[1]Parameters!$B$40*2,0)</f>
        <v>0</v>
      </c>
      <c r="V90">
        <f>INDEX([1]Parameters!$A$3:$C$5,MATCH('[1]Pizza Sales Calculations'!D90,[1]Parameters!$A$3:$A$5,0),2)</f>
        <v>14</v>
      </c>
      <c r="W90" t="e">
        <f>INDEX([1]Parameters!$A$3:$C$5,MATCH('[1]Pizza Sales Calculations'!E90,[1]Parameters!$A$3:$A$5,0),2)</f>
        <v>#N/A</v>
      </c>
      <c r="X90" t="e">
        <f>INDEX([1]Parameters!$A$3:$C$5,MATCH('[1]Pizza Sales Calculations'!F90,[1]Parameters!$A$3:$A$5,0),2)</f>
        <v>#N/A</v>
      </c>
    </row>
    <row r="91" spans="1:24" x14ac:dyDescent="0.3">
      <c r="A91">
        <v>90</v>
      </c>
      <c r="B91" s="14">
        <v>42371.522650462961</v>
      </c>
      <c r="C91" s="14">
        <v>42371.533043981479</v>
      </c>
      <c r="D91" t="s">
        <v>5</v>
      </c>
      <c r="G91" t="b">
        <v>1</v>
      </c>
      <c r="H91">
        <v>70806</v>
      </c>
      <c r="I91" s="5">
        <v>3.8017957407167602</v>
      </c>
      <c r="J91" s="14">
        <v>42371.546238425923</v>
      </c>
      <c r="K91">
        <v>15.35</v>
      </c>
      <c r="L91" s="5">
        <f>('[1]Pizza Sales Calculations'!$J91-'[1]Pizza Sales Calculations'!$C91)*24*60</f>
        <v>18.999999999068677</v>
      </c>
      <c r="M91">
        <f>COUNTA('[1]Pizza Sales Calculations'!$D91:$F91)</f>
        <v>1</v>
      </c>
      <c r="N91">
        <f>IFERROR(VLOOKUP(D91,[1]Parameters!$A$3:$C$5,3,FALSE),0)</f>
        <v>2.2999999999999998</v>
      </c>
      <c r="O91">
        <f>IFERROR(VLOOKUP(E91,[1]Parameters!$A$3:$C$5,3,FALSE),0)</f>
        <v>0</v>
      </c>
      <c r="P91">
        <f>IFERROR(VLOOKUP(F91,[1]Parameters!$A$3:$C$5,3,FALSE),0)</f>
        <v>0</v>
      </c>
      <c r="Q91">
        <f t="shared" si="1"/>
        <v>2.2999999999999998</v>
      </c>
      <c r="R91" s="10">
        <f>IF('[1]Pizza Sales Calculations'!$G91=TRUE, [1]Parameters!$B$17*'[1]Pizza Sales Calculations'!$L91*2, 0)</f>
        <v>5.3833333330694586</v>
      </c>
      <c r="S91" t="str">
        <f>IF(I91&lt;[1]Parameters!$B$21,"TRUE","FALSE")</f>
        <v>FALSE</v>
      </c>
      <c r="T91" s="5">
        <f>(I91/[1]Parameters!$B$25)*60</f>
        <v>7.6035914814335204</v>
      </c>
      <c r="U91" s="10">
        <f>IF(AND('[1]Pizza Sales Calculations'!G91=TRUE,'[1]Pizza Sales Calculations'!S91="TRUE"),T91*[1]Parameters!$B$40*2,0)</f>
        <v>0</v>
      </c>
      <c r="V91">
        <f>INDEX([1]Parameters!$A$3:$C$5,MATCH('[1]Pizza Sales Calculations'!D91,[1]Parameters!$A$3:$A$5,0),2)</f>
        <v>14</v>
      </c>
      <c r="W91" t="e">
        <f>INDEX([1]Parameters!$A$3:$C$5,MATCH('[1]Pizza Sales Calculations'!E91,[1]Parameters!$A$3:$A$5,0),2)</f>
        <v>#N/A</v>
      </c>
      <c r="X91" t="e">
        <f>INDEX([1]Parameters!$A$3:$C$5,MATCH('[1]Pizza Sales Calculations'!F91,[1]Parameters!$A$3:$A$5,0),2)</f>
        <v>#N/A</v>
      </c>
    </row>
    <row r="92" spans="1:24" x14ac:dyDescent="0.3">
      <c r="A92">
        <v>91</v>
      </c>
      <c r="B92" s="14">
        <v>42371.529502314814</v>
      </c>
      <c r="C92" s="14">
        <v>42371.539930555555</v>
      </c>
      <c r="D92" t="s">
        <v>4</v>
      </c>
      <c r="G92" t="b">
        <v>0</v>
      </c>
      <c r="H92">
        <v>70803</v>
      </c>
      <c r="I92" s="5">
        <v>0</v>
      </c>
      <c r="J92" s="14">
        <v>42371.541990740741</v>
      </c>
      <c r="K92">
        <v>11.59</v>
      </c>
      <c r="L92" s="5">
        <f>('[1]Pizza Sales Calculations'!$J92-'[1]Pizza Sales Calculations'!$C92)*24*60</f>
        <v>2.9666666686534882</v>
      </c>
      <c r="M92">
        <f>COUNTA('[1]Pizza Sales Calculations'!$D92:$F92)</f>
        <v>1</v>
      </c>
      <c r="N92">
        <f>IFERROR(VLOOKUP(D92,[1]Parameters!$A$3:$C$5,3,FALSE),0)</f>
        <v>1.7</v>
      </c>
      <c r="O92">
        <f>IFERROR(VLOOKUP(E92,[1]Parameters!$A$3:$C$5,3,FALSE),0)</f>
        <v>0</v>
      </c>
      <c r="P92">
        <f>IFERROR(VLOOKUP(F92,[1]Parameters!$A$3:$C$5,3,FALSE),0)</f>
        <v>0</v>
      </c>
      <c r="Q92">
        <f t="shared" si="1"/>
        <v>1.7</v>
      </c>
      <c r="R92" s="10">
        <f>IF('[1]Pizza Sales Calculations'!$G92=TRUE, [1]Parameters!$B$17*'[1]Pizza Sales Calculations'!$L92*2, 0)</f>
        <v>0</v>
      </c>
      <c r="S92" t="str">
        <f>IF(I92&lt;[1]Parameters!$B$21,"TRUE","FALSE")</f>
        <v>TRUE</v>
      </c>
      <c r="T92" s="5">
        <f>(I92/[1]Parameters!$B$25)*60</f>
        <v>0</v>
      </c>
      <c r="U92" s="10">
        <f>IF(AND('[1]Pizza Sales Calculations'!G92=TRUE,'[1]Pizza Sales Calculations'!S92="TRUE"),T92*[1]Parameters!$B$40*2,0)</f>
        <v>0</v>
      </c>
      <c r="V92">
        <f>INDEX([1]Parameters!$A$3:$C$5,MATCH('[1]Pizza Sales Calculations'!D92,[1]Parameters!$A$3:$A$5,0),2)</f>
        <v>10</v>
      </c>
      <c r="W92" t="e">
        <f>INDEX([1]Parameters!$A$3:$C$5,MATCH('[1]Pizza Sales Calculations'!E92,[1]Parameters!$A$3:$A$5,0),2)</f>
        <v>#N/A</v>
      </c>
      <c r="X92" t="e">
        <f>INDEX([1]Parameters!$A$3:$C$5,MATCH('[1]Pizza Sales Calculations'!F92,[1]Parameters!$A$3:$A$5,0),2)</f>
        <v>#N/A</v>
      </c>
    </row>
    <row r="93" spans="1:24" x14ac:dyDescent="0.3">
      <c r="A93">
        <v>92</v>
      </c>
      <c r="B93" s="14">
        <v>42371.521018518521</v>
      </c>
      <c r="C93" s="14">
        <v>42371.531412037039</v>
      </c>
      <c r="D93" t="s">
        <v>4</v>
      </c>
      <c r="G93" t="b">
        <v>0</v>
      </c>
      <c r="H93">
        <v>70805</v>
      </c>
      <c r="I93" s="5">
        <v>0</v>
      </c>
      <c r="J93" s="14">
        <v>42371.533506944441</v>
      </c>
      <c r="K93">
        <v>11.59</v>
      </c>
      <c r="L93" s="5">
        <f>('[1]Pizza Sales Calculations'!$J93-'[1]Pizza Sales Calculations'!$C93)*24*60</f>
        <v>3.0166666593868285</v>
      </c>
      <c r="M93">
        <f>COUNTA('[1]Pizza Sales Calculations'!$D93:$F93)</f>
        <v>1</v>
      </c>
      <c r="N93">
        <f>IFERROR(VLOOKUP(D93,[1]Parameters!$A$3:$C$5,3,FALSE),0)</f>
        <v>1.7</v>
      </c>
      <c r="O93">
        <f>IFERROR(VLOOKUP(E93,[1]Parameters!$A$3:$C$5,3,FALSE),0)</f>
        <v>0</v>
      </c>
      <c r="P93">
        <f>IFERROR(VLOOKUP(F93,[1]Parameters!$A$3:$C$5,3,FALSE),0)</f>
        <v>0</v>
      </c>
      <c r="Q93">
        <f t="shared" si="1"/>
        <v>1.7</v>
      </c>
      <c r="R93" s="10">
        <f>IF('[1]Pizza Sales Calculations'!$G93=TRUE, [1]Parameters!$B$17*'[1]Pizza Sales Calculations'!$L93*2, 0)</f>
        <v>0</v>
      </c>
      <c r="S93" t="str">
        <f>IF(I93&lt;[1]Parameters!$B$21,"TRUE","FALSE")</f>
        <v>TRUE</v>
      </c>
      <c r="T93" s="5">
        <f>(I93/[1]Parameters!$B$25)*60</f>
        <v>0</v>
      </c>
      <c r="U93" s="10">
        <f>IF(AND('[1]Pizza Sales Calculations'!G93=TRUE,'[1]Pizza Sales Calculations'!S93="TRUE"),T93*[1]Parameters!$B$40*2,0)</f>
        <v>0</v>
      </c>
      <c r="V93">
        <f>INDEX([1]Parameters!$A$3:$C$5,MATCH('[1]Pizza Sales Calculations'!D93,[1]Parameters!$A$3:$A$5,0),2)</f>
        <v>10</v>
      </c>
      <c r="W93" t="e">
        <f>INDEX([1]Parameters!$A$3:$C$5,MATCH('[1]Pizza Sales Calculations'!E93,[1]Parameters!$A$3:$A$5,0),2)</f>
        <v>#N/A</v>
      </c>
      <c r="X93" t="e">
        <f>INDEX([1]Parameters!$A$3:$C$5,MATCH('[1]Pizza Sales Calculations'!F93,[1]Parameters!$A$3:$A$5,0),2)</f>
        <v>#N/A</v>
      </c>
    </row>
    <row r="94" spans="1:24" x14ac:dyDescent="0.3">
      <c r="A94">
        <v>93</v>
      </c>
      <c r="B94" s="14">
        <v>42371.520289351851</v>
      </c>
      <c r="C94" s="14">
        <v>42371.530694444446</v>
      </c>
      <c r="D94" t="s">
        <v>3</v>
      </c>
      <c r="E94" t="s">
        <v>5</v>
      </c>
      <c r="G94" t="b">
        <v>1</v>
      </c>
      <c r="H94">
        <v>70805</v>
      </c>
      <c r="I94" s="5">
        <v>1.9446467356885899</v>
      </c>
      <c r="J94" s="14">
        <v>42371.537442129629</v>
      </c>
      <c r="K94">
        <v>23.34</v>
      </c>
      <c r="L94" s="5">
        <f>('[1]Pizza Sales Calculations'!$J94-'[1]Pizza Sales Calculations'!$C94)*24*60</f>
        <v>9.7166666644625366</v>
      </c>
      <c r="M94">
        <f>COUNTA('[1]Pizza Sales Calculations'!$D94:$F94)</f>
        <v>2</v>
      </c>
      <c r="N94">
        <f>IFERROR(VLOOKUP(D94,[1]Parameters!$A$3:$C$5,3,FALSE),0)</f>
        <v>1</v>
      </c>
      <c r="O94">
        <f>IFERROR(VLOOKUP(E94,[1]Parameters!$A$3:$C$5,3,FALSE),0)</f>
        <v>2.2999999999999998</v>
      </c>
      <c r="P94">
        <f>IFERROR(VLOOKUP(F94,[1]Parameters!$A$3:$C$5,3,FALSE),0)</f>
        <v>0</v>
      </c>
      <c r="Q94">
        <f t="shared" si="1"/>
        <v>3.3</v>
      </c>
      <c r="R94" s="10">
        <f>IF('[1]Pizza Sales Calculations'!$G94=TRUE, [1]Parameters!$B$17*'[1]Pizza Sales Calculations'!$L94*2, 0)</f>
        <v>2.753055554931052</v>
      </c>
      <c r="S94" t="str">
        <f>IF(I94&lt;[1]Parameters!$B$21,"TRUE","FALSE")</f>
        <v>TRUE</v>
      </c>
      <c r="T94" s="5">
        <f>(I94/[1]Parameters!$B$25)*60</f>
        <v>3.8892934713771803</v>
      </c>
      <c r="U94" s="10">
        <f>IF(AND('[1]Pizza Sales Calculations'!G94=TRUE,'[1]Pizza Sales Calculations'!S94="TRUE"),T94*[1]Parameters!$B$40*2,0)</f>
        <v>0.24277991996493731</v>
      </c>
      <c r="V94">
        <f>INDEX([1]Parameters!$A$3:$C$5,MATCH('[1]Pizza Sales Calculations'!D94,[1]Parameters!$A$3:$A$5,0),2)</f>
        <v>7</v>
      </c>
      <c r="W94">
        <f>INDEX([1]Parameters!$A$3:$C$5,MATCH('[1]Pizza Sales Calculations'!E94,[1]Parameters!$A$3:$A$5,0),2)</f>
        <v>14</v>
      </c>
      <c r="X94" t="e">
        <f>INDEX([1]Parameters!$A$3:$C$5,MATCH('[1]Pizza Sales Calculations'!F94,[1]Parameters!$A$3:$A$5,0),2)</f>
        <v>#N/A</v>
      </c>
    </row>
    <row r="95" spans="1:24" x14ac:dyDescent="0.3">
      <c r="A95">
        <v>94</v>
      </c>
      <c r="B95" s="14">
        <v>42371.505254629628</v>
      </c>
      <c r="C95" s="14">
        <v>42371.515659722223</v>
      </c>
      <c r="D95" t="s">
        <v>4</v>
      </c>
      <c r="E95" t="s">
        <v>5</v>
      </c>
      <c r="G95" t="b">
        <v>1</v>
      </c>
      <c r="H95">
        <v>70803</v>
      </c>
      <c r="I95" s="5">
        <v>4.30305311328787</v>
      </c>
      <c r="J95" s="14">
        <v>42371.530590277776</v>
      </c>
      <c r="K95">
        <v>25.94</v>
      </c>
      <c r="L95" s="5">
        <f>('[1]Pizza Sales Calculations'!$J95-'[1]Pizza Sales Calculations'!$C95)*24*60</f>
        <v>21.499999996740371</v>
      </c>
      <c r="M95">
        <f>COUNTA('[1]Pizza Sales Calculations'!$D95:$F95)</f>
        <v>2</v>
      </c>
      <c r="N95">
        <f>IFERROR(VLOOKUP(D95,[1]Parameters!$A$3:$C$5,3,FALSE),0)</f>
        <v>1.7</v>
      </c>
      <c r="O95">
        <f>IFERROR(VLOOKUP(E95,[1]Parameters!$A$3:$C$5,3,FALSE),0)</f>
        <v>2.2999999999999998</v>
      </c>
      <c r="P95">
        <f>IFERROR(VLOOKUP(F95,[1]Parameters!$A$3:$C$5,3,FALSE),0)</f>
        <v>0</v>
      </c>
      <c r="Q95">
        <f t="shared" si="1"/>
        <v>4</v>
      </c>
      <c r="R95" s="10">
        <f>IF('[1]Pizza Sales Calculations'!$G95=TRUE, [1]Parameters!$B$17*'[1]Pizza Sales Calculations'!$L95*2, 0)</f>
        <v>6.0916666657431051</v>
      </c>
      <c r="S95" t="str">
        <f>IF(I95&lt;[1]Parameters!$B$21,"TRUE","FALSE")</f>
        <v>FALSE</v>
      </c>
      <c r="T95" s="5">
        <f>(I95/[1]Parameters!$B$25)*60</f>
        <v>8.60610622657574</v>
      </c>
      <c r="U95" s="10">
        <f>IF(AND('[1]Pizza Sales Calculations'!G95=TRUE,'[1]Pizza Sales Calculations'!S95="TRUE"),T95*[1]Parameters!$B$40*2,0)</f>
        <v>0</v>
      </c>
      <c r="V95">
        <f>INDEX([1]Parameters!$A$3:$C$5,MATCH('[1]Pizza Sales Calculations'!D95,[1]Parameters!$A$3:$A$5,0),2)</f>
        <v>10</v>
      </c>
      <c r="W95">
        <f>INDEX([1]Parameters!$A$3:$C$5,MATCH('[1]Pizza Sales Calculations'!E95,[1]Parameters!$A$3:$A$5,0),2)</f>
        <v>14</v>
      </c>
      <c r="X95" t="e">
        <f>INDEX([1]Parameters!$A$3:$C$5,MATCH('[1]Pizza Sales Calculations'!F95,[1]Parameters!$A$3:$A$5,0),2)</f>
        <v>#N/A</v>
      </c>
    </row>
    <row r="96" spans="1:24" x14ac:dyDescent="0.3">
      <c r="A96">
        <v>95</v>
      </c>
      <c r="B96" s="14">
        <v>42371.505891203706</v>
      </c>
      <c r="C96" s="14">
        <v>42371.516296296293</v>
      </c>
      <c r="D96" t="s">
        <v>5</v>
      </c>
      <c r="G96" t="b">
        <v>1</v>
      </c>
      <c r="H96">
        <v>70805</v>
      </c>
      <c r="I96" s="5">
        <v>1.27555800301977</v>
      </c>
      <c r="J96" s="14">
        <v>42371.52071759259</v>
      </c>
      <c r="K96">
        <v>15.35</v>
      </c>
      <c r="L96" s="5">
        <f>('[1]Pizza Sales Calculations'!$J96-'[1]Pizza Sales Calculations'!$C96)*24*60</f>
        <v>6.366666667163372</v>
      </c>
      <c r="M96">
        <f>COUNTA('[1]Pizza Sales Calculations'!$D96:$F96)</f>
        <v>1</v>
      </c>
      <c r="N96">
        <f>IFERROR(VLOOKUP(D96,[1]Parameters!$A$3:$C$5,3,FALSE),0)</f>
        <v>2.2999999999999998</v>
      </c>
      <c r="O96">
        <f>IFERROR(VLOOKUP(E96,[1]Parameters!$A$3:$C$5,3,FALSE),0)</f>
        <v>0</v>
      </c>
      <c r="P96">
        <f>IFERROR(VLOOKUP(F96,[1]Parameters!$A$3:$C$5,3,FALSE),0)</f>
        <v>0</v>
      </c>
      <c r="Q96">
        <f t="shared" si="1"/>
        <v>2.2999999999999998</v>
      </c>
      <c r="R96" s="10">
        <f>IF('[1]Pizza Sales Calculations'!$G96=TRUE, [1]Parameters!$B$17*'[1]Pizza Sales Calculations'!$L96*2, 0)</f>
        <v>1.8038888890296221</v>
      </c>
      <c r="S96" t="str">
        <f>IF(I96&lt;[1]Parameters!$B$21,"TRUE","FALSE")</f>
        <v>TRUE</v>
      </c>
      <c r="T96" s="5">
        <f>(I96/[1]Parameters!$B$25)*60</f>
        <v>2.5511160060395399</v>
      </c>
      <c r="U96" s="10">
        <f>IF(AND('[1]Pizza Sales Calculations'!G96=TRUE,'[1]Pizza Sales Calculations'!S96="TRUE"),T96*[1]Parameters!$B$40*2,0)</f>
        <v>0.15924736570424902</v>
      </c>
      <c r="V96">
        <f>INDEX([1]Parameters!$A$3:$C$5,MATCH('[1]Pizza Sales Calculations'!D96,[1]Parameters!$A$3:$A$5,0),2)</f>
        <v>14</v>
      </c>
      <c r="W96" t="e">
        <f>INDEX([1]Parameters!$A$3:$C$5,MATCH('[1]Pizza Sales Calculations'!E96,[1]Parameters!$A$3:$A$5,0),2)</f>
        <v>#N/A</v>
      </c>
      <c r="X96" t="e">
        <f>INDEX([1]Parameters!$A$3:$C$5,MATCH('[1]Pizza Sales Calculations'!F96,[1]Parameters!$A$3:$A$5,0),2)</f>
        <v>#N/A</v>
      </c>
    </row>
    <row r="97" spans="1:24" x14ac:dyDescent="0.3">
      <c r="A97">
        <v>96</v>
      </c>
      <c r="B97" s="14">
        <v>42371.435335648152</v>
      </c>
      <c r="C97" s="14">
        <v>42371.445763888885</v>
      </c>
      <c r="D97" t="s">
        <v>3</v>
      </c>
      <c r="E97" t="s">
        <v>4</v>
      </c>
      <c r="G97" t="b">
        <v>0</v>
      </c>
      <c r="H97">
        <v>70805</v>
      </c>
      <c r="I97" s="5">
        <v>0</v>
      </c>
      <c r="J97" s="14">
        <v>42371.447847222225</v>
      </c>
      <c r="K97">
        <v>19.579999999999998</v>
      </c>
      <c r="L97" s="5">
        <f>('[1]Pizza Sales Calculations'!$J97-'[1]Pizza Sales Calculations'!$C97)*24*60</f>
        <v>3.000000009778887</v>
      </c>
      <c r="M97">
        <f>COUNTA('[1]Pizza Sales Calculations'!$D97:$F97)</f>
        <v>2</v>
      </c>
      <c r="N97">
        <f>IFERROR(VLOOKUP(D97,[1]Parameters!$A$3:$C$5,3,FALSE),0)</f>
        <v>1</v>
      </c>
      <c r="O97">
        <f>IFERROR(VLOOKUP(E97,[1]Parameters!$A$3:$C$5,3,FALSE),0)</f>
        <v>1.7</v>
      </c>
      <c r="P97">
        <f>IFERROR(VLOOKUP(F97,[1]Parameters!$A$3:$C$5,3,FALSE),0)</f>
        <v>0</v>
      </c>
      <c r="Q97">
        <f t="shared" si="1"/>
        <v>2.7</v>
      </c>
      <c r="R97" s="10">
        <f>IF('[1]Pizza Sales Calculations'!$G97=TRUE, [1]Parameters!$B$17*'[1]Pizza Sales Calculations'!$L97*2, 0)</f>
        <v>0</v>
      </c>
      <c r="S97" t="str">
        <f>IF(I97&lt;[1]Parameters!$B$21,"TRUE","FALSE")</f>
        <v>TRUE</v>
      </c>
      <c r="T97" s="5">
        <f>(I97/[1]Parameters!$B$25)*60</f>
        <v>0</v>
      </c>
      <c r="U97" s="10">
        <f>IF(AND('[1]Pizza Sales Calculations'!G97=TRUE,'[1]Pizza Sales Calculations'!S97="TRUE"),T97*[1]Parameters!$B$40*2,0)</f>
        <v>0</v>
      </c>
      <c r="V97">
        <f>INDEX([1]Parameters!$A$3:$C$5,MATCH('[1]Pizza Sales Calculations'!D97,[1]Parameters!$A$3:$A$5,0),2)</f>
        <v>7</v>
      </c>
      <c r="W97">
        <f>INDEX([1]Parameters!$A$3:$C$5,MATCH('[1]Pizza Sales Calculations'!E97,[1]Parameters!$A$3:$A$5,0),2)</f>
        <v>10</v>
      </c>
      <c r="X97" t="e">
        <f>INDEX([1]Parameters!$A$3:$C$5,MATCH('[1]Pizza Sales Calculations'!F97,[1]Parameters!$A$3:$A$5,0),2)</f>
        <v>#N/A</v>
      </c>
    </row>
    <row r="98" spans="1:24" x14ac:dyDescent="0.3">
      <c r="A98">
        <v>97</v>
      </c>
      <c r="B98" s="14">
        <v>42371.571539351855</v>
      </c>
      <c r="C98" s="14">
        <v>42371.581932870373</v>
      </c>
      <c r="D98" t="s">
        <v>3</v>
      </c>
      <c r="G98" t="b">
        <v>1</v>
      </c>
      <c r="H98">
        <v>70805</v>
      </c>
      <c r="I98" s="5">
        <v>1.9521653025424599</v>
      </c>
      <c r="J98" s="14">
        <v>42371.588703703703</v>
      </c>
      <c r="K98">
        <v>7.99</v>
      </c>
      <c r="L98" s="5">
        <f>('[1]Pizza Sales Calculations'!$J98-'[1]Pizza Sales Calculations'!$C98)*24*60</f>
        <v>9.7499999951105565</v>
      </c>
      <c r="M98">
        <f>COUNTA('[1]Pizza Sales Calculations'!$D98:$F98)</f>
        <v>1</v>
      </c>
      <c r="N98">
        <f>IFERROR(VLOOKUP(D98,[1]Parameters!$A$3:$C$5,3,FALSE),0)</f>
        <v>1</v>
      </c>
      <c r="O98">
        <f>IFERROR(VLOOKUP(E98,[1]Parameters!$A$3:$C$5,3,FALSE),0)</f>
        <v>0</v>
      </c>
      <c r="P98">
        <f>IFERROR(VLOOKUP(F98,[1]Parameters!$A$3:$C$5,3,FALSE),0)</f>
        <v>0</v>
      </c>
      <c r="Q98">
        <f t="shared" si="1"/>
        <v>1</v>
      </c>
      <c r="R98" s="10">
        <f>IF('[1]Pizza Sales Calculations'!$G98=TRUE, [1]Parameters!$B$17*'[1]Pizza Sales Calculations'!$L98*2, 0)</f>
        <v>2.7624999986146577</v>
      </c>
      <c r="S98" t="str">
        <f>IF(I98&lt;[1]Parameters!$B$21,"TRUE","FALSE")</f>
        <v>TRUE</v>
      </c>
      <c r="T98" s="5">
        <f>(I98/[1]Parameters!$B$25)*60</f>
        <v>3.9043306050849198</v>
      </c>
      <c r="U98" s="10">
        <f>IF(AND('[1]Pizza Sales Calculations'!G98=TRUE,'[1]Pizza Sales Calculations'!S98="TRUE"),T98*[1]Parameters!$B$40*2,0)</f>
        <v>0.24371857737017918</v>
      </c>
      <c r="V98">
        <f>INDEX([1]Parameters!$A$3:$C$5,MATCH('[1]Pizza Sales Calculations'!D98,[1]Parameters!$A$3:$A$5,0),2)</f>
        <v>7</v>
      </c>
      <c r="W98" t="e">
        <f>INDEX([1]Parameters!$A$3:$C$5,MATCH('[1]Pizza Sales Calculations'!E98,[1]Parameters!$A$3:$A$5,0),2)</f>
        <v>#N/A</v>
      </c>
      <c r="X98" t="e">
        <f>INDEX([1]Parameters!$A$3:$C$5,MATCH('[1]Pizza Sales Calculations'!F98,[1]Parameters!$A$3:$A$5,0),2)</f>
        <v>#N/A</v>
      </c>
    </row>
    <row r="99" spans="1:24" x14ac:dyDescent="0.3">
      <c r="A99">
        <v>98</v>
      </c>
      <c r="B99" s="14">
        <v>42371.541145833333</v>
      </c>
      <c r="C99" s="14">
        <v>42371.551550925928</v>
      </c>
      <c r="D99" t="s">
        <v>3</v>
      </c>
      <c r="E99" t="s">
        <v>5</v>
      </c>
      <c r="G99" t="b">
        <v>1</v>
      </c>
      <c r="H99">
        <v>70806</v>
      </c>
      <c r="I99" s="5">
        <v>1.51116225638167</v>
      </c>
      <c r="J99" s="14">
        <v>42371.556793981479</v>
      </c>
      <c r="K99">
        <v>23.34</v>
      </c>
      <c r="L99" s="5">
        <f>('[1]Pizza Sales Calculations'!$J99-'[1]Pizza Sales Calculations'!$C99)*24*60</f>
        <v>7.5499999942258</v>
      </c>
      <c r="M99">
        <f>COUNTA('[1]Pizza Sales Calculations'!$D99:$F99)</f>
        <v>2</v>
      </c>
      <c r="N99">
        <f>IFERROR(VLOOKUP(D99,[1]Parameters!$A$3:$C$5,3,FALSE),0)</f>
        <v>1</v>
      </c>
      <c r="O99">
        <f>IFERROR(VLOOKUP(E99,[1]Parameters!$A$3:$C$5,3,FALSE),0)</f>
        <v>2.2999999999999998</v>
      </c>
      <c r="P99">
        <f>IFERROR(VLOOKUP(F99,[1]Parameters!$A$3:$C$5,3,FALSE),0)</f>
        <v>0</v>
      </c>
      <c r="Q99">
        <f t="shared" si="1"/>
        <v>3.3</v>
      </c>
      <c r="R99" s="10">
        <f>IF('[1]Pizza Sales Calculations'!$G99=TRUE, [1]Parameters!$B$17*'[1]Pizza Sales Calculations'!$L99*2, 0)</f>
        <v>2.1391666650306433</v>
      </c>
      <c r="S99" t="str">
        <f>IF(I99&lt;[1]Parameters!$B$21,"TRUE","FALSE")</f>
        <v>TRUE</v>
      </c>
      <c r="T99" s="5">
        <f>(I99/[1]Parameters!$B$25)*60</f>
        <v>3.02232451276334</v>
      </c>
      <c r="U99" s="10">
        <f>IF(AND('[1]Pizza Sales Calculations'!G99=TRUE,'[1]Pizza Sales Calculations'!S99="TRUE"),T99*[1]Parameters!$B$40*2,0)</f>
        <v>0.1886614390805873</v>
      </c>
      <c r="V99">
        <f>INDEX([1]Parameters!$A$3:$C$5,MATCH('[1]Pizza Sales Calculations'!D99,[1]Parameters!$A$3:$A$5,0),2)</f>
        <v>7</v>
      </c>
      <c r="W99">
        <f>INDEX([1]Parameters!$A$3:$C$5,MATCH('[1]Pizza Sales Calculations'!E99,[1]Parameters!$A$3:$A$5,0),2)</f>
        <v>14</v>
      </c>
      <c r="X99" t="e">
        <f>INDEX([1]Parameters!$A$3:$C$5,MATCH('[1]Pizza Sales Calculations'!F99,[1]Parameters!$A$3:$A$5,0),2)</f>
        <v>#N/A</v>
      </c>
    </row>
    <row r="100" spans="1:24" x14ac:dyDescent="0.3">
      <c r="A100">
        <v>99</v>
      </c>
      <c r="B100" s="14">
        <v>42371.464317129627</v>
      </c>
      <c r="C100" s="14">
        <v>42371.474733796298</v>
      </c>
      <c r="D100" t="s">
        <v>4</v>
      </c>
      <c r="G100" t="b">
        <v>0</v>
      </c>
      <c r="H100">
        <v>70803</v>
      </c>
      <c r="I100" s="5">
        <v>0</v>
      </c>
      <c r="J100" s="14">
        <v>42371.476817129631</v>
      </c>
      <c r="K100">
        <v>11.59</v>
      </c>
      <c r="L100" s="5">
        <f>('[1]Pizza Sales Calculations'!$J100-'[1]Pizza Sales Calculations'!$C100)*24*60</f>
        <v>2.9999999993015081</v>
      </c>
      <c r="M100">
        <f>COUNTA('[1]Pizza Sales Calculations'!$D100:$F100)</f>
        <v>1</v>
      </c>
      <c r="N100">
        <f>IFERROR(VLOOKUP(D100,[1]Parameters!$A$3:$C$5,3,FALSE),0)</f>
        <v>1.7</v>
      </c>
      <c r="O100">
        <f>IFERROR(VLOOKUP(E100,[1]Parameters!$A$3:$C$5,3,FALSE),0)</f>
        <v>0</v>
      </c>
      <c r="P100">
        <f>IFERROR(VLOOKUP(F100,[1]Parameters!$A$3:$C$5,3,FALSE),0)</f>
        <v>0</v>
      </c>
      <c r="Q100">
        <f t="shared" si="1"/>
        <v>1.7</v>
      </c>
      <c r="R100" s="10">
        <f>IF('[1]Pizza Sales Calculations'!$G100=TRUE, [1]Parameters!$B$17*'[1]Pizza Sales Calculations'!$L100*2, 0)</f>
        <v>0</v>
      </c>
      <c r="S100" t="str">
        <f>IF(I100&lt;[1]Parameters!$B$21,"TRUE","FALSE")</f>
        <v>TRUE</v>
      </c>
      <c r="T100" s="5">
        <f>(I100/[1]Parameters!$B$25)*60</f>
        <v>0</v>
      </c>
      <c r="U100" s="10">
        <f>IF(AND('[1]Pizza Sales Calculations'!G100=TRUE,'[1]Pizza Sales Calculations'!S100="TRUE"),T100*[1]Parameters!$B$40*2,0)</f>
        <v>0</v>
      </c>
      <c r="V100">
        <f>INDEX([1]Parameters!$A$3:$C$5,MATCH('[1]Pizza Sales Calculations'!D100,[1]Parameters!$A$3:$A$5,0),2)</f>
        <v>10</v>
      </c>
      <c r="W100" t="e">
        <f>INDEX([1]Parameters!$A$3:$C$5,MATCH('[1]Pizza Sales Calculations'!E100,[1]Parameters!$A$3:$A$5,0),2)</f>
        <v>#N/A</v>
      </c>
      <c r="X100" t="e">
        <f>INDEX([1]Parameters!$A$3:$C$5,MATCH('[1]Pizza Sales Calculations'!F100,[1]Parameters!$A$3:$A$5,0),2)</f>
        <v>#N/A</v>
      </c>
    </row>
    <row r="101" spans="1:24" x14ac:dyDescent="0.3">
      <c r="A101">
        <v>100</v>
      </c>
      <c r="B101" s="14">
        <v>42371.563888888886</v>
      </c>
      <c r="C101" s="14">
        <v>42371.574328703704</v>
      </c>
      <c r="D101" t="s">
        <v>3</v>
      </c>
      <c r="E101" t="s">
        <v>5</v>
      </c>
      <c r="G101" t="b">
        <v>1</v>
      </c>
      <c r="H101">
        <v>70806</v>
      </c>
      <c r="I101" s="5">
        <v>2.7029597315183702</v>
      </c>
      <c r="J101" s="14">
        <v>42371.583703703705</v>
      </c>
      <c r="K101">
        <v>23.34</v>
      </c>
      <c r="L101" s="5">
        <f>('[1]Pizza Sales Calculations'!$J101-'[1]Pizza Sales Calculations'!$C101)*24*60</f>
        <v>13.500000002095476</v>
      </c>
      <c r="M101">
        <f>COUNTA('[1]Pizza Sales Calculations'!$D101:$F101)</f>
        <v>2</v>
      </c>
      <c r="N101">
        <f>IFERROR(VLOOKUP(D101,[1]Parameters!$A$3:$C$5,3,FALSE),0)</f>
        <v>1</v>
      </c>
      <c r="O101">
        <f>IFERROR(VLOOKUP(E101,[1]Parameters!$A$3:$C$5,3,FALSE),0)</f>
        <v>2.2999999999999998</v>
      </c>
      <c r="P101">
        <f>IFERROR(VLOOKUP(F101,[1]Parameters!$A$3:$C$5,3,FALSE),0)</f>
        <v>0</v>
      </c>
      <c r="Q101">
        <f t="shared" si="1"/>
        <v>3.3</v>
      </c>
      <c r="R101" s="10">
        <f>IF('[1]Pizza Sales Calculations'!$G101=TRUE, [1]Parameters!$B$17*'[1]Pizza Sales Calculations'!$L101*2, 0)</f>
        <v>3.8250000005937181</v>
      </c>
      <c r="S101" t="str">
        <f>IF(I101&lt;[1]Parameters!$B$21,"TRUE","FALSE")</f>
        <v>TRUE</v>
      </c>
      <c r="T101" s="5">
        <f>(I101/[1]Parameters!$B$25)*60</f>
        <v>5.4059194630367404</v>
      </c>
      <c r="U101" s="10">
        <f>IF(AND('[1]Pizza Sales Calculations'!G101=TRUE,'[1]Pizza Sales Calculations'!S101="TRUE"),T101*[1]Parameters!$B$40*2,0)</f>
        <v>0.33745170022056087</v>
      </c>
      <c r="V101">
        <f>INDEX([1]Parameters!$A$3:$C$5,MATCH('[1]Pizza Sales Calculations'!D101,[1]Parameters!$A$3:$A$5,0),2)</f>
        <v>7</v>
      </c>
      <c r="W101">
        <f>INDEX([1]Parameters!$A$3:$C$5,MATCH('[1]Pizza Sales Calculations'!E101,[1]Parameters!$A$3:$A$5,0),2)</f>
        <v>14</v>
      </c>
      <c r="X101" t="e">
        <f>INDEX([1]Parameters!$A$3:$C$5,MATCH('[1]Pizza Sales Calculations'!F101,[1]Parameters!$A$3:$A$5,0),2)</f>
        <v>#N/A</v>
      </c>
    </row>
    <row r="102" spans="1:24" x14ac:dyDescent="0.3">
      <c r="A102">
        <v>101</v>
      </c>
      <c r="B102" s="14">
        <v>42371.508611111109</v>
      </c>
      <c r="C102" s="14">
        <v>42371.519016203703</v>
      </c>
      <c r="D102" t="s">
        <v>4</v>
      </c>
      <c r="G102" t="b">
        <v>0</v>
      </c>
      <c r="H102">
        <v>70805</v>
      </c>
      <c r="I102" s="5">
        <v>0</v>
      </c>
      <c r="J102" s="14">
        <v>42371.521122685182</v>
      </c>
      <c r="K102">
        <v>11.59</v>
      </c>
      <c r="L102" s="5">
        <f>('[1]Pizza Sales Calculations'!$J102-'[1]Pizza Sales Calculations'!$C102)*24*60</f>
        <v>3.033333329949528</v>
      </c>
      <c r="M102">
        <f>COUNTA('[1]Pizza Sales Calculations'!$D102:$F102)</f>
        <v>1</v>
      </c>
      <c r="N102">
        <f>IFERROR(VLOOKUP(D102,[1]Parameters!$A$3:$C$5,3,FALSE),0)</f>
        <v>1.7</v>
      </c>
      <c r="O102">
        <f>IFERROR(VLOOKUP(E102,[1]Parameters!$A$3:$C$5,3,FALSE),0)</f>
        <v>0</v>
      </c>
      <c r="P102">
        <f>IFERROR(VLOOKUP(F102,[1]Parameters!$A$3:$C$5,3,FALSE),0)</f>
        <v>0</v>
      </c>
      <c r="Q102">
        <f t="shared" si="1"/>
        <v>1.7</v>
      </c>
      <c r="R102" s="10">
        <f>IF('[1]Pizza Sales Calculations'!$G102=TRUE, [1]Parameters!$B$17*'[1]Pizza Sales Calculations'!$L102*2, 0)</f>
        <v>0</v>
      </c>
      <c r="S102" t="str">
        <f>IF(I102&lt;[1]Parameters!$B$21,"TRUE","FALSE")</f>
        <v>TRUE</v>
      </c>
      <c r="T102" s="5">
        <f>(I102/[1]Parameters!$B$25)*60</f>
        <v>0</v>
      </c>
      <c r="U102" s="10">
        <f>IF(AND('[1]Pizza Sales Calculations'!G102=TRUE,'[1]Pizza Sales Calculations'!S102="TRUE"),T102*[1]Parameters!$B$40*2,0)</f>
        <v>0</v>
      </c>
      <c r="V102">
        <f>INDEX([1]Parameters!$A$3:$C$5,MATCH('[1]Pizza Sales Calculations'!D102,[1]Parameters!$A$3:$A$5,0),2)</f>
        <v>10</v>
      </c>
      <c r="W102" t="e">
        <f>INDEX([1]Parameters!$A$3:$C$5,MATCH('[1]Pizza Sales Calculations'!E102,[1]Parameters!$A$3:$A$5,0),2)</f>
        <v>#N/A</v>
      </c>
      <c r="X102" t="e">
        <f>INDEX([1]Parameters!$A$3:$C$5,MATCH('[1]Pizza Sales Calculations'!F102,[1]Parameters!$A$3:$A$5,0),2)</f>
        <v>#N/A</v>
      </c>
    </row>
    <row r="103" spans="1:24" x14ac:dyDescent="0.3">
      <c r="A103">
        <v>102</v>
      </c>
      <c r="B103" s="14">
        <v>42371.532175925924</v>
      </c>
      <c r="C103" s="14">
        <v>42371.542604166665</v>
      </c>
      <c r="D103" t="s">
        <v>3</v>
      </c>
      <c r="G103" t="b">
        <v>0</v>
      </c>
      <c r="H103">
        <v>70804</v>
      </c>
      <c r="I103" s="5">
        <v>0</v>
      </c>
      <c r="J103" s="14">
        <v>42371.544699074075</v>
      </c>
      <c r="K103">
        <v>7.99</v>
      </c>
      <c r="L103" s="5">
        <f>('[1]Pizza Sales Calculations'!$J103-'[1]Pizza Sales Calculations'!$C103)*24*60</f>
        <v>3.0166666698642075</v>
      </c>
      <c r="M103">
        <f>COUNTA('[1]Pizza Sales Calculations'!$D103:$F103)</f>
        <v>1</v>
      </c>
      <c r="N103">
        <f>IFERROR(VLOOKUP(D103,[1]Parameters!$A$3:$C$5,3,FALSE),0)</f>
        <v>1</v>
      </c>
      <c r="O103">
        <f>IFERROR(VLOOKUP(E103,[1]Parameters!$A$3:$C$5,3,FALSE),0)</f>
        <v>0</v>
      </c>
      <c r="P103">
        <f>IFERROR(VLOOKUP(F103,[1]Parameters!$A$3:$C$5,3,FALSE),0)</f>
        <v>0</v>
      </c>
      <c r="Q103">
        <f t="shared" si="1"/>
        <v>1</v>
      </c>
      <c r="R103" s="10">
        <f>IF('[1]Pizza Sales Calculations'!$G103=TRUE, [1]Parameters!$B$17*'[1]Pizza Sales Calculations'!$L103*2, 0)</f>
        <v>0</v>
      </c>
      <c r="S103" t="str">
        <f>IF(I103&lt;[1]Parameters!$B$21,"TRUE","FALSE")</f>
        <v>TRUE</v>
      </c>
      <c r="T103" s="5">
        <f>(I103/[1]Parameters!$B$25)*60</f>
        <v>0</v>
      </c>
      <c r="U103" s="10">
        <f>IF(AND('[1]Pizza Sales Calculations'!G103=TRUE,'[1]Pizza Sales Calculations'!S103="TRUE"),T103*[1]Parameters!$B$40*2,0)</f>
        <v>0</v>
      </c>
      <c r="V103">
        <f>INDEX([1]Parameters!$A$3:$C$5,MATCH('[1]Pizza Sales Calculations'!D103,[1]Parameters!$A$3:$A$5,0),2)</f>
        <v>7</v>
      </c>
      <c r="W103" t="e">
        <f>INDEX([1]Parameters!$A$3:$C$5,MATCH('[1]Pizza Sales Calculations'!E103,[1]Parameters!$A$3:$A$5,0),2)</f>
        <v>#N/A</v>
      </c>
      <c r="X103" t="e">
        <f>INDEX([1]Parameters!$A$3:$C$5,MATCH('[1]Pizza Sales Calculations'!F103,[1]Parameters!$A$3:$A$5,0),2)</f>
        <v>#N/A</v>
      </c>
    </row>
    <row r="104" spans="1:24" x14ac:dyDescent="0.3">
      <c r="A104">
        <v>103</v>
      </c>
      <c r="B104" s="14">
        <v>42371.561018518521</v>
      </c>
      <c r="C104" s="14">
        <v>42371.571412037039</v>
      </c>
      <c r="D104" t="s">
        <v>5</v>
      </c>
      <c r="G104" t="b">
        <v>0</v>
      </c>
      <c r="H104">
        <v>70805</v>
      </c>
      <c r="I104" s="5">
        <v>0</v>
      </c>
      <c r="J104" s="14">
        <v>42371.573483796295</v>
      </c>
      <c r="K104">
        <v>15.35</v>
      </c>
      <c r="L104" s="5">
        <f>('[1]Pizza Sales Calculations'!$J104-'[1]Pizza Sales Calculations'!$C104)*24*60</f>
        <v>2.9833333287388086</v>
      </c>
      <c r="M104">
        <f>COUNTA('[1]Pizza Sales Calculations'!$D104:$F104)</f>
        <v>1</v>
      </c>
      <c r="N104">
        <f>IFERROR(VLOOKUP(D104,[1]Parameters!$A$3:$C$5,3,FALSE),0)</f>
        <v>2.2999999999999998</v>
      </c>
      <c r="O104">
        <f>IFERROR(VLOOKUP(E104,[1]Parameters!$A$3:$C$5,3,FALSE),0)</f>
        <v>0</v>
      </c>
      <c r="P104">
        <f>IFERROR(VLOOKUP(F104,[1]Parameters!$A$3:$C$5,3,FALSE),0)</f>
        <v>0</v>
      </c>
      <c r="Q104">
        <f t="shared" si="1"/>
        <v>2.2999999999999998</v>
      </c>
      <c r="R104" s="10">
        <f>IF('[1]Pizza Sales Calculations'!$G104=TRUE, [1]Parameters!$B$17*'[1]Pizza Sales Calculations'!$L104*2, 0)</f>
        <v>0</v>
      </c>
      <c r="S104" t="str">
        <f>IF(I104&lt;[1]Parameters!$B$21,"TRUE","FALSE")</f>
        <v>TRUE</v>
      </c>
      <c r="T104" s="5">
        <f>(I104/[1]Parameters!$B$25)*60</f>
        <v>0</v>
      </c>
      <c r="U104" s="10">
        <f>IF(AND('[1]Pizza Sales Calculations'!G104=TRUE,'[1]Pizza Sales Calculations'!S104="TRUE"),T104*[1]Parameters!$B$40*2,0)</f>
        <v>0</v>
      </c>
      <c r="V104">
        <f>INDEX([1]Parameters!$A$3:$C$5,MATCH('[1]Pizza Sales Calculations'!D104,[1]Parameters!$A$3:$A$5,0),2)</f>
        <v>14</v>
      </c>
      <c r="W104" t="e">
        <f>INDEX([1]Parameters!$A$3:$C$5,MATCH('[1]Pizza Sales Calculations'!E104,[1]Parameters!$A$3:$A$5,0),2)</f>
        <v>#N/A</v>
      </c>
      <c r="X104" t="e">
        <f>INDEX([1]Parameters!$A$3:$C$5,MATCH('[1]Pizza Sales Calculations'!F104,[1]Parameters!$A$3:$A$5,0),2)</f>
        <v>#N/A</v>
      </c>
    </row>
    <row r="105" spans="1:24" x14ac:dyDescent="0.3">
      <c r="A105">
        <v>104</v>
      </c>
      <c r="B105" s="14">
        <v>42371.501122685186</v>
      </c>
      <c r="C105" s="14">
        <v>42371.51153935185</v>
      </c>
      <c r="D105" t="s">
        <v>5</v>
      </c>
      <c r="G105" t="b">
        <v>0</v>
      </c>
      <c r="H105">
        <v>70804</v>
      </c>
      <c r="I105" s="5">
        <v>0</v>
      </c>
      <c r="J105" s="14">
        <v>42371.513622685183</v>
      </c>
      <c r="K105">
        <v>15.35</v>
      </c>
      <c r="L105" s="5">
        <f>('[1]Pizza Sales Calculations'!$J105-'[1]Pizza Sales Calculations'!$C105)*24*60</f>
        <v>2.9999999993015081</v>
      </c>
      <c r="M105">
        <f>COUNTA('[1]Pizza Sales Calculations'!$D105:$F105)</f>
        <v>1</v>
      </c>
      <c r="N105">
        <f>IFERROR(VLOOKUP(D105,[1]Parameters!$A$3:$C$5,3,FALSE),0)</f>
        <v>2.2999999999999998</v>
      </c>
      <c r="O105">
        <f>IFERROR(VLOOKUP(E105,[1]Parameters!$A$3:$C$5,3,FALSE),0)</f>
        <v>0</v>
      </c>
      <c r="P105">
        <f>IFERROR(VLOOKUP(F105,[1]Parameters!$A$3:$C$5,3,FALSE),0)</f>
        <v>0</v>
      </c>
      <c r="Q105">
        <f t="shared" si="1"/>
        <v>2.2999999999999998</v>
      </c>
      <c r="R105" s="10">
        <f>IF('[1]Pizza Sales Calculations'!$G105=TRUE, [1]Parameters!$B$17*'[1]Pizza Sales Calculations'!$L105*2, 0)</f>
        <v>0</v>
      </c>
      <c r="S105" t="str">
        <f>IF(I105&lt;[1]Parameters!$B$21,"TRUE","FALSE")</f>
        <v>TRUE</v>
      </c>
      <c r="T105" s="5">
        <f>(I105/[1]Parameters!$B$25)*60</f>
        <v>0</v>
      </c>
      <c r="U105" s="10">
        <f>IF(AND('[1]Pizza Sales Calculations'!G105=TRUE,'[1]Pizza Sales Calculations'!S105="TRUE"),T105*[1]Parameters!$B$40*2,0)</f>
        <v>0</v>
      </c>
      <c r="V105">
        <f>INDEX([1]Parameters!$A$3:$C$5,MATCH('[1]Pizza Sales Calculations'!D105,[1]Parameters!$A$3:$A$5,0),2)</f>
        <v>14</v>
      </c>
      <c r="W105" t="e">
        <f>INDEX([1]Parameters!$A$3:$C$5,MATCH('[1]Pizza Sales Calculations'!E105,[1]Parameters!$A$3:$A$5,0),2)</f>
        <v>#N/A</v>
      </c>
      <c r="X105" t="e">
        <f>INDEX([1]Parameters!$A$3:$C$5,MATCH('[1]Pizza Sales Calculations'!F105,[1]Parameters!$A$3:$A$5,0),2)</f>
        <v>#N/A</v>
      </c>
    </row>
    <row r="106" spans="1:24" x14ac:dyDescent="0.3">
      <c r="A106">
        <v>105</v>
      </c>
      <c r="B106" s="14">
        <v>42371.517743055556</v>
      </c>
      <c r="C106" s="14">
        <v>42371.52815972222</v>
      </c>
      <c r="D106" t="s">
        <v>4</v>
      </c>
      <c r="E106" t="s">
        <v>5</v>
      </c>
      <c r="G106" t="b">
        <v>1</v>
      </c>
      <c r="H106">
        <v>70804</v>
      </c>
      <c r="I106" s="5">
        <v>2.0144241087889201</v>
      </c>
      <c r="J106" s="14">
        <v>42371.535150462965</v>
      </c>
      <c r="K106">
        <v>25.94</v>
      </c>
      <c r="L106" s="5">
        <f>('[1]Pizza Sales Calculations'!$J106-'[1]Pizza Sales Calculations'!$C106)*24*60</f>
        <v>10.066666672937572</v>
      </c>
      <c r="M106">
        <f>COUNTA('[1]Pizza Sales Calculations'!$D106:$F106)</f>
        <v>2</v>
      </c>
      <c r="N106">
        <f>IFERROR(VLOOKUP(D106,[1]Parameters!$A$3:$C$5,3,FALSE),0)</f>
        <v>1.7</v>
      </c>
      <c r="O106">
        <f>IFERROR(VLOOKUP(E106,[1]Parameters!$A$3:$C$5,3,FALSE),0)</f>
        <v>2.2999999999999998</v>
      </c>
      <c r="P106">
        <f>IFERROR(VLOOKUP(F106,[1]Parameters!$A$3:$C$5,3,FALSE),0)</f>
        <v>0</v>
      </c>
      <c r="Q106">
        <f t="shared" si="1"/>
        <v>4</v>
      </c>
      <c r="R106" s="10">
        <f>IF('[1]Pizza Sales Calculations'!$G106=TRUE, [1]Parameters!$B$17*'[1]Pizza Sales Calculations'!$L106*2, 0)</f>
        <v>2.8522222239989787</v>
      </c>
      <c r="S106" t="str">
        <f>IF(I106&lt;[1]Parameters!$B$21,"TRUE","FALSE")</f>
        <v>TRUE</v>
      </c>
      <c r="T106" s="5">
        <f>(I106/[1]Parameters!$B$25)*60</f>
        <v>4.0288482175778402</v>
      </c>
      <c r="U106" s="10">
        <f>IF(AND('[1]Pizza Sales Calculations'!G106=TRUE,'[1]Pizza Sales Calculations'!S106="TRUE"),T106*[1]Parameters!$B$40*2,0)</f>
        <v>0.25149129398766595</v>
      </c>
      <c r="V106">
        <f>INDEX([1]Parameters!$A$3:$C$5,MATCH('[1]Pizza Sales Calculations'!D106,[1]Parameters!$A$3:$A$5,0),2)</f>
        <v>10</v>
      </c>
      <c r="W106">
        <f>INDEX([1]Parameters!$A$3:$C$5,MATCH('[1]Pizza Sales Calculations'!E106,[1]Parameters!$A$3:$A$5,0),2)</f>
        <v>14</v>
      </c>
      <c r="X106" t="e">
        <f>INDEX([1]Parameters!$A$3:$C$5,MATCH('[1]Pizza Sales Calculations'!F106,[1]Parameters!$A$3:$A$5,0),2)</f>
        <v>#N/A</v>
      </c>
    </row>
    <row r="107" spans="1:24" x14ac:dyDescent="0.3">
      <c r="A107">
        <v>106</v>
      </c>
      <c r="B107" s="14">
        <v>42371.555289351854</v>
      </c>
      <c r="C107" s="14">
        <v>42371.565694444442</v>
      </c>
      <c r="D107" t="s">
        <v>4</v>
      </c>
      <c r="G107" t="b">
        <v>1</v>
      </c>
      <c r="H107">
        <v>70806</v>
      </c>
      <c r="I107" s="5">
        <v>4.8291407259795802</v>
      </c>
      <c r="J107" s="14">
        <v>42371.582453703704</v>
      </c>
      <c r="K107">
        <v>11.59</v>
      </c>
      <c r="L107" s="5">
        <f>('[1]Pizza Sales Calculations'!$J107-'[1]Pizza Sales Calculations'!$C107)*24*60</f>
        <v>24.133333337958902</v>
      </c>
      <c r="M107">
        <f>COUNTA('[1]Pizza Sales Calculations'!$D107:$F107)</f>
        <v>1</v>
      </c>
      <c r="N107">
        <f>IFERROR(VLOOKUP(D107,[1]Parameters!$A$3:$C$5,3,FALSE),0)</f>
        <v>1.7</v>
      </c>
      <c r="O107">
        <f>IFERROR(VLOOKUP(E107,[1]Parameters!$A$3:$C$5,3,FALSE),0)</f>
        <v>0</v>
      </c>
      <c r="P107">
        <f>IFERROR(VLOOKUP(F107,[1]Parameters!$A$3:$C$5,3,FALSE),0)</f>
        <v>0</v>
      </c>
      <c r="Q107">
        <f t="shared" si="1"/>
        <v>1.7</v>
      </c>
      <c r="R107" s="10">
        <f>IF('[1]Pizza Sales Calculations'!$G107=TRUE, [1]Parameters!$B$17*'[1]Pizza Sales Calculations'!$L107*2, 0)</f>
        <v>6.8377777790883556</v>
      </c>
      <c r="S107" t="str">
        <f>IF(I107&lt;[1]Parameters!$B$21,"TRUE","FALSE")</f>
        <v>FALSE</v>
      </c>
      <c r="T107" s="5">
        <f>(I107/[1]Parameters!$B$25)*60</f>
        <v>9.6582814519591604</v>
      </c>
      <c r="U107" s="10">
        <f>IF(AND('[1]Pizza Sales Calculations'!G107=TRUE,'[1]Pizza Sales Calculations'!S107="TRUE"),T107*[1]Parameters!$B$40*2,0)</f>
        <v>0</v>
      </c>
      <c r="V107">
        <f>INDEX([1]Parameters!$A$3:$C$5,MATCH('[1]Pizza Sales Calculations'!D107,[1]Parameters!$A$3:$A$5,0),2)</f>
        <v>10</v>
      </c>
      <c r="W107" t="e">
        <f>INDEX([1]Parameters!$A$3:$C$5,MATCH('[1]Pizza Sales Calculations'!E107,[1]Parameters!$A$3:$A$5,0),2)</f>
        <v>#N/A</v>
      </c>
      <c r="X107" t="e">
        <f>INDEX([1]Parameters!$A$3:$C$5,MATCH('[1]Pizza Sales Calculations'!F107,[1]Parameters!$A$3:$A$5,0),2)</f>
        <v>#N/A</v>
      </c>
    </row>
    <row r="108" spans="1:24" x14ac:dyDescent="0.3">
      <c r="A108">
        <v>107</v>
      </c>
      <c r="B108" s="14">
        <v>42371.519120370373</v>
      </c>
      <c r="C108" s="14">
        <v>42371.529513888891</v>
      </c>
      <c r="D108" t="s">
        <v>3</v>
      </c>
      <c r="E108" t="s">
        <v>4</v>
      </c>
      <c r="G108" t="b">
        <v>0</v>
      </c>
      <c r="H108">
        <v>70805</v>
      </c>
      <c r="I108" s="5">
        <v>0</v>
      </c>
      <c r="J108" s="14">
        <v>42371.531585648147</v>
      </c>
      <c r="K108">
        <v>19.579999999999998</v>
      </c>
      <c r="L108" s="5">
        <f>('[1]Pizza Sales Calculations'!$J108-'[1]Pizza Sales Calculations'!$C108)*24*60</f>
        <v>2.9833333287388086</v>
      </c>
      <c r="M108">
        <f>COUNTA('[1]Pizza Sales Calculations'!$D108:$F108)</f>
        <v>2</v>
      </c>
      <c r="N108">
        <f>IFERROR(VLOOKUP(D108,[1]Parameters!$A$3:$C$5,3,FALSE),0)</f>
        <v>1</v>
      </c>
      <c r="O108">
        <f>IFERROR(VLOOKUP(E108,[1]Parameters!$A$3:$C$5,3,FALSE),0)</f>
        <v>1.7</v>
      </c>
      <c r="P108">
        <f>IFERROR(VLOOKUP(F108,[1]Parameters!$A$3:$C$5,3,FALSE),0)</f>
        <v>0</v>
      </c>
      <c r="Q108">
        <f t="shared" si="1"/>
        <v>2.7</v>
      </c>
      <c r="R108" s="10">
        <f>IF('[1]Pizza Sales Calculations'!$G108=TRUE, [1]Parameters!$B$17*'[1]Pizza Sales Calculations'!$L108*2, 0)</f>
        <v>0</v>
      </c>
      <c r="S108" t="str">
        <f>IF(I108&lt;[1]Parameters!$B$21,"TRUE","FALSE")</f>
        <v>TRUE</v>
      </c>
      <c r="T108" s="5">
        <f>(I108/[1]Parameters!$B$25)*60</f>
        <v>0</v>
      </c>
      <c r="U108" s="10">
        <f>IF(AND('[1]Pizza Sales Calculations'!G108=TRUE,'[1]Pizza Sales Calculations'!S108="TRUE"),T108*[1]Parameters!$B$40*2,0)</f>
        <v>0</v>
      </c>
      <c r="V108">
        <f>INDEX([1]Parameters!$A$3:$C$5,MATCH('[1]Pizza Sales Calculations'!D108,[1]Parameters!$A$3:$A$5,0),2)</f>
        <v>7</v>
      </c>
      <c r="W108">
        <f>INDEX([1]Parameters!$A$3:$C$5,MATCH('[1]Pizza Sales Calculations'!E108,[1]Parameters!$A$3:$A$5,0),2)</f>
        <v>10</v>
      </c>
      <c r="X108" t="e">
        <f>INDEX([1]Parameters!$A$3:$C$5,MATCH('[1]Pizza Sales Calculations'!F108,[1]Parameters!$A$3:$A$5,0),2)</f>
        <v>#N/A</v>
      </c>
    </row>
    <row r="109" spans="1:24" x14ac:dyDescent="0.3">
      <c r="A109">
        <v>108</v>
      </c>
      <c r="B109" s="14">
        <v>42371.510277777779</v>
      </c>
      <c r="C109" s="14">
        <v>42371.520694444444</v>
      </c>
      <c r="D109" t="s">
        <v>5</v>
      </c>
      <c r="G109" t="b">
        <v>1</v>
      </c>
      <c r="H109">
        <v>70803</v>
      </c>
      <c r="I109" s="5">
        <v>2.81108373995183</v>
      </c>
      <c r="J109" s="14">
        <v>42371.530451388891</v>
      </c>
      <c r="K109">
        <v>15.35</v>
      </c>
      <c r="L109" s="5">
        <f>('[1]Pizza Sales Calculations'!$J109-'[1]Pizza Sales Calculations'!$C109)*24*60</f>
        <v>14.05000000493601</v>
      </c>
      <c r="M109">
        <f>COUNTA('[1]Pizza Sales Calculations'!$D109:$F109)</f>
        <v>1</v>
      </c>
      <c r="N109">
        <f>IFERROR(VLOOKUP(D109,[1]Parameters!$A$3:$C$5,3,FALSE),0)</f>
        <v>2.2999999999999998</v>
      </c>
      <c r="O109">
        <f>IFERROR(VLOOKUP(E109,[1]Parameters!$A$3:$C$5,3,FALSE),0)</f>
        <v>0</v>
      </c>
      <c r="P109">
        <f>IFERROR(VLOOKUP(F109,[1]Parameters!$A$3:$C$5,3,FALSE),0)</f>
        <v>0</v>
      </c>
      <c r="Q109">
        <f t="shared" si="1"/>
        <v>2.2999999999999998</v>
      </c>
      <c r="R109" s="10">
        <f>IF('[1]Pizza Sales Calculations'!$G109=TRUE, [1]Parameters!$B$17*'[1]Pizza Sales Calculations'!$L109*2, 0)</f>
        <v>3.9808333347318694</v>
      </c>
      <c r="S109" t="str">
        <f>IF(I109&lt;[1]Parameters!$B$21,"TRUE","FALSE")</f>
        <v>TRUE</v>
      </c>
      <c r="T109" s="5">
        <f>(I109/[1]Parameters!$B$25)*60</f>
        <v>5.6221674799036601</v>
      </c>
      <c r="U109" s="10">
        <f>IF(AND('[1]Pizza Sales Calculations'!G109=TRUE,'[1]Pizza Sales Calculations'!S109="TRUE"),T109*[1]Parameters!$B$40*2,0)</f>
        <v>0.35095046975644184</v>
      </c>
      <c r="V109">
        <f>INDEX([1]Parameters!$A$3:$C$5,MATCH('[1]Pizza Sales Calculations'!D109,[1]Parameters!$A$3:$A$5,0),2)</f>
        <v>14</v>
      </c>
      <c r="W109" t="e">
        <f>INDEX([1]Parameters!$A$3:$C$5,MATCH('[1]Pizza Sales Calculations'!E109,[1]Parameters!$A$3:$A$5,0),2)</f>
        <v>#N/A</v>
      </c>
      <c r="X109" t="e">
        <f>INDEX([1]Parameters!$A$3:$C$5,MATCH('[1]Pizza Sales Calculations'!F109,[1]Parameters!$A$3:$A$5,0),2)</f>
        <v>#N/A</v>
      </c>
    </row>
    <row r="110" spans="1:24" x14ac:dyDescent="0.3">
      <c r="A110">
        <v>109</v>
      </c>
      <c r="B110" s="14">
        <v>42371.485636574071</v>
      </c>
      <c r="C110" s="14">
        <v>42371.496030092596</v>
      </c>
      <c r="D110" t="s">
        <v>4</v>
      </c>
      <c r="G110" t="b">
        <v>1</v>
      </c>
      <c r="H110">
        <v>70804</v>
      </c>
      <c r="I110" s="5">
        <v>2.18108777301003</v>
      </c>
      <c r="J110" s="14">
        <v>42371.503599537034</v>
      </c>
      <c r="K110">
        <v>11.59</v>
      </c>
      <c r="L110" s="5">
        <f>('[1]Pizza Sales Calculations'!$J110-'[1]Pizza Sales Calculations'!$C110)*24*60</f>
        <v>10.899999991524965</v>
      </c>
      <c r="M110">
        <f>COUNTA('[1]Pizza Sales Calculations'!$D110:$F110)</f>
        <v>1</v>
      </c>
      <c r="N110">
        <f>IFERROR(VLOOKUP(D110,[1]Parameters!$A$3:$C$5,3,FALSE),0)</f>
        <v>1.7</v>
      </c>
      <c r="O110">
        <f>IFERROR(VLOOKUP(E110,[1]Parameters!$A$3:$C$5,3,FALSE),0)</f>
        <v>0</v>
      </c>
      <c r="P110">
        <f>IFERROR(VLOOKUP(F110,[1]Parameters!$A$3:$C$5,3,FALSE),0)</f>
        <v>0</v>
      </c>
      <c r="Q110">
        <f t="shared" si="1"/>
        <v>1.7</v>
      </c>
      <c r="R110" s="10">
        <f>IF('[1]Pizza Sales Calculations'!$G110=TRUE, [1]Parameters!$B$17*'[1]Pizza Sales Calculations'!$L110*2, 0)</f>
        <v>3.0883333309320733</v>
      </c>
      <c r="S110" t="str">
        <f>IF(I110&lt;[1]Parameters!$B$21,"TRUE","FALSE")</f>
        <v>TRUE</v>
      </c>
      <c r="T110" s="5">
        <f>(I110/[1]Parameters!$B$25)*60</f>
        <v>4.36217554602006</v>
      </c>
      <c r="U110" s="10">
        <f>IF(AND('[1]Pizza Sales Calculations'!G110=TRUE,'[1]Pizza Sales Calculations'!S110="TRUE"),T110*[1]Parameters!$B$40*2,0)</f>
        <v>0.27229846184910106</v>
      </c>
      <c r="V110">
        <f>INDEX([1]Parameters!$A$3:$C$5,MATCH('[1]Pizza Sales Calculations'!D110,[1]Parameters!$A$3:$A$5,0),2)</f>
        <v>10</v>
      </c>
      <c r="W110" t="e">
        <f>INDEX([1]Parameters!$A$3:$C$5,MATCH('[1]Pizza Sales Calculations'!E110,[1]Parameters!$A$3:$A$5,0),2)</f>
        <v>#N/A</v>
      </c>
      <c r="X110" t="e">
        <f>INDEX([1]Parameters!$A$3:$C$5,MATCH('[1]Pizza Sales Calculations'!F110,[1]Parameters!$A$3:$A$5,0),2)</f>
        <v>#N/A</v>
      </c>
    </row>
    <row r="111" spans="1:24" x14ac:dyDescent="0.3">
      <c r="A111">
        <v>110</v>
      </c>
      <c r="B111" s="14">
        <v>42371.542766203704</v>
      </c>
      <c r="C111" s="14">
        <v>42371.553171296298</v>
      </c>
      <c r="D111" t="s">
        <v>5</v>
      </c>
      <c r="G111" t="b">
        <v>0</v>
      </c>
      <c r="H111">
        <v>70806</v>
      </c>
      <c r="I111" s="5">
        <v>0</v>
      </c>
      <c r="J111" s="14">
        <v>42371.555243055554</v>
      </c>
      <c r="K111">
        <v>15.35</v>
      </c>
      <c r="L111" s="5">
        <f>('[1]Pizza Sales Calculations'!$J111-'[1]Pizza Sales Calculations'!$C111)*24*60</f>
        <v>2.9833333287388086</v>
      </c>
      <c r="M111">
        <f>COUNTA('[1]Pizza Sales Calculations'!$D111:$F111)</f>
        <v>1</v>
      </c>
      <c r="N111">
        <f>IFERROR(VLOOKUP(D111,[1]Parameters!$A$3:$C$5,3,FALSE),0)</f>
        <v>2.2999999999999998</v>
      </c>
      <c r="O111">
        <f>IFERROR(VLOOKUP(E111,[1]Parameters!$A$3:$C$5,3,FALSE),0)</f>
        <v>0</v>
      </c>
      <c r="P111">
        <f>IFERROR(VLOOKUP(F111,[1]Parameters!$A$3:$C$5,3,FALSE),0)</f>
        <v>0</v>
      </c>
      <c r="Q111">
        <f t="shared" si="1"/>
        <v>2.2999999999999998</v>
      </c>
      <c r="R111" s="10">
        <f>IF('[1]Pizza Sales Calculations'!$G111=TRUE, [1]Parameters!$B$17*'[1]Pizza Sales Calculations'!$L111*2, 0)</f>
        <v>0</v>
      </c>
      <c r="S111" t="str">
        <f>IF(I111&lt;[1]Parameters!$B$21,"TRUE","FALSE")</f>
        <v>TRUE</v>
      </c>
      <c r="T111" s="5">
        <f>(I111/[1]Parameters!$B$25)*60</f>
        <v>0</v>
      </c>
      <c r="U111" s="10">
        <f>IF(AND('[1]Pizza Sales Calculations'!G111=TRUE,'[1]Pizza Sales Calculations'!S111="TRUE"),T111*[1]Parameters!$B$40*2,0)</f>
        <v>0</v>
      </c>
      <c r="V111">
        <f>INDEX([1]Parameters!$A$3:$C$5,MATCH('[1]Pizza Sales Calculations'!D111,[1]Parameters!$A$3:$A$5,0),2)</f>
        <v>14</v>
      </c>
      <c r="W111" t="e">
        <f>INDEX([1]Parameters!$A$3:$C$5,MATCH('[1]Pizza Sales Calculations'!E111,[1]Parameters!$A$3:$A$5,0),2)</f>
        <v>#N/A</v>
      </c>
      <c r="X111" t="e">
        <f>INDEX([1]Parameters!$A$3:$C$5,MATCH('[1]Pizza Sales Calculations'!F111,[1]Parameters!$A$3:$A$5,0),2)</f>
        <v>#N/A</v>
      </c>
    </row>
    <row r="112" spans="1:24" x14ac:dyDescent="0.3">
      <c r="A112">
        <v>111</v>
      </c>
      <c r="B112" s="14">
        <v>42371.516377314816</v>
      </c>
      <c r="C112" s="14">
        <v>42371.526782407411</v>
      </c>
      <c r="D112" t="s">
        <v>3</v>
      </c>
      <c r="G112" t="b">
        <v>0</v>
      </c>
      <c r="H112">
        <v>70804</v>
      </c>
      <c r="I112" s="5">
        <v>0</v>
      </c>
      <c r="J112" s="14">
        <v>42371.528865740744</v>
      </c>
      <c r="K112">
        <v>7.99</v>
      </c>
      <c r="L112" s="5">
        <f>('[1]Pizza Sales Calculations'!$J112-'[1]Pizza Sales Calculations'!$C112)*24*60</f>
        <v>2.9999999993015081</v>
      </c>
      <c r="M112">
        <f>COUNTA('[1]Pizza Sales Calculations'!$D112:$F112)</f>
        <v>1</v>
      </c>
      <c r="N112">
        <f>IFERROR(VLOOKUP(D112,[1]Parameters!$A$3:$C$5,3,FALSE),0)</f>
        <v>1</v>
      </c>
      <c r="O112">
        <f>IFERROR(VLOOKUP(E112,[1]Parameters!$A$3:$C$5,3,FALSE),0)</f>
        <v>0</v>
      </c>
      <c r="P112">
        <f>IFERROR(VLOOKUP(F112,[1]Parameters!$A$3:$C$5,3,FALSE),0)</f>
        <v>0</v>
      </c>
      <c r="Q112">
        <f t="shared" si="1"/>
        <v>1</v>
      </c>
      <c r="R112" s="10">
        <f>IF('[1]Pizza Sales Calculations'!$G112=TRUE, [1]Parameters!$B$17*'[1]Pizza Sales Calculations'!$L112*2, 0)</f>
        <v>0</v>
      </c>
      <c r="S112" t="str">
        <f>IF(I112&lt;[1]Parameters!$B$21,"TRUE","FALSE")</f>
        <v>TRUE</v>
      </c>
      <c r="T112" s="5">
        <f>(I112/[1]Parameters!$B$25)*60</f>
        <v>0</v>
      </c>
      <c r="U112" s="10">
        <f>IF(AND('[1]Pizza Sales Calculations'!G112=TRUE,'[1]Pizza Sales Calculations'!S112="TRUE"),T112*[1]Parameters!$B$40*2,0)</f>
        <v>0</v>
      </c>
      <c r="V112">
        <f>INDEX([1]Parameters!$A$3:$C$5,MATCH('[1]Pizza Sales Calculations'!D112,[1]Parameters!$A$3:$A$5,0),2)</f>
        <v>7</v>
      </c>
      <c r="W112" t="e">
        <f>INDEX([1]Parameters!$A$3:$C$5,MATCH('[1]Pizza Sales Calculations'!E112,[1]Parameters!$A$3:$A$5,0),2)</f>
        <v>#N/A</v>
      </c>
      <c r="X112" t="e">
        <f>INDEX([1]Parameters!$A$3:$C$5,MATCH('[1]Pizza Sales Calculations'!F112,[1]Parameters!$A$3:$A$5,0),2)</f>
        <v>#N/A</v>
      </c>
    </row>
    <row r="113" spans="1:24" x14ac:dyDescent="0.3">
      <c r="A113">
        <v>112</v>
      </c>
      <c r="B113" s="14">
        <v>42371.622534722221</v>
      </c>
      <c r="C113" s="14">
        <v>42371.632951388892</v>
      </c>
      <c r="D113" t="s">
        <v>4</v>
      </c>
      <c r="G113" t="b">
        <v>0</v>
      </c>
      <c r="H113">
        <v>70808</v>
      </c>
      <c r="I113" s="5">
        <v>0</v>
      </c>
      <c r="J113" s="14">
        <v>42371.635046296295</v>
      </c>
      <c r="K113">
        <v>11.59</v>
      </c>
      <c r="L113" s="5">
        <f>('[1]Pizza Sales Calculations'!$J113-'[1]Pizza Sales Calculations'!$C113)*24*60</f>
        <v>3.0166666593868285</v>
      </c>
      <c r="M113">
        <f>COUNTA('[1]Pizza Sales Calculations'!$D113:$F113)</f>
        <v>1</v>
      </c>
      <c r="N113">
        <f>IFERROR(VLOOKUP(D113,[1]Parameters!$A$3:$C$5,3,FALSE),0)</f>
        <v>1.7</v>
      </c>
      <c r="O113">
        <f>IFERROR(VLOOKUP(E113,[1]Parameters!$A$3:$C$5,3,FALSE),0)</f>
        <v>0</v>
      </c>
      <c r="P113">
        <f>IFERROR(VLOOKUP(F113,[1]Parameters!$A$3:$C$5,3,FALSE),0)</f>
        <v>0</v>
      </c>
      <c r="Q113">
        <f t="shared" si="1"/>
        <v>1.7</v>
      </c>
      <c r="R113" s="10">
        <f>IF('[1]Pizza Sales Calculations'!$G113=TRUE, [1]Parameters!$B$17*'[1]Pizza Sales Calculations'!$L113*2, 0)</f>
        <v>0</v>
      </c>
      <c r="S113" t="str">
        <f>IF(I113&lt;[1]Parameters!$B$21,"TRUE","FALSE")</f>
        <v>TRUE</v>
      </c>
      <c r="T113" s="5">
        <f>(I113/[1]Parameters!$B$25)*60</f>
        <v>0</v>
      </c>
      <c r="U113" s="10">
        <f>IF(AND('[1]Pizza Sales Calculations'!G113=TRUE,'[1]Pizza Sales Calculations'!S113="TRUE"),T113*[1]Parameters!$B$40*2,0)</f>
        <v>0</v>
      </c>
      <c r="V113">
        <f>INDEX([1]Parameters!$A$3:$C$5,MATCH('[1]Pizza Sales Calculations'!D113,[1]Parameters!$A$3:$A$5,0),2)</f>
        <v>10</v>
      </c>
      <c r="W113" t="e">
        <f>INDEX([1]Parameters!$A$3:$C$5,MATCH('[1]Pizza Sales Calculations'!E113,[1]Parameters!$A$3:$A$5,0),2)</f>
        <v>#N/A</v>
      </c>
      <c r="X113" t="e">
        <f>INDEX([1]Parameters!$A$3:$C$5,MATCH('[1]Pizza Sales Calculations'!F113,[1]Parameters!$A$3:$A$5,0),2)</f>
        <v>#N/A</v>
      </c>
    </row>
    <row r="114" spans="1:24" x14ac:dyDescent="0.3">
      <c r="A114">
        <v>113</v>
      </c>
      <c r="B114" s="14">
        <v>42371.524328703701</v>
      </c>
      <c r="C114" s="14">
        <v>42371.534733796296</v>
      </c>
      <c r="D114" t="s">
        <v>3</v>
      </c>
      <c r="E114" t="s">
        <v>4</v>
      </c>
      <c r="F114" t="s">
        <v>5</v>
      </c>
      <c r="G114" t="b">
        <v>0</v>
      </c>
      <c r="H114">
        <v>70804</v>
      </c>
      <c r="I114" s="5">
        <v>0</v>
      </c>
      <c r="J114" s="14">
        <v>42371.536793981482</v>
      </c>
      <c r="K114">
        <v>33.93</v>
      </c>
      <c r="L114" s="5">
        <f>('[1]Pizza Sales Calculations'!$J114-'[1]Pizza Sales Calculations'!$C114)*24*60</f>
        <v>2.9666666686534882</v>
      </c>
      <c r="M114">
        <f>COUNTA('[1]Pizza Sales Calculations'!$D114:$F114)</f>
        <v>3</v>
      </c>
      <c r="N114">
        <f>IFERROR(VLOOKUP(D114,[1]Parameters!$A$3:$C$5,3,FALSE),0)</f>
        <v>1</v>
      </c>
      <c r="O114">
        <f>IFERROR(VLOOKUP(E114,[1]Parameters!$A$3:$C$5,3,FALSE),0)</f>
        <v>1.7</v>
      </c>
      <c r="P114">
        <f>IFERROR(VLOOKUP(F114,[1]Parameters!$A$3:$C$5,3,FALSE),0)</f>
        <v>2.2999999999999998</v>
      </c>
      <c r="Q114">
        <f t="shared" si="1"/>
        <v>5</v>
      </c>
      <c r="R114" s="10">
        <f>IF('[1]Pizza Sales Calculations'!$G114=TRUE, [1]Parameters!$B$17*'[1]Pizza Sales Calculations'!$L114*2, 0)</f>
        <v>0</v>
      </c>
      <c r="S114" t="str">
        <f>IF(I114&lt;[1]Parameters!$B$21,"TRUE","FALSE")</f>
        <v>TRUE</v>
      </c>
      <c r="T114" s="5">
        <f>(I114/[1]Parameters!$B$25)*60</f>
        <v>0</v>
      </c>
      <c r="U114" s="10">
        <f>IF(AND('[1]Pizza Sales Calculations'!G114=TRUE,'[1]Pizza Sales Calculations'!S114="TRUE"),T114*[1]Parameters!$B$40*2,0)</f>
        <v>0</v>
      </c>
      <c r="V114">
        <f>INDEX([1]Parameters!$A$3:$C$5,MATCH('[1]Pizza Sales Calculations'!D114,[1]Parameters!$A$3:$A$5,0),2)</f>
        <v>7</v>
      </c>
      <c r="W114">
        <f>INDEX([1]Parameters!$A$3:$C$5,MATCH('[1]Pizza Sales Calculations'!E114,[1]Parameters!$A$3:$A$5,0),2)</f>
        <v>10</v>
      </c>
      <c r="X114">
        <f>INDEX([1]Parameters!$A$3:$C$5,MATCH('[1]Pizza Sales Calculations'!F114,[1]Parameters!$A$3:$A$5,0),2)</f>
        <v>14</v>
      </c>
    </row>
    <row r="115" spans="1:24" x14ac:dyDescent="0.3">
      <c r="A115">
        <v>114</v>
      </c>
      <c r="B115" s="14">
        <v>42371.430405092593</v>
      </c>
      <c r="C115" s="14">
        <v>42371.440833333334</v>
      </c>
      <c r="D115" t="s">
        <v>4</v>
      </c>
      <c r="E115" t="s">
        <v>5</v>
      </c>
      <c r="G115" t="b">
        <v>0</v>
      </c>
      <c r="H115">
        <v>70806</v>
      </c>
      <c r="I115" s="5">
        <v>0</v>
      </c>
      <c r="J115" s="14">
        <v>42371.442939814813</v>
      </c>
      <c r="K115">
        <v>25.94</v>
      </c>
      <c r="L115" s="5">
        <f>('[1]Pizza Sales Calculations'!$J115-'[1]Pizza Sales Calculations'!$C115)*24*60</f>
        <v>3.033333329949528</v>
      </c>
      <c r="M115">
        <f>COUNTA('[1]Pizza Sales Calculations'!$D115:$F115)</f>
        <v>2</v>
      </c>
      <c r="N115">
        <f>IFERROR(VLOOKUP(D115,[1]Parameters!$A$3:$C$5,3,FALSE),0)</f>
        <v>1.7</v>
      </c>
      <c r="O115">
        <f>IFERROR(VLOOKUP(E115,[1]Parameters!$A$3:$C$5,3,FALSE),0)</f>
        <v>2.2999999999999998</v>
      </c>
      <c r="P115">
        <f>IFERROR(VLOOKUP(F115,[1]Parameters!$A$3:$C$5,3,FALSE),0)</f>
        <v>0</v>
      </c>
      <c r="Q115">
        <f t="shared" si="1"/>
        <v>4</v>
      </c>
      <c r="R115" s="10">
        <f>IF('[1]Pizza Sales Calculations'!$G115=TRUE, [1]Parameters!$B$17*'[1]Pizza Sales Calculations'!$L115*2, 0)</f>
        <v>0</v>
      </c>
      <c r="S115" t="str">
        <f>IF(I115&lt;[1]Parameters!$B$21,"TRUE","FALSE")</f>
        <v>TRUE</v>
      </c>
      <c r="T115" s="5">
        <f>(I115/[1]Parameters!$B$25)*60</f>
        <v>0</v>
      </c>
      <c r="U115" s="10">
        <f>IF(AND('[1]Pizza Sales Calculations'!G115=TRUE,'[1]Pizza Sales Calculations'!S115="TRUE"),T115*[1]Parameters!$B$40*2,0)</f>
        <v>0</v>
      </c>
      <c r="V115">
        <f>INDEX([1]Parameters!$A$3:$C$5,MATCH('[1]Pizza Sales Calculations'!D115,[1]Parameters!$A$3:$A$5,0),2)</f>
        <v>10</v>
      </c>
      <c r="W115">
        <f>INDEX([1]Parameters!$A$3:$C$5,MATCH('[1]Pizza Sales Calculations'!E115,[1]Parameters!$A$3:$A$5,0),2)</f>
        <v>14</v>
      </c>
      <c r="X115" t="e">
        <f>INDEX([1]Parameters!$A$3:$C$5,MATCH('[1]Pizza Sales Calculations'!F115,[1]Parameters!$A$3:$A$5,0),2)</f>
        <v>#N/A</v>
      </c>
    </row>
    <row r="116" spans="1:24" x14ac:dyDescent="0.3">
      <c r="A116">
        <v>115</v>
      </c>
      <c r="B116" s="14">
        <v>42371.597546296296</v>
      </c>
      <c r="C116" s="14">
        <v>42371.60796296296</v>
      </c>
      <c r="D116" t="s">
        <v>3</v>
      </c>
      <c r="E116" t="s">
        <v>5</v>
      </c>
      <c r="G116" t="b">
        <v>0</v>
      </c>
      <c r="H116">
        <v>70806</v>
      </c>
      <c r="I116" s="5">
        <v>0</v>
      </c>
      <c r="J116" s="14">
        <v>42371.610034722224</v>
      </c>
      <c r="K116">
        <v>23.34</v>
      </c>
      <c r="L116" s="5">
        <f>('[1]Pizza Sales Calculations'!$J116-'[1]Pizza Sales Calculations'!$C116)*24*60</f>
        <v>2.9833333392161876</v>
      </c>
      <c r="M116">
        <f>COUNTA('[1]Pizza Sales Calculations'!$D116:$F116)</f>
        <v>2</v>
      </c>
      <c r="N116">
        <f>IFERROR(VLOOKUP(D116,[1]Parameters!$A$3:$C$5,3,FALSE),0)</f>
        <v>1</v>
      </c>
      <c r="O116">
        <f>IFERROR(VLOOKUP(E116,[1]Parameters!$A$3:$C$5,3,FALSE),0)</f>
        <v>2.2999999999999998</v>
      </c>
      <c r="P116">
        <f>IFERROR(VLOOKUP(F116,[1]Parameters!$A$3:$C$5,3,FALSE),0)</f>
        <v>0</v>
      </c>
      <c r="Q116">
        <f t="shared" si="1"/>
        <v>3.3</v>
      </c>
      <c r="R116" s="10">
        <f>IF('[1]Pizza Sales Calculations'!$G116=TRUE, [1]Parameters!$B$17*'[1]Pizza Sales Calculations'!$L116*2, 0)</f>
        <v>0</v>
      </c>
      <c r="S116" t="str">
        <f>IF(I116&lt;[1]Parameters!$B$21,"TRUE","FALSE")</f>
        <v>TRUE</v>
      </c>
      <c r="T116" s="5">
        <f>(I116/[1]Parameters!$B$25)*60</f>
        <v>0</v>
      </c>
      <c r="U116" s="10">
        <f>IF(AND('[1]Pizza Sales Calculations'!G116=TRUE,'[1]Pizza Sales Calculations'!S116="TRUE"),T116*[1]Parameters!$B$40*2,0)</f>
        <v>0</v>
      </c>
      <c r="V116">
        <f>INDEX([1]Parameters!$A$3:$C$5,MATCH('[1]Pizza Sales Calculations'!D116,[1]Parameters!$A$3:$A$5,0),2)</f>
        <v>7</v>
      </c>
      <c r="W116">
        <f>INDEX([1]Parameters!$A$3:$C$5,MATCH('[1]Pizza Sales Calculations'!E116,[1]Parameters!$A$3:$A$5,0),2)</f>
        <v>14</v>
      </c>
      <c r="X116" t="e">
        <f>INDEX([1]Parameters!$A$3:$C$5,MATCH('[1]Pizza Sales Calculations'!F116,[1]Parameters!$A$3:$A$5,0),2)</f>
        <v>#N/A</v>
      </c>
    </row>
    <row r="117" spans="1:24" x14ac:dyDescent="0.3">
      <c r="A117">
        <v>116</v>
      </c>
      <c r="B117" s="14">
        <v>42371.557546296295</v>
      </c>
      <c r="C117" s="14">
        <v>42371.56795138889</v>
      </c>
      <c r="D117" t="s">
        <v>4</v>
      </c>
      <c r="G117" t="b">
        <v>1</v>
      </c>
      <c r="H117">
        <v>70805</v>
      </c>
      <c r="I117" s="5">
        <v>3.6605432160921998</v>
      </c>
      <c r="J117" s="14">
        <v>42371.580659722225</v>
      </c>
      <c r="K117">
        <v>11.59</v>
      </c>
      <c r="L117" s="5">
        <f>('[1]Pizza Sales Calculations'!$J117-'[1]Pizza Sales Calculations'!$C117)*24*60</f>
        <v>18.300000003073364</v>
      </c>
      <c r="M117">
        <f>COUNTA('[1]Pizza Sales Calculations'!$D117:$F117)</f>
        <v>1</v>
      </c>
      <c r="N117">
        <f>IFERROR(VLOOKUP(D117,[1]Parameters!$A$3:$C$5,3,FALSE),0)</f>
        <v>1.7</v>
      </c>
      <c r="O117">
        <f>IFERROR(VLOOKUP(E117,[1]Parameters!$A$3:$C$5,3,FALSE),0)</f>
        <v>0</v>
      </c>
      <c r="P117">
        <f>IFERROR(VLOOKUP(F117,[1]Parameters!$A$3:$C$5,3,FALSE),0)</f>
        <v>0</v>
      </c>
      <c r="Q117">
        <f t="shared" si="1"/>
        <v>1.7</v>
      </c>
      <c r="R117" s="10">
        <f>IF('[1]Pizza Sales Calculations'!$G117=TRUE, [1]Parameters!$B$17*'[1]Pizza Sales Calculations'!$L117*2, 0)</f>
        <v>5.1850000008707866</v>
      </c>
      <c r="S117" t="str">
        <f>IF(I117&lt;[1]Parameters!$B$21,"TRUE","FALSE")</f>
        <v>FALSE</v>
      </c>
      <c r="T117" s="5">
        <f>(I117/[1]Parameters!$B$25)*60</f>
        <v>7.3210864321843996</v>
      </c>
      <c r="U117" s="10">
        <f>IF(AND('[1]Pizza Sales Calculations'!G117=TRUE,'[1]Pizza Sales Calculations'!S117="TRUE"),T117*[1]Parameters!$B$40*2,0)</f>
        <v>0</v>
      </c>
      <c r="V117">
        <f>INDEX([1]Parameters!$A$3:$C$5,MATCH('[1]Pizza Sales Calculations'!D117,[1]Parameters!$A$3:$A$5,0),2)</f>
        <v>10</v>
      </c>
      <c r="W117" t="e">
        <f>INDEX([1]Parameters!$A$3:$C$5,MATCH('[1]Pizza Sales Calculations'!E117,[1]Parameters!$A$3:$A$5,0),2)</f>
        <v>#N/A</v>
      </c>
      <c r="X117" t="e">
        <f>INDEX([1]Parameters!$A$3:$C$5,MATCH('[1]Pizza Sales Calculations'!F117,[1]Parameters!$A$3:$A$5,0),2)</f>
        <v>#N/A</v>
      </c>
    </row>
    <row r="118" spans="1:24" x14ac:dyDescent="0.3">
      <c r="A118">
        <v>117</v>
      </c>
      <c r="B118" s="14">
        <v>42371.463425925926</v>
      </c>
      <c r="C118" s="14">
        <v>42371.473819444444</v>
      </c>
      <c r="D118" t="s">
        <v>5</v>
      </c>
      <c r="G118" t="b">
        <v>0</v>
      </c>
      <c r="H118">
        <v>70803</v>
      </c>
      <c r="I118" s="5">
        <v>0</v>
      </c>
      <c r="J118" s="14">
        <v>42371.475914351853</v>
      </c>
      <c r="K118">
        <v>15.35</v>
      </c>
      <c r="L118" s="5">
        <f>('[1]Pizza Sales Calculations'!$J118-'[1]Pizza Sales Calculations'!$C118)*24*60</f>
        <v>3.0166666698642075</v>
      </c>
      <c r="M118">
        <f>COUNTA('[1]Pizza Sales Calculations'!$D118:$F118)</f>
        <v>1</v>
      </c>
      <c r="N118">
        <f>IFERROR(VLOOKUP(D118,[1]Parameters!$A$3:$C$5,3,FALSE),0)</f>
        <v>2.2999999999999998</v>
      </c>
      <c r="O118">
        <f>IFERROR(VLOOKUP(E118,[1]Parameters!$A$3:$C$5,3,FALSE),0)</f>
        <v>0</v>
      </c>
      <c r="P118">
        <f>IFERROR(VLOOKUP(F118,[1]Parameters!$A$3:$C$5,3,FALSE),0)</f>
        <v>0</v>
      </c>
      <c r="Q118">
        <f t="shared" si="1"/>
        <v>2.2999999999999998</v>
      </c>
      <c r="R118" s="10">
        <f>IF('[1]Pizza Sales Calculations'!$G118=TRUE, [1]Parameters!$B$17*'[1]Pizza Sales Calculations'!$L118*2, 0)</f>
        <v>0</v>
      </c>
      <c r="S118" t="str">
        <f>IF(I118&lt;[1]Parameters!$B$21,"TRUE","FALSE")</f>
        <v>TRUE</v>
      </c>
      <c r="T118" s="5">
        <f>(I118/[1]Parameters!$B$25)*60</f>
        <v>0</v>
      </c>
      <c r="U118" s="10">
        <f>IF(AND('[1]Pizza Sales Calculations'!G118=TRUE,'[1]Pizza Sales Calculations'!S118="TRUE"),T118*[1]Parameters!$B$40*2,0)</f>
        <v>0</v>
      </c>
      <c r="V118">
        <f>INDEX([1]Parameters!$A$3:$C$5,MATCH('[1]Pizza Sales Calculations'!D118,[1]Parameters!$A$3:$A$5,0),2)</f>
        <v>14</v>
      </c>
      <c r="W118" t="e">
        <f>INDEX([1]Parameters!$A$3:$C$5,MATCH('[1]Pizza Sales Calculations'!E118,[1]Parameters!$A$3:$A$5,0),2)</f>
        <v>#N/A</v>
      </c>
      <c r="X118" t="e">
        <f>INDEX([1]Parameters!$A$3:$C$5,MATCH('[1]Pizza Sales Calculations'!F118,[1]Parameters!$A$3:$A$5,0),2)</f>
        <v>#N/A</v>
      </c>
    </row>
    <row r="119" spans="1:24" x14ac:dyDescent="0.3">
      <c r="A119">
        <v>118</v>
      </c>
      <c r="B119" s="14">
        <v>42371.492013888892</v>
      </c>
      <c r="C119" s="14">
        <v>42371.502418981479</v>
      </c>
      <c r="D119" t="s">
        <v>3</v>
      </c>
      <c r="E119" t="s">
        <v>4</v>
      </c>
      <c r="G119" t="b">
        <v>1</v>
      </c>
      <c r="H119">
        <v>70806</v>
      </c>
      <c r="I119" s="5">
        <v>2.3817587826888902</v>
      </c>
      <c r="J119" s="14">
        <v>42371.510682870372</v>
      </c>
      <c r="K119">
        <v>19.579999999999998</v>
      </c>
      <c r="L119" s="5">
        <f>('[1]Pizza Sales Calculations'!$J119-'[1]Pizza Sales Calculations'!$C119)*24*60</f>
        <v>11.900000005261973</v>
      </c>
      <c r="M119">
        <f>COUNTA('[1]Pizza Sales Calculations'!$D119:$F119)</f>
        <v>2</v>
      </c>
      <c r="N119">
        <f>IFERROR(VLOOKUP(D119,[1]Parameters!$A$3:$C$5,3,FALSE),0)</f>
        <v>1</v>
      </c>
      <c r="O119">
        <f>IFERROR(VLOOKUP(E119,[1]Parameters!$A$3:$C$5,3,FALSE),0)</f>
        <v>1.7</v>
      </c>
      <c r="P119">
        <f>IFERROR(VLOOKUP(F119,[1]Parameters!$A$3:$C$5,3,FALSE),0)</f>
        <v>0</v>
      </c>
      <c r="Q119">
        <f t="shared" si="1"/>
        <v>2.7</v>
      </c>
      <c r="R119" s="10">
        <f>IF('[1]Pizza Sales Calculations'!$G119=TRUE, [1]Parameters!$B$17*'[1]Pizza Sales Calculations'!$L119*2, 0)</f>
        <v>3.3716666681575589</v>
      </c>
      <c r="S119" t="str">
        <f>IF(I119&lt;[1]Parameters!$B$21,"TRUE","FALSE")</f>
        <v>TRUE</v>
      </c>
      <c r="T119" s="5">
        <f>(I119/[1]Parameters!$B$25)*60</f>
        <v>4.7635175653777804</v>
      </c>
      <c r="U119" s="10">
        <f>IF(AND('[1]Pizza Sales Calculations'!G119=TRUE,'[1]Pizza Sales Calculations'!S119="TRUE"),T119*[1]Parameters!$B$40*2,0)</f>
        <v>0.29735128546740502</v>
      </c>
      <c r="V119">
        <f>INDEX([1]Parameters!$A$3:$C$5,MATCH('[1]Pizza Sales Calculations'!D119,[1]Parameters!$A$3:$A$5,0),2)</f>
        <v>7</v>
      </c>
      <c r="W119">
        <f>INDEX([1]Parameters!$A$3:$C$5,MATCH('[1]Pizza Sales Calculations'!E119,[1]Parameters!$A$3:$A$5,0),2)</f>
        <v>10</v>
      </c>
      <c r="X119" t="e">
        <f>INDEX([1]Parameters!$A$3:$C$5,MATCH('[1]Pizza Sales Calculations'!F119,[1]Parameters!$A$3:$A$5,0),2)</f>
        <v>#N/A</v>
      </c>
    </row>
    <row r="120" spans="1:24" x14ac:dyDescent="0.3">
      <c r="A120">
        <v>119</v>
      </c>
      <c r="B120" s="14">
        <v>42371.475173611114</v>
      </c>
      <c r="C120" s="14">
        <v>42371.485590277778</v>
      </c>
      <c r="D120" t="s">
        <v>4</v>
      </c>
      <c r="G120" t="b">
        <v>0</v>
      </c>
      <c r="H120">
        <v>70806</v>
      </c>
      <c r="I120" s="5">
        <v>0</v>
      </c>
      <c r="J120" s="14">
        <v>42371.487673611111</v>
      </c>
      <c r="K120">
        <v>11.59</v>
      </c>
      <c r="L120" s="5">
        <f>('[1]Pizza Sales Calculations'!$J120-'[1]Pizza Sales Calculations'!$C120)*24*60</f>
        <v>2.9999999993015081</v>
      </c>
      <c r="M120">
        <f>COUNTA('[1]Pizza Sales Calculations'!$D120:$F120)</f>
        <v>1</v>
      </c>
      <c r="N120">
        <f>IFERROR(VLOOKUP(D120,[1]Parameters!$A$3:$C$5,3,FALSE),0)</f>
        <v>1.7</v>
      </c>
      <c r="O120">
        <f>IFERROR(VLOOKUP(E120,[1]Parameters!$A$3:$C$5,3,FALSE),0)</f>
        <v>0</v>
      </c>
      <c r="P120">
        <f>IFERROR(VLOOKUP(F120,[1]Parameters!$A$3:$C$5,3,FALSE),0)</f>
        <v>0</v>
      </c>
      <c r="Q120">
        <f t="shared" si="1"/>
        <v>1.7</v>
      </c>
      <c r="R120" s="10">
        <f>IF('[1]Pizza Sales Calculations'!$G120=TRUE, [1]Parameters!$B$17*'[1]Pizza Sales Calculations'!$L120*2, 0)</f>
        <v>0</v>
      </c>
      <c r="S120" t="str">
        <f>IF(I120&lt;[1]Parameters!$B$21,"TRUE","FALSE")</f>
        <v>TRUE</v>
      </c>
      <c r="T120" s="5">
        <f>(I120/[1]Parameters!$B$25)*60</f>
        <v>0</v>
      </c>
      <c r="U120" s="10">
        <f>IF(AND('[1]Pizza Sales Calculations'!G120=TRUE,'[1]Pizza Sales Calculations'!S120="TRUE"),T120*[1]Parameters!$B$40*2,0)</f>
        <v>0</v>
      </c>
      <c r="V120">
        <f>INDEX([1]Parameters!$A$3:$C$5,MATCH('[1]Pizza Sales Calculations'!D120,[1]Parameters!$A$3:$A$5,0),2)</f>
        <v>10</v>
      </c>
      <c r="W120" t="e">
        <f>INDEX([1]Parameters!$A$3:$C$5,MATCH('[1]Pizza Sales Calculations'!E120,[1]Parameters!$A$3:$A$5,0),2)</f>
        <v>#N/A</v>
      </c>
      <c r="X120" t="e">
        <f>INDEX([1]Parameters!$A$3:$C$5,MATCH('[1]Pizza Sales Calculations'!F120,[1]Parameters!$A$3:$A$5,0),2)</f>
        <v>#N/A</v>
      </c>
    </row>
    <row r="121" spans="1:24" x14ac:dyDescent="0.3">
      <c r="A121">
        <v>120</v>
      </c>
      <c r="B121" s="14">
        <v>42371.535092592596</v>
      </c>
      <c r="C121" s="14">
        <v>42371.545486111114</v>
      </c>
      <c r="D121" t="s">
        <v>3</v>
      </c>
      <c r="G121" t="b">
        <v>0</v>
      </c>
      <c r="H121">
        <v>70804</v>
      </c>
      <c r="I121" s="5">
        <v>0</v>
      </c>
      <c r="J121" s="14">
        <v>42371.547546296293</v>
      </c>
      <c r="K121">
        <v>7.99</v>
      </c>
      <c r="L121" s="5">
        <f>('[1]Pizza Sales Calculations'!$J121-'[1]Pizza Sales Calculations'!$C121)*24*60</f>
        <v>2.9666666581761092</v>
      </c>
      <c r="M121">
        <f>COUNTA('[1]Pizza Sales Calculations'!$D121:$F121)</f>
        <v>1</v>
      </c>
      <c r="N121">
        <f>IFERROR(VLOOKUP(D121,[1]Parameters!$A$3:$C$5,3,FALSE),0)</f>
        <v>1</v>
      </c>
      <c r="O121">
        <f>IFERROR(VLOOKUP(E121,[1]Parameters!$A$3:$C$5,3,FALSE),0)</f>
        <v>0</v>
      </c>
      <c r="P121">
        <f>IFERROR(VLOOKUP(F121,[1]Parameters!$A$3:$C$5,3,FALSE),0)</f>
        <v>0</v>
      </c>
      <c r="Q121">
        <f t="shared" si="1"/>
        <v>1</v>
      </c>
      <c r="R121" s="10">
        <f>IF('[1]Pizza Sales Calculations'!$G121=TRUE, [1]Parameters!$B$17*'[1]Pizza Sales Calculations'!$L121*2, 0)</f>
        <v>0</v>
      </c>
      <c r="S121" t="str">
        <f>IF(I121&lt;[1]Parameters!$B$21,"TRUE","FALSE")</f>
        <v>TRUE</v>
      </c>
      <c r="T121" s="5">
        <f>(I121/[1]Parameters!$B$25)*60</f>
        <v>0</v>
      </c>
      <c r="U121" s="10">
        <f>IF(AND('[1]Pizza Sales Calculations'!G121=TRUE,'[1]Pizza Sales Calculations'!S121="TRUE"),T121*[1]Parameters!$B$40*2,0)</f>
        <v>0</v>
      </c>
      <c r="V121">
        <f>INDEX([1]Parameters!$A$3:$C$5,MATCH('[1]Pizza Sales Calculations'!D121,[1]Parameters!$A$3:$A$5,0),2)</f>
        <v>7</v>
      </c>
      <c r="W121" t="e">
        <f>INDEX([1]Parameters!$A$3:$C$5,MATCH('[1]Pizza Sales Calculations'!E121,[1]Parameters!$A$3:$A$5,0),2)</f>
        <v>#N/A</v>
      </c>
      <c r="X121" t="e">
        <f>INDEX([1]Parameters!$A$3:$C$5,MATCH('[1]Pizza Sales Calculations'!F121,[1]Parameters!$A$3:$A$5,0),2)</f>
        <v>#N/A</v>
      </c>
    </row>
    <row r="122" spans="1:24" x14ac:dyDescent="0.3">
      <c r="A122">
        <v>121</v>
      </c>
      <c r="B122" s="14">
        <v>42371.482986111114</v>
      </c>
      <c r="C122" s="14">
        <v>42371.493402777778</v>
      </c>
      <c r="D122" t="s">
        <v>3</v>
      </c>
      <c r="E122" t="s">
        <v>5</v>
      </c>
      <c r="G122" t="b">
        <v>0</v>
      </c>
      <c r="H122">
        <v>70804</v>
      </c>
      <c r="I122" s="5">
        <v>0</v>
      </c>
      <c r="J122" s="14">
        <v>42371.495486111111</v>
      </c>
      <c r="K122">
        <v>23.34</v>
      </c>
      <c r="L122" s="5">
        <f>('[1]Pizza Sales Calculations'!$J122-'[1]Pizza Sales Calculations'!$C122)*24*60</f>
        <v>2.9999999993015081</v>
      </c>
      <c r="M122">
        <f>COUNTA('[1]Pizza Sales Calculations'!$D122:$F122)</f>
        <v>2</v>
      </c>
      <c r="N122">
        <f>IFERROR(VLOOKUP(D122,[1]Parameters!$A$3:$C$5,3,FALSE),0)</f>
        <v>1</v>
      </c>
      <c r="O122">
        <f>IFERROR(VLOOKUP(E122,[1]Parameters!$A$3:$C$5,3,FALSE),0)</f>
        <v>2.2999999999999998</v>
      </c>
      <c r="P122">
        <f>IFERROR(VLOOKUP(F122,[1]Parameters!$A$3:$C$5,3,FALSE),0)</f>
        <v>0</v>
      </c>
      <c r="Q122">
        <f t="shared" si="1"/>
        <v>3.3</v>
      </c>
      <c r="R122" s="10">
        <f>IF('[1]Pizza Sales Calculations'!$G122=TRUE, [1]Parameters!$B$17*'[1]Pizza Sales Calculations'!$L122*2, 0)</f>
        <v>0</v>
      </c>
      <c r="S122" t="str">
        <f>IF(I122&lt;[1]Parameters!$B$21,"TRUE","FALSE")</f>
        <v>TRUE</v>
      </c>
      <c r="T122" s="5">
        <f>(I122/[1]Parameters!$B$25)*60</f>
        <v>0</v>
      </c>
      <c r="U122" s="10">
        <f>IF(AND('[1]Pizza Sales Calculations'!G122=TRUE,'[1]Pizza Sales Calculations'!S122="TRUE"),T122*[1]Parameters!$B$40*2,0)</f>
        <v>0</v>
      </c>
      <c r="V122">
        <f>INDEX([1]Parameters!$A$3:$C$5,MATCH('[1]Pizza Sales Calculations'!D122,[1]Parameters!$A$3:$A$5,0),2)</f>
        <v>7</v>
      </c>
      <c r="W122">
        <f>INDEX([1]Parameters!$A$3:$C$5,MATCH('[1]Pizza Sales Calculations'!E122,[1]Parameters!$A$3:$A$5,0),2)</f>
        <v>14</v>
      </c>
      <c r="X122" t="e">
        <f>INDEX([1]Parameters!$A$3:$C$5,MATCH('[1]Pizza Sales Calculations'!F122,[1]Parameters!$A$3:$A$5,0),2)</f>
        <v>#N/A</v>
      </c>
    </row>
    <row r="123" spans="1:24" x14ac:dyDescent="0.3">
      <c r="A123">
        <v>122</v>
      </c>
      <c r="B123" s="14">
        <v>42371.520405092589</v>
      </c>
      <c r="C123" s="14">
        <v>42371.530810185184</v>
      </c>
      <c r="D123" t="s">
        <v>5</v>
      </c>
      <c r="G123" t="b">
        <v>0</v>
      </c>
      <c r="H123">
        <v>70804</v>
      </c>
      <c r="I123" s="5">
        <v>0</v>
      </c>
      <c r="J123" s="14">
        <v>42371.532893518517</v>
      </c>
      <c r="K123">
        <v>15.35</v>
      </c>
      <c r="L123" s="5">
        <f>('[1]Pizza Sales Calculations'!$J123-'[1]Pizza Sales Calculations'!$C123)*24*60</f>
        <v>2.9999999993015081</v>
      </c>
      <c r="M123">
        <f>COUNTA('[1]Pizza Sales Calculations'!$D123:$F123)</f>
        <v>1</v>
      </c>
      <c r="N123">
        <f>IFERROR(VLOOKUP(D123,[1]Parameters!$A$3:$C$5,3,FALSE),0)</f>
        <v>2.2999999999999998</v>
      </c>
      <c r="O123">
        <f>IFERROR(VLOOKUP(E123,[1]Parameters!$A$3:$C$5,3,FALSE),0)</f>
        <v>0</v>
      </c>
      <c r="P123">
        <f>IFERROR(VLOOKUP(F123,[1]Parameters!$A$3:$C$5,3,FALSE),0)</f>
        <v>0</v>
      </c>
      <c r="Q123">
        <f t="shared" si="1"/>
        <v>2.2999999999999998</v>
      </c>
      <c r="R123" s="10">
        <f>IF('[1]Pizza Sales Calculations'!$G123=TRUE, [1]Parameters!$B$17*'[1]Pizza Sales Calculations'!$L123*2, 0)</f>
        <v>0</v>
      </c>
      <c r="S123" t="str">
        <f>IF(I123&lt;[1]Parameters!$B$21,"TRUE","FALSE")</f>
        <v>TRUE</v>
      </c>
      <c r="T123" s="5">
        <f>(I123/[1]Parameters!$B$25)*60</f>
        <v>0</v>
      </c>
      <c r="U123" s="10">
        <f>IF(AND('[1]Pizza Sales Calculations'!G123=TRUE,'[1]Pizza Sales Calculations'!S123="TRUE"),T123*[1]Parameters!$B$40*2,0)</f>
        <v>0</v>
      </c>
      <c r="V123">
        <f>INDEX([1]Parameters!$A$3:$C$5,MATCH('[1]Pizza Sales Calculations'!D123,[1]Parameters!$A$3:$A$5,0),2)</f>
        <v>14</v>
      </c>
      <c r="W123" t="e">
        <f>INDEX([1]Parameters!$A$3:$C$5,MATCH('[1]Pizza Sales Calculations'!E123,[1]Parameters!$A$3:$A$5,0),2)</f>
        <v>#N/A</v>
      </c>
      <c r="X123" t="e">
        <f>INDEX([1]Parameters!$A$3:$C$5,MATCH('[1]Pizza Sales Calculations'!F123,[1]Parameters!$A$3:$A$5,0),2)</f>
        <v>#N/A</v>
      </c>
    </row>
    <row r="124" spans="1:24" x14ac:dyDescent="0.3">
      <c r="A124">
        <v>123</v>
      </c>
      <c r="B124" s="14">
        <v>42371.538090277776</v>
      </c>
      <c r="C124" s="14">
        <v>42371.548506944448</v>
      </c>
      <c r="D124" t="s">
        <v>3</v>
      </c>
      <c r="G124" t="b">
        <v>0</v>
      </c>
      <c r="H124">
        <v>70807</v>
      </c>
      <c r="I124" s="5">
        <v>0</v>
      </c>
      <c r="J124" s="14">
        <v>42371.55059027778</v>
      </c>
      <c r="K124">
        <v>7.99</v>
      </c>
      <c r="L124" s="5">
        <f>('[1]Pizza Sales Calculations'!$J124-'[1]Pizza Sales Calculations'!$C124)*24*60</f>
        <v>2.9999999993015081</v>
      </c>
      <c r="M124">
        <f>COUNTA('[1]Pizza Sales Calculations'!$D124:$F124)</f>
        <v>1</v>
      </c>
      <c r="N124">
        <f>IFERROR(VLOOKUP(D124,[1]Parameters!$A$3:$C$5,3,FALSE),0)</f>
        <v>1</v>
      </c>
      <c r="O124">
        <f>IFERROR(VLOOKUP(E124,[1]Parameters!$A$3:$C$5,3,FALSE),0)</f>
        <v>0</v>
      </c>
      <c r="P124">
        <f>IFERROR(VLOOKUP(F124,[1]Parameters!$A$3:$C$5,3,FALSE),0)</f>
        <v>0</v>
      </c>
      <c r="Q124">
        <f t="shared" si="1"/>
        <v>1</v>
      </c>
      <c r="R124" s="10">
        <f>IF('[1]Pizza Sales Calculations'!$G124=TRUE, [1]Parameters!$B$17*'[1]Pizza Sales Calculations'!$L124*2, 0)</f>
        <v>0</v>
      </c>
      <c r="S124" t="str">
        <f>IF(I124&lt;[1]Parameters!$B$21,"TRUE","FALSE")</f>
        <v>TRUE</v>
      </c>
      <c r="T124" s="5">
        <f>(I124/[1]Parameters!$B$25)*60</f>
        <v>0</v>
      </c>
      <c r="U124" s="10">
        <f>IF(AND('[1]Pizza Sales Calculations'!G124=TRUE,'[1]Pizza Sales Calculations'!S124="TRUE"),T124*[1]Parameters!$B$40*2,0)</f>
        <v>0</v>
      </c>
      <c r="V124">
        <f>INDEX([1]Parameters!$A$3:$C$5,MATCH('[1]Pizza Sales Calculations'!D124,[1]Parameters!$A$3:$A$5,0),2)</f>
        <v>7</v>
      </c>
      <c r="W124" t="e">
        <f>INDEX([1]Parameters!$A$3:$C$5,MATCH('[1]Pizza Sales Calculations'!E124,[1]Parameters!$A$3:$A$5,0),2)</f>
        <v>#N/A</v>
      </c>
      <c r="X124" t="e">
        <f>INDEX([1]Parameters!$A$3:$C$5,MATCH('[1]Pizza Sales Calculations'!F124,[1]Parameters!$A$3:$A$5,0),2)</f>
        <v>#N/A</v>
      </c>
    </row>
    <row r="125" spans="1:24" x14ac:dyDescent="0.3">
      <c r="A125">
        <v>124</v>
      </c>
      <c r="B125" s="14">
        <v>42371.526377314818</v>
      </c>
      <c r="C125" s="14">
        <v>42371.536793981482</v>
      </c>
      <c r="D125" t="s">
        <v>4</v>
      </c>
      <c r="G125" t="b">
        <v>0</v>
      </c>
      <c r="H125">
        <v>70804</v>
      </c>
      <c r="I125" s="5">
        <v>0</v>
      </c>
      <c r="J125" s="14">
        <v>42371.538865740738</v>
      </c>
      <c r="K125">
        <v>11.59</v>
      </c>
      <c r="L125" s="5">
        <f>('[1]Pizza Sales Calculations'!$J125-'[1]Pizza Sales Calculations'!$C125)*24*60</f>
        <v>2.9833333287388086</v>
      </c>
      <c r="M125">
        <f>COUNTA('[1]Pizza Sales Calculations'!$D125:$F125)</f>
        <v>1</v>
      </c>
      <c r="N125">
        <f>IFERROR(VLOOKUP(D125,[1]Parameters!$A$3:$C$5,3,FALSE),0)</f>
        <v>1.7</v>
      </c>
      <c r="O125">
        <f>IFERROR(VLOOKUP(E125,[1]Parameters!$A$3:$C$5,3,FALSE),0)</f>
        <v>0</v>
      </c>
      <c r="P125">
        <f>IFERROR(VLOOKUP(F125,[1]Parameters!$A$3:$C$5,3,FALSE),0)</f>
        <v>0</v>
      </c>
      <c r="Q125">
        <f t="shared" si="1"/>
        <v>1.7</v>
      </c>
      <c r="R125" s="10">
        <f>IF('[1]Pizza Sales Calculations'!$G125=TRUE, [1]Parameters!$B$17*'[1]Pizza Sales Calculations'!$L125*2, 0)</f>
        <v>0</v>
      </c>
      <c r="S125" t="str">
        <f>IF(I125&lt;[1]Parameters!$B$21,"TRUE","FALSE")</f>
        <v>TRUE</v>
      </c>
      <c r="T125" s="5">
        <f>(I125/[1]Parameters!$B$25)*60</f>
        <v>0</v>
      </c>
      <c r="U125" s="10">
        <f>IF(AND('[1]Pizza Sales Calculations'!G125=TRUE,'[1]Pizza Sales Calculations'!S125="TRUE"),T125*[1]Parameters!$B$40*2,0)</f>
        <v>0</v>
      </c>
      <c r="V125">
        <f>INDEX([1]Parameters!$A$3:$C$5,MATCH('[1]Pizza Sales Calculations'!D125,[1]Parameters!$A$3:$A$5,0),2)</f>
        <v>10</v>
      </c>
      <c r="W125" t="e">
        <f>INDEX([1]Parameters!$A$3:$C$5,MATCH('[1]Pizza Sales Calculations'!E125,[1]Parameters!$A$3:$A$5,0),2)</f>
        <v>#N/A</v>
      </c>
      <c r="X125" t="e">
        <f>INDEX([1]Parameters!$A$3:$C$5,MATCH('[1]Pizza Sales Calculations'!F125,[1]Parameters!$A$3:$A$5,0),2)</f>
        <v>#N/A</v>
      </c>
    </row>
    <row r="126" spans="1:24" x14ac:dyDescent="0.3">
      <c r="A126">
        <v>125</v>
      </c>
      <c r="B126" s="14">
        <v>42371.453634259262</v>
      </c>
      <c r="C126" s="14">
        <v>42371.464050925926</v>
      </c>
      <c r="D126" t="s">
        <v>3</v>
      </c>
      <c r="G126" t="b">
        <v>1</v>
      </c>
      <c r="H126">
        <v>70804</v>
      </c>
      <c r="I126" s="5">
        <v>2.54203449480941</v>
      </c>
      <c r="J126" s="14">
        <v>42371.472870370373</v>
      </c>
      <c r="K126">
        <v>7.99</v>
      </c>
      <c r="L126" s="5">
        <f>('[1]Pizza Sales Calculations'!$J126-'[1]Pizza Sales Calculations'!$C126)*24*60</f>
        <v>12.700000003678724</v>
      </c>
      <c r="M126">
        <f>COUNTA('[1]Pizza Sales Calculations'!$D126:$F126)</f>
        <v>1</v>
      </c>
      <c r="N126">
        <f>IFERROR(VLOOKUP(D126,[1]Parameters!$A$3:$C$5,3,FALSE),0)</f>
        <v>1</v>
      </c>
      <c r="O126">
        <f>IFERROR(VLOOKUP(E126,[1]Parameters!$A$3:$C$5,3,FALSE),0)</f>
        <v>0</v>
      </c>
      <c r="P126">
        <f>IFERROR(VLOOKUP(F126,[1]Parameters!$A$3:$C$5,3,FALSE),0)</f>
        <v>0</v>
      </c>
      <c r="Q126">
        <f t="shared" si="1"/>
        <v>1</v>
      </c>
      <c r="R126" s="10">
        <f>IF('[1]Pizza Sales Calculations'!$G126=TRUE, [1]Parameters!$B$17*'[1]Pizza Sales Calculations'!$L126*2, 0)</f>
        <v>3.5983333343756385</v>
      </c>
      <c r="S126" t="str">
        <f>IF(I126&lt;[1]Parameters!$B$21,"TRUE","FALSE")</f>
        <v>TRUE</v>
      </c>
      <c r="T126" s="5">
        <f>(I126/[1]Parameters!$B$25)*60</f>
        <v>5.08406898961882</v>
      </c>
      <c r="U126" s="10">
        <f>IF(AND('[1]Pizza Sales Calculations'!G126=TRUE,'[1]Pizza Sales Calculations'!S126="TRUE"),T126*[1]Parameters!$B$40*2,0)</f>
        <v>0.31736094781215202</v>
      </c>
      <c r="V126">
        <f>INDEX([1]Parameters!$A$3:$C$5,MATCH('[1]Pizza Sales Calculations'!D126,[1]Parameters!$A$3:$A$5,0),2)</f>
        <v>7</v>
      </c>
      <c r="W126" t="e">
        <f>INDEX([1]Parameters!$A$3:$C$5,MATCH('[1]Pizza Sales Calculations'!E126,[1]Parameters!$A$3:$A$5,0),2)</f>
        <v>#N/A</v>
      </c>
      <c r="X126" t="e">
        <f>INDEX([1]Parameters!$A$3:$C$5,MATCH('[1]Pizza Sales Calculations'!F126,[1]Parameters!$A$3:$A$5,0),2)</f>
        <v>#N/A</v>
      </c>
    </row>
    <row r="127" spans="1:24" x14ac:dyDescent="0.3">
      <c r="A127">
        <v>126</v>
      </c>
      <c r="B127" s="14">
        <v>42371.519004629627</v>
      </c>
      <c r="C127" s="14">
        <v>42371.529421296298</v>
      </c>
      <c r="D127" t="s">
        <v>3</v>
      </c>
      <c r="G127" t="b">
        <v>0</v>
      </c>
      <c r="H127">
        <v>70806</v>
      </c>
      <c r="I127" s="5">
        <v>0</v>
      </c>
      <c r="J127" s="14">
        <v>42371.531481481485</v>
      </c>
      <c r="K127">
        <v>7.99</v>
      </c>
      <c r="L127" s="5">
        <f>('[1]Pizza Sales Calculations'!$J127-'[1]Pizza Sales Calculations'!$C127)*24*60</f>
        <v>2.9666666686534882</v>
      </c>
      <c r="M127">
        <f>COUNTA('[1]Pizza Sales Calculations'!$D127:$F127)</f>
        <v>1</v>
      </c>
      <c r="N127">
        <f>IFERROR(VLOOKUP(D127,[1]Parameters!$A$3:$C$5,3,FALSE),0)</f>
        <v>1</v>
      </c>
      <c r="O127">
        <f>IFERROR(VLOOKUP(E127,[1]Parameters!$A$3:$C$5,3,FALSE),0)</f>
        <v>0</v>
      </c>
      <c r="P127">
        <f>IFERROR(VLOOKUP(F127,[1]Parameters!$A$3:$C$5,3,FALSE),0)</f>
        <v>0</v>
      </c>
      <c r="Q127">
        <f t="shared" si="1"/>
        <v>1</v>
      </c>
      <c r="R127" s="10">
        <f>IF('[1]Pizza Sales Calculations'!$G127=TRUE, [1]Parameters!$B$17*'[1]Pizza Sales Calculations'!$L127*2, 0)</f>
        <v>0</v>
      </c>
      <c r="S127" t="str">
        <f>IF(I127&lt;[1]Parameters!$B$21,"TRUE","FALSE")</f>
        <v>TRUE</v>
      </c>
      <c r="T127" s="5">
        <f>(I127/[1]Parameters!$B$25)*60</f>
        <v>0</v>
      </c>
      <c r="U127" s="10">
        <f>IF(AND('[1]Pizza Sales Calculations'!G127=TRUE,'[1]Pizza Sales Calculations'!S127="TRUE"),T127*[1]Parameters!$B$40*2,0)</f>
        <v>0</v>
      </c>
      <c r="V127">
        <f>INDEX([1]Parameters!$A$3:$C$5,MATCH('[1]Pizza Sales Calculations'!D127,[1]Parameters!$A$3:$A$5,0),2)</f>
        <v>7</v>
      </c>
      <c r="W127" t="e">
        <f>INDEX([1]Parameters!$A$3:$C$5,MATCH('[1]Pizza Sales Calculations'!E127,[1]Parameters!$A$3:$A$5,0),2)</f>
        <v>#N/A</v>
      </c>
      <c r="X127" t="e">
        <f>INDEX([1]Parameters!$A$3:$C$5,MATCH('[1]Pizza Sales Calculations'!F127,[1]Parameters!$A$3:$A$5,0),2)</f>
        <v>#N/A</v>
      </c>
    </row>
    <row r="128" spans="1:24" x14ac:dyDescent="0.3">
      <c r="A128">
        <v>127</v>
      </c>
      <c r="B128" s="14">
        <v>42371.525405092594</v>
      </c>
      <c r="C128" s="14">
        <v>42371.535821759258</v>
      </c>
      <c r="D128" t="s">
        <v>3</v>
      </c>
      <c r="E128" t="s">
        <v>4</v>
      </c>
      <c r="G128" t="b">
        <v>0</v>
      </c>
      <c r="H128">
        <v>70806</v>
      </c>
      <c r="I128" s="5">
        <v>0</v>
      </c>
      <c r="J128" s="14">
        <v>42371.537905092591</v>
      </c>
      <c r="K128">
        <v>19.579999999999998</v>
      </c>
      <c r="L128" s="5">
        <f>('[1]Pizza Sales Calculations'!$J128-'[1]Pizza Sales Calculations'!$C128)*24*60</f>
        <v>2.9999999993015081</v>
      </c>
      <c r="M128">
        <f>COUNTA('[1]Pizza Sales Calculations'!$D128:$F128)</f>
        <v>2</v>
      </c>
      <c r="N128">
        <f>IFERROR(VLOOKUP(D128,[1]Parameters!$A$3:$C$5,3,FALSE),0)</f>
        <v>1</v>
      </c>
      <c r="O128">
        <f>IFERROR(VLOOKUP(E128,[1]Parameters!$A$3:$C$5,3,FALSE),0)</f>
        <v>1.7</v>
      </c>
      <c r="P128">
        <f>IFERROR(VLOOKUP(F128,[1]Parameters!$A$3:$C$5,3,FALSE),0)</f>
        <v>0</v>
      </c>
      <c r="Q128">
        <f t="shared" si="1"/>
        <v>2.7</v>
      </c>
      <c r="R128" s="10">
        <f>IF('[1]Pizza Sales Calculations'!$G128=TRUE, [1]Parameters!$B$17*'[1]Pizza Sales Calculations'!$L128*2, 0)</f>
        <v>0</v>
      </c>
      <c r="S128" t="str">
        <f>IF(I128&lt;[1]Parameters!$B$21,"TRUE","FALSE")</f>
        <v>TRUE</v>
      </c>
      <c r="T128" s="5">
        <f>(I128/[1]Parameters!$B$25)*60</f>
        <v>0</v>
      </c>
      <c r="U128" s="10">
        <f>IF(AND('[1]Pizza Sales Calculations'!G128=TRUE,'[1]Pizza Sales Calculations'!S128="TRUE"),T128*[1]Parameters!$B$40*2,0)</f>
        <v>0</v>
      </c>
      <c r="V128">
        <f>INDEX([1]Parameters!$A$3:$C$5,MATCH('[1]Pizza Sales Calculations'!D128,[1]Parameters!$A$3:$A$5,0),2)</f>
        <v>7</v>
      </c>
      <c r="W128">
        <f>INDEX([1]Parameters!$A$3:$C$5,MATCH('[1]Pizza Sales Calculations'!E128,[1]Parameters!$A$3:$A$5,0),2)</f>
        <v>10</v>
      </c>
      <c r="X128" t="e">
        <f>INDEX([1]Parameters!$A$3:$C$5,MATCH('[1]Pizza Sales Calculations'!F128,[1]Parameters!$A$3:$A$5,0),2)</f>
        <v>#N/A</v>
      </c>
    </row>
    <row r="129" spans="1:24" x14ac:dyDescent="0.3">
      <c r="A129">
        <v>128</v>
      </c>
      <c r="B129" s="14">
        <v>42371.499641203707</v>
      </c>
      <c r="C129" s="14">
        <v>42371.510034722225</v>
      </c>
      <c r="D129" t="s">
        <v>3</v>
      </c>
      <c r="E129" t="s">
        <v>5</v>
      </c>
      <c r="G129" t="b">
        <v>0</v>
      </c>
      <c r="H129">
        <v>70805</v>
      </c>
      <c r="I129" s="5">
        <v>0</v>
      </c>
      <c r="J129" s="14">
        <v>42371.512118055558</v>
      </c>
      <c r="K129">
        <v>23.34</v>
      </c>
      <c r="L129" s="5">
        <f>('[1]Pizza Sales Calculations'!$J129-'[1]Pizza Sales Calculations'!$C129)*24*60</f>
        <v>2.9999999993015081</v>
      </c>
      <c r="M129">
        <f>COUNTA('[1]Pizza Sales Calculations'!$D129:$F129)</f>
        <v>2</v>
      </c>
      <c r="N129">
        <f>IFERROR(VLOOKUP(D129,[1]Parameters!$A$3:$C$5,3,FALSE),0)</f>
        <v>1</v>
      </c>
      <c r="O129">
        <f>IFERROR(VLOOKUP(E129,[1]Parameters!$A$3:$C$5,3,FALSE),0)</f>
        <v>2.2999999999999998</v>
      </c>
      <c r="P129">
        <f>IFERROR(VLOOKUP(F129,[1]Parameters!$A$3:$C$5,3,FALSE),0)</f>
        <v>0</v>
      </c>
      <c r="Q129">
        <f t="shared" si="1"/>
        <v>3.3</v>
      </c>
      <c r="R129" s="10">
        <f>IF('[1]Pizza Sales Calculations'!$G129=TRUE, [1]Parameters!$B$17*'[1]Pizza Sales Calculations'!$L129*2, 0)</f>
        <v>0</v>
      </c>
      <c r="S129" t="str">
        <f>IF(I129&lt;[1]Parameters!$B$21,"TRUE","FALSE")</f>
        <v>TRUE</v>
      </c>
      <c r="T129" s="5">
        <f>(I129/[1]Parameters!$B$25)*60</f>
        <v>0</v>
      </c>
      <c r="U129" s="10">
        <f>IF(AND('[1]Pizza Sales Calculations'!G129=TRUE,'[1]Pizza Sales Calculations'!S129="TRUE"),T129*[1]Parameters!$B$40*2,0)</f>
        <v>0</v>
      </c>
      <c r="V129">
        <f>INDEX([1]Parameters!$A$3:$C$5,MATCH('[1]Pizza Sales Calculations'!D129,[1]Parameters!$A$3:$A$5,0),2)</f>
        <v>7</v>
      </c>
      <c r="W129">
        <f>INDEX([1]Parameters!$A$3:$C$5,MATCH('[1]Pizza Sales Calculations'!E129,[1]Parameters!$A$3:$A$5,0),2)</f>
        <v>14</v>
      </c>
      <c r="X129" t="e">
        <f>INDEX([1]Parameters!$A$3:$C$5,MATCH('[1]Pizza Sales Calculations'!F129,[1]Parameters!$A$3:$A$5,0),2)</f>
        <v>#N/A</v>
      </c>
    </row>
    <row r="130" spans="1:24" x14ac:dyDescent="0.3">
      <c r="A130">
        <v>129</v>
      </c>
      <c r="B130" s="14">
        <v>42371.486342592594</v>
      </c>
      <c r="C130" s="14">
        <v>42371.496770833335</v>
      </c>
      <c r="D130" t="s">
        <v>4</v>
      </c>
      <c r="G130" t="b">
        <v>0</v>
      </c>
      <c r="H130">
        <v>70806</v>
      </c>
      <c r="I130" s="5">
        <v>0</v>
      </c>
      <c r="J130" s="14">
        <v>42371.498842592591</v>
      </c>
      <c r="K130">
        <v>11.59</v>
      </c>
      <c r="L130" s="5">
        <f>('[1]Pizza Sales Calculations'!$J130-'[1]Pizza Sales Calculations'!$C130)*24*60</f>
        <v>2.9833333287388086</v>
      </c>
      <c r="M130">
        <f>COUNTA('[1]Pizza Sales Calculations'!$D130:$F130)</f>
        <v>1</v>
      </c>
      <c r="N130">
        <f>IFERROR(VLOOKUP(D130,[1]Parameters!$A$3:$C$5,3,FALSE),0)</f>
        <v>1.7</v>
      </c>
      <c r="O130">
        <f>IFERROR(VLOOKUP(E130,[1]Parameters!$A$3:$C$5,3,FALSE),0)</f>
        <v>0</v>
      </c>
      <c r="P130">
        <f>IFERROR(VLOOKUP(F130,[1]Parameters!$A$3:$C$5,3,FALSE),0)</f>
        <v>0</v>
      </c>
      <c r="Q130">
        <f t="shared" si="1"/>
        <v>1.7</v>
      </c>
      <c r="R130" s="10">
        <f>IF('[1]Pizza Sales Calculations'!$G130=TRUE, [1]Parameters!$B$17*'[1]Pizza Sales Calculations'!$L130*2, 0)</f>
        <v>0</v>
      </c>
      <c r="S130" t="str">
        <f>IF(I130&lt;[1]Parameters!$B$21,"TRUE","FALSE")</f>
        <v>TRUE</v>
      </c>
      <c r="T130" s="5">
        <f>(I130/[1]Parameters!$B$25)*60</f>
        <v>0</v>
      </c>
      <c r="U130" s="10">
        <f>IF(AND('[1]Pizza Sales Calculations'!G130=TRUE,'[1]Pizza Sales Calculations'!S130="TRUE"),T130*[1]Parameters!$B$40*2,0)</f>
        <v>0</v>
      </c>
      <c r="V130">
        <f>INDEX([1]Parameters!$A$3:$C$5,MATCH('[1]Pizza Sales Calculations'!D130,[1]Parameters!$A$3:$A$5,0),2)</f>
        <v>10</v>
      </c>
      <c r="W130" t="e">
        <f>INDEX([1]Parameters!$A$3:$C$5,MATCH('[1]Pizza Sales Calculations'!E130,[1]Parameters!$A$3:$A$5,0),2)</f>
        <v>#N/A</v>
      </c>
      <c r="X130" t="e">
        <f>INDEX([1]Parameters!$A$3:$C$5,MATCH('[1]Pizza Sales Calculations'!F130,[1]Parameters!$A$3:$A$5,0),2)</f>
        <v>#N/A</v>
      </c>
    </row>
    <row r="131" spans="1:24" x14ac:dyDescent="0.3">
      <c r="A131">
        <v>130</v>
      </c>
      <c r="B131" s="14">
        <v>42371.595729166664</v>
      </c>
      <c r="C131" s="14">
        <v>42371.606168981481</v>
      </c>
      <c r="D131" t="s">
        <v>4</v>
      </c>
      <c r="G131" t="b">
        <v>0</v>
      </c>
      <c r="H131">
        <v>70806</v>
      </c>
      <c r="I131" s="5">
        <v>0</v>
      </c>
      <c r="J131" s="14">
        <v>42371.608240740738</v>
      </c>
      <c r="K131">
        <v>11.59</v>
      </c>
      <c r="L131" s="5">
        <f>('[1]Pizza Sales Calculations'!$J131-'[1]Pizza Sales Calculations'!$C131)*24*60</f>
        <v>2.9833333287388086</v>
      </c>
      <c r="M131">
        <f>COUNTA('[1]Pizza Sales Calculations'!$D131:$F131)</f>
        <v>1</v>
      </c>
      <c r="N131">
        <f>IFERROR(VLOOKUP(D131,[1]Parameters!$A$3:$C$5,3,FALSE),0)</f>
        <v>1.7</v>
      </c>
      <c r="O131">
        <f>IFERROR(VLOOKUP(E131,[1]Parameters!$A$3:$C$5,3,FALSE),0)</f>
        <v>0</v>
      </c>
      <c r="P131">
        <f>IFERROR(VLOOKUP(F131,[1]Parameters!$A$3:$C$5,3,FALSE),0)</f>
        <v>0</v>
      </c>
      <c r="Q131">
        <f t="shared" ref="Q131:Q194" si="2">SUM(N131:P131)</f>
        <v>1.7</v>
      </c>
      <c r="R131" s="10">
        <f>IF('[1]Pizza Sales Calculations'!$G131=TRUE, [1]Parameters!$B$17*'[1]Pizza Sales Calculations'!$L131*2, 0)</f>
        <v>0</v>
      </c>
      <c r="S131" t="str">
        <f>IF(I131&lt;[1]Parameters!$B$21,"TRUE","FALSE")</f>
        <v>TRUE</v>
      </c>
      <c r="T131" s="5">
        <f>(I131/[1]Parameters!$B$25)*60</f>
        <v>0</v>
      </c>
      <c r="U131" s="10">
        <f>IF(AND('[1]Pizza Sales Calculations'!G131=TRUE,'[1]Pizza Sales Calculations'!S131="TRUE"),T131*[1]Parameters!$B$40*2,0)</f>
        <v>0</v>
      </c>
      <c r="V131">
        <f>INDEX([1]Parameters!$A$3:$C$5,MATCH('[1]Pizza Sales Calculations'!D131,[1]Parameters!$A$3:$A$5,0),2)</f>
        <v>10</v>
      </c>
      <c r="W131" t="e">
        <f>INDEX([1]Parameters!$A$3:$C$5,MATCH('[1]Pizza Sales Calculations'!E131,[1]Parameters!$A$3:$A$5,0),2)</f>
        <v>#N/A</v>
      </c>
      <c r="X131" t="e">
        <f>INDEX([1]Parameters!$A$3:$C$5,MATCH('[1]Pizza Sales Calculations'!F131,[1]Parameters!$A$3:$A$5,0),2)</f>
        <v>#N/A</v>
      </c>
    </row>
    <row r="132" spans="1:24" x14ac:dyDescent="0.3">
      <c r="A132">
        <v>131</v>
      </c>
      <c r="B132" s="14">
        <v>42371.45957175926</v>
      </c>
      <c r="C132" s="14">
        <v>42371.469988425924</v>
      </c>
      <c r="D132" t="s">
        <v>5</v>
      </c>
      <c r="G132" t="b">
        <v>0</v>
      </c>
      <c r="H132">
        <v>70805</v>
      </c>
      <c r="I132" s="5">
        <v>0</v>
      </c>
      <c r="J132" s="14">
        <v>42371.472083333334</v>
      </c>
      <c r="K132">
        <v>15.35</v>
      </c>
      <c r="L132" s="5">
        <f>('[1]Pizza Sales Calculations'!$J132-'[1]Pizza Sales Calculations'!$C132)*24*60</f>
        <v>3.0166666698642075</v>
      </c>
      <c r="M132">
        <f>COUNTA('[1]Pizza Sales Calculations'!$D132:$F132)</f>
        <v>1</v>
      </c>
      <c r="N132">
        <f>IFERROR(VLOOKUP(D132,[1]Parameters!$A$3:$C$5,3,FALSE),0)</f>
        <v>2.2999999999999998</v>
      </c>
      <c r="O132">
        <f>IFERROR(VLOOKUP(E132,[1]Parameters!$A$3:$C$5,3,FALSE),0)</f>
        <v>0</v>
      </c>
      <c r="P132">
        <f>IFERROR(VLOOKUP(F132,[1]Parameters!$A$3:$C$5,3,FALSE),0)</f>
        <v>0</v>
      </c>
      <c r="Q132">
        <f t="shared" si="2"/>
        <v>2.2999999999999998</v>
      </c>
      <c r="R132" s="10">
        <f>IF('[1]Pizza Sales Calculations'!$G132=TRUE, [1]Parameters!$B$17*'[1]Pizza Sales Calculations'!$L132*2, 0)</f>
        <v>0</v>
      </c>
      <c r="S132" t="str">
        <f>IF(I132&lt;[1]Parameters!$B$21,"TRUE","FALSE")</f>
        <v>TRUE</v>
      </c>
      <c r="T132" s="5">
        <f>(I132/[1]Parameters!$B$25)*60</f>
        <v>0</v>
      </c>
      <c r="U132" s="10">
        <f>IF(AND('[1]Pizza Sales Calculations'!G132=TRUE,'[1]Pizza Sales Calculations'!S132="TRUE"),T132*[1]Parameters!$B$40*2,0)</f>
        <v>0</v>
      </c>
      <c r="V132">
        <f>INDEX([1]Parameters!$A$3:$C$5,MATCH('[1]Pizza Sales Calculations'!D132,[1]Parameters!$A$3:$A$5,0),2)</f>
        <v>14</v>
      </c>
      <c r="W132" t="e">
        <f>INDEX([1]Parameters!$A$3:$C$5,MATCH('[1]Pizza Sales Calculations'!E132,[1]Parameters!$A$3:$A$5,0),2)</f>
        <v>#N/A</v>
      </c>
      <c r="X132" t="e">
        <f>INDEX([1]Parameters!$A$3:$C$5,MATCH('[1]Pizza Sales Calculations'!F132,[1]Parameters!$A$3:$A$5,0),2)</f>
        <v>#N/A</v>
      </c>
    </row>
    <row r="133" spans="1:24" x14ac:dyDescent="0.3">
      <c r="A133">
        <v>132</v>
      </c>
      <c r="B133" s="14">
        <v>42371.430231481485</v>
      </c>
      <c r="C133" s="14">
        <v>42371.440636574072</v>
      </c>
      <c r="D133" t="s">
        <v>3</v>
      </c>
      <c r="E133" t="s">
        <v>4</v>
      </c>
      <c r="G133" t="b">
        <v>1</v>
      </c>
      <c r="H133">
        <v>70804</v>
      </c>
      <c r="I133" s="5">
        <v>4.3883984947077002</v>
      </c>
      <c r="J133" s="14">
        <v>42371.455868055556</v>
      </c>
      <c r="K133">
        <v>19.579999999999998</v>
      </c>
      <c r="L133" s="5">
        <f>('[1]Pizza Sales Calculations'!$J133-'[1]Pizza Sales Calculations'!$C133)*24*60</f>
        <v>21.933333337074146</v>
      </c>
      <c r="M133">
        <f>COUNTA('[1]Pizza Sales Calculations'!$D133:$F133)</f>
        <v>2</v>
      </c>
      <c r="N133">
        <f>IFERROR(VLOOKUP(D133,[1]Parameters!$A$3:$C$5,3,FALSE),0)</f>
        <v>1</v>
      </c>
      <c r="O133">
        <f>IFERROR(VLOOKUP(E133,[1]Parameters!$A$3:$C$5,3,FALSE),0)</f>
        <v>1.7</v>
      </c>
      <c r="P133">
        <f>IFERROR(VLOOKUP(F133,[1]Parameters!$A$3:$C$5,3,FALSE),0)</f>
        <v>0</v>
      </c>
      <c r="Q133">
        <f t="shared" si="2"/>
        <v>2.7</v>
      </c>
      <c r="R133" s="10">
        <f>IF('[1]Pizza Sales Calculations'!$G133=TRUE, [1]Parameters!$B$17*'[1]Pizza Sales Calculations'!$L133*2, 0)</f>
        <v>6.2144444455043413</v>
      </c>
      <c r="S133" t="str">
        <f>IF(I133&lt;[1]Parameters!$B$21,"TRUE","FALSE")</f>
        <v>FALSE</v>
      </c>
      <c r="T133" s="5">
        <f>(I133/[1]Parameters!$B$25)*60</f>
        <v>8.7767969894154003</v>
      </c>
      <c r="U133" s="10">
        <f>IF(AND('[1]Pizza Sales Calculations'!G133=TRUE,'[1]Pizza Sales Calculations'!S133="TRUE"),T133*[1]Parameters!$B$40*2,0)</f>
        <v>0</v>
      </c>
      <c r="V133">
        <f>INDEX([1]Parameters!$A$3:$C$5,MATCH('[1]Pizza Sales Calculations'!D133,[1]Parameters!$A$3:$A$5,0),2)</f>
        <v>7</v>
      </c>
      <c r="W133">
        <f>INDEX([1]Parameters!$A$3:$C$5,MATCH('[1]Pizza Sales Calculations'!E133,[1]Parameters!$A$3:$A$5,0),2)</f>
        <v>10</v>
      </c>
      <c r="X133" t="e">
        <f>INDEX([1]Parameters!$A$3:$C$5,MATCH('[1]Pizza Sales Calculations'!F133,[1]Parameters!$A$3:$A$5,0),2)</f>
        <v>#N/A</v>
      </c>
    </row>
    <row r="134" spans="1:24" x14ac:dyDescent="0.3">
      <c r="A134">
        <v>133</v>
      </c>
      <c r="B134" s="14">
        <v>42372.519641203704</v>
      </c>
      <c r="C134" s="14">
        <v>42372.530046296299</v>
      </c>
      <c r="D134" t="s">
        <v>3</v>
      </c>
      <c r="E134" t="s">
        <v>5</v>
      </c>
      <c r="G134" t="b">
        <v>0</v>
      </c>
      <c r="H134">
        <v>70803</v>
      </c>
      <c r="I134" s="5">
        <v>0</v>
      </c>
      <c r="J134" s="14">
        <v>42372.532118055555</v>
      </c>
      <c r="K134">
        <v>23.34</v>
      </c>
      <c r="L134" s="5">
        <f>('[1]Pizza Sales Calculations'!$J134-'[1]Pizza Sales Calculations'!$C134)*24*60</f>
        <v>2.9833333287388086</v>
      </c>
      <c r="M134">
        <f>COUNTA('[1]Pizza Sales Calculations'!$D134:$F134)</f>
        <v>2</v>
      </c>
      <c r="N134">
        <f>IFERROR(VLOOKUP(D134,[1]Parameters!$A$3:$C$5,3,FALSE),0)</f>
        <v>1</v>
      </c>
      <c r="O134">
        <f>IFERROR(VLOOKUP(E134,[1]Parameters!$A$3:$C$5,3,FALSE),0)</f>
        <v>2.2999999999999998</v>
      </c>
      <c r="P134">
        <f>IFERROR(VLOOKUP(F134,[1]Parameters!$A$3:$C$5,3,FALSE),0)</f>
        <v>0</v>
      </c>
      <c r="Q134">
        <f t="shared" si="2"/>
        <v>3.3</v>
      </c>
      <c r="R134" s="10">
        <f>IF('[1]Pizza Sales Calculations'!$G134=TRUE, [1]Parameters!$B$17*'[1]Pizza Sales Calculations'!$L134*2, 0)</f>
        <v>0</v>
      </c>
      <c r="S134" t="str">
        <f>IF(I134&lt;[1]Parameters!$B$21,"TRUE","FALSE")</f>
        <v>TRUE</v>
      </c>
      <c r="T134" s="5">
        <f>(I134/[1]Parameters!$B$25)*60</f>
        <v>0</v>
      </c>
      <c r="U134" s="10">
        <f>IF(AND('[1]Pizza Sales Calculations'!G134=TRUE,'[1]Pizza Sales Calculations'!S134="TRUE"),T134*[1]Parameters!$B$40*2,0)</f>
        <v>0</v>
      </c>
      <c r="V134">
        <f>INDEX([1]Parameters!$A$3:$C$5,MATCH('[1]Pizza Sales Calculations'!D134,[1]Parameters!$A$3:$A$5,0),2)</f>
        <v>7</v>
      </c>
      <c r="W134">
        <f>INDEX([1]Parameters!$A$3:$C$5,MATCH('[1]Pizza Sales Calculations'!E134,[1]Parameters!$A$3:$A$5,0),2)</f>
        <v>14</v>
      </c>
      <c r="X134" t="e">
        <f>INDEX([1]Parameters!$A$3:$C$5,MATCH('[1]Pizza Sales Calculations'!F134,[1]Parameters!$A$3:$A$5,0),2)</f>
        <v>#N/A</v>
      </c>
    </row>
    <row r="135" spans="1:24" x14ac:dyDescent="0.3">
      <c r="A135">
        <v>134</v>
      </c>
      <c r="B135" s="14">
        <v>42372.442893518521</v>
      </c>
      <c r="C135" s="14">
        <v>42372.453298611108</v>
      </c>
      <c r="D135" t="s">
        <v>3</v>
      </c>
      <c r="E135" t="s">
        <v>5</v>
      </c>
      <c r="G135" t="b">
        <v>1</v>
      </c>
      <c r="H135">
        <v>70803</v>
      </c>
      <c r="I135" s="5">
        <v>2.5566475421332999</v>
      </c>
      <c r="J135" s="14">
        <v>42372.462164351855</v>
      </c>
      <c r="K135">
        <v>23.34</v>
      </c>
      <c r="L135" s="5">
        <f>('[1]Pizza Sales Calculations'!$J135-'[1]Pizza Sales Calculations'!$C135)*24*60</f>
        <v>12.766666675452143</v>
      </c>
      <c r="M135">
        <f>COUNTA('[1]Pizza Sales Calculations'!$D135:$F135)</f>
        <v>2</v>
      </c>
      <c r="N135">
        <f>IFERROR(VLOOKUP(D135,[1]Parameters!$A$3:$C$5,3,FALSE),0)</f>
        <v>1</v>
      </c>
      <c r="O135">
        <f>IFERROR(VLOOKUP(E135,[1]Parameters!$A$3:$C$5,3,FALSE),0)</f>
        <v>2.2999999999999998</v>
      </c>
      <c r="P135">
        <f>IFERROR(VLOOKUP(F135,[1]Parameters!$A$3:$C$5,3,FALSE),0)</f>
        <v>0</v>
      </c>
      <c r="Q135">
        <f t="shared" si="2"/>
        <v>3.3</v>
      </c>
      <c r="R135" s="10">
        <f>IF('[1]Pizza Sales Calculations'!$G135=TRUE, [1]Parameters!$B$17*'[1]Pizza Sales Calculations'!$L135*2, 0)</f>
        <v>3.6172222247114405</v>
      </c>
      <c r="S135" t="str">
        <f>IF(I135&lt;[1]Parameters!$B$21,"TRUE","FALSE")</f>
        <v>TRUE</v>
      </c>
      <c r="T135" s="5">
        <f>(I135/[1]Parameters!$B$25)*60</f>
        <v>5.1132950842665998</v>
      </c>
      <c r="U135" s="10">
        <f>IF(AND('[1]Pizza Sales Calculations'!G135=TRUE,'[1]Pizza Sales Calculations'!S135="TRUE"),T135*[1]Parameters!$B$40*2,0)</f>
        <v>0.31918531744938672</v>
      </c>
      <c r="V135">
        <f>INDEX([1]Parameters!$A$3:$C$5,MATCH('[1]Pizza Sales Calculations'!D135,[1]Parameters!$A$3:$A$5,0),2)</f>
        <v>7</v>
      </c>
      <c r="W135">
        <f>INDEX([1]Parameters!$A$3:$C$5,MATCH('[1]Pizza Sales Calculations'!E135,[1]Parameters!$A$3:$A$5,0),2)</f>
        <v>14</v>
      </c>
      <c r="X135" t="e">
        <f>INDEX([1]Parameters!$A$3:$C$5,MATCH('[1]Pizza Sales Calculations'!F135,[1]Parameters!$A$3:$A$5,0),2)</f>
        <v>#N/A</v>
      </c>
    </row>
    <row r="136" spans="1:24" x14ac:dyDescent="0.3">
      <c r="A136">
        <v>135</v>
      </c>
      <c r="B136" s="14">
        <v>42372.512303240743</v>
      </c>
      <c r="C136" s="14">
        <v>42372.522719907407</v>
      </c>
      <c r="D136" t="s">
        <v>4</v>
      </c>
      <c r="G136" t="b">
        <v>0</v>
      </c>
      <c r="H136">
        <v>70805</v>
      </c>
      <c r="I136" s="5">
        <v>0</v>
      </c>
      <c r="J136" s="14">
        <v>42372.52480324074</v>
      </c>
      <c r="K136">
        <v>11.59</v>
      </c>
      <c r="L136" s="5">
        <f>('[1]Pizza Sales Calculations'!$J136-'[1]Pizza Sales Calculations'!$C136)*24*60</f>
        <v>2.9999999993015081</v>
      </c>
      <c r="M136">
        <f>COUNTA('[1]Pizza Sales Calculations'!$D136:$F136)</f>
        <v>1</v>
      </c>
      <c r="N136">
        <f>IFERROR(VLOOKUP(D136,[1]Parameters!$A$3:$C$5,3,FALSE),0)</f>
        <v>1.7</v>
      </c>
      <c r="O136">
        <f>IFERROR(VLOOKUP(E136,[1]Parameters!$A$3:$C$5,3,FALSE),0)</f>
        <v>0</v>
      </c>
      <c r="P136">
        <f>IFERROR(VLOOKUP(F136,[1]Parameters!$A$3:$C$5,3,FALSE),0)</f>
        <v>0</v>
      </c>
      <c r="Q136">
        <f t="shared" si="2"/>
        <v>1.7</v>
      </c>
      <c r="R136" s="10">
        <f>IF('[1]Pizza Sales Calculations'!$G136=TRUE, [1]Parameters!$B$17*'[1]Pizza Sales Calculations'!$L136*2, 0)</f>
        <v>0</v>
      </c>
      <c r="S136" t="str">
        <f>IF(I136&lt;[1]Parameters!$B$21,"TRUE","FALSE")</f>
        <v>TRUE</v>
      </c>
      <c r="T136" s="5">
        <f>(I136/[1]Parameters!$B$25)*60</f>
        <v>0</v>
      </c>
      <c r="U136" s="10">
        <f>IF(AND('[1]Pizza Sales Calculations'!G136=TRUE,'[1]Pizza Sales Calculations'!S136="TRUE"),T136*[1]Parameters!$B$40*2,0)</f>
        <v>0</v>
      </c>
      <c r="V136">
        <f>INDEX([1]Parameters!$A$3:$C$5,MATCH('[1]Pizza Sales Calculations'!D136,[1]Parameters!$A$3:$A$5,0),2)</f>
        <v>10</v>
      </c>
      <c r="W136" t="e">
        <f>INDEX([1]Parameters!$A$3:$C$5,MATCH('[1]Pizza Sales Calculations'!E136,[1]Parameters!$A$3:$A$5,0),2)</f>
        <v>#N/A</v>
      </c>
      <c r="X136" t="e">
        <f>INDEX([1]Parameters!$A$3:$C$5,MATCH('[1]Pizza Sales Calculations'!F136,[1]Parameters!$A$3:$A$5,0),2)</f>
        <v>#N/A</v>
      </c>
    </row>
    <row r="137" spans="1:24" x14ac:dyDescent="0.3">
      <c r="A137">
        <v>136</v>
      </c>
      <c r="B137" s="14">
        <v>42372.527858796297</v>
      </c>
      <c r="C137" s="14">
        <v>42372.538275462961</v>
      </c>
      <c r="D137" t="s">
        <v>3</v>
      </c>
      <c r="G137" t="b">
        <v>1</v>
      </c>
      <c r="H137">
        <v>70805</v>
      </c>
      <c r="I137" s="5">
        <v>3.0481702857387698</v>
      </c>
      <c r="J137" s="14">
        <v>42372.548854166664</v>
      </c>
      <c r="K137">
        <v>7.99</v>
      </c>
      <c r="L137" s="5">
        <f>('[1]Pizza Sales Calculations'!$J137-'[1]Pizza Sales Calculations'!$C137)*24*60</f>
        <v>15.233333331998438</v>
      </c>
      <c r="M137">
        <f>COUNTA('[1]Pizza Sales Calculations'!$D137:$F137)</f>
        <v>1</v>
      </c>
      <c r="N137">
        <f>IFERROR(VLOOKUP(D137,[1]Parameters!$A$3:$C$5,3,FALSE),0)</f>
        <v>1</v>
      </c>
      <c r="O137">
        <f>IFERROR(VLOOKUP(E137,[1]Parameters!$A$3:$C$5,3,FALSE),0)</f>
        <v>0</v>
      </c>
      <c r="P137">
        <f>IFERROR(VLOOKUP(F137,[1]Parameters!$A$3:$C$5,3,FALSE),0)</f>
        <v>0</v>
      </c>
      <c r="Q137">
        <f t="shared" si="2"/>
        <v>1</v>
      </c>
      <c r="R137" s="10">
        <f>IF('[1]Pizza Sales Calculations'!$G137=TRUE, [1]Parameters!$B$17*'[1]Pizza Sales Calculations'!$L137*2, 0)</f>
        <v>4.3161111107328907</v>
      </c>
      <c r="S137" t="str">
        <f>IF(I137&lt;[1]Parameters!$B$21,"TRUE","FALSE")</f>
        <v>TRUE</v>
      </c>
      <c r="T137" s="5">
        <f>(I137/[1]Parameters!$B$25)*60</f>
        <v>6.0963405714775396</v>
      </c>
      <c r="U137" s="10">
        <f>IF(AND('[1]Pizza Sales Calculations'!G137=TRUE,'[1]Pizza Sales Calculations'!S137="TRUE"),T137*[1]Parameters!$B$40*2,0)</f>
        <v>0.38054960031036994</v>
      </c>
      <c r="V137">
        <f>INDEX([1]Parameters!$A$3:$C$5,MATCH('[1]Pizza Sales Calculations'!D137,[1]Parameters!$A$3:$A$5,0),2)</f>
        <v>7</v>
      </c>
      <c r="W137" t="e">
        <f>INDEX([1]Parameters!$A$3:$C$5,MATCH('[1]Pizza Sales Calculations'!E137,[1]Parameters!$A$3:$A$5,0),2)</f>
        <v>#N/A</v>
      </c>
      <c r="X137" t="e">
        <f>INDEX([1]Parameters!$A$3:$C$5,MATCH('[1]Pizza Sales Calculations'!F137,[1]Parameters!$A$3:$A$5,0),2)</f>
        <v>#N/A</v>
      </c>
    </row>
    <row r="138" spans="1:24" x14ac:dyDescent="0.3">
      <c r="A138">
        <v>137</v>
      </c>
      <c r="B138" s="14">
        <v>42372.519247685188</v>
      </c>
      <c r="C138" s="14">
        <v>42372.529652777775</v>
      </c>
      <c r="D138" t="s">
        <v>3</v>
      </c>
      <c r="E138" t="s">
        <v>5</v>
      </c>
      <c r="G138" t="b">
        <v>0</v>
      </c>
      <c r="H138">
        <v>70803</v>
      </c>
      <c r="I138" s="5">
        <v>0</v>
      </c>
      <c r="J138" s="14">
        <v>42372.531747685185</v>
      </c>
      <c r="K138">
        <v>23.34</v>
      </c>
      <c r="L138" s="5">
        <f>('[1]Pizza Sales Calculations'!$J138-'[1]Pizza Sales Calculations'!$C138)*24*60</f>
        <v>3.0166666698642075</v>
      </c>
      <c r="M138">
        <f>COUNTA('[1]Pizza Sales Calculations'!$D138:$F138)</f>
        <v>2</v>
      </c>
      <c r="N138">
        <f>IFERROR(VLOOKUP(D138,[1]Parameters!$A$3:$C$5,3,FALSE),0)</f>
        <v>1</v>
      </c>
      <c r="O138">
        <f>IFERROR(VLOOKUP(E138,[1]Parameters!$A$3:$C$5,3,FALSE),0)</f>
        <v>2.2999999999999998</v>
      </c>
      <c r="P138">
        <f>IFERROR(VLOOKUP(F138,[1]Parameters!$A$3:$C$5,3,FALSE),0)</f>
        <v>0</v>
      </c>
      <c r="Q138">
        <f t="shared" si="2"/>
        <v>3.3</v>
      </c>
      <c r="R138" s="10">
        <f>IF('[1]Pizza Sales Calculations'!$G138=TRUE, [1]Parameters!$B$17*'[1]Pizza Sales Calculations'!$L138*2, 0)</f>
        <v>0</v>
      </c>
      <c r="S138" t="str">
        <f>IF(I138&lt;[1]Parameters!$B$21,"TRUE","FALSE")</f>
        <v>TRUE</v>
      </c>
      <c r="T138" s="5">
        <f>(I138/[1]Parameters!$B$25)*60</f>
        <v>0</v>
      </c>
      <c r="U138" s="10">
        <f>IF(AND('[1]Pizza Sales Calculations'!G138=TRUE,'[1]Pizza Sales Calculations'!S138="TRUE"),T138*[1]Parameters!$B$40*2,0)</f>
        <v>0</v>
      </c>
      <c r="V138">
        <f>INDEX([1]Parameters!$A$3:$C$5,MATCH('[1]Pizza Sales Calculations'!D138,[1]Parameters!$A$3:$A$5,0),2)</f>
        <v>7</v>
      </c>
      <c r="W138">
        <f>INDEX([1]Parameters!$A$3:$C$5,MATCH('[1]Pizza Sales Calculations'!E138,[1]Parameters!$A$3:$A$5,0),2)</f>
        <v>14</v>
      </c>
      <c r="X138" t="e">
        <f>INDEX([1]Parameters!$A$3:$C$5,MATCH('[1]Pizza Sales Calculations'!F138,[1]Parameters!$A$3:$A$5,0),2)</f>
        <v>#N/A</v>
      </c>
    </row>
    <row r="139" spans="1:24" x14ac:dyDescent="0.3">
      <c r="A139">
        <v>138</v>
      </c>
      <c r="B139" s="14">
        <v>42372.611805555556</v>
      </c>
      <c r="C139" s="14">
        <v>42372.622210648151</v>
      </c>
      <c r="D139" t="s">
        <v>3</v>
      </c>
      <c r="E139" t="s">
        <v>4</v>
      </c>
      <c r="G139" t="b">
        <v>1</v>
      </c>
      <c r="H139">
        <v>70808</v>
      </c>
      <c r="I139" s="5">
        <v>2.0798829020282299</v>
      </c>
      <c r="J139" s="14">
        <v>42372.629421296297</v>
      </c>
      <c r="K139">
        <v>19.579999999999998</v>
      </c>
      <c r="L139" s="5">
        <f>('[1]Pizza Sales Calculations'!$J139-'[1]Pizza Sales Calculations'!$C139)*24*60</f>
        <v>10.38333332980983</v>
      </c>
      <c r="M139">
        <f>COUNTA('[1]Pizza Sales Calculations'!$D139:$F139)</f>
        <v>2</v>
      </c>
      <c r="N139">
        <f>IFERROR(VLOOKUP(D139,[1]Parameters!$A$3:$C$5,3,FALSE),0)</f>
        <v>1</v>
      </c>
      <c r="O139">
        <f>IFERROR(VLOOKUP(E139,[1]Parameters!$A$3:$C$5,3,FALSE),0)</f>
        <v>1.7</v>
      </c>
      <c r="P139">
        <f>IFERROR(VLOOKUP(F139,[1]Parameters!$A$3:$C$5,3,FALSE),0)</f>
        <v>0</v>
      </c>
      <c r="Q139">
        <f t="shared" si="2"/>
        <v>2.7</v>
      </c>
      <c r="R139" s="10">
        <f>IF('[1]Pizza Sales Calculations'!$G139=TRUE, [1]Parameters!$B$17*'[1]Pizza Sales Calculations'!$L139*2, 0)</f>
        <v>2.9419444434461184</v>
      </c>
      <c r="S139" t="str">
        <f>IF(I139&lt;[1]Parameters!$B$21,"TRUE","FALSE")</f>
        <v>TRUE</v>
      </c>
      <c r="T139" s="5">
        <f>(I139/[1]Parameters!$B$25)*60</f>
        <v>4.1597658040564598</v>
      </c>
      <c r="U139" s="10">
        <f>IF(AND('[1]Pizza Sales Calculations'!G139=TRUE,'[1]Pizza Sales Calculations'!S139="TRUE"),T139*[1]Parameters!$B$40*2,0)</f>
        <v>0.2596635138011601</v>
      </c>
      <c r="V139">
        <f>INDEX([1]Parameters!$A$3:$C$5,MATCH('[1]Pizza Sales Calculations'!D139,[1]Parameters!$A$3:$A$5,0),2)</f>
        <v>7</v>
      </c>
      <c r="W139">
        <f>INDEX([1]Parameters!$A$3:$C$5,MATCH('[1]Pizza Sales Calculations'!E139,[1]Parameters!$A$3:$A$5,0),2)</f>
        <v>10</v>
      </c>
      <c r="X139" t="e">
        <f>INDEX([1]Parameters!$A$3:$C$5,MATCH('[1]Pizza Sales Calculations'!F139,[1]Parameters!$A$3:$A$5,0),2)</f>
        <v>#N/A</v>
      </c>
    </row>
    <row r="140" spans="1:24" x14ac:dyDescent="0.3">
      <c r="A140">
        <v>139</v>
      </c>
      <c r="B140" s="14">
        <v>42372.468449074076</v>
      </c>
      <c r="C140" s="14">
        <v>42372.478842592594</v>
      </c>
      <c r="D140" t="s">
        <v>3</v>
      </c>
      <c r="E140" t="s">
        <v>4</v>
      </c>
      <c r="G140" t="b">
        <v>0</v>
      </c>
      <c r="H140">
        <v>70803</v>
      </c>
      <c r="I140" s="5">
        <v>0</v>
      </c>
      <c r="J140" s="14">
        <v>42372.480902777781</v>
      </c>
      <c r="K140">
        <v>19.579999999999998</v>
      </c>
      <c r="L140" s="5">
        <f>('[1]Pizza Sales Calculations'!$J140-'[1]Pizza Sales Calculations'!$C140)*24*60</f>
        <v>2.9666666686534882</v>
      </c>
      <c r="M140">
        <f>COUNTA('[1]Pizza Sales Calculations'!$D140:$F140)</f>
        <v>2</v>
      </c>
      <c r="N140">
        <f>IFERROR(VLOOKUP(D140,[1]Parameters!$A$3:$C$5,3,FALSE),0)</f>
        <v>1</v>
      </c>
      <c r="O140">
        <f>IFERROR(VLOOKUP(E140,[1]Parameters!$A$3:$C$5,3,FALSE),0)</f>
        <v>1.7</v>
      </c>
      <c r="P140">
        <f>IFERROR(VLOOKUP(F140,[1]Parameters!$A$3:$C$5,3,FALSE),0)</f>
        <v>0</v>
      </c>
      <c r="Q140">
        <f t="shared" si="2"/>
        <v>2.7</v>
      </c>
      <c r="R140" s="10">
        <f>IF('[1]Pizza Sales Calculations'!$G140=TRUE, [1]Parameters!$B$17*'[1]Pizza Sales Calculations'!$L140*2, 0)</f>
        <v>0</v>
      </c>
      <c r="S140" t="str">
        <f>IF(I140&lt;[1]Parameters!$B$21,"TRUE","FALSE")</f>
        <v>TRUE</v>
      </c>
      <c r="T140" s="5">
        <f>(I140/[1]Parameters!$B$25)*60</f>
        <v>0</v>
      </c>
      <c r="U140" s="10">
        <f>IF(AND('[1]Pizza Sales Calculations'!G140=TRUE,'[1]Pizza Sales Calculations'!S140="TRUE"),T140*[1]Parameters!$B$40*2,0)</f>
        <v>0</v>
      </c>
      <c r="V140">
        <f>INDEX([1]Parameters!$A$3:$C$5,MATCH('[1]Pizza Sales Calculations'!D140,[1]Parameters!$A$3:$A$5,0),2)</f>
        <v>7</v>
      </c>
      <c r="W140">
        <f>INDEX([1]Parameters!$A$3:$C$5,MATCH('[1]Pizza Sales Calculations'!E140,[1]Parameters!$A$3:$A$5,0),2)</f>
        <v>10</v>
      </c>
      <c r="X140" t="e">
        <f>INDEX([1]Parameters!$A$3:$C$5,MATCH('[1]Pizza Sales Calculations'!F140,[1]Parameters!$A$3:$A$5,0),2)</f>
        <v>#N/A</v>
      </c>
    </row>
    <row r="141" spans="1:24" x14ac:dyDescent="0.3">
      <c r="A141">
        <v>140</v>
      </c>
      <c r="B141" s="14">
        <v>42372.582881944443</v>
      </c>
      <c r="C141" s="14">
        <v>42372.593287037038</v>
      </c>
      <c r="D141" t="s">
        <v>3</v>
      </c>
      <c r="E141" t="s">
        <v>5</v>
      </c>
      <c r="G141" t="b">
        <v>0</v>
      </c>
      <c r="H141">
        <v>70807</v>
      </c>
      <c r="I141" s="5">
        <v>0</v>
      </c>
      <c r="J141" s="14">
        <v>42372.595358796294</v>
      </c>
      <c r="K141">
        <v>23.34</v>
      </c>
      <c r="L141" s="5">
        <f>('[1]Pizza Sales Calculations'!$J141-'[1]Pizza Sales Calculations'!$C141)*24*60</f>
        <v>2.9833333287388086</v>
      </c>
      <c r="M141">
        <f>COUNTA('[1]Pizza Sales Calculations'!$D141:$F141)</f>
        <v>2</v>
      </c>
      <c r="N141">
        <f>IFERROR(VLOOKUP(D141,[1]Parameters!$A$3:$C$5,3,FALSE),0)</f>
        <v>1</v>
      </c>
      <c r="O141">
        <f>IFERROR(VLOOKUP(E141,[1]Parameters!$A$3:$C$5,3,FALSE),0)</f>
        <v>2.2999999999999998</v>
      </c>
      <c r="P141">
        <f>IFERROR(VLOOKUP(F141,[1]Parameters!$A$3:$C$5,3,FALSE),0)</f>
        <v>0</v>
      </c>
      <c r="Q141">
        <f t="shared" si="2"/>
        <v>3.3</v>
      </c>
      <c r="R141" s="10">
        <f>IF('[1]Pizza Sales Calculations'!$G141=TRUE, [1]Parameters!$B$17*'[1]Pizza Sales Calculations'!$L141*2, 0)</f>
        <v>0</v>
      </c>
      <c r="S141" t="str">
        <f>IF(I141&lt;[1]Parameters!$B$21,"TRUE","FALSE")</f>
        <v>TRUE</v>
      </c>
      <c r="T141" s="5">
        <f>(I141/[1]Parameters!$B$25)*60</f>
        <v>0</v>
      </c>
      <c r="U141" s="10">
        <f>IF(AND('[1]Pizza Sales Calculations'!G141=TRUE,'[1]Pizza Sales Calculations'!S141="TRUE"),T141*[1]Parameters!$B$40*2,0)</f>
        <v>0</v>
      </c>
      <c r="V141">
        <f>INDEX([1]Parameters!$A$3:$C$5,MATCH('[1]Pizza Sales Calculations'!D141,[1]Parameters!$A$3:$A$5,0),2)</f>
        <v>7</v>
      </c>
      <c r="W141">
        <f>INDEX([1]Parameters!$A$3:$C$5,MATCH('[1]Pizza Sales Calculations'!E141,[1]Parameters!$A$3:$A$5,0),2)</f>
        <v>14</v>
      </c>
      <c r="X141" t="e">
        <f>INDEX([1]Parameters!$A$3:$C$5,MATCH('[1]Pizza Sales Calculations'!F141,[1]Parameters!$A$3:$A$5,0),2)</f>
        <v>#N/A</v>
      </c>
    </row>
    <row r="142" spans="1:24" x14ac:dyDescent="0.3">
      <c r="A142">
        <v>141</v>
      </c>
      <c r="B142" s="14">
        <v>42372.465046296296</v>
      </c>
      <c r="C142" s="14">
        <v>42372.475462962961</v>
      </c>
      <c r="D142" t="s">
        <v>3</v>
      </c>
      <c r="E142" t="s">
        <v>5</v>
      </c>
      <c r="G142" t="b">
        <v>0</v>
      </c>
      <c r="H142">
        <v>70804</v>
      </c>
      <c r="I142" s="5">
        <v>0</v>
      </c>
      <c r="J142" s="14">
        <v>42372.477534722224</v>
      </c>
      <c r="K142">
        <v>23.34</v>
      </c>
      <c r="L142" s="5">
        <f>('[1]Pizza Sales Calculations'!$J142-'[1]Pizza Sales Calculations'!$C142)*24*60</f>
        <v>2.9833333392161876</v>
      </c>
      <c r="M142">
        <f>COUNTA('[1]Pizza Sales Calculations'!$D142:$F142)</f>
        <v>2</v>
      </c>
      <c r="N142">
        <f>IFERROR(VLOOKUP(D142,[1]Parameters!$A$3:$C$5,3,FALSE),0)</f>
        <v>1</v>
      </c>
      <c r="O142">
        <f>IFERROR(VLOOKUP(E142,[1]Parameters!$A$3:$C$5,3,FALSE),0)</f>
        <v>2.2999999999999998</v>
      </c>
      <c r="P142">
        <f>IFERROR(VLOOKUP(F142,[1]Parameters!$A$3:$C$5,3,FALSE),0)</f>
        <v>0</v>
      </c>
      <c r="Q142">
        <f t="shared" si="2"/>
        <v>3.3</v>
      </c>
      <c r="R142" s="10">
        <f>IF('[1]Pizza Sales Calculations'!$G142=TRUE, [1]Parameters!$B$17*'[1]Pizza Sales Calculations'!$L142*2, 0)</f>
        <v>0</v>
      </c>
      <c r="S142" t="str">
        <f>IF(I142&lt;[1]Parameters!$B$21,"TRUE","FALSE")</f>
        <v>TRUE</v>
      </c>
      <c r="T142" s="5">
        <f>(I142/[1]Parameters!$B$25)*60</f>
        <v>0</v>
      </c>
      <c r="U142" s="10">
        <f>IF(AND('[1]Pizza Sales Calculations'!G142=TRUE,'[1]Pizza Sales Calculations'!S142="TRUE"),T142*[1]Parameters!$B$40*2,0)</f>
        <v>0</v>
      </c>
      <c r="V142">
        <f>INDEX([1]Parameters!$A$3:$C$5,MATCH('[1]Pizza Sales Calculations'!D142,[1]Parameters!$A$3:$A$5,0),2)</f>
        <v>7</v>
      </c>
      <c r="W142">
        <f>INDEX([1]Parameters!$A$3:$C$5,MATCH('[1]Pizza Sales Calculations'!E142,[1]Parameters!$A$3:$A$5,0),2)</f>
        <v>14</v>
      </c>
      <c r="X142" t="e">
        <f>INDEX([1]Parameters!$A$3:$C$5,MATCH('[1]Pizza Sales Calculations'!F142,[1]Parameters!$A$3:$A$5,0),2)</f>
        <v>#N/A</v>
      </c>
    </row>
    <row r="143" spans="1:24" x14ac:dyDescent="0.3">
      <c r="A143">
        <v>142</v>
      </c>
      <c r="B143" s="14">
        <v>42372.452314814815</v>
      </c>
      <c r="C143" s="14">
        <v>42372.462731481479</v>
      </c>
      <c r="D143" t="s">
        <v>4</v>
      </c>
      <c r="G143" t="b">
        <v>1</v>
      </c>
      <c r="H143">
        <v>70804</v>
      </c>
      <c r="I143" s="5">
        <v>3.2627037024633601</v>
      </c>
      <c r="J143" s="14">
        <v>42372.474050925928</v>
      </c>
      <c r="K143">
        <v>11.59</v>
      </c>
      <c r="L143" s="5">
        <f>('[1]Pizza Sales Calculations'!$J143-'[1]Pizza Sales Calculations'!$C143)*24*60</f>
        <v>16.300000007031485</v>
      </c>
      <c r="M143">
        <f>COUNTA('[1]Pizza Sales Calculations'!$D143:$F143)</f>
        <v>1</v>
      </c>
      <c r="N143">
        <f>IFERROR(VLOOKUP(D143,[1]Parameters!$A$3:$C$5,3,FALSE),0)</f>
        <v>1.7</v>
      </c>
      <c r="O143">
        <f>IFERROR(VLOOKUP(E143,[1]Parameters!$A$3:$C$5,3,FALSE),0)</f>
        <v>0</v>
      </c>
      <c r="P143">
        <f>IFERROR(VLOOKUP(F143,[1]Parameters!$A$3:$C$5,3,FALSE),0)</f>
        <v>0</v>
      </c>
      <c r="Q143">
        <f t="shared" si="2"/>
        <v>1.7</v>
      </c>
      <c r="R143" s="10">
        <f>IF('[1]Pizza Sales Calculations'!$G143=TRUE, [1]Parameters!$B$17*'[1]Pizza Sales Calculations'!$L143*2, 0)</f>
        <v>4.6183333353255875</v>
      </c>
      <c r="S143" t="str">
        <f>IF(I143&lt;[1]Parameters!$B$21,"TRUE","FALSE")</f>
        <v>FALSE</v>
      </c>
      <c r="T143" s="5">
        <f>(I143/[1]Parameters!$B$25)*60</f>
        <v>6.5254074049267201</v>
      </c>
      <c r="U143" s="10">
        <f>IF(AND('[1]Pizza Sales Calculations'!G143=TRUE,'[1]Pizza Sales Calculations'!S143="TRUE"),T143*[1]Parameters!$B$40*2,0)</f>
        <v>0</v>
      </c>
      <c r="V143">
        <f>INDEX([1]Parameters!$A$3:$C$5,MATCH('[1]Pizza Sales Calculations'!D143,[1]Parameters!$A$3:$A$5,0),2)</f>
        <v>10</v>
      </c>
      <c r="W143" t="e">
        <f>INDEX([1]Parameters!$A$3:$C$5,MATCH('[1]Pizza Sales Calculations'!E143,[1]Parameters!$A$3:$A$5,0),2)</f>
        <v>#N/A</v>
      </c>
      <c r="X143" t="e">
        <f>INDEX([1]Parameters!$A$3:$C$5,MATCH('[1]Pizza Sales Calculations'!F143,[1]Parameters!$A$3:$A$5,0),2)</f>
        <v>#N/A</v>
      </c>
    </row>
    <row r="144" spans="1:24" x14ac:dyDescent="0.3">
      <c r="A144">
        <v>143</v>
      </c>
      <c r="B144" s="14">
        <v>42372.468229166669</v>
      </c>
      <c r="C144" s="14">
        <v>42372.478645833333</v>
      </c>
      <c r="D144" t="s">
        <v>3</v>
      </c>
      <c r="E144" t="s">
        <v>5</v>
      </c>
      <c r="G144" t="b">
        <v>0</v>
      </c>
      <c r="H144">
        <v>70806</v>
      </c>
      <c r="I144" s="5">
        <v>0</v>
      </c>
      <c r="J144" s="14">
        <v>42372.480717592596</v>
      </c>
      <c r="K144">
        <v>23.34</v>
      </c>
      <c r="L144" s="5">
        <f>('[1]Pizza Sales Calculations'!$J144-'[1]Pizza Sales Calculations'!$C144)*24*60</f>
        <v>2.9833333392161876</v>
      </c>
      <c r="M144">
        <f>COUNTA('[1]Pizza Sales Calculations'!$D144:$F144)</f>
        <v>2</v>
      </c>
      <c r="N144">
        <f>IFERROR(VLOOKUP(D144,[1]Parameters!$A$3:$C$5,3,FALSE),0)</f>
        <v>1</v>
      </c>
      <c r="O144">
        <f>IFERROR(VLOOKUP(E144,[1]Parameters!$A$3:$C$5,3,FALSE),0)</f>
        <v>2.2999999999999998</v>
      </c>
      <c r="P144">
        <f>IFERROR(VLOOKUP(F144,[1]Parameters!$A$3:$C$5,3,FALSE),0)</f>
        <v>0</v>
      </c>
      <c r="Q144">
        <f t="shared" si="2"/>
        <v>3.3</v>
      </c>
      <c r="R144" s="10">
        <f>IF('[1]Pizza Sales Calculations'!$G144=TRUE, [1]Parameters!$B$17*'[1]Pizza Sales Calculations'!$L144*2, 0)</f>
        <v>0</v>
      </c>
      <c r="S144" t="str">
        <f>IF(I144&lt;[1]Parameters!$B$21,"TRUE","FALSE")</f>
        <v>TRUE</v>
      </c>
      <c r="T144" s="5">
        <f>(I144/[1]Parameters!$B$25)*60</f>
        <v>0</v>
      </c>
      <c r="U144" s="10">
        <f>IF(AND('[1]Pizza Sales Calculations'!G144=TRUE,'[1]Pizza Sales Calculations'!S144="TRUE"),T144*[1]Parameters!$B$40*2,0)</f>
        <v>0</v>
      </c>
      <c r="V144">
        <f>INDEX([1]Parameters!$A$3:$C$5,MATCH('[1]Pizza Sales Calculations'!D144,[1]Parameters!$A$3:$A$5,0),2)</f>
        <v>7</v>
      </c>
      <c r="W144">
        <f>INDEX([1]Parameters!$A$3:$C$5,MATCH('[1]Pizza Sales Calculations'!E144,[1]Parameters!$A$3:$A$5,0),2)</f>
        <v>14</v>
      </c>
      <c r="X144" t="e">
        <f>INDEX([1]Parameters!$A$3:$C$5,MATCH('[1]Pizza Sales Calculations'!F144,[1]Parameters!$A$3:$A$5,0),2)</f>
        <v>#N/A</v>
      </c>
    </row>
    <row r="145" spans="1:24" x14ac:dyDescent="0.3">
      <c r="A145">
        <v>144</v>
      </c>
      <c r="B145" s="14">
        <v>42372.477708333332</v>
      </c>
      <c r="C145" s="14">
        <v>42372.488113425927</v>
      </c>
      <c r="D145" t="s">
        <v>5</v>
      </c>
      <c r="G145" t="b">
        <v>0</v>
      </c>
      <c r="H145">
        <v>70805</v>
      </c>
      <c r="I145" s="5">
        <v>0</v>
      </c>
      <c r="J145" s="14">
        <v>42372.49019675926</v>
      </c>
      <c r="K145">
        <v>15.35</v>
      </c>
      <c r="L145" s="5">
        <f>('[1]Pizza Sales Calculations'!$J145-'[1]Pizza Sales Calculations'!$C145)*24*60</f>
        <v>2.9999999993015081</v>
      </c>
      <c r="M145">
        <f>COUNTA('[1]Pizza Sales Calculations'!$D145:$F145)</f>
        <v>1</v>
      </c>
      <c r="N145">
        <f>IFERROR(VLOOKUP(D145,[1]Parameters!$A$3:$C$5,3,FALSE),0)</f>
        <v>2.2999999999999998</v>
      </c>
      <c r="O145">
        <f>IFERROR(VLOOKUP(E145,[1]Parameters!$A$3:$C$5,3,FALSE),0)</f>
        <v>0</v>
      </c>
      <c r="P145">
        <f>IFERROR(VLOOKUP(F145,[1]Parameters!$A$3:$C$5,3,FALSE),0)</f>
        <v>0</v>
      </c>
      <c r="Q145">
        <f t="shared" si="2"/>
        <v>2.2999999999999998</v>
      </c>
      <c r="R145" s="10">
        <f>IF('[1]Pizza Sales Calculations'!$G145=TRUE, [1]Parameters!$B$17*'[1]Pizza Sales Calculations'!$L145*2, 0)</f>
        <v>0</v>
      </c>
      <c r="S145" t="str">
        <f>IF(I145&lt;[1]Parameters!$B$21,"TRUE","FALSE")</f>
        <v>TRUE</v>
      </c>
      <c r="T145" s="5">
        <f>(I145/[1]Parameters!$B$25)*60</f>
        <v>0</v>
      </c>
      <c r="U145" s="10">
        <f>IF(AND('[1]Pizza Sales Calculations'!G145=TRUE,'[1]Pizza Sales Calculations'!S145="TRUE"),T145*[1]Parameters!$B$40*2,0)</f>
        <v>0</v>
      </c>
      <c r="V145">
        <f>INDEX([1]Parameters!$A$3:$C$5,MATCH('[1]Pizza Sales Calculations'!D145,[1]Parameters!$A$3:$A$5,0),2)</f>
        <v>14</v>
      </c>
      <c r="W145" t="e">
        <f>INDEX([1]Parameters!$A$3:$C$5,MATCH('[1]Pizza Sales Calculations'!E145,[1]Parameters!$A$3:$A$5,0),2)</f>
        <v>#N/A</v>
      </c>
      <c r="X145" t="e">
        <f>INDEX([1]Parameters!$A$3:$C$5,MATCH('[1]Pizza Sales Calculations'!F145,[1]Parameters!$A$3:$A$5,0),2)</f>
        <v>#N/A</v>
      </c>
    </row>
    <row r="146" spans="1:24" x14ac:dyDescent="0.3">
      <c r="A146">
        <v>145</v>
      </c>
      <c r="B146" s="14">
        <v>42372.544745370367</v>
      </c>
      <c r="C146" s="14">
        <v>42372.555150462962</v>
      </c>
      <c r="D146" t="s">
        <v>4</v>
      </c>
      <c r="G146" t="b">
        <v>0</v>
      </c>
      <c r="H146">
        <v>70804</v>
      </c>
      <c r="I146" s="5">
        <v>0</v>
      </c>
      <c r="J146" s="14">
        <v>42372.557256944441</v>
      </c>
      <c r="K146">
        <v>11.59</v>
      </c>
      <c r="L146" s="5">
        <f>('[1]Pizza Sales Calculations'!$J146-'[1]Pizza Sales Calculations'!$C146)*24*60</f>
        <v>3.033333329949528</v>
      </c>
      <c r="M146">
        <f>COUNTA('[1]Pizza Sales Calculations'!$D146:$F146)</f>
        <v>1</v>
      </c>
      <c r="N146">
        <f>IFERROR(VLOOKUP(D146,[1]Parameters!$A$3:$C$5,3,FALSE),0)</f>
        <v>1.7</v>
      </c>
      <c r="O146">
        <f>IFERROR(VLOOKUP(E146,[1]Parameters!$A$3:$C$5,3,FALSE),0)</f>
        <v>0</v>
      </c>
      <c r="P146">
        <f>IFERROR(VLOOKUP(F146,[1]Parameters!$A$3:$C$5,3,FALSE),0)</f>
        <v>0</v>
      </c>
      <c r="Q146">
        <f t="shared" si="2"/>
        <v>1.7</v>
      </c>
      <c r="R146" s="10">
        <f>IF('[1]Pizza Sales Calculations'!$G146=TRUE, [1]Parameters!$B$17*'[1]Pizza Sales Calculations'!$L146*2, 0)</f>
        <v>0</v>
      </c>
      <c r="S146" t="str">
        <f>IF(I146&lt;[1]Parameters!$B$21,"TRUE","FALSE")</f>
        <v>TRUE</v>
      </c>
      <c r="T146" s="5">
        <f>(I146/[1]Parameters!$B$25)*60</f>
        <v>0</v>
      </c>
      <c r="U146" s="10">
        <f>IF(AND('[1]Pizza Sales Calculations'!G146=TRUE,'[1]Pizza Sales Calculations'!S146="TRUE"),T146*[1]Parameters!$B$40*2,0)</f>
        <v>0</v>
      </c>
      <c r="V146">
        <f>INDEX([1]Parameters!$A$3:$C$5,MATCH('[1]Pizza Sales Calculations'!D146,[1]Parameters!$A$3:$A$5,0),2)</f>
        <v>10</v>
      </c>
      <c r="W146" t="e">
        <f>INDEX([1]Parameters!$A$3:$C$5,MATCH('[1]Pizza Sales Calculations'!E146,[1]Parameters!$A$3:$A$5,0),2)</f>
        <v>#N/A</v>
      </c>
      <c r="X146" t="e">
        <f>INDEX([1]Parameters!$A$3:$C$5,MATCH('[1]Pizza Sales Calculations'!F146,[1]Parameters!$A$3:$A$5,0),2)</f>
        <v>#N/A</v>
      </c>
    </row>
    <row r="147" spans="1:24" x14ac:dyDescent="0.3">
      <c r="A147">
        <v>146</v>
      </c>
      <c r="B147" s="14">
        <v>42372.423437500001</v>
      </c>
      <c r="C147" s="14">
        <v>42372.433854166666</v>
      </c>
      <c r="D147" t="s">
        <v>3</v>
      </c>
      <c r="E147" t="s">
        <v>4</v>
      </c>
      <c r="G147" t="b">
        <v>1</v>
      </c>
      <c r="H147">
        <v>70805</v>
      </c>
      <c r="I147" s="5">
        <v>3.65998678695644</v>
      </c>
      <c r="J147" s="14">
        <v>42372.446550925924</v>
      </c>
      <c r="K147">
        <v>19.579999999999998</v>
      </c>
      <c r="L147" s="5">
        <f>('[1]Pizza Sales Calculations'!$J147-'[1]Pizza Sales Calculations'!$C147)*24*60</f>
        <v>18.283333332510665</v>
      </c>
      <c r="M147">
        <f>COUNTA('[1]Pizza Sales Calculations'!$D147:$F147)</f>
        <v>2</v>
      </c>
      <c r="N147">
        <f>IFERROR(VLOOKUP(D147,[1]Parameters!$A$3:$C$5,3,FALSE),0)</f>
        <v>1</v>
      </c>
      <c r="O147">
        <f>IFERROR(VLOOKUP(E147,[1]Parameters!$A$3:$C$5,3,FALSE),0)</f>
        <v>1.7</v>
      </c>
      <c r="P147">
        <f>IFERROR(VLOOKUP(F147,[1]Parameters!$A$3:$C$5,3,FALSE),0)</f>
        <v>0</v>
      </c>
      <c r="Q147">
        <f t="shared" si="2"/>
        <v>2.7</v>
      </c>
      <c r="R147" s="10">
        <f>IF('[1]Pizza Sales Calculations'!$G147=TRUE, [1]Parameters!$B$17*'[1]Pizza Sales Calculations'!$L147*2, 0)</f>
        <v>5.1802777775446884</v>
      </c>
      <c r="S147" t="str">
        <f>IF(I147&lt;[1]Parameters!$B$21,"TRUE","FALSE")</f>
        <v>FALSE</v>
      </c>
      <c r="T147" s="5">
        <f>(I147/[1]Parameters!$B$25)*60</f>
        <v>7.3199735739128799</v>
      </c>
      <c r="U147" s="10">
        <f>IF(AND('[1]Pizza Sales Calculations'!G147=TRUE,'[1]Pizza Sales Calculations'!S147="TRUE"),T147*[1]Parameters!$B$40*2,0)</f>
        <v>0</v>
      </c>
      <c r="V147">
        <f>INDEX([1]Parameters!$A$3:$C$5,MATCH('[1]Pizza Sales Calculations'!D147,[1]Parameters!$A$3:$A$5,0),2)</f>
        <v>7</v>
      </c>
      <c r="W147">
        <f>INDEX([1]Parameters!$A$3:$C$5,MATCH('[1]Pizza Sales Calculations'!E147,[1]Parameters!$A$3:$A$5,0),2)</f>
        <v>10</v>
      </c>
      <c r="X147" t="e">
        <f>INDEX([1]Parameters!$A$3:$C$5,MATCH('[1]Pizza Sales Calculations'!F147,[1]Parameters!$A$3:$A$5,0),2)</f>
        <v>#N/A</v>
      </c>
    </row>
    <row r="148" spans="1:24" x14ac:dyDescent="0.3">
      <c r="A148">
        <v>147</v>
      </c>
      <c r="B148" s="14">
        <v>42372.574050925927</v>
      </c>
      <c r="C148" s="14">
        <v>42372.584479166668</v>
      </c>
      <c r="D148" t="s">
        <v>4</v>
      </c>
      <c r="G148" t="b">
        <v>0</v>
      </c>
      <c r="H148">
        <v>70806</v>
      </c>
      <c r="I148" s="5">
        <v>0</v>
      </c>
      <c r="J148" s="14">
        <v>42372.586562500001</v>
      </c>
      <c r="K148">
        <v>11.59</v>
      </c>
      <c r="L148" s="5">
        <f>('[1]Pizza Sales Calculations'!$J148-'[1]Pizza Sales Calculations'!$C148)*24*60</f>
        <v>2.9999999993015081</v>
      </c>
      <c r="M148">
        <f>COUNTA('[1]Pizza Sales Calculations'!$D148:$F148)</f>
        <v>1</v>
      </c>
      <c r="N148">
        <f>IFERROR(VLOOKUP(D148,[1]Parameters!$A$3:$C$5,3,FALSE),0)</f>
        <v>1.7</v>
      </c>
      <c r="O148">
        <f>IFERROR(VLOOKUP(E148,[1]Parameters!$A$3:$C$5,3,FALSE),0)</f>
        <v>0</v>
      </c>
      <c r="P148">
        <f>IFERROR(VLOOKUP(F148,[1]Parameters!$A$3:$C$5,3,FALSE),0)</f>
        <v>0</v>
      </c>
      <c r="Q148">
        <f t="shared" si="2"/>
        <v>1.7</v>
      </c>
      <c r="R148" s="10">
        <f>IF('[1]Pizza Sales Calculations'!$G148=TRUE, [1]Parameters!$B$17*'[1]Pizza Sales Calculations'!$L148*2, 0)</f>
        <v>0</v>
      </c>
      <c r="S148" t="str">
        <f>IF(I148&lt;[1]Parameters!$B$21,"TRUE","FALSE")</f>
        <v>TRUE</v>
      </c>
      <c r="T148" s="5">
        <f>(I148/[1]Parameters!$B$25)*60</f>
        <v>0</v>
      </c>
      <c r="U148" s="10">
        <f>IF(AND('[1]Pizza Sales Calculations'!G148=TRUE,'[1]Pizza Sales Calculations'!S148="TRUE"),T148*[1]Parameters!$B$40*2,0)</f>
        <v>0</v>
      </c>
      <c r="V148">
        <f>INDEX([1]Parameters!$A$3:$C$5,MATCH('[1]Pizza Sales Calculations'!D148,[1]Parameters!$A$3:$A$5,0),2)</f>
        <v>10</v>
      </c>
      <c r="W148" t="e">
        <f>INDEX([1]Parameters!$A$3:$C$5,MATCH('[1]Pizza Sales Calculations'!E148,[1]Parameters!$A$3:$A$5,0),2)</f>
        <v>#N/A</v>
      </c>
      <c r="X148" t="e">
        <f>INDEX([1]Parameters!$A$3:$C$5,MATCH('[1]Pizza Sales Calculations'!F148,[1]Parameters!$A$3:$A$5,0),2)</f>
        <v>#N/A</v>
      </c>
    </row>
    <row r="149" spans="1:24" x14ac:dyDescent="0.3">
      <c r="A149">
        <v>148</v>
      </c>
      <c r="B149" s="14">
        <v>42372.526400462964</v>
      </c>
      <c r="C149" s="14">
        <v>42372.536817129629</v>
      </c>
      <c r="D149" t="s">
        <v>3</v>
      </c>
      <c r="E149" t="s">
        <v>5</v>
      </c>
      <c r="G149" t="b">
        <v>0</v>
      </c>
      <c r="H149">
        <v>70805</v>
      </c>
      <c r="I149" s="5">
        <v>0</v>
      </c>
      <c r="J149" s="14">
        <v>42372.538912037038</v>
      </c>
      <c r="K149">
        <v>23.34</v>
      </c>
      <c r="L149" s="5">
        <f>('[1]Pizza Sales Calculations'!$J149-'[1]Pizza Sales Calculations'!$C149)*24*60</f>
        <v>3.0166666698642075</v>
      </c>
      <c r="M149">
        <f>COUNTA('[1]Pizza Sales Calculations'!$D149:$F149)</f>
        <v>2</v>
      </c>
      <c r="N149">
        <f>IFERROR(VLOOKUP(D149,[1]Parameters!$A$3:$C$5,3,FALSE),0)</f>
        <v>1</v>
      </c>
      <c r="O149">
        <f>IFERROR(VLOOKUP(E149,[1]Parameters!$A$3:$C$5,3,FALSE),0)</f>
        <v>2.2999999999999998</v>
      </c>
      <c r="P149">
        <f>IFERROR(VLOOKUP(F149,[1]Parameters!$A$3:$C$5,3,FALSE),0)</f>
        <v>0</v>
      </c>
      <c r="Q149">
        <f t="shared" si="2"/>
        <v>3.3</v>
      </c>
      <c r="R149" s="10">
        <f>IF('[1]Pizza Sales Calculations'!$G149=TRUE, [1]Parameters!$B$17*'[1]Pizza Sales Calculations'!$L149*2, 0)</f>
        <v>0</v>
      </c>
      <c r="S149" t="str">
        <f>IF(I149&lt;[1]Parameters!$B$21,"TRUE","FALSE")</f>
        <v>TRUE</v>
      </c>
      <c r="T149" s="5">
        <f>(I149/[1]Parameters!$B$25)*60</f>
        <v>0</v>
      </c>
      <c r="U149" s="10">
        <f>IF(AND('[1]Pizza Sales Calculations'!G149=TRUE,'[1]Pizza Sales Calculations'!S149="TRUE"),T149*[1]Parameters!$B$40*2,0)</f>
        <v>0</v>
      </c>
      <c r="V149">
        <f>INDEX([1]Parameters!$A$3:$C$5,MATCH('[1]Pizza Sales Calculations'!D149,[1]Parameters!$A$3:$A$5,0),2)</f>
        <v>7</v>
      </c>
      <c r="W149">
        <f>INDEX([1]Parameters!$A$3:$C$5,MATCH('[1]Pizza Sales Calculations'!E149,[1]Parameters!$A$3:$A$5,0),2)</f>
        <v>14</v>
      </c>
      <c r="X149" t="e">
        <f>INDEX([1]Parameters!$A$3:$C$5,MATCH('[1]Pizza Sales Calculations'!F149,[1]Parameters!$A$3:$A$5,0),2)</f>
        <v>#N/A</v>
      </c>
    </row>
    <row r="150" spans="1:24" x14ac:dyDescent="0.3">
      <c r="A150">
        <v>149</v>
      </c>
      <c r="B150" s="14">
        <v>42372.47247685185</v>
      </c>
      <c r="C150" s="14">
        <v>42372.482881944445</v>
      </c>
      <c r="D150" t="s">
        <v>3</v>
      </c>
      <c r="E150" t="s">
        <v>4</v>
      </c>
      <c r="G150" t="b">
        <v>0</v>
      </c>
      <c r="H150">
        <v>70804</v>
      </c>
      <c r="I150" s="5">
        <v>0</v>
      </c>
      <c r="J150" s="14">
        <v>42372.484953703701</v>
      </c>
      <c r="K150">
        <v>19.579999999999998</v>
      </c>
      <c r="L150" s="5">
        <f>('[1]Pizza Sales Calculations'!$J150-'[1]Pizza Sales Calculations'!$C150)*24*60</f>
        <v>2.9833333287388086</v>
      </c>
      <c r="M150">
        <f>COUNTA('[1]Pizza Sales Calculations'!$D150:$F150)</f>
        <v>2</v>
      </c>
      <c r="N150">
        <f>IFERROR(VLOOKUP(D150,[1]Parameters!$A$3:$C$5,3,FALSE),0)</f>
        <v>1</v>
      </c>
      <c r="O150">
        <f>IFERROR(VLOOKUP(E150,[1]Parameters!$A$3:$C$5,3,FALSE),0)</f>
        <v>1.7</v>
      </c>
      <c r="P150">
        <f>IFERROR(VLOOKUP(F150,[1]Parameters!$A$3:$C$5,3,FALSE),0)</f>
        <v>0</v>
      </c>
      <c r="Q150">
        <f t="shared" si="2"/>
        <v>2.7</v>
      </c>
      <c r="R150" s="10">
        <f>IF('[1]Pizza Sales Calculations'!$G150=TRUE, [1]Parameters!$B$17*'[1]Pizza Sales Calculations'!$L150*2, 0)</f>
        <v>0</v>
      </c>
      <c r="S150" t="str">
        <f>IF(I150&lt;[1]Parameters!$B$21,"TRUE","FALSE")</f>
        <v>TRUE</v>
      </c>
      <c r="T150" s="5">
        <f>(I150/[1]Parameters!$B$25)*60</f>
        <v>0</v>
      </c>
      <c r="U150" s="10">
        <f>IF(AND('[1]Pizza Sales Calculations'!G150=TRUE,'[1]Pizza Sales Calculations'!S150="TRUE"),T150*[1]Parameters!$B$40*2,0)</f>
        <v>0</v>
      </c>
      <c r="V150">
        <f>INDEX([1]Parameters!$A$3:$C$5,MATCH('[1]Pizza Sales Calculations'!D150,[1]Parameters!$A$3:$A$5,0),2)</f>
        <v>7</v>
      </c>
      <c r="W150">
        <f>INDEX([1]Parameters!$A$3:$C$5,MATCH('[1]Pizza Sales Calculations'!E150,[1]Parameters!$A$3:$A$5,0),2)</f>
        <v>10</v>
      </c>
      <c r="X150" t="e">
        <f>INDEX([1]Parameters!$A$3:$C$5,MATCH('[1]Pizza Sales Calculations'!F150,[1]Parameters!$A$3:$A$5,0),2)</f>
        <v>#N/A</v>
      </c>
    </row>
    <row r="151" spans="1:24" x14ac:dyDescent="0.3">
      <c r="A151">
        <v>150</v>
      </c>
      <c r="B151" s="14">
        <v>42372.477743055555</v>
      </c>
      <c r="C151" s="14">
        <v>42372.488159722219</v>
      </c>
      <c r="D151" t="s">
        <v>4</v>
      </c>
      <c r="G151" t="b">
        <v>1</v>
      </c>
      <c r="H151">
        <v>70806</v>
      </c>
      <c r="I151" s="5">
        <v>4.9536269253239098</v>
      </c>
      <c r="J151" s="14">
        <v>42372.505358796298</v>
      </c>
      <c r="K151">
        <v>11.59</v>
      </c>
      <c r="L151" s="5">
        <f>('[1]Pizza Sales Calculations'!$J151-'[1]Pizza Sales Calculations'!$C151)*24*60</f>
        <v>24.766666672658175</v>
      </c>
      <c r="M151">
        <f>COUNTA('[1]Pizza Sales Calculations'!$D151:$F151)</f>
        <v>1</v>
      </c>
      <c r="N151">
        <f>IFERROR(VLOOKUP(D151,[1]Parameters!$A$3:$C$5,3,FALSE),0)</f>
        <v>1.7</v>
      </c>
      <c r="O151">
        <f>IFERROR(VLOOKUP(E151,[1]Parameters!$A$3:$C$5,3,FALSE),0)</f>
        <v>0</v>
      </c>
      <c r="P151">
        <f>IFERROR(VLOOKUP(F151,[1]Parameters!$A$3:$C$5,3,FALSE),0)</f>
        <v>0</v>
      </c>
      <c r="Q151">
        <f t="shared" si="2"/>
        <v>1.7</v>
      </c>
      <c r="R151" s="10">
        <f>IF('[1]Pizza Sales Calculations'!$G151=TRUE, [1]Parameters!$B$17*'[1]Pizza Sales Calculations'!$L151*2, 0)</f>
        <v>7.0172222239198163</v>
      </c>
      <c r="S151" t="str">
        <f>IF(I151&lt;[1]Parameters!$B$21,"TRUE","FALSE")</f>
        <v>FALSE</v>
      </c>
      <c r="T151" s="5">
        <f>(I151/[1]Parameters!$B$25)*60</f>
        <v>9.9072538506478196</v>
      </c>
      <c r="U151" s="10">
        <f>IF(AND('[1]Pizza Sales Calculations'!G151=TRUE,'[1]Pizza Sales Calculations'!S151="TRUE"),T151*[1]Parameters!$B$40*2,0)</f>
        <v>0</v>
      </c>
      <c r="V151">
        <f>INDEX([1]Parameters!$A$3:$C$5,MATCH('[1]Pizza Sales Calculations'!D151,[1]Parameters!$A$3:$A$5,0),2)</f>
        <v>10</v>
      </c>
      <c r="W151" t="e">
        <f>INDEX([1]Parameters!$A$3:$C$5,MATCH('[1]Pizza Sales Calculations'!E151,[1]Parameters!$A$3:$A$5,0),2)</f>
        <v>#N/A</v>
      </c>
      <c r="X151" t="e">
        <f>INDEX([1]Parameters!$A$3:$C$5,MATCH('[1]Pizza Sales Calculations'!F151,[1]Parameters!$A$3:$A$5,0),2)</f>
        <v>#N/A</v>
      </c>
    </row>
    <row r="152" spans="1:24" x14ac:dyDescent="0.3">
      <c r="A152">
        <v>151</v>
      </c>
      <c r="B152" s="14">
        <v>42372.514421296299</v>
      </c>
      <c r="C152" s="14">
        <v>42372.524837962963</v>
      </c>
      <c r="D152" t="s">
        <v>5</v>
      </c>
      <c r="G152" t="b">
        <v>1</v>
      </c>
      <c r="H152">
        <v>70803</v>
      </c>
      <c r="I152" s="5">
        <v>3.2451266192166601</v>
      </c>
      <c r="J152" s="14">
        <v>42372.536099537036</v>
      </c>
      <c r="K152">
        <v>15.35</v>
      </c>
      <c r="L152" s="5">
        <f>('[1]Pizza Sales Calculations'!$J152-'[1]Pizza Sales Calculations'!$C152)*24*60</f>
        <v>16.216666664695367</v>
      </c>
      <c r="M152">
        <f>COUNTA('[1]Pizza Sales Calculations'!$D152:$F152)</f>
        <v>1</v>
      </c>
      <c r="N152">
        <f>IFERROR(VLOOKUP(D152,[1]Parameters!$A$3:$C$5,3,FALSE),0)</f>
        <v>2.2999999999999998</v>
      </c>
      <c r="O152">
        <f>IFERROR(VLOOKUP(E152,[1]Parameters!$A$3:$C$5,3,FALSE),0)</f>
        <v>0</v>
      </c>
      <c r="P152">
        <f>IFERROR(VLOOKUP(F152,[1]Parameters!$A$3:$C$5,3,FALSE),0)</f>
        <v>0</v>
      </c>
      <c r="Q152">
        <f t="shared" si="2"/>
        <v>2.2999999999999998</v>
      </c>
      <c r="R152" s="10">
        <f>IF('[1]Pizza Sales Calculations'!$G152=TRUE, [1]Parameters!$B$17*'[1]Pizza Sales Calculations'!$L152*2, 0)</f>
        <v>4.5947222216636874</v>
      </c>
      <c r="S152" t="str">
        <f>IF(I152&lt;[1]Parameters!$B$21,"TRUE","FALSE")</f>
        <v>FALSE</v>
      </c>
      <c r="T152" s="5">
        <f>(I152/[1]Parameters!$B$25)*60</f>
        <v>6.4902532384333202</v>
      </c>
      <c r="U152" s="10">
        <f>IF(AND('[1]Pizza Sales Calculations'!G152=TRUE,'[1]Pizza Sales Calculations'!S152="TRUE"),T152*[1]Parameters!$B$40*2,0)</f>
        <v>0</v>
      </c>
      <c r="V152">
        <f>INDEX([1]Parameters!$A$3:$C$5,MATCH('[1]Pizza Sales Calculations'!D152,[1]Parameters!$A$3:$A$5,0),2)</f>
        <v>14</v>
      </c>
      <c r="W152" t="e">
        <f>INDEX([1]Parameters!$A$3:$C$5,MATCH('[1]Pizza Sales Calculations'!E152,[1]Parameters!$A$3:$A$5,0),2)</f>
        <v>#N/A</v>
      </c>
      <c r="X152" t="e">
        <f>INDEX([1]Parameters!$A$3:$C$5,MATCH('[1]Pizza Sales Calculations'!F152,[1]Parameters!$A$3:$A$5,0),2)</f>
        <v>#N/A</v>
      </c>
    </row>
    <row r="153" spans="1:24" x14ac:dyDescent="0.3">
      <c r="A153">
        <v>152</v>
      </c>
      <c r="B153" s="14">
        <v>42372.485555555555</v>
      </c>
      <c r="C153" s="14">
        <v>42372.495949074073</v>
      </c>
      <c r="D153" t="s">
        <v>5</v>
      </c>
      <c r="G153" t="b">
        <v>0</v>
      </c>
      <c r="H153">
        <v>70807</v>
      </c>
      <c r="I153" s="5">
        <v>0</v>
      </c>
      <c r="J153" s="14">
        <v>42372.498020833336</v>
      </c>
      <c r="K153">
        <v>15.35</v>
      </c>
      <c r="L153" s="5">
        <f>('[1]Pizza Sales Calculations'!$J153-'[1]Pizza Sales Calculations'!$C153)*24*60</f>
        <v>2.9833333392161876</v>
      </c>
      <c r="M153">
        <f>COUNTA('[1]Pizza Sales Calculations'!$D153:$F153)</f>
        <v>1</v>
      </c>
      <c r="N153">
        <f>IFERROR(VLOOKUP(D153,[1]Parameters!$A$3:$C$5,3,FALSE),0)</f>
        <v>2.2999999999999998</v>
      </c>
      <c r="O153">
        <f>IFERROR(VLOOKUP(E153,[1]Parameters!$A$3:$C$5,3,FALSE),0)</f>
        <v>0</v>
      </c>
      <c r="P153">
        <f>IFERROR(VLOOKUP(F153,[1]Parameters!$A$3:$C$5,3,FALSE),0)</f>
        <v>0</v>
      </c>
      <c r="Q153">
        <f t="shared" si="2"/>
        <v>2.2999999999999998</v>
      </c>
      <c r="R153" s="10">
        <f>IF('[1]Pizza Sales Calculations'!$G153=TRUE, [1]Parameters!$B$17*'[1]Pizza Sales Calculations'!$L153*2, 0)</f>
        <v>0</v>
      </c>
      <c r="S153" t="str">
        <f>IF(I153&lt;[1]Parameters!$B$21,"TRUE","FALSE")</f>
        <v>TRUE</v>
      </c>
      <c r="T153" s="5">
        <f>(I153/[1]Parameters!$B$25)*60</f>
        <v>0</v>
      </c>
      <c r="U153" s="10">
        <f>IF(AND('[1]Pizza Sales Calculations'!G153=TRUE,'[1]Pizza Sales Calculations'!S153="TRUE"),T153*[1]Parameters!$B$40*2,0)</f>
        <v>0</v>
      </c>
      <c r="V153">
        <f>INDEX([1]Parameters!$A$3:$C$5,MATCH('[1]Pizza Sales Calculations'!D153,[1]Parameters!$A$3:$A$5,0),2)</f>
        <v>14</v>
      </c>
      <c r="W153" t="e">
        <f>INDEX([1]Parameters!$A$3:$C$5,MATCH('[1]Pizza Sales Calculations'!E153,[1]Parameters!$A$3:$A$5,0),2)</f>
        <v>#N/A</v>
      </c>
      <c r="X153" t="e">
        <f>INDEX([1]Parameters!$A$3:$C$5,MATCH('[1]Pizza Sales Calculations'!F153,[1]Parameters!$A$3:$A$5,0),2)</f>
        <v>#N/A</v>
      </c>
    </row>
    <row r="154" spans="1:24" x14ac:dyDescent="0.3">
      <c r="A154">
        <v>153</v>
      </c>
      <c r="B154" s="14">
        <v>42372.43855324074</v>
      </c>
      <c r="C154" s="14">
        <v>42372.448981481481</v>
      </c>
      <c r="D154" t="s">
        <v>3</v>
      </c>
      <c r="E154" t="s">
        <v>5</v>
      </c>
      <c r="G154" t="b">
        <v>1</v>
      </c>
      <c r="H154">
        <v>70804</v>
      </c>
      <c r="I154" s="5">
        <v>3.9689294988278498</v>
      </c>
      <c r="J154" s="14">
        <v>42372.462754629632</v>
      </c>
      <c r="K154">
        <v>23.34</v>
      </c>
      <c r="L154" s="5">
        <f>('[1]Pizza Sales Calculations'!$J154-'[1]Pizza Sales Calculations'!$C154)*24*60</f>
        <v>19.833333338610828</v>
      </c>
      <c r="M154">
        <f>COUNTA('[1]Pizza Sales Calculations'!$D154:$F154)</f>
        <v>2</v>
      </c>
      <c r="N154">
        <f>IFERROR(VLOOKUP(D154,[1]Parameters!$A$3:$C$5,3,FALSE),0)</f>
        <v>1</v>
      </c>
      <c r="O154">
        <f>IFERROR(VLOOKUP(E154,[1]Parameters!$A$3:$C$5,3,FALSE),0)</f>
        <v>2.2999999999999998</v>
      </c>
      <c r="P154">
        <f>IFERROR(VLOOKUP(F154,[1]Parameters!$A$3:$C$5,3,FALSE),0)</f>
        <v>0</v>
      </c>
      <c r="Q154">
        <f t="shared" si="2"/>
        <v>3.3</v>
      </c>
      <c r="R154" s="10">
        <f>IF('[1]Pizza Sales Calculations'!$G154=TRUE, [1]Parameters!$B$17*'[1]Pizza Sales Calculations'!$L154*2, 0)</f>
        <v>5.6194444459397346</v>
      </c>
      <c r="S154" t="str">
        <f>IF(I154&lt;[1]Parameters!$B$21,"TRUE","FALSE")</f>
        <v>FALSE</v>
      </c>
      <c r="T154" s="5">
        <f>(I154/[1]Parameters!$B$25)*60</f>
        <v>7.9378589976556997</v>
      </c>
      <c r="U154" s="10">
        <f>IF(AND('[1]Pizza Sales Calculations'!G154=TRUE,'[1]Pizza Sales Calculations'!S154="TRUE"),T154*[1]Parameters!$B$40*2,0)</f>
        <v>0</v>
      </c>
      <c r="V154">
        <f>INDEX([1]Parameters!$A$3:$C$5,MATCH('[1]Pizza Sales Calculations'!D154,[1]Parameters!$A$3:$A$5,0),2)</f>
        <v>7</v>
      </c>
      <c r="W154">
        <f>INDEX([1]Parameters!$A$3:$C$5,MATCH('[1]Pizza Sales Calculations'!E154,[1]Parameters!$A$3:$A$5,0),2)</f>
        <v>14</v>
      </c>
      <c r="X154" t="e">
        <f>INDEX([1]Parameters!$A$3:$C$5,MATCH('[1]Pizza Sales Calculations'!F154,[1]Parameters!$A$3:$A$5,0),2)</f>
        <v>#N/A</v>
      </c>
    </row>
    <row r="155" spans="1:24" x14ac:dyDescent="0.3">
      <c r="A155">
        <v>154</v>
      </c>
      <c r="B155" s="14">
        <v>42372.464942129627</v>
      </c>
      <c r="C155" s="14">
        <v>42372.475370370368</v>
      </c>
      <c r="D155" t="s">
        <v>4</v>
      </c>
      <c r="G155" t="b">
        <v>0</v>
      </c>
      <c r="H155">
        <v>70804</v>
      </c>
      <c r="I155" s="5">
        <v>0</v>
      </c>
      <c r="J155" s="14">
        <v>42372.477465277778</v>
      </c>
      <c r="K155">
        <v>11.59</v>
      </c>
      <c r="L155" s="5">
        <f>('[1]Pizza Sales Calculations'!$J155-'[1]Pizza Sales Calculations'!$C155)*24*60</f>
        <v>3.0166666698642075</v>
      </c>
      <c r="M155">
        <f>COUNTA('[1]Pizza Sales Calculations'!$D155:$F155)</f>
        <v>1</v>
      </c>
      <c r="N155">
        <f>IFERROR(VLOOKUP(D155,[1]Parameters!$A$3:$C$5,3,FALSE),0)</f>
        <v>1.7</v>
      </c>
      <c r="O155">
        <f>IFERROR(VLOOKUP(E155,[1]Parameters!$A$3:$C$5,3,FALSE),0)</f>
        <v>0</v>
      </c>
      <c r="P155">
        <f>IFERROR(VLOOKUP(F155,[1]Parameters!$A$3:$C$5,3,FALSE),0)</f>
        <v>0</v>
      </c>
      <c r="Q155">
        <f t="shared" si="2"/>
        <v>1.7</v>
      </c>
      <c r="R155" s="10">
        <f>IF('[1]Pizza Sales Calculations'!$G155=TRUE, [1]Parameters!$B$17*'[1]Pizza Sales Calculations'!$L155*2, 0)</f>
        <v>0</v>
      </c>
      <c r="S155" t="str">
        <f>IF(I155&lt;[1]Parameters!$B$21,"TRUE","FALSE")</f>
        <v>TRUE</v>
      </c>
      <c r="T155" s="5">
        <f>(I155/[1]Parameters!$B$25)*60</f>
        <v>0</v>
      </c>
      <c r="U155" s="10">
        <f>IF(AND('[1]Pizza Sales Calculations'!G155=TRUE,'[1]Pizza Sales Calculations'!S155="TRUE"),T155*[1]Parameters!$B$40*2,0)</f>
        <v>0</v>
      </c>
      <c r="V155">
        <f>INDEX([1]Parameters!$A$3:$C$5,MATCH('[1]Pizza Sales Calculations'!D155,[1]Parameters!$A$3:$A$5,0),2)</f>
        <v>10</v>
      </c>
      <c r="W155" t="e">
        <f>INDEX([1]Parameters!$A$3:$C$5,MATCH('[1]Pizza Sales Calculations'!E155,[1]Parameters!$A$3:$A$5,0),2)</f>
        <v>#N/A</v>
      </c>
      <c r="X155" t="e">
        <f>INDEX([1]Parameters!$A$3:$C$5,MATCH('[1]Pizza Sales Calculations'!F155,[1]Parameters!$A$3:$A$5,0),2)</f>
        <v>#N/A</v>
      </c>
    </row>
    <row r="156" spans="1:24" x14ac:dyDescent="0.3">
      <c r="A156">
        <v>155</v>
      </c>
      <c r="B156" s="14">
        <v>42372.44222222222</v>
      </c>
      <c r="C156" s="14">
        <v>42372.452650462961</v>
      </c>
      <c r="D156" t="s">
        <v>4</v>
      </c>
      <c r="G156" t="b">
        <v>0</v>
      </c>
      <c r="H156">
        <v>70803</v>
      </c>
      <c r="I156" s="5">
        <v>0</v>
      </c>
      <c r="J156" s="14">
        <v>42372.454710648148</v>
      </c>
      <c r="K156">
        <v>11.59</v>
      </c>
      <c r="L156" s="5">
        <f>('[1]Pizza Sales Calculations'!$J156-'[1]Pizza Sales Calculations'!$C156)*24*60</f>
        <v>2.9666666686534882</v>
      </c>
      <c r="M156">
        <f>COUNTA('[1]Pizza Sales Calculations'!$D156:$F156)</f>
        <v>1</v>
      </c>
      <c r="N156">
        <f>IFERROR(VLOOKUP(D156,[1]Parameters!$A$3:$C$5,3,FALSE),0)</f>
        <v>1.7</v>
      </c>
      <c r="O156">
        <f>IFERROR(VLOOKUP(E156,[1]Parameters!$A$3:$C$5,3,FALSE),0)</f>
        <v>0</v>
      </c>
      <c r="P156">
        <f>IFERROR(VLOOKUP(F156,[1]Parameters!$A$3:$C$5,3,FALSE),0)</f>
        <v>0</v>
      </c>
      <c r="Q156">
        <f t="shared" si="2"/>
        <v>1.7</v>
      </c>
      <c r="R156" s="10">
        <f>IF('[1]Pizza Sales Calculations'!$G156=TRUE, [1]Parameters!$B$17*'[1]Pizza Sales Calculations'!$L156*2, 0)</f>
        <v>0</v>
      </c>
      <c r="S156" t="str">
        <f>IF(I156&lt;[1]Parameters!$B$21,"TRUE","FALSE")</f>
        <v>TRUE</v>
      </c>
      <c r="T156" s="5">
        <f>(I156/[1]Parameters!$B$25)*60</f>
        <v>0</v>
      </c>
      <c r="U156" s="10">
        <f>IF(AND('[1]Pizza Sales Calculations'!G156=TRUE,'[1]Pizza Sales Calculations'!S156="TRUE"),T156*[1]Parameters!$B$40*2,0)</f>
        <v>0</v>
      </c>
      <c r="V156">
        <f>INDEX([1]Parameters!$A$3:$C$5,MATCH('[1]Pizza Sales Calculations'!D156,[1]Parameters!$A$3:$A$5,0),2)</f>
        <v>10</v>
      </c>
      <c r="W156" t="e">
        <f>INDEX([1]Parameters!$A$3:$C$5,MATCH('[1]Pizza Sales Calculations'!E156,[1]Parameters!$A$3:$A$5,0),2)</f>
        <v>#N/A</v>
      </c>
      <c r="X156" t="e">
        <f>INDEX([1]Parameters!$A$3:$C$5,MATCH('[1]Pizza Sales Calculations'!F156,[1]Parameters!$A$3:$A$5,0),2)</f>
        <v>#N/A</v>
      </c>
    </row>
    <row r="157" spans="1:24" x14ac:dyDescent="0.3">
      <c r="A157">
        <v>156</v>
      </c>
      <c r="B157" s="14">
        <v>42372.541979166665</v>
      </c>
      <c r="C157" s="14">
        <v>42372.552384259259</v>
      </c>
      <c r="D157" t="s">
        <v>3</v>
      </c>
      <c r="G157" t="b">
        <v>1</v>
      </c>
      <c r="H157">
        <v>70803</v>
      </c>
      <c r="I157" s="5">
        <v>2.8244725354184799</v>
      </c>
      <c r="J157" s="14">
        <v>42372.5621875</v>
      </c>
      <c r="K157">
        <v>7.99</v>
      </c>
      <c r="L157" s="5">
        <f>('[1]Pizza Sales Calculations'!$J157-'[1]Pizza Sales Calculations'!$C157)*24*60</f>
        <v>14.116666666232049</v>
      </c>
      <c r="M157">
        <f>COUNTA('[1]Pizza Sales Calculations'!$D157:$F157)</f>
        <v>1</v>
      </c>
      <c r="N157">
        <f>IFERROR(VLOOKUP(D157,[1]Parameters!$A$3:$C$5,3,FALSE),0)</f>
        <v>1</v>
      </c>
      <c r="O157">
        <f>IFERROR(VLOOKUP(E157,[1]Parameters!$A$3:$C$5,3,FALSE),0)</f>
        <v>0</v>
      </c>
      <c r="P157">
        <f>IFERROR(VLOOKUP(F157,[1]Parameters!$A$3:$C$5,3,FALSE),0)</f>
        <v>0</v>
      </c>
      <c r="Q157">
        <f t="shared" si="2"/>
        <v>1</v>
      </c>
      <c r="R157" s="10">
        <f>IF('[1]Pizza Sales Calculations'!$G157=TRUE, [1]Parameters!$B$17*'[1]Pizza Sales Calculations'!$L157*2, 0)</f>
        <v>3.9997222220990807</v>
      </c>
      <c r="S157" t="str">
        <f>IF(I157&lt;[1]Parameters!$B$21,"TRUE","FALSE")</f>
        <v>TRUE</v>
      </c>
      <c r="T157" s="5">
        <f>(I157/[1]Parameters!$B$25)*60</f>
        <v>5.6489450708369597</v>
      </c>
      <c r="U157" s="10">
        <f>IF(AND('[1]Pizza Sales Calculations'!G157=TRUE,'[1]Pizza Sales Calculations'!S157="TRUE"),T157*[1]Parameters!$B$40*2,0)</f>
        <v>0.3526219973568876</v>
      </c>
      <c r="V157">
        <f>INDEX([1]Parameters!$A$3:$C$5,MATCH('[1]Pizza Sales Calculations'!D157,[1]Parameters!$A$3:$A$5,0),2)</f>
        <v>7</v>
      </c>
      <c r="W157" t="e">
        <f>INDEX([1]Parameters!$A$3:$C$5,MATCH('[1]Pizza Sales Calculations'!E157,[1]Parameters!$A$3:$A$5,0),2)</f>
        <v>#N/A</v>
      </c>
      <c r="X157" t="e">
        <f>INDEX([1]Parameters!$A$3:$C$5,MATCH('[1]Pizza Sales Calculations'!F157,[1]Parameters!$A$3:$A$5,0),2)</f>
        <v>#N/A</v>
      </c>
    </row>
    <row r="158" spans="1:24" x14ac:dyDescent="0.3">
      <c r="A158">
        <v>157</v>
      </c>
      <c r="B158" s="14">
        <v>42372.434270833335</v>
      </c>
      <c r="C158" s="14">
        <v>42372.444710648146</v>
      </c>
      <c r="D158" t="s">
        <v>4</v>
      </c>
      <c r="G158" t="b">
        <v>1</v>
      </c>
      <c r="H158">
        <v>70805</v>
      </c>
      <c r="I158" s="5">
        <v>3.58774046179489</v>
      </c>
      <c r="J158" s="14">
        <v>42372.45716435185</v>
      </c>
      <c r="K158">
        <v>11.59</v>
      </c>
      <c r="L158" s="5">
        <f>('[1]Pizza Sales Calculations'!$J158-'[1]Pizza Sales Calculations'!$C158)*24*60</f>
        <v>17.933333334513009</v>
      </c>
      <c r="M158">
        <f>COUNTA('[1]Pizza Sales Calculations'!$D158:$F158)</f>
        <v>1</v>
      </c>
      <c r="N158">
        <f>IFERROR(VLOOKUP(D158,[1]Parameters!$A$3:$C$5,3,FALSE),0)</f>
        <v>1.7</v>
      </c>
      <c r="O158">
        <f>IFERROR(VLOOKUP(E158,[1]Parameters!$A$3:$C$5,3,FALSE),0)</f>
        <v>0</v>
      </c>
      <c r="P158">
        <f>IFERROR(VLOOKUP(F158,[1]Parameters!$A$3:$C$5,3,FALSE),0)</f>
        <v>0</v>
      </c>
      <c r="Q158">
        <f t="shared" si="2"/>
        <v>1.7</v>
      </c>
      <c r="R158" s="10">
        <f>IF('[1]Pizza Sales Calculations'!$G158=TRUE, [1]Parameters!$B$17*'[1]Pizza Sales Calculations'!$L158*2, 0)</f>
        <v>5.0811111114453524</v>
      </c>
      <c r="S158" t="str">
        <f>IF(I158&lt;[1]Parameters!$B$21,"TRUE","FALSE")</f>
        <v>FALSE</v>
      </c>
      <c r="T158" s="5">
        <f>(I158/[1]Parameters!$B$25)*60</f>
        <v>7.1754809235897801</v>
      </c>
      <c r="U158" s="10">
        <f>IF(AND('[1]Pizza Sales Calculations'!G158=TRUE,'[1]Pizza Sales Calculations'!S158="TRUE"),T158*[1]Parameters!$B$40*2,0)</f>
        <v>0</v>
      </c>
      <c r="V158">
        <f>INDEX([1]Parameters!$A$3:$C$5,MATCH('[1]Pizza Sales Calculations'!D158,[1]Parameters!$A$3:$A$5,0),2)</f>
        <v>10</v>
      </c>
      <c r="W158" t="e">
        <f>INDEX([1]Parameters!$A$3:$C$5,MATCH('[1]Pizza Sales Calculations'!E158,[1]Parameters!$A$3:$A$5,0),2)</f>
        <v>#N/A</v>
      </c>
      <c r="X158" t="e">
        <f>INDEX([1]Parameters!$A$3:$C$5,MATCH('[1]Pizza Sales Calculations'!F158,[1]Parameters!$A$3:$A$5,0),2)</f>
        <v>#N/A</v>
      </c>
    </row>
    <row r="159" spans="1:24" x14ac:dyDescent="0.3">
      <c r="A159">
        <v>158</v>
      </c>
      <c r="B159" s="14">
        <v>42372.485520833332</v>
      </c>
      <c r="C159" s="14">
        <v>42372.495937500003</v>
      </c>
      <c r="D159" t="s">
        <v>5</v>
      </c>
      <c r="G159" t="b">
        <v>0</v>
      </c>
      <c r="H159">
        <v>70805</v>
      </c>
      <c r="I159" s="5">
        <v>0</v>
      </c>
      <c r="J159" s="14">
        <v>42372.498020833336</v>
      </c>
      <c r="K159">
        <v>15.35</v>
      </c>
      <c r="L159" s="5">
        <f>('[1]Pizza Sales Calculations'!$J159-'[1]Pizza Sales Calculations'!$C159)*24*60</f>
        <v>2.9999999993015081</v>
      </c>
      <c r="M159">
        <f>COUNTA('[1]Pizza Sales Calculations'!$D159:$F159)</f>
        <v>1</v>
      </c>
      <c r="N159">
        <f>IFERROR(VLOOKUP(D159,[1]Parameters!$A$3:$C$5,3,FALSE),0)</f>
        <v>2.2999999999999998</v>
      </c>
      <c r="O159">
        <f>IFERROR(VLOOKUP(E159,[1]Parameters!$A$3:$C$5,3,FALSE),0)</f>
        <v>0</v>
      </c>
      <c r="P159">
        <f>IFERROR(VLOOKUP(F159,[1]Parameters!$A$3:$C$5,3,FALSE),0)</f>
        <v>0</v>
      </c>
      <c r="Q159">
        <f t="shared" si="2"/>
        <v>2.2999999999999998</v>
      </c>
      <c r="R159" s="10">
        <f>IF('[1]Pizza Sales Calculations'!$G159=TRUE, [1]Parameters!$B$17*'[1]Pizza Sales Calculations'!$L159*2, 0)</f>
        <v>0</v>
      </c>
      <c r="S159" t="str">
        <f>IF(I159&lt;[1]Parameters!$B$21,"TRUE","FALSE")</f>
        <v>TRUE</v>
      </c>
      <c r="T159" s="5">
        <f>(I159/[1]Parameters!$B$25)*60</f>
        <v>0</v>
      </c>
      <c r="U159" s="10">
        <f>IF(AND('[1]Pizza Sales Calculations'!G159=TRUE,'[1]Pizza Sales Calculations'!S159="TRUE"),T159*[1]Parameters!$B$40*2,0)</f>
        <v>0</v>
      </c>
      <c r="V159">
        <f>INDEX([1]Parameters!$A$3:$C$5,MATCH('[1]Pizza Sales Calculations'!D159,[1]Parameters!$A$3:$A$5,0),2)</f>
        <v>14</v>
      </c>
      <c r="W159" t="e">
        <f>INDEX([1]Parameters!$A$3:$C$5,MATCH('[1]Pizza Sales Calculations'!E159,[1]Parameters!$A$3:$A$5,0),2)</f>
        <v>#N/A</v>
      </c>
      <c r="X159" t="e">
        <f>INDEX([1]Parameters!$A$3:$C$5,MATCH('[1]Pizza Sales Calculations'!F159,[1]Parameters!$A$3:$A$5,0),2)</f>
        <v>#N/A</v>
      </c>
    </row>
    <row r="160" spans="1:24" x14ac:dyDescent="0.3">
      <c r="A160">
        <v>159</v>
      </c>
      <c r="B160" s="14">
        <v>42372.540601851855</v>
      </c>
      <c r="C160" s="14">
        <v>42372.551006944443</v>
      </c>
      <c r="D160" t="s">
        <v>5</v>
      </c>
      <c r="G160" t="b">
        <v>1</v>
      </c>
      <c r="H160">
        <v>70804</v>
      </c>
      <c r="I160" s="5">
        <v>3.1195770406569698</v>
      </c>
      <c r="J160" s="14">
        <v>42372.561828703707</v>
      </c>
      <c r="K160">
        <v>15.35</v>
      </c>
      <c r="L160" s="5">
        <f>('[1]Pizza Sales Calculations'!$J160-'[1]Pizza Sales Calculations'!$C160)*24*60</f>
        <v>15.583333340473473</v>
      </c>
      <c r="M160">
        <f>COUNTA('[1]Pizza Sales Calculations'!$D160:$F160)</f>
        <v>1</v>
      </c>
      <c r="N160">
        <f>IFERROR(VLOOKUP(D160,[1]Parameters!$A$3:$C$5,3,FALSE),0)</f>
        <v>2.2999999999999998</v>
      </c>
      <c r="O160">
        <f>IFERROR(VLOOKUP(E160,[1]Parameters!$A$3:$C$5,3,FALSE),0)</f>
        <v>0</v>
      </c>
      <c r="P160">
        <f>IFERROR(VLOOKUP(F160,[1]Parameters!$A$3:$C$5,3,FALSE),0)</f>
        <v>0</v>
      </c>
      <c r="Q160">
        <f t="shared" si="2"/>
        <v>2.2999999999999998</v>
      </c>
      <c r="R160" s="10">
        <f>IF('[1]Pizza Sales Calculations'!$G160=TRUE, [1]Parameters!$B$17*'[1]Pizza Sales Calculations'!$L160*2, 0)</f>
        <v>4.4152777798008174</v>
      </c>
      <c r="S160" t="str">
        <f>IF(I160&lt;[1]Parameters!$B$21,"TRUE","FALSE")</f>
        <v>TRUE</v>
      </c>
      <c r="T160" s="5">
        <f>(I160/[1]Parameters!$B$25)*60</f>
        <v>6.2391540813139397</v>
      </c>
      <c r="U160" s="10">
        <f>IF(AND('[1]Pizza Sales Calculations'!G160=TRUE,'[1]Pizza Sales Calculations'!S160="TRUE"),T160*[1]Parameters!$B$40*2,0)</f>
        <v>0.38946439492362284</v>
      </c>
      <c r="V160">
        <f>INDEX([1]Parameters!$A$3:$C$5,MATCH('[1]Pizza Sales Calculations'!D160,[1]Parameters!$A$3:$A$5,0),2)</f>
        <v>14</v>
      </c>
      <c r="W160" t="e">
        <f>INDEX([1]Parameters!$A$3:$C$5,MATCH('[1]Pizza Sales Calculations'!E160,[1]Parameters!$A$3:$A$5,0),2)</f>
        <v>#N/A</v>
      </c>
      <c r="X160" t="e">
        <f>INDEX([1]Parameters!$A$3:$C$5,MATCH('[1]Pizza Sales Calculations'!F160,[1]Parameters!$A$3:$A$5,0),2)</f>
        <v>#N/A</v>
      </c>
    </row>
    <row r="161" spans="1:24" x14ac:dyDescent="0.3">
      <c r="A161">
        <v>160</v>
      </c>
      <c r="B161" s="14">
        <v>42372.423078703701</v>
      </c>
      <c r="C161" s="14">
        <v>42372.433506944442</v>
      </c>
      <c r="D161" t="s">
        <v>5</v>
      </c>
      <c r="G161" t="b">
        <v>0</v>
      </c>
      <c r="H161">
        <v>70804</v>
      </c>
      <c r="I161" s="5">
        <v>0</v>
      </c>
      <c r="J161" s="14">
        <v>42372.435578703706</v>
      </c>
      <c r="K161">
        <v>15.35</v>
      </c>
      <c r="L161" s="5">
        <f>('[1]Pizza Sales Calculations'!$J161-'[1]Pizza Sales Calculations'!$C161)*24*60</f>
        <v>2.9833333392161876</v>
      </c>
      <c r="M161">
        <f>COUNTA('[1]Pizza Sales Calculations'!$D161:$F161)</f>
        <v>1</v>
      </c>
      <c r="N161">
        <f>IFERROR(VLOOKUP(D161,[1]Parameters!$A$3:$C$5,3,FALSE),0)</f>
        <v>2.2999999999999998</v>
      </c>
      <c r="O161">
        <f>IFERROR(VLOOKUP(E161,[1]Parameters!$A$3:$C$5,3,FALSE),0)</f>
        <v>0</v>
      </c>
      <c r="P161">
        <f>IFERROR(VLOOKUP(F161,[1]Parameters!$A$3:$C$5,3,FALSE),0)</f>
        <v>0</v>
      </c>
      <c r="Q161">
        <f t="shared" si="2"/>
        <v>2.2999999999999998</v>
      </c>
      <c r="R161" s="10">
        <f>IF('[1]Pizza Sales Calculations'!$G161=TRUE, [1]Parameters!$B$17*'[1]Pizza Sales Calculations'!$L161*2, 0)</f>
        <v>0</v>
      </c>
      <c r="S161" t="str">
        <f>IF(I161&lt;[1]Parameters!$B$21,"TRUE","FALSE")</f>
        <v>TRUE</v>
      </c>
      <c r="T161" s="5">
        <f>(I161/[1]Parameters!$B$25)*60</f>
        <v>0</v>
      </c>
      <c r="U161" s="10">
        <f>IF(AND('[1]Pizza Sales Calculations'!G161=TRUE,'[1]Pizza Sales Calculations'!S161="TRUE"),T161*[1]Parameters!$B$40*2,0)</f>
        <v>0</v>
      </c>
      <c r="V161">
        <f>INDEX([1]Parameters!$A$3:$C$5,MATCH('[1]Pizza Sales Calculations'!D161,[1]Parameters!$A$3:$A$5,0),2)</f>
        <v>14</v>
      </c>
      <c r="W161" t="e">
        <f>INDEX([1]Parameters!$A$3:$C$5,MATCH('[1]Pizza Sales Calculations'!E161,[1]Parameters!$A$3:$A$5,0),2)</f>
        <v>#N/A</v>
      </c>
      <c r="X161" t="e">
        <f>INDEX([1]Parameters!$A$3:$C$5,MATCH('[1]Pizza Sales Calculations'!F161,[1]Parameters!$A$3:$A$5,0),2)</f>
        <v>#N/A</v>
      </c>
    </row>
    <row r="162" spans="1:24" x14ac:dyDescent="0.3">
      <c r="A162">
        <v>161</v>
      </c>
      <c r="B162" s="14">
        <v>42372.462337962963</v>
      </c>
      <c r="C162" s="14">
        <v>42372.472754629627</v>
      </c>
      <c r="D162" t="s">
        <v>4</v>
      </c>
      <c r="G162" t="b">
        <v>0</v>
      </c>
      <c r="H162">
        <v>70803</v>
      </c>
      <c r="I162" s="5">
        <v>0</v>
      </c>
      <c r="J162" s="14">
        <v>42372.474849537037</v>
      </c>
      <c r="K162">
        <v>11.59</v>
      </c>
      <c r="L162" s="5">
        <f>('[1]Pizza Sales Calculations'!$J162-'[1]Pizza Sales Calculations'!$C162)*24*60</f>
        <v>3.0166666698642075</v>
      </c>
      <c r="M162">
        <f>COUNTA('[1]Pizza Sales Calculations'!$D162:$F162)</f>
        <v>1</v>
      </c>
      <c r="N162">
        <f>IFERROR(VLOOKUP(D162,[1]Parameters!$A$3:$C$5,3,FALSE),0)</f>
        <v>1.7</v>
      </c>
      <c r="O162">
        <f>IFERROR(VLOOKUP(E162,[1]Parameters!$A$3:$C$5,3,FALSE),0)</f>
        <v>0</v>
      </c>
      <c r="P162">
        <f>IFERROR(VLOOKUP(F162,[1]Parameters!$A$3:$C$5,3,FALSE),0)</f>
        <v>0</v>
      </c>
      <c r="Q162">
        <f t="shared" si="2"/>
        <v>1.7</v>
      </c>
      <c r="R162" s="10">
        <f>IF('[1]Pizza Sales Calculations'!$G162=TRUE, [1]Parameters!$B$17*'[1]Pizza Sales Calculations'!$L162*2, 0)</f>
        <v>0</v>
      </c>
      <c r="S162" t="str">
        <f>IF(I162&lt;[1]Parameters!$B$21,"TRUE","FALSE")</f>
        <v>TRUE</v>
      </c>
      <c r="T162" s="5">
        <f>(I162/[1]Parameters!$B$25)*60</f>
        <v>0</v>
      </c>
      <c r="U162" s="10">
        <f>IF(AND('[1]Pizza Sales Calculations'!G162=TRUE,'[1]Pizza Sales Calculations'!S162="TRUE"),T162*[1]Parameters!$B$40*2,0)</f>
        <v>0</v>
      </c>
      <c r="V162">
        <f>INDEX([1]Parameters!$A$3:$C$5,MATCH('[1]Pizza Sales Calculations'!D162,[1]Parameters!$A$3:$A$5,0),2)</f>
        <v>10</v>
      </c>
      <c r="W162" t="e">
        <f>INDEX([1]Parameters!$A$3:$C$5,MATCH('[1]Pizza Sales Calculations'!E162,[1]Parameters!$A$3:$A$5,0),2)</f>
        <v>#N/A</v>
      </c>
      <c r="X162" t="e">
        <f>INDEX([1]Parameters!$A$3:$C$5,MATCH('[1]Pizza Sales Calculations'!F162,[1]Parameters!$A$3:$A$5,0),2)</f>
        <v>#N/A</v>
      </c>
    </row>
    <row r="163" spans="1:24" x14ac:dyDescent="0.3">
      <c r="A163">
        <v>162</v>
      </c>
      <c r="B163" s="14">
        <v>42372.475231481483</v>
      </c>
      <c r="C163" s="14">
        <v>42372.485648148147</v>
      </c>
      <c r="D163" t="s">
        <v>4</v>
      </c>
      <c r="G163" t="b">
        <v>0</v>
      </c>
      <c r="H163">
        <v>70807</v>
      </c>
      <c r="I163" s="5">
        <v>0</v>
      </c>
      <c r="J163" s="14">
        <v>42372.48773148148</v>
      </c>
      <c r="K163">
        <v>11.59</v>
      </c>
      <c r="L163" s="5">
        <f>('[1]Pizza Sales Calculations'!$J163-'[1]Pizza Sales Calculations'!$C163)*24*60</f>
        <v>2.9999999993015081</v>
      </c>
      <c r="M163">
        <f>COUNTA('[1]Pizza Sales Calculations'!$D163:$F163)</f>
        <v>1</v>
      </c>
      <c r="N163">
        <f>IFERROR(VLOOKUP(D163,[1]Parameters!$A$3:$C$5,3,FALSE),0)</f>
        <v>1.7</v>
      </c>
      <c r="O163">
        <f>IFERROR(VLOOKUP(E163,[1]Parameters!$A$3:$C$5,3,FALSE),0)</f>
        <v>0</v>
      </c>
      <c r="P163">
        <f>IFERROR(VLOOKUP(F163,[1]Parameters!$A$3:$C$5,3,FALSE),0)</f>
        <v>0</v>
      </c>
      <c r="Q163">
        <f t="shared" si="2"/>
        <v>1.7</v>
      </c>
      <c r="R163" s="10">
        <f>IF('[1]Pizza Sales Calculations'!$G163=TRUE, [1]Parameters!$B$17*'[1]Pizza Sales Calculations'!$L163*2, 0)</f>
        <v>0</v>
      </c>
      <c r="S163" t="str">
        <f>IF(I163&lt;[1]Parameters!$B$21,"TRUE","FALSE")</f>
        <v>TRUE</v>
      </c>
      <c r="T163" s="5">
        <f>(I163/[1]Parameters!$B$25)*60</f>
        <v>0</v>
      </c>
      <c r="U163" s="10">
        <f>IF(AND('[1]Pizza Sales Calculations'!G163=TRUE,'[1]Pizza Sales Calculations'!S163="TRUE"),T163*[1]Parameters!$B$40*2,0)</f>
        <v>0</v>
      </c>
      <c r="V163">
        <f>INDEX([1]Parameters!$A$3:$C$5,MATCH('[1]Pizza Sales Calculations'!D163,[1]Parameters!$A$3:$A$5,0),2)</f>
        <v>10</v>
      </c>
      <c r="W163" t="e">
        <f>INDEX([1]Parameters!$A$3:$C$5,MATCH('[1]Pizza Sales Calculations'!E163,[1]Parameters!$A$3:$A$5,0),2)</f>
        <v>#N/A</v>
      </c>
      <c r="X163" t="e">
        <f>INDEX([1]Parameters!$A$3:$C$5,MATCH('[1]Pizza Sales Calculations'!F163,[1]Parameters!$A$3:$A$5,0),2)</f>
        <v>#N/A</v>
      </c>
    </row>
    <row r="164" spans="1:24" x14ac:dyDescent="0.3">
      <c r="A164">
        <v>163</v>
      </c>
      <c r="B164" s="14">
        <v>42372.475856481484</v>
      </c>
      <c r="C164" s="14">
        <v>42372.486261574071</v>
      </c>
      <c r="D164" t="s">
        <v>3</v>
      </c>
      <c r="E164" t="s">
        <v>4</v>
      </c>
      <c r="G164" t="b">
        <v>0</v>
      </c>
      <c r="H164">
        <v>70805</v>
      </c>
      <c r="I164" s="5">
        <v>0</v>
      </c>
      <c r="J164" s="14">
        <v>42372.488333333335</v>
      </c>
      <c r="K164">
        <v>19.579999999999998</v>
      </c>
      <c r="L164" s="5">
        <f>('[1]Pizza Sales Calculations'!$J164-'[1]Pizza Sales Calculations'!$C164)*24*60</f>
        <v>2.9833333392161876</v>
      </c>
      <c r="M164">
        <f>COUNTA('[1]Pizza Sales Calculations'!$D164:$F164)</f>
        <v>2</v>
      </c>
      <c r="N164">
        <f>IFERROR(VLOOKUP(D164,[1]Parameters!$A$3:$C$5,3,FALSE),0)</f>
        <v>1</v>
      </c>
      <c r="O164">
        <f>IFERROR(VLOOKUP(E164,[1]Parameters!$A$3:$C$5,3,FALSE),0)</f>
        <v>1.7</v>
      </c>
      <c r="P164">
        <f>IFERROR(VLOOKUP(F164,[1]Parameters!$A$3:$C$5,3,FALSE),0)</f>
        <v>0</v>
      </c>
      <c r="Q164">
        <f t="shared" si="2"/>
        <v>2.7</v>
      </c>
      <c r="R164" s="10">
        <f>IF('[1]Pizza Sales Calculations'!$G164=TRUE, [1]Parameters!$B$17*'[1]Pizza Sales Calculations'!$L164*2, 0)</f>
        <v>0</v>
      </c>
      <c r="S164" t="str">
        <f>IF(I164&lt;[1]Parameters!$B$21,"TRUE","FALSE")</f>
        <v>TRUE</v>
      </c>
      <c r="T164" s="5">
        <f>(I164/[1]Parameters!$B$25)*60</f>
        <v>0</v>
      </c>
      <c r="U164" s="10">
        <f>IF(AND('[1]Pizza Sales Calculations'!G164=TRUE,'[1]Pizza Sales Calculations'!S164="TRUE"),T164*[1]Parameters!$B$40*2,0)</f>
        <v>0</v>
      </c>
      <c r="V164">
        <f>INDEX([1]Parameters!$A$3:$C$5,MATCH('[1]Pizza Sales Calculations'!D164,[1]Parameters!$A$3:$A$5,0),2)</f>
        <v>7</v>
      </c>
      <c r="W164">
        <f>INDEX([1]Parameters!$A$3:$C$5,MATCH('[1]Pizza Sales Calculations'!E164,[1]Parameters!$A$3:$A$5,0),2)</f>
        <v>10</v>
      </c>
      <c r="X164" t="e">
        <f>INDEX([1]Parameters!$A$3:$C$5,MATCH('[1]Pizza Sales Calculations'!F164,[1]Parameters!$A$3:$A$5,0),2)</f>
        <v>#N/A</v>
      </c>
    </row>
    <row r="165" spans="1:24" x14ac:dyDescent="0.3">
      <c r="A165">
        <v>164</v>
      </c>
      <c r="B165" s="14">
        <v>42372.444918981484</v>
      </c>
      <c r="C165" s="14">
        <v>42372.455347222225</v>
      </c>
      <c r="D165" t="s">
        <v>3</v>
      </c>
      <c r="G165" t="b">
        <v>1</v>
      </c>
      <c r="H165">
        <v>70805</v>
      </c>
      <c r="I165" s="5">
        <v>2.5232496176094901</v>
      </c>
      <c r="J165" s="14">
        <v>42372.464097222219</v>
      </c>
      <c r="K165">
        <v>7.99</v>
      </c>
      <c r="L165" s="5">
        <f>('[1]Pizza Sales Calculations'!$J165-'[1]Pizza Sales Calculations'!$C165)*24*60</f>
        <v>12.599999990779907</v>
      </c>
      <c r="M165">
        <f>COUNTA('[1]Pizza Sales Calculations'!$D165:$F165)</f>
        <v>1</v>
      </c>
      <c r="N165">
        <f>IFERROR(VLOOKUP(D165,[1]Parameters!$A$3:$C$5,3,FALSE),0)</f>
        <v>1</v>
      </c>
      <c r="O165">
        <f>IFERROR(VLOOKUP(E165,[1]Parameters!$A$3:$C$5,3,FALSE),0)</f>
        <v>0</v>
      </c>
      <c r="P165">
        <f>IFERROR(VLOOKUP(F165,[1]Parameters!$A$3:$C$5,3,FALSE),0)</f>
        <v>0</v>
      </c>
      <c r="Q165">
        <f t="shared" si="2"/>
        <v>1</v>
      </c>
      <c r="R165" s="10">
        <f>IF('[1]Pizza Sales Calculations'!$G165=TRUE, [1]Parameters!$B$17*'[1]Pizza Sales Calculations'!$L165*2, 0)</f>
        <v>3.5699999973876402</v>
      </c>
      <c r="S165" t="str">
        <f>IF(I165&lt;[1]Parameters!$B$21,"TRUE","FALSE")</f>
        <v>TRUE</v>
      </c>
      <c r="T165" s="5">
        <f>(I165/[1]Parameters!$B$25)*60</f>
        <v>5.0464992352189801</v>
      </c>
      <c r="U165" s="10">
        <f>IF(AND('[1]Pizza Sales Calculations'!G165=TRUE,'[1]Pizza Sales Calculations'!S165="TRUE"),T165*[1]Parameters!$B$40*2,0)</f>
        <v>0.31501574500515844</v>
      </c>
      <c r="V165">
        <f>INDEX([1]Parameters!$A$3:$C$5,MATCH('[1]Pizza Sales Calculations'!D165,[1]Parameters!$A$3:$A$5,0),2)</f>
        <v>7</v>
      </c>
      <c r="W165" t="e">
        <f>INDEX([1]Parameters!$A$3:$C$5,MATCH('[1]Pizza Sales Calculations'!E165,[1]Parameters!$A$3:$A$5,0),2)</f>
        <v>#N/A</v>
      </c>
      <c r="X165" t="e">
        <f>INDEX([1]Parameters!$A$3:$C$5,MATCH('[1]Pizza Sales Calculations'!F165,[1]Parameters!$A$3:$A$5,0),2)</f>
        <v>#N/A</v>
      </c>
    </row>
    <row r="166" spans="1:24" x14ac:dyDescent="0.3">
      <c r="A166">
        <v>165</v>
      </c>
      <c r="B166" s="14">
        <v>42372.425949074073</v>
      </c>
      <c r="C166" s="14">
        <v>42372.436365740738</v>
      </c>
      <c r="D166" t="s">
        <v>5</v>
      </c>
      <c r="G166" t="b">
        <v>1</v>
      </c>
      <c r="H166">
        <v>70804</v>
      </c>
      <c r="I166" s="5">
        <v>3.0800948348212001</v>
      </c>
      <c r="J166" s="14">
        <v>42372.447060185186</v>
      </c>
      <c r="K166">
        <v>15.35</v>
      </c>
      <c r="L166" s="5">
        <f>('[1]Pizza Sales Calculations'!$J166-'[1]Pizza Sales Calculations'!$C166)*24*60</f>
        <v>15.400000006193295</v>
      </c>
      <c r="M166">
        <f>COUNTA('[1]Pizza Sales Calculations'!$D166:$F166)</f>
        <v>1</v>
      </c>
      <c r="N166">
        <f>IFERROR(VLOOKUP(D166,[1]Parameters!$A$3:$C$5,3,FALSE),0)</f>
        <v>2.2999999999999998</v>
      </c>
      <c r="O166">
        <f>IFERROR(VLOOKUP(E166,[1]Parameters!$A$3:$C$5,3,FALSE),0)</f>
        <v>0</v>
      </c>
      <c r="P166">
        <f>IFERROR(VLOOKUP(F166,[1]Parameters!$A$3:$C$5,3,FALSE),0)</f>
        <v>0</v>
      </c>
      <c r="Q166">
        <f t="shared" si="2"/>
        <v>2.2999999999999998</v>
      </c>
      <c r="R166" s="10">
        <f>IF('[1]Pizza Sales Calculations'!$G166=TRUE, [1]Parameters!$B$17*'[1]Pizza Sales Calculations'!$L166*2, 0)</f>
        <v>4.3633333350881003</v>
      </c>
      <c r="S166" t="str">
        <f>IF(I166&lt;[1]Parameters!$B$21,"TRUE","FALSE")</f>
        <v>TRUE</v>
      </c>
      <c r="T166" s="5">
        <f>(I166/[1]Parameters!$B$25)*60</f>
        <v>6.1601896696424001</v>
      </c>
      <c r="U166" s="10">
        <f>IF(AND('[1]Pizza Sales Calculations'!G166=TRUE,'[1]Pizza Sales Calculations'!S166="TRUE"),T166*[1]Parameters!$B$40*2,0)</f>
        <v>0.38453522882011809</v>
      </c>
      <c r="V166">
        <f>INDEX([1]Parameters!$A$3:$C$5,MATCH('[1]Pizza Sales Calculations'!D166,[1]Parameters!$A$3:$A$5,0),2)</f>
        <v>14</v>
      </c>
      <c r="W166" t="e">
        <f>INDEX([1]Parameters!$A$3:$C$5,MATCH('[1]Pizza Sales Calculations'!E166,[1]Parameters!$A$3:$A$5,0),2)</f>
        <v>#N/A</v>
      </c>
      <c r="X166" t="e">
        <f>INDEX([1]Parameters!$A$3:$C$5,MATCH('[1]Pizza Sales Calculations'!F166,[1]Parameters!$A$3:$A$5,0),2)</f>
        <v>#N/A</v>
      </c>
    </row>
    <row r="167" spans="1:24" x14ac:dyDescent="0.3">
      <c r="A167">
        <v>166</v>
      </c>
      <c r="B167" s="14">
        <v>42372.509328703702</v>
      </c>
      <c r="C167" s="14">
        <v>42372.519733796296</v>
      </c>
      <c r="D167" t="s">
        <v>5</v>
      </c>
      <c r="G167" t="b">
        <v>1</v>
      </c>
      <c r="H167">
        <v>70805</v>
      </c>
      <c r="I167" s="5">
        <v>4.2014211155238499</v>
      </c>
      <c r="J167" s="14">
        <v>42372.534317129626</v>
      </c>
      <c r="K167">
        <v>15.35</v>
      </c>
      <c r="L167" s="5">
        <f>('[1]Pizza Sales Calculations'!$J167-'[1]Pizza Sales Calculations'!$C167)*24*60</f>
        <v>20.999999995110556</v>
      </c>
      <c r="M167">
        <f>COUNTA('[1]Pizza Sales Calculations'!$D167:$F167)</f>
        <v>1</v>
      </c>
      <c r="N167">
        <f>IFERROR(VLOOKUP(D167,[1]Parameters!$A$3:$C$5,3,FALSE),0)</f>
        <v>2.2999999999999998</v>
      </c>
      <c r="O167">
        <f>IFERROR(VLOOKUP(E167,[1]Parameters!$A$3:$C$5,3,FALSE),0)</f>
        <v>0</v>
      </c>
      <c r="P167">
        <f>IFERROR(VLOOKUP(F167,[1]Parameters!$A$3:$C$5,3,FALSE),0)</f>
        <v>0</v>
      </c>
      <c r="Q167">
        <f t="shared" si="2"/>
        <v>2.2999999999999998</v>
      </c>
      <c r="R167" s="10">
        <f>IF('[1]Pizza Sales Calculations'!$G167=TRUE, [1]Parameters!$B$17*'[1]Pizza Sales Calculations'!$L167*2, 0)</f>
        <v>5.9499999986146577</v>
      </c>
      <c r="S167" t="str">
        <f>IF(I167&lt;[1]Parameters!$B$21,"TRUE","FALSE")</f>
        <v>FALSE</v>
      </c>
      <c r="T167" s="5">
        <f>(I167/[1]Parameters!$B$25)*60</f>
        <v>8.4028422310476998</v>
      </c>
      <c r="U167" s="10">
        <f>IF(AND('[1]Pizza Sales Calculations'!G167=TRUE,'[1]Pizza Sales Calculations'!S167="TRUE"),T167*[1]Parameters!$B$40*2,0)</f>
        <v>0</v>
      </c>
      <c r="V167">
        <f>INDEX([1]Parameters!$A$3:$C$5,MATCH('[1]Pizza Sales Calculations'!D167,[1]Parameters!$A$3:$A$5,0),2)</f>
        <v>14</v>
      </c>
      <c r="W167" t="e">
        <f>INDEX([1]Parameters!$A$3:$C$5,MATCH('[1]Pizza Sales Calculations'!E167,[1]Parameters!$A$3:$A$5,0),2)</f>
        <v>#N/A</v>
      </c>
      <c r="X167" t="e">
        <f>INDEX([1]Parameters!$A$3:$C$5,MATCH('[1]Pizza Sales Calculations'!F167,[1]Parameters!$A$3:$A$5,0),2)</f>
        <v>#N/A</v>
      </c>
    </row>
    <row r="168" spans="1:24" x14ac:dyDescent="0.3">
      <c r="A168">
        <v>167</v>
      </c>
      <c r="B168" s="14">
        <v>42372.487905092596</v>
      </c>
      <c r="C168" s="14">
        <v>42372.498298611114</v>
      </c>
      <c r="D168" t="s">
        <v>5</v>
      </c>
      <c r="G168" t="b">
        <v>0</v>
      </c>
      <c r="H168">
        <v>70804</v>
      </c>
      <c r="I168" s="5">
        <v>0</v>
      </c>
      <c r="J168" s="14">
        <v>42372.50037037037</v>
      </c>
      <c r="K168">
        <v>15.35</v>
      </c>
      <c r="L168" s="5">
        <f>('[1]Pizza Sales Calculations'!$J168-'[1]Pizza Sales Calculations'!$C168)*24*60</f>
        <v>2.9833333287388086</v>
      </c>
      <c r="M168">
        <f>COUNTA('[1]Pizza Sales Calculations'!$D168:$F168)</f>
        <v>1</v>
      </c>
      <c r="N168">
        <f>IFERROR(VLOOKUP(D168,[1]Parameters!$A$3:$C$5,3,FALSE),0)</f>
        <v>2.2999999999999998</v>
      </c>
      <c r="O168">
        <f>IFERROR(VLOOKUP(E168,[1]Parameters!$A$3:$C$5,3,FALSE),0)</f>
        <v>0</v>
      </c>
      <c r="P168">
        <f>IFERROR(VLOOKUP(F168,[1]Parameters!$A$3:$C$5,3,FALSE),0)</f>
        <v>0</v>
      </c>
      <c r="Q168">
        <f t="shared" si="2"/>
        <v>2.2999999999999998</v>
      </c>
      <c r="R168" s="10">
        <f>IF('[1]Pizza Sales Calculations'!$G168=TRUE, [1]Parameters!$B$17*'[1]Pizza Sales Calculations'!$L168*2, 0)</f>
        <v>0</v>
      </c>
      <c r="S168" t="str">
        <f>IF(I168&lt;[1]Parameters!$B$21,"TRUE","FALSE")</f>
        <v>TRUE</v>
      </c>
      <c r="T168" s="5">
        <f>(I168/[1]Parameters!$B$25)*60</f>
        <v>0</v>
      </c>
      <c r="U168" s="10">
        <f>IF(AND('[1]Pizza Sales Calculations'!G168=TRUE,'[1]Pizza Sales Calculations'!S168="TRUE"),T168*[1]Parameters!$B$40*2,0)</f>
        <v>0</v>
      </c>
      <c r="V168">
        <f>INDEX([1]Parameters!$A$3:$C$5,MATCH('[1]Pizza Sales Calculations'!D168,[1]Parameters!$A$3:$A$5,0),2)</f>
        <v>14</v>
      </c>
      <c r="W168" t="e">
        <f>INDEX([1]Parameters!$A$3:$C$5,MATCH('[1]Pizza Sales Calculations'!E168,[1]Parameters!$A$3:$A$5,0),2)</f>
        <v>#N/A</v>
      </c>
      <c r="X168" t="e">
        <f>INDEX([1]Parameters!$A$3:$C$5,MATCH('[1]Pizza Sales Calculations'!F168,[1]Parameters!$A$3:$A$5,0),2)</f>
        <v>#N/A</v>
      </c>
    </row>
    <row r="169" spans="1:24" x14ac:dyDescent="0.3">
      <c r="A169">
        <v>168</v>
      </c>
      <c r="B169" s="14">
        <v>42372.430937500001</v>
      </c>
      <c r="C169" s="14">
        <v>42372.441365740742</v>
      </c>
      <c r="D169" t="s">
        <v>3</v>
      </c>
      <c r="G169" t="b">
        <v>0</v>
      </c>
      <c r="H169">
        <v>70804</v>
      </c>
      <c r="I169" s="5">
        <v>0</v>
      </c>
      <c r="J169" s="14">
        <v>42372.443460648145</v>
      </c>
      <c r="K169">
        <v>7.99</v>
      </c>
      <c r="L169" s="5">
        <f>('[1]Pizza Sales Calculations'!$J169-'[1]Pizza Sales Calculations'!$C169)*24*60</f>
        <v>3.0166666593868285</v>
      </c>
      <c r="M169">
        <f>COUNTA('[1]Pizza Sales Calculations'!$D169:$F169)</f>
        <v>1</v>
      </c>
      <c r="N169">
        <f>IFERROR(VLOOKUP(D169,[1]Parameters!$A$3:$C$5,3,FALSE),0)</f>
        <v>1</v>
      </c>
      <c r="O169">
        <f>IFERROR(VLOOKUP(E169,[1]Parameters!$A$3:$C$5,3,FALSE),0)</f>
        <v>0</v>
      </c>
      <c r="P169">
        <f>IFERROR(VLOOKUP(F169,[1]Parameters!$A$3:$C$5,3,FALSE),0)</f>
        <v>0</v>
      </c>
      <c r="Q169">
        <f t="shared" si="2"/>
        <v>1</v>
      </c>
      <c r="R169" s="10">
        <f>IF('[1]Pizza Sales Calculations'!$G169=TRUE, [1]Parameters!$B$17*'[1]Pizza Sales Calculations'!$L169*2, 0)</f>
        <v>0</v>
      </c>
      <c r="S169" t="str">
        <f>IF(I169&lt;[1]Parameters!$B$21,"TRUE","FALSE")</f>
        <v>TRUE</v>
      </c>
      <c r="T169" s="5">
        <f>(I169/[1]Parameters!$B$25)*60</f>
        <v>0</v>
      </c>
      <c r="U169" s="10">
        <f>IF(AND('[1]Pizza Sales Calculations'!G169=TRUE,'[1]Pizza Sales Calculations'!S169="TRUE"),T169*[1]Parameters!$B$40*2,0)</f>
        <v>0</v>
      </c>
      <c r="V169">
        <f>INDEX([1]Parameters!$A$3:$C$5,MATCH('[1]Pizza Sales Calculations'!D169,[1]Parameters!$A$3:$A$5,0),2)</f>
        <v>7</v>
      </c>
      <c r="W169" t="e">
        <f>INDEX([1]Parameters!$A$3:$C$5,MATCH('[1]Pizza Sales Calculations'!E169,[1]Parameters!$A$3:$A$5,0),2)</f>
        <v>#N/A</v>
      </c>
      <c r="X169" t="e">
        <f>INDEX([1]Parameters!$A$3:$C$5,MATCH('[1]Pizza Sales Calculations'!F169,[1]Parameters!$A$3:$A$5,0),2)</f>
        <v>#N/A</v>
      </c>
    </row>
    <row r="170" spans="1:24" x14ac:dyDescent="0.3">
      <c r="A170">
        <v>169</v>
      </c>
      <c r="B170" s="14">
        <v>42372.477997685186</v>
      </c>
      <c r="C170" s="14">
        <v>42372.488391203704</v>
      </c>
      <c r="D170" t="s">
        <v>3</v>
      </c>
      <c r="E170" t="s">
        <v>4</v>
      </c>
      <c r="G170" t="b">
        <v>1</v>
      </c>
      <c r="H170">
        <v>70804</v>
      </c>
      <c r="I170" s="5">
        <v>3.5411970538845599</v>
      </c>
      <c r="J170" s="14">
        <v>42372.50068287037</v>
      </c>
      <c r="K170">
        <v>19.579999999999998</v>
      </c>
      <c r="L170" s="5">
        <f>('[1]Pizza Sales Calculations'!$J170-'[1]Pizza Sales Calculations'!$C170)*24*60</f>
        <v>17.699999999022111</v>
      </c>
      <c r="M170">
        <f>COUNTA('[1]Pizza Sales Calculations'!$D170:$F170)</f>
        <v>2</v>
      </c>
      <c r="N170">
        <f>IFERROR(VLOOKUP(D170,[1]Parameters!$A$3:$C$5,3,FALSE),0)</f>
        <v>1</v>
      </c>
      <c r="O170">
        <f>IFERROR(VLOOKUP(E170,[1]Parameters!$A$3:$C$5,3,FALSE),0)</f>
        <v>1.7</v>
      </c>
      <c r="P170">
        <f>IFERROR(VLOOKUP(F170,[1]Parameters!$A$3:$C$5,3,FALSE),0)</f>
        <v>0</v>
      </c>
      <c r="Q170">
        <f t="shared" si="2"/>
        <v>2.7</v>
      </c>
      <c r="R170" s="10">
        <f>IF('[1]Pizza Sales Calculations'!$G170=TRUE, [1]Parameters!$B$17*'[1]Pizza Sales Calculations'!$L170*2, 0)</f>
        <v>5.0149999997229315</v>
      </c>
      <c r="S170" t="str">
        <f>IF(I170&lt;[1]Parameters!$B$21,"TRUE","FALSE")</f>
        <v>FALSE</v>
      </c>
      <c r="T170" s="5">
        <f>(I170/[1]Parameters!$B$25)*60</f>
        <v>7.0823941077691197</v>
      </c>
      <c r="U170" s="10">
        <f>IF(AND('[1]Pizza Sales Calculations'!G170=TRUE,'[1]Pizza Sales Calculations'!S170="TRUE"),T170*[1]Parameters!$B$40*2,0)</f>
        <v>0</v>
      </c>
      <c r="V170">
        <f>INDEX([1]Parameters!$A$3:$C$5,MATCH('[1]Pizza Sales Calculations'!D170,[1]Parameters!$A$3:$A$5,0),2)</f>
        <v>7</v>
      </c>
      <c r="W170">
        <f>INDEX([1]Parameters!$A$3:$C$5,MATCH('[1]Pizza Sales Calculations'!E170,[1]Parameters!$A$3:$A$5,0),2)</f>
        <v>10</v>
      </c>
      <c r="X170" t="e">
        <f>INDEX([1]Parameters!$A$3:$C$5,MATCH('[1]Pizza Sales Calculations'!F170,[1]Parameters!$A$3:$A$5,0),2)</f>
        <v>#N/A</v>
      </c>
    </row>
    <row r="171" spans="1:24" x14ac:dyDescent="0.3">
      <c r="A171">
        <v>170</v>
      </c>
      <c r="B171" s="14">
        <v>42372.539236111108</v>
      </c>
      <c r="C171" s="14">
        <v>42372.54965277778</v>
      </c>
      <c r="D171" t="s">
        <v>5</v>
      </c>
      <c r="G171" t="b">
        <v>0</v>
      </c>
      <c r="H171">
        <v>70805</v>
      </c>
      <c r="I171" s="5">
        <v>0</v>
      </c>
      <c r="J171" s="14">
        <v>42372.551724537036</v>
      </c>
      <c r="K171">
        <v>15.35</v>
      </c>
      <c r="L171" s="5">
        <f>('[1]Pizza Sales Calculations'!$J171-'[1]Pizza Sales Calculations'!$C171)*24*60</f>
        <v>2.9833333287388086</v>
      </c>
      <c r="M171">
        <f>COUNTA('[1]Pizza Sales Calculations'!$D171:$F171)</f>
        <v>1</v>
      </c>
      <c r="N171">
        <f>IFERROR(VLOOKUP(D171,[1]Parameters!$A$3:$C$5,3,FALSE),0)</f>
        <v>2.2999999999999998</v>
      </c>
      <c r="O171">
        <f>IFERROR(VLOOKUP(E171,[1]Parameters!$A$3:$C$5,3,FALSE),0)</f>
        <v>0</v>
      </c>
      <c r="P171">
        <f>IFERROR(VLOOKUP(F171,[1]Parameters!$A$3:$C$5,3,FALSE),0)</f>
        <v>0</v>
      </c>
      <c r="Q171">
        <f t="shared" si="2"/>
        <v>2.2999999999999998</v>
      </c>
      <c r="R171" s="10">
        <f>IF('[1]Pizza Sales Calculations'!$G171=TRUE, [1]Parameters!$B$17*'[1]Pizza Sales Calculations'!$L171*2, 0)</f>
        <v>0</v>
      </c>
      <c r="S171" t="str">
        <f>IF(I171&lt;[1]Parameters!$B$21,"TRUE","FALSE")</f>
        <v>TRUE</v>
      </c>
      <c r="T171" s="5">
        <f>(I171/[1]Parameters!$B$25)*60</f>
        <v>0</v>
      </c>
      <c r="U171" s="10">
        <f>IF(AND('[1]Pizza Sales Calculations'!G171=TRUE,'[1]Pizza Sales Calculations'!S171="TRUE"),T171*[1]Parameters!$B$40*2,0)</f>
        <v>0</v>
      </c>
      <c r="V171">
        <f>INDEX([1]Parameters!$A$3:$C$5,MATCH('[1]Pizza Sales Calculations'!D171,[1]Parameters!$A$3:$A$5,0),2)</f>
        <v>14</v>
      </c>
      <c r="W171" t="e">
        <f>INDEX([1]Parameters!$A$3:$C$5,MATCH('[1]Pizza Sales Calculations'!E171,[1]Parameters!$A$3:$A$5,0),2)</f>
        <v>#N/A</v>
      </c>
      <c r="X171" t="e">
        <f>INDEX([1]Parameters!$A$3:$C$5,MATCH('[1]Pizza Sales Calculations'!F171,[1]Parameters!$A$3:$A$5,0),2)</f>
        <v>#N/A</v>
      </c>
    </row>
    <row r="172" spans="1:24" x14ac:dyDescent="0.3">
      <c r="A172">
        <v>171</v>
      </c>
      <c r="B172" s="14">
        <v>42372.4921412037</v>
      </c>
      <c r="C172" s="14">
        <v>42372.502557870372</v>
      </c>
      <c r="D172" t="s">
        <v>4</v>
      </c>
      <c r="G172" t="b">
        <v>1</v>
      </c>
      <c r="H172">
        <v>70805</v>
      </c>
      <c r="I172" s="5">
        <v>3.5170863466082598</v>
      </c>
      <c r="J172" s="14">
        <v>42372.514768518522</v>
      </c>
      <c r="K172">
        <v>11.59</v>
      </c>
      <c r="L172" s="5">
        <f>('[1]Pizza Sales Calculations'!$J172-'[1]Pizza Sales Calculations'!$C172)*24*60</f>
        <v>17.583333336515352</v>
      </c>
      <c r="M172">
        <f>COUNTA('[1]Pizza Sales Calculations'!$D172:$F172)</f>
        <v>1</v>
      </c>
      <c r="N172">
        <f>IFERROR(VLOOKUP(D172,[1]Parameters!$A$3:$C$5,3,FALSE),0)</f>
        <v>1.7</v>
      </c>
      <c r="O172">
        <f>IFERROR(VLOOKUP(E172,[1]Parameters!$A$3:$C$5,3,FALSE),0)</f>
        <v>0</v>
      </c>
      <c r="P172">
        <f>IFERROR(VLOOKUP(F172,[1]Parameters!$A$3:$C$5,3,FALSE),0)</f>
        <v>0</v>
      </c>
      <c r="Q172">
        <f t="shared" si="2"/>
        <v>1.7</v>
      </c>
      <c r="R172" s="10">
        <f>IF('[1]Pizza Sales Calculations'!$G172=TRUE, [1]Parameters!$B$17*'[1]Pizza Sales Calculations'!$L172*2, 0)</f>
        <v>4.9819444453460164</v>
      </c>
      <c r="S172" t="str">
        <f>IF(I172&lt;[1]Parameters!$B$21,"TRUE","FALSE")</f>
        <v>FALSE</v>
      </c>
      <c r="T172" s="5">
        <f>(I172/[1]Parameters!$B$25)*60</f>
        <v>7.0341726932165196</v>
      </c>
      <c r="U172" s="10">
        <f>IF(AND('[1]Pizza Sales Calculations'!G172=TRUE,'[1]Pizza Sales Calculations'!S172="TRUE"),T172*[1]Parameters!$B$40*2,0)</f>
        <v>0</v>
      </c>
      <c r="V172">
        <f>INDEX([1]Parameters!$A$3:$C$5,MATCH('[1]Pizza Sales Calculations'!D172,[1]Parameters!$A$3:$A$5,0),2)</f>
        <v>10</v>
      </c>
      <c r="W172" t="e">
        <f>INDEX([1]Parameters!$A$3:$C$5,MATCH('[1]Pizza Sales Calculations'!E172,[1]Parameters!$A$3:$A$5,0),2)</f>
        <v>#N/A</v>
      </c>
      <c r="X172" t="e">
        <f>INDEX([1]Parameters!$A$3:$C$5,MATCH('[1]Pizza Sales Calculations'!F172,[1]Parameters!$A$3:$A$5,0),2)</f>
        <v>#N/A</v>
      </c>
    </row>
    <row r="173" spans="1:24" x14ac:dyDescent="0.3">
      <c r="A173">
        <v>172</v>
      </c>
      <c r="B173" s="14">
        <v>42372.461550925924</v>
      </c>
      <c r="C173" s="14">
        <v>42372.471967592595</v>
      </c>
      <c r="D173" t="s">
        <v>3</v>
      </c>
      <c r="G173" t="b">
        <v>0</v>
      </c>
      <c r="H173">
        <v>70805</v>
      </c>
      <c r="I173" s="5">
        <v>0</v>
      </c>
      <c r="J173" s="14">
        <v>42372.474039351851</v>
      </c>
      <c r="K173">
        <v>7.99</v>
      </c>
      <c r="L173" s="5">
        <f>('[1]Pizza Sales Calculations'!$J173-'[1]Pizza Sales Calculations'!$C173)*24*60</f>
        <v>2.9833333287388086</v>
      </c>
      <c r="M173">
        <f>COUNTA('[1]Pizza Sales Calculations'!$D173:$F173)</f>
        <v>1</v>
      </c>
      <c r="N173">
        <f>IFERROR(VLOOKUP(D173,[1]Parameters!$A$3:$C$5,3,FALSE),0)</f>
        <v>1</v>
      </c>
      <c r="O173">
        <f>IFERROR(VLOOKUP(E173,[1]Parameters!$A$3:$C$5,3,FALSE),0)</f>
        <v>0</v>
      </c>
      <c r="P173">
        <f>IFERROR(VLOOKUP(F173,[1]Parameters!$A$3:$C$5,3,FALSE),0)</f>
        <v>0</v>
      </c>
      <c r="Q173">
        <f t="shared" si="2"/>
        <v>1</v>
      </c>
      <c r="R173" s="10">
        <f>IF('[1]Pizza Sales Calculations'!$G173=TRUE, [1]Parameters!$B$17*'[1]Pizza Sales Calculations'!$L173*2, 0)</f>
        <v>0</v>
      </c>
      <c r="S173" t="str">
        <f>IF(I173&lt;[1]Parameters!$B$21,"TRUE","FALSE")</f>
        <v>TRUE</v>
      </c>
      <c r="T173" s="5">
        <f>(I173/[1]Parameters!$B$25)*60</f>
        <v>0</v>
      </c>
      <c r="U173" s="10">
        <f>IF(AND('[1]Pizza Sales Calculations'!G173=TRUE,'[1]Pizza Sales Calculations'!S173="TRUE"),T173*[1]Parameters!$B$40*2,0)</f>
        <v>0</v>
      </c>
      <c r="V173">
        <f>INDEX([1]Parameters!$A$3:$C$5,MATCH('[1]Pizza Sales Calculations'!D173,[1]Parameters!$A$3:$A$5,0),2)</f>
        <v>7</v>
      </c>
      <c r="W173" t="e">
        <f>INDEX([1]Parameters!$A$3:$C$5,MATCH('[1]Pizza Sales Calculations'!E173,[1]Parameters!$A$3:$A$5,0),2)</f>
        <v>#N/A</v>
      </c>
      <c r="X173" t="e">
        <f>INDEX([1]Parameters!$A$3:$C$5,MATCH('[1]Pizza Sales Calculations'!F173,[1]Parameters!$A$3:$A$5,0),2)</f>
        <v>#N/A</v>
      </c>
    </row>
    <row r="174" spans="1:24" x14ac:dyDescent="0.3">
      <c r="A174">
        <v>173</v>
      </c>
      <c r="B174" s="14">
        <v>42372.496481481481</v>
      </c>
      <c r="C174" s="14">
        <v>42372.506909722222</v>
      </c>
      <c r="D174" t="s">
        <v>3</v>
      </c>
      <c r="E174" t="s">
        <v>4</v>
      </c>
      <c r="G174" t="b">
        <v>1</v>
      </c>
      <c r="H174">
        <v>70806</v>
      </c>
      <c r="I174" s="5">
        <v>2.7078194061341598</v>
      </c>
      <c r="J174" s="14">
        <v>42372.51630787037</v>
      </c>
      <c r="K174">
        <v>19.579999999999998</v>
      </c>
      <c r="L174" s="5">
        <f>('[1]Pizza Sales Calculations'!$J174-'[1]Pizza Sales Calculations'!$C174)*24*60</f>
        <v>13.533333332743496</v>
      </c>
      <c r="M174">
        <f>COUNTA('[1]Pizza Sales Calculations'!$D174:$F174)</f>
        <v>2</v>
      </c>
      <c r="N174">
        <f>IFERROR(VLOOKUP(D174,[1]Parameters!$A$3:$C$5,3,FALSE),0)</f>
        <v>1</v>
      </c>
      <c r="O174">
        <f>IFERROR(VLOOKUP(E174,[1]Parameters!$A$3:$C$5,3,FALSE),0)</f>
        <v>1.7</v>
      </c>
      <c r="P174">
        <f>IFERROR(VLOOKUP(F174,[1]Parameters!$A$3:$C$5,3,FALSE),0)</f>
        <v>0</v>
      </c>
      <c r="Q174">
        <f t="shared" si="2"/>
        <v>2.7</v>
      </c>
      <c r="R174" s="10">
        <f>IF('[1]Pizza Sales Calculations'!$G174=TRUE, [1]Parameters!$B$17*'[1]Pizza Sales Calculations'!$L174*2, 0)</f>
        <v>3.8344444442773238</v>
      </c>
      <c r="S174" t="str">
        <f>IF(I174&lt;[1]Parameters!$B$21,"TRUE","FALSE")</f>
        <v>TRUE</v>
      </c>
      <c r="T174" s="5">
        <f>(I174/[1]Parameters!$B$25)*60</f>
        <v>5.4156388122683197</v>
      </c>
      <c r="U174" s="10">
        <f>IF(AND('[1]Pizza Sales Calculations'!G174=TRUE,'[1]Pizza Sales Calculations'!S174="TRUE"),T174*[1]Parameters!$B$40*2,0)</f>
        <v>0.33805840754309124</v>
      </c>
      <c r="V174">
        <f>INDEX([1]Parameters!$A$3:$C$5,MATCH('[1]Pizza Sales Calculations'!D174,[1]Parameters!$A$3:$A$5,0),2)</f>
        <v>7</v>
      </c>
      <c r="W174">
        <f>INDEX([1]Parameters!$A$3:$C$5,MATCH('[1]Pizza Sales Calculations'!E174,[1]Parameters!$A$3:$A$5,0),2)</f>
        <v>10</v>
      </c>
      <c r="X174" t="e">
        <f>INDEX([1]Parameters!$A$3:$C$5,MATCH('[1]Pizza Sales Calculations'!F174,[1]Parameters!$A$3:$A$5,0),2)</f>
        <v>#N/A</v>
      </c>
    </row>
    <row r="175" spans="1:24" x14ac:dyDescent="0.3">
      <c r="A175">
        <v>174</v>
      </c>
      <c r="B175" s="14">
        <v>42372.534074074072</v>
      </c>
      <c r="C175" s="14">
        <v>42372.544490740744</v>
      </c>
      <c r="D175" t="s">
        <v>5</v>
      </c>
      <c r="G175" t="b">
        <v>0</v>
      </c>
      <c r="H175">
        <v>70803</v>
      </c>
      <c r="I175" s="5">
        <v>0</v>
      </c>
      <c r="J175" s="14">
        <v>42372.546597222223</v>
      </c>
      <c r="K175">
        <v>15.35</v>
      </c>
      <c r="L175" s="5">
        <f>('[1]Pizza Sales Calculations'!$J175-'[1]Pizza Sales Calculations'!$C175)*24*60</f>
        <v>3.033333329949528</v>
      </c>
      <c r="M175">
        <f>COUNTA('[1]Pizza Sales Calculations'!$D175:$F175)</f>
        <v>1</v>
      </c>
      <c r="N175">
        <f>IFERROR(VLOOKUP(D175,[1]Parameters!$A$3:$C$5,3,FALSE),0)</f>
        <v>2.2999999999999998</v>
      </c>
      <c r="O175">
        <f>IFERROR(VLOOKUP(E175,[1]Parameters!$A$3:$C$5,3,FALSE),0)</f>
        <v>0</v>
      </c>
      <c r="P175">
        <f>IFERROR(VLOOKUP(F175,[1]Parameters!$A$3:$C$5,3,FALSE),0)</f>
        <v>0</v>
      </c>
      <c r="Q175">
        <f t="shared" si="2"/>
        <v>2.2999999999999998</v>
      </c>
      <c r="R175" s="10">
        <f>IF('[1]Pizza Sales Calculations'!$G175=TRUE, [1]Parameters!$B$17*'[1]Pizza Sales Calculations'!$L175*2, 0)</f>
        <v>0</v>
      </c>
      <c r="S175" t="str">
        <f>IF(I175&lt;[1]Parameters!$B$21,"TRUE","FALSE")</f>
        <v>TRUE</v>
      </c>
      <c r="T175" s="5">
        <f>(I175/[1]Parameters!$B$25)*60</f>
        <v>0</v>
      </c>
      <c r="U175" s="10">
        <f>IF(AND('[1]Pizza Sales Calculations'!G175=TRUE,'[1]Pizza Sales Calculations'!S175="TRUE"),T175*[1]Parameters!$B$40*2,0)</f>
        <v>0</v>
      </c>
      <c r="V175">
        <f>INDEX([1]Parameters!$A$3:$C$5,MATCH('[1]Pizza Sales Calculations'!D175,[1]Parameters!$A$3:$A$5,0),2)</f>
        <v>14</v>
      </c>
      <c r="W175" t="e">
        <f>INDEX([1]Parameters!$A$3:$C$5,MATCH('[1]Pizza Sales Calculations'!E175,[1]Parameters!$A$3:$A$5,0),2)</f>
        <v>#N/A</v>
      </c>
      <c r="X175" t="e">
        <f>INDEX([1]Parameters!$A$3:$C$5,MATCH('[1]Pizza Sales Calculations'!F175,[1]Parameters!$A$3:$A$5,0),2)</f>
        <v>#N/A</v>
      </c>
    </row>
    <row r="176" spans="1:24" x14ac:dyDescent="0.3">
      <c r="A176">
        <v>175</v>
      </c>
      <c r="B176" s="14">
        <v>42372.496377314812</v>
      </c>
      <c r="C176" s="14">
        <v>42372.506782407407</v>
      </c>
      <c r="D176" t="s">
        <v>3</v>
      </c>
      <c r="E176" t="s">
        <v>4</v>
      </c>
      <c r="G176" t="b">
        <v>0</v>
      </c>
      <c r="H176">
        <v>70805</v>
      </c>
      <c r="I176" s="5">
        <v>0</v>
      </c>
      <c r="J176" s="14">
        <v>42372.50885416667</v>
      </c>
      <c r="K176">
        <v>19.579999999999998</v>
      </c>
      <c r="L176" s="5">
        <f>('[1]Pizza Sales Calculations'!$J176-'[1]Pizza Sales Calculations'!$C176)*24*60</f>
        <v>2.9833333392161876</v>
      </c>
      <c r="M176">
        <f>COUNTA('[1]Pizza Sales Calculations'!$D176:$F176)</f>
        <v>2</v>
      </c>
      <c r="N176">
        <f>IFERROR(VLOOKUP(D176,[1]Parameters!$A$3:$C$5,3,FALSE),0)</f>
        <v>1</v>
      </c>
      <c r="O176">
        <f>IFERROR(VLOOKUP(E176,[1]Parameters!$A$3:$C$5,3,FALSE),0)</f>
        <v>1.7</v>
      </c>
      <c r="P176">
        <f>IFERROR(VLOOKUP(F176,[1]Parameters!$A$3:$C$5,3,FALSE),0)</f>
        <v>0</v>
      </c>
      <c r="Q176">
        <f t="shared" si="2"/>
        <v>2.7</v>
      </c>
      <c r="R176" s="10">
        <f>IF('[1]Pizza Sales Calculations'!$G176=TRUE, [1]Parameters!$B$17*'[1]Pizza Sales Calculations'!$L176*2, 0)</f>
        <v>0</v>
      </c>
      <c r="S176" t="str">
        <f>IF(I176&lt;[1]Parameters!$B$21,"TRUE","FALSE")</f>
        <v>TRUE</v>
      </c>
      <c r="T176" s="5">
        <f>(I176/[1]Parameters!$B$25)*60</f>
        <v>0</v>
      </c>
      <c r="U176" s="10">
        <f>IF(AND('[1]Pizza Sales Calculations'!G176=TRUE,'[1]Pizza Sales Calculations'!S176="TRUE"),T176*[1]Parameters!$B$40*2,0)</f>
        <v>0</v>
      </c>
      <c r="V176">
        <f>INDEX([1]Parameters!$A$3:$C$5,MATCH('[1]Pizza Sales Calculations'!D176,[1]Parameters!$A$3:$A$5,0),2)</f>
        <v>7</v>
      </c>
      <c r="W176">
        <f>INDEX([1]Parameters!$A$3:$C$5,MATCH('[1]Pizza Sales Calculations'!E176,[1]Parameters!$A$3:$A$5,0),2)</f>
        <v>10</v>
      </c>
      <c r="X176" t="e">
        <f>INDEX([1]Parameters!$A$3:$C$5,MATCH('[1]Pizza Sales Calculations'!F176,[1]Parameters!$A$3:$A$5,0),2)</f>
        <v>#N/A</v>
      </c>
    </row>
    <row r="177" spans="1:24" x14ac:dyDescent="0.3">
      <c r="A177">
        <v>176</v>
      </c>
      <c r="B177" s="14">
        <v>42372.52952546296</v>
      </c>
      <c r="C177" s="14">
        <v>42372.539918981478</v>
      </c>
      <c r="D177" t="s">
        <v>3</v>
      </c>
      <c r="G177" t="b">
        <v>0</v>
      </c>
      <c r="H177">
        <v>70804</v>
      </c>
      <c r="I177" s="5">
        <v>0</v>
      </c>
      <c r="J177" s="14">
        <v>42372.542013888888</v>
      </c>
      <c r="K177">
        <v>7.99</v>
      </c>
      <c r="L177" s="5">
        <f>('[1]Pizza Sales Calculations'!$J177-'[1]Pizza Sales Calculations'!$C177)*24*60</f>
        <v>3.0166666698642075</v>
      </c>
      <c r="M177">
        <f>COUNTA('[1]Pizza Sales Calculations'!$D177:$F177)</f>
        <v>1</v>
      </c>
      <c r="N177">
        <f>IFERROR(VLOOKUP(D177,[1]Parameters!$A$3:$C$5,3,FALSE),0)</f>
        <v>1</v>
      </c>
      <c r="O177">
        <f>IFERROR(VLOOKUP(E177,[1]Parameters!$A$3:$C$5,3,FALSE),0)</f>
        <v>0</v>
      </c>
      <c r="P177">
        <f>IFERROR(VLOOKUP(F177,[1]Parameters!$A$3:$C$5,3,FALSE),0)</f>
        <v>0</v>
      </c>
      <c r="Q177">
        <f t="shared" si="2"/>
        <v>1</v>
      </c>
      <c r="R177" s="10">
        <f>IF('[1]Pizza Sales Calculations'!$G177=TRUE, [1]Parameters!$B$17*'[1]Pizza Sales Calculations'!$L177*2, 0)</f>
        <v>0</v>
      </c>
      <c r="S177" t="str">
        <f>IF(I177&lt;[1]Parameters!$B$21,"TRUE","FALSE")</f>
        <v>TRUE</v>
      </c>
      <c r="T177" s="5">
        <f>(I177/[1]Parameters!$B$25)*60</f>
        <v>0</v>
      </c>
      <c r="U177" s="10">
        <f>IF(AND('[1]Pizza Sales Calculations'!G177=TRUE,'[1]Pizza Sales Calculations'!S177="TRUE"),T177*[1]Parameters!$B$40*2,0)</f>
        <v>0</v>
      </c>
      <c r="V177">
        <f>INDEX([1]Parameters!$A$3:$C$5,MATCH('[1]Pizza Sales Calculations'!D177,[1]Parameters!$A$3:$A$5,0),2)</f>
        <v>7</v>
      </c>
      <c r="W177" t="e">
        <f>INDEX([1]Parameters!$A$3:$C$5,MATCH('[1]Pizza Sales Calculations'!E177,[1]Parameters!$A$3:$A$5,0),2)</f>
        <v>#N/A</v>
      </c>
      <c r="X177" t="e">
        <f>INDEX([1]Parameters!$A$3:$C$5,MATCH('[1]Pizza Sales Calculations'!F177,[1]Parameters!$A$3:$A$5,0),2)</f>
        <v>#N/A</v>
      </c>
    </row>
    <row r="178" spans="1:24" x14ac:dyDescent="0.3">
      <c r="A178">
        <v>177</v>
      </c>
      <c r="B178" s="14">
        <v>42372.56287037037</v>
      </c>
      <c r="C178" s="14">
        <v>42372.573275462964</v>
      </c>
      <c r="D178" t="s">
        <v>4</v>
      </c>
      <c r="G178" t="b">
        <v>1</v>
      </c>
      <c r="H178">
        <v>70803</v>
      </c>
      <c r="I178" s="5">
        <v>4.1448981376598599</v>
      </c>
      <c r="J178" s="14">
        <v>42372.58766203704</v>
      </c>
      <c r="K178">
        <v>11.59</v>
      </c>
      <c r="L178" s="5">
        <f>('[1]Pizza Sales Calculations'!$J178-'[1]Pizza Sales Calculations'!$C178)*24*60</f>
        <v>20.716666668886319</v>
      </c>
      <c r="M178">
        <f>COUNTA('[1]Pizza Sales Calculations'!$D178:$F178)</f>
        <v>1</v>
      </c>
      <c r="N178">
        <f>IFERROR(VLOOKUP(D178,[1]Parameters!$A$3:$C$5,3,FALSE),0)</f>
        <v>1.7</v>
      </c>
      <c r="O178">
        <f>IFERROR(VLOOKUP(E178,[1]Parameters!$A$3:$C$5,3,FALSE),0)</f>
        <v>0</v>
      </c>
      <c r="P178">
        <f>IFERROR(VLOOKUP(F178,[1]Parameters!$A$3:$C$5,3,FALSE),0)</f>
        <v>0</v>
      </c>
      <c r="Q178">
        <f t="shared" si="2"/>
        <v>1.7</v>
      </c>
      <c r="R178" s="10">
        <f>IF('[1]Pizza Sales Calculations'!$G178=TRUE, [1]Parameters!$B$17*'[1]Pizza Sales Calculations'!$L178*2, 0)</f>
        <v>5.8697222228511237</v>
      </c>
      <c r="S178" t="str">
        <f>IF(I178&lt;[1]Parameters!$B$21,"TRUE","FALSE")</f>
        <v>FALSE</v>
      </c>
      <c r="T178" s="5">
        <f>(I178/[1]Parameters!$B$25)*60</f>
        <v>8.2897962753197199</v>
      </c>
      <c r="U178" s="10">
        <f>IF(AND('[1]Pizza Sales Calculations'!G178=TRUE,'[1]Pizza Sales Calculations'!S178="TRUE"),T178*[1]Parameters!$B$40*2,0)</f>
        <v>0</v>
      </c>
      <c r="V178">
        <f>INDEX([1]Parameters!$A$3:$C$5,MATCH('[1]Pizza Sales Calculations'!D178,[1]Parameters!$A$3:$A$5,0),2)</f>
        <v>10</v>
      </c>
      <c r="W178" t="e">
        <f>INDEX([1]Parameters!$A$3:$C$5,MATCH('[1]Pizza Sales Calculations'!E178,[1]Parameters!$A$3:$A$5,0),2)</f>
        <v>#N/A</v>
      </c>
      <c r="X178" t="e">
        <f>INDEX([1]Parameters!$A$3:$C$5,MATCH('[1]Pizza Sales Calculations'!F178,[1]Parameters!$A$3:$A$5,0),2)</f>
        <v>#N/A</v>
      </c>
    </row>
    <row r="179" spans="1:24" x14ac:dyDescent="0.3">
      <c r="A179">
        <v>178</v>
      </c>
      <c r="B179" s="14">
        <v>42372.454525462963</v>
      </c>
      <c r="C179" s="14">
        <v>42372.464918981481</v>
      </c>
      <c r="D179" t="s">
        <v>3</v>
      </c>
      <c r="G179" t="b">
        <v>1</v>
      </c>
      <c r="H179">
        <v>70808</v>
      </c>
      <c r="I179" s="5">
        <v>5.0674595509674196</v>
      </c>
      <c r="J179" s="14">
        <v>42372.482511574075</v>
      </c>
      <c r="K179">
        <v>7.99</v>
      </c>
      <c r="L179" s="5">
        <f>('[1]Pizza Sales Calculations'!$J179-'[1]Pizza Sales Calculations'!$C179)*24*60</f>
        <v>25.33333333558403</v>
      </c>
      <c r="M179">
        <f>COUNTA('[1]Pizza Sales Calculations'!$D179:$F179)</f>
        <v>1</v>
      </c>
      <c r="N179">
        <f>IFERROR(VLOOKUP(D179,[1]Parameters!$A$3:$C$5,3,FALSE),0)</f>
        <v>1</v>
      </c>
      <c r="O179">
        <f>IFERROR(VLOOKUP(E179,[1]Parameters!$A$3:$C$5,3,FALSE),0)</f>
        <v>0</v>
      </c>
      <c r="P179">
        <f>IFERROR(VLOOKUP(F179,[1]Parameters!$A$3:$C$5,3,FALSE),0)</f>
        <v>0</v>
      </c>
      <c r="Q179">
        <f t="shared" si="2"/>
        <v>1</v>
      </c>
      <c r="R179" s="10">
        <f>IF('[1]Pizza Sales Calculations'!$G179=TRUE, [1]Parameters!$B$17*'[1]Pizza Sales Calculations'!$L179*2, 0)</f>
        <v>7.177777778415475</v>
      </c>
      <c r="S179" t="str">
        <f>IF(I179&lt;[1]Parameters!$B$21,"TRUE","FALSE")</f>
        <v>FALSE</v>
      </c>
      <c r="T179" s="5">
        <f>(I179/[1]Parameters!$B$25)*60</f>
        <v>10.134919101934839</v>
      </c>
      <c r="U179" s="10">
        <f>IF(AND('[1]Pizza Sales Calculations'!G179=TRUE,'[1]Pizza Sales Calculations'!S179="TRUE"),T179*[1]Parameters!$B$40*2,0)</f>
        <v>0</v>
      </c>
      <c r="V179">
        <f>INDEX([1]Parameters!$A$3:$C$5,MATCH('[1]Pizza Sales Calculations'!D179,[1]Parameters!$A$3:$A$5,0),2)</f>
        <v>7</v>
      </c>
      <c r="W179" t="e">
        <f>INDEX([1]Parameters!$A$3:$C$5,MATCH('[1]Pizza Sales Calculations'!E179,[1]Parameters!$A$3:$A$5,0),2)</f>
        <v>#N/A</v>
      </c>
      <c r="X179" t="e">
        <f>INDEX([1]Parameters!$A$3:$C$5,MATCH('[1]Pizza Sales Calculations'!F179,[1]Parameters!$A$3:$A$5,0),2)</f>
        <v>#N/A</v>
      </c>
    </row>
    <row r="180" spans="1:24" x14ac:dyDescent="0.3">
      <c r="A180">
        <v>179</v>
      </c>
      <c r="B180" s="14">
        <v>42372.48238425926</v>
      </c>
      <c r="C180" s="14">
        <v>42372.492812500001</v>
      </c>
      <c r="D180" t="s">
        <v>3</v>
      </c>
      <c r="G180" t="b">
        <v>0</v>
      </c>
      <c r="H180">
        <v>70803</v>
      </c>
      <c r="I180" s="5">
        <v>0</v>
      </c>
      <c r="J180" s="14">
        <v>42372.494895833333</v>
      </c>
      <c r="K180">
        <v>7.99</v>
      </c>
      <c r="L180" s="5">
        <f>('[1]Pizza Sales Calculations'!$J180-'[1]Pizza Sales Calculations'!$C180)*24*60</f>
        <v>2.9999999993015081</v>
      </c>
      <c r="M180">
        <f>COUNTA('[1]Pizza Sales Calculations'!$D180:$F180)</f>
        <v>1</v>
      </c>
      <c r="N180">
        <f>IFERROR(VLOOKUP(D180,[1]Parameters!$A$3:$C$5,3,FALSE),0)</f>
        <v>1</v>
      </c>
      <c r="O180">
        <f>IFERROR(VLOOKUP(E180,[1]Parameters!$A$3:$C$5,3,FALSE),0)</f>
        <v>0</v>
      </c>
      <c r="P180">
        <f>IFERROR(VLOOKUP(F180,[1]Parameters!$A$3:$C$5,3,FALSE),0)</f>
        <v>0</v>
      </c>
      <c r="Q180">
        <f t="shared" si="2"/>
        <v>1</v>
      </c>
      <c r="R180" s="10">
        <f>IF('[1]Pizza Sales Calculations'!$G180=TRUE, [1]Parameters!$B$17*'[1]Pizza Sales Calculations'!$L180*2, 0)</f>
        <v>0</v>
      </c>
      <c r="S180" t="str">
        <f>IF(I180&lt;[1]Parameters!$B$21,"TRUE","FALSE")</f>
        <v>TRUE</v>
      </c>
      <c r="T180" s="5">
        <f>(I180/[1]Parameters!$B$25)*60</f>
        <v>0</v>
      </c>
      <c r="U180" s="10">
        <f>IF(AND('[1]Pizza Sales Calculations'!G180=TRUE,'[1]Pizza Sales Calculations'!S180="TRUE"),T180*[1]Parameters!$B$40*2,0)</f>
        <v>0</v>
      </c>
      <c r="V180">
        <f>INDEX([1]Parameters!$A$3:$C$5,MATCH('[1]Pizza Sales Calculations'!D180,[1]Parameters!$A$3:$A$5,0),2)</f>
        <v>7</v>
      </c>
      <c r="W180" t="e">
        <f>INDEX([1]Parameters!$A$3:$C$5,MATCH('[1]Pizza Sales Calculations'!E180,[1]Parameters!$A$3:$A$5,0),2)</f>
        <v>#N/A</v>
      </c>
      <c r="X180" t="e">
        <f>INDEX([1]Parameters!$A$3:$C$5,MATCH('[1]Pizza Sales Calculations'!F180,[1]Parameters!$A$3:$A$5,0),2)</f>
        <v>#N/A</v>
      </c>
    </row>
    <row r="181" spans="1:24" x14ac:dyDescent="0.3">
      <c r="A181">
        <v>180</v>
      </c>
      <c r="B181" s="14">
        <v>42372.486932870372</v>
      </c>
      <c r="C181" s="14">
        <v>42372.497337962966</v>
      </c>
      <c r="D181" t="s">
        <v>4</v>
      </c>
      <c r="G181" t="b">
        <v>0</v>
      </c>
      <c r="H181">
        <v>70805</v>
      </c>
      <c r="I181" s="5">
        <v>0</v>
      </c>
      <c r="J181" s="14">
        <v>42372.499432870369</v>
      </c>
      <c r="K181">
        <v>11.59</v>
      </c>
      <c r="L181" s="5">
        <f>('[1]Pizza Sales Calculations'!$J181-'[1]Pizza Sales Calculations'!$C181)*24*60</f>
        <v>3.0166666593868285</v>
      </c>
      <c r="M181">
        <f>COUNTA('[1]Pizza Sales Calculations'!$D181:$F181)</f>
        <v>1</v>
      </c>
      <c r="N181">
        <f>IFERROR(VLOOKUP(D181,[1]Parameters!$A$3:$C$5,3,FALSE),0)</f>
        <v>1.7</v>
      </c>
      <c r="O181">
        <f>IFERROR(VLOOKUP(E181,[1]Parameters!$A$3:$C$5,3,FALSE),0)</f>
        <v>0</v>
      </c>
      <c r="P181">
        <f>IFERROR(VLOOKUP(F181,[1]Parameters!$A$3:$C$5,3,FALSE),0)</f>
        <v>0</v>
      </c>
      <c r="Q181">
        <f t="shared" si="2"/>
        <v>1.7</v>
      </c>
      <c r="R181" s="10">
        <f>IF('[1]Pizza Sales Calculations'!$G181=TRUE, [1]Parameters!$B$17*'[1]Pizza Sales Calculations'!$L181*2, 0)</f>
        <v>0</v>
      </c>
      <c r="S181" t="str">
        <f>IF(I181&lt;[1]Parameters!$B$21,"TRUE","FALSE")</f>
        <v>TRUE</v>
      </c>
      <c r="T181" s="5">
        <f>(I181/[1]Parameters!$B$25)*60</f>
        <v>0</v>
      </c>
      <c r="U181" s="10">
        <f>IF(AND('[1]Pizza Sales Calculations'!G181=TRUE,'[1]Pizza Sales Calculations'!S181="TRUE"),T181*[1]Parameters!$B$40*2,0)</f>
        <v>0</v>
      </c>
      <c r="V181">
        <f>INDEX([1]Parameters!$A$3:$C$5,MATCH('[1]Pizza Sales Calculations'!D181,[1]Parameters!$A$3:$A$5,0),2)</f>
        <v>10</v>
      </c>
      <c r="W181" t="e">
        <f>INDEX([1]Parameters!$A$3:$C$5,MATCH('[1]Pizza Sales Calculations'!E181,[1]Parameters!$A$3:$A$5,0),2)</f>
        <v>#N/A</v>
      </c>
      <c r="X181" t="e">
        <f>INDEX([1]Parameters!$A$3:$C$5,MATCH('[1]Pizza Sales Calculations'!F181,[1]Parameters!$A$3:$A$5,0),2)</f>
        <v>#N/A</v>
      </c>
    </row>
    <row r="182" spans="1:24" x14ac:dyDescent="0.3">
      <c r="A182">
        <v>181</v>
      </c>
      <c r="B182" s="14">
        <v>42372.556631944448</v>
      </c>
      <c r="C182" s="14">
        <v>42372.567025462966</v>
      </c>
      <c r="D182" t="s">
        <v>5</v>
      </c>
      <c r="G182" t="b">
        <v>0</v>
      </c>
      <c r="H182">
        <v>70806</v>
      </c>
      <c r="I182" s="5">
        <v>0</v>
      </c>
      <c r="J182" s="14">
        <v>42372.569085648145</v>
      </c>
      <c r="K182">
        <v>15.35</v>
      </c>
      <c r="L182" s="5">
        <f>('[1]Pizza Sales Calculations'!$J182-'[1]Pizza Sales Calculations'!$C182)*24*60</f>
        <v>2.9666666581761092</v>
      </c>
      <c r="M182">
        <f>COUNTA('[1]Pizza Sales Calculations'!$D182:$F182)</f>
        <v>1</v>
      </c>
      <c r="N182">
        <f>IFERROR(VLOOKUP(D182,[1]Parameters!$A$3:$C$5,3,FALSE),0)</f>
        <v>2.2999999999999998</v>
      </c>
      <c r="O182">
        <f>IFERROR(VLOOKUP(E182,[1]Parameters!$A$3:$C$5,3,FALSE),0)</f>
        <v>0</v>
      </c>
      <c r="P182">
        <f>IFERROR(VLOOKUP(F182,[1]Parameters!$A$3:$C$5,3,FALSE),0)</f>
        <v>0</v>
      </c>
      <c r="Q182">
        <f t="shared" si="2"/>
        <v>2.2999999999999998</v>
      </c>
      <c r="R182" s="10">
        <f>IF('[1]Pizza Sales Calculations'!$G182=TRUE, [1]Parameters!$B$17*'[1]Pizza Sales Calculations'!$L182*2, 0)</f>
        <v>0</v>
      </c>
      <c r="S182" t="str">
        <f>IF(I182&lt;[1]Parameters!$B$21,"TRUE","FALSE")</f>
        <v>TRUE</v>
      </c>
      <c r="T182" s="5">
        <f>(I182/[1]Parameters!$B$25)*60</f>
        <v>0</v>
      </c>
      <c r="U182" s="10">
        <f>IF(AND('[1]Pizza Sales Calculations'!G182=TRUE,'[1]Pizza Sales Calculations'!S182="TRUE"),T182*[1]Parameters!$B$40*2,0)</f>
        <v>0</v>
      </c>
      <c r="V182">
        <f>INDEX([1]Parameters!$A$3:$C$5,MATCH('[1]Pizza Sales Calculations'!D182,[1]Parameters!$A$3:$A$5,0),2)</f>
        <v>14</v>
      </c>
      <c r="W182" t="e">
        <f>INDEX([1]Parameters!$A$3:$C$5,MATCH('[1]Pizza Sales Calculations'!E182,[1]Parameters!$A$3:$A$5,0),2)</f>
        <v>#N/A</v>
      </c>
      <c r="X182" t="e">
        <f>INDEX([1]Parameters!$A$3:$C$5,MATCH('[1]Pizza Sales Calculations'!F182,[1]Parameters!$A$3:$A$5,0),2)</f>
        <v>#N/A</v>
      </c>
    </row>
    <row r="183" spans="1:24" x14ac:dyDescent="0.3">
      <c r="A183">
        <v>182</v>
      </c>
      <c r="B183" s="14">
        <v>42372.487569444442</v>
      </c>
      <c r="C183" s="14">
        <v>42372.497986111113</v>
      </c>
      <c r="D183" t="s">
        <v>4</v>
      </c>
      <c r="G183" t="b">
        <v>1</v>
      </c>
      <c r="H183">
        <v>70803</v>
      </c>
      <c r="I183" s="5">
        <v>5.7721866175102603</v>
      </c>
      <c r="J183" s="14">
        <v>42372.518020833333</v>
      </c>
      <c r="K183">
        <v>11.59</v>
      </c>
      <c r="L183" s="5">
        <f>('[1]Pizza Sales Calculations'!$J183-'[1]Pizza Sales Calculations'!$C183)*24*60</f>
        <v>28.849999996600673</v>
      </c>
      <c r="M183">
        <f>COUNTA('[1]Pizza Sales Calculations'!$D183:$F183)</f>
        <v>1</v>
      </c>
      <c r="N183">
        <f>IFERROR(VLOOKUP(D183,[1]Parameters!$A$3:$C$5,3,FALSE),0)</f>
        <v>1.7</v>
      </c>
      <c r="O183">
        <f>IFERROR(VLOOKUP(E183,[1]Parameters!$A$3:$C$5,3,FALSE),0)</f>
        <v>0</v>
      </c>
      <c r="P183">
        <f>IFERROR(VLOOKUP(F183,[1]Parameters!$A$3:$C$5,3,FALSE),0)</f>
        <v>0</v>
      </c>
      <c r="Q183">
        <f t="shared" si="2"/>
        <v>1.7</v>
      </c>
      <c r="R183" s="10">
        <f>IF('[1]Pizza Sales Calculations'!$G183=TRUE, [1]Parameters!$B$17*'[1]Pizza Sales Calculations'!$L183*2, 0)</f>
        <v>8.1741666657035239</v>
      </c>
      <c r="S183" t="str">
        <f>IF(I183&lt;[1]Parameters!$B$21,"TRUE","FALSE")</f>
        <v>FALSE</v>
      </c>
      <c r="T183" s="5">
        <f>(I183/[1]Parameters!$B$25)*60</f>
        <v>11.544373235020521</v>
      </c>
      <c r="U183" s="10">
        <f>IF(AND('[1]Pizza Sales Calculations'!G183=TRUE,'[1]Pizza Sales Calculations'!S183="TRUE"),T183*[1]Parameters!$B$40*2,0)</f>
        <v>0</v>
      </c>
      <c r="V183">
        <f>INDEX([1]Parameters!$A$3:$C$5,MATCH('[1]Pizza Sales Calculations'!D183,[1]Parameters!$A$3:$A$5,0),2)</f>
        <v>10</v>
      </c>
      <c r="W183" t="e">
        <f>INDEX([1]Parameters!$A$3:$C$5,MATCH('[1]Pizza Sales Calculations'!E183,[1]Parameters!$A$3:$A$5,0),2)</f>
        <v>#N/A</v>
      </c>
      <c r="X183" t="e">
        <f>INDEX([1]Parameters!$A$3:$C$5,MATCH('[1]Pizza Sales Calculations'!F183,[1]Parameters!$A$3:$A$5,0),2)</f>
        <v>#N/A</v>
      </c>
    </row>
    <row r="184" spans="1:24" x14ac:dyDescent="0.3">
      <c r="A184">
        <v>183</v>
      </c>
      <c r="B184" s="14">
        <v>42372.531388888892</v>
      </c>
      <c r="C184" s="14">
        <v>42372.54179398148</v>
      </c>
      <c r="D184" t="s">
        <v>3</v>
      </c>
      <c r="E184" t="s">
        <v>4</v>
      </c>
      <c r="G184" t="b">
        <v>1</v>
      </c>
      <c r="H184">
        <v>70804</v>
      </c>
      <c r="I184" s="5">
        <v>2.86708065376828</v>
      </c>
      <c r="J184" s="14">
        <v>42372.551747685182</v>
      </c>
      <c r="K184">
        <v>19.579999999999998</v>
      </c>
      <c r="L184" s="5">
        <f>('[1]Pizza Sales Calculations'!$J184-'[1]Pizza Sales Calculations'!$C184)*24*60</f>
        <v>14.333333331160247</v>
      </c>
      <c r="M184">
        <f>COUNTA('[1]Pizza Sales Calculations'!$D184:$F184)</f>
        <v>2</v>
      </c>
      <c r="N184">
        <f>IFERROR(VLOOKUP(D184,[1]Parameters!$A$3:$C$5,3,FALSE),0)</f>
        <v>1</v>
      </c>
      <c r="O184">
        <f>IFERROR(VLOOKUP(E184,[1]Parameters!$A$3:$C$5,3,FALSE),0)</f>
        <v>1.7</v>
      </c>
      <c r="P184">
        <f>IFERROR(VLOOKUP(F184,[1]Parameters!$A$3:$C$5,3,FALSE),0)</f>
        <v>0</v>
      </c>
      <c r="Q184">
        <f t="shared" si="2"/>
        <v>2.7</v>
      </c>
      <c r="R184" s="10">
        <f>IF('[1]Pizza Sales Calculations'!$G184=TRUE, [1]Parameters!$B$17*'[1]Pizza Sales Calculations'!$L184*2, 0)</f>
        <v>4.0611111104954034</v>
      </c>
      <c r="S184" t="str">
        <f>IF(I184&lt;[1]Parameters!$B$21,"TRUE","FALSE")</f>
        <v>TRUE</v>
      </c>
      <c r="T184" s="5">
        <f>(I184/[1]Parameters!$B$25)*60</f>
        <v>5.7341613075365601</v>
      </c>
      <c r="U184" s="10">
        <f>IF(AND('[1]Pizza Sales Calculations'!G184=TRUE,'[1]Pizza Sales Calculations'!S184="TRUE"),T184*[1]Parameters!$B$40*2,0)</f>
        <v>0.35794141880911251</v>
      </c>
      <c r="V184">
        <f>INDEX([1]Parameters!$A$3:$C$5,MATCH('[1]Pizza Sales Calculations'!D184,[1]Parameters!$A$3:$A$5,0),2)</f>
        <v>7</v>
      </c>
      <c r="W184">
        <f>INDEX([1]Parameters!$A$3:$C$5,MATCH('[1]Pizza Sales Calculations'!E184,[1]Parameters!$A$3:$A$5,0),2)</f>
        <v>10</v>
      </c>
      <c r="X184" t="e">
        <f>INDEX([1]Parameters!$A$3:$C$5,MATCH('[1]Pizza Sales Calculations'!F184,[1]Parameters!$A$3:$A$5,0),2)</f>
        <v>#N/A</v>
      </c>
    </row>
    <row r="185" spans="1:24" x14ac:dyDescent="0.3">
      <c r="A185">
        <v>184</v>
      </c>
      <c r="B185" s="14">
        <v>42372.478101851855</v>
      </c>
      <c r="C185" s="14">
        <v>42372.488483796296</v>
      </c>
      <c r="D185" t="s">
        <v>3</v>
      </c>
      <c r="E185" t="s">
        <v>4</v>
      </c>
      <c r="G185" t="b">
        <v>1</v>
      </c>
      <c r="H185">
        <v>70805</v>
      </c>
      <c r="I185" s="5">
        <v>5.9043685609035403</v>
      </c>
      <c r="J185" s="14">
        <v>42372.508981481478</v>
      </c>
      <c r="K185">
        <v>19.579999999999998</v>
      </c>
      <c r="L185" s="5">
        <f>('[1]Pizza Sales Calculations'!$J185-'[1]Pizza Sales Calculations'!$C185)*24*60</f>
        <v>29.516666661947966</v>
      </c>
      <c r="M185">
        <f>COUNTA('[1]Pizza Sales Calculations'!$D185:$F185)</f>
        <v>2</v>
      </c>
      <c r="N185">
        <f>IFERROR(VLOOKUP(D185,[1]Parameters!$A$3:$C$5,3,FALSE),0)</f>
        <v>1</v>
      </c>
      <c r="O185">
        <f>IFERROR(VLOOKUP(E185,[1]Parameters!$A$3:$C$5,3,FALSE),0)</f>
        <v>1.7</v>
      </c>
      <c r="P185">
        <f>IFERROR(VLOOKUP(F185,[1]Parameters!$A$3:$C$5,3,FALSE),0)</f>
        <v>0</v>
      </c>
      <c r="Q185">
        <f t="shared" si="2"/>
        <v>2.7</v>
      </c>
      <c r="R185" s="10">
        <f>IF('[1]Pizza Sales Calculations'!$G185=TRUE, [1]Parameters!$B$17*'[1]Pizza Sales Calculations'!$L185*2, 0)</f>
        <v>8.3630555542185903</v>
      </c>
      <c r="S185" t="str">
        <f>IF(I185&lt;[1]Parameters!$B$21,"TRUE","FALSE")</f>
        <v>FALSE</v>
      </c>
      <c r="T185" s="5">
        <f>(I185/[1]Parameters!$B$25)*60</f>
        <v>11.808737121807081</v>
      </c>
      <c r="U185" s="10">
        <f>IF(AND('[1]Pizza Sales Calculations'!G185=TRUE,'[1]Pizza Sales Calculations'!S185="TRUE"),T185*[1]Parameters!$B$40*2,0)</f>
        <v>0</v>
      </c>
      <c r="V185">
        <f>INDEX([1]Parameters!$A$3:$C$5,MATCH('[1]Pizza Sales Calculations'!D185,[1]Parameters!$A$3:$A$5,0),2)</f>
        <v>7</v>
      </c>
      <c r="W185">
        <f>INDEX([1]Parameters!$A$3:$C$5,MATCH('[1]Pizza Sales Calculations'!E185,[1]Parameters!$A$3:$A$5,0),2)</f>
        <v>10</v>
      </c>
      <c r="X185" t="e">
        <f>INDEX([1]Parameters!$A$3:$C$5,MATCH('[1]Pizza Sales Calculations'!F185,[1]Parameters!$A$3:$A$5,0),2)</f>
        <v>#N/A</v>
      </c>
    </row>
    <row r="186" spans="1:24" x14ac:dyDescent="0.3">
      <c r="A186">
        <v>185</v>
      </c>
      <c r="B186" s="14">
        <v>42372.537939814814</v>
      </c>
      <c r="C186" s="14">
        <v>42372.548356481479</v>
      </c>
      <c r="D186" t="s">
        <v>4</v>
      </c>
      <c r="G186" t="b">
        <v>0</v>
      </c>
      <c r="H186">
        <v>70804</v>
      </c>
      <c r="I186" s="5">
        <v>0</v>
      </c>
      <c r="J186" s="14">
        <v>42372.550439814811</v>
      </c>
      <c r="K186">
        <v>11.59</v>
      </c>
      <c r="L186" s="5">
        <f>('[1]Pizza Sales Calculations'!$J186-'[1]Pizza Sales Calculations'!$C186)*24*60</f>
        <v>2.9999999993015081</v>
      </c>
      <c r="M186">
        <f>COUNTA('[1]Pizza Sales Calculations'!$D186:$F186)</f>
        <v>1</v>
      </c>
      <c r="N186">
        <f>IFERROR(VLOOKUP(D186,[1]Parameters!$A$3:$C$5,3,FALSE),0)</f>
        <v>1.7</v>
      </c>
      <c r="O186">
        <f>IFERROR(VLOOKUP(E186,[1]Parameters!$A$3:$C$5,3,FALSE),0)</f>
        <v>0</v>
      </c>
      <c r="P186">
        <f>IFERROR(VLOOKUP(F186,[1]Parameters!$A$3:$C$5,3,FALSE),0)</f>
        <v>0</v>
      </c>
      <c r="Q186">
        <f t="shared" si="2"/>
        <v>1.7</v>
      </c>
      <c r="R186" s="10">
        <f>IF('[1]Pizza Sales Calculations'!$G186=TRUE, [1]Parameters!$B$17*'[1]Pizza Sales Calculations'!$L186*2, 0)</f>
        <v>0</v>
      </c>
      <c r="S186" t="str">
        <f>IF(I186&lt;[1]Parameters!$B$21,"TRUE","FALSE")</f>
        <v>TRUE</v>
      </c>
      <c r="T186" s="5">
        <f>(I186/[1]Parameters!$B$25)*60</f>
        <v>0</v>
      </c>
      <c r="U186" s="10">
        <f>IF(AND('[1]Pizza Sales Calculations'!G186=TRUE,'[1]Pizza Sales Calculations'!S186="TRUE"),T186*[1]Parameters!$B$40*2,0)</f>
        <v>0</v>
      </c>
      <c r="V186">
        <f>INDEX([1]Parameters!$A$3:$C$5,MATCH('[1]Pizza Sales Calculations'!D186,[1]Parameters!$A$3:$A$5,0),2)</f>
        <v>10</v>
      </c>
      <c r="W186" t="e">
        <f>INDEX([1]Parameters!$A$3:$C$5,MATCH('[1]Pizza Sales Calculations'!E186,[1]Parameters!$A$3:$A$5,0),2)</f>
        <v>#N/A</v>
      </c>
      <c r="X186" t="e">
        <f>INDEX([1]Parameters!$A$3:$C$5,MATCH('[1]Pizza Sales Calculations'!F186,[1]Parameters!$A$3:$A$5,0),2)</f>
        <v>#N/A</v>
      </c>
    </row>
    <row r="187" spans="1:24" x14ac:dyDescent="0.3">
      <c r="A187">
        <v>186</v>
      </c>
      <c r="B187" s="14">
        <v>42372.482430555552</v>
      </c>
      <c r="C187" s="14">
        <v>42372.492858796293</v>
      </c>
      <c r="D187" t="s">
        <v>4</v>
      </c>
      <c r="G187" t="b">
        <v>0</v>
      </c>
      <c r="H187">
        <v>70808</v>
      </c>
      <c r="I187" s="5">
        <v>0</v>
      </c>
      <c r="J187" s="14">
        <v>42372.494942129626</v>
      </c>
      <c r="K187">
        <v>11.59</v>
      </c>
      <c r="L187" s="5">
        <f>('[1]Pizza Sales Calculations'!$J187-'[1]Pizza Sales Calculations'!$C187)*24*60</f>
        <v>2.9999999993015081</v>
      </c>
      <c r="M187">
        <f>COUNTA('[1]Pizza Sales Calculations'!$D187:$F187)</f>
        <v>1</v>
      </c>
      <c r="N187">
        <f>IFERROR(VLOOKUP(D187,[1]Parameters!$A$3:$C$5,3,FALSE),0)</f>
        <v>1.7</v>
      </c>
      <c r="O187">
        <f>IFERROR(VLOOKUP(E187,[1]Parameters!$A$3:$C$5,3,FALSE),0)</f>
        <v>0</v>
      </c>
      <c r="P187">
        <f>IFERROR(VLOOKUP(F187,[1]Parameters!$A$3:$C$5,3,FALSE),0)</f>
        <v>0</v>
      </c>
      <c r="Q187">
        <f t="shared" si="2"/>
        <v>1.7</v>
      </c>
      <c r="R187" s="10">
        <f>IF('[1]Pizza Sales Calculations'!$G187=TRUE, [1]Parameters!$B$17*'[1]Pizza Sales Calculations'!$L187*2, 0)</f>
        <v>0</v>
      </c>
      <c r="S187" t="str">
        <f>IF(I187&lt;[1]Parameters!$B$21,"TRUE","FALSE")</f>
        <v>TRUE</v>
      </c>
      <c r="T187" s="5">
        <f>(I187/[1]Parameters!$B$25)*60</f>
        <v>0</v>
      </c>
      <c r="U187" s="10">
        <f>IF(AND('[1]Pizza Sales Calculations'!G187=TRUE,'[1]Pizza Sales Calculations'!S187="TRUE"),T187*[1]Parameters!$B$40*2,0)</f>
        <v>0</v>
      </c>
      <c r="V187">
        <f>INDEX([1]Parameters!$A$3:$C$5,MATCH('[1]Pizza Sales Calculations'!D187,[1]Parameters!$A$3:$A$5,0),2)</f>
        <v>10</v>
      </c>
      <c r="W187" t="e">
        <f>INDEX([1]Parameters!$A$3:$C$5,MATCH('[1]Pizza Sales Calculations'!E187,[1]Parameters!$A$3:$A$5,0),2)</f>
        <v>#N/A</v>
      </c>
      <c r="X187" t="e">
        <f>INDEX([1]Parameters!$A$3:$C$5,MATCH('[1]Pizza Sales Calculations'!F187,[1]Parameters!$A$3:$A$5,0),2)</f>
        <v>#N/A</v>
      </c>
    </row>
    <row r="188" spans="1:24" x14ac:dyDescent="0.3">
      <c r="A188">
        <v>187</v>
      </c>
      <c r="B188" s="14">
        <v>42372.469733796293</v>
      </c>
      <c r="C188" s="14">
        <v>42372.480150462965</v>
      </c>
      <c r="D188" t="s">
        <v>3</v>
      </c>
      <c r="E188" t="s">
        <v>5</v>
      </c>
      <c r="G188" t="b">
        <v>0</v>
      </c>
      <c r="H188">
        <v>70805</v>
      </c>
      <c r="I188" s="5">
        <v>0</v>
      </c>
      <c r="J188" s="14">
        <v>42372.482233796298</v>
      </c>
      <c r="K188">
        <v>23.34</v>
      </c>
      <c r="L188" s="5">
        <f>('[1]Pizza Sales Calculations'!$J188-'[1]Pizza Sales Calculations'!$C188)*24*60</f>
        <v>2.9999999993015081</v>
      </c>
      <c r="M188">
        <f>COUNTA('[1]Pizza Sales Calculations'!$D188:$F188)</f>
        <v>2</v>
      </c>
      <c r="N188">
        <f>IFERROR(VLOOKUP(D188,[1]Parameters!$A$3:$C$5,3,FALSE),0)</f>
        <v>1</v>
      </c>
      <c r="O188">
        <f>IFERROR(VLOOKUP(E188,[1]Parameters!$A$3:$C$5,3,FALSE),0)</f>
        <v>2.2999999999999998</v>
      </c>
      <c r="P188">
        <f>IFERROR(VLOOKUP(F188,[1]Parameters!$A$3:$C$5,3,FALSE),0)</f>
        <v>0</v>
      </c>
      <c r="Q188">
        <f t="shared" si="2"/>
        <v>3.3</v>
      </c>
      <c r="R188" s="10">
        <f>IF('[1]Pizza Sales Calculations'!$G188=TRUE, [1]Parameters!$B$17*'[1]Pizza Sales Calculations'!$L188*2, 0)</f>
        <v>0</v>
      </c>
      <c r="S188" t="str">
        <f>IF(I188&lt;[1]Parameters!$B$21,"TRUE","FALSE")</f>
        <v>TRUE</v>
      </c>
      <c r="T188" s="5">
        <f>(I188/[1]Parameters!$B$25)*60</f>
        <v>0</v>
      </c>
      <c r="U188" s="10">
        <f>IF(AND('[1]Pizza Sales Calculations'!G188=TRUE,'[1]Pizza Sales Calculations'!S188="TRUE"),T188*[1]Parameters!$B$40*2,0)</f>
        <v>0</v>
      </c>
      <c r="V188">
        <f>INDEX([1]Parameters!$A$3:$C$5,MATCH('[1]Pizza Sales Calculations'!D188,[1]Parameters!$A$3:$A$5,0),2)</f>
        <v>7</v>
      </c>
      <c r="W188">
        <f>INDEX([1]Parameters!$A$3:$C$5,MATCH('[1]Pizza Sales Calculations'!E188,[1]Parameters!$A$3:$A$5,0),2)</f>
        <v>14</v>
      </c>
      <c r="X188" t="e">
        <f>INDEX([1]Parameters!$A$3:$C$5,MATCH('[1]Pizza Sales Calculations'!F188,[1]Parameters!$A$3:$A$5,0),2)</f>
        <v>#N/A</v>
      </c>
    </row>
    <row r="189" spans="1:24" x14ac:dyDescent="0.3">
      <c r="A189">
        <v>188</v>
      </c>
      <c r="B189" s="14">
        <v>42372.521724537037</v>
      </c>
      <c r="C189" s="14">
        <v>42372.532141203701</v>
      </c>
      <c r="D189" t="s">
        <v>3</v>
      </c>
      <c r="E189" t="s">
        <v>5</v>
      </c>
      <c r="G189" t="b">
        <v>1</v>
      </c>
      <c r="H189">
        <v>70803</v>
      </c>
      <c r="I189" s="5">
        <v>3.4027507150545699</v>
      </c>
      <c r="J189" s="14">
        <v>42372.543946759259</v>
      </c>
      <c r="K189">
        <v>23.34</v>
      </c>
      <c r="L189" s="5">
        <f>('[1]Pizza Sales Calculations'!$J189-'[1]Pizza Sales Calculations'!$C189)*24*60</f>
        <v>17.000000003026798</v>
      </c>
      <c r="M189">
        <f>COUNTA('[1]Pizza Sales Calculations'!$D189:$F189)</f>
        <v>2</v>
      </c>
      <c r="N189">
        <f>IFERROR(VLOOKUP(D189,[1]Parameters!$A$3:$C$5,3,FALSE),0)</f>
        <v>1</v>
      </c>
      <c r="O189">
        <f>IFERROR(VLOOKUP(E189,[1]Parameters!$A$3:$C$5,3,FALSE),0)</f>
        <v>2.2999999999999998</v>
      </c>
      <c r="P189">
        <f>IFERROR(VLOOKUP(F189,[1]Parameters!$A$3:$C$5,3,FALSE),0)</f>
        <v>0</v>
      </c>
      <c r="Q189">
        <f t="shared" si="2"/>
        <v>3.3</v>
      </c>
      <c r="R189" s="10">
        <f>IF('[1]Pizza Sales Calculations'!$G189=TRUE, [1]Parameters!$B$17*'[1]Pizza Sales Calculations'!$L189*2, 0)</f>
        <v>4.8166666675242595</v>
      </c>
      <c r="S189" t="str">
        <f>IF(I189&lt;[1]Parameters!$B$21,"TRUE","FALSE")</f>
        <v>FALSE</v>
      </c>
      <c r="T189" s="5">
        <f>(I189/[1]Parameters!$B$25)*60</f>
        <v>6.8055014301091399</v>
      </c>
      <c r="U189" s="10">
        <f>IF(AND('[1]Pizza Sales Calculations'!G189=TRUE,'[1]Pizza Sales Calculations'!S189="TRUE"),T189*[1]Parameters!$B$40*2,0)</f>
        <v>0</v>
      </c>
      <c r="V189">
        <f>INDEX([1]Parameters!$A$3:$C$5,MATCH('[1]Pizza Sales Calculations'!D189,[1]Parameters!$A$3:$A$5,0),2)</f>
        <v>7</v>
      </c>
      <c r="W189">
        <f>INDEX([1]Parameters!$A$3:$C$5,MATCH('[1]Pizza Sales Calculations'!E189,[1]Parameters!$A$3:$A$5,0),2)</f>
        <v>14</v>
      </c>
      <c r="X189" t="e">
        <f>INDEX([1]Parameters!$A$3:$C$5,MATCH('[1]Pizza Sales Calculations'!F189,[1]Parameters!$A$3:$A$5,0),2)</f>
        <v>#N/A</v>
      </c>
    </row>
    <row r="190" spans="1:24" x14ac:dyDescent="0.3">
      <c r="A190">
        <v>189</v>
      </c>
      <c r="B190" s="14">
        <v>42372.51358796296</v>
      </c>
      <c r="C190" s="14">
        <v>42372.524004629631</v>
      </c>
      <c r="D190" t="s">
        <v>4</v>
      </c>
      <c r="G190" t="b">
        <v>1</v>
      </c>
      <c r="H190">
        <v>70805</v>
      </c>
      <c r="I190" s="5">
        <v>1.4260100769285</v>
      </c>
      <c r="J190" s="14">
        <v>42372.528946759259</v>
      </c>
      <c r="K190">
        <v>11.59</v>
      </c>
      <c r="L190" s="5">
        <f>('[1]Pizza Sales Calculations'!$J190-'[1]Pizza Sales Calculations'!$C190)*24*60</f>
        <v>7.1166666643694043</v>
      </c>
      <c r="M190">
        <f>COUNTA('[1]Pizza Sales Calculations'!$D190:$F190)</f>
        <v>1</v>
      </c>
      <c r="N190">
        <f>IFERROR(VLOOKUP(D190,[1]Parameters!$A$3:$C$5,3,FALSE),0)</f>
        <v>1.7</v>
      </c>
      <c r="O190">
        <f>IFERROR(VLOOKUP(E190,[1]Parameters!$A$3:$C$5,3,FALSE),0)</f>
        <v>0</v>
      </c>
      <c r="P190">
        <f>IFERROR(VLOOKUP(F190,[1]Parameters!$A$3:$C$5,3,FALSE),0)</f>
        <v>0</v>
      </c>
      <c r="Q190">
        <f t="shared" si="2"/>
        <v>1.7</v>
      </c>
      <c r="R190" s="10">
        <f>IF('[1]Pizza Sales Calculations'!$G190=TRUE, [1]Parameters!$B$17*'[1]Pizza Sales Calculations'!$L190*2, 0)</f>
        <v>2.0163888882379979</v>
      </c>
      <c r="S190" t="str">
        <f>IF(I190&lt;[1]Parameters!$B$21,"TRUE","FALSE")</f>
        <v>TRUE</v>
      </c>
      <c r="T190" s="5">
        <f>(I190/[1]Parameters!$B$25)*60</f>
        <v>2.852020153857</v>
      </c>
      <c r="U190" s="10">
        <f>IF(AND('[1]Pizza Sales Calculations'!G190=TRUE,'[1]Pizza Sales Calculations'!S190="TRUE"),T190*[1]Parameters!$B$40*2,0)</f>
        <v>0.17803059341948049</v>
      </c>
      <c r="V190">
        <f>INDEX([1]Parameters!$A$3:$C$5,MATCH('[1]Pizza Sales Calculations'!D190,[1]Parameters!$A$3:$A$5,0),2)</f>
        <v>10</v>
      </c>
      <c r="W190" t="e">
        <f>INDEX([1]Parameters!$A$3:$C$5,MATCH('[1]Pizza Sales Calculations'!E190,[1]Parameters!$A$3:$A$5,0),2)</f>
        <v>#N/A</v>
      </c>
      <c r="X190" t="e">
        <f>INDEX([1]Parameters!$A$3:$C$5,MATCH('[1]Pizza Sales Calculations'!F190,[1]Parameters!$A$3:$A$5,0),2)</f>
        <v>#N/A</v>
      </c>
    </row>
    <row r="191" spans="1:24" x14ac:dyDescent="0.3">
      <c r="A191">
        <v>190</v>
      </c>
      <c r="B191" s="14">
        <v>42372.475266203706</v>
      </c>
      <c r="C191" s="14">
        <v>42372.485648148147</v>
      </c>
      <c r="D191" t="s">
        <v>5</v>
      </c>
      <c r="G191" t="b">
        <v>0</v>
      </c>
      <c r="H191">
        <v>70805</v>
      </c>
      <c r="I191" s="5">
        <v>0</v>
      </c>
      <c r="J191" s="14">
        <v>42372.487708333334</v>
      </c>
      <c r="K191">
        <v>15.35</v>
      </c>
      <c r="L191" s="5">
        <f>('[1]Pizza Sales Calculations'!$J191-'[1]Pizza Sales Calculations'!$C191)*24*60</f>
        <v>2.9666666686534882</v>
      </c>
      <c r="M191">
        <f>COUNTA('[1]Pizza Sales Calculations'!$D191:$F191)</f>
        <v>1</v>
      </c>
      <c r="N191">
        <f>IFERROR(VLOOKUP(D191,[1]Parameters!$A$3:$C$5,3,FALSE),0)</f>
        <v>2.2999999999999998</v>
      </c>
      <c r="O191">
        <f>IFERROR(VLOOKUP(E191,[1]Parameters!$A$3:$C$5,3,FALSE),0)</f>
        <v>0</v>
      </c>
      <c r="P191">
        <f>IFERROR(VLOOKUP(F191,[1]Parameters!$A$3:$C$5,3,FALSE),0)</f>
        <v>0</v>
      </c>
      <c r="Q191">
        <f t="shared" si="2"/>
        <v>2.2999999999999998</v>
      </c>
      <c r="R191" s="10">
        <f>IF('[1]Pizza Sales Calculations'!$G191=TRUE, [1]Parameters!$B$17*'[1]Pizza Sales Calculations'!$L191*2, 0)</f>
        <v>0</v>
      </c>
      <c r="S191" t="str">
        <f>IF(I191&lt;[1]Parameters!$B$21,"TRUE","FALSE")</f>
        <v>TRUE</v>
      </c>
      <c r="T191" s="5">
        <f>(I191/[1]Parameters!$B$25)*60</f>
        <v>0</v>
      </c>
      <c r="U191" s="10">
        <f>IF(AND('[1]Pizza Sales Calculations'!G191=TRUE,'[1]Pizza Sales Calculations'!S191="TRUE"),T191*[1]Parameters!$B$40*2,0)</f>
        <v>0</v>
      </c>
      <c r="V191">
        <f>INDEX([1]Parameters!$A$3:$C$5,MATCH('[1]Pizza Sales Calculations'!D191,[1]Parameters!$A$3:$A$5,0),2)</f>
        <v>14</v>
      </c>
      <c r="W191" t="e">
        <f>INDEX([1]Parameters!$A$3:$C$5,MATCH('[1]Pizza Sales Calculations'!E191,[1]Parameters!$A$3:$A$5,0),2)</f>
        <v>#N/A</v>
      </c>
      <c r="X191" t="e">
        <f>INDEX([1]Parameters!$A$3:$C$5,MATCH('[1]Pizza Sales Calculations'!F191,[1]Parameters!$A$3:$A$5,0),2)</f>
        <v>#N/A</v>
      </c>
    </row>
    <row r="192" spans="1:24" x14ac:dyDescent="0.3">
      <c r="A192">
        <v>191</v>
      </c>
      <c r="B192" s="14">
        <v>42372.446967592594</v>
      </c>
      <c r="C192" s="14">
        <v>42372.457395833335</v>
      </c>
      <c r="D192" t="s">
        <v>3</v>
      </c>
      <c r="G192" t="b">
        <v>0</v>
      </c>
      <c r="H192">
        <v>70806</v>
      </c>
      <c r="I192" s="5">
        <v>0</v>
      </c>
      <c r="J192" s="14">
        <v>42372.459467592591</v>
      </c>
      <c r="K192">
        <v>7.99</v>
      </c>
      <c r="L192" s="5">
        <f>('[1]Pizza Sales Calculations'!$J192-'[1]Pizza Sales Calculations'!$C192)*24*60</f>
        <v>2.9833333287388086</v>
      </c>
      <c r="M192">
        <f>COUNTA('[1]Pizza Sales Calculations'!$D192:$F192)</f>
        <v>1</v>
      </c>
      <c r="N192">
        <f>IFERROR(VLOOKUP(D192,[1]Parameters!$A$3:$C$5,3,FALSE),0)</f>
        <v>1</v>
      </c>
      <c r="O192">
        <f>IFERROR(VLOOKUP(E192,[1]Parameters!$A$3:$C$5,3,FALSE),0)</f>
        <v>0</v>
      </c>
      <c r="P192">
        <f>IFERROR(VLOOKUP(F192,[1]Parameters!$A$3:$C$5,3,FALSE),0)</f>
        <v>0</v>
      </c>
      <c r="Q192">
        <f t="shared" si="2"/>
        <v>1</v>
      </c>
      <c r="R192" s="10">
        <f>IF('[1]Pizza Sales Calculations'!$G192=TRUE, [1]Parameters!$B$17*'[1]Pizza Sales Calculations'!$L192*2, 0)</f>
        <v>0</v>
      </c>
      <c r="S192" t="str">
        <f>IF(I192&lt;[1]Parameters!$B$21,"TRUE","FALSE")</f>
        <v>TRUE</v>
      </c>
      <c r="T192" s="5">
        <f>(I192/[1]Parameters!$B$25)*60</f>
        <v>0</v>
      </c>
      <c r="U192" s="10">
        <f>IF(AND('[1]Pizza Sales Calculations'!G192=TRUE,'[1]Pizza Sales Calculations'!S192="TRUE"),T192*[1]Parameters!$B$40*2,0)</f>
        <v>0</v>
      </c>
      <c r="V192">
        <f>INDEX([1]Parameters!$A$3:$C$5,MATCH('[1]Pizza Sales Calculations'!D192,[1]Parameters!$A$3:$A$5,0),2)</f>
        <v>7</v>
      </c>
      <c r="W192" t="e">
        <f>INDEX([1]Parameters!$A$3:$C$5,MATCH('[1]Pizza Sales Calculations'!E192,[1]Parameters!$A$3:$A$5,0),2)</f>
        <v>#N/A</v>
      </c>
      <c r="X192" t="e">
        <f>INDEX([1]Parameters!$A$3:$C$5,MATCH('[1]Pizza Sales Calculations'!F192,[1]Parameters!$A$3:$A$5,0),2)</f>
        <v>#N/A</v>
      </c>
    </row>
    <row r="193" spans="1:24" x14ac:dyDescent="0.3">
      <c r="A193">
        <v>192</v>
      </c>
      <c r="B193" s="14">
        <v>42372.520497685182</v>
      </c>
      <c r="C193" s="14">
        <v>42372.530925925923</v>
      </c>
      <c r="D193" t="s">
        <v>3</v>
      </c>
      <c r="E193" t="s">
        <v>5</v>
      </c>
      <c r="G193" t="b">
        <v>1</v>
      </c>
      <c r="H193">
        <v>70805</v>
      </c>
      <c r="I193" s="5">
        <v>3.2342378445178399</v>
      </c>
      <c r="J193" s="14">
        <v>42372.54215277778</v>
      </c>
      <c r="K193">
        <v>23.34</v>
      </c>
      <c r="L193" s="5">
        <f>('[1]Pizza Sales Calculations'!$J193-'[1]Pizza Sales Calculations'!$C193)*24*60</f>
        <v>16.166666673962027</v>
      </c>
      <c r="M193">
        <f>COUNTA('[1]Pizza Sales Calculations'!$D193:$F193)</f>
        <v>2</v>
      </c>
      <c r="N193">
        <f>IFERROR(VLOOKUP(D193,[1]Parameters!$A$3:$C$5,3,FALSE),0)</f>
        <v>1</v>
      </c>
      <c r="O193">
        <f>IFERROR(VLOOKUP(E193,[1]Parameters!$A$3:$C$5,3,FALSE),0)</f>
        <v>2.2999999999999998</v>
      </c>
      <c r="P193">
        <f>IFERROR(VLOOKUP(F193,[1]Parameters!$A$3:$C$5,3,FALSE),0)</f>
        <v>0</v>
      </c>
      <c r="Q193">
        <f t="shared" si="2"/>
        <v>3.3</v>
      </c>
      <c r="R193" s="10">
        <f>IF('[1]Pizza Sales Calculations'!$G193=TRUE, [1]Parameters!$B$17*'[1]Pizza Sales Calculations'!$L193*2, 0)</f>
        <v>4.5805555576225743</v>
      </c>
      <c r="S193" t="str">
        <f>IF(I193&lt;[1]Parameters!$B$21,"TRUE","FALSE")</f>
        <v>FALSE</v>
      </c>
      <c r="T193" s="5">
        <f>(I193/[1]Parameters!$B$25)*60</f>
        <v>6.4684756890356798</v>
      </c>
      <c r="U193" s="10">
        <f>IF(AND('[1]Pizza Sales Calculations'!G193=TRUE,'[1]Pizza Sales Calculations'!S193="TRUE"),T193*[1]Parameters!$B$40*2,0)</f>
        <v>0</v>
      </c>
      <c r="V193">
        <f>INDEX([1]Parameters!$A$3:$C$5,MATCH('[1]Pizza Sales Calculations'!D193,[1]Parameters!$A$3:$A$5,0),2)</f>
        <v>7</v>
      </c>
      <c r="W193">
        <f>INDEX([1]Parameters!$A$3:$C$5,MATCH('[1]Pizza Sales Calculations'!E193,[1]Parameters!$A$3:$A$5,0),2)</f>
        <v>14</v>
      </c>
      <c r="X193" t="e">
        <f>INDEX([1]Parameters!$A$3:$C$5,MATCH('[1]Pizza Sales Calculations'!F193,[1]Parameters!$A$3:$A$5,0),2)</f>
        <v>#N/A</v>
      </c>
    </row>
    <row r="194" spans="1:24" x14ac:dyDescent="0.3">
      <c r="A194">
        <v>193</v>
      </c>
      <c r="B194" s="14">
        <v>42372.528252314813</v>
      </c>
      <c r="C194" s="14">
        <v>42372.538657407407</v>
      </c>
      <c r="D194" t="s">
        <v>4</v>
      </c>
      <c r="G194" t="b">
        <v>0</v>
      </c>
      <c r="H194">
        <v>70805</v>
      </c>
      <c r="I194" s="5">
        <v>0</v>
      </c>
      <c r="J194" s="14">
        <v>42372.540752314817</v>
      </c>
      <c r="K194">
        <v>11.59</v>
      </c>
      <c r="L194" s="5">
        <f>('[1]Pizza Sales Calculations'!$J194-'[1]Pizza Sales Calculations'!$C194)*24*60</f>
        <v>3.0166666698642075</v>
      </c>
      <c r="M194">
        <f>COUNTA('[1]Pizza Sales Calculations'!$D194:$F194)</f>
        <v>1</v>
      </c>
      <c r="N194">
        <f>IFERROR(VLOOKUP(D194,[1]Parameters!$A$3:$C$5,3,FALSE),0)</f>
        <v>1.7</v>
      </c>
      <c r="O194">
        <f>IFERROR(VLOOKUP(E194,[1]Parameters!$A$3:$C$5,3,FALSE),0)</f>
        <v>0</v>
      </c>
      <c r="P194">
        <f>IFERROR(VLOOKUP(F194,[1]Parameters!$A$3:$C$5,3,FALSE),0)</f>
        <v>0</v>
      </c>
      <c r="Q194">
        <f t="shared" si="2"/>
        <v>1.7</v>
      </c>
      <c r="R194" s="10">
        <f>IF('[1]Pizza Sales Calculations'!$G194=TRUE, [1]Parameters!$B$17*'[1]Pizza Sales Calculations'!$L194*2, 0)</f>
        <v>0</v>
      </c>
      <c r="S194" t="str">
        <f>IF(I194&lt;[1]Parameters!$B$21,"TRUE","FALSE")</f>
        <v>TRUE</v>
      </c>
      <c r="T194" s="5">
        <f>(I194/[1]Parameters!$B$25)*60</f>
        <v>0</v>
      </c>
      <c r="U194" s="10">
        <f>IF(AND('[1]Pizza Sales Calculations'!G194=TRUE,'[1]Pizza Sales Calculations'!S194="TRUE"),T194*[1]Parameters!$B$40*2,0)</f>
        <v>0</v>
      </c>
      <c r="V194">
        <f>INDEX([1]Parameters!$A$3:$C$5,MATCH('[1]Pizza Sales Calculations'!D194,[1]Parameters!$A$3:$A$5,0),2)</f>
        <v>10</v>
      </c>
      <c r="W194" t="e">
        <f>INDEX([1]Parameters!$A$3:$C$5,MATCH('[1]Pizza Sales Calculations'!E194,[1]Parameters!$A$3:$A$5,0),2)</f>
        <v>#N/A</v>
      </c>
      <c r="X194" t="e">
        <f>INDEX([1]Parameters!$A$3:$C$5,MATCH('[1]Pizza Sales Calculations'!F194,[1]Parameters!$A$3:$A$5,0),2)</f>
        <v>#N/A</v>
      </c>
    </row>
    <row r="195" spans="1:24" x14ac:dyDescent="0.3">
      <c r="A195">
        <v>194</v>
      </c>
      <c r="B195" s="14">
        <v>42372.431550925925</v>
      </c>
      <c r="C195" s="14">
        <v>42372.441944444443</v>
      </c>
      <c r="D195" t="s">
        <v>5</v>
      </c>
      <c r="G195" t="b">
        <v>1</v>
      </c>
      <c r="H195">
        <v>70806</v>
      </c>
      <c r="I195" s="5">
        <v>1.51042141667455</v>
      </c>
      <c r="J195" s="14">
        <v>42372.447187500002</v>
      </c>
      <c r="K195">
        <v>15.35</v>
      </c>
      <c r="L195" s="5">
        <f>('[1]Pizza Sales Calculations'!$J195-'[1]Pizza Sales Calculations'!$C195)*24*60</f>
        <v>7.550000004703179</v>
      </c>
      <c r="M195">
        <f>COUNTA('[1]Pizza Sales Calculations'!$D195:$F195)</f>
        <v>1</v>
      </c>
      <c r="N195">
        <f>IFERROR(VLOOKUP(D195,[1]Parameters!$A$3:$C$5,3,FALSE),0)</f>
        <v>2.2999999999999998</v>
      </c>
      <c r="O195">
        <f>IFERROR(VLOOKUP(E195,[1]Parameters!$A$3:$C$5,3,FALSE),0)</f>
        <v>0</v>
      </c>
      <c r="P195">
        <f>IFERROR(VLOOKUP(F195,[1]Parameters!$A$3:$C$5,3,FALSE),0)</f>
        <v>0</v>
      </c>
      <c r="Q195">
        <f t="shared" ref="Q195:Q258" si="3">SUM(N195:P195)</f>
        <v>2.2999999999999998</v>
      </c>
      <c r="R195" s="10">
        <f>IF('[1]Pizza Sales Calculations'!$G195=TRUE, [1]Parameters!$B$17*'[1]Pizza Sales Calculations'!$L195*2, 0)</f>
        <v>2.1391666679992341</v>
      </c>
      <c r="S195" t="str">
        <f>IF(I195&lt;[1]Parameters!$B$21,"TRUE","FALSE")</f>
        <v>TRUE</v>
      </c>
      <c r="T195" s="5">
        <f>(I195/[1]Parameters!$B$25)*60</f>
        <v>3.0208428333491</v>
      </c>
      <c r="U195" s="10">
        <f>IF(AND('[1]Pizza Sales Calculations'!G195=TRUE,'[1]Pizza Sales Calculations'!S195="TRUE"),T195*[1]Parameters!$B$40*2,0)</f>
        <v>0.18856894875753757</v>
      </c>
      <c r="V195">
        <f>INDEX([1]Parameters!$A$3:$C$5,MATCH('[1]Pizza Sales Calculations'!D195,[1]Parameters!$A$3:$A$5,0),2)</f>
        <v>14</v>
      </c>
      <c r="W195" t="e">
        <f>INDEX([1]Parameters!$A$3:$C$5,MATCH('[1]Pizza Sales Calculations'!E195,[1]Parameters!$A$3:$A$5,0),2)</f>
        <v>#N/A</v>
      </c>
      <c r="X195" t="e">
        <f>INDEX([1]Parameters!$A$3:$C$5,MATCH('[1]Pizza Sales Calculations'!F195,[1]Parameters!$A$3:$A$5,0),2)</f>
        <v>#N/A</v>
      </c>
    </row>
    <row r="196" spans="1:24" x14ac:dyDescent="0.3">
      <c r="A196">
        <v>195</v>
      </c>
      <c r="B196" s="14">
        <v>42372.45957175926</v>
      </c>
      <c r="C196" s="14">
        <v>42372.469988425924</v>
      </c>
      <c r="D196" t="s">
        <v>3</v>
      </c>
      <c r="G196" t="b">
        <v>0</v>
      </c>
      <c r="H196">
        <v>70806</v>
      </c>
      <c r="I196" s="5">
        <v>0</v>
      </c>
      <c r="J196" s="14">
        <v>42372.472048611111</v>
      </c>
      <c r="K196">
        <v>7.99</v>
      </c>
      <c r="L196" s="5">
        <f>('[1]Pizza Sales Calculations'!$J196-'[1]Pizza Sales Calculations'!$C196)*24*60</f>
        <v>2.9666666686534882</v>
      </c>
      <c r="M196">
        <f>COUNTA('[1]Pizza Sales Calculations'!$D196:$F196)</f>
        <v>1</v>
      </c>
      <c r="N196">
        <f>IFERROR(VLOOKUP(D196,[1]Parameters!$A$3:$C$5,3,FALSE),0)</f>
        <v>1</v>
      </c>
      <c r="O196">
        <f>IFERROR(VLOOKUP(E196,[1]Parameters!$A$3:$C$5,3,FALSE),0)</f>
        <v>0</v>
      </c>
      <c r="P196">
        <f>IFERROR(VLOOKUP(F196,[1]Parameters!$A$3:$C$5,3,FALSE),0)</f>
        <v>0</v>
      </c>
      <c r="Q196">
        <f t="shared" si="3"/>
        <v>1</v>
      </c>
      <c r="R196" s="10">
        <f>IF('[1]Pizza Sales Calculations'!$G196=TRUE, [1]Parameters!$B$17*'[1]Pizza Sales Calculations'!$L196*2, 0)</f>
        <v>0</v>
      </c>
      <c r="S196" t="str">
        <f>IF(I196&lt;[1]Parameters!$B$21,"TRUE","FALSE")</f>
        <v>TRUE</v>
      </c>
      <c r="T196" s="5">
        <f>(I196/[1]Parameters!$B$25)*60</f>
        <v>0</v>
      </c>
      <c r="U196" s="10">
        <f>IF(AND('[1]Pizza Sales Calculations'!G196=TRUE,'[1]Pizza Sales Calculations'!S196="TRUE"),T196*[1]Parameters!$B$40*2,0)</f>
        <v>0</v>
      </c>
      <c r="V196">
        <f>INDEX([1]Parameters!$A$3:$C$5,MATCH('[1]Pizza Sales Calculations'!D196,[1]Parameters!$A$3:$A$5,0),2)</f>
        <v>7</v>
      </c>
      <c r="W196" t="e">
        <f>INDEX([1]Parameters!$A$3:$C$5,MATCH('[1]Pizza Sales Calculations'!E196,[1]Parameters!$A$3:$A$5,0),2)</f>
        <v>#N/A</v>
      </c>
      <c r="X196" t="e">
        <f>INDEX([1]Parameters!$A$3:$C$5,MATCH('[1]Pizza Sales Calculations'!F196,[1]Parameters!$A$3:$A$5,0),2)</f>
        <v>#N/A</v>
      </c>
    </row>
    <row r="197" spans="1:24" x14ac:dyDescent="0.3">
      <c r="A197">
        <v>196</v>
      </c>
      <c r="B197" s="14">
        <v>42372.472777777781</v>
      </c>
      <c r="C197" s="14">
        <v>42372.483182870368</v>
      </c>
      <c r="D197" t="s">
        <v>4</v>
      </c>
      <c r="G197" t="b">
        <v>0</v>
      </c>
      <c r="H197">
        <v>70803</v>
      </c>
      <c r="I197" s="5">
        <v>0</v>
      </c>
      <c r="J197" s="14">
        <v>42372.485277777778</v>
      </c>
      <c r="K197">
        <v>11.59</v>
      </c>
      <c r="L197" s="5">
        <f>('[1]Pizza Sales Calculations'!$J197-'[1]Pizza Sales Calculations'!$C197)*24*60</f>
        <v>3.0166666698642075</v>
      </c>
      <c r="M197">
        <f>COUNTA('[1]Pizza Sales Calculations'!$D197:$F197)</f>
        <v>1</v>
      </c>
      <c r="N197">
        <f>IFERROR(VLOOKUP(D197,[1]Parameters!$A$3:$C$5,3,FALSE),0)</f>
        <v>1.7</v>
      </c>
      <c r="O197">
        <f>IFERROR(VLOOKUP(E197,[1]Parameters!$A$3:$C$5,3,FALSE),0)</f>
        <v>0</v>
      </c>
      <c r="P197">
        <f>IFERROR(VLOOKUP(F197,[1]Parameters!$A$3:$C$5,3,FALSE),0)</f>
        <v>0</v>
      </c>
      <c r="Q197">
        <f t="shared" si="3"/>
        <v>1.7</v>
      </c>
      <c r="R197" s="10">
        <f>IF('[1]Pizza Sales Calculations'!$G197=TRUE, [1]Parameters!$B$17*'[1]Pizza Sales Calculations'!$L197*2, 0)</f>
        <v>0</v>
      </c>
      <c r="S197" t="str">
        <f>IF(I197&lt;[1]Parameters!$B$21,"TRUE","FALSE")</f>
        <v>TRUE</v>
      </c>
      <c r="T197" s="5">
        <f>(I197/[1]Parameters!$B$25)*60</f>
        <v>0</v>
      </c>
      <c r="U197" s="10">
        <f>IF(AND('[1]Pizza Sales Calculations'!G197=TRUE,'[1]Pizza Sales Calculations'!S197="TRUE"),T197*[1]Parameters!$B$40*2,0)</f>
        <v>0</v>
      </c>
      <c r="V197">
        <f>INDEX([1]Parameters!$A$3:$C$5,MATCH('[1]Pizza Sales Calculations'!D197,[1]Parameters!$A$3:$A$5,0),2)</f>
        <v>10</v>
      </c>
      <c r="W197" t="e">
        <f>INDEX([1]Parameters!$A$3:$C$5,MATCH('[1]Pizza Sales Calculations'!E197,[1]Parameters!$A$3:$A$5,0),2)</f>
        <v>#N/A</v>
      </c>
      <c r="X197" t="e">
        <f>INDEX([1]Parameters!$A$3:$C$5,MATCH('[1]Pizza Sales Calculations'!F197,[1]Parameters!$A$3:$A$5,0),2)</f>
        <v>#N/A</v>
      </c>
    </row>
    <row r="198" spans="1:24" x14ac:dyDescent="0.3">
      <c r="A198">
        <v>197</v>
      </c>
      <c r="B198" s="14">
        <v>42372.47488425926</v>
      </c>
      <c r="C198" s="14">
        <v>42372.485289351855</v>
      </c>
      <c r="D198" t="s">
        <v>4</v>
      </c>
      <c r="G198" t="b">
        <v>1</v>
      </c>
      <c r="H198">
        <v>70804</v>
      </c>
      <c r="I198" s="5">
        <v>2.9891338886401</v>
      </c>
      <c r="J198" s="14">
        <v>42372.495659722219</v>
      </c>
      <c r="K198">
        <v>11.59</v>
      </c>
      <c r="L198" s="5">
        <f>('[1]Pizza Sales Calculations'!$J198-'[1]Pizza Sales Calculations'!$C198)*24*60</f>
        <v>14.933333324734122</v>
      </c>
      <c r="M198">
        <f>COUNTA('[1]Pizza Sales Calculations'!$D198:$F198)</f>
        <v>1</v>
      </c>
      <c r="N198">
        <f>IFERROR(VLOOKUP(D198,[1]Parameters!$A$3:$C$5,3,FALSE),0)</f>
        <v>1.7</v>
      </c>
      <c r="O198">
        <f>IFERROR(VLOOKUP(E198,[1]Parameters!$A$3:$C$5,3,FALSE),0)</f>
        <v>0</v>
      </c>
      <c r="P198">
        <f>IFERROR(VLOOKUP(F198,[1]Parameters!$A$3:$C$5,3,FALSE),0)</f>
        <v>0</v>
      </c>
      <c r="Q198">
        <f t="shared" si="3"/>
        <v>1.7</v>
      </c>
      <c r="R198" s="10">
        <f>IF('[1]Pizza Sales Calculations'!$G198=TRUE, [1]Parameters!$B$17*'[1]Pizza Sales Calculations'!$L198*2, 0)</f>
        <v>4.2311111086746678</v>
      </c>
      <c r="S198" t="str">
        <f>IF(I198&lt;[1]Parameters!$B$21,"TRUE","FALSE")</f>
        <v>TRUE</v>
      </c>
      <c r="T198" s="5">
        <f>(I198/[1]Parameters!$B$25)*60</f>
        <v>5.9782677772802</v>
      </c>
      <c r="U198" s="10">
        <f>IF(AND('[1]Pizza Sales Calculations'!G198=TRUE,'[1]Pizza Sales Calculations'!S198="TRUE"),T198*[1]Parameters!$B$40*2,0)</f>
        <v>0.37317918618856899</v>
      </c>
      <c r="V198">
        <f>INDEX([1]Parameters!$A$3:$C$5,MATCH('[1]Pizza Sales Calculations'!D198,[1]Parameters!$A$3:$A$5,0),2)</f>
        <v>10</v>
      </c>
      <c r="W198" t="e">
        <f>INDEX([1]Parameters!$A$3:$C$5,MATCH('[1]Pizza Sales Calculations'!E198,[1]Parameters!$A$3:$A$5,0),2)</f>
        <v>#N/A</v>
      </c>
      <c r="X198" t="e">
        <f>INDEX([1]Parameters!$A$3:$C$5,MATCH('[1]Pizza Sales Calculations'!F198,[1]Parameters!$A$3:$A$5,0),2)</f>
        <v>#N/A</v>
      </c>
    </row>
    <row r="199" spans="1:24" x14ac:dyDescent="0.3">
      <c r="A199">
        <v>198</v>
      </c>
      <c r="B199" s="14">
        <v>42372.480844907404</v>
      </c>
      <c r="C199" s="14">
        <v>42372.491249999999</v>
      </c>
      <c r="D199" t="s">
        <v>3</v>
      </c>
      <c r="E199" t="s">
        <v>4</v>
      </c>
      <c r="G199" t="b">
        <v>0</v>
      </c>
      <c r="H199">
        <v>70805</v>
      </c>
      <c r="I199" s="5">
        <v>0</v>
      </c>
      <c r="J199" s="14">
        <v>42372.493298611109</v>
      </c>
      <c r="K199">
        <v>19.579999999999998</v>
      </c>
      <c r="L199" s="5">
        <f>('[1]Pizza Sales Calculations'!$J199-'[1]Pizza Sales Calculations'!$C199)*24*60</f>
        <v>2.9499999980907887</v>
      </c>
      <c r="M199">
        <f>COUNTA('[1]Pizza Sales Calculations'!$D199:$F199)</f>
        <v>2</v>
      </c>
      <c r="N199">
        <f>IFERROR(VLOOKUP(D199,[1]Parameters!$A$3:$C$5,3,FALSE),0)</f>
        <v>1</v>
      </c>
      <c r="O199">
        <f>IFERROR(VLOOKUP(E199,[1]Parameters!$A$3:$C$5,3,FALSE),0)</f>
        <v>1.7</v>
      </c>
      <c r="P199">
        <f>IFERROR(VLOOKUP(F199,[1]Parameters!$A$3:$C$5,3,FALSE),0)</f>
        <v>0</v>
      </c>
      <c r="Q199">
        <f t="shared" si="3"/>
        <v>2.7</v>
      </c>
      <c r="R199" s="10">
        <f>IF('[1]Pizza Sales Calculations'!$G199=TRUE, [1]Parameters!$B$17*'[1]Pizza Sales Calculations'!$L199*2, 0)</f>
        <v>0</v>
      </c>
      <c r="S199" t="str">
        <f>IF(I199&lt;[1]Parameters!$B$21,"TRUE","FALSE")</f>
        <v>TRUE</v>
      </c>
      <c r="T199" s="5">
        <f>(I199/[1]Parameters!$B$25)*60</f>
        <v>0</v>
      </c>
      <c r="U199" s="10">
        <f>IF(AND('[1]Pizza Sales Calculations'!G199=TRUE,'[1]Pizza Sales Calculations'!S199="TRUE"),T199*[1]Parameters!$B$40*2,0)</f>
        <v>0</v>
      </c>
      <c r="V199">
        <f>INDEX([1]Parameters!$A$3:$C$5,MATCH('[1]Pizza Sales Calculations'!D199,[1]Parameters!$A$3:$A$5,0),2)</f>
        <v>7</v>
      </c>
      <c r="W199">
        <f>INDEX([1]Parameters!$A$3:$C$5,MATCH('[1]Pizza Sales Calculations'!E199,[1]Parameters!$A$3:$A$5,0),2)</f>
        <v>10</v>
      </c>
      <c r="X199" t="e">
        <f>INDEX([1]Parameters!$A$3:$C$5,MATCH('[1]Pizza Sales Calculations'!F199,[1]Parameters!$A$3:$A$5,0),2)</f>
        <v>#N/A</v>
      </c>
    </row>
    <row r="200" spans="1:24" x14ac:dyDescent="0.3">
      <c r="A200">
        <v>199</v>
      </c>
      <c r="B200" s="14">
        <v>42372.466145833336</v>
      </c>
      <c r="C200" s="14">
        <v>42372.476539351854</v>
      </c>
      <c r="D200" t="s">
        <v>5</v>
      </c>
      <c r="G200" t="b">
        <v>1</v>
      </c>
      <c r="H200">
        <v>70805</v>
      </c>
      <c r="I200" s="5">
        <v>3.49292248548733</v>
      </c>
      <c r="J200" s="14">
        <v>42372.488657407404</v>
      </c>
      <c r="K200">
        <v>15.35</v>
      </c>
      <c r="L200" s="5">
        <f>('[1]Pizza Sales Calculations'!$J200-'[1]Pizza Sales Calculations'!$C200)*24*60</f>
        <v>17.449999992968515</v>
      </c>
      <c r="M200">
        <f>COUNTA('[1]Pizza Sales Calculations'!$D200:$F200)</f>
        <v>1</v>
      </c>
      <c r="N200">
        <f>IFERROR(VLOOKUP(D200,[1]Parameters!$A$3:$C$5,3,FALSE),0)</f>
        <v>2.2999999999999998</v>
      </c>
      <c r="O200">
        <f>IFERROR(VLOOKUP(E200,[1]Parameters!$A$3:$C$5,3,FALSE),0)</f>
        <v>0</v>
      </c>
      <c r="P200">
        <f>IFERROR(VLOOKUP(F200,[1]Parameters!$A$3:$C$5,3,FALSE),0)</f>
        <v>0</v>
      </c>
      <c r="Q200">
        <f t="shared" si="3"/>
        <v>2.2999999999999998</v>
      </c>
      <c r="R200" s="10">
        <f>IF('[1]Pizza Sales Calculations'!$G200=TRUE, [1]Parameters!$B$17*'[1]Pizza Sales Calculations'!$L200*2, 0)</f>
        <v>4.9441666646744125</v>
      </c>
      <c r="S200" t="str">
        <f>IF(I200&lt;[1]Parameters!$B$21,"TRUE","FALSE")</f>
        <v>FALSE</v>
      </c>
      <c r="T200" s="5">
        <f>(I200/[1]Parameters!$B$25)*60</f>
        <v>6.98584497097466</v>
      </c>
      <c r="U200" s="10">
        <f>IF(AND('[1]Pizza Sales Calculations'!G200=TRUE,'[1]Pizza Sales Calculations'!S200="TRUE"),T200*[1]Parameters!$B$40*2,0)</f>
        <v>0</v>
      </c>
      <c r="V200">
        <f>INDEX([1]Parameters!$A$3:$C$5,MATCH('[1]Pizza Sales Calculations'!D200,[1]Parameters!$A$3:$A$5,0),2)</f>
        <v>14</v>
      </c>
      <c r="W200" t="e">
        <f>INDEX([1]Parameters!$A$3:$C$5,MATCH('[1]Pizza Sales Calculations'!E200,[1]Parameters!$A$3:$A$5,0),2)</f>
        <v>#N/A</v>
      </c>
      <c r="X200" t="e">
        <f>INDEX([1]Parameters!$A$3:$C$5,MATCH('[1]Pizza Sales Calculations'!F200,[1]Parameters!$A$3:$A$5,0),2)</f>
        <v>#N/A</v>
      </c>
    </row>
    <row r="201" spans="1:24" x14ac:dyDescent="0.3">
      <c r="A201">
        <v>200</v>
      </c>
      <c r="B201" s="14">
        <v>42372.431134259263</v>
      </c>
      <c r="C201" s="14">
        <v>42372.441550925927</v>
      </c>
      <c r="D201" t="s">
        <v>4</v>
      </c>
      <c r="G201" t="b">
        <v>1</v>
      </c>
      <c r="H201">
        <v>70804</v>
      </c>
      <c r="I201" s="5">
        <v>1.78974619257477</v>
      </c>
      <c r="J201" s="14">
        <v>42372.447754629633</v>
      </c>
      <c r="K201">
        <v>11.59</v>
      </c>
      <c r="L201" s="5">
        <f>('[1]Pizza Sales Calculations'!$J201-'[1]Pizza Sales Calculations'!$C201)*24*60</f>
        <v>8.9333333366084844</v>
      </c>
      <c r="M201">
        <f>COUNTA('[1]Pizza Sales Calculations'!$D201:$F201)</f>
        <v>1</v>
      </c>
      <c r="N201">
        <f>IFERROR(VLOOKUP(D201,[1]Parameters!$A$3:$C$5,3,FALSE),0)</f>
        <v>1.7</v>
      </c>
      <c r="O201">
        <f>IFERROR(VLOOKUP(E201,[1]Parameters!$A$3:$C$5,3,FALSE),0)</f>
        <v>0</v>
      </c>
      <c r="P201">
        <f>IFERROR(VLOOKUP(F201,[1]Parameters!$A$3:$C$5,3,FALSE),0)</f>
        <v>0</v>
      </c>
      <c r="Q201">
        <f t="shared" si="3"/>
        <v>1.7</v>
      </c>
      <c r="R201" s="10">
        <f>IF('[1]Pizza Sales Calculations'!$G201=TRUE, [1]Parameters!$B$17*'[1]Pizza Sales Calculations'!$L201*2, 0)</f>
        <v>2.5311111120390706</v>
      </c>
      <c r="S201" t="str">
        <f>IF(I201&lt;[1]Parameters!$B$21,"TRUE","FALSE")</f>
        <v>TRUE</v>
      </c>
      <c r="T201" s="5">
        <f>(I201/[1]Parameters!$B$25)*60</f>
        <v>3.5794923851495399</v>
      </c>
      <c r="U201" s="10">
        <f>IF(AND('[1]Pizza Sales Calculations'!G201=TRUE,'[1]Pizza Sales Calculations'!S201="TRUE"),T201*[1]Parameters!$B$40*2,0)</f>
        <v>0.22344132197203131</v>
      </c>
      <c r="V201">
        <f>INDEX([1]Parameters!$A$3:$C$5,MATCH('[1]Pizza Sales Calculations'!D201,[1]Parameters!$A$3:$A$5,0),2)</f>
        <v>10</v>
      </c>
      <c r="W201" t="e">
        <f>INDEX([1]Parameters!$A$3:$C$5,MATCH('[1]Pizza Sales Calculations'!E201,[1]Parameters!$A$3:$A$5,0),2)</f>
        <v>#N/A</v>
      </c>
      <c r="X201" t="e">
        <f>INDEX([1]Parameters!$A$3:$C$5,MATCH('[1]Pizza Sales Calculations'!F201,[1]Parameters!$A$3:$A$5,0),2)</f>
        <v>#N/A</v>
      </c>
    </row>
    <row r="202" spans="1:24" x14ac:dyDescent="0.3">
      <c r="A202">
        <v>201</v>
      </c>
      <c r="B202" s="14">
        <v>42372.473356481481</v>
      </c>
      <c r="C202" s="14">
        <v>42372.483773148146</v>
      </c>
      <c r="D202" t="s">
        <v>3</v>
      </c>
      <c r="E202" t="s">
        <v>5</v>
      </c>
      <c r="G202" t="b">
        <v>1</v>
      </c>
      <c r="H202">
        <v>70805</v>
      </c>
      <c r="I202" s="5">
        <v>4.2959556838002797</v>
      </c>
      <c r="J202" s="14">
        <v>42372.498680555553</v>
      </c>
      <c r="K202">
        <v>23.34</v>
      </c>
      <c r="L202" s="5">
        <f>('[1]Pizza Sales Calculations'!$J202-'[1]Pizza Sales Calculations'!$C202)*24*60</f>
        <v>21.466666666092351</v>
      </c>
      <c r="M202">
        <f>COUNTA('[1]Pizza Sales Calculations'!$D202:$F202)</f>
        <v>2</v>
      </c>
      <c r="N202">
        <f>IFERROR(VLOOKUP(D202,[1]Parameters!$A$3:$C$5,3,FALSE),0)</f>
        <v>1</v>
      </c>
      <c r="O202">
        <f>IFERROR(VLOOKUP(E202,[1]Parameters!$A$3:$C$5,3,FALSE),0)</f>
        <v>2.2999999999999998</v>
      </c>
      <c r="P202">
        <f>IFERROR(VLOOKUP(F202,[1]Parameters!$A$3:$C$5,3,FALSE),0)</f>
        <v>0</v>
      </c>
      <c r="Q202">
        <f t="shared" si="3"/>
        <v>3.3</v>
      </c>
      <c r="R202" s="10">
        <f>IF('[1]Pizza Sales Calculations'!$G202=TRUE, [1]Parameters!$B$17*'[1]Pizza Sales Calculations'!$L202*2, 0)</f>
        <v>6.0822222220594995</v>
      </c>
      <c r="S202" t="str">
        <f>IF(I202&lt;[1]Parameters!$B$21,"TRUE","FALSE")</f>
        <v>FALSE</v>
      </c>
      <c r="T202" s="5">
        <f>(I202/[1]Parameters!$B$25)*60</f>
        <v>8.5919113676005594</v>
      </c>
      <c r="U202" s="10">
        <f>IF(AND('[1]Pizza Sales Calculations'!G202=TRUE,'[1]Pizza Sales Calculations'!S202="TRUE"),T202*[1]Parameters!$B$40*2,0)</f>
        <v>0</v>
      </c>
      <c r="V202">
        <f>INDEX([1]Parameters!$A$3:$C$5,MATCH('[1]Pizza Sales Calculations'!D202,[1]Parameters!$A$3:$A$5,0),2)</f>
        <v>7</v>
      </c>
      <c r="W202">
        <f>INDEX([1]Parameters!$A$3:$C$5,MATCH('[1]Pizza Sales Calculations'!E202,[1]Parameters!$A$3:$A$5,0),2)</f>
        <v>14</v>
      </c>
      <c r="X202" t="e">
        <f>INDEX([1]Parameters!$A$3:$C$5,MATCH('[1]Pizza Sales Calculations'!F202,[1]Parameters!$A$3:$A$5,0),2)</f>
        <v>#N/A</v>
      </c>
    </row>
    <row r="203" spans="1:24" x14ac:dyDescent="0.3">
      <c r="A203">
        <v>202</v>
      </c>
      <c r="B203" s="14">
        <v>42372.521550925929</v>
      </c>
      <c r="C203" s="14">
        <v>42372.531944444447</v>
      </c>
      <c r="D203" t="s">
        <v>5</v>
      </c>
      <c r="G203" t="b">
        <v>1</v>
      </c>
      <c r="H203">
        <v>70805</v>
      </c>
      <c r="I203" s="5">
        <v>4.0701279239412402</v>
      </c>
      <c r="J203" s="14">
        <v>42372.546076388891</v>
      </c>
      <c r="K203">
        <v>15.35</v>
      </c>
      <c r="L203" s="5">
        <f>('[1]Pizza Sales Calculations'!$J203-'[1]Pizza Sales Calculations'!$C203)*24*60</f>
        <v>20.350000000325963</v>
      </c>
      <c r="M203">
        <f>COUNTA('[1]Pizza Sales Calculations'!$D203:$F203)</f>
        <v>1</v>
      </c>
      <c r="N203">
        <f>IFERROR(VLOOKUP(D203,[1]Parameters!$A$3:$C$5,3,FALSE),0)</f>
        <v>2.2999999999999998</v>
      </c>
      <c r="O203">
        <f>IFERROR(VLOOKUP(E203,[1]Parameters!$A$3:$C$5,3,FALSE),0)</f>
        <v>0</v>
      </c>
      <c r="P203">
        <f>IFERROR(VLOOKUP(F203,[1]Parameters!$A$3:$C$5,3,FALSE),0)</f>
        <v>0</v>
      </c>
      <c r="Q203">
        <f t="shared" si="3"/>
        <v>2.2999999999999998</v>
      </c>
      <c r="R203" s="10">
        <f>IF('[1]Pizza Sales Calculations'!$G203=TRUE, [1]Parameters!$B$17*'[1]Pizza Sales Calculations'!$L203*2, 0)</f>
        <v>5.7658333334256895</v>
      </c>
      <c r="S203" t="str">
        <f>IF(I203&lt;[1]Parameters!$B$21,"TRUE","FALSE")</f>
        <v>FALSE</v>
      </c>
      <c r="T203" s="5">
        <f>(I203/[1]Parameters!$B$25)*60</f>
        <v>8.1402558478824805</v>
      </c>
      <c r="U203" s="10">
        <f>IF(AND('[1]Pizza Sales Calculations'!G203=TRUE,'[1]Pizza Sales Calculations'!S203="TRUE"),T203*[1]Parameters!$B$40*2,0)</f>
        <v>0</v>
      </c>
      <c r="V203">
        <f>INDEX([1]Parameters!$A$3:$C$5,MATCH('[1]Pizza Sales Calculations'!D203,[1]Parameters!$A$3:$A$5,0),2)</f>
        <v>14</v>
      </c>
      <c r="W203" t="e">
        <f>INDEX([1]Parameters!$A$3:$C$5,MATCH('[1]Pizza Sales Calculations'!E203,[1]Parameters!$A$3:$A$5,0),2)</f>
        <v>#N/A</v>
      </c>
      <c r="X203" t="e">
        <f>INDEX([1]Parameters!$A$3:$C$5,MATCH('[1]Pizza Sales Calculations'!F203,[1]Parameters!$A$3:$A$5,0),2)</f>
        <v>#N/A</v>
      </c>
    </row>
    <row r="204" spans="1:24" x14ac:dyDescent="0.3">
      <c r="A204">
        <v>203</v>
      </c>
      <c r="B204" s="14">
        <v>42372.505185185182</v>
      </c>
      <c r="C204" s="14">
        <v>42372.515567129631</v>
      </c>
      <c r="D204" t="s">
        <v>4</v>
      </c>
      <c r="G204" t="b">
        <v>0</v>
      </c>
      <c r="H204">
        <v>70806</v>
      </c>
      <c r="I204" s="5">
        <v>0</v>
      </c>
      <c r="J204" s="14">
        <v>42372.517650462964</v>
      </c>
      <c r="K204">
        <v>11.59</v>
      </c>
      <c r="L204" s="5">
        <f>('[1]Pizza Sales Calculations'!$J204-'[1]Pizza Sales Calculations'!$C204)*24*60</f>
        <v>2.9999999993015081</v>
      </c>
      <c r="M204">
        <f>COUNTA('[1]Pizza Sales Calculations'!$D204:$F204)</f>
        <v>1</v>
      </c>
      <c r="N204">
        <f>IFERROR(VLOOKUP(D204,[1]Parameters!$A$3:$C$5,3,FALSE),0)</f>
        <v>1.7</v>
      </c>
      <c r="O204">
        <f>IFERROR(VLOOKUP(E204,[1]Parameters!$A$3:$C$5,3,FALSE),0)</f>
        <v>0</v>
      </c>
      <c r="P204">
        <f>IFERROR(VLOOKUP(F204,[1]Parameters!$A$3:$C$5,3,FALSE),0)</f>
        <v>0</v>
      </c>
      <c r="Q204">
        <f t="shared" si="3"/>
        <v>1.7</v>
      </c>
      <c r="R204" s="10">
        <f>IF('[1]Pizza Sales Calculations'!$G204=TRUE, [1]Parameters!$B$17*'[1]Pizza Sales Calculations'!$L204*2, 0)</f>
        <v>0</v>
      </c>
      <c r="S204" t="str">
        <f>IF(I204&lt;[1]Parameters!$B$21,"TRUE","FALSE")</f>
        <v>TRUE</v>
      </c>
      <c r="T204" s="5">
        <f>(I204/[1]Parameters!$B$25)*60</f>
        <v>0</v>
      </c>
      <c r="U204" s="10">
        <f>IF(AND('[1]Pizza Sales Calculations'!G204=TRUE,'[1]Pizza Sales Calculations'!S204="TRUE"),T204*[1]Parameters!$B$40*2,0)</f>
        <v>0</v>
      </c>
      <c r="V204">
        <f>INDEX([1]Parameters!$A$3:$C$5,MATCH('[1]Pizza Sales Calculations'!D204,[1]Parameters!$A$3:$A$5,0),2)</f>
        <v>10</v>
      </c>
      <c r="W204" t="e">
        <f>INDEX([1]Parameters!$A$3:$C$5,MATCH('[1]Pizza Sales Calculations'!E204,[1]Parameters!$A$3:$A$5,0),2)</f>
        <v>#N/A</v>
      </c>
      <c r="X204" t="e">
        <f>INDEX([1]Parameters!$A$3:$C$5,MATCH('[1]Pizza Sales Calculations'!F204,[1]Parameters!$A$3:$A$5,0),2)</f>
        <v>#N/A</v>
      </c>
    </row>
    <row r="205" spans="1:24" x14ac:dyDescent="0.3">
      <c r="A205">
        <v>204</v>
      </c>
      <c r="B205" s="14">
        <v>42372.48101851852</v>
      </c>
      <c r="C205" s="14">
        <v>42372.491435185184</v>
      </c>
      <c r="D205" t="s">
        <v>4</v>
      </c>
      <c r="G205" t="b">
        <v>0</v>
      </c>
      <c r="H205">
        <v>70804</v>
      </c>
      <c r="I205" s="5">
        <v>0</v>
      </c>
      <c r="J205" s="14">
        <v>42372.493518518517</v>
      </c>
      <c r="K205">
        <v>11.59</v>
      </c>
      <c r="L205" s="5">
        <f>('[1]Pizza Sales Calculations'!$J205-'[1]Pizza Sales Calculations'!$C205)*24*60</f>
        <v>2.9999999993015081</v>
      </c>
      <c r="M205">
        <f>COUNTA('[1]Pizza Sales Calculations'!$D205:$F205)</f>
        <v>1</v>
      </c>
      <c r="N205">
        <f>IFERROR(VLOOKUP(D205,[1]Parameters!$A$3:$C$5,3,FALSE),0)</f>
        <v>1.7</v>
      </c>
      <c r="O205">
        <f>IFERROR(VLOOKUP(E205,[1]Parameters!$A$3:$C$5,3,FALSE),0)</f>
        <v>0</v>
      </c>
      <c r="P205">
        <f>IFERROR(VLOOKUP(F205,[1]Parameters!$A$3:$C$5,3,FALSE),0)</f>
        <v>0</v>
      </c>
      <c r="Q205">
        <f t="shared" si="3"/>
        <v>1.7</v>
      </c>
      <c r="R205" s="10">
        <f>IF('[1]Pizza Sales Calculations'!$G205=TRUE, [1]Parameters!$B$17*'[1]Pizza Sales Calculations'!$L205*2, 0)</f>
        <v>0</v>
      </c>
      <c r="S205" t="str">
        <f>IF(I205&lt;[1]Parameters!$B$21,"TRUE","FALSE")</f>
        <v>TRUE</v>
      </c>
      <c r="T205" s="5">
        <f>(I205/[1]Parameters!$B$25)*60</f>
        <v>0</v>
      </c>
      <c r="U205" s="10">
        <f>IF(AND('[1]Pizza Sales Calculations'!G205=TRUE,'[1]Pizza Sales Calculations'!S205="TRUE"),T205*[1]Parameters!$B$40*2,0)</f>
        <v>0</v>
      </c>
      <c r="V205">
        <f>INDEX([1]Parameters!$A$3:$C$5,MATCH('[1]Pizza Sales Calculations'!D205,[1]Parameters!$A$3:$A$5,0),2)</f>
        <v>10</v>
      </c>
      <c r="W205" t="e">
        <f>INDEX([1]Parameters!$A$3:$C$5,MATCH('[1]Pizza Sales Calculations'!E205,[1]Parameters!$A$3:$A$5,0),2)</f>
        <v>#N/A</v>
      </c>
      <c r="X205" t="e">
        <f>INDEX([1]Parameters!$A$3:$C$5,MATCH('[1]Pizza Sales Calculations'!F205,[1]Parameters!$A$3:$A$5,0),2)</f>
        <v>#N/A</v>
      </c>
    </row>
    <row r="206" spans="1:24" x14ac:dyDescent="0.3">
      <c r="A206">
        <v>205</v>
      </c>
      <c r="B206" s="14">
        <v>42372.510763888888</v>
      </c>
      <c r="C206" s="14">
        <v>42372.521145833336</v>
      </c>
      <c r="D206" t="s">
        <v>4</v>
      </c>
      <c r="G206" t="b">
        <v>1</v>
      </c>
      <c r="H206">
        <v>70807</v>
      </c>
      <c r="I206" s="5">
        <v>3.4983218273421901</v>
      </c>
      <c r="J206" s="14">
        <v>42372.53328703704</v>
      </c>
      <c r="K206">
        <v>11.59</v>
      </c>
      <c r="L206" s="5">
        <f>('[1]Pizza Sales Calculations'!$J206-'[1]Pizza Sales Calculations'!$C206)*24*60</f>
        <v>17.483333334093913</v>
      </c>
      <c r="M206">
        <f>COUNTA('[1]Pizza Sales Calculations'!$D206:$F206)</f>
        <v>1</v>
      </c>
      <c r="N206">
        <f>IFERROR(VLOOKUP(D206,[1]Parameters!$A$3:$C$5,3,FALSE),0)</f>
        <v>1.7</v>
      </c>
      <c r="O206">
        <f>IFERROR(VLOOKUP(E206,[1]Parameters!$A$3:$C$5,3,FALSE),0)</f>
        <v>0</v>
      </c>
      <c r="P206">
        <f>IFERROR(VLOOKUP(F206,[1]Parameters!$A$3:$C$5,3,FALSE),0)</f>
        <v>0</v>
      </c>
      <c r="Q206">
        <f t="shared" si="3"/>
        <v>1.7</v>
      </c>
      <c r="R206" s="10">
        <f>IF('[1]Pizza Sales Calculations'!$G206=TRUE, [1]Parameters!$B$17*'[1]Pizza Sales Calculations'!$L206*2, 0)</f>
        <v>4.9536111113266088</v>
      </c>
      <c r="S206" t="str">
        <f>IF(I206&lt;[1]Parameters!$B$21,"TRUE","FALSE")</f>
        <v>FALSE</v>
      </c>
      <c r="T206" s="5">
        <f>(I206/[1]Parameters!$B$25)*60</f>
        <v>6.9966436546843802</v>
      </c>
      <c r="U206" s="10">
        <f>IF(AND('[1]Pizza Sales Calculations'!G206=TRUE,'[1]Pizza Sales Calculations'!S206="TRUE"),T206*[1]Parameters!$B$40*2,0)</f>
        <v>0</v>
      </c>
      <c r="V206">
        <f>INDEX([1]Parameters!$A$3:$C$5,MATCH('[1]Pizza Sales Calculations'!D206,[1]Parameters!$A$3:$A$5,0),2)</f>
        <v>10</v>
      </c>
      <c r="W206" t="e">
        <f>INDEX([1]Parameters!$A$3:$C$5,MATCH('[1]Pizza Sales Calculations'!E206,[1]Parameters!$A$3:$A$5,0),2)</f>
        <v>#N/A</v>
      </c>
      <c r="X206" t="e">
        <f>INDEX([1]Parameters!$A$3:$C$5,MATCH('[1]Pizza Sales Calculations'!F206,[1]Parameters!$A$3:$A$5,0),2)</f>
        <v>#N/A</v>
      </c>
    </row>
    <row r="207" spans="1:24" x14ac:dyDescent="0.3">
      <c r="A207">
        <v>206</v>
      </c>
      <c r="B207" s="14">
        <v>42372.483449074076</v>
      </c>
      <c r="C207" s="14">
        <v>42372.49386574074</v>
      </c>
      <c r="D207" t="s">
        <v>5</v>
      </c>
      <c r="G207" t="b">
        <v>0</v>
      </c>
      <c r="H207">
        <v>70804</v>
      </c>
      <c r="I207" s="5">
        <v>0</v>
      </c>
      <c r="J207" s="14">
        <v>42372.49596064815</v>
      </c>
      <c r="K207">
        <v>15.35</v>
      </c>
      <c r="L207" s="5">
        <f>('[1]Pizza Sales Calculations'!$J207-'[1]Pizza Sales Calculations'!$C207)*24*60</f>
        <v>3.0166666698642075</v>
      </c>
      <c r="M207">
        <f>COUNTA('[1]Pizza Sales Calculations'!$D207:$F207)</f>
        <v>1</v>
      </c>
      <c r="N207">
        <f>IFERROR(VLOOKUP(D207,[1]Parameters!$A$3:$C$5,3,FALSE),0)</f>
        <v>2.2999999999999998</v>
      </c>
      <c r="O207">
        <f>IFERROR(VLOOKUP(E207,[1]Parameters!$A$3:$C$5,3,FALSE),0)</f>
        <v>0</v>
      </c>
      <c r="P207">
        <f>IFERROR(VLOOKUP(F207,[1]Parameters!$A$3:$C$5,3,FALSE),0)</f>
        <v>0</v>
      </c>
      <c r="Q207">
        <f t="shared" si="3"/>
        <v>2.2999999999999998</v>
      </c>
      <c r="R207" s="10">
        <f>IF('[1]Pizza Sales Calculations'!$G207=TRUE, [1]Parameters!$B$17*'[1]Pizza Sales Calculations'!$L207*2, 0)</f>
        <v>0</v>
      </c>
      <c r="S207" t="str">
        <f>IF(I207&lt;[1]Parameters!$B$21,"TRUE","FALSE")</f>
        <v>TRUE</v>
      </c>
      <c r="T207" s="5">
        <f>(I207/[1]Parameters!$B$25)*60</f>
        <v>0</v>
      </c>
      <c r="U207" s="10">
        <f>IF(AND('[1]Pizza Sales Calculations'!G207=TRUE,'[1]Pizza Sales Calculations'!S207="TRUE"),T207*[1]Parameters!$B$40*2,0)</f>
        <v>0</v>
      </c>
      <c r="V207">
        <f>INDEX([1]Parameters!$A$3:$C$5,MATCH('[1]Pizza Sales Calculations'!D207,[1]Parameters!$A$3:$A$5,0),2)</f>
        <v>14</v>
      </c>
      <c r="W207" t="e">
        <f>INDEX([1]Parameters!$A$3:$C$5,MATCH('[1]Pizza Sales Calculations'!E207,[1]Parameters!$A$3:$A$5,0),2)</f>
        <v>#N/A</v>
      </c>
      <c r="X207" t="e">
        <f>INDEX([1]Parameters!$A$3:$C$5,MATCH('[1]Pizza Sales Calculations'!F207,[1]Parameters!$A$3:$A$5,0),2)</f>
        <v>#N/A</v>
      </c>
    </row>
    <row r="208" spans="1:24" x14ac:dyDescent="0.3">
      <c r="A208">
        <v>207</v>
      </c>
      <c r="B208" s="14">
        <v>42372.61</v>
      </c>
      <c r="C208" s="14">
        <v>42372.620393518519</v>
      </c>
      <c r="D208" t="s">
        <v>5</v>
      </c>
      <c r="G208" t="b">
        <v>1</v>
      </c>
      <c r="H208">
        <v>70806</v>
      </c>
      <c r="I208" s="5">
        <v>3.2828542692476499</v>
      </c>
      <c r="J208" s="14">
        <v>42372.631782407407</v>
      </c>
      <c r="K208">
        <v>15.35</v>
      </c>
      <c r="L208" s="5">
        <f>('[1]Pizza Sales Calculations'!$J208-'[1]Pizza Sales Calculations'!$C208)*24*60</f>
        <v>16.399999998975545</v>
      </c>
      <c r="M208">
        <f>COUNTA('[1]Pizza Sales Calculations'!$D208:$F208)</f>
        <v>1</v>
      </c>
      <c r="N208">
        <f>IFERROR(VLOOKUP(D208,[1]Parameters!$A$3:$C$5,3,FALSE),0)</f>
        <v>2.2999999999999998</v>
      </c>
      <c r="O208">
        <f>IFERROR(VLOOKUP(E208,[1]Parameters!$A$3:$C$5,3,FALSE),0)</f>
        <v>0</v>
      </c>
      <c r="P208">
        <f>IFERROR(VLOOKUP(F208,[1]Parameters!$A$3:$C$5,3,FALSE),0)</f>
        <v>0</v>
      </c>
      <c r="Q208">
        <f t="shared" si="3"/>
        <v>2.2999999999999998</v>
      </c>
      <c r="R208" s="10">
        <f>IF('[1]Pizza Sales Calculations'!$G208=TRUE, [1]Parameters!$B$17*'[1]Pizza Sales Calculations'!$L208*2, 0)</f>
        <v>4.6466666663764045</v>
      </c>
      <c r="S208" t="str">
        <f>IF(I208&lt;[1]Parameters!$B$21,"TRUE","FALSE")</f>
        <v>FALSE</v>
      </c>
      <c r="T208" s="5">
        <f>(I208/[1]Parameters!$B$25)*60</f>
        <v>6.5657085384952998</v>
      </c>
      <c r="U208" s="10">
        <f>IF(AND('[1]Pizza Sales Calculations'!G208=TRUE,'[1]Pizza Sales Calculations'!S208="TRUE"),T208*[1]Parameters!$B$40*2,0)</f>
        <v>0</v>
      </c>
      <c r="V208">
        <f>INDEX([1]Parameters!$A$3:$C$5,MATCH('[1]Pizza Sales Calculations'!D208,[1]Parameters!$A$3:$A$5,0),2)</f>
        <v>14</v>
      </c>
      <c r="W208" t="e">
        <f>INDEX([1]Parameters!$A$3:$C$5,MATCH('[1]Pizza Sales Calculations'!E208,[1]Parameters!$A$3:$A$5,0),2)</f>
        <v>#N/A</v>
      </c>
      <c r="X208" t="e">
        <f>INDEX([1]Parameters!$A$3:$C$5,MATCH('[1]Pizza Sales Calculations'!F208,[1]Parameters!$A$3:$A$5,0),2)</f>
        <v>#N/A</v>
      </c>
    </row>
    <row r="209" spans="1:24" x14ac:dyDescent="0.3">
      <c r="A209">
        <v>208</v>
      </c>
      <c r="B209" s="14">
        <v>42372.570914351854</v>
      </c>
      <c r="C209" s="14">
        <v>42372.581319444442</v>
      </c>
      <c r="D209" t="s">
        <v>4</v>
      </c>
      <c r="G209" t="b">
        <v>0</v>
      </c>
      <c r="H209">
        <v>70804</v>
      </c>
      <c r="I209" s="5">
        <v>0</v>
      </c>
      <c r="J209" s="14">
        <v>42372.583391203705</v>
      </c>
      <c r="K209">
        <v>11.59</v>
      </c>
      <c r="L209" s="5">
        <f>('[1]Pizza Sales Calculations'!$J209-'[1]Pizza Sales Calculations'!$C209)*24*60</f>
        <v>2.9833333392161876</v>
      </c>
      <c r="M209">
        <f>COUNTA('[1]Pizza Sales Calculations'!$D209:$F209)</f>
        <v>1</v>
      </c>
      <c r="N209">
        <f>IFERROR(VLOOKUP(D209,[1]Parameters!$A$3:$C$5,3,FALSE),0)</f>
        <v>1.7</v>
      </c>
      <c r="O209">
        <f>IFERROR(VLOOKUP(E209,[1]Parameters!$A$3:$C$5,3,FALSE),0)</f>
        <v>0</v>
      </c>
      <c r="P209">
        <f>IFERROR(VLOOKUP(F209,[1]Parameters!$A$3:$C$5,3,FALSE),0)</f>
        <v>0</v>
      </c>
      <c r="Q209">
        <f t="shared" si="3"/>
        <v>1.7</v>
      </c>
      <c r="R209" s="10">
        <f>IF('[1]Pizza Sales Calculations'!$G209=TRUE, [1]Parameters!$B$17*'[1]Pizza Sales Calculations'!$L209*2, 0)</f>
        <v>0</v>
      </c>
      <c r="S209" t="str">
        <f>IF(I209&lt;[1]Parameters!$B$21,"TRUE","FALSE")</f>
        <v>TRUE</v>
      </c>
      <c r="T209" s="5">
        <f>(I209/[1]Parameters!$B$25)*60</f>
        <v>0</v>
      </c>
      <c r="U209" s="10">
        <f>IF(AND('[1]Pizza Sales Calculations'!G209=TRUE,'[1]Pizza Sales Calculations'!S209="TRUE"),T209*[1]Parameters!$B$40*2,0)</f>
        <v>0</v>
      </c>
      <c r="V209">
        <f>INDEX([1]Parameters!$A$3:$C$5,MATCH('[1]Pizza Sales Calculations'!D209,[1]Parameters!$A$3:$A$5,0),2)</f>
        <v>10</v>
      </c>
      <c r="W209" t="e">
        <f>INDEX([1]Parameters!$A$3:$C$5,MATCH('[1]Pizza Sales Calculations'!E209,[1]Parameters!$A$3:$A$5,0),2)</f>
        <v>#N/A</v>
      </c>
      <c r="X209" t="e">
        <f>INDEX([1]Parameters!$A$3:$C$5,MATCH('[1]Pizza Sales Calculations'!F209,[1]Parameters!$A$3:$A$5,0),2)</f>
        <v>#N/A</v>
      </c>
    </row>
    <row r="210" spans="1:24" x14ac:dyDescent="0.3">
      <c r="A210">
        <v>209</v>
      </c>
      <c r="B210" s="14">
        <v>42372.466516203705</v>
      </c>
      <c r="C210" s="14">
        <v>42372.476921296293</v>
      </c>
      <c r="D210" t="s">
        <v>4</v>
      </c>
      <c r="G210" t="b">
        <v>1</v>
      </c>
      <c r="H210">
        <v>70803</v>
      </c>
      <c r="I210" s="5">
        <v>1.36633914888448</v>
      </c>
      <c r="J210" s="14">
        <v>42372.48165509259</v>
      </c>
      <c r="K210">
        <v>11.59</v>
      </c>
      <c r="L210" s="5">
        <f>('[1]Pizza Sales Calculations'!$J210-'[1]Pizza Sales Calculations'!$C210)*24*60</f>
        <v>6.8166666675824672</v>
      </c>
      <c r="M210">
        <f>COUNTA('[1]Pizza Sales Calculations'!$D210:$F210)</f>
        <v>1</v>
      </c>
      <c r="N210">
        <f>IFERROR(VLOOKUP(D210,[1]Parameters!$A$3:$C$5,3,FALSE),0)</f>
        <v>1.7</v>
      </c>
      <c r="O210">
        <f>IFERROR(VLOOKUP(E210,[1]Parameters!$A$3:$C$5,3,FALSE),0)</f>
        <v>0</v>
      </c>
      <c r="P210">
        <f>IFERROR(VLOOKUP(F210,[1]Parameters!$A$3:$C$5,3,FALSE),0)</f>
        <v>0</v>
      </c>
      <c r="Q210">
        <f t="shared" si="3"/>
        <v>1.7</v>
      </c>
      <c r="R210" s="10">
        <f>IF('[1]Pizza Sales Calculations'!$G210=TRUE, [1]Parameters!$B$17*'[1]Pizza Sales Calculations'!$L210*2, 0)</f>
        <v>1.9313888891483657</v>
      </c>
      <c r="S210" t="str">
        <f>IF(I210&lt;[1]Parameters!$B$21,"TRUE","FALSE")</f>
        <v>TRUE</v>
      </c>
      <c r="T210" s="5">
        <f>(I210/[1]Parameters!$B$25)*60</f>
        <v>2.7326782977689601</v>
      </c>
      <c r="U210" s="10">
        <f>IF(AND('[1]Pizza Sales Calculations'!G210=TRUE,'[1]Pizza Sales Calculations'!S210="TRUE"),T210*[1]Parameters!$B$40*2,0)</f>
        <v>0.17058096111923088</v>
      </c>
      <c r="V210">
        <f>INDEX([1]Parameters!$A$3:$C$5,MATCH('[1]Pizza Sales Calculations'!D210,[1]Parameters!$A$3:$A$5,0),2)</f>
        <v>10</v>
      </c>
      <c r="W210" t="e">
        <f>INDEX([1]Parameters!$A$3:$C$5,MATCH('[1]Pizza Sales Calculations'!E210,[1]Parameters!$A$3:$A$5,0),2)</f>
        <v>#N/A</v>
      </c>
      <c r="X210" t="e">
        <f>INDEX([1]Parameters!$A$3:$C$5,MATCH('[1]Pizza Sales Calculations'!F210,[1]Parameters!$A$3:$A$5,0),2)</f>
        <v>#N/A</v>
      </c>
    </row>
    <row r="211" spans="1:24" x14ac:dyDescent="0.3">
      <c r="A211">
        <v>210</v>
      </c>
      <c r="B211" s="14">
        <v>42372.584479166668</v>
      </c>
      <c r="C211" s="14">
        <v>42372.594907407409</v>
      </c>
      <c r="D211" t="s">
        <v>3</v>
      </c>
      <c r="E211" t="s">
        <v>4</v>
      </c>
      <c r="G211" t="b">
        <v>0</v>
      </c>
      <c r="H211">
        <v>70804</v>
      </c>
      <c r="I211" s="5">
        <v>0</v>
      </c>
      <c r="J211" s="14">
        <v>42372.596979166665</v>
      </c>
      <c r="K211">
        <v>19.579999999999998</v>
      </c>
      <c r="L211" s="5">
        <f>('[1]Pizza Sales Calculations'!$J211-'[1]Pizza Sales Calculations'!$C211)*24*60</f>
        <v>2.9833333287388086</v>
      </c>
      <c r="M211">
        <f>COUNTA('[1]Pizza Sales Calculations'!$D211:$F211)</f>
        <v>2</v>
      </c>
      <c r="N211">
        <f>IFERROR(VLOOKUP(D211,[1]Parameters!$A$3:$C$5,3,FALSE),0)</f>
        <v>1</v>
      </c>
      <c r="O211">
        <f>IFERROR(VLOOKUP(E211,[1]Parameters!$A$3:$C$5,3,FALSE),0)</f>
        <v>1.7</v>
      </c>
      <c r="P211">
        <f>IFERROR(VLOOKUP(F211,[1]Parameters!$A$3:$C$5,3,FALSE),0)</f>
        <v>0</v>
      </c>
      <c r="Q211">
        <f t="shared" si="3"/>
        <v>2.7</v>
      </c>
      <c r="R211" s="10">
        <f>IF('[1]Pizza Sales Calculations'!$G211=TRUE, [1]Parameters!$B$17*'[1]Pizza Sales Calculations'!$L211*2, 0)</f>
        <v>0</v>
      </c>
      <c r="S211" t="str">
        <f>IF(I211&lt;[1]Parameters!$B$21,"TRUE","FALSE")</f>
        <v>TRUE</v>
      </c>
      <c r="T211" s="5">
        <f>(I211/[1]Parameters!$B$25)*60</f>
        <v>0</v>
      </c>
      <c r="U211" s="10">
        <f>IF(AND('[1]Pizza Sales Calculations'!G211=TRUE,'[1]Pizza Sales Calculations'!S211="TRUE"),T211*[1]Parameters!$B$40*2,0)</f>
        <v>0</v>
      </c>
      <c r="V211">
        <f>INDEX([1]Parameters!$A$3:$C$5,MATCH('[1]Pizza Sales Calculations'!D211,[1]Parameters!$A$3:$A$5,0),2)</f>
        <v>7</v>
      </c>
      <c r="W211">
        <f>INDEX([1]Parameters!$A$3:$C$5,MATCH('[1]Pizza Sales Calculations'!E211,[1]Parameters!$A$3:$A$5,0),2)</f>
        <v>10</v>
      </c>
      <c r="X211" t="e">
        <f>INDEX([1]Parameters!$A$3:$C$5,MATCH('[1]Pizza Sales Calculations'!F211,[1]Parameters!$A$3:$A$5,0),2)</f>
        <v>#N/A</v>
      </c>
    </row>
    <row r="212" spans="1:24" x14ac:dyDescent="0.3">
      <c r="A212">
        <v>211</v>
      </c>
      <c r="B212" s="14">
        <v>42372.524652777778</v>
      </c>
      <c r="C212" s="14">
        <v>42372.535057870373</v>
      </c>
      <c r="D212" t="s">
        <v>5</v>
      </c>
      <c r="G212" t="b">
        <v>0</v>
      </c>
      <c r="H212">
        <v>70804</v>
      </c>
      <c r="I212" s="5">
        <v>0</v>
      </c>
      <c r="J212" s="14">
        <v>42372.537129629629</v>
      </c>
      <c r="K212">
        <v>15.35</v>
      </c>
      <c r="L212" s="5">
        <f>('[1]Pizza Sales Calculations'!$J212-'[1]Pizza Sales Calculations'!$C212)*24*60</f>
        <v>2.9833333287388086</v>
      </c>
      <c r="M212">
        <f>COUNTA('[1]Pizza Sales Calculations'!$D212:$F212)</f>
        <v>1</v>
      </c>
      <c r="N212">
        <f>IFERROR(VLOOKUP(D212,[1]Parameters!$A$3:$C$5,3,FALSE),0)</f>
        <v>2.2999999999999998</v>
      </c>
      <c r="O212">
        <f>IFERROR(VLOOKUP(E212,[1]Parameters!$A$3:$C$5,3,FALSE),0)</f>
        <v>0</v>
      </c>
      <c r="P212">
        <f>IFERROR(VLOOKUP(F212,[1]Parameters!$A$3:$C$5,3,FALSE),0)</f>
        <v>0</v>
      </c>
      <c r="Q212">
        <f t="shared" si="3"/>
        <v>2.2999999999999998</v>
      </c>
      <c r="R212" s="10">
        <f>IF('[1]Pizza Sales Calculations'!$G212=TRUE, [1]Parameters!$B$17*'[1]Pizza Sales Calculations'!$L212*2, 0)</f>
        <v>0</v>
      </c>
      <c r="S212" t="str">
        <f>IF(I212&lt;[1]Parameters!$B$21,"TRUE","FALSE")</f>
        <v>TRUE</v>
      </c>
      <c r="T212" s="5">
        <f>(I212/[1]Parameters!$B$25)*60</f>
        <v>0</v>
      </c>
      <c r="U212" s="10">
        <f>IF(AND('[1]Pizza Sales Calculations'!G212=TRUE,'[1]Pizza Sales Calculations'!S212="TRUE"),T212*[1]Parameters!$B$40*2,0)</f>
        <v>0</v>
      </c>
      <c r="V212">
        <f>INDEX([1]Parameters!$A$3:$C$5,MATCH('[1]Pizza Sales Calculations'!D212,[1]Parameters!$A$3:$A$5,0),2)</f>
        <v>14</v>
      </c>
      <c r="W212" t="e">
        <f>INDEX([1]Parameters!$A$3:$C$5,MATCH('[1]Pizza Sales Calculations'!E212,[1]Parameters!$A$3:$A$5,0),2)</f>
        <v>#N/A</v>
      </c>
      <c r="X212" t="e">
        <f>INDEX([1]Parameters!$A$3:$C$5,MATCH('[1]Pizza Sales Calculations'!F212,[1]Parameters!$A$3:$A$5,0),2)</f>
        <v>#N/A</v>
      </c>
    </row>
    <row r="213" spans="1:24" x14ac:dyDescent="0.3">
      <c r="A213">
        <v>212</v>
      </c>
      <c r="B213" s="14">
        <v>42372.438125000001</v>
      </c>
      <c r="C213" s="14">
        <v>42372.448541666665</v>
      </c>
      <c r="D213" t="s">
        <v>4</v>
      </c>
      <c r="G213" t="b">
        <v>0</v>
      </c>
      <c r="H213">
        <v>70806</v>
      </c>
      <c r="I213" s="5">
        <v>0</v>
      </c>
      <c r="J213" s="14">
        <v>42372.450624999998</v>
      </c>
      <c r="K213">
        <v>11.59</v>
      </c>
      <c r="L213" s="5">
        <f>('[1]Pizza Sales Calculations'!$J213-'[1]Pizza Sales Calculations'!$C213)*24*60</f>
        <v>2.9999999993015081</v>
      </c>
      <c r="M213">
        <f>COUNTA('[1]Pizza Sales Calculations'!$D213:$F213)</f>
        <v>1</v>
      </c>
      <c r="N213">
        <f>IFERROR(VLOOKUP(D213,[1]Parameters!$A$3:$C$5,3,FALSE),0)</f>
        <v>1.7</v>
      </c>
      <c r="O213">
        <f>IFERROR(VLOOKUP(E213,[1]Parameters!$A$3:$C$5,3,FALSE),0)</f>
        <v>0</v>
      </c>
      <c r="P213">
        <f>IFERROR(VLOOKUP(F213,[1]Parameters!$A$3:$C$5,3,FALSE),0)</f>
        <v>0</v>
      </c>
      <c r="Q213">
        <f t="shared" si="3"/>
        <v>1.7</v>
      </c>
      <c r="R213" s="10">
        <f>IF('[1]Pizza Sales Calculations'!$G213=TRUE, [1]Parameters!$B$17*'[1]Pizza Sales Calculations'!$L213*2, 0)</f>
        <v>0</v>
      </c>
      <c r="S213" t="str">
        <f>IF(I213&lt;[1]Parameters!$B$21,"TRUE","FALSE")</f>
        <v>TRUE</v>
      </c>
      <c r="T213" s="5">
        <f>(I213/[1]Parameters!$B$25)*60</f>
        <v>0</v>
      </c>
      <c r="U213" s="10">
        <f>IF(AND('[1]Pizza Sales Calculations'!G213=TRUE,'[1]Pizza Sales Calculations'!S213="TRUE"),T213*[1]Parameters!$B$40*2,0)</f>
        <v>0</v>
      </c>
      <c r="V213">
        <f>INDEX([1]Parameters!$A$3:$C$5,MATCH('[1]Pizza Sales Calculations'!D213,[1]Parameters!$A$3:$A$5,0),2)</f>
        <v>10</v>
      </c>
      <c r="W213" t="e">
        <f>INDEX([1]Parameters!$A$3:$C$5,MATCH('[1]Pizza Sales Calculations'!E213,[1]Parameters!$A$3:$A$5,0),2)</f>
        <v>#N/A</v>
      </c>
      <c r="X213" t="e">
        <f>INDEX([1]Parameters!$A$3:$C$5,MATCH('[1]Pizza Sales Calculations'!F213,[1]Parameters!$A$3:$A$5,0),2)</f>
        <v>#N/A</v>
      </c>
    </row>
    <row r="214" spans="1:24" x14ac:dyDescent="0.3">
      <c r="A214">
        <v>213</v>
      </c>
      <c r="B214" s="14">
        <v>42372.489953703705</v>
      </c>
      <c r="C214" s="14">
        <v>42372.500347222223</v>
      </c>
      <c r="D214" t="s">
        <v>4</v>
      </c>
      <c r="G214" t="b">
        <v>1</v>
      </c>
      <c r="H214">
        <v>70806</v>
      </c>
      <c r="I214" s="5">
        <v>4.0737244294907997</v>
      </c>
      <c r="J214" s="14">
        <v>42372.514490740738</v>
      </c>
      <c r="K214">
        <v>11.59</v>
      </c>
      <c r="L214" s="5">
        <f>('[1]Pizza Sales Calculations'!$J214-'[1]Pizza Sales Calculations'!$C214)*24*60</f>
        <v>20.366666660411283</v>
      </c>
      <c r="M214">
        <f>COUNTA('[1]Pizza Sales Calculations'!$D214:$F214)</f>
        <v>1</v>
      </c>
      <c r="N214">
        <f>IFERROR(VLOOKUP(D214,[1]Parameters!$A$3:$C$5,3,FALSE),0)</f>
        <v>1.7</v>
      </c>
      <c r="O214">
        <f>IFERROR(VLOOKUP(E214,[1]Parameters!$A$3:$C$5,3,FALSE),0)</f>
        <v>0</v>
      </c>
      <c r="P214">
        <f>IFERROR(VLOOKUP(F214,[1]Parameters!$A$3:$C$5,3,FALSE),0)</f>
        <v>0</v>
      </c>
      <c r="Q214">
        <f t="shared" si="3"/>
        <v>1.7</v>
      </c>
      <c r="R214" s="10">
        <f>IF('[1]Pizza Sales Calculations'!$G214=TRUE, [1]Parameters!$B$17*'[1]Pizza Sales Calculations'!$L214*2, 0)</f>
        <v>5.770555553783197</v>
      </c>
      <c r="S214" t="str">
        <f>IF(I214&lt;[1]Parameters!$B$21,"TRUE","FALSE")</f>
        <v>FALSE</v>
      </c>
      <c r="T214" s="5">
        <f>(I214/[1]Parameters!$B$25)*60</f>
        <v>8.1474488589815994</v>
      </c>
      <c r="U214" s="10">
        <f>IF(AND('[1]Pizza Sales Calculations'!G214=TRUE,'[1]Pizza Sales Calculations'!S214="TRUE"),T214*[1]Parameters!$B$40*2,0)</f>
        <v>0</v>
      </c>
      <c r="V214">
        <f>INDEX([1]Parameters!$A$3:$C$5,MATCH('[1]Pizza Sales Calculations'!D214,[1]Parameters!$A$3:$A$5,0),2)</f>
        <v>10</v>
      </c>
      <c r="W214" t="e">
        <f>INDEX([1]Parameters!$A$3:$C$5,MATCH('[1]Pizza Sales Calculations'!E214,[1]Parameters!$A$3:$A$5,0),2)</f>
        <v>#N/A</v>
      </c>
      <c r="X214" t="e">
        <f>INDEX([1]Parameters!$A$3:$C$5,MATCH('[1]Pizza Sales Calculations'!F214,[1]Parameters!$A$3:$A$5,0),2)</f>
        <v>#N/A</v>
      </c>
    </row>
    <row r="215" spans="1:24" x14ac:dyDescent="0.3">
      <c r="A215">
        <v>214</v>
      </c>
      <c r="B215" s="14">
        <v>42372.474074074074</v>
      </c>
      <c r="C215" s="14">
        <v>42372.484490740739</v>
      </c>
      <c r="D215" t="s">
        <v>4</v>
      </c>
      <c r="G215" t="b">
        <v>1</v>
      </c>
      <c r="H215">
        <v>70804</v>
      </c>
      <c r="I215" s="5">
        <v>1.44769103738752</v>
      </c>
      <c r="J215" s="14">
        <v>42372.48951388889</v>
      </c>
      <c r="K215">
        <v>11.59</v>
      </c>
      <c r="L215" s="5">
        <f>('[1]Pizza Sales Calculations'!$J215-'[1]Pizza Sales Calculations'!$C215)*24*60</f>
        <v>7.2333333373535424</v>
      </c>
      <c r="M215">
        <f>COUNTA('[1]Pizza Sales Calculations'!$D215:$F215)</f>
        <v>1</v>
      </c>
      <c r="N215">
        <f>IFERROR(VLOOKUP(D215,[1]Parameters!$A$3:$C$5,3,FALSE),0)</f>
        <v>1.7</v>
      </c>
      <c r="O215">
        <f>IFERROR(VLOOKUP(E215,[1]Parameters!$A$3:$C$5,3,FALSE),0)</f>
        <v>0</v>
      </c>
      <c r="P215">
        <f>IFERROR(VLOOKUP(F215,[1]Parameters!$A$3:$C$5,3,FALSE),0)</f>
        <v>0</v>
      </c>
      <c r="Q215">
        <f t="shared" si="3"/>
        <v>1.7</v>
      </c>
      <c r="R215" s="10">
        <f>IF('[1]Pizza Sales Calculations'!$G215=TRUE, [1]Parameters!$B$17*'[1]Pizza Sales Calculations'!$L215*2, 0)</f>
        <v>2.0494444455835037</v>
      </c>
      <c r="S215" t="str">
        <f>IF(I215&lt;[1]Parameters!$B$21,"TRUE","FALSE")</f>
        <v>TRUE</v>
      </c>
      <c r="T215" s="5">
        <f>(I215/[1]Parameters!$B$25)*60</f>
        <v>2.8953820747750401</v>
      </c>
      <c r="U215" s="10">
        <f>IF(AND('[1]Pizza Sales Calculations'!G215=TRUE,'[1]Pizza Sales Calculations'!S215="TRUE"),T215*[1]Parameters!$B$40*2,0)</f>
        <v>0.1807373584829767</v>
      </c>
      <c r="V215">
        <f>INDEX([1]Parameters!$A$3:$C$5,MATCH('[1]Pizza Sales Calculations'!D215,[1]Parameters!$A$3:$A$5,0),2)</f>
        <v>10</v>
      </c>
      <c r="W215" t="e">
        <f>INDEX([1]Parameters!$A$3:$C$5,MATCH('[1]Pizza Sales Calculations'!E215,[1]Parameters!$A$3:$A$5,0),2)</f>
        <v>#N/A</v>
      </c>
      <c r="X215" t="e">
        <f>INDEX([1]Parameters!$A$3:$C$5,MATCH('[1]Pizza Sales Calculations'!F215,[1]Parameters!$A$3:$A$5,0),2)</f>
        <v>#N/A</v>
      </c>
    </row>
    <row r="216" spans="1:24" x14ac:dyDescent="0.3">
      <c r="A216">
        <v>215</v>
      </c>
      <c r="B216" s="14">
        <v>42372.496932870374</v>
      </c>
      <c r="C216" s="14">
        <v>42372.507349537038</v>
      </c>
      <c r="D216" t="s">
        <v>3</v>
      </c>
      <c r="E216" t="s">
        <v>5</v>
      </c>
      <c r="G216" t="b">
        <v>1</v>
      </c>
      <c r="H216">
        <v>70806</v>
      </c>
      <c r="I216" s="5">
        <v>2.3128568107222902</v>
      </c>
      <c r="J216" s="14">
        <v>42372.515370370369</v>
      </c>
      <c r="K216">
        <v>23.34</v>
      </c>
      <c r="L216" s="5">
        <f>('[1]Pizza Sales Calculations'!$J216-'[1]Pizza Sales Calculations'!$C216)*24*60</f>
        <v>11.549999996786937</v>
      </c>
      <c r="M216">
        <f>COUNTA('[1]Pizza Sales Calculations'!$D216:$F216)</f>
        <v>2</v>
      </c>
      <c r="N216">
        <f>IFERROR(VLOOKUP(D216,[1]Parameters!$A$3:$C$5,3,FALSE),0)</f>
        <v>1</v>
      </c>
      <c r="O216">
        <f>IFERROR(VLOOKUP(E216,[1]Parameters!$A$3:$C$5,3,FALSE),0)</f>
        <v>2.2999999999999998</v>
      </c>
      <c r="P216">
        <f>IFERROR(VLOOKUP(F216,[1]Parameters!$A$3:$C$5,3,FALSE),0)</f>
        <v>0</v>
      </c>
      <c r="Q216">
        <f t="shared" si="3"/>
        <v>3.3</v>
      </c>
      <c r="R216" s="10">
        <f>IF('[1]Pizza Sales Calculations'!$G216=TRUE, [1]Parameters!$B$17*'[1]Pizza Sales Calculations'!$L216*2, 0)</f>
        <v>3.2724999990896322</v>
      </c>
      <c r="S216" t="str">
        <f>IF(I216&lt;[1]Parameters!$B$21,"TRUE","FALSE")</f>
        <v>TRUE</v>
      </c>
      <c r="T216" s="5">
        <f>(I216/[1]Parameters!$B$25)*60</f>
        <v>4.6257136214445804</v>
      </c>
      <c r="U216" s="10">
        <f>IF(AND('[1]Pizza Sales Calculations'!G216=TRUE,'[1]Pizza Sales Calculations'!S216="TRUE"),T216*[1]Parameters!$B$40*2,0)</f>
        <v>0.28874920112350788</v>
      </c>
      <c r="V216">
        <f>INDEX([1]Parameters!$A$3:$C$5,MATCH('[1]Pizza Sales Calculations'!D216,[1]Parameters!$A$3:$A$5,0),2)</f>
        <v>7</v>
      </c>
      <c r="W216">
        <f>INDEX([1]Parameters!$A$3:$C$5,MATCH('[1]Pizza Sales Calculations'!E216,[1]Parameters!$A$3:$A$5,0),2)</f>
        <v>14</v>
      </c>
      <c r="X216" t="e">
        <f>INDEX([1]Parameters!$A$3:$C$5,MATCH('[1]Pizza Sales Calculations'!F216,[1]Parameters!$A$3:$A$5,0),2)</f>
        <v>#N/A</v>
      </c>
    </row>
    <row r="217" spans="1:24" x14ac:dyDescent="0.3">
      <c r="A217">
        <v>216</v>
      </c>
      <c r="B217" s="14">
        <v>42372.53162037037</v>
      </c>
      <c r="C217" s="14">
        <v>42372.542025462964</v>
      </c>
      <c r="D217" t="s">
        <v>3</v>
      </c>
      <c r="G217" t="b">
        <v>0</v>
      </c>
      <c r="H217">
        <v>70805</v>
      </c>
      <c r="I217" s="5">
        <v>0</v>
      </c>
      <c r="J217" s="14">
        <v>42372.54409722222</v>
      </c>
      <c r="K217">
        <v>7.99</v>
      </c>
      <c r="L217" s="5">
        <f>('[1]Pizza Sales Calculations'!$J217-'[1]Pizza Sales Calculations'!$C217)*24*60</f>
        <v>2.9833333287388086</v>
      </c>
      <c r="M217">
        <f>COUNTA('[1]Pizza Sales Calculations'!$D217:$F217)</f>
        <v>1</v>
      </c>
      <c r="N217">
        <f>IFERROR(VLOOKUP(D217,[1]Parameters!$A$3:$C$5,3,FALSE),0)</f>
        <v>1</v>
      </c>
      <c r="O217">
        <f>IFERROR(VLOOKUP(E217,[1]Parameters!$A$3:$C$5,3,FALSE),0)</f>
        <v>0</v>
      </c>
      <c r="P217">
        <f>IFERROR(VLOOKUP(F217,[1]Parameters!$A$3:$C$5,3,FALSE),0)</f>
        <v>0</v>
      </c>
      <c r="Q217">
        <f t="shared" si="3"/>
        <v>1</v>
      </c>
      <c r="R217" s="10">
        <f>IF('[1]Pizza Sales Calculations'!$G217=TRUE, [1]Parameters!$B$17*'[1]Pizza Sales Calculations'!$L217*2, 0)</f>
        <v>0</v>
      </c>
      <c r="S217" t="str">
        <f>IF(I217&lt;[1]Parameters!$B$21,"TRUE","FALSE")</f>
        <v>TRUE</v>
      </c>
      <c r="T217" s="5">
        <f>(I217/[1]Parameters!$B$25)*60</f>
        <v>0</v>
      </c>
      <c r="U217" s="10">
        <f>IF(AND('[1]Pizza Sales Calculations'!G217=TRUE,'[1]Pizza Sales Calculations'!S217="TRUE"),T217*[1]Parameters!$B$40*2,0)</f>
        <v>0</v>
      </c>
      <c r="V217">
        <f>INDEX([1]Parameters!$A$3:$C$5,MATCH('[1]Pizza Sales Calculations'!D217,[1]Parameters!$A$3:$A$5,0),2)</f>
        <v>7</v>
      </c>
      <c r="W217" t="e">
        <f>INDEX([1]Parameters!$A$3:$C$5,MATCH('[1]Pizza Sales Calculations'!E217,[1]Parameters!$A$3:$A$5,0),2)</f>
        <v>#N/A</v>
      </c>
      <c r="X217" t="e">
        <f>INDEX([1]Parameters!$A$3:$C$5,MATCH('[1]Pizza Sales Calculations'!F217,[1]Parameters!$A$3:$A$5,0),2)</f>
        <v>#N/A</v>
      </c>
    </row>
    <row r="218" spans="1:24" x14ac:dyDescent="0.3">
      <c r="A218">
        <v>217</v>
      </c>
      <c r="B218" s="14">
        <v>42372.538599537038</v>
      </c>
      <c r="C218" s="14">
        <v>42372.549016203702</v>
      </c>
      <c r="D218" t="s">
        <v>3</v>
      </c>
      <c r="G218" t="b">
        <v>1</v>
      </c>
      <c r="H218">
        <v>70803</v>
      </c>
      <c r="I218" s="5">
        <v>1.8020208227471499</v>
      </c>
      <c r="J218" s="14">
        <v>42372.555266203701</v>
      </c>
      <c r="K218">
        <v>7.99</v>
      </c>
      <c r="L218" s="5">
        <f>('[1]Pizza Sales Calculations'!$J218-'[1]Pizza Sales Calculations'!$C218)*24*60</f>
        <v>8.9999999979045242</v>
      </c>
      <c r="M218">
        <f>COUNTA('[1]Pizza Sales Calculations'!$D218:$F218)</f>
        <v>1</v>
      </c>
      <c r="N218">
        <f>IFERROR(VLOOKUP(D218,[1]Parameters!$A$3:$C$5,3,FALSE),0)</f>
        <v>1</v>
      </c>
      <c r="O218">
        <f>IFERROR(VLOOKUP(E218,[1]Parameters!$A$3:$C$5,3,FALSE),0)</f>
        <v>0</v>
      </c>
      <c r="P218">
        <f>IFERROR(VLOOKUP(F218,[1]Parameters!$A$3:$C$5,3,FALSE),0)</f>
        <v>0</v>
      </c>
      <c r="Q218">
        <f t="shared" si="3"/>
        <v>1</v>
      </c>
      <c r="R218" s="10">
        <f>IF('[1]Pizza Sales Calculations'!$G218=TRUE, [1]Parameters!$B$17*'[1]Pizza Sales Calculations'!$L218*2, 0)</f>
        <v>2.5499999994062819</v>
      </c>
      <c r="S218" t="str">
        <f>IF(I218&lt;[1]Parameters!$B$21,"TRUE","FALSE")</f>
        <v>TRUE</v>
      </c>
      <c r="T218" s="5">
        <f>(I218/[1]Parameters!$B$25)*60</f>
        <v>3.6040416454942998</v>
      </c>
      <c r="U218" s="10">
        <f>IF(AND('[1]Pizza Sales Calculations'!G218=TRUE,'[1]Pizza Sales Calculations'!S218="TRUE"),T218*[1]Parameters!$B$40*2,0)</f>
        <v>0.2249737513208479</v>
      </c>
      <c r="V218">
        <f>INDEX([1]Parameters!$A$3:$C$5,MATCH('[1]Pizza Sales Calculations'!D218,[1]Parameters!$A$3:$A$5,0),2)</f>
        <v>7</v>
      </c>
      <c r="W218" t="e">
        <f>INDEX([1]Parameters!$A$3:$C$5,MATCH('[1]Pizza Sales Calculations'!E218,[1]Parameters!$A$3:$A$5,0),2)</f>
        <v>#N/A</v>
      </c>
      <c r="X218" t="e">
        <f>INDEX([1]Parameters!$A$3:$C$5,MATCH('[1]Pizza Sales Calculations'!F218,[1]Parameters!$A$3:$A$5,0),2)</f>
        <v>#N/A</v>
      </c>
    </row>
    <row r="219" spans="1:24" x14ac:dyDescent="0.3">
      <c r="A219">
        <v>218</v>
      </c>
      <c r="B219" s="14">
        <v>42372.430011574077</v>
      </c>
      <c r="C219" s="14">
        <v>42372.440428240741</v>
      </c>
      <c r="D219" t="s">
        <v>5</v>
      </c>
      <c r="G219" t="b">
        <v>1</v>
      </c>
      <c r="H219">
        <v>70806</v>
      </c>
      <c r="I219" s="5">
        <v>2.6686270568199801</v>
      </c>
      <c r="J219" s="14">
        <v>42372.449687499997</v>
      </c>
      <c r="K219">
        <v>15.35</v>
      </c>
      <c r="L219" s="5">
        <f>('[1]Pizza Sales Calculations'!$J219-'[1]Pizza Sales Calculations'!$C219)*24*60</f>
        <v>13.333333327900618</v>
      </c>
      <c r="M219">
        <f>COUNTA('[1]Pizza Sales Calculations'!$D219:$F219)</f>
        <v>1</v>
      </c>
      <c r="N219">
        <f>IFERROR(VLOOKUP(D219,[1]Parameters!$A$3:$C$5,3,FALSE),0)</f>
        <v>2.2999999999999998</v>
      </c>
      <c r="O219">
        <f>IFERROR(VLOOKUP(E219,[1]Parameters!$A$3:$C$5,3,FALSE),0)</f>
        <v>0</v>
      </c>
      <c r="P219">
        <f>IFERROR(VLOOKUP(F219,[1]Parameters!$A$3:$C$5,3,FALSE),0)</f>
        <v>0</v>
      </c>
      <c r="Q219">
        <f t="shared" si="3"/>
        <v>2.2999999999999998</v>
      </c>
      <c r="R219" s="10">
        <f>IF('[1]Pizza Sales Calculations'!$G219=TRUE, [1]Parameters!$B$17*'[1]Pizza Sales Calculations'!$L219*2, 0)</f>
        <v>3.7777777762385085</v>
      </c>
      <c r="S219" t="str">
        <f>IF(I219&lt;[1]Parameters!$B$21,"TRUE","FALSE")</f>
        <v>TRUE</v>
      </c>
      <c r="T219" s="5">
        <f>(I219/[1]Parameters!$B$25)*60</f>
        <v>5.3372541136399603</v>
      </c>
      <c r="U219" s="10">
        <f>IF(AND('[1]Pizza Sales Calculations'!G219=TRUE,'[1]Pizza Sales Calculations'!S219="TRUE"),T219*[1]Parameters!$B$40*2,0)</f>
        <v>0.33316542865129001</v>
      </c>
      <c r="V219">
        <f>INDEX([1]Parameters!$A$3:$C$5,MATCH('[1]Pizza Sales Calculations'!D219,[1]Parameters!$A$3:$A$5,0),2)</f>
        <v>14</v>
      </c>
      <c r="W219" t="e">
        <f>INDEX([1]Parameters!$A$3:$C$5,MATCH('[1]Pizza Sales Calculations'!E219,[1]Parameters!$A$3:$A$5,0),2)</f>
        <v>#N/A</v>
      </c>
      <c r="X219" t="e">
        <f>INDEX([1]Parameters!$A$3:$C$5,MATCH('[1]Pizza Sales Calculations'!F219,[1]Parameters!$A$3:$A$5,0),2)</f>
        <v>#N/A</v>
      </c>
    </row>
    <row r="220" spans="1:24" x14ac:dyDescent="0.3">
      <c r="A220">
        <v>219</v>
      </c>
      <c r="B220" s="14">
        <v>42372.460277777776</v>
      </c>
      <c r="C220" s="14">
        <v>42372.470682870371</v>
      </c>
      <c r="D220" t="s">
        <v>3</v>
      </c>
      <c r="G220" t="b">
        <v>0</v>
      </c>
      <c r="H220">
        <v>70808</v>
      </c>
      <c r="I220" s="5">
        <v>0</v>
      </c>
      <c r="J220" s="14">
        <v>42372.472754629627</v>
      </c>
      <c r="K220">
        <v>7.99</v>
      </c>
      <c r="L220" s="5">
        <f>('[1]Pizza Sales Calculations'!$J220-'[1]Pizza Sales Calculations'!$C220)*24*60</f>
        <v>2.9833333287388086</v>
      </c>
      <c r="M220">
        <f>COUNTA('[1]Pizza Sales Calculations'!$D220:$F220)</f>
        <v>1</v>
      </c>
      <c r="N220">
        <f>IFERROR(VLOOKUP(D220,[1]Parameters!$A$3:$C$5,3,FALSE),0)</f>
        <v>1</v>
      </c>
      <c r="O220">
        <f>IFERROR(VLOOKUP(E220,[1]Parameters!$A$3:$C$5,3,FALSE),0)</f>
        <v>0</v>
      </c>
      <c r="P220">
        <f>IFERROR(VLOOKUP(F220,[1]Parameters!$A$3:$C$5,3,FALSE),0)</f>
        <v>0</v>
      </c>
      <c r="Q220">
        <f t="shared" si="3"/>
        <v>1</v>
      </c>
      <c r="R220" s="10">
        <f>IF('[1]Pizza Sales Calculations'!$G220=TRUE, [1]Parameters!$B$17*'[1]Pizza Sales Calculations'!$L220*2, 0)</f>
        <v>0</v>
      </c>
      <c r="S220" t="str">
        <f>IF(I220&lt;[1]Parameters!$B$21,"TRUE","FALSE")</f>
        <v>TRUE</v>
      </c>
      <c r="T220" s="5">
        <f>(I220/[1]Parameters!$B$25)*60</f>
        <v>0</v>
      </c>
      <c r="U220" s="10">
        <f>IF(AND('[1]Pizza Sales Calculations'!G220=TRUE,'[1]Pizza Sales Calculations'!S220="TRUE"),T220*[1]Parameters!$B$40*2,0)</f>
        <v>0</v>
      </c>
      <c r="V220">
        <f>INDEX([1]Parameters!$A$3:$C$5,MATCH('[1]Pizza Sales Calculations'!D220,[1]Parameters!$A$3:$A$5,0),2)</f>
        <v>7</v>
      </c>
      <c r="W220" t="e">
        <f>INDEX([1]Parameters!$A$3:$C$5,MATCH('[1]Pizza Sales Calculations'!E220,[1]Parameters!$A$3:$A$5,0),2)</f>
        <v>#N/A</v>
      </c>
      <c r="X220" t="e">
        <f>INDEX([1]Parameters!$A$3:$C$5,MATCH('[1]Pizza Sales Calculations'!F220,[1]Parameters!$A$3:$A$5,0),2)</f>
        <v>#N/A</v>
      </c>
    </row>
    <row r="221" spans="1:24" x14ac:dyDescent="0.3">
      <c r="A221">
        <v>220</v>
      </c>
      <c r="B221" s="14">
        <v>42372.468553240738</v>
      </c>
      <c r="C221" s="14">
        <v>42372.478958333333</v>
      </c>
      <c r="D221" t="s">
        <v>4</v>
      </c>
      <c r="G221" t="b">
        <v>1</v>
      </c>
      <c r="H221">
        <v>70805</v>
      </c>
      <c r="I221" s="5">
        <v>1.99778204238294</v>
      </c>
      <c r="J221" s="14">
        <v>42372.485891203702</v>
      </c>
      <c r="K221">
        <v>11.59</v>
      </c>
      <c r="L221" s="5">
        <f>('[1]Pizza Sales Calculations'!$J221-'[1]Pizza Sales Calculations'!$C221)*24*60</f>
        <v>9.9833333306014538</v>
      </c>
      <c r="M221">
        <f>COUNTA('[1]Pizza Sales Calculations'!$D221:$F221)</f>
        <v>1</v>
      </c>
      <c r="N221">
        <f>IFERROR(VLOOKUP(D221,[1]Parameters!$A$3:$C$5,3,FALSE),0)</f>
        <v>1.7</v>
      </c>
      <c r="O221">
        <f>IFERROR(VLOOKUP(E221,[1]Parameters!$A$3:$C$5,3,FALSE),0)</f>
        <v>0</v>
      </c>
      <c r="P221">
        <f>IFERROR(VLOOKUP(F221,[1]Parameters!$A$3:$C$5,3,FALSE),0)</f>
        <v>0</v>
      </c>
      <c r="Q221">
        <f t="shared" si="3"/>
        <v>1.7</v>
      </c>
      <c r="R221" s="10">
        <f>IF('[1]Pizza Sales Calculations'!$G221=TRUE, [1]Parameters!$B$17*'[1]Pizza Sales Calculations'!$L221*2, 0)</f>
        <v>2.8286111103370786</v>
      </c>
      <c r="S221" t="str">
        <f>IF(I221&lt;[1]Parameters!$B$21,"TRUE","FALSE")</f>
        <v>TRUE</v>
      </c>
      <c r="T221" s="5">
        <f>(I221/[1]Parameters!$B$25)*60</f>
        <v>3.9955640847658804</v>
      </c>
      <c r="U221" s="10">
        <f>IF(AND('[1]Pizza Sales Calculations'!G221=TRUE,'[1]Pizza Sales Calculations'!S221="TRUE"),T221*[1]Parameters!$B$40*2,0)</f>
        <v>0.24941361094326239</v>
      </c>
      <c r="V221">
        <f>INDEX([1]Parameters!$A$3:$C$5,MATCH('[1]Pizza Sales Calculations'!D221,[1]Parameters!$A$3:$A$5,0),2)</f>
        <v>10</v>
      </c>
      <c r="W221" t="e">
        <f>INDEX([1]Parameters!$A$3:$C$5,MATCH('[1]Pizza Sales Calculations'!E221,[1]Parameters!$A$3:$A$5,0),2)</f>
        <v>#N/A</v>
      </c>
      <c r="X221" t="e">
        <f>INDEX([1]Parameters!$A$3:$C$5,MATCH('[1]Pizza Sales Calculations'!F221,[1]Parameters!$A$3:$A$5,0),2)</f>
        <v>#N/A</v>
      </c>
    </row>
    <row r="222" spans="1:24" x14ac:dyDescent="0.3">
      <c r="A222">
        <v>221</v>
      </c>
      <c r="B222" s="14">
        <v>42372.560370370367</v>
      </c>
      <c r="C222" s="14">
        <v>42372.570775462962</v>
      </c>
      <c r="D222" t="s">
        <v>3</v>
      </c>
      <c r="E222" t="s">
        <v>4</v>
      </c>
      <c r="G222" t="b">
        <v>0</v>
      </c>
      <c r="H222">
        <v>70803</v>
      </c>
      <c r="I222" s="5">
        <v>0</v>
      </c>
      <c r="J222" s="14">
        <v>42372.572881944441</v>
      </c>
      <c r="K222">
        <v>19.579999999999998</v>
      </c>
      <c r="L222" s="5">
        <f>('[1]Pizza Sales Calculations'!$J222-'[1]Pizza Sales Calculations'!$C222)*24*60</f>
        <v>3.033333329949528</v>
      </c>
      <c r="M222">
        <f>COUNTA('[1]Pizza Sales Calculations'!$D222:$F222)</f>
        <v>2</v>
      </c>
      <c r="N222">
        <f>IFERROR(VLOOKUP(D222,[1]Parameters!$A$3:$C$5,3,FALSE),0)</f>
        <v>1</v>
      </c>
      <c r="O222">
        <f>IFERROR(VLOOKUP(E222,[1]Parameters!$A$3:$C$5,3,FALSE),0)</f>
        <v>1.7</v>
      </c>
      <c r="P222">
        <f>IFERROR(VLOOKUP(F222,[1]Parameters!$A$3:$C$5,3,FALSE),0)</f>
        <v>0</v>
      </c>
      <c r="Q222">
        <f t="shared" si="3"/>
        <v>2.7</v>
      </c>
      <c r="R222" s="10">
        <f>IF('[1]Pizza Sales Calculations'!$G222=TRUE, [1]Parameters!$B$17*'[1]Pizza Sales Calculations'!$L222*2, 0)</f>
        <v>0</v>
      </c>
      <c r="S222" t="str">
        <f>IF(I222&lt;[1]Parameters!$B$21,"TRUE","FALSE")</f>
        <v>TRUE</v>
      </c>
      <c r="T222" s="5">
        <f>(I222/[1]Parameters!$B$25)*60</f>
        <v>0</v>
      </c>
      <c r="U222" s="10">
        <f>IF(AND('[1]Pizza Sales Calculations'!G222=TRUE,'[1]Pizza Sales Calculations'!S222="TRUE"),T222*[1]Parameters!$B$40*2,0)</f>
        <v>0</v>
      </c>
      <c r="V222">
        <f>INDEX([1]Parameters!$A$3:$C$5,MATCH('[1]Pizza Sales Calculations'!D222,[1]Parameters!$A$3:$A$5,0),2)</f>
        <v>7</v>
      </c>
      <c r="W222">
        <f>INDEX([1]Parameters!$A$3:$C$5,MATCH('[1]Pizza Sales Calculations'!E222,[1]Parameters!$A$3:$A$5,0),2)</f>
        <v>10</v>
      </c>
      <c r="X222" t="e">
        <f>INDEX([1]Parameters!$A$3:$C$5,MATCH('[1]Pizza Sales Calculations'!F222,[1]Parameters!$A$3:$A$5,0),2)</f>
        <v>#N/A</v>
      </c>
    </row>
    <row r="223" spans="1:24" x14ac:dyDescent="0.3">
      <c r="A223">
        <v>222</v>
      </c>
      <c r="B223" s="14">
        <v>42372.478078703702</v>
      </c>
      <c r="C223" s="14">
        <v>42372.488483796296</v>
      </c>
      <c r="D223" t="s">
        <v>5</v>
      </c>
      <c r="G223" t="b">
        <v>0</v>
      </c>
      <c r="H223">
        <v>70805</v>
      </c>
      <c r="I223" s="5">
        <v>0</v>
      </c>
      <c r="J223" s="14">
        <v>42372.490543981483</v>
      </c>
      <c r="K223">
        <v>15.35</v>
      </c>
      <c r="L223" s="5">
        <f>('[1]Pizza Sales Calculations'!$J223-'[1]Pizza Sales Calculations'!$C223)*24*60</f>
        <v>2.9666666686534882</v>
      </c>
      <c r="M223">
        <f>COUNTA('[1]Pizza Sales Calculations'!$D223:$F223)</f>
        <v>1</v>
      </c>
      <c r="N223">
        <f>IFERROR(VLOOKUP(D223,[1]Parameters!$A$3:$C$5,3,FALSE),0)</f>
        <v>2.2999999999999998</v>
      </c>
      <c r="O223">
        <f>IFERROR(VLOOKUP(E223,[1]Parameters!$A$3:$C$5,3,FALSE),0)</f>
        <v>0</v>
      </c>
      <c r="P223">
        <f>IFERROR(VLOOKUP(F223,[1]Parameters!$A$3:$C$5,3,FALSE),0)</f>
        <v>0</v>
      </c>
      <c r="Q223">
        <f t="shared" si="3"/>
        <v>2.2999999999999998</v>
      </c>
      <c r="R223" s="10">
        <f>IF('[1]Pizza Sales Calculations'!$G223=TRUE, [1]Parameters!$B$17*'[1]Pizza Sales Calculations'!$L223*2, 0)</f>
        <v>0</v>
      </c>
      <c r="S223" t="str">
        <f>IF(I223&lt;[1]Parameters!$B$21,"TRUE","FALSE")</f>
        <v>TRUE</v>
      </c>
      <c r="T223" s="5">
        <f>(I223/[1]Parameters!$B$25)*60</f>
        <v>0</v>
      </c>
      <c r="U223" s="10">
        <f>IF(AND('[1]Pizza Sales Calculations'!G223=TRUE,'[1]Pizza Sales Calculations'!S223="TRUE"),T223*[1]Parameters!$B$40*2,0)</f>
        <v>0</v>
      </c>
      <c r="V223">
        <f>INDEX([1]Parameters!$A$3:$C$5,MATCH('[1]Pizza Sales Calculations'!D223,[1]Parameters!$A$3:$A$5,0),2)</f>
        <v>14</v>
      </c>
      <c r="W223" t="e">
        <f>INDEX([1]Parameters!$A$3:$C$5,MATCH('[1]Pizza Sales Calculations'!E223,[1]Parameters!$A$3:$A$5,0),2)</f>
        <v>#N/A</v>
      </c>
      <c r="X223" t="e">
        <f>INDEX([1]Parameters!$A$3:$C$5,MATCH('[1]Pizza Sales Calculations'!F223,[1]Parameters!$A$3:$A$5,0),2)</f>
        <v>#N/A</v>
      </c>
    </row>
    <row r="224" spans="1:24" x14ac:dyDescent="0.3">
      <c r="A224">
        <v>223</v>
      </c>
      <c r="B224" s="14">
        <v>42372.540416666663</v>
      </c>
      <c r="C224" s="14">
        <v>42372.550833333335</v>
      </c>
      <c r="D224" t="s">
        <v>4</v>
      </c>
      <c r="G224" t="b">
        <v>0</v>
      </c>
      <c r="H224">
        <v>70805</v>
      </c>
      <c r="I224" s="5">
        <v>0</v>
      </c>
      <c r="J224" s="14">
        <v>42372.552928240744</v>
      </c>
      <c r="K224">
        <v>11.59</v>
      </c>
      <c r="L224" s="5">
        <f>('[1]Pizza Sales Calculations'!$J224-'[1]Pizza Sales Calculations'!$C224)*24*60</f>
        <v>3.0166666698642075</v>
      </c>
      <c r="M224">
        <f>COUNTA('[1]Pizza Sales Calculations'!$D224:$F224)</f>
        <v>1</v>
      </c>
      <c r="N224">
        <f>IFERROR(VLOOKUP(D224,[1]Parameters!$A$3:$C$5,3,FALSE),0)</f>
        <v>1.7</v>
      </c>
      <c r="O224">
        <f>IFERROR(VLOOKUP(E224,[1]Parameters!$A$3:$C$5,3,FALSE),0)</f>
        <v>0</v>
      </c>
      <c r="P224">
        <f>IFERROR(VLOOKUP(F224,[1]Parameters!$A$3:$C$5,3,FALSE),0)</f>
        <v>0</v>
      </c>
      <c r="Q224">
        <f t="shared" si="3"/>
        <v>1.7</v>
      </c>
      <c r="R224" s="10">
        <f>IF('[1]Pizza Sales Calculations'!$G224=TRUE, [1]Parameters!$B$17*'[1]Pizza Sales Calculations'!$L224*2, 0)</f>
        <v>0</v>
      </c>
      <c r="S224" t="str">
        <f>IF(I224&lt;[1]Parameters!$B$21,"TRUE","FALSE")</f>
        <v>TRUE</v>
      </c>
      <c r="T224" s="5">
        <f>(I224/[1]Parameters!$B$25)*60</f>
        <v>0</v>
      </c>
      <c r="U224" s="10">
        <f>IF(AND('[1]Pizza Sales Calculations'!G224=TRUE,'[1]Pizza Sales Calculations'!S224="TRUE"),T224*[1]Parameters!$B$40*2,0)</f>
        <v>0</v>
      </c>
      <c r="V224">
        <f>INDEX([1]Parameters!$A$3:$C$5,MATCH('[1]Pizza Sales Calculations'!D224,[1]Parameters!$A$3:$A$5,0),2)</f>
        <v>10</v>
      </c>
      <c r="W224" t="e">
        <f>INDEX([1]Parameters!$A$3:$C$5,MATCH('[1]Pizza Sales Calculations'!E224,[1]Parameters!$A$3:$A$5,0),2)</f>
        <v>#N/A</v>
      </c>
      <c r="X224" t="e">
        <f>INDEX([1]Parameters!$A$3:$C$5,MATCH('[1]Pizza Sales Calculations'!F224,[1]Parameters!$A$3:$A$5,0),2)</f>
        <v>#N/A</v>
      </c>
    </row>
    <row r="225" spans="1:24" x14ac:dyDescent="0.3">
      <c r="A225">
        <v>224</v>
      </c>
      <c r="B225" s="14">
        <v>42372.506782407407</v>
      </c>
      <c r="C225" s="14">
        <v>42372.517187500001</v>
      </c>
      <c r="D225" t="s">
        <v>3</v>
      </c>
      <c r="E225" t="s">
        <v>4</v>
      </c>
      <c r="G225" t="b">
        <v>0</v>
      </c>
      <c r="H225">
        <v>70803</v>
      </c>
      <c r="I225" s="5">
        <v>0</v>
      </c>
      <c r="J225" s="14">
        <v>42372.519282407404</v>
      </c>
      <c r="K225">
        <v>19.579999999999998</v>
      </c>
      <c r="L225" s="5">
        <f>('[1]Pizza Sales Calculations'!$J225-'[1]Pizza Sales Calculations'!$C225)*24*60</f>
        <v>3.0166666593868285</v>
      </c>
      <c r="M225">
        <f>COUNTA('[1]Pizza Sales Calculations'!$D225:$F225)</f>
        <v>2</v>
      </c>
      <c r="N225">
        <f>IFERROR(VLOOKUP(D225,[1]Parameters!$A$3:$C$5,3,FALSE),0)</f>
        <v>1</v>
      </c>
      <c r="O225">
        <f>IFERROR(VLOOKUP(E225,[1]Parameters!$A$3:$C$5,3,FALSE),0)</f>
        <v>1.7</v>
      </c>
      <c r="P225">
        <f>IFERROR(VLOOKUP(F225,[1]Parameters!$A$3:$C$5,3,FALSE),0)</f>
        <v>0</v>
      </c>
      <c r="Q225">
        <f t="shared" si="3"/>
        <v>2.7</v>
      </c>
      <c r="R225" s="10">
        <f>IF('[1]Pizza Sales Calculations'!$G225=TRUE, [1]Parameters!$B$17*'[1]Pizza Sales Calculations'!$L225*2, 0)</f>
        <v>0</v>
      </c>
      <c r="S225" t="str">
        <f>IF(I225&lt;[1]Parameters!$B$21,"TRUE","FALSE")</f>
        <v>TRUE</v>
      </c>
      <c r="T225" s="5">
        <f>(I225/[1]Parameters!$B$25)*60</f>
        <v>0</v>
      </c>
      <c r="U225" s="10">
        <f>IF(AND('[1]Pizza Sales Calculations'!G225=TRUE,'[1]Pizza Sales Calculations'!S225="TRUE"),T225*[1]Parameters!$B$40*2,0)</f>
        <v>0</v>
      </c>
      <c r="V225">
        <f>INDEX([1]Parameters!$A$3:$C$5,MATCH('[1]Pizza Sales Calculations'!D225,[1]Parameters!$A$3:$A$5,0),2)</f>
        <v>7</v>
      </c>
      <c r="W225">
        <f>INDEX([1]Parameters!$A$3:$C$5,MATCH('[1]Pizza Sales Calculations'!E225,[1]Parameters!$A$3:$A$5,0),2)</f>
        <v>10</v>
      </c>
      <c r="X225" t="e">
        <f>INDEX([1]Parameters!$A$3:$C$5,MATCH('[1]Pizza Sales Calculations'!F225,[1]Parameters!$A$3:$A$5,0),2)</f>
        <v>#N/A</v>
      </c>
    </row>
    <row r="226" spans="1:24" x14ac:dyDescent="0.3">
      <c r="A226">
        <v>225</v>
      </c>
      <c r="B226" s="14">
        <v>42372.487766203703</v>
      </c>
      <c r="C226" s="14">
        <v>42372.498194444444</v>
      </c>
      <c r="D226" t="s">
        <v>3</v>
      </c>
      <c r="E226" t="s">
        <v>4</v>
      </c>
      <c r="G226" t="b">
        <v>0</v>
      </c>
      <c r="H226">
        <v>70804</v>
      </c>
      <c r="I226" s="5">
        <v>0</v>
      </c>
      <c r="J226" s="14">
        <v>42372.5002662037</v>
      </c>
      <c r="K226">
        <v>19.579999999999998</v>
      </c>
      <c r="L226" s="5">
        <f>('[1]Pizza Sales Calculations'!$J226-'[1]Pizza Sales Calculations'!$C226)*24*60</f>
        <v>2.9833333287388086</v>
      </c>
      <c r="M226">
        <f>COUNTA('[1]Pizza Sales Calculations'!$D226:$F226)</f>
        <v>2</v>
      </c>
      <c r="N226">
        <f>IFERROR(VLOOKUP(D226,[1]Parameters!$A$3:$C$5,3,FALSE),0)</f>
        <v>1</v>
      </c>
      <c r="O226">
        <f>IFERROR(VLOOKUP(E226,[1]Parameters!$A$3:$C$5,3,FALSE),0)</f>
        <v>1.7</v>
      </c>
      <c r="P226">
        <f>IFERROR(VLOOKUP(F226,[1]Parameters!$A$3:$C$5,3,FALSE),0)</f>
        <v>0</v>
      </c>
      <c r="Q226">
        <f t="shared" si="3"/>
        <v>2.7</v>
      </c>
      <c r="R226" s="10">
        <f>IF('[1]Pizza Sales Calculations'!$G226=TRUE, [1]Parameters!$B$17*'[1]Pizza Sales Calculations'!$L226*2, 0)</f>
        <v>0</v>
      </c>
      <c r="S226" t="str">
        <f>IF(I226&lt;[1]Parameters!$B$21,"TRUE","FALSE")</f>
        <v>TRUE</v>
      </c>
      <c r="T226" s="5">
        <f>(I226/[1]Parameters!$B$25)*60</f>
        <v>0</v>
      </c>
      <c r="U226" s="10">
        <f>IF(AND('[1]Pizza Sales Calculations'!G226=TRUE,'[1]Pizza Sales Calculations'!S226="TRUE"),T226*[1]Parameters!$B$40*2,0)</f>
        <v>0</v>
      </c>
      <c r="V226">
        <f>INDEX([1]Parameters!$A$3:$C$5,MATCH('[1]Pizza Sales Calculations'!D226,[1]Parameters!$A$3:$A$5,0),2)</f>
        <v>7</v>
      </c>
      <c r="W226">
        <f>INDEX([1]Parameters!$A$3:$C$5,MATCH('[1]Pizza Sales Calculations'!E226,[1]Parameters!$A$3:$A$5,0),2)</f>
        <v>10</v>
      </c>
      <c r="X226" t="e">
        <f>INDEX([1]Parameters!$A$3:$C$5,MATCH('[1]Pizza Sales Calculations'!F226,[1]Parameters!$A$3:$A$5,0),2)</f>
        <v>#N/A</v>
      </c>
    </row>
    <row r="227" spans="1:24" x14ac:dyDescent="0.3">
      <c r="A227">
        <v>226</v>
      </c>
      <c r="B227" s="14">
        <v>42372.57739583333</v>
      </c>
      <c r="C227" s="14">
        <v>42372.587800925925</v>
      </c>
      <c r="D227" t="s">
        <v>3</v>
      </c>
      <c r="E227" t="s">
        <v>5</v>
      </c>
      <c r="G227" t="b">
        <v>0</v>
      </c>
      <c r="H227">
        <v>70804</v>
      </c>
      <c r="I227" s="5">
        <v>0</v>
      </c>
      <c r="J227" s="14">
        <v>42372.589872685188</v>
      </c>
      <c r="K227">
        <v>23.34</v>
      </c>
      <c r="L227" s="5">
        <f>('[1]Pizza Sales Calculations'!$J227-'[1]Pizza Sales Calculations'!$C227)*24*60</f>
        <v>2.9833333392161876</v>
      </c>
      <c r="M227">
        <f>COUNTA('[1]Pizza Sales Calculations'!$D227:$F227)</f>
        <v>2</v>
      </c>
      <c r="N227">
        <f>IFERROR(VLOOKUP(D227,[1]Parameters!$A$3:$C$5,3,FALSE),0)</f>
        <v>1</v>
      </c>
      <c r="O227">
        <f>IFERROR(VLOOKUP(E227,[1]Parameters!$A$3:$C$5,3,FALSE),0)</f>
        <v>2.2999999999999998</v>
      </c>
      <c r="P227">
        <f>IFERROR(VLOOKUP(F227,[1]Parameters!$A$3:$C$5,3,FALSE),0)</f>
        <v>0</v>
      </c>
      <c r="Q227">
        <f t="shared" si="3"/>
        <v>3.3</v>
      </c>
      <c r="R227" s="10">
        <f>IF('[1]Pizza Sales Calculations'!$G227=TRUE, [1]Parameters!$B$17*'[1]Pizza Sales Calculations'!$L227*2, 0)</f>
        <v>0</v>
      </c>
      <c r="S227" t="str">
        <f>IF(I227&lt;[1]Parameters!$B$21,"TRUE","FALSE")</f>
        <v>TRUE</v>
      </c>
      <c r="T227" s="5">
        <f>(I227/[1]Parameters!$B$25)*60</f>
        <v>0</v>
      </c>
      <c r="U227" s="10">
        <f>IF(AND('[1]Pizza Sales Calculations'!G227=TRUE,'[1]Pizza Sales Calculations'!S227="TRUE"),T227*[1]Parameters!$B$40*2,0)</f>
        <v>0</v>
      </c>
      <c r="V227">
        <f>INDEX([1]Parameters!$A$3:$C$5,MATCH('[1]Pizza Sales Calculations'!D227,[1]Parameters!$A$3:$A$5,0),2)</f>
        <v>7</v>
      </c>
      <c r="W227">
        <f>INDEX([1]Parameters!$A$3:$C$5,MATCH('[1]Pizza Sales Calculations'!E227,[1]Parameters!$A$3:$A$5,0),2)</f>
        <v>14</v>
      </c>
      <c r="X227" t="e">
        <f>INDEX([1]Parameters!$A$3:$C$5,MATCH('[1]Pizza Sales Calculations'!F227,[1]Parameters!$A$3:$A$5,0),2)</f>
        <v>#N/A</v>
      </c>
    </row>
    <row r="228" spans="1:24" x14ac:dyDescent="0.3">
      <c r="A228">
        <v>227</v>
      </c>
      <c r="B228" s="14">
        <v>42372.477453703701</v>
      </c>
      <c r="C228" s="14">
        <v>42372.487881944442</v>
      </c>
      <c r="D228" t="s">
        <v>5</v>
      </c>
      <c r="G228" t="b">
        <v>1</v>
      </c>
      <c r="H228">
        <v>70804</v>
      </c>
      <c r="I228" s="5">
        <v>4.16086196491539</v>
      </c>
      <c r="J228" s="14">
        <v>42372.502326388887</v>
      </c>
      <c r="K228">
        <v>15.35</v>
      </c>
      <c r="L228" s="5">
        <f>('[1]Pizza Sales Calculations'!$J228-'[1]Pizza Sales Calculations'!$C228)*24*60</f>
        <v>20.800000000745058</v>
      </c>
      <c r="M228">
        <f>COUNTA('[1]Pizza Sales Calculations'!$D228:$F228)</f>
        <v>1</v>
      </c>
      <c r="N228">
        <f>IFERROR(VLOOKUP(D228,[1]Parameters!$A$3:$C$5,3,FALSE),0)</f>
        <v>2.2999999999999998</v>
      </c>
      <c r="O228">
        <f>IFERROR(VLOOKUP(E228,[1]Parameters!$A$3:$C$5,3,FALSE),0)</f>
        <v>0</v>
      </c>
      <c r="P228">
        <f>IFERROR(VLOOKUP(F228,[1]Parameters!$A$3:$C$5,3,FALSE),0)</f>
        <v>0</v>
      </c>
      <c r="Q228">
        <f t="shared" si="3"/>
        <v>2.2999999999999998</v>
      </c>
      <c r="R228" s="10">
        <f>IF('[1]Pizza Sales Calculations'!$G228=TRUE, [1]Parameters!$B$17*'[1]Pizza Sales Calculations'!$L228*2, 0)</f>
        <v>5.8933333335444331</v>
      </c>
      <c r="S228" t="str">
        <f>IF(I228&lt;[1]Parameters!$B$21,"TRUE","FALSE")</f>
        <v>FALSE</v>
      </c>
      <c r="T228" s="5">
        <f>(I228/[1]Parameters!$B$25)*60</f>
        <v>8.3217239298307799</v>
      </c>
      <c r="U228" s="10">
        <f>IF(AND('[1]Pizza Sales Calculations'!G228=TRUE,'[1]Pizza Sales Calculations'!S228="TRUE"),T228*[1]Parameters!$B$40*2,0)</f>
        <v>0</v>
      </c>
      <c r="V228">
        <f>INDEX([1]Parameters!$A$3:$C$5,MATCH('[1]Pizza Sales Calculations'!D228,[1]Parameters!$A$3:$A$5,0),2)</f>
        <v>14</v>
      </c>
      <c r="W228" t="e">
        <f>INDEX([1]Parameters!$A$3:$C$5,MATCH('[1]Pizza Sales Calculations'!E228,[1]Parameters!$A$3:$A$5,0),2)</f>
        <v>#N/A</v>
      </c>
      <c r="X228" t="e">
        <f>INDEX([1]Parameters!$A$3:$C$5,MATCH('[1]Pizza Sales Calculations'!F228,[1]Parameters!$A$3:$A$5,0),2)</f>
        <v>#N/A</v>
      </c>
    </row>
    <row r="229" spans="1:24" x14ac:dyDescent="0.3">
      <c r="A229">
        <v>228</v>
      </c>
      <c r="B229" s="14">
        <v>42372.496076388888</v>
      </c>
      <c r="C229" s="14">
        <v>42372.506481481483</v>
      </c>
      <c r="D229" t="s">
        <v>3</v>
      </c>
      <c r="G229" t="b">
        <v>1</v>
      </c>
      <c r="H229">
        <v>70806</v>
      </c>
      <c r="I229" s="5">
        <v>3.7588445858231698</v>
      </c>
      <c r="J229" s="14">
        <v>42372.519525462965</v>
      </c>
      <c r="K229">
        <v>7.99</v>
      </c>
      <c r="L229" s="5">
        <f>('[1]Pizza Sales Calculations'!$J229-'[1]Pizza Sales Calculations'!$C229)*24*60</f>
        <v>18.78333333414048</v>
      </c>
      <c r="M229">
        <f>COUNTA('[1]Pizza Sales Calculations'!$D229:$F229)</f>
        <v>1</v>
      </c>
      <c r="N229">
        <f>IFERROR(VLOOKUP(D229,[1]Parameters!$A$3:$C$5,3,FALSE),0)</f>
        <v>1</v>
      </c>
      <c r="O229">
        <f>IFERROR(VLOOKUP(E229,[1]Parameters!$A$3:$C$5,3,FALSE),0)</f>
        <v>0</v>
      </c>
      <c r="P229">
        <f>IFERROR(VLOOKUP(F229,[1]Parameters!$A$3:$C$5,3,FALSE),0)</f>
        <v>0</v>
      </c>
      <c r="Q229">
        <f t="shared" si="3"/>
        <v>1</v>
      </c>
      <c r="R229" s="10">
        <f>IF('[1]Pizza Sales Calculations'!$G229=TRUE, [1]Parameters!$B$17*'[1]Pizza Sales Calculations'!$L229*2, 0)</f>
        <v>5.3219444446731359</v>
      </c>
      <c r="S229" t="str">
        <f>IF(I229&lt;[1]Parameters!$B$21,"TRUE","FALSE")</f>
        <v>FALSE</v>
      </c>
      <c r="T229" s="5">
        <f>(I229/[1]Parameters!$B$25)*60</f>
        <v>7.5176891716463388</v>
      </c>
      <c r="U229" s="10">
        <f>IF(AND('[1]Pizza Sales Calculations'!G229=TRUE,'[1]Pizza Sales Calculations'!S229="TRUE"),T229*[1]Parameters!$B$40*2,0)</f>
        <v>0</v>
      </c>
      <c r="V229">
        <f>INDEX([1]Parameters!$A$3:$C$5,MATCH('[1]Pizza Sales Calculations'!D229,[1]Parameters!$A$3:$A$5,0),2)</f>
        <v>7</v>
      </c>
      <c r="W229" t="e">
        <f>INDEX([1]Parameters!$A$3:$C$5,MATCH('[1]Pizza Sales Calculations'!E229,[1]Parameters!$A$3:$A$5,0),2)</f>
        <v>#N/A</v>
      </c>
      <c r="X229" t="e">
        <f>INDEX([1]Parameters!$A$3:$C$5,MATCH('[1]Pizza Sales Calculations'!F229,[1]Parameters!$A$3:$A$5,0),2)</f>
        <v>#N/A</v>
      </c>
    </row>
    <row r="230" spans="1:24" x14ac:dyDescent="0.3">
      <c r="A230">
        <v>229</v>
      </c>
      <c r="B230" s="14">
        <v>42372.472939814812</v>
      </c>
      <c r="C230" s="14">
        <v>42372.483368055553</v>
      </c>
      <c r="D230" t="s">
        <v>4</v>
      </c>
      <c r="G230" t="b">
        <v>1</v>
      </c>
      <c r="H230">
        <v>70806</v>
      </c>
      <c r="I230" s="5">
        <v>2.50423299730654</v>
      </c>
      <c r="J230" s="14">
        <v>42372.492060185185</v>
      </c>
      <c r="K230">
        <v>11.59</v>
      </c>
      <c r="L230" s="5">
        <f>('[1]Pizza Sales Calculations'!$J230-'[1]Pizza Sales Calculations'!$C230)*24*60</f>
        <v>12.516666669398546</v>
      </c>
      <c r="M230">
        <f>COUNTA('[1]Pizza Sales Calculations'!$D230:$F230)</f>
        <v>1</v>
      </c>
      <c r="N230">
        <f>IFERROR(VLOOKUP(D230,[1]Parameters!$A$3:$C$5,3,FALSE),0)</f>
        <v>1.7</v>
      </c>
      <c r="O230">
        <f>IFERROR(VLOOKUP(E230,[1]Parameters!$A$3:$C$5,3,FALSE),0)</f>
        <v>0</v>
      </c>
      <c r="P230">
        <f>IFERROR(VLOOKUP(F230,[1]Parameters!$A$3:$C$5,3,FALSE),0)</f>
        <v>0</v>
      </c>
      <c r="Q230">
        <f t="shared" si="3"/>
        <v>1.7</v>
      </c>
      <c r="R230" s="10">
        <f>IF('[1]Pizza Sales Calculations'!$G230=TRUE, [1]Parameters!$B$17*'[1]Pizza Sales Calculations'!$L230*2, 0)</f>
        <v>3.5463888896629214</v>
      </c>
      <c r="S230" t="str">
        <f>IF(I230&lt;[1]Parameters!$B$21,"TRUE","FALSE")</f>
        <v>TRUE</v>
      </c>
      <c r="T230" s="5">
        <f>(I230/[1]Parameters!$B$25)*60</f>
        <v>5.0084659946130801</v>
      </c>
      <c r="U230" s="10">
        <f>IF(AND('[1]Pizza Sales Calculations'!G230=TRUE,'[1]Pizza Sales Calculations'!S230="TRUE"),T230*[1]Parameters!$B$40*2,0)</f>
        <v>0.31264161017109099</v>
      </c>
      <c r="V230">
        <f>INDEX([1]Parameters!$A$3:$C$5,MATCH('[1]Pizza Sales Calculations'!D230,[1]Parameters!$A$3:$A$5,0),2)</f>
        <v>10</v>
      </c>
      <c r="W230" t="e">
        <f>INDEX([1]Parameters!$A$3:$C$5,MATCH('[1]Pizza Sales Calculations'!E230,[1]Parameters!$A$3:$A$5,0),2)</f>
        <v>#N/A</v>
      </c>
      <c r="X230" t="e">
        <f>INDEX([1]Parameters!$A$3:$C$5,MATCH('[1]Pizza Sales Calculations'!F230,[1]Parameters!$A$3:$A$5,0),2)</f>
        <v>#N/A</v>
      </c>
    </row>
    <row r="231" spans="1:24" x14ac:dyDescent="0.3">
      <c r="A231">
        <v>230</v>
      </c>
      <c r="B231" s="14">
        <v>42372.525949074072</v>
      </c>
      <c r="C231" s="14">
        <v>42372.536354166667</v>
      </c>
      <c r="D231" t="s">
        <v>3</v>
      </c>
      <c r="E231" t="s">
        <v>4</v>
      </c>
      <c r="G231" t="b">
        <v>1</v>
      </c>
      <c r="H231">
        <v>70806</v>
      </c>
      <c r="I231" s="5">
        <v>2.5304107657121002</v>
      </c>
      <c r="J231" s="14">
        <v>42372.545138888891</v>
      </c>
      <c r="K231">
        <v>19.579999999999998</v>
      </c>
      <c r="L231" s="5">
        <f>('[1]Pizza Sales Calculations'!$J231-'[1]Pizza Sales Calculations'!$C231)*24*60</f>
        <v>12.650000002468005</v>
      </c>
      <c r="M231">
        <f>COUNTA('[1]Pizza Sales Calculations'!$D231:$F231)</f>
        <v>2</v>
      </c>
      <c r="N231">
        <f>IFERROR(VLOOKUP(D231,[1]Parameters!$A$3:$C$5,3,FALSE),0)</f>
        <v>1</v>
      </c>
      <c r="O231">
        <f>IFERROR(VLOOKUP(E231,[1]Parameters!$A$3:$C$5,3,FALSE),0)</f>
        <v>1.7</v>
      </c>
      <c r="P231">
        <f>IFERROR(VLOOKUP(F231,[1]Parameters!$A$3:$C$5,3,FALSE),0)</f>
        <v>0</v>
      </c>
      <c r="Q231">
        <f t="shared" si="3"/>
        <v>2.7</v>
      </c>
      <c r="R231" s="10">
        <f>IF('[1]Pizza Sales Calculations'!$G231=TRUE, [1]Parameters!$B$17*'[1]Pizza Sales Calculations'!$L231*2, 0)</f>
        <v>3.5841666673659347</v>
      </c>
      <c r="S231" t="str">
        <f>IF(I231&lt;[1]Parameters!$B$21,"TRUE","FALSE")</f>
        <v>TRUE</v>
      </c>
      <c r="T231" s="5">
        <f>(I231/[1]Parameters!$B$25)*60</f>
        <v>5.0608215314242004</v>
      </c>
      <c r="U231" s="10">
        <f>IF(AND('[1]Pizza Sales Calculations'!G231=TRUE,'[1]Pizza Sales Calculations'!S231="TRUE"),T231*[1]Parameters!$B$40*2,0)</f>
        <v>0.3159097803748232</v>
      </c>
      <c r="V231">
        <f>INDEX([1]Parameters!$A$3:$C$5,MATCH('[1]Pizza Sales Calculations'!D231,[1]Parameters!$A$3:$A$5,0),2)</f>
        <v>7</v>
      </c>
      <c r="W231">
        <f>INDEX([1]Parameters!$A$3:$C$5,MATCH('[1]Pizza Sales Calculations'!E231,[1]Parameters!$A$3:$A$5,0),2)</f>
        <v>10</v>
      </c>
      <c r="X231" t="e">
        <f>INDEX([1]Parameters!$A$3:$C$5,MATCH('[1]Pizza Sales Calculations'!F231,[1]Parameters!$A$3:$A$5,0),2)</f>
        <v>#N/A</v>
      </c>
    </row>
    <row r="232" spans="1:24" x14ac:dyDescent="0.3">
      <c r="A232">
        <v>231</v>
      </c>
      <c r="B232" s="14">
        <v>42372.560393518521</v>
      </c>
      <c r="C232" s="14">
        <v>42372.570821759262</v>
      </c>
      <c r="D232" t="s">
        <v>3</v>
      </c>
      <c r="E232" t="s">
        <v>4</v>
      </c>
      <c r="G232" t="b">
        <v>0</v>
      </c>
      <c r="H232">
        <v>70806</v>
      </c>
      <c r="I232" s="5">
        <v>0</v>
      </c>
      <c r="J232" s="14">
        <v>42372.572893518518</v>
      </c>
      <c r="K232">
        <v>19.579999999999998</v>
      </c>
      <c r="L232" s="5">
        <f>('[1]Pizza Sales Calculations'!$J232-'[1]Pizza Sales Calculations'!$C232)*24*60</f>
        <v>2.9833333287388086</v>
      </c>
      <c r="M232">
        <f>COUNTA('[1]Pizza Sales Calculations'!$D232:$F232)</f>
        <v>2</v>
      </c>
      <c r="N232">
        <f>IFERROR(VLOOKUP(D232,[1]Parameters!$A$3:$C$5,3,FALSE),0)</f>
        <v>1</v>
      </c>
      <c r="O232">
        <f>IFERROR(VLOOKUP(E232,[1]Parameters!$A$3:$C$5,3,FALSE),0)</f>
        <v>1.7</v>
      </c>
      <c r="P232">
        <f>IFERROR(VLOOKUP(F232,[1]Parameters!$A$3:$C$5,3,FALSE),0)</f>
        <v>0</v>
      </c>
      <c r="Q232">
        <f t="shared" si="3"/>
        <v>2.7</v>
      </c>
      <c r="R232" s="10">
        <f>IF('[1]Pizza Sales Calculations'!$G232=TRUE, [1]Parameters!$B$17*'[1]Pizza Sales Calculations'!$L232*2, 0)</f>
        <v>0</v>
      </c>
      <c r="S232" t="str">
        <f>IF(I232&lt;[1]Parameters!$B$21,"TRUE","FALSE")</f>
        <v>TRUE</v>
      </c>
      <c r="T232" s="5">
        <f>(I232/[1]Parameters!$B$25)*60</f>
        <v>0</v>
      </c>
      <c r="U232" s="10">
        <f>IF(AND('[1]Pizza Sales Calculations'!G232=TRUE,'[1]Pizza Sales Calculations'!S232="TRUE"),T232*[1]Parameters!$B$40*2,0)</f>
        <v>0</v>
      </c>
      <c r="V232">
        <f>INDEX([1]Parameters!$A$3:$C$5,MATCH('[1]Pizza Sales Calculations'!D232,[1]Parameters!$A$3:$A$5,0),2)</f>
        <v>7</v>
      </c>
      <c r="W232">
        <f>INDEX([1]Parameters!$A$3:$C$5,MATCH('[1]Pizza Sales Calculations'!E232,[1]Parameters!$A$3:$A$5,0),2)</f>
        <v>10</v>
      </c>
      <c r="X232" t="e">
        <f>INDEX([1]Parameters!$A$3:$C$5,MATCH('[1]Pizza Sales Calculations'!F232,[1]Parameters!$A$3:$A$5,0),2)</f>
        <v>#N/A</v>
      </c>
    </row>
    <row r="233" spans="1:24" x14ac:dyDescent="0.3">
      <c r="A233">
        <v>232</v>
      </c>
      <c r="B233" s="14">
        <v>42372.532800925925</v>
      </c>
      <c r="C233" s="14">
        <v>42372.543194444443</v>
      </c>
      <c r="D233" t="s">
        <v>3</v>
      </c>
      <c r="E233" t="s">
        <v>4</v>
      </c>
      <c r="G233" t="b">
        <v>0</v>
      </c>
      <c r="H233">
        <v>70806</v>
      </c>
      <c r="I233" s="5">
        <v>0</v>
      </c>
      <c r="J233" s="14">
        <v>42372.545289351852</v>
      </c>
      <c r="K233">
        <v>19.579999999999998</v>
      </c>
      <c r="L233" s="5">
        <f>('[1]Pizza Sales Calculations'!$J233-'[1]Pizza Sales Calculations'!$C233)*24*60</f>
        <v>3.0166666698642075</v>
      </c>
      <c r="M233">
        <f>COUNTA('[1]Pizza Sales Calculations'!$D233:$F233)</f>
        <v>2</v>
      </c>
      <c r="N233">
        <f>IFERROR(VLOOKUP(D233,[1]Parameters!$A$3:$C$5,3,FALSE),0)</f>
        <v>1</v>
      </c>
      <c r="O233">
        <f>IFERROR(VLOOKUP(E233,[1]Parameters!$A$3:$C$5,3,FALSE),0)</f>
        <v>1.7</v>
      </c>
      <c r="P233">
        <f>IFERROR(VLOOKUP(F233,[1]Parameters!$A$3:$C$5,3,FALSE),0)</f>
        <v>0</v>
      </c>
      <c r="Q233">
        <f t="shared" si="3"/>
        <v>2.7</v>
      </c>
      <c r="R233" s="10">
        <f>IF('[1]Pizza Sales Calculations'!$G233=TRUE, [1]Parameters!$B$17*'[1]Pizza Sales Calculations'!$L233*2, 0)</f>
        <v>0</v>
      </c>
      <c r="S233" t="str">
        <f>IF(I233&lt;[1]Parameters!$B$21,"TRUE","FALSE")</f>
        <v>TRUE</v>
      </c>
      <c r="T233" s="5">
        <f>(I233/[1]Parameters!$B$25)*60</f>
        <v>0</v>
      </c>
      <c r="U233" s="10">
        <f>IF(AND('[1]Pizza Sales Calculations'!G233=TRUE,'[1]Pizza Sales Calculations'!S233="TRUE"),T233*[1]Parameters!$B$40*2,0)</f>
        <v>0</v>
      </c>
      <c r="V233">
        <f>INDEX([1]Parameters!$A$3:$C$5,MATCH('[1]Pizza Sales Calculations'!D233,[1]Parameters!$A$3:$A$5,0),2)</f>
        <v>7</v>
      </c>
      <c r="W233">
        <f>INDEX([1]Parameters!$A$3:$C$5,MATCH('[1]Pizza Sales Calculations'!E233,[1]Parameters!$A$3:$A$5,0),2)</f>
        <v>10</v>
      </c>
      <c r="X233" t="e">
        <f>INDEX([1]Parameters!$A$3:$C$5,MATCH('[1]Pizza Sales Calculations'!F233,[1]Parameters!$A$3:$A$5,0),2)</f>
        <v>#N/A</v>
      </c>
    </row>
    <row r="234" spans="1:24" x14ac:dyDescent="0.3">
      <c r="A234">
        <v>233</v>
      </c>
      <c r="B234" s="14">
        <v>42372.424861111111</v>
      </c>
      <c r="C234" s="14">
        <v>42372.435277777775</v>
      </c>
      <c r="D234" t="s">
        <v>5</v>
      </c>
      <c r="G234" t="b">
        <v>0</v>
      </c>
      <c r="H234">
        <v>70805</v>
      </c>
      <c r="I234" s="5">
        <v>0</v>
      </c>
      <c r="J234" s="14">
        <v>42372.437361111108</v>
      </c>
      <c r="K234">
        <v>15.35</v>
      </c>
      <c r="L234" s="5">
        <f>('[1]Pizza Sales Calculations'!$J234-'[1]Pizza Sales Calculations'!$C234)*24*60</f>
        <v>2.9999999993015081</v>
      </c>
      <c r="M234">
        <f>COUNTA('[1]Pizza Sales Calculations'!$D234:$F234)</f>
        <v>1</v>
      </c>
      <c r="N234">
        <f>IFERROR(VLOOKUP(D234,[1]Parameters!$A$3:$C$5,3,FALSE),0)</f>
        <v>2.2999999999999998</v>
      </c>
      <c r="O234">
        <f>IFERROR(VLOOKUP(E234,[1]Parameters!$A$3:$C$5,3,FALSE),0)</f>
        <v>0</v>
      </c>
      <c r="P234">
        <f>IFERROR(VLOOKUP(F234,[1]Parameters!$A$3:$C$5,3,FALSE),0)</f>
        <v>0</v>
      </c>
      <c r="Q234">
        <f t="shared" si="3"/>
        <v>2.2999999999999998</v>
      </c>
      <c r="R234" s="10">
        <f>IF('[1]Pizza Sales Calculations'!$G234=TRUE, [1]Parameters!$B$17*'[1]Pizza Sales Calculations'!$L234*2, 0)</f>
        <v>0</v>
      </c>
      <c r="S234" t="str">
        <f>IF(I234&lt;[1]Parameters!$B$21,"TRUE","FALSE")</f>
        <v>TRUE</v>
      </c>
      <c r="T234" s="5">
        <f>(I234/[1]Parameters!$B$25)*60</f>
        <v>0</v>
      </c>
      <c r="U234" s="10">
        <f>IF(AND('[1]Pizza Sales Calculations'!G234=TRUE,'[1]Pizza Sales Calculations'!S234="TRUE"),T234*[1]Parameters!$B$40*2,0)</f>
        <v>0</v>
      </c>
      <c r="V234">
        <f>INDEX([1]Parameters!$A$3:$C$5,MATCH('[1]Pizza Sales Calculations'!D234,[1]Parameters!$A$3:$A$5,0),2)</f>
        <v>14</v>
      </c>
      <c r="W234" t="e">
        <f>INDEX([1]Parameters!$A$3:$C$5,MATCH('[1]Pizza Sales Calculations'!E234,[1]Parameters!$A$3:$A$5,0),2)</f>
        <v>#N/A</v>
      </c>
      <c r="X234" t="e">
        <f>INDEX([1]Parameters!$A$3:$C$5,MATCH('[1]Pizza Sales Calculations'!F234,[1]Parameters!$A$3:$A$5,0),2)</f>
        <v>#N/A</v>
      </c>
    </row>
    <row r="235" spans="1:24" x14ac:dyDescent="0.3">
      <c r="A235">
        <v>234</v>
      </c>
      <c r="B235" s="14">
        <v>42372.455821759257</v>
      </c>
      <c r="C235" s="14">
        <v>42372.466215277775</v>
      </c>
      <c r="D235" t="s">
        <v>3</v>
      </c>
      <c r="G235" t="b">
        <v>1</v>
      </c>
      <c r="H235">
        <v>70807</v>
      </c>
      <c r="I235" s="5">
        <v>3.10532141542582</v>
      </c>
      <c r="J235" s="14">
        <v>42372.476990740739</v>
      </c>
      <c r="K235">
        <v>7.99</v>
      </c>
      <c r="L235" s="5">
        <f>('[1]Pizza Sales Calculations'!$J235-'[1]Pizza Sales Calculations'!$C235)*24*60</f>
        <v>15.516666668700054</v>
      </c>
      <c r="M235">
        <f>COUNTA('[1]Pizza Sales Calculations'!$D235:$F235)</f>
        <v>1</v>
      </c>
      <c r="N235">
        <f>IFERROR(VLOOKUP(D235,[1]Parameters!$A$3:$C$5,3,FALSE),0)</f>
        <v>1</v>
      </c>
      <c r="O235">
        <f>IFERROR(VLOOKUP(E235,[1]Parameters!$A$3:$C$5,3,FALSE),0)</f>
        <v>0</v>
      </c>
      <c r="P235">
        <f>IFERROR(VLOOKUP(F235,[1]Parameters!$A$3:$C$5,3,FALSE),0)</f>
        <v>0</v>
      </c>
      <c r="Q235">
        <f t="shared" si="3"/>
        <v>1</v>
      </c>
      <c r="R235" s="10">
        <f>IF('[1]Pizza Sales Calculations'!$G235=TRUE, [1]Parameters!$B$17*'[1]Pizza Sales Calculations'!$L235*2, 0)</f>
        <v>4.3963888894650154</v>
      </c>
      <c r="S235" t="str">
        <f>IF(I235&lt;[1]Parameters!$B$21,"TRUE","FALSE")</f>
        <v>TRUE</v>
      </c>
      <c r="T235" s="5">
        <f>(I235/[1]Parameters!$B$25)*60</f>
        <v>6.2106428308516399</v>
      </c>
      <c r="U235" s="10">
        <f>IF(AND('[1]Pizza Sales Calculations'!G235=TRUE,'[1]Pizza Sales Calculations'!S235="TRUE"),T235*[1]Parameters!$B$40*2,0)</f>
        <v>0.38768464773913325</v>
      </c>
      <c r="V235">
        <f>INDEX([1]Parameters!$A$3:$C$5,MATCH('[1]Pizza Sales Calculations'!D235,[1]Parameters!$A$3:$A$5,0),2)</f>
        <v>7</v>
      </c>
      <c r="W235" t="e">
        <f>INDEX([1]Parameters!$A$3:$C$5,MATCH('[1]Pizza Sales Calculations'!E235,[1]Parameters!$A$3:$A$5,0),2)</f>
        <v>#N/A</v>
      </c>
      <c r="X235" t="e">
        <f>INDEX([1]Parameters!$A$3:$C$5,MATCH('[1]Pizza Sales Calculations'!F235,[1]Parameters!$A$3:$A$5,0),2)</f>
        <v>#N/A</v>
      </c>
    </row>
    <row r="236" spans="1:24" x14ac:dyDescent="0.3">
      <c r="A236">
        <v>235</v>
      </c>
      <c r="B236" s="14">
        <v>42372.434386574074</v>
      </c>
      <c r="C236" s="14">
        <v>42372.444814814815</v>
      </c>
      <c r="D236" t="s">
        <v>5</v>
      </c>
      <c r="G236" t="b">
        <v>1</v>
      </c>
      <c r="H236">
        <v>70804</v>
      </c>
      <c r="I236" s="5">
        <v>2.0311139987832401</v>
      </c>
      <c r="J236" s="14">
        <v>42372.451863425929</v>
      </c>
      <c r="K236">
        <v>15.35</v>
      </c>
      <c r="L236" s="5">
        <f>('[1]Pizza Sales Calculations'!$J236-'[1]Pizza Sales Calculations'!$C236)*24*60</f>
        <v>10.150000004796311</v>
      </c>
      <c r="M236">
        <f>COUNTA('[1]Pizza Sales Calculations'!$D236:$F236)</f>
        <v>1</v>
      </c>
      <c r="N236">
        <f>IFERROR(VLOOKUP(D236,[1]Parameters!$A$3:$C$5,3,FALSE),0)</f>
        <v>2.2999999999999998</v>
      </c>
      <c r="O236">
        <f>IFERROR(VLOOKUP(E236,[1]Parameters!$A$3:$C$5,3,FALSE),0)</f>
        <v>0</v>
      </c>
      <c r="P236">
        <f>IFERROR(VLOOKUP(F236,[1]Parameters!$A$3:$C$5,3,FALSE),0)</f>
        <v>0</v>
      </c>
      <c r="Q236">
        <f t="shared" si="3"/>
        <v>2.2999999999999998</v>
      </c>
      <c r="R236" s="10">
        <f>IF('[1]Pizza Sales Calculations'!$G236=TRUE, [1]Parameters!$B$17*'[1]Pizza Sales Calculations'!$L236*2, 0)</f>
        <v>2.8758333346922882</v>
      </c>
      <c r="S236" t="str">
        <f>IF(I236&lt;[1]Parameters!$B$21,"TRUE","FALSE")</f>
        <v>TRUE</v>
      </c>
      <c r="T236" s="5">
        <f>(I236/[1]Parameters!$B$25)*60</f>
        <v>4.0622279975664801</v>
      </c>
      <c r="U236" s="10">
        <f>IF(AND('[1]Pizza Sales Calculations'!G236=TRUE,'[1]Pizza Sales Calculations'!S236="TRUE"),T236*[1]Parameters!$B$40*2,0)</f>
        <v>0.25357494758020899</v>
      </c>
      <c r="V236">
        <f>INDEX([1]Parameters!$A$3:$C$5,MATCH('[1]Pizza Sales Calculations'!D236,[1]Parameters!$A$3:$A$5,0),2)</f>
        <v>14</v>
      </c>
      <c r="W236" t="e">
        <f>INDEX([1]Parameters!$A$3:$C$5,MATCH('[1]Pizza Sales Calculations'!E236,[1]Parameters!$A$3:$A$5,0),2)</f>
        <v>#N/A</v>
      </c>
      <c r="X236" t="e">
        <f>INDEX([1]Parameters!$A$3:$C$5,MATCH('[1]Pizza Sales Calculations'!F236,[1]Parameters!$A$3:$A$5,0),2)</f>
        <v>#N/A</v>
      </c>
    </row>
    <row r="237" spans="1:24" x14ac:dyDescent="0.3">
      <c r="A237">
        <v>236</v>
      </c>
      <c r="B237" s="14">
        <v>42372.52621527778</v>
      </c>
      <c r="C237" s="14">
        <v>42372.536643518521</v>
      </c>
      <c r="D237" t="s">
        <v>3</v>
      </c>
      <c r="E237" t="s">
        <v>4</v>
      </c>
      <c r="G237" t="b">
        <v>0</v>
      </c>
      <c r="H237">
        <v>70805</v>
      </c>
      <c r="I237" s="5">
        <v>0</v>
      </c>
      <c r="J237" s="14">
        <v>42372.538715277777</v>
      </c>
      <c r="K237">
        <v>19.579999999999998</v>
      </c>
      <c r="L237" s="5">
        <f>('[1]Pizza Sales Calculations'!$J237-'[1]Pizza Sales Calculations'!$C237)*24*60</f>
        <v>2.9833333287388086</v>
      </c>
      <c r="M237">
        <f>COUNTA('[1]Pizza Sales Calculations'!$D237:$F237)</f>
        <v>2</v>
      </c>
      <c r="N237">
        <f>IFERROR(VLOOKUP(D237,[1]Parameters!$A$3:$C$5,3,FALSE),0)</f>
        <v>1</v>
      </c>
      <c r="O237">
        <f>IFERROR(VLOOKUP(E237,[1]Parameters!$A$3:$C$5,3,FALSE),0)</f>
        <v>1.7</v>
      </c>
      <c r="P237">
        <f>IFERROR(VLOOKUP(F237,[1]Parameters!$A$3:$C$5,3,FALSE),0)</f>
        <v>0</v>
      </c>
      <c r="Q237">
        <f t="shared" si="3"/>
        <v>2.7</v>
      </c>
      <c r="R237" s="10">
        <f>IF('[1]Pizza Sales Calculations'!$G237=TRUE, [1]Parameters!$B$17*'[1]Pizza Sales Calculations'!$L237*2, 0)</f>
        <v>0</v>
      </c>
      <c r="S237" t="str">
        <f>IF(I237&lt;[1]Parameters!$B$21,"TRUE","FALSE")</f>
        <v>TRUE</v>
      </c>
      <c r="T237" s="5">
        <f>(I237/[1]Parameters!$B$25)*60</f>
        <v>0</v>
      </c>
      <c r="U237" s="10">
        <f>IF(AND('[1]Pizza Sales Calculations'!G237=TRUE,'[1]Pizza Sales Calculations'!S237="TRUE"),T237*[1]Parameters!$B$40*2,0)</f>
        <v>0</v>
      </c>
      <c r="V237">
        <f>INDEX([1]Parameters!$A$3:$C$5,MATCH('[1]Pizza Sales Calculations'!D237,[1]Parameters!$A$3:$A$5,0),2)</f>
        <v>7</v>
      </c>
      <c r="W237">
        <f>INDEX([1]Parameters!$A$3:$C$5,MATCH('[1]Pizza Sales Calculations'!E237,[1]Parameters!$A$3:$A$5,0),2)</f>
        <v>10</v>
      </c>
      <c r="X237" t="e">
        <f>INDEX([1]Parameters!$A$3:$C$5,MATCH('[1]Pizza Sales Calculations'!F237,[1]Parameters!$A$3:$A$5,0),2)</f>
        <v>#N/A</v>
      </c>
    </row>
    <row r="238" spans="1:24" x14ac:dyDescent="0.3">
      <c r="A238">
        <v>237</v>
      </c>
      <c r="B238" s="14">
        <v>42373.478032407409</v>
      </c>
      <c r="C238" s="14">
        <v>42373.488449074073</v>
      </c>
      <c r="D238" t="s">
        <v>5</v>
      </c>
      <c r="G238" t="b">
        <v>0</v>
      </c>
      <c r="H238">
        <v>70804</v>
      </c>
      <c r="I238" s="5">
        <v>0</v>
      </c>
      <c r="J238" s="14">
        <v>42373.49050925926</v>
      </c>
      <c r="K238">
        <v>15.35</v>
      </c>
      <c r="L238" s="5">
        <f>('[1]Pizza Sales Calculations'!$J238-'[1]Pizza Sales Calculations'!$C238)*24*60</f>
        <v>2.9666666686534882</v>
      </c>
      <c r="M238">
        <f>COUNTA('[1]Pizza Sales Calculations'!$D238:$F238)</f>
        <v>1</v>
      </c>
      <c r="N238">
        <f>IFERROR(VLOOKUP(D238,[1]Parameters!$A$3:$C$5,3,FALSE),0)</f>
        <v>2.2999999999999998</v>
      </c>
      <c r="O238">
        <f>IFERROR(VLOOKUP(E238,[1]Parameters!$A$3:$C$5,3,FALSE),0)</f>
        <v>0</v>
      </c>
      <c r="P238">
        <f>IFERROR(VLOOKUP(F238,[1]Parameters!$A$3:$C$5,3,FALSE),0)</f>
        <v>0</v>
      </c>
      <c r="Q238">
        <f t="shared" si="3"/>
        <v>2.2999999999999998</v>
      </c>
      <c r="R238" s="10">
        <f>IF('[1]Pizza Sales Calculations'!$G238=TRUE, [1]Parameters!$B$17*'[1]Pizza Sales Calculations'!$L238*2, 0)</f>
        <v>0</v>
      </c>
      <c r="S238" t="str">
        <f>IF(I238&lt;[1]Parameters!$B$21,"TRUE","FALSE")</f>
        <v>TRUE</v>
      </c>
      <c r="T238" s="5">
        <f>(I238/[1]Parameters!$B$25)*60</f>
        <v>0</v>
      </c>
      <c r="U238" s="10">
        <f>IF(AND('[1]Pizza Sales Calculations'!G238=TRUE,'[1]Pizza Sales Calculations'!S238="TRUE"),T238*[1]Parameters!$B$40*2,0)</f>
        <v>0</v>
      </c>
      <c r="V238">
        <f>INDEX([1]Parameters!$A$3:$C$5,MATCH('[1]Pizza Sales Calculations'!D238,[1]Parameters!$A$3:$A$5,0),2)</f>
        <v>14</v>
      </c>
      <c r="W238" t="e">
        <f>INDEX([1]Parameters!$A$3:$C$5,MATCH('[1]Pizza Sales Calculations'!E238,[1]Parameters!$A$3:$A$5,0),2)</f>
        <v>#N/A</v>
      </c>
      <c r="X238" t="e">
        <f>INDEX([1]Parameters!$A$3:$C$5,MATCH('[1]Pizza Sales Calculations'!F238,[1]Parameters!$A$3:$A$5,0),2)</f>
        <v>#N/A</v>
      </c>
    </row>
    <row r="239" spans="1:24" x14ac:dyDescent="0.3">
      <c r="A239">
        <v>238</v>
      </c>
      <c r="B239" s="14">
        <v>42373.490057870367</v>
      </c>
      <c r="C239" s="14">
        <v>42373.500474537039</v>
      </c>
      <c r="D239" t="s">
        <v>3</v>
      </c>
      <c r="E239" t="s">
        <v>4</v>
      </c>
      <c r="F239" t="s">
        <v>5</v>
      </c>
      <c r="G239" t="b">
        <v>0</v>
      </c>
      <c r="H239">
        <v>70804</v>
      </c>
      <c r="I239" s="5">
        <v>0</v>
      </c>
      <c r="J239" s="14">
        <v>42373.502546296295</v>
      </c>
      <c r="K239">
        <v>33.93</v>
      </c>
      <c r="L239" s="5">
        <f>('[1]Pizza Sales Calculations'!$J239-'[1]Pizza Sales Calculations'!$C239)*24*60</f>
        <v>2.9833333287388086</v>
      </c>
      <c r="M239">
        <f>COUNTA('[1]Pizza Sales Calculations'!$D239:$F239)</f>
        <v>3</v>
      </c>
      <c r="N239">
        <f>IFERROR(VLOOKUP(D239,[1]Parameters!$A$3:$C$5,3,FALSE),0)</f>
        <v>1</v>
      </c>
      <c r="O239">
        <f>IFERROR(VLOOKUP(E239,[1]Parameters!$A$3:$C$5,3,FALSE),0)</f>
        <v>1.7</v>
      </c>
      <c r="P239">
        <f>IFERROR(VLOOKUP(F239,[1]Parameters!$A$3:$C$5,3,FALSE),0)</f>
        <v>2.2999999999999998</v>
      </c>
      <c r="Q239">
        <f t="shared" si="3"/>
        <v>5</v>
      </c>
      <c r="R239" s="10">
        <f>IF('[1]Pizza Sales Calculations'!$G239=TRUE, [1]Parameters!$B$17*'[1]Pizza Sales Calculations'!$L239*2, 0)</f>
        <v>0</v>
      </c>
      <c r="S239" t="str">
        <f>IF(I239&lt;[1]Parameters!$B$21,"TRUE","FALSE")</f>
        <v>TRUE</v>
      </c>
      <c r="T239" s="5">
        <f>(I239/[1]Parameters!$B$25)*60</f>
        <v>0</v>
      </c>
      <c r="U239" s="10">
        <f>IF(AND('[1]Pizza Sales Calculations'!G239=TRUE,'[1]Pizza Sales Calculations'!S239="TRUE"),T239*[1]Parameters!$B$40*2,0)</f>
        <v>0</v>
      </c>
      <c r="V239">
        <f>INDEX([1]Parameters!$A$3:$C$5,MATCH('[1]Pizza Sales Calculations'!D239,[1]Parameters!$A$3:$A$5,0),2)</f>
        <v>7</v>
      </c>
      <c r="W239">
        <f>INDEX([1]Parameters!$A$3:$C$5,MATCH('[1]Pizza Sales Calculations'!E239,[1]Parameters!$A$3:$A$5,0),2)</f>
        <v>10</v>
      </c>
      <c r="X239">
        <f>INDEX([1]Parameters!$A$3:$C$5,MATCH('[1]Pizza Sales Calculations'!F239,[1]Parameters!$A$3:$A$5,0),2)</f>
        <v>14</v>
      </c>
    </row>
    <row r="240" spans="1:24" x14ac:dyDescent="0.3">
      <c r="A240">
        <v>239</v>
      </c>
      <c r="B240" s="14">
        <v>42373.488541666666</v>
      </c>
      <c r="C240" s="14">
        <v>42373.498969907407</v>
      </c>
      <c r="D240" t="s">
        <v>5</v>
      </c>
      <c r="G240" t="b">
        <v>0</v>
      </c>
      <c r="H240">
        <v>70804</v>
      </c>
      <c r="I240" s="5">
        <v>0</v>
      </c>
      <c r="J240" s="14">
        <v>42373.50105324074</v>
      </c>
      <c r="K240">
        <v>15.35</v>
      </c>
      <c r="L240" s="5">
        <f>('[1]Pizza Sales Calculations'!$J240-'[1]Pizza Sales Calculations'!$C240)*24*60</f>
        <v>2.9999999993015081</v>
      </c>
      <c r="M240">
        <f>COUNTA('[1]Pizza Sales Calculations'!$D240:$F240)</f>
        <v>1</v>
      </c>
      <c r="N240">
        <f>IFERROR(VLOOKUP(D240,[1]Parameters!$A$3:$C$5,3,FALSE),0)</f>
        <v>2.2999999999999998</v>
      </c>
      <c r="O240">
        <f>IFERROR(VLOOKUP(E240,[1]Parameters!$A$3:$C$5,3,FALSE),0)</f>
        <v>0</v>
      </c>
      <c r="P240">
        <f>IFERROR(VLOOKUP(F240,[1]Parameters!$A$3:$C$5,3,FALSE),0)</f>
        <v>0</v>
      </c>
      <c r="Q240">
        <f t="shared" si="3"/>
        <v>2.2999999999999998</v>
      </c>
      <c r="R240" s="10">
        <f>IF('[1]Pizza Sales Calculations'!$G240=TRUE, [1]Parameters!$B$17*'[1]Pizza Sales Calculations'!$L240*2, 0)</f>
        <v>0</v>
      </c>
      <c r="S240" t="str">
        <f>IF(I240&lt;[1]Parameters!$B$21,"TRUE","FALSE")</f>
        <v>TRUE</v>
      </c>
      <c r="T240" s="5">
        <f>(I240/[1]Parameters!$B$25)*60</f>
        <v>0</v>
      </c>
      <c r="U240" s="10">
        <f>IF(AND('[1]Pizza Sales Calculations'!G240=TRUE,'[1]Pizza Sales Calculations'!S240="TRUE"),T240*[1]Parameters!$B$40*2,0)</f>
        <v>0</v>
      </c>
      <c r="V240">
        <f>INDEX([1]Parameters!$A$3:$C$5,MATCH('[1]Pizza Sales Calculations'!D240,[1]Parameters!$A$3:$A$5,0),2)</f>
        <v>14</v>
      </c>
      <c r="W240" t="e">
        <f>INDEX([1]Parameters!$A$3:$C$5,MATCH('[1]Pizza Sales Calculations'!E240,[1]Parameters!$A$3:$A$5,0),2)</f>
        <v>#N/A</v>
      </c>
      <c r="X240" t="e">
        <f>INDEX([1]Parameters!$A$3:$C$5,MATCH('[1]Pizza Sales Calculations'!F240,[1]Parameters!$A$3:$A$5,0),2)</f>
        <v>#N/A</v>
      </c>
    </row>
    <row r="241" spans="1:24" x14ac:dyDescent="0.3">
      <c r="A241">
        <v>240</v>
      </c>
      <c r="B241" s="14">
        <v>42373.524340277778</v>
      </c>
      <c r="C241" s="14">
        <v>42373.534756944442</v>
      </c>
      <c r="D241" t="s">
        <v>3</v>
      </c>
      <c r="E241" t="s">
        <v>4</v>
      </c>
      <c r="G241" t="b">
        <v>1</v>
      </c>
      <c r="H241">
        <v>70804</v>
      </c>
      <c r="I241" s="5">
        <v>3.7550405808591898</v>
      </c>
      <c r="J241" s="14">
        <v>42373.547789351855</v>
      </c>
      <c r="K241">
        <v>19.579999999999998</v>
      </c>
      <c r="L241" s="5">
        <f>('[1]Pizza Sales Calculations'!$J241-'[1]Pizza Sales Calculations'!$C241)*24*60</f>
        <v>18.766666674055159</v>
      </c>
      <c r="M241">
        <f>COUNTA('[1]Pizza Sales Calculations'!$D241:$F241)</f>
        <v>2</v>
      </c>
      <c r="N241">
        <f>IFERROR(VLOOKUP(D241,[1]Parameters!$A$3:$C$5,3,FALSE),0)</f>
        <v>1</v>
      </c>
      <c r="O241">
        <f>IFERROR(VLOOKUP(E241,[1]Parameters!$A$3:$C$5,3,FALSE),0)</f>
        <v>1.7</v>
      </c>
      <c r="P241">
        <f>IFERROR(VLOOKUP(F241,[1]Parameters!$A$3:$C$5,3,FALSE),0)</f>
        <v>0</v>
      </c>
      <c r="Q241">
        <f t="shared" si="3"/>
        <v>2.7</v>
      </c>
      <c r="R241" s="10">
        <f>IF('[1]Pizza Sales Calculations'!$G241=TRUE, [1]Parameters!$B$17*'[1]Pizza Sales Calculations'!$L241*2, 0)</f>
        <v>5.3172222243156284</v>
      </c>
      <c r="S241" t="str">
        <f>IF(I241&lt;[1]Parameters!$B$21,"TRUE","FALSE")</f>
        <v>FALSE</v>
      </c>
      <c r="T241" s="5">
        <f>(I241/[1]Parameters!$B$25)*60</f>
        <v>7.5100811617183796</v>
      </c>
      <c r="U241" s="10">
        <f>IF(AND('[1]Pizza Sales Calculations'!G241=TRUE,'[1]Pizza Sales Calculations'!S241="TRUE"),T241*[1]Parameters!$B$40*2,0)</f>
        <v>0</v>
      </c>
      <c r="V241">
        <f>INDEX([1]Parameters!$A$3:$C$5,MATCH('[1]Pizza Sales Calculations'!D241,[1]Parameters!$A$3:$A$5,0),2)</f>
        <v>7</v>
      </c>
      <c r="W241">
        <f>INDEX([1]Parameters!$A$3:$C$5,MATCH('[1]Pizza Sales Calculations'!E241,[1]Parameters!$A$3:$A$5,0),2)</f>
        <v>10</v>
      </c>
      <c r="X241" t="e">
        <f>INDEX([1]Parameters!$A$3:$C$5,MATCH('[1]Pizza Sales Calculations'!F241,[1]Parameters!$A$3:$A$5,0),2)</f>
        <v>#N/A</v>
      </c>
    </row>
    <row r="242" spans="1:24" x14ac:dyDescent="0.3">
      <c r="A242">
        <v>241</v>
      </c>
      <c r="B242" s="14">
        <v>42373.518368055556</v>
      </c>
      <c r="C242" s="14">
        <v>42373.528784722221</v>
      </c>
      <c r="D242" t="s">
        <v>4</v>
      </c>
      <c r="G242" t="b">
        <v>1</v>
      </c>
      <c r="H242">
        <v>70807</v>
      </c>
      <c r="I242" s="5">
        <v>1.9827996289013201</v>
      </c>
      <c r="J242" s="14">
        <v>42373.53565972222</v>
      </c>
      <c r="K242">
        <v>11.59</v>
      </c>
      <c r="L242" s="5">
        <f>('[1]Pizza Sales Calculations'!$J242-'[1]Pizza Sales Calculations'!$C242)*24*60</f>
        <v>9.8999999987427145</v>
      </c>
      <c r="M242">
        <f>COUNTA('[1]Pizza Sales Calculations'!$D242:$F242)</f>
        <v>1</v>
      </c>
      <c r="N242">
        <f>IFERROR(VLOOKUP(D242,[1]Parameters!$A$3:$C$5,3,FALSE),0)</f>
        <v>1.7</v>
      </c>
      <c r="O242">
        <f>IFERROR(VLOOKUP(E242,[1]Parameters!$A$3:$C$5,3,FALSE),0)</f>
        <v>0</v>
      </c>
      <c r="P242">
        <f>IFERROR(VLOOKUP(F242,[1]Parameters!$A$3:$C$5,3,FALSE),0)</f>
        <v>0</v>
      </c>
      <c r="Q242">
        <f t="shared" si="3"/>
        <v>1.7</v>
      </c>
      <c r="R242" s="10">
        <f>IF('[1]Pizza Sales Calculations'!$G242=TRUE, [1]Parameters!$B$17*'[1]Pizza Sales Calculations'!$L242*2, 0)</f>
        <v>2.8049999996437691</v>
      </c>
      <c r="S242" t="str">
        <f>IF(I242&lt;[1]Parameters!$B$21,"TRUE","FALSE")</f>
        <v>TRUE</v>
      </c>
      <c r="T242" s="5">
        <f>(I242/[1]Parameters!$B$25)*60</f>
        <v>3.9655992578026398</v>
      </c>
      <c r="U242" s="10">
        <f>IF(AND('[1]Pizza Sales Calculations'!G242=TRUE,'[1]Pizza Sales Calculations'!S242="TRUE"),T242*[1]Parameters!$B$40*2,0)</f>
        <v>0.24754312769342865</v>
      </c>
      <c r="V242">
        <f>INDEX([1]Parameters!$A$3:$C$5,MATCH('[1]Pizza Sales Calculations'!D242,[1]Parameters!$A$3:$A$5,0),2)</f>
        <v>10</v>
      </c>
      <c r="W242" t="e">
        <f>INDEX([1]Parameters!$A$3:$C$5,MATCH('[1]Pizza Sales Calculations'!E242,[1]Parameters!$A$3:$A$5,0),2)</f>
        <v>#N/A</v>
      </c>
      <c r="X242" t="e">
        <f>INDEX([1]Parameters!$A$3:$C$5,MATCH('[1]Pizza Sales Calculations'!F242,[1]Parameters!$A$3:$A$5,0),2)</f>
        <v>#N/A</v>
      </c>
    </row>
    <row r="243" spans="1:24" x14ac:dyDescent="0.3">
      <c r="A243">
        <v>242</v>
      </c>
      <c r="B243" s="14">
        <v>42373.639907407407</v>
      </c>
      <c r="C243" s="14">
        <v>42373.650300925925</v>
      </c>
      <c r="D243" t="s">
        <v>5</v>
      </c>
      <c r="G243" t="b">
        <v>0</v>
      </c>
      <c r="H243">
        <v>70804</v>
      </c>
      <c r="I243" s="5">
        <v>0</v>
      </c>
      <c r="J243" s="14">
        <v>42373.652372685188</v>
      </c>
      <c r="K243">
        <v>15.35</v>
      </c>
      <c r="L243" s="5">
        <f>('[1]Pizza Sales Calculations'!$J243-'[1]Pizza Sales Calculations'!$C243)*24*60</f>
        <v>2.9833333392161876</v>
      </c>
      <c r="M243">
        <f>COUNTA('[1]Pizza Sales Calculations'!$D243:$F243)</f>
        <v>1</v>
      </c>
      <c r="N243">
        <f>IFERROR(VLOOKUP(D243,[1]Parameters!$A$3:$C$5,3,FALSE),0)</f>
        <v>2.2999999999999998</v>
      </c>
      <c r="O243">
        <f>IFERROR(VLOOKUP(E243,[1]Parameters!$A$3:$C$5,3,FALSE),0)</f>
        <v>0</v>
      </c>
      <c r="P243">
        <f>IFERROR(VLOOKUP(F243,[1]Parameters!$A$3:$C$5,3,FALSE),0)</f>
        <v>0</v>
      </c>
      <c r="Q243">
        <f t="shared" si="3"/>
        <v>2.2999999999999998</v>
      </c>
      <c r="R243" s="10">
        <f>IF('[1]Pizza Sales Calculations'!$G243=TRUE, [1]Parameters!$B$17*'[1]Pizza Sales Calculations'!$L243*2, 0)</f>
        <v>0</v>
      </c>
      <c r="S243" t="str">
        <f>IF(I243&lt;[1]Parameters!$B$21,"TRUE","FALSE")</f>
        <v>TRUE</v>
      </c>
      <c r="T243" s="5">
        <f>(I243/[1]Parameters!$B$25)*60</f>
        <v>0</v>
      </c>
      <c r="U243" s="10">
        <f>IF(AND('[1]Pizza Sales Calculations'!G243=TRUE,'[1]Pizza Sales Calculations'!S243="TRUE"),T243*[1]Parameters!$B$40*2,0)</f>
        <v>0</v>
      </c>
      <c r="V243">
        <f>INDEX([1]Parameters!$A$3:$C$5,MATCH('[1]Pizza Sales Calculations'!D243,[1]Parameters!$A$3:$A$5,0),2)</f>
        <v>14</v>
      </c>
      <c r="W243" t="e">
        <f>INDEX([1]Parameters!$A$3:$C$5,MATCH('[1]Pizza Sales Calculations'!E243,[1]Parameters!$A$3:$A$5,0),2)</f>
        <v>#N/A</v>
      </c>
      <c r="X243" t="e">
        <f>INDEX([1]Parameters!$A$3:$C$5,MATCH('[1]Pizza Sales Calculations'!F243,[1]Parameters!$A$3:$A$5,0),2)</f>
        <v>#N/A</v>
      </c>
    </row>
    <row r="244" spans="1:24" x14ac:dyDescent="0.3">
      <c r="A244">
        <v>243</v>
      </c>
      <c r="B244" s="14">
        <v>42373.481747685182</v>
      </c>
      <c r="C244" s="14">
        <v>42373.492152777777</v>
      </c>
      <c r="D244" t="s">
        <v>4</v>
      </c>
      <c r="E244" t="s">
        <v>5</v>
      </c>
      <c r="G244" t="b">
        <v>1</v>
      </c>
      <c r="H244">
        <v>70805</v>
      </c>
      <c r="I244" s="5">
        <v>2.12905571604092</v>
      </c>
      <c r="J244" s="14">
        <v>42373.499537037038</v>
      </c>
      <c r="K244">
        <v>25.94</v>
      </c>
      <c r="L244" s="5">
        <f>('[1]Pizza Sales Calculations'!$J244-'[1]Pizza Sales Calculations'!$C244)*24*60</f>
        <v>10.633333335863426</v>
      </c>
      <c r="M244">
        <f>COUNTA('[1]Pizza Sales Calculations'!$D244:$F244)</f>
        <v>2</v>
      </c>
      <c r="N244">
        <f>IFERROR(VLOOKUP(D244,[1]Parameters!$A$3:$C$5,3,FALSE),0)</f>
        <v>1.7</v>
      </c>
      <c r="O244">
        <f>IFERROR(VLOOKUP(E244,[1]Parameters!$A$3:$C$5,3,FALSE),0)</f>
        <v>2.2999999999999998</v>
      </c>
      <c r="P244">
        <f>IFERROR(VLOOKUP(F244,[1]Parameters!$A$3:$C$5,3,FALSE),0)</f>
        <v>0</v>
      </c>
      <c r="Q244">
        <f t="shared" si="3"/>
        <v>4</v>
      </c>
      <c r="R244" s="10">
        <f>IF('[1]Pizza Sales Calculations'!$G244=TRUE, [1]Parameters!$B$17*'[1]Pizza Sales Calculations'!$L244*2, 0)</f>
        <v>3.0127777784946375</v>
      </c>
      <c r="S244" t="str">
        <f>IF(I244&lt;[1]Parameters!$B$21,"TRUE","FALSE")</f>
        <v>TRUE</v>
      </c>
      <c r="T244" s="5">
        <f>(I244/[1]Parameters!$B$25)*60</f>
        <v>4.2581114320818401</v>
      </c>
      <c r="U244" s="10">
        <f>IF(AND('[1]Pizza Sales Calculations'!G244=TRUE,'[1]Pizza Sales Calculations'!S244="TRUE"),T244*[1]Parameters!$B$40*2,0)</f>
        <v>0.26580250636539282</v>
      </c>
      <c r="V244">
        <f>INDEX([1]Parameters!$A$3:$C$5,MATCH('[1]Pizza Sales Calculations'!D244,[1]Parameters!$A$3:$A$5,0),2)</f>
        <v>10</v>
      </c>
      <c r="W244">
        <f>INDEX([1]Parameters!$A$3:$C$5,MATCH('[1]Pizza Sales Calculations'!E244,[1]Parameters!$A$3:$A$5,0),2)</f>
        <v>14</v>
      </c>
      <c r="X244" t="e">
        <f>INDEX([1]Parameters!$A$3:$C$5,MATCH('[1]Pizza Sales Calculations'!F244,[1]Parameters!$A$3:$A$5,0),2)</f>
        <v>#N/A</v>
      </c>
    </row>
    <row r="245" spans="1:24" x14ac:dyDescent="0.3">
      <c r="A245">
        <v>244</v>
      </c>
      <c r="B245" s="14">
        <v>42373.518865740742</v>
      </c>
      <c r="C245" s="14">
        <v>42373.52925925926</v>
      </c>
      <c r="D245" t="s">
        <v>4</v>
      </c>
      <c r="G245" t="b">
        <v>0</v>
      </c>
      <c r="H245">
        <v>70805</v>
      </c>
      <c r="I245" s="5">
        <v>0</v>
      </c>
      <c r="J245" s="14">
        <v>42373.531331018516</v>
      </c>
      <c r="K245">
        <v>11.59</v>
      </c>
      <c r="L245" s="5">
        <f>('[1]Pizza Sales Calculations'!$J245-'[1]Pizza Sales Calculations'!$C245)*24*60</f>
        <v>2.9833333287388086</v>
      </c>
      <c r="M245">
        <f>COUNTA('[1]Pizza Sales Calculations'!$D245:$F245)</f>
        <v>1</v>
      </c>
      <c r="N245">
        <f>IFERROR(VLOOKUP(D245,[1]Parameters!$A$3:$C$5,3,FALSE),0)</f>
        <v>1.7</v>
      </c>
      <c r="O245">
        <f>IFERROR(VLOOKUP(E245,[1]Parameters!$A$3:$C$5,3,FALSE),0)</f>
        <v>0</v>
      </c>
      <c r="P245">
        <f>IFERROR(VLOOKUP(F245,[1]Parameters!$A$3:$C$5,3,FALSE),0)</f>
        <v>0</v>
      </c>
      <c r="Q245">
        <f t="shared" si="3"/>
        <v>1.7</v>
      </c>
      <c r="R245" s="10">
        <f>IF('[1]Pizza Sales Calculations'!$G245=TRUE, [1]Parameters!$B$17*'[1]Pizza Sales Calculations'!$L245*2, 0)</f>
        <v>0</v>
      </c>
      <c r="S245" t="str">
        <f>IF(I245&lt;[1]Parameters!$B$21,"TRUE","FALSE")</f>
        <v>TRUE</v>
      </c>
      <c r="T245" s="5">
        <f>(I245/[1]Parameters!$B$25)*60</f>
        <v>0</v>
      </c>
      <c r="U245" s="10">
        <f>IF(AND('[1]Pizza Sales Calculations'!G245=TRUE,'[1]Pizza Sales Calculations'!S245="TRUE"),T245*[1]Parameters!$B$40*2,0)</f>
        <v>0</v>
      </c>
      <c r="V245">
        <f>INDEX([1]Parameters!$A$3:$C$5,MATCH('[1]Pizza Sales Calculations'!D245,[1]Parameters!$A$3:$A$5,0),2)</f>
        <v>10</v>
      </c>
      <c r="W245" t="e">
        <f>INDEX([1]Parameters!$A$3:$C$5,MATCH('[1]Pizza Sales Calculations'!E245,[1]Parameters!$A$3:$A$5,0),2)</f>
        <v>#N/A</v>
      </c>
      <c r="X245" t="e">
        <f>INDEX([1]Parameters!$A$3:$C$5,MATCH('[1]Pizza Sales Calculations'!F245,[1]Parameters!$A$3:$A$5,0),2)</f>
        <v>#N/A</v>
      </c>
    </row>
    <row r="246" spans="1:24" x14ac:dyDescent="0.3">
      <c r="A246">
        <v>245</v>
      </c>
      <c r="B246" s="14">
        <v>42373.446319444447</v>
      </c>
      <c r="C246" s="14">
        <v>42373.456736111111</v>
      </c>
      <c r="D246" t="s">
        <v>3</v>
      </c>
      <c r="E246" t="s">
        <v>4</v>
      </c>
      <c r="G246" t="b">
        <v>0</v>
      </c>
      <c r="H246">
        <v>70805</v>
      </c>
      <c r="I246" s="5">
        <v>0</v>
      </c>
      <c r="J246" s="14">
        <v>42373.458807870367</v>
      </c>
      <c r="K246">
        <v>19.579999999999998</v>
      </c>
      <c r="L246" s="5">
        <f>('[1]Pizza Sales Calculations'!$J246-'[1]Pizza Sales Calculations'!$C246)*24*60</f>
        <v>2.9833333287388086</v>
      </c>
      <c r="M246">
        <f>COUNTA('[1]Pizza Sales Calculations'!$D246:$F246)</f>
        <v>2</v>
      </c>
      <c r="N246">
        <f>IFERROR(VLOOKUP(D246,[1]Parameters!$A$3:$C$5,3,FALSE),0)</f>
        <v>1</v>
      </c>
      <c r="O246">
        <f>IFERROR(VLOOKUP(E246,[1]Parameters!$A$3:$C$5,3,FALSE),0)</f>
        <v>1.7</v>
      </c>
      <c r="P246">
        <f>IFERROR(VLOOKUP(F246,[1]Parameters!$A$3:$C$5,3,FALSE),0)</f>
        <v>0</v>
      </c>
      <c r="Q246">
        <f t="shared" si="3"/>
        <v>2.7</v>
      </c>
      <c r="R246" s="10">
        <f>IF('[1]Pizza Sales Calculations'!$G246=TRUE, [1]Parameters!$B$17*'[1]Pizza Sales Calculations'!$L246*2, 0)</f>
        <v>0</v>
      </c>
      <c r="S246" t="str">
        <f>IF(I246&lt;[1]Parameters!$B$21,"TRUE","FALSE")</f>
        <v>TRUE</v>
      </c>
      <c r="T246" s="5">
        <f>(I246/[1]Parameters!$B$25)*60</f>
        <v>0</v>
      </c>
      <c r="U246" s="10">
        <f>IF(AND('[1]Pizza Sales Calculations'!G246=TRUE,'[1]Pizza Sales Calculations'!S246="TRUE"),T246*[1]Parameters!$B$40*2,0)</f>
        <v>0</v>
      </c>
      <c r="V246">
        <f>INDEX([1]Parameters!$A$3:$C$5,MATCH('[1]Pizza Sales Calculations'!D246,[1]Parameters!$A$3:$A$5,0),2)</f>
        <v>7</v>
      </c>
      <c r="W246">
        <f>INDEX([1]Parameters!$A$3:$C$5,MATCH('[1]Pizza Sales Calculations'!E246,[1]Parameters!$A$3:$A$5,0),2)</f>
        <v>10</v>
      </c>
      <c r="X246" t="e">
        <f>INDEX([1]Parameters!$A$3:$C$5,MATCH('[1]Pizza Sales Calculations'!F246,[1]Parameters!$A$3:$A$5,0),2)</f>
        <v>#N/A</v>
      </c>
    </row>
    <row r="247" spans="1:24" x14ac:dyDescent="0.3">
      <c r="A247">
        <v>246</v>
      </c>
      <c r="B247" s="14">
        <v>42373.55568287037</v>
      </c>
      <c r="C247" s="14">
        <v>42373.566111111111</v>
      </c>
      <c r="D247" t="s">
        <v>4</v>
      </c>
      <c r="G247" t="b">
        <v>0</v>
      </c>
      <c r="H247">
        <v>70804</v>
      </c>
      <c r="I247" s="5">
        <v>0</v>
      </c>
      <c r="J247" s="14">
        <v>42373.568171296298</v>
      </c>
      <c r="K247">
        <v>11.59</v>
      </c>
      <c r="L247" s="5">
        <f>('[1]Pizza Sales Calculations'!$J247-'[1]Pizza Sales Calculations'!$C247)*24*60</f>
        <v>2.9666666686534882</v>
      </c>
      <c r="M247">
        <f>COUNTA('[1]Pizza Sales Calculations'!$D247:$F247)</f>
        <v>1</v>
      </c>
      <c r="N247">
        <f>IFERROR(VLOOKUP(D247,[1]Parameters!$A$3:$C$5,3,FALSE),0)</f>
        <v>1.7</v>
      </c>
      <c r="O247">
        <f>IFERROR(VLOOKUP(E247,[1]Parameters!$A$3:$C$5,3,FALSE),0)</f>
        <v>0</v>
      </c>
      <c r="P247">
        <f>IFERROR(VLOOKUP(F247,[1]Parameters!$A$3:$C$5,3,FALSE),0)</f>
        <v>0</v>
      </c>
      <c r="Q247">
        <f t="shared" si="3"/>
        <v>1.7</v>
      </c>
      <c r="R247" s="10">
        <f>IF('[1]Pizza Sales Calculations'!$G247=TRUE, [1]Parameters!$B$17*'[1]Pizza Sales Calculations'!$L247*2, 0)</f>
        <v>0</v>
      </c>
      <c r="S247" t="str">
        <f>IF(I247&lt;[1]Parameters!$B$21,"TRUE","FALSE")</f>
        <v>TRUE</v>
      </c>
      <c r="T247" s="5">
        <f>(I247/[1]Parameters!$B$25)*60</f>
        <v>0</v>
      </c>
      <c r="U247" s="10">
        <f>IF(AND('[1]Pizza Sales Calculations'!G247=TRUE,'[1]Pizza Sales Calculations'!S247="TRUE"),T247*[1]Parameters!$B$40*2,0)</f>
        <v>0</v>
      </c>
      <c r="V247">
        <f>INDEX([1]Parameters!$A$3:$C$5,MATCH('[1]Pizza Sales Calculations'!D247,[1]Parameters!$A$3:$A$5,0),2)</f>
        <v>10</v>
      </c>
      <c r="W247" t="e">
        <f>INDEX([1]Parameters!$A$3:$C$5,MATCH('[1]Pizza Sales Calculations'!E247,[1]Parameters!$A$3:$A$5,0),2)</f>
        <v>#N/A</v>
      </c>
      <c r="X247" t="e">
        <f>INDEX([1]Parameters!$A$3:$C$5,MATCH('[1]Pizza Sales Calculations'!F247,[1]Parameters!$A$3:$A$5,0),2)</f>
        <v>#N/A</v>
      </c>
    </row>
    <row r="248" spans="1:24" x14ac:dyDescent="0.3">
      <c r="A248">
        <v>247</v>
      </c>
      <c r="B248" s="14">
        <v>42373.491215277776</v>
      </c>
      <c r="C248" s="14">
        <v>42373.501631944448</v>
      </c>
      <c r="D248" t="s">
        <v>3</v>
      </c>
      <c r="E248" t="s">
        <v>5</v>
      </c>
      <c r="G248" t="b">
        <v>1</v>
      </c>
      <c r="H248">
        <v>70805</v>
      </c>
      <c r="I248" s="5">
        <v>3.3807760509389899</v>
      </c>
      <c r="J248" s="14">
        <v>42373.513368055559</v>
      </c>
      <c r="K248">
        <v>23.34</v>
      </c>
      <c r="L248" s="5">
        <f>('[1]Pizza Sales Calculations'!$J248-'[1]Pizza Sales Calculations'!$C248)*24*60</f>
        <v>16.90000000060536</v>
      </c>
      <c r="M248">
        <f>COUNTA('[1]Pizza Sales Calculations'!$D248:$F248)</f>
        <v>2</v>
      </c>
      <c r="N248">
        <f>IFERROR(VLOOKUP(D248,[1]Parameters!$A$3:$C$5,3,FALSE),0)</f>
        <v>1</v>
      </c>
      <c r="O248">
        <f>IFERROR(VLOOKUP(E248,[1]Parameters!$A$3:$C$5,3,FALSE),0)</f>
        <v>2.2999999999999998</v>
      </c>
      <c r="P248">
        <f>IFERROR(VLOOKUP(F248,[1]Parameters!$A$3:$C$5,3,FALSE),0)</f>
        <v>0</v>
      </c>
      <c r="Q248">
        <f t="shared" si="3"/>
        <v>3.3</v>
      </c>
      <c r="R248" s="10">
        <f>IF('[1]Pizza Sales Calculations'!$G248=TRUE, [1]Parameters!$B$17*'[1]Pizza Sales Calculations'!$L248*2, 0)</f>
        <v>4.7883333335048519</v>
      </c>
      <c r="S248" t="str">
        <f>IF(I248&lt;[1]Parameters!$B$21,"TRUE","FALSE")</f>
        <v>FALSE</v>
      </c>
      <c r="T248" s="5">
        <f>(I248/[1]Parameters!$B$25)*60</f>
        <v>6.7615521018779798</v>
      </c>
      <c r="U248" s="10">
        <f>IF(AND('[1]Pizza Sales Calculations'!G248=TRUE,'[1]Pizza Sales Calculations'!S248="TRUE"),T248*[1]Parameters!$B$40*2,0)</f>
        <v>0</v>
      </c>
      <c r="V248">
        <f>INDEX([1]Parameters!$A$3:$C$5,MATCH('[1]Pizza Sales Calculations'!D248,[1]Parameters!$A$3:$A$5,0),2)</f>
        <v>7</v>
      </c>
      <c r="W248">
        <f>INDEX([1]Parameters!$A$3:$C$5,MATCH('[1]Pizza Sales Calculations'!E248,[1]Parameters!$A$3:$A$5,0),2)</f>
        <v>14</v>
      </c>
      <c r="X248" t="e">
        <f>INDEX([1]Parameters!$A$3:$C$5,MATCH('[1]Pizza Sales Calculations'!F248,[1]Parameters!$A$3:$A$5,0),2)</f>
        <v>#N/A</v>
      </c>
    </row>
    <row r="249" spans="1:24" x14ac:dyDescent="0.3">
      <c r="A249">
        <v>248</v>
      </c>
      <c r="B249" s="14">
        <v>42373.499722222223</v>
      </c>
      <c r="C249" s="14">
        <v>42373.510138888887</v>
      </c>
      <c r="D249" t="s">
        <v>4</v>
      </c>
      <c r="G249" t="b">
        <v>1</v>
      </c>
      <c r="H249">
        <v>70803</v>
      </c>
      <c r="I249" s="5">
        <v>3.1280542939078799</v>
      </c>
      <c r="J249" s="14">
        <v>42373.520995370367</v>
      </c>
      <c r="K249">
        <v>11.59</v>
      </c>
      <c r="L249" s="5">
        <f>('[1]Pizza Sales Calculations'!$J249-'[1]Pizza Sales Calculations'!$C249)*24*60</f>
        <v>15.633333331206813</v>
      </c>
      <c r="M249">
        <f>COUNTA('[1]Pizza Sales Calculations'!$D249:$F249)</f>
        <v>1</v>
      </c>
      <c r="N249">
        <f>IFERROR(VLOOKUP(D249,[1]Parameters!$A$3:$C$5,3,FALSE),0)</f>
        <v>1.7</v>
      </c>
      <c r="O249">
        <f>IFERROR(VLOOKUP(E249,[1]Parameters!$A$3:$C$5,3,FALSE),0)</f>
        <v>0</v>
      </c>
      <c r="P249">
        <f>IFERROR(VLOOKUP(F249,[1]Parameters!$A$3:$C$5,3,FALSE),0)</f>
        <v>0</v>
      </c>
      <c r="Q249">
        <f t="shared" si="3"/>
        <v>1.7</v>
      </c>
      <c r="R249" s="10">
        <f>IF('[1]Pizza Sales Calculations'!$G249=TRUE, [1]Parameters!$B$17*'[1]Pizza Sales Calculations'!$L249*2, 0)</f>
        <v>4.4294444438419305</v>
      </c>
      <c r="S249" t="str">
        <f>IF(I249&lt;[1]Parameters!$B$21,"TRUE","FALSE")</f>
        <v>TRUE</v>
      </c>
      <c r="T249" s="5">
        <f>(I249/[1]Parameters!$B$25)*60</f>
        <v>6.2561085878157598</v>
      </c>
      <c r="U249" s="10">
        <f>IF(AND('[1]Pizza Sales Calculations'!G249=TRUE,'[1]Pizza Sales Calculations'!S249="TRUE"),T249*[1]Parameters!$B$40*2,0)</f>
        <v>0.39052273977773316</v>
      </c>
      <c r="V249">
        <f>INDEX([1]Parameters!$A$3:$C$5,MATCH('[1]Pizza Sales Calculations'!D249,[1]Parameters!$A$3:$A$5,0),2)</f>
        <v>10</v>
      </c>
      <c r="W249" t="e">
        <f>INDEX([1]Parameters!$A$3:$C$5,MATCH('[1]Pizza Sales Calculations'!E249,[1]Parameters!$A$3:$A$5,0),2)</f>
        <v>#N/A</v>
      </c>
      <c r="X249" t="e">
        <f>INDEX([1]Parameters!$A$3:$C$5,MATCH('[1]Pizza Sales Calculations'!F249,[1]Parameters!$A$3:$A$5,0),2)</f>
        <v>#N/A</v>
      </c>
    </row>
    <row r="250" spans="1:24" x14ac:dyDescent="0.3">
      <c r="A250">
        <v>249</v>
      </c>
      <c r="B250" s="14">
        <v>42373.509247685186</v>
      </c>
      <c r="C250" s="14">
        <v>42373.519629629627</v>
      </c>
      <c r="D250" t="s">
        <v>3</v>
      </c>
      <c r="E250" t="s">
        <v>4</v>
      </c>
      <c r="G250" t="b">
        <v>0</v>
      </c>
      <c r="H250">
        <v>70807</v>
      </c>
      <c r="I250" s="5">
        <v>0</v>
      </c>
      <c r="J250" s="14">
        <v>42373.52171296296</v>
      </c>
      <c r="K250">
        <v>19.579999999999998</v>
      </c>
      <c r="L250" s="5">
        <f>('[1]Pizza Sales Calculations'!$J250-'[1]Pizza Sales Calculations'!$C250)*24*60</f>
        <v>2.9999999993015081</v>
      </c>
      <c r="M250">
        <f>COUNTA('[1]Pizza Sales Calculations'!$D250:$F250)</f>
        <v>2</v>
      </c>
      <c r="N250">
        <f>IFERROR(VLOOKUP(D250,[1]Parameters!$A$3:$C$5,3,FALSE),0)</f>
        <v>1</v>
      </c>
      <c r="O250">
        <f>IFERROR(VLOOKUP(E250,[1]Parameters!$A$3:$C$5,3,FALSE),0)</f>
        <v>1.7</v>
      </c>
      <c r="P250">
        <f>IFERROR(VLOOKUP(F250,[1]Parameters!$A$3:$C$5,3,FALSE),0)</f>
        <v>0</v>
      </c>
      <c r="Q250">
        <f t="shared" si="3"/>
        <v>2.7</v>
      </c>
      <c r="R250" s="10">
        <f>IF('[1]Pizza Sales Calculations'!$G250=TRUE, [1]Parameters!$B$17*'[1]Pizza Sales Calculations'!$L250*2, 0)</f>
        <v>0</v>
      </c>
      <c r="S250" t="str">
        <f>IF(I250&lt;[1]Parameters!$B$21,"TRUE","FALSE")</f>
        <v>TRUE</v>
      </c>
      <c r="T250" s="5">
        <f>(I250/[1]Parameters!$B$25)*60</f>
        <v>0</v>
      </c>
      <c r="U250" s="10">
        <f>IF(AND('[1]Pizza Sales Calculations'!G250=TRUE,'[1]Pizza Sales Calculations'!S250="TRUE"),T250*[1]Parameters!$B$40*2,0)</f>
        <v>0</v>
      </c>
      <c r="V250">
        <f>INDEX([1]Parameters!$A$3:$C$5,MATCH('[1]Pizza Sales Calculations'!D250,[1]Parameters!$A$3:$A$5,0),2)</f>
        <v>7</v>
      </c>
      <c r="W250">
        <f>INDEX([1]Parameters!$A$3:$C$5,MATCH('[1]Pizza Sales Calculations'!E250,[1]Parameters!$A$3:$A$5,0),2)</f>
        <v>10</v>
      </c>
      <c r="X250" t="e">
        <f>INDEX([1]Parameters!$A$3:$C$5,MATCH('[1]Pizza Sales Calculations'!F250,[1]Parameters!$A$3:$A$5,0),2)</f>
        <v>#N/A</v>
      </c>
    </row>
    <row r="251" spans="1:24" x14ac:dyDescent="0.3">
      <c r="A251">
        <v>250</v>
      </c>
      <c r="B251" s="14">
        <v>42373.477303240739</v>
      </c>
      <c r="C251" s="14">
        <v>42373.487743055557</v>
      </c>
      <c r="D251" t="s">
        <v>4</v>
      </c>
      <c r="G251" t="b">
        <v>1</v>
      </c>
      <c r="H251">
        <v>70805</v>
      </c>
      <c r="I251" s="5">
        <v>4.0054439295012401</v>
      </c>
      <c r="J251" s="14">
        <v>42373.501643518517</v>
      </c>
      <c r="K251">
        <v>11.59</v>
      </c>
      <c r="L251" s="5">
        <f>('[1]Pizza Sales Calculations'!$J251-'[1]Pizza Sales Calculations'!$C251)*24*60</f>
        <v>20.016666662413627</v>
      </c>
      <c r="M251">
        <f>COUNTA('[1]Pizza Sales Calculations'!$D251:$F251)</f>
        <v>1</v>
      </c>
      <c r="N251">
        <f>IFERROR(VLOOKUP(D251,[1]Parameters!$A$3:$C$5,3,FALSE),0)</f>
        <v>1.7</v>
      </c>
      <c r="O251">
        <f>IFERROR(VLOOKUP(E251,[1]Parameters!$A$3:$C$5,3,FALSE),0)</f>
        <v>0</v>
      </c>
      <c r="P251">
        <f>IFERROR(VLOOKUP(F251,[1]Parameters!$A$3:$C$5,3,FALSE),0)</f>
        <v>0</v>
      </c>
      <c r="Q251">
        <f t="shared" si="3"/>
        <v>1.7</v>
      </c>
      <c r="R251" s="10">
        <f>IF('[1]Pizza Sales Calculations'!$G251=TRUE, [1]Parameters!$B$17*'[1]Pizza Sales Calculations'!$L251*2, 0)</f>
        <v>5.671388887683861</v>
      </c>
      <c r="S251" t="str">
        <f>IF(I251&lt;[1]Parameters!$B$21,"TRUE","FALSE")</f>
        <v>FALSE</v>
      </c>
      <c r="T251" s="5">
        <f>(I251/[1]Parameters!$B$25)*60</f>
        <v>8.0108878590024801</v>
      </c>
      <c r="U251" s="10">
        <f>IF(AND('[1]Pizza Sales Calculations'!G251=TRUE,'[1]Pizza Sales Calculations'!S251="TRUE"),T251*[1]Parameters!$B$40*2,0)</f>
        <v>0</v>
      </c>
      <c r="V251">
        <f>INDEX([1]Parameters!$A$3:$C$5,MATCH('[1]Pizza Sales Calculations'!D251,[1]Parameters!$A$3:$A$5,0),2)</f>
        <v>10</v>
      </c>
      <c r="W251" t="e">
        <f>INDEX([1]Parameters!$A$3:$C$5,MATCH('[1]Pizza Sales Calculations'!E251,[1]Parameters!$A$3:$A$5,0),2)</f>
        <v>#N/A</v>
      </c>
      <c r="X251" t="e">
        <f>INDEX([1]Parameters!$A$3:$C$5,MATCH('[1]Pizza Sales Calculations'!F251,[1]Parameters!$A$3:$A$5,0),2)</f>
        <v>#N/A</v>
      </c>
    </row>
    <row r="252" spans="1:24" x14ac:dyDescent="0.3">
      <c r="A252">
        <v>251</v>
      </c>
      <c r="B252" s="14">
        <v>42373.429039351853</v>
      </c>
      <c r="C252" s="14">
        <v>42373.439456018517</v>
      </c>
      <c r="D252" t="s">
        <v>3</v>
      </c>
      <c r="E252" t="s">
        <v>4</v>
      </c>
      <c r="G252" t="b">
        <v>1</v>
      </c>
      <c r="H252">
        <v>70803</v>
      </c>
      <c r="I252" s="5">
        <v>1.57701564890838</v>
      </c>
      <c r="J252" s="14">
        <v>42373.444930555554</v>
      </c>
      <c r="K252">
        <v>19.579999999999998</v>
      </c>
      <c r="L252" s="5">
        <f>('[1]Pizza Sales Calculations'!$J252-'[1]Pizza Sales Calculations'!$C252)*24*60</f>
        <v>7.883333332138136</v>
      </c>
      <c r="M252">
        <f>COUNTA('[1]Pizza Sales Calculations'!$D252:$F252)</f>
        <v>2</v>
      </c>
      <c r="N252">
        <f>IFERROR(VLOOKUP(D252,[1]Parameters!$A$3:$C$5,3,FALSE),0)</f>
        <v>1</v>
      </c>
      <c r="O252">
        <f>IFERROR(VLOOKUP(E252,[1]Parameters!$A$3:$C$5,3,FALSE),0)</f>
        <v>1.7</v>
      </c>
      <c r="P252">
        <f>IFERROR(VLOOKUP(F252,[1]Parameters!$A$3:$C$5,3,FALSE),0)</f>
        <v>0</v>
      </c>
      <c r="Q252">
        <f t="shared" si="3"/>
        <v>2.7</v>
      </c>
      <c r="R252" s="10">
        <f>IF('[1]Pizza Sales Calculations'!$G252=TRUE, [1]Parameters!$B$17*'[1]Pizza Sales Calculations'!$L252*2, 0)</f>
        <v>2.2336111107724719</v>
      </c>
      <c r="S252" t="str">
        <f>IF(I252&lt;[1]Parameters!$B$21,"TRUE","FALSE")</f>
        <v>TRUE</v>
      </c>
      <c r="T252" s="5">
        <f>(I252/[1]Parameters!$B$25)*60</f>
        <v>3.1540312978167599</v>
      </c>
      <c r="U252" s="10">
        <f>IF(AND('[1]Pizza Sales Calculations'!G252=TRUE,'[1]Pizza Sales Calculations'!S252="TRUE"),T252*[1]Parameters!$B$40*2,0)</f>
        <v>0.19688292274321922</v>
      </c>
      <c r="V252">
        <f>INDEX([1]Parameters!$A$3:$C$5,MATCH('[1]Pizza Sales Calculations'!D252,[1]Parameters!$A$3:$A$5,0),2)</f>
        <v>7</v>
      </c>
      <c r="W252">
        <f>INDEX([1]Parameters!$A$3:$C$5,MATCH('[1]Pizza Sales Calculations'!E252,[1]Parameters!$A$3:$A$5,0),2)</f>
        <v>10</v>
      </c>
      <c r="X252" t="e">
        <f>INDEX([1]Parameters!$A$3:$C$5,MATCH('[1]Pizza Sales Calculations'!F252,[1]Parameters!$A$3:$A$5,0),2)</f>
        <v>#N/A</v>
      </c>
    </row>
    <row r="253" spans="1:24" x14ac:dyDescent="0.3">
      <c r="A253">
        <v>252</v>
      </c>
      <c r="B253" s="14">
        <v>42373.521863425929</v>
      </c>
      <c r="C253" s="14">
        <v>42373.532280092593</v>
      </c>
      <c r="D253" t="s">
        <v>4</v>
      </c>
      <c r="G253" t="b">
        <v>1</v>
      </c>
      <c r="H253">
        <v>70804</v>
      </c>
      <c r="I253" s="5">
        <v>1.1857148769330901</v>
      </c>
      <c r="J253" s="14">
        <v>42373.53638888889</v>
      </c>
      <c r="K253">
        <v>11.59</v>
      </c>
      <c r="L253" s="5">
        <f>('[1]Pizza Sales Calculations'!$J253-'[1]Pizza Sales Calculations'!$C253)*24*60</f>
        <v>5.9166666667442769</v>
      </c>
      <c r="M253">
        <f>COUNTA('[1]Pizza Sales Calculations'!$D253:$F253)</f>
        <v>1</v>
      </c>
      <c r="N253">
        <f>IFERROR(VLOOKUP(D253,[1]Parameters!$A$3:$C$5,3,FALSE),0)</f>
        <v>1.7</v>
      </c>
      <c r="O253">
        <f>IFERROR(VLOOKUP(E253,[1]Parameters!$A$3:$C$5,3,FALSE),0)</f>
        <v>0</v>
      </c>
      <c r="P253">
        <f>IFERROR(VLOOKUP(F253,[1]Parameters!$A$3:$C$5,3,FALSE),0)</f>
        <v>0</v>
      </c>
      <c r="Q253">
        <f t="shared" si="3"/>
        <v>1.7</v>
      </c>
      <c r="R253" s="10">
        <f>IF('[1]Pizza Sales Calculations'!$G253=TRUE, [1]Parameters!$B$17*'[1]Pizza Sales Calculations'!$L253*2, 0)</f>
        <v>1.6763888889108784</v>
      </c>
      <c r="S253" t="str">
        <f>IF(I253&lt;[1]Parameters!$B$21,"TRUE","FALSE")</f>
        <v>TRUE</v>
      </c>
      <c r="T253" s="5">
        <f>(I253/[1]Parameters!$B$25)*60</f>
        <v>2.3714297538661802</v>
      </c>
      <c r="U253" s="10">
        <f>IF(AND('[1]Pizza Sales Calculations'!G253=TRUE,'[1]Pizza Sales Calculations'!S253="TRUE"),T253*[1]Parameters!$B$40*2,0)</f>
        <v>0.14803087760879022</v>
      </c>
      <c r="V253">
        <f>INDEX([1]Parameters!$A$3:$C$5,MATCH('[1]Pizza Sales Calculations'!D253,[1]Parameters!$A$3:$A$5,0),2)</f>
        <v>10</v>
      </c>
      <c r="W253" t="e">
        <f>INDEX([1]Parameters!$A$3:$C$5,MATCH('[1]Pizza Sales Calculations'!E253,[1]Parameters!$A$3:$A$5,0),2)</f>
        <v>#N/A</v>
      </c>
      <c r="X253" t="e">
        <f>INDEX([1]Parameters!$A$3:$C$5,MATCH('[1]Pizza Sales Calculations'!F253,[1]Parameters!$A$3:$A$5,0),2)</f>
        <v>#N/A</v>
      </c>
    </row>
    <row r="254" spans="1:24" x14ac:dyDescent="0.3">
      <c r="A254">
        <v>253</v>
      </c>
      <c r="B254" s="14">
        <v>42373.607881944445</v>
      </c>
      <c r="C254" s="14">
        <v>42373.618263888886</v>
      </c>
      <c r="D254" t="s">
        <v>5</v>
      </c>
      <c r="G254" t="b">
        <v>1</v>
      </c>
      <c r="H254">
        <v>70804</v>
      </c>
      <c r="I254" s="5">
        <v>1.4414734781999901</v>
      </c>
      <c r="J254" s="14">
        <v>42373.623263888891</v>
      </c>
      <c r="K254">
        <v>15.35</v>
      </c>
      <c r="L254" s="5">
        <f>('[1]Pizza Sales Calculations'!$J254-'[1]Pizza Sales Calculations'!$C254)*24*60</f>
        <v>7.2000000067055225</v>
      </c>
      <c r="M254">
        <f>COUNTA('[1]Pizza Sales Calculations'!$D254:$F254)</f>
        <v>1</v>
      </c>
      <c r="N254">
        <f>IFERROR(VLOOKUP(D254,[1]Parameters!$A$3:$C$5,3,FALSE),0)</f>
        <v>2.2999999999999998</v>
      </c>
      <c r="O254">
        <f>IFERROR(VLOOKUP(E254,[1]Parameters!$A$3:$C$5,3,FALSE),0)</f>
        <v>0</v>
      </c>
      <c r="P254">
        <f>IFERROR(VLOOKUP(F254,[1]Parameters!$A$3:$C$5,3,FALSE),0)</f>
        <v>0</v>
      </c>
      <c r="Q254">
        <f t="shared" si="3"/>
        <v>2.2999999999999998</v>
      </c>
      <c r="R254" s="10">
        <f>IF('[1]Pizza Sales Calculations'!$G254=TRUE, [1]Parameters!$B$17*'[1]Pizza Sales Calculations'!$L254*2, 0)</f>
        <v>2.0400000018998981</v>
      </c>
      <c r="S254" t="str">
        <f>IF(I254&lt;[1]Parameters!$B$21,"TRUE","FALSE")</f>
        <v>TRUE</v>
      </c>
      <c r="T254" s="5">
        <f>(I254/[1]Parameters!$B$25)*60</f>
        <v>2.8829469563999801</v>
      </c>
      <c r="U254" s="10">
        <f>IF(AND('[1]Pizza Sales Calculations'!G254=TRUE,'[1]Pizza Sales Calculations'!S254="TRUE"),T254*[1]Parameters!$B$40*2,0)</f>
        <v>0.17996112571317685</v>
      </c>
      <c r="V254">
        <f>INDEX([1]Parameters!$A$3:$C$5,MATCH('[1]Pizza Sales Calculations'!D254,[1]Parameters!$A$3:$A$5,0),2)</f>
        <v>14</v>
      </c>
      <c r="W254" t="e">
        <f>INDEX([1]Parameters!$A$3:$C$5,MATCH('[1]Pizza Sales Calculations'!E254,[1]Parameters!$A$3:$A$5,0),2)</f>
        <v>#N/A</v>
      </c>
      <c r="X254" t="e">
        <f>INDEX([1]Parameters!$A$3:$C$5,MATCH('[1]Pizza Sales Calculations'!F254,[1]Parameters!$A$3:$A$5,0),2)</f>
        <v>#N/A</v>
      </c>
    </row>
    <row r="255" spans="1:24" x14ac:dyDescent="0.3">
      <c r="A255">
        <v>254</v>
      </c>
      <c r="B255" s="14">
        <v>42373.527488425927</v>
      </c>
      <c r="C255" s="14">
        <v>42373.537893518522</v>
      </c>
      <c r="D255" t="s">
        <v>3</v>
      </c>
      <c r="E255" t="s">
        <v>5</v>
      </c>
      <c r="G255" t="b">
        <v>0</v>
      </c>
      <c r="H255">
        <v>70805</v>
      </c>
      <c r="I255" s="5">
        <v>0</v>
      </c>
      <c r="J255" s="14">
        <v>42373.539965277778</v>
      </c>
      <c r="K255">
        <v>23.34</v>
      </c>
      <c r="L255" s="5">
        <f>('[1]Pizza Sales Calculations'!$J255-'[1]Pizza Sales Calculations'!$C255)*24*60</f>
        <v>2.9833333287388086</v>
      </c>
      <c r="M255">
        <f>COUNTA('[1]Pizza Sales Calculations'!$D255:$F255)</f>
        <v>2</v>
      </c>
      <c r="N255">
        <f>IFERROR(VLOOKUP(D255,[1]Parameters!$A$3:$C$5,3,FALSE),0)</f>
        <v>1</v>
      </c>
      <c r="O255">
        <f>IFERROR(VLOOKUP(E255,[1]Parameters!$A$3:$C$5,3,FALSE),0)</f>
        <v>2.2999999999999998</v>
      </c>
      <c r="P255">
        <f>IFERROR(VLOOKUP(F255,[1]Parameters!$A$3:$C$5,3,FALSE),0)</f>
        <v>0</v>
      </c>
      <c r="Q255">
        <f t="shared" si="3"/>
        <v>3.3</v>
      </c>
      <c r="R255" s="10">
        <f>IF('[1]Pizza Sales Calculations'!$G255=TRUE, [1]Parameters!$B$17*'[1]Pizza Sales Calculations'!$L255*2, 0)</f>
        <v>0</v>
      </c>
      <c r="S255" t="str">
        <f>IF(I255&lt;[1]Parameters!$B$21,"TRUE","FALSE")</f>
        <v>TRUE</v>
      </c>
      <c r="T255" s="5">
        <f>(I255/[1]Parameters!$B$25)*60</f>
        <v>0</v>
      </c>
      <c r="U255" s="10">
        <f>IF(AND('[1]Pizza Sales Calculations'!G255=TRUE,'[1]Pizza Sales Calculations'!S255="TRUE"),T255*[1]Parameters!$B$40*2,0)</f>
        <v>0</v>
      </c>
      <c r="V255">
        <f>INDEX([1]Parameters!$A$3:$C$5,MATCH('[1]Pizza Sales Calculations'!D255,[1]Parameters!$A$3:$A$5,0),2)</f>
        <v>7</v>
      </c>
      <c r="W255">
        <f>INDEX([1]Parameters!$A$3:$C$5,MATCH('[1]Pizza Sales Calculations'!E255,[1]Parameters!$A$3:$A$5,0),2)</f>
        <v>14</v>
      </c>
      <c r="X255" t="e">
        <f>INDEX([1]Parameters!$A$3:$C$5,MATCH('[1]Pizza Sales Calculations'!F255,[1]Parameters!$A$3:$A$5,0),2)</f>
        <v>#N/A</v>
      </c>
    </row>
    <row r="256" spans="1:24" x14ac:dyDescent="0.3">
      <c r="A256">
        <v>255</v>
      </c>
      <c r="B256" s="14">
        <v>42373.5078125</v>
      </c>
      <c r="C256" s="14">
        <v>42373.518229166664</v>
      </c>
      <c r="D256" t="s">
        <v>3</v>
      </c>
      <c r="G256" t="b">
        <v>1</v>
      </c>
      <c r="H256">
        <v>70805</v>
      </c>
      <c r="I256" s="5">
        <v>4.1961033188224501</v>
      </c>
      <c r="J256" s="14">
        <v>42373.532789351855</v>
      </c>
      <c r="K256">
        <v>7.99</v>
      </c>
      <c r="L256" s="5">
        <f>('[1]Pizza Sales Calculations'!$J256-'[1]Pizza Sales Calculations'!$C256)*24*60</f>
        <v>20.966666674939916</v>
      </c>
      <c r="M256">
        <f>COUNTA('[1]Pizza Sales Calculations'!$D256:$F256)</f>
        <v>1</v>
      </c>
      <c r="N256">
        <f>IFERROR(VLOOKUP(D256,[1]Parameters!$A$3:$C$5,3,FALSE),0)</f>
        <v>1</v>
      </c>
      <c r="O256">
        <f>IFERROR(VLOOKUP(E256,[1]Parameters!$A$3:$C$5,3,FALSE),0)</f>
        <v>0</v>
      </c>
      <c r="P256">
        <f>IFERROR(VLOOKUP(F256,[1]Parameters!$A$3:$C$5,3,FALSE),0)</f>
        <v>0</v>
      </c>
      <c r="Q256">
        <f t="shared" si="3"/>
        <v>1</v>
      </c>
      <c r="R256" s="10">
        <f>IF('[1]Pizza Sales Calculations'!$G256=TRUE, [1]Parameters!$B$17*'[1]Pizza Sales Calculations'!$L256*2, 0)</f>
        <v>5.9405555578996427</v>
      </c>
      <c r="S256" t="str">
        <f>IF(I256&lt;[1]Parameters!$B$21,"TRUE","FALSE")</f>
        <v>FALSE</v>
      </c>
      <c r="T256" s="5">
        <f>(I256/[1]Parameters!$B$25)*60</f>
        <v>8.3922066376449003</v>
      </c>
      <c r="U256" s="10">
        <f>IF(AND('[1]Pizza Sales Calculations'!G256=TRUE,'[1]Pizza Sales Calculations'!S256="TRUE"),T256*[1]Parameters!$B$40*2,0)</f>
        <v>0</v>
      </c>
      <c r="V256">
        <f>INDEX([1]Parameters!$A$3:$C$5,MATCH('[1]Pizza Sales Calculations'!D256,[1]Parameters!$A$3:$A$5,0),2)</f>
        <v>7</v>
      </c>
      <c r="W256" t="e">
        <f>INDEX([1]Parameters!$A$3:$C$5,MATCH('[1]Pizza Sales Calculations'!E256,[1]Parameters!$A$3:$A$5,0),2)</f>
        <v>#N/A</v>
      </c>
      <c r="X256" t="e">
        <f>INDEX([1]Parameters!$A$3:$C$5,MATCH('[1]Pizza Sales Calculations'!F256,[1]Parameters!$A$3:$A$5,0),2)</f>
        <v>#N/A</v>
      </c>
    </row>
    <row r="257" spans="1:24" x14ac:dyDescent="0.3">
      <c r="A257">
        <v>256</v>
      </c>
      <c r="B257" s="14">
        <v>42373.468692129631</v>
      </c>
      <c r="C257" s="14">
        <v>42373.479120370372</v>
      </c>
      <c r="D257" t="s">
        <v>4</v>
      </c>
      <c r="E257" t="s">
        <v>5</v>
      </c>
      <c r="G257" t="b">
        <v>0</v>
      </c>
      <c r="H257">
        <v>70805</v>
      </c>
      <c r="I257" s="5">
        <v>0</v>
      </c>
      <c r="J257" s="14">
        <v>42373.481192129628</v>
      </c>
      <c r="K257">
        <v>25.94</v>
      </c>
      <c r="L257" s="5">
        <f>('[1]Pizza Sales Calculations'!$J257-'[1]Pizza Sales Calculations'!$C257)*24*60</f>
        <v>2.9833333287388086</v>
      </c>
      <c r="M257">
        <f>COUNTA('[1]Pizza Sales Calculations'!$D257:$F257)</f>
        <v>2</v>
      </c>
      <c r="N257">
        <f>IFERROR(VLOOKUP(D257,[1]Parameters!$A$3:$C$5,3,FALSE),0)</f>
        <v>1.7</v>
      </c>
      <c r="O257">
        <f>IFERROR(VLOOKUP(E257,[1]Parameters!$A$3:$C$5,3,FALSE),0)</f>
        <v>2.2999999999999998</v>
      </c>
      <c r="P257">
        <f>IFERROR(VLOOKUP(F257,[1]Parameters!$A$3:$C$5,3,FALSE),0)</f>
        <v>0</v>
      </c>
      <c r="Q257">
        <f t="shared" si="3"/>
        <v>4</v>
      </c>
      <c r="R257" s="10">
        <f>IF('[1]Pizza Sales Calculations'!$G257=TRUE, [1]Parameters!$B$17*'[1]Pizza Sales Calculations'!$L257*2, 0)</f>
        <v>0</v>
      </c>
      <c r="S257" t="str">
        <f>IF(I257&lt;[1]Parameters!$B$21,"TRUE","FALSE")</f>
        <v>TRUE</v>
      </c>
      <c r="T257" s="5">
        <f>(I257/[1]Parameters!$B$25)*60</f>
        <v>0</v>
      </c>
      <c r="U257" s="10">
        <f>IF(AND('[1]Pizza Sales Calculations'!G257=TRUE,'[1]Pizza Sales Calculations'!S257="TRUE"),T257*[1]Parameters!$B$40*2,0)</f>
        <v>0</v>
      </c>
      <c r="V257">
        <f>INDEX([1]Parameters!$A$3:$C$5,MATCH('[1]Pizza Sales Calculations'!D257,[1]Parameters!$A$3:$A$5,0),2)</f>
        <v>10</v>
      </c>
      <c r="W257">
        <f>INDEX([1]Parameters!$A$3:$C$5,MATCH('[1]Pizza Sales Calculations'!E257,[1]Parameters!$A$3:$A$5,0),2)</f>
        <v>14</v>
      </c>
      <c r="X257" t="e">
        <f>INDEX([1]Parameters!$A$3:$C$5,MATCH('[1]Pizza Sales Calculations'!F257,[1]Parameters!$A$3:$A$5,0),2)</f>
        <v>#N/A</v>
      </c>
    </row>
    <row r="258" spans="1:24" x14ac:dyDescent="0.3">
      <c r="A258">
        <v>257</v>
      </c>
      <c r="B258" s="14">
        <v>42373.511608796296</v>
      </c>
      <c r="C258" s="14">
        <v>42373.522037037037</v>
      </c>
      <c r="D258" t="s">
        <v>3</v>
      </c>
      <c r="G258" t="b">
        <v>1</v>
      </c>
      <c r="H258">
        <v>70806</v>
      </c>
      <c r="I258" s="5">
        <v>3.9032992928504799</v>
      </c>
      <c r="J258" s="14">
        <v>42373.535578703704</v>
      </c>
      <c r="K258">
        <v>7.99</v>
      </c>
      <c r="L258" s="5">
        <f>('[1]Pizza Sales Calculations'!$J258-'[1]Pizza Sales Calculations'!$C258)*24*60</f>
        <v>19.500000000698492</v>
      </c>
      <c r="M258">
        <f>COUNTA('[1]Pizza Sales Calculations'!$D258:$F258)</f>
        <v>1</v>
      </c>
      <c r="N258">
        <f>IFERROR(VLOOKUP(D258,[1]Parameters!$A$3:$C$5,3,FALSE),0)</f>
        <v>1</v>
      </c>
      <c r="O258">
        <f>IFERROR(VLOOKUP(E258,[1]Parameters!$A$3:$C$5,3,FALSE),0)</f>
        <v>0</v>
      </c>
      <c r="P258">
        <f>IFERROR(VLOOKUP(F258,[1]Parameters!$A$3:$C$5,3,FALSE),0)</f>
        <v>0</v>
      </c>
      <c r="Q258">
        <f t="shared" si="3"/>
        <v>1</v>
      </c>
      <c r="R258" s="10">
        <f>IF('[1]Pizza Sales Calculations'!$G258=TRUE, [1]Parameters!$B$17*'[1]Pizza Sales Calculations'!$L258*2, 0)</f>
        <v>5.525000000197906</v>
      </c>
      <c r="S258" t="str">
        <f>IF(I258&lt;[1]Parameters!$B$21,"TRUE","FALSE")</f>
        <v>FALSE</v>
      </c>
      <c r="T258" s="5">
        <f>(I258/[1]Parameters!$B$25)*60</f>
        <v>7.8065985857009608</v>
      </c>
      <c r="U258" s="10">
        <f>IF(AND('[1]Pizza Sales Calculations'!G258=TRUE,'[1]Pizza Sales Calculations'!S258="TRUE"),T258*[1]Parameters!$B$40*2,0)</f>
        <v>0</v>
      </c>
      <c r="V258">
        <f>INDEX([1]Parameters!$A$3:$C$5,MATCH('[1]Pizza Sales Calculations'!D258,[1]Parameters!$A$3:$A$5,0),2)</f>
        <v>7</v>
      </c>
      <c r="W258" t="e">
        <f>INDEX([1]Parameters!$A$3:$C$5,MATCH('[1]Pizza Sales Calculations'!E258,[1]Parameters!$A$3:$A$5,0),2)</f>
        <v>#N/A</v>
      </c>
      <c r="X258" t="e">
        <f>INDEX([1]Parameters!$A$3:$C$5,MATCH('[1]Pizza Sales Calculations'!F258,[1]Parameters!$A$3:$A$5,0),2)</f>
        <v>#N/A</v>
      </c>
    </row>
    <row r="259" spans="1:24" x14ac:dyDescent="0.3">
      <c r="A259">
        <v>258</v>
      </c>
      <c r="B259" s="14">
        <v>42373.514398148145</v>
      </c>
      <c r="C259" s="14">
        <v>42373.524814814817</v>
      </c>
      <c r="D259" t="s">
        <v>3</v>
      </c>
      <c r="G259" t="b">
        <v>0</v>
      </c>
      <c r="H259">
        <v>70805</v>
      </c>
      <c r="I259" s="5">
        <v>0</v>
      </c>
      <c r="J259" s="14">
        <v>42373.526886574073</v>
      </c>
      <c r="K259">
        <v>7.99</v>
      </c>
      <c r="L259" s="5">
        <f>('[1]Pizza Sales Calculations'!$J259-'[1]Pizza Sales Calculations'!$C259)*24*60</f>
        <v>2.9833333287388086</v>
      </c>
      <c r="M259">
        <f>COUNTA('[1]Pizza Sales Calculations'!$D259:$F259)</f>
        <v>1</v>
      </c>
      <c r="N259">
        <f>IFERROR(VLOOKUP(D259,[1]Parameters!$A$3:$C$5,3,FALSE),0)</f>
        <v>1</v>
      </c>
      <c r="O259">
        <f>IFERROR(VLOOKUP(E259,[1]Parameters!$A$3:$C$5,3,FALSE),0)</f>
        <v>0</v>
      </c>
      <c r="P259">
        <f>IFERROR(VLOOKUP(F259,[1]Parameters!$A$3:$C$5,3,FALSE),0)</f>
        <v>0</v>
      </c>
      <c r="Q259">
        <f t="shared" ref="Q259:Q322" si="4">SUM(N259:P259)</f>
        <v>1</v>
      </c>
      <c r="R259" s="10">
        <f>IF('[1]Pizza Sales Calculations'!$G259=TRUE, [1]Parameters!$B$17*'[1]Pizza Sales Calculations'!$L259*2, 0)</f>
        <v>0</v>
      </c>
      <c r="S259" t="str">
        <f>IF(I259&lt;[1]Parameters!$B$21,"TRUE","FALSE")</f>
        <v>TRUE</v>
      </c>
      <c r="T259" s="5">
        <f>(I259/[1]Parameters!$B$25)*60</f>
        <v>0</v>
      </c>
      <c r="U259" s="10">
        <f>IF(AND('[1]Pizza Sales Calculations'!G259=TRUE,'[1]Pizza Sales Calculations'!S259="TRUE"),T259*[1]Parameters!$B$40*2,0)</f>
        <v>0</v>
      </c>
      <c r="V259">
        <f>INDEX([1]Parameters!$A$3:$C$5,MATCH('[1]Pizza Sales Calculations'!D259,[1]Parameters!$A$3:$A$5,0),2)</f>
        <v>7</v>
      </c>
      <c r="W259" t="e">
        <f>INDEX([1]Parameters!$A$3:$C$5,MATCH('[1]Pizza Sales Calculations'!E259,[1]Parameters!$A$3:$A$5,0),2)</f>
        <v>#N/A</v>
      </c>
      <c r="X259" t="e">
        <f>INDEX([1]Parameters!$A$3:$C$5,MATCH('[1]Pizza Sales Calculations'!F259,[1]Parameters!$A$3:$A$5,0),2)</f>
        <v>#N/A</v>
      </c>
    </row>
    <row r="260" spans="1:24" x14ac:dyDescent="0.3">
      <c r="A260">
        <v>259</v>
      </c>
      <c r="B260" s="14">
        <v>42373.478703703702</v>
      </c>
      <c r="C260" s="14">
        <v>42373.489108796297</v>
      </c>
      <c r="D260" t="s">
        <v>3</v>
      </c>
      <c r="G260" t="b">
        <v>1</v>
      </c>
      <c r="H260">
        <v>70804</v>
      </c>
      <c r="I260" s="5">
        <v>5.5514450337441499</v>
      </c>
      <c r="J260" s="14">
        <v>42373.508379629631</v>
      </c>
      <c r="K260">
        <v>7.99</v>
      </c>
      <c r="L260" s="5">
        <f>('[1]Pizza Sales Calculations'!$J260-'[1]Pizza Sales Calculations'!$C260)*24*60</f>
        <v>27.750000001396984</v>
      </c>
      <c r="M260">
        <f>COUNTA('[1]Pizza Sales Calculations'!$D260:$F260)</f>
        <v>1</v>
      </c>
      <c r="N260">
        <f>IFERROR(VLOOKUP(D260,[1]Parameters!$A$3:$C$5,3,FALSE),0)</f>
        <v>1</v>
      </c>
      <c r="O260">
        <f>IFERROR(VLOOKUP(E260,[1]Parameters!$A$3:$C$5,3,FALSE),0)</f>
        <v>0</v>
      </c>
      <c r="P260">
        <f>IFERROR(VLOOKUP(F260,[1]Parameters!$A$3:$C$5,3,FALSE),0)</f>
        <v>0</v>
      </c>
      <c r="Q260">
        <f t="shared" si="4"/>
        <v>1</v>
      </c>
      <c r="R260" s="10">
        <f>IF('[1]Pizza Sales Calculations'!$G260=TRUE, [1]Parameters!$B$17*'[1]Pizza Sales Calculations'!$L260*2, 0)</f>
        <v>7.8625000003958121</v>
      </c>
      <c r="S260" t="str">
        <f>IF(I260&lt;[1]Parameters!$B$21,"TRUE","FALSE")</f>
        <v>FALSE</v>
      </c>
      <c r="T260" s="5">
        <f>(I260/[1]Parameters!$B$25)*60</f>
        <v>11.1028900674883</v>
      </c>
      <c r="U260" s="10">
        <f>IF(AND('[1]Pizza Sales Calculations'!G260=TRUE,'[1]Pizza Sales Calculations'!S260="TRUE"),T260*[1]Parameters!$B$40*2,0)</f>
        <v>0</v>
      </c>
      <c r="V260">
        <f>INDEX([1]Parameters!$A$3:$C$5,MATCH('[1]Pizza Sales Calculations'!D260,[1]Parameters!$A$3:$A$5,0),2)</f>
        <v>7</v>
      </c>
      <c r="W260" t="e">
        <f>INDEX([1]Parameters!$A$3:$C$5,MATCH('[1]Pizza Sales Calculations'!E260,[1]Parameters!$A$3:$A$5,0),2)</f>
        <v>#N/A</v>
      </c>
      <c r="X260" t="e">
        <f>INDEX([1]Parameters!$A$3:$C$5,MATCH('[1]Pizza Sales Calculations'!F260,[1]Parameters!$A$3:$A$5,0),2)</f>
        <v>#N/A</v>
      </c>
    </row>
    <row r="261" spans="1:24" x14ac:dyDescent="0.3">
      <c r="A261">
        <v>260</v>
      </c>
      <c r="B261" s="14">
        <v>42373.456886574073</v>
      </c>
      <c r="C261" s="14">
        <v>42373.467291666668</v>
      </c>
      <c r="D261" t="s">
        <v>4</v>
      </c>
      <c r="G261" t="b">
        <v>0</v>
      </c>
      <c r="H261">
        <v>70806</v>
      </c>
      <c r="I261" s="5">
        <v>0</v>
      </c>
      <c r="J261" s="14">
        <v>42373.469363425924</v>
      </c>
      <c r="K261">
        <v>11.59</v>
      </c>
      <c r="L261" s="5">
        <f>('[1]Pizza Sales Calculations'!$J261-'[1]Pizza Sales Calculations'!$C261)*24*60</f>
        <v>2.9833333287388086</v>
      </c>
      <c r="M261">
        <f>COUNTA('[1]Pizza Sales Calculations'!$D261:$F261)</f>
        <v>1</v>
      </c>
      <c r="N261">
        <f>IFERROR(VLOOKUP(D261,[1]Parameters!$A$3:$C$5,3,FALSE),0)</f>
        <v>1.7</v>
      </c>
      <c r="O261">
        <f>IFERROR(VLOOKUP(E261,[1]Parameters!$A$3:$C$5,3,FALSE),0)</f>
        <v>0</v>
      </c>
      <c r="P261">
        <f>IFERROR(VLOOKUP(F261,[1]Parameters!$A$3:$C$5,3,FALSE),0)</f>
        <v>0</v>
      </c>
      <c r="Q261">
        <f t="shared" si="4"/>
        <v>1.7</v>
      </c>
      <c r="R261" s="10">
        <f>IF('[1]Pizza Sales Calculations'!$G261=TRUE, [1]Parameters!$B$17*'[1]Pizza Sales Calculations'!$L261*2, 0)</f>
        <v>0</v>
      </c>
      <c r="S261" t="str">
        <f>IF(I261&lt;[1]Parameters!$B$21,"TRUE","FALSE")</f>
        <v>TRUE</v>
      </c>
      <c r="T261" s="5">
        <f>(I261/[1]Parameters!$B$25)*60</f>
        <v>0</v>
      </c>
      <c r="U261" s="10">
        <f>IF(AND('[1]Pizza Sales Calculations'!G261=TRUE,'[1]Pizza Sales Calculations'!S261="TRUE"),T261*[1]Parameters!$B$40*2,0)</f>
        <v>0</v>
      </c>
      <c r="V261">
        <f>INDEX([1]Parameters!$A$3:$C$5,MATCH('[1]Pizza Sales Calculations'!D261,[1]Parameters!$A$3:$A$5,0),2)</f>
        <v>10</v>
      </c>
      <c r="W261" t="e">
        <f>INDEX([1]Parameters!$A$3:$C$5,MATCH('[1]Pizza Sales Calculations'!E261,[1]Parameters!$A$3:$A$5,0),2)</f>
        <v>#N/A</v>
      </c>
      <c r="X261" t="e">
        <f>INDEX([1]Parameters!$A$3:$C$5,MATCH('[1]Pizza Sales Calculations'!F261,[1]Parameters!$A$3:$A$5,0),2)</f>
        <v>#N/A</v>
      </c>
    </row>
    <row r="262" spans="1:24" x14ac:dyDescent="0.3">
      <c r="A262">
        <v>261</v>
      </c>
      <c r="B262" s="14">
        <v>42373.520358796297</v>
      </c>
      <c r="C262" s="14">
        <v>42373.530763888892</v>
      </c>
      <c r="D262" t="s">
        <v>4</v>
      </c>
      <c r="G262" t="b">
        <v>0</v>
      </c>
      <c r="H262">
        <v>70805</v>
      </c>
      <c r="I262" s="5">
        <v>0</v>
      </c>
      <c r="J262" s="14">
        <v>42373.532835648148</v>
      </c>
      <c r="K262">
        <v>11.59</v>
      </c>
      <c r="L262" s="5">
        <f>('[1]Pizza Sales Calculations'!$J262-'[1]Pizza Sales Calculations'!$C262)*24*60</f>
        <v>2.9833333287388086</v>
      </c>
      <c r="M262">
        <f>COUNTA('[1]Pizza Sales Calculations'!$D262:$F262)</f>
        <v>1</v>
      </c>
      <c r="N262">
        <f>IFERROR(VLOOKUP(D262,[1]Parameters!$A$3:$C$5,3,FALSE),0)</f>
        <v>1.7</v>
      </c>
      <c r="O262">
        <f>IFERROR(VLOOKUP(E262,[1]Parameters!$A$3:$C$5,3,FALSE),0)</f>
        <v>0</v>
      </c>
      <c r="P262">
        <f>IFERROR(VLOOKUP(F262,[1]Parameters!$A$3:$C$5,3,FALSE),0)</f>
        <v>0</v>
      </c>
      <c r="Q262">
        <f t="shared" si="4"/>
        <v>1.7</v>
      </c>
      <c r="R262" s="10">
        <f>IF('[1]Pizza Sales Calculations'!$G262=TRUE, [1]Parameters!$B$17*'[1]Pizza Sales Calculations'!$L262*2, 0)</f>
        <v>0</v>
      </c>
      <c r="S262" t="str">
        <f>IF(I262&lt;[1]Parameters!$B$21,"TRUE","FALSE")</f>
        <v>TRUE</v>
      </c>
      <c r="T262" s="5">
        <f>(I262/[1]Parameters!$B$25)*60</f>
        <v>0</v>
      </c>
      <c r="U262" s="10">
        <f>IF(AND('[1]Pizza Sales Calculations'!G262=TRUE,'[1]Pizza Sales Calculations'!S262="TRUE"),T262*[1]Parameters!$B$40*2,0)</f>
        <v>0</v>
      </c>
      <c r="V262">
        <f>INDEX([1]Parameters!$A$3:$C$5,MATCH('[1]Pizza Sales Calculations'!D262,[1]Parameters!$A$3:$A$5,0),2)</f>
        <v>10</v>
      </c>
      <c r="W262" t="e">
        <f>INDEX([1]Parameters!$A$3:$C$5,MATCH('[1]Pizza Sales Calculations'!E262,[1]Parameters!$A$3:$A$5,0),2)</f>
        <v>#N/A</v>
      </c>
      <c r="X262" t="e">
        <f>INDEX([1]Parameters!$A$3:$C$5,MATCH('[1]Pizza Sales Calculations'!F262,[1]Parameters!$A$3:$A$5,0),2)</f>
        <v>#N/A</v>
      </c>
    </row>
    <row r="263" spans="1:24" x14ac:dyDescent="0.3">
      <c r="A263">
        <v>262</v>
      </c>
      <c r="B263" s="14">
        <v>42373.456770833334</v>
      </c>
      <c r="C263" s="14">
        <v>42373.467187499999</v>
      </c>
      <c r="D263" t="s">
        <v>4</v>
      </c>
      <c r="G263" t="b">
        <v>1</v>
      </c>
      <c r="H263">
        <v>70805</v>
      </c>
      <c r="I263" s="5">
        <v>4.0389139529498097</v>
      </c>
      <c r="J263" s="14">
        <v>42373.481203703705</v>
      </c>
      <c r="K263">
        <v>11.59</v>
      </c>
      <c r="L263" s="5">
        <f>('[1]Pizza Sales Calculations'!$J263-'[1]Pizza Sales Calculations'!$C263)*24*60</f>
        <v>20.183333336608484</v>
      </c>
      <c r="M263">
        <f>COUNTA('[1]Pizza Sales Calculations'!$D263:$F263)</f>
        <v>1</v>
      </c>
      <c r="N263">
        <f>IFERROR(VLOOKUP(D263,[1]Parameters!$A$3:$C$5,3,FALSE),0)</f>
        <v>1.7</v>
      </c>
      <c r="O263">
        <f>IFERROR(VLOOKUP(E263,[1]Parameters!$A$3:$C$5,3,FALSE),0)</f>
        <v>0</v>
      </c>
      <c r="P263">
        <f>IFERROR(VLOOKUP(F263,[1]Parameters!$A$3:$C$5,3,FALSE),0)</f>
        <v>0</v>
      </c>
      <c r="Q263">
        <f t="shared" si="4"/>
        <v>1.7</v>
      </c>
      <c r="R263" s="10">
        <f>IF('[1]Pizza Sales Calculations'!$G263=TRUE, [1]Parameters!$B$17*'[1]Pizza Sales Calculations'!$L263*2, 0)</f>
        <v>5.7186111120390706</v>
      </c>
      <c r="S263" t="str">
        <f>IF(I263&lt;[1]Parameters!$B$21,"TRUE","FALSE")</f>
        <v>FALSE</v>
      </c>
      <c r="T263" s="5">
        <f>(I263/[1]Parameters!$B$25)*60</f>
        <v>8.0778279058996194</v>
      </c>
      <c r="U263" s="10">
        <f>IF(AND('[1]Pizza Sales Calculations'!G263=TRUE,'[1]Pizza Sales Calculations'!S263="TRUE"),T263*[1]Parameters!$B$40*2,0)</f>
        <v>0</v>
      </c>
      <c r="V263">
        <f>INDEX([1]Parameters!$A$3:$C$5,MATCH('[1]Pizza Sales Calculations'!D263,[1]Parameters!$A$3:$A$5,0),2)</f>
        <v>10</v>
      </c>
      <c r="W263" t="e">
        <f>INDEX([1]Parameters!$A$3:$C$5,MATCH('[1]Pizza Sales Calculations'!E263,[1]Parameters!$A$3:$A$5,0),2)</f>
        <v>#N/A</v>
      </c>
      <c r="X263" t="e">
        <f>INDEX([1]Parameters!$A$3:$C$5,MATCH('[1]Pizza Sales Calculations'!F263,[1]Parameters!$A$3:$A$5,0),2)</f>
        <v>#N/A</v>
      </c>
    </row>
    <row r="264" spans="1:24" x14ac:dyDescent="0.3">
      <c r="A264">
        <v>263</v>
      </c>
      <c r="B264" s="14">
        <v>42373.44908564815</v>
      </c>
      <c r="C264" s="14">
        <v>42373.459490740737</v>
      </c>
      <c r="D264" t="s">
        <v>3</v>
      </c>
      <c r="G264" t="b">
        <v>1</v>
      </c>
      <c r="H264">
        <v>70804</v>
      </c>
      <c r="I264" s="5">
        <v>2.57066667973961</v>
      </c>
      <c r="J264" s="14">
        <v>42373.468414351853</v>
      </c>
      <c r="K264">
        <v>7.99</v>
      </c>
      <c r="L264" s="5">
        <f>('[1]Pizza Sales Calculations'!$J264-'[1]Pizza Sales Calculations'!$C264)*24*60</f>
        <v>12.850000007310882</v>
      </c>
      <c r="M264">
        <f>COUNTA('[1]Pizza Sales Calculations'!$D264:$F264)</f>
        <v>1</v>
      </c>
      <c r="N264">
        <f>IFERROR(VLOOKUP(D264,[1]Parameters!$A$3:$C$5,3,FALSE),0)</f>
        <v>1</v>
      </c>
      <c r="O264">
        <f>IFERROR(VLOOKUP(E264,[1]Parameters!$A$3:$C$5,3,FALSE),0)</f>
        <v>0</v>
      </c>
      <c r="P264">
        <f>IFERROR(VLOOKUP(F264,[1]Parameters!$A$3:$C$5,3,FALSE),0)</f>
        <v>0</v>
      </c>
      <c r="Q264">
        <f t="shared" si="4"/>
        <v>1</v>
      </c>
      <c r="R264" s="10">
        <f>IF('[1]Pizza Sales Calculations'!$G264=TRUE, [1]Parameters!$B$17*'[1]Pizza Sales Calculations'!$L264*2, 0)</f>
        <v>3.64083333540475</v>
      </c>
      <c r="S264" t="str">
        <f>IF(I264&lt;[1]Parameters!$B$21,"TRUE","FALSE")</f>
        <v>TRUE</v>
      </c>
      <c r="T264" s="5">
        <f>(I264/[1]Parameters!$B$25)*60</f>
        <v>5.1413333594792201</v>
      </c>
      <c r="U264" s="10">
        <f>IF(AND('[1]Pizza Sales Calculations'!G264=TRUE,'[1]Pizza Sales Calculations'!S264="TRUE"),T264*[1]Parameters!$B$40*2,0)</f>
        <v>0.32093554027576149</v>
      </c>
      <c r="V264">
        <f>INDEX([1]Parameters!$A$3:$C$5,MATCH('[1]Pizza Sales Calculations'!D264,[1]Parameters!$A$3:$A$5,0),2)</f>
        <v>7</v>
      </c>
      <c r="W264" t="e">
        <f>INDEX([1]Parameters!$A$3:$C$5,MATCH('[1]Pizza Sales Calculations'!E264,[1]Parameters!$A$3:$A$5,0),2)</f>
        <v>#N/A</v>
      </c>
      <c r="X264" t="e">
        <f>INDEX([1]Parameters!$A$3:$C$5,MATCH('[1]Pizza Sales Calculations'!F264,[1]Parameters!$A$3:$A$5,0),2)</f>
        <v>#N/A</v>
      </c>
    </row>
    <row r="265" spans="1:24" x14ac:dyDescent="0.3">
      <c r="A265">
        <v>264</v>
      </c>
      <c r="B265" s="14">
        <v>42373.527557870373</v>
      </c>
      <c r="C265" s="14">
        <v>42373.537974537037</v>
      </c>
      <c r="D265" t="s">
        <v>3</v>
      </c>
      <c r="E265" t="s">
        <v>4</v>
      </c>
      <c r="G265" t="b">
        <v>0</v>
      </c>
      <c r="H265">
        <v>70807</v>
      </c>
      <c r="I265" s="5">
        <v>0</v>
      </c>
      <c r="J265" s="14">
        <v>42373.540069444447</v>
      </c>
      <c r="K265">
        <v>19.579999999999998</v>
      </c>
      <c r="L265" s="5">
        <f>('[1]Pizza Sales Calculations'!$J265-'[1]Pizza Sales Calculations'!$C265)*24*60</f>
        <v>3.0166666698642075</v>
      </c>
      <c r="M265">
        <f>COUNTA('[1]Pizza Sales Calculations'!$D265:$F265)</f>
        <v>2</v>
      </c>
      <c r="N265">
        <f>IFERROR(VLOOKUP(D265,[1]Parameters!$A$3:$C$5,3,FALSE),0)</f>
        <v>1</v>
      </c>
      <c r="O265">
        <f>IFERROR(VLOOKUP(E265,[1]Parameters!$A$3:$C$5,3,FALSE),0)</f>
        <v>1.7</v>
      </c>
      <c r="P265">
        <f>IFERROR(VLOOKUP(F265,[1]Parameters!$A$3:$C$5,3,FALSE),0)</f>
        <v>0</v>
      </c>
      <c r="Q265">
        <f t="shared" si="4"/>
        <v>2.7</v>
      </c>
      <c r="R265" s="10">
        <f>IF('[1]Pizza Sales Calculations'!$G265=TRUE, [1]Parameters!$B$17*'[1]Pizza Sales Calculations'!$L265*2, 0)</f>
        <v>0</v>
      </c>
      <c r="S265" t="str">
        <f>IF(I265&lt;[1]Parameters!$B$21,"TRUE","FALSE")</f>
        <v>TRUE</v>
      </c>
      <c r="T265" s="5">
        <f>(I265/[1]Parameters!$B$25)*60</f>
        <v>0</v>
      </c>
      <c r="U265" s="10">
        <f>IF(AND('[1]Pizza Sales Calculations'!G265=TRUE,'[1]Pizza Sales Calculations'!S265="TRUE"),T265*[1]Parameters!$B$40*2,0)</f>
        <v>0</v>
      </c>
      <c r="V265">
        <f>INDEX([1]Parameters!$A$3:$C$5,MATCH('[1]Pizza Sales Calculations'!D265,[1]Parameters!$A$3:$A$5,0),2)</f>
        <v>7</v>
      </c>
      <c r="W265">
        <f>INDEX([1]Parameters!$A$3:$C$5,MATCH('[1]Pizza Sales Calculations'!E265,[1]Parameters!$A$3:$A$5,0),2)</f>
        <v>10</v>
      </c>
      <c r="X265" t="e">
        <f>INDEX([1]Parameters!$A$3:$C$5,MATCH('[1]Pizza Sales Calculations'!F265,[1]Parameters!$A$3:$A$5,0),2)</f>
        <v>#N/A</v>
      </c>
    </row>
    <row r="266" spans="1:24" x14ac:dyDescent="0.3">
      <c r="A266">
        <v>265</v>
      </c>
      <c r="B266" s="14">
        <v>42373.525682870371</v>
      </c>
      <c r="C266" s="14">
        <v>42373.536076388889</v>
      </c>
      <c r="D266" t="s">
        <v>3</v>
      </c>
      <c r="E266" t="s">
        <v>4</v>
      </c>
      <c r="G266" t="b">
        <v>0</v>
      </c>
      <c r="H266">
        <v>70806</v>
      </c>
      <c r="I266" s="5">
        <v>0</v>
      </c>
      <c r="J266" s="14">
        <v>42373.538148148145</v>
      </c>
      <c r="K266">
        <v>19.579999999999998</v>
      </c>
      <c r="L266" s="5">
        <f>('[1]Pizza Sales Calculations'!$J266-'[1]Pizza Sales Calculations'!$C266)*24*60</f>
        <v>2.9833333287388086</v>
      </c>
      <c r="M266">
        <f>COUNTA('[1]Pizza Sales Calculations'!$D266:$F266)</f>
        <v>2</v>
      </c>
      <c r="N266">
        <f>IFERROR(VLOOKUP(D266,[1]Parameters!$A$3:$C$5,3,FALSE),0)</f>
        <v>1</v>
      </c>
      <c r="O266">
        <f>IFERROR(VLOOKUP(E266,[1]Parameters!$A$3:$C$5,3,FALSE),0)</f>
        <v>1.7</v>
      </c>
      <c r="P266">
        <f>IFERROR(VLOOKUP(F266,[1]Parameters!$A$3:$C$5,3,FALSE),0)</f>
        <v>0</v>
      </c>
      <c r="Q266">
        <f t="shared" si="4"/>
        <v>2.7</v>
      </c>
      <c r="R266" s="10">
        <f>IF('[1]Pizza Sales Calculations'!$G266=TRUE, [1]Parameters!$B$17*'[1]Pizza Sales Calculations'!$L266*2, 0)</f>
        <v>0</v>
      </c>
      <c r="S266" t="str">
        <f>IF(I266&lt;[1]Parameters!$B$21,"TRUE","FALSE")</f>
        <v>TRUE</v>
      </c>
      <c r="T266" s="5">
        <f>(I266/[1]Parameters!$B$25)*60</f>
        <v>0</v>
      </c>
      <c r="U266" s="10">
        <f>IF(AND('[1]Pizza Sales Calculations'!G266=TRUE,'[1]Pizza Sales Calculations'!S266="TRUE"),T266*[1]Parameters!$B$40*2,0)</f>
        <v>0</v>
      </c>
      <c r="V266">
        <f>INDEX([1]Parameters!$A$3:$C$5,MATCH('[1]Pizza Sales Calculations'!D266,[1]Parameters!$A$3:$A$5,0),2)</f>
        <v>7</v>
      </c>
      <c r="W266">
        <f>INDEX([1]Parameters!$A$3:$C$5,MATCH('[1]Pizza Sales Calculations'!E266,[1]Parameters!$A$3:$A$5,0),2)</f>
        <v>10</v>
      </c>
      <c r="X266" t="e">
        <f>INDEX([1]Parameters!$A$3:$C$5,MATCH('[1]Pizza Sales Calculations'!F266,[1]Parameters!$A$3:$A$5,0),2)</f>
        <v>#N/A</v>
      </c>
    </row>
    <row r="267" spans="1:24" x14ac:dyDescent="0.3">
      <c r="A267">
        <v>266</v>
      </c>
      <c r="B267" s="14">
        <v>42373.497870370367</v>
      </c>
      <c r="C267" s="14">
        <v>42373.508275462962</v>
      </c>
      <c r="D267" t="s">
        <v>3</v>
      </c>
      <c r="E267" t="s">
        <v>5</v>
      </c>
      <c r="G267" t="b">
        <v>0</v>
      </c>
      <c r="H267">
        <v>70803</v>
      </c>
      <c r="I267" s="5">
        <v>0</v>
      </c>
      <c r="J267" s="14">
        <v>42373.510358796295</v>
      </c>
      <c r="K267">
        <v>23.34</v>
      </c>
      <c r="L267" s="5">
        <f>('[1]Pizza Sales Calculations'!$J267-'[1]Pizza Sales Calculations'!$C267)*24*60</f>
        <v>2.9999999993015081</v>
      </c>
      <c r="M267">
        <f>COUNTA('[1]Pizza Sales Calculations'!$D267:$F267)</f>
        <v>2</v>
      </c>
      <c r="N267">
        <f>IFERROR(VLOOKUP(D267,[1]Parameters!$A$3:$C$5,3,FALSE),0)</f>
        <v>1</v>
      </c>
      <c r="O267">
        <f>IFERROR(VLOOKUP(E267,[1]Parameters!$A$3:$C$5,3,FALSE),0)</f>
        <v>2.2999999999999998</v>
      </c>
      <c r="P267">
        <f>IFERROR(VLOOKUP(F267,[1]Parameters!$A$3:$C$5,3,FALSE),0)</f>
        <v>0</v>
      </c>
      <c r="Q267">
        <f t="shared" si="4"/>
        <v>3.3</v>
      </c>
      <c r="R267" s="10">
        <f>IF('[1]Pizza Sales Calculations'!$G267=TRUE, [1]Parameters!$B$17*'[1]Pizza Sales Calculations'!$L267*2, 0)</f>
        <v>0</v>
      </c>
      <c r="S267" t="str">
        <f>IF(I267&lt;[1]Parameters!$B$21,"TRUE","FALSE")</f>
        <v>TRUE</v>
      </c>
      <c r="T267" s="5">
        <f>(I267/[1]Parameters!$B$25)*60</f>
        <v>0</v>
      </c>
      <c r="U267" s="10">
        <f>IF(AND('[1]Pizza Sales Calculations'!G267=TRUE,'[1]Pizza Sales Calculations'!S267="TRUE"),T267*[1]Parameters!$B$40*2,0)</f>
        <v>0</v>
      </c>
      <c r="V267">
        <f>INDEX([1]Parameters!$A$3:$C$5,MATCH('[1]Pizza Sales Calculations'!D267,[1]Parameters!$A$3:$A$5,0),2)</f>
        <v>7</v>
      </c>
      <c r="W267">
        <f>INDEX([1]Parameters!$A$3:$C$5,MATCH('[1]Pizza Sales Calculations'!E267,[1]Parameters!$A$3:$A$5,0),2)</f>
        <v>14</v>
      </c>
      <c r="X267" t="e">
        <f>INDEX([1]Parameters!$A$3:$C$5,MATCH('[1]Pizza Sales Calculations'!F267,[1]Parameters!$A$3:$A$5,0),2)</f>
        <v>#N/A</v>
      </c>
    </row>
    <row r="268" spans="1:24" x14ac:dyDescent="0.3">
      <c r="A268">
        <v>267</v>
      </c>
      <c r="B268" s="14">
        <v>42373.523969907408</v>
      </c>
      <c r="C268" s="14">
        <v>42373.534375000003</v>
      </c>
      <c r="D268" t="s">
        <v>3</v>
      </c>
      <c r="G268" t="b">
        <v>1</v>
      </c>
      <c r="H268">
        <v>70803</v>
      </c>
      <c r="I268" s="5">
        <v>4.0903941310881597</v>
      </c>
      <c r="J268" s="14">
        <v>42373.548576388886</v>
      </c>
      <c r="K268">
        <v>7.99</v>
      </c>
      <c r="L268" s="5">
        <f>('[1]Pizza Sales Calculations'!$J268-'[1]Pizza Sales Calculations'!$C268)*24*60</f>
        <v>20.449999992270023</v>
      </c>
      <c r="M268">
        <f>COUNTA('[1]Pizza Sales Calculations'!$D268:$F268)</f>
        <v>1</v>
      </c>
      <c r="N268">
        <f>IFERROR(VLOOKUP(D268,[1]Parameters!$A$3:$C$5,3,FALSE),0)</f>
        <v>1</v>
      </c>
      <c r="O268">
        <f>IFERROR(VLOOKUP(E268,[1]Parameters!$A$3:$C$5,3,FALSE),0)</f>
        <v>0</v>
      </c>
      <c r="P268">
        <f>IFERROR(VLOOKUP(F268,[1]Parameters!$A$3:$C$5,3,FALSE),0)</f>
        <v>0</v>
      </c>
      <c r="Q268">
        <f t="shared" si="4"/>
        <v>1</v>
      </c>
      <c r="R268" s="10">
        <f>IF('[1]Pizza Sales Calculations'!$G268=TRUE, [1]Parameters!$B$17*'[1]Pizza Sales Calculations'!$L268*2, 0)</f>
        <v>5.7941666644765064</v>
      </c>
      <c r="S268" t="str">
        <f>IF(I268&lt;[1]Parameters!$B$21,"TRUE","FALSE")</f>
        <v>FALSE</v>
      </c>
      <c r="T268" s="5">
        <f>(I268/[1]Parameters!$B$25)*60</f>
        <v>8.1807882621763195</v>
      </c>
      <c r="U268" s="10">
        <f>IF(AND('[1]Pizza Sales Calculations'!G268=TRUE,'[1]Pizza Sales Calculations'!S268="TRUE"),T268*[1]Parameters!$B$40*2,0)</f>
        <v>0</v>
      </c>
      <c r="V268">
        <f>INDEX([1]Parameters!$A$3:$C$5,MATCH('[1]Pizza Sales Calculations'!D268,[1]Parameters!$A$3:$A$5,0),2)</f>
        <v>7</v>
      </c>
      <c r="W268" t="e">
        <f>INDEX([1]Parameters!$A$3:$C$5,MATCH('[1]Pizza Sales Calculations'!E268,[1]Parameters!$A$3:$A$5,0),2)</f>
        <v>#N/A</v>
      </c>
      <c r="X268" t="e">
        <f>INDEX([1]Parameters!$A$3:$C$5,MATCH('[1]Pizza Sales Calculations'!F268,[1]Parameters!$A$3:$A$5,0),2)</f>
        <v>#N/A</v>
      </c>
    </row>
    <row r="269" spans="1:24" x14ac:dyDescent="0.3">
      <c r="A269">
        <v>268</v>
      </c>
      <c r="B269" s="14">
        <v>42373.532476851855</v>
      </c>
      <c r="C269" s="14">
        <v>42373.542870370373</v>
      </c>
      <c r="D269" t="s">
        <v>3</v>
      </c>
      <c r="E269" t="s">
        <v>4</v>
      </c>
      <c r="G269" t="b">
        <v>1</v>
      </c>
      <c r="H269">
        <v>70804</v>
      </c>
      <c r="I269" s="5">
        <v>1.7823179737350601</v>
      </c>
      <c r="J269" s="14">
        <v>42373.549050925925</v>
      </c>
      <c r="K269">
        <v>19.579999999999998</v>
      </c>
      <c r="L269" s="5">
        <f>('[1]Pizza Sales Calculations'!$J269-'[1]Pizza Sales Calculations'!$C269)*24*60</f>
        <v>8.8999999954830855</v>
      </c>
      <c r="M269">
        <f>COUNTA('[1]Pizza Sales Calculations'!$D269:$F269)</f>
        <v>2</v>
      </c>
      <c r="N269">
        <f>IFERROR(VLOOKUP(D269,[1]Parameters!$A$3:$C$5,3,FALSE),0)</f>
        <v>1</v>
      </c>
      <c r="O269">
        <f>IFERROR(VLOOKUP(E269,[1]Parameters!$A$3:$C$5,3,FALSE),0)</f>
        <v>1.7</v>
      </c>
      <c r="P269">
        <f>IFERROR(VLOOKUP(F269,[1]Parameters!$A$3:$C$5,3,FALSE),0)</f>
        <v>0</v>
      </c>
      <c r="Q269">
        <f t="shared" si="4"/>
        <v>2.7</v>
      </c>
      <c r="R269" s="10">
        <f>IF('[1]Pizza Sales Calculations'!$G269=TRUE, [1]Parameters!$B$17*'[1]Pizza Sales Calculations'!$L269*2, 0)</f>
        <v>2.5216666653868742</v>
      </c>
      <c r="S269" t="str">
        <f>IF(I269&lt;[1]Parameters!$B$21,"TRUE","FALSE")</f>
        <v>TRUE</v>
      </c>
      <c r="T269" s="5">
        <f>(I269/[1]Parameters!$B$25)*60</f>
        <v>3.5646359474701201</v>
      </c>
      <c r="U269" s="10">
        <f>IF(AND('[1]Pizza Sales Calculations'!G269=TRUE,'[1]Pizza Sales Calculations'!S269="TRUE"),T269*[1]Parameters!$B$40*2,0)</f>
        <v>0.22251394408776576</v>
      </c>
      <c r="V269">
        <f>INDEX([1]Parameters!$A$3:$C$5,MATCH('[1]Pizza Sales Calculations'!D269,[1]Parameters!$A$3:$A$5,0),2)</f>
        <v>7</v>
      </c>
      <c r="W269">
        <f>INDEX([1]Parameters!$A$3:$C$5,MATCH('[1]Pizza Sales Calculations'!E269,[1]Parameters!$A$3:$A$5,0),2)</f>
        <v>10</v>
      </c>
      <c r="X269" t="e">
        <f>INDEX([1]Parameters!$A$3:$C$5,MATCH('[1]Pizza Sales Calculations'!F269,[1]Parameters!$A$3:$A$5,0),2)</f>
        <v>#N/A</v>
      </c>
    </row>
    <row r="270" spans="1:24" x14ac:dyDescent="0.3">
      <c r="A270">
        <v>269</v>
      </c>
      <c r="B270" s="14">
        <v>42373.509189814817</v>
      </c>
      <c r="C270" s="14">
        <v>42373.519594907404</v>
      </c>
      <c r="D270" t="s">
        <v>4</v>
      </c>
      <c r="G270" t="b">
        <v>0</v>
      </c>
      <c r="H270">
        <v>70804</v>
      </c>
      <c r="I270" s="5">
        <v>0</v>
      </c>
      <c r="J270" s="14">
        <v>42373.521666666667</v>
      </c>
      <c r="K270">
        <v>11.59</v>
      </c>
      <c r="L270" s="5">
        <f>('[1]Pizza Sales Calculations'!$J270-'[1]Pizza Sales Calculations'!$C270)*24*60</f>
        <v>2.9833333392161876</v>
      </c>
      <c r="M270">
        <f>COUNTA('[1]Pizza Sales Calculations'!$D270:$F270)</f>
        <v>1</v>
      </c>
      <c r="N270">
        <f>IFERROR(VLOOKUP(D270,[1]Parameters!$A$3:$C$5,3,FALSE),0)</f>
        <v>1.7</v>
      </c>
      <c r="O270">
        <f>IFERROR(VLOOKUP(E270,[1]Parameters!$A$3:$C$5,3,FALSE),0)</f>
        <v>0</v>
      </c>
      <c r="P270">
        <f>IFERROR(VLOOKUP(F270,[1]Parameters!$A$3:$C$5,3,FALSE),0)</f>
        <v>0</v>
      </c>
      <c r="Q270">
        <f t="shared" si="4"/>
        <v>1.7</v>
      </c>
      <c r="R270" s="10">
        <f>IF('[1]Pizza Sales Calculations'!$G270=TRUE, [1]Parameters!$B$17*'[1]Pizza Sales Calculations'!$L270*2, 0)</f>
        <v>0</v>
      </c>
      <c r="S270" t="str">
        <f>IF(I270&lt;[1]Parameters!$B$21,"TRUE","FALSE")</f>
        <v>TRUE</v>
      </c>
      <c r="T270" s="5">
        <f>(I270/[1]Parameters!$B$25)*60</f>
        <v>0</v>
      </c>
      <c r="U270" s="10">
        <f>IF(AND('[1]Pizza Sales Calculations'!G270=TRUE,'[1]Pizza Sales Calculations'!S270="TRUE"),T270*[1]Parameters!$B$40*2,0)</f>
        <v>0</v>
      </c>
      <c r="V270">
        <f>INDEX([1]Parameters!$A$3:$C$5,MATCH('[1]Pizza Sales Calculations'!D270,[1]Parameters!$A$3:$A$5,0),2)</f>
        <v>10</v>
      </c>
      <c r="W270" t="e">
        <f>INDEX([1]Parameters!$A$3:$C$5,MATCH('[1]Pizza Sales Calculations'!E270,[1]Parameters!$A$3:$A$5,0),2)</f>
        <v>#N/A</v>
      </c>
      <c r="X270" t="e">
        <f>INDEX([1]Parameters!$A$3:$C$5,MATCH('[1]Pizza Sales Calculations'!F270,[1]Parameters!$A$3:$A$5,0),2)</f>
        <v>#N/A</v>
      </c>
    </row>
    <row r="271" spans="1:24" x14ac:dyDescent="0.3">
      <c r="A271">
        <v>270</v>
      </c>
      <c r="B271" s="14">
        <v>42373.544259259259</v>
      </c>
      <c r="C271" s="14">
        <v>42373.554675925923</v>
      </c>
      <c r="D271" t="s">
        <v>3</v>
      </c>
      <c r="E271" t="s">
        <v>4</v>
      </c>
      <c r="G271" t="b">
        <v>0</v>
      </c>
      <c r="H271">
        <v>70804</v>
      </c>
      <c r="I271" s="5">
        <v>0</v>
      </c>
      <c r="J271" s="14">
        <v>42373.556770833333</v>
      </c>
      <c r="K271">
        <v>19.579999999999998</v>
      </c>
      <c r="L271" s="5">
        <f>('[1]Pizza Sales Calculations'!$J271-'[1]Pizza Sales Calculations'!$C271)*24*60</f>
        <v>3.0166666698642075</v>
      </c>
      <c r="M271">
        <f>COUNTA('[1]Pizza Sales Calculations'!$D271:$F271)</f>
        <v>2</v>
      </c>
      <c r="N271">
        <f>IFERROR(VLOOKUP(D271,[1]Parameters!$A$3:$C$5,3,FALSE),0)</f>
        <v>1</v>
      </c>
      <c r="O271">
        <f>IFERROR(VLOOKUP(E271,[1]Parameters!$A$3:$C$5,3,FALSE),0)</f>
        <v>1.7</v>
      </c>
      <c r="P271">
        <f>IFERROR(VLOOKUP(F271,[1]Parameters!$A$3:$C$5,3,FALSE),0)</f>
        <v>0</v>
      </c>
      <c r="Q271">
        <f t="shared" si="4"/>
        <v>2.7</v>
      </c>
      <c r="R271" s="10">
        <f>IF('[1]Pizza Sales Calculations'!$G271=TRUE, [1]Parameters!$B$17*'[1]Pizza Sales Calculations'!$L271*2, 0)</f>
        <v>0</v>
      </c>
      <c r="S271" t="str">
        <f>IF(I271&lt;[1]Parameters!$B$21,"TRUE","FALSE")</f>
        <v>TRUE</v>
      </c>
      <c r="T271" s="5">
        <f>(I271/[1]Parameters!$B$25)*60</f>
        <v>0</v>
      </c>
      <c r="U271" s="10">
        <f>IF(AND('[1]Pizza Sales Calculations'!G271=TRUE,'[1]Pizza Sales Calculations'!S271="TRUE"),T271*[1]Parameters!$B$40*2,0)</f>
        <v>0</v>
      </c>
      <c r="V271">
        <f>INDEX([1]Parameters!$A$3:$C$5,MATCH('[1]Pizza Sales Calculations'!D271,[1]Parameters!$A$3:$A$5,0),2)</f>
        <v>7</v>
      </c>
      <c r="W271">
        <f>INDEX([1]Parameters!$A$3:$C$5,MATCH('[1]Pizza Sales Calculations'!E271,[1]Parameters!$A$3:$A$5,0),2)</f>
        <v>10</v>
      </c>
      <c r="X271" t="e">
        <f>INDEX([1]Parameters!$A$3:$C$5,MATCH('[1]Pizza Sales Calculations'!F271,[1]Parameters!$A$3:$A$5,0),2)</f>
        <v>#N/A</v>
      </c>
    </row>
    <row r="272" spans="1:24" x14ac:dyDescent="0.3">
      <c r="A272">
        <v>271</v>
      </c>
      <c r="B272" s="14">
        <v>42373.468263888892</v>
      </c>
      <c r="C272" s="14">
        <v>42373.478680555556</v>
      </c>
      <c r="D272" t="s">
        <v>3</v>
      </c>
      <c r="E272" t="s">
        <v>5</v>
      </c>
      <c r="G272" t="b">
        <v>1</v>
      </c>
      <c r="H272">
        <v>70803</v>
      </c>
      <c r="I272" s="5">
        <v>1.90803631566386</v>
      </c>
      <c r="J272" s="14">
        <v>42373.485300925924</v>
      </c>
      <c r="K272">
        <v>23.34</v>
      </c>
      <c r="L272" s="5">
        <f>('[1]Pizza Sales Calculations'!$J272-'[1]Pizza Sales Calculations'!$C272)*24*60</f>
        <v>9.5333333301823586</v>
      </c>
      <c r="M272">
        <f>COUNTA('[1]Pizza Sales Calculations'!$D272:$F272)</f>
        <v>2</v>
      </c>
      <c r="N272">
        <f>IFERROR(VLOOKUP(D272,[1]Parameters!$A$3:$C$5,3,FALSE),0)</f>
        <v>1</v>
      </c>
      <c r="O272">
        <f>IFERROR(VLOOKUP(E272,[1]Parameters!$A$3:$C$5,3,FALSE),0)</f>
        <v>2.2999999999999998</v>
      </c>
      <c r="P272">
        <f>IFERROR(VLOOKUP(F272,[1]Parameters!$A$3:$C$5,3,FALSE),0)</f>
        <v>0</v>
      </c>
      <c r="Q272">
        <f t="shared" si="4"/>
        <v>3.3</v>
      </c>
      <c r="R272" s="10">
        <f>IF('[1]Pizza Sales Calculations'!$G272=TRUE, [1]Parameters!$B$17*'[1]Pizza Sales Calculations'!$L272*2, 0)</f>
        <v>2.7011111102183349</v>
      </c>
      <c r="S272" t="str">
        <f>IF(I272&lt;[1]Parameters!$B$21,"TRUE","FALSE")</f>
        <v>TRUE</v>
      </c>
      <c r="T272" s="5">
        <f>(I272/[1]Parameters!$B$25)*60</f>
        <v>3.81607263132772</v>
      </c>
      <c r="U272" s="10">
        <f>IF(AND('[1]Pizza Sales Calculations'!G272=TRUE,'[1]Pizza Sales Calculations'!S272="TRUE"),T272*[1]Parameters!$B$40*2,0)</f>
        <v>0.23820928269680675</v>
      </c>
      <c r="V272">
        <f>INDEX([1]Parameters!$A$3:$C$5,MATCH('[1]Pizza Sales Calculations'!D272,[1]Parameters!$A$3:$A$5,0),2)</f>
        <v>7</v>
      </c>
      <c r="W272">
        <f>INDEX([1]Parameters!$A$3:$C$5,MATCH('[1]Pizza Sales Calculations'!E272,[1]Parameters!$A$3:$A$5,0),2)</f>
        <v>14</v>
      </c>
      <c r="X272" t="e">
        <f>INDEX([1]Parameters!$A$3:$C$5,MATCH('[1]Pizza Sales Calculations'!F272,[1]Parameters!$A$3:$A$5,0),2)</f>
        <v>#N/A</v>
      </c>
    </row>
    <row r="273" spans="1:24" x14ac:dyDescent="0.3">
      <c r="A273">
        <v>272</v>
      </c>
      <c r="B273" s="14">
        <v>42373.539201388892</v>
      </c>
      <c r="C273" s="14">
        <v>42373.549629629626</v>
      </c>
      <c r="D273" t="s">
        <v>3</v>
      </c>
      <c r="G273" t="b">
        <v>0</v>
      </c>
      <c r="H273">
        <v>70805</v>
      </c>
      <c r="I273" s="5">
        <v>0</v>
      </c>
      <c r="J273" s="14">
        <v>42373.551712962966</v>
      </c>
      <c r="K273">
        <v>7.99</v>
      </c>
      <c r="L273" s="5">
        <f>('[1]Pizza Sales Calculations'!$J273-'[1]Pizza Sales Calculations'!$C273)*24*60</f>
        <v>3.000000009778887</v>
      </c>
      <c r="M273">
        <f>COUNTA('[1]Pizza Sales Calculations'!$D273:$F273)</f>
        <v>1</v>
      </c>
      <c r="N273">
        <f>IFERROR(VLOOKUP(D273,[1]Parameters!$A$3:$C$5,3,FALSE),0)</f>
        <v>1</v>
      </c>
      <c r="O273">
        <f>IFERROR(VLOOKUP(E273,[1]Parameters!$A$3:$C$5,3,FALSE),0)</f>
        <v>0</v>
      </c>
      <c r="P273">
        <f>IFERROR(VLOOKUP(F273,[1]Parameters!$A$3:$C$5,3,FALSE),0)</f>
        <v>0</v>
      </c>
      <c r="Q273">
        <f t="shared" si="4"/>
        <v>1</v>
      </c>
      <c r="R273" s="10">
        <f>IF('[1]Pizza Sales Calculations'!$G273=TRUE, [1]Parameters!$B$17*'[1]Pizza Sales Calculations'!$L273*2, 0)</f>
        <v>0</v>
      </c>
      <c r="S273" t="str">
        <f>IF(I273&lt;[1]Parameters!$B$21,"TRUE","FALSE")</f>
        <v>TRUE</v>
      </c>
      <c r="T273" s="5">
        <f>(I273/[1]Parameters!$B$25)*60</f>
        <v>0</v>
      </c>
      <c r="U273" s="10">
        <f>IF(AND('[1]Pizza Sales Calculations'!G273=TRUE,'[1]Pizza Sales Calculations'!S273="TRUE"),T273*[1]Parameters!$B$40*2,0)</f>
        <v>0</v>
      </c>
      <c r="V273">
        <f>INDEX([1]Parameters!$A$3:$C$5,MATCH('[1]Pizza Sales Calculations'!D273,[1]Parameters!$A$3:$A$5,0),2)</f>
        <v>7</v>
      </c>
      <c r="W273" t="e">
        <f>INDEX([1]Parameters!$A$3:$C$5,MATCH('[1]Pizza Sales Calculations'!E273,[1]Parameters!$A$3:$A$5,0),2)</f>
        <v>#N/A</v>
      </c>
      <c r="X273" t="e">
        <f>INDEX([1]Parameters!$A$3:$C$5,MATCH('[1]Pizza Sales Calculations'!F273,[1]Parameters!$A$3:$A$5,0),2)</f>
        <v>#N/A</v>
      </c>
    </row>
    <row r="274" spans="1:24" x14ac:dyDescent="0.3">
      <c r="A274">
        <v>273</v>
      </c>
      <c r="B274" s="14">
        <v>42373.435162037036</v>
      </c>
      <c r="C274" s="14">
        <v>42373.445555555554</v>
      </c>
      <c r="D274" t="s">
        <v>3</v>
      </c>
      <c r="E274" t="s">
        <v>4</v>
      </c>
      <c r="G274" t="b">
        <v>0</v>
      </c>
      <c r="H274">
        <v>70804</v>
      </c>
      <c r="I274" s="5">
        <v>0</v>
      </c>
      <c r="J274" s="14">
        <v>42373.447627314818</v>
      </c>
      <c r="K274">
        <v>19.579999999999998</v>
      </c>
      <c r="L274" s="5">
        <f>('[1]Pizza Sales Calculations'!$J274-'[1]Pizza Sales Calculations'!$C274)*24*60</f>
        <v>2.9833333392161876</v>
      </c>
      <c r="M274">
        <f>COUNTA('[1]Pizza Sales Calculations'!$D274:$F274)</f>
        <v>2</v>
      </c>
      <c r="N274">
        <f>IFERROR(VLOOKUP(D274,[1]Parameters!$A$3:$C$5,3,FALSE),0)</f>
        <v>1</v>
      </c>
      <c r="O274">
        <f>IFERROR(VLOOKUP(E274,[1]Parameters!$A$3:$C$5,3,FALSE),0)</f>
        <v>1.7</v>
      </c>
      <c r="P274">
        <f>IFERROR(VLOOKUP(F274,[1]Parameters!$A$3:$C$5,3,FALSE),0)</f>
        <v>0</v>
      </c>
      <c r="Q274">
        <f t="shared" si="4"/>
        <v>2.7</v>
      </c>
      <c r="R274" s="10">
        <f>IF('[1]Pizza Sales Calculations'!$G274=TRUE, [1]Parameters!$B$17*'[1]Pizza Sales Calculations'!$L274*2, 0)</f>
        <v>0</v>
      </c>
      <c r="S274" t="str">
        <f>IF(I274&lt;[1]Parameters!$B$21,"TRUE","FALSE")</f>
        <v>TRUE</v>
      </c>
      <c r="T274" s="5">
        <f>(I274/[1]Parameters!$B$25)*60</f>
        <v>0</v>
      </c>
      <c r="U274" s="10">
        <f>IF(AND('[1]Pizza Sales Calculations'!G274=TRUE,'[1]Pizza Sales Calculations'!S274="TRUE"),T274*[1]Parameters!$B$40*2,0)</f>
        <v>0</v>
      </c>
      <c r="V274">
        <f>INDEX([1]Parameters!$A$3:$C$5,MATCH('[1]Pizza Sales Calculations'!D274,[1]Parameters!$A$3:$A$5,0),2)</f>
        <v>7</v>
      </c>
      <c r="W274">
        <f>INDEX([1]Parameters!$A$3:$C$5,MATCH('[1]Pizza Sales Calculations'!E274,[1]Parameters!$A$3:$A$5,0),2)</f>
        <v>10</v>
      </c>
      <c r="X274" t="e">
        <f>INDEX([1]Parameters!$A$3:$C$5,MATCH('[1]Pizza Sales Calculations'!F274,[1]Parameters!$A$3:$A$5,0),2)</f>
        <v>#N/A</v>
      </c>
    </row>
    <row r="275" spans="1:24" x14ac:dyDescent="0.3">
      <c r="A275">
        <v>274</v>
      </c>
      <c r="B275" s="14">
        <v>42373.549131944441</v>
      </c>
      <c r="C275" s="14">
        <v>42373.559537037036</v>
      </c>
      <c r="D275" t="s">
        <v>3</v>
      </c>
      <c r="G275" t="b">
        <v>1</v>
      </c>
      <c r="H275">
        <v>70806</v>
      </c>
      <c r="I275" s="5">
        <v>2.57160703174829</v>
      </c>
      <c r="J275" s="14">
        <v>42373.568460648145</v>
      </c>
      <c r="K275">
        <v>7.99</v>
      </c>
      <c r="L275" s="5">
        <f>('[1]Pizza Sales Calculations'!$J275-'[1]Pizza Sales Calculations'!$C275)*24*60</f>
        <v>12.849999996833503</v>
      </c>
      <c r="M275">
        <f>COUNTA('[1]Pizza Sales Calculations'!$D275:$F275)</f>
        <v>1</v>
      </c>
      <c r="N275">
        <f>IFERROR(VLOOKUP(D275,[1]Parameters!$A$3:$C$5,3,FALSE),0)</f>
        <v>1</v>
      </c>
      <c r="O275">
        <f>IFERROR(VLOOKUP(E275,[1]Parameters!$A$3:$C$5,3,FALSE),0)</f>
        <v>0</v>
      </c>
      <c r="P275">
        <f>IFERROR(VLOOKUP(F275,[1]Parameters!$A$3:$C$5,3,FALSE),0)</f>
        <v>0</v>
      </c>
      <c r="Q275">
        <f t="shared" si="4"/>
        <v>1</v>
      </c>
      <c r="R275" s="10">
        <f>IF('[1]Pizza Sales Calculations'!$G275=TRUE, [1]Parameters!$B$17*'[1]Pizza Sales Calculations'!$L275*2, 0)</f>
        <v>3.6408333324361593</v>
      </c>
      <c r="S275" t="str">
        <f>IF(I275&lt;[1]Parameters!$B$21,"TRUE","FALSE")</f>
        <v>TRUE</v>
      </c>
      <c r="T275" s="5">
        <f>(I275/[1]Parameters!$B$25)*60</f>
        <v>5.1432140634965799</v>
      </c>
      <c r="U275" s="10">
        <f>IF(AND('[1]Pizza Sales Calculations'!G275=TRUE,'[1]Pizza Sales Calculations'!S275="TRUE"),T275*[1]Parameters!$B$40*2,0)</f>
        <v>0.32105293876321755</v>
      </c>
      <c r="V275">
        <f>INDEX([1]Parameters!$A$3:$C$5,MATCH('[1]Pizza Sales Calculations'!D275,[1]Parameters!$A$3:$A$5,0),2)</f>
        <v>7</v>
      </c>
      <c r="W275" t="e">
        <f>INDEX([1]Parameters!$A$3:$C$5,MATCH('[1]Pizza Sales Calculations'!E275,[1]Parameters!$A$3:$A$5,0),2)</f>
        <v>#N/A</v>
      </c>
      <c r="X275" t="e">
        <f>INDEX([1]Parameters!$A$3:$C$5,MATCH('[1]Pizza Sales Calculations'!F275,[1]Parameters!$A$3:$A$5,0),2)</f>
        <v>#N/A</v>
      </c>
    </row>
    <row r="276" spans="1:24" x14ac:dyDescent="0.3">
      <c r="A276">
        <v>275</v>
      </c>
      <c r="B276" s="14">
        <v>42373.522557870368</v>
      </c>
      <c r="C276" s="14">
        <v>42373.53297453704</v>
      </c>
      <c r="D276" t="s">
        <v>3</v>
      </c>
      <c r="E276" t="s">
        <v>4</v>
      </c>
      <c r="G276" t="b">
        <v>0</v>
      </c>
      <c r="H276">
        <v>70805</v>
      </c>
      <c r="I276" s="5">
        <v>0</v>
      </c>
      <c r="J276" s="14">
        <v>42373.535057870373</v>
      </c>
      <c r="K276">
        <v>19.579999999999998</v>
      </c>
      <c r="L276" s="5">
        <f>('[1]Pizza Sales Calculations'!$J276-'[1]Pizza Sales Calculations'!$C276)*24*60</f>
        <v>2.9999999993015081</v>
      </c>
      <c r="M276">
        <f>COUNTA('[1]Pizza Sales Calculations'!$D276:$F276)</f>
        <v>2</v>
      </c>
      <c r="N276">
        <f>IFERROR(VLOOKUP(D276,[1]Parameters!$A$3:$C$5,3,FALSE),0)</f>
        <v>1</v>
      </c>
      <c r="O276">
        <f>IFERROR(VLOOKUP(E276,[1]Parameters!$A$3:$C$5,3,FALSE),0)</f>
        <v>1.7</v>
      </c>
      <c r="P276">
        <f>IFERROR(VLOOKUP(F276,[1]Parameters!$A$3:$C$5,3,FALSE),0)</f>
        <v>0</v>
      </c>
      <c r="Q276">
        <f t="shared" si="4"/>
        <v>2.7</v>
      </c>
      <c r="R276" s="10">
        <f>IF('[1]Pizza Sales Calculations'!$G276=TRUE, [1]Parameters!$B$17*'[1]Pizza Sales Calculations'!$L276*2, 0)</f>
        <v>0</v>
      </c>
      <c r="S276" t="str">
        <f>IF(I276&lt;[1]Parameters!$B$21,"TRUE","FALSE")</f>
        <v>TRUE</v>
      </c>
      <c r="T276" s="5">
        <f>(I276/[1]Parameters!$B$25)*60</f>
        <v>0</v>
      </c>
      <c r="U276" s="10">
        <f>IF(AND('[1]Pizza Sales Calculations'!G276=TRUE,'[1]Pizza Sales Calculations'!S276="TRUE"),T276*[1]Parameters!$B$40*2,0)</f>
        <v>0</v>
      </c>
      <c r="V276">
        <f>INDEX([1]Parameters!$A$3:$C$5,MATCH('[1]Pizza Sales Calculations'!D276,[1]Parameters!$A$3:$A$5,0),2)</f>
        <v>7</v>
      </c>
      <c r="W276">
        <f>INDEX([1]Parameters!$A$3:$C$5,MATCH('[1]Pizza Sales Calculations'!E276,[1]Parameters!$A$3:$A$5,0),2)</f>
        <v>10</v>
      </c>
      <c r="X276" t="e">
        <f>INDEX([1]Parameters!$A$3:$C$5,MATCH('[1]Pizza Sales Calculations'!F276,[1]Parameters!$A$3:$A$5,0),2)</f>
        <v>#N/A</v>
      </c>
    </row>
    <row r="277" spans="1:24" x14ac:dyDescent="0.3">
      <c r="A277">
        <v>276</v>
      </c>
      <c r="B277" s="14">
        <v>42373.537106481483</v>
      </c>
      <c r="C277" s="14">
        <v>42373.547523148147</v>
      </c>
      <c r="D277" t="s">
        <v>3</v>
      </c>
      <c r="E277" t="s">
        <v>5</v>
      </c>
      <c r="G277" t="b">
        <v>1</v>
      </c>
      <c r="H277">
        <v>70804</v>
      </c>
      <c r="I277" s="5">
        <v>2.20603208574724</v>
      </c>
      <c r="J277" s="14">
        <v>42373.555173611108</v>
      </c>
      <c r="K277">
        <v>23.34</v>
      </c>
      <c r="L277" s="5">
        <f>('[1]Pizza Sales Calculations'!$J277-'[1]Pizza Sales Calculations'!$C277)*24*60</f>
        <v>11.016666664509103</v>
      </c>
      <c r="M277">
        <f>COUNTA('[1]Pizza Sales Calculations'!$D277:$F277)</f>
        <v>2</v>
      </c>
      <c r="N277">
        <f>IFERROR(VLOOKUP(D277,[1]Parameters!$A$3:$C$5,3,FALSE),0)</f>
        <v>1</v>
      </c>
      <c r="O277">
        <f>IFERROR(VLOOKUP(E277,[1]Parameters!$A$3:$C$5,3,FALSE),0)</f>
        <v>2.2999999999999998</v>
      </c>
      <c r="P277">
        <f>IFERROR(VLOOKUP(F277,[1]Parameters!$A$3:$C$5,3,FALSE),0)</f>
        <v>0</v>
      </c>
      <c r="Q277">
        <f t="shared" si="4"/>
        <v>3.3</v>
      </c>
      <c r="R277" s="10">
        <f>IF('[1]Pizza Sales Calculations'!$G277=TRUE, [1]Parameters!$B$17*'[1]Pizza Sales Calculations'!$L277*2, 0)</f>
        <v>3.1213888882775791</v>
      </c>
      <c r="S277" t="str">
        <f>IF(I277&lt;[1]Parameters!$B$21,"TRUE","FALSE")</f>
        <v>TRUE</v>
      </c>
      <c r="T277" s="5">
        <f>(I277/[1]Parameters!$B$25)*60</f>
        <v>4.4120641714944799</v>
      </c>
      <c r="U277" s="10">
        <f>IF(AND('[1]Pizza Sales Calculations'!G277=TRUE,'[1]Pizza Sales Calculations'!S277="TRUE"),T277*[1]Parameters!$B$40*2,0)</f>
        <v>0.27541264096388807</v>
      </c>
      <c r="V277">
        <f>INDEX([1]Parameters!$A$3:$C$5,MATCH('[1]Pizza Sales Calculations'!D277,[1]Parameters!$A$3:$A$5,0),2)</f>
        <v>7</v>
      </c>
      <c r="W277">
        <f>INDEX([1]Parameters!$A$3:$C$5,MATCH('[1]Pizza Sales Calculations'!E277,[1]Parameters!$A$3:$A$5,0),2)</f>
        <v>14</v>
      </c>
      <c r="X277" t="e">
        <f>INDEX([1]Parameters!$A$3:$C$5,MATCH('[1]Pizza Sales Calculations'!F277,[1]Parameters!$A$3:$A$5,0),2)</f>
        <v>#N/A</v>
      </c>
    </row>
    <row r="278" spans="1:24" x14ac:dyDescent="0.3">
      <c r="A278">
        <v>277</v>
      </c>
      <c r="B278" s="14">
        <v>42373.507372685184</v>
      </c>
      <c r="C278" s="14">
        <v>42373.517789351848</v>
      </c>
      <c r="D278" t="s">
        <v>4</v>
      </c>
      <c r="G278" t="b">
        <v>0</v>
      </c>
      <c r="H278">
        <v>70803</v>
      </c>
      <c r="I278" s="5">
        <v>0</v>
      </c>
      <c r="J278" s="14">
        <v>42373.519849537035</v>
      </c>
      <c r="K278">
        <v>11.59</v>
      </c>
      <c r="L278" s="5">
        <f>('[1]Pizza Sales Calculations'!$J278-'[1]Pizza Sales Calculations'!$C278)*24*60</f>
        <v>2.9666666686534882</v>
      </c>
      <c r="M278">
        <f>COUNTA('[1]Pizza Sales Calculations'!$D278:$F278)</f>
        <v>1</v>
      </c>
      <c r="N278">
        <f>IFERROR(VLOOKUP(D278,[1]Parameters!$A$3:$C$5,3,FALSE),0)</f>
        <v>1.7</v>
      </c>
      <c r="O278">
        <f>IFERROR(VLOOKUP(E278,[1]Parameters!$A$3:$C$5,3,FALSE),0)</f>
        <v>0</v>
      </c>
      <c r="P278">
        <f>IFERROR(VLOOKUP(F278,[1]Parameters!$A$3:$C$5,3,FALSE),0)</f>
        <v>0</v>
      </c>
      <c r="Q278">
        <f t="shared" si="4"/>
        <v>1.7</v>
      </c>
      <c r="R278" s="10">
        <f>IF('[1]Pizza Sales Calculations'!$G278=TRUE, [1]Parameters!$B$17*'[1]Pizza Sales Calculations'!$L278*2, 0)</f>
        <v>0</v>
      </c>
      <c r="S278" t="str">
        <f>IF(I278&lt;[1]Parameters!$B$21,"TRUE","FALSE")</f>
        <v>TRUE</v>
      </c>
      <c r="T278" s="5">
        <f>(I278/[1]Parameters!$B$25)*60</f>
        <v>0</v>
      </c>
      <c r="U278" s="10">
        <f>IF(AND('[1]Pizza Sales Calculations'!G278=TRUE,'[1]Pizza Sales Calculations'!S278="TRUE"),T278*[1]Parameters!$B$40*2,0)</f>
        <v>0</v>
      </c>
      <c r="V278">
        <f>INDEX([1]Parameters!$A$3:$C$5,MATCH('[1]Pizza Sales Calculations'!D278,[1]Parameters!$A$3:$A$5,0),2)</f>
        <v>10</v>
      </c>
      <c r="W278" t="e">
        <f>INDEX([1]Parameters!$A$3:$C$5,MATCH('[1]Pizza Sales Calculations'!E278,[1]Parameters!$A$3:$A$5,0),2)</f>
        <v>#N/A</v>
      </c>
      <c r="X278" t="e">
        <f>INDEX([1]Parameters!$A$3:$C$5,MATCH('[1]Pizza Sales Calculations'!F278,[1]Parameters!$A$3:$A$5,0),2)</f>
        <v>#N/A</v>
      </c>
    </row>
    <row r="279" spans="1:24" x14ac:dyDescent="0.3">
      <c r="A279">
        <v>278</v>
      </c>
      <c r="B279" s="14">
        <v>42373.541631944441</v>
      </c>
      <c r="C279" s="14">
        <v>42373.552048611113</v>
      </c>
      <c r="D279" t="s">
        <v>3</v>
      </c>
      <c r="E279" t="s">
        <v>4</v>
      </c>
      <c r="G279" t="b">
        <v>0</v>
      </c>
      <c r="H279">
        <v>70806</v>
      </c>
      <c r="I279" s="5">
        <v>0</v>
      </c>
      <c r="J279" s="14">
        <v>42373.554108796299</v>
      </c>
      <c r="K279">
        <v>19.579999999999998</v>
      </c>
      <c r="L279" s="5">
        <f>('[1]Pizza Sales Calculations'!$J279-'[1]Pizza Sales Calculations'!$C279)*24*60</f>
        <v>2.9666666686534882</v>
      </c>
      <c r="M279">
        <f>COUNTA('[1]Pizza Sales Calculations'!$D279:$F279)</f>
        <v>2</v>
      </c>
      <c r="N279">
        <f>IFERROR(VLOOKUP(D279,[1]Parameters!$A$3:$C$5,3,FALSE),0)</f>
        <v>1</v>
      </c>
      <c r="O279">
        <f>IFERROR(VLOOKUP(E279,[1]Parameters!$A$3:$C$5,3,FALSE),0)</f>
        <v>1.7</v>
      </c>
      <c r="P279">
        <f>IFERROR(VLOOKUP(F279,[1]Parameters!$A$3:$C$5,3,FALSE),0)</f>
        <v>0</v>
      </c>
      <c r="Q279">
        <f t="shared" si="4"/>
        <v>2.7</v>
      </c>
      <c r="R279" s="10">
        <f>IF('[1]Pizza Sales Calculations'!$G279=TRUE, [1]Parameters!$B$17*'[1]Pizza Sales Calculations'!$L279*2, 0)</f>
        <v>0</v>
      </c>
      <c r="S279" t="str">
        <f>IF(I279&lt;[1]Parameters!$B$21,"TRUE","FALSE")</f>
        <v>TRUE</v>
      </c>
      <c r="T279" s="5">
        <f>(I279/[1]Parameters!$B$25)*60</f>
        <v>0</v>
      </c>
      <c r="U279" s="10">
        <f>IF(AND('[1]Pizza Sales Calculations'!G279=TRUE,'[1]Pizza Sales Calculations'!S279="TRUE"),T279*[1]Parameters!$B$40*2,0)</f>
        <v>0</v>
      </c>
      <c r="V279">
        <f>INDEX([1]Parameters!$A$3:$C$5,MATCH('[1]Pizza Sales Calculations'!D279,[1]Parameters!$A$3:$A$5,0),2)</f>
        <v>7</v>
      </c>
      <c r="W279">
        <f>INDEX([1]Parameters!$A$3:$C$5,MATCH('[1]Pizza Sales Calculations'!E279,[1]Parameters!$A$3:$A$5,0),2)</f>
        <v>10</v>
      </c>
      <c r="X279" t="e">
        <f>INDEX([1]Parameters!$A$3:$C$5,MATCH('[1]Pizza Sales Calculations'!F279,[1]Parameters!$A$3:$A$5,0),2)</f>
        <v>#N/A</v>
      </c>
    </row>
    <row r="280" spans="1:24" x14ac:dyDescent="0.3">
      <c r="A280">
        <v>279</v>
      </c>
      <c r="B280" s="14">
        <v>42373.46292824074</v>
      </c>
      <c r="C280" s="14">
        <v>42373.473333333335</v>
      </c>
      <c r="D280" t="s">
        <v>4</v>
      </c>
      <c r="G280" t="b">
        <v>0</v>
      </c>
      <c r="H280">
        <v>70806</v>
      </c>
      <c r="I280" s="5">
        <v>0</v>
      </c>
      <c r="J280" s="14">
        <v>42373.475428240738</v>
      </c>
      <c r="K280">
        <v>11.59</v>
      </c>
      <c r="L280" s="5">
        <f>('[1]Pizza Sales Calculations'!$J280-'[1]Pizza Sales Calculations'!$C280)*24*60</f>
        <v>3.0166666593868285</v>
      </c>
      <c r="M280">
        <f>COUNTA('[1]Pizza Sales Calculations'!$D280:$F280)</f>
        <v>1</v>
      </c>
      <c r="N280">
        <f>IFERROR(VLOOKUP(D280,[1]Parameters!$A$3:$C$5,3,FALSE),0)</f>
        <v>1.7</v>
      </c>
      <c r="O280">
        <f>IFERROR(VLOOKUP(E280,[1]Parameters!$A$3:$C$5,3,FALSE),0)</f>
        <v>0</v>
      </c>
      <c r="P280">
        <f>IFERROR(VLOOKUP(F280,[1]Parameters!$A$3:$C$5,3,FALSE),0)</f>
        <v>0</v>
      </c>
      <c r="Q280">
        <f t="shared" si="4"/>
        <v>1.7</v>
      </c>
      <c r="R280" s="10">
        <f>IF('[1]Pizza Sales Calculations'!$G280=TRUE, [1]Parameters!$B$17*'[1]Pizza Sales Calculations'!$L280*2, 0)</f>
        <v>0</v>
      </c>
      <c r="S280" t="str">
        <f>IF(I280&lt;[1]Parameters!$B$21,"TRUE","FALSE")</f>
        <v>TRUE</v>
      </c>
      <c r="T280" s="5">
        <f>(I280/[1]Parameters!$B$25)*60</f>
        <v>0</v>
      </c>
      <c r="U280" s="10">
        <f>IF(AND('[1]Pizza Sales Calculations'!G280=TRUE,'[1]Pizza Sales Calculations'!S280="TRUE"),T280*[1]Parameters!$B$40*2,0)</f>
        <v>0</v>
      </c>
      <c r="V280">
        <f>INDEX([1]Parameters!$A$3:$C$5,MATCH('[1]Pizza Sales Calculations'!D280,[1]Parameters!$A$3:$A$5,0),2)</f>
        <v>10</v>
      </c>
      <c r="W280" t="e">
        <f>INDEX([1]Parameters!$A$3:$C$5,MATCH('[1]Pizza Sales Calculations'!E280,[1]Parameters!$A$3:$A$5,0),2)</f>
        <v>#N/A</v>
      </c>
      <c r="X280" t="e">
        <f>INDEX([1]Parameters!$A$3:$C$5,MATCH('[1]Pizza Sales Calculations'!F280,[1]Parameters!$A$3:$A$5,0),2)</f>
        <v>#N/A</v>
      </c>
    </row>
    <row r="281" spans="1:24" x14ac:dyDescent="0.3">
      <c r="A281">
        <v>280</v>
      </c>
      <c r="B281" s="14">
        <v>42373.523113425923</v>
      </c>
      <c r="C281" s="14">
        <v>42373.533506944441</v>
      </c>
      <c r="D281" t="s">
        <v>3</v>
      </c>
      <c r="E281" t="s">
        <v>5</v>
      </c>
      <c r="G281" t="b">
        <v>1</v>
      </c>
      <c r="H281">
        <v>70805</v>
      </c>
      <c r="I281" s="5">
        <v>4.5322817038758503</v>
      </c>
      <c r="J281" s="14">
        <v>42373.54923611111</v>
      </c>
      <c r="K281">
        <v>23.34</v>
      </c>
      <c r="L281" s="5">
        <f>('[1]Pizza Sales Calculations'!$J281-'[1]Pizza Sales Calculations'!$C281)*24*60</f>
        <v>22.650000003632158</v>
      </c>
      <c r="M281">
        <f>COUNTA('[1]Pizza Sales Calculations'!$D281:$F281)</f>
        <v>2</v>
      </c>
      <c r="N281">
        <f>IFERROR(VLOOKUP(D281,[1]Parameters!$A$3:$C$5,3,FALSE),0)</f>
        <v>1</v>
      </c>
      <c r="O281">
        <f>IFERROR(VLOOKUP(E281,[1]Parameters!$A$3:$C$5,3,FALSE),0)</f>
        <v>2.2999999999999998</v>
      </c>
      <c r="P281">
        <f>IFERROR(VLOOKUP(F281,[1]Parameters!$A$3:$C$5,3,FALSE),0)</f>
        <v>0</v>
      </c>
      <c r="Q281">
        <f t="shared" si="4"/>
        <v>3.3</v>
      </c>
      <c r="R281" s="10">
        <f>IF('[1]Pizza Sales Calculations'!$G281=TRUE, [1]Parameters!$B$17*'[1]Pizza Sales Calculations'!$L281*2, 0)</f>
        <v>6.4175000010291114</v>
      </c>
      <c r="S281" t="str">
        <f>IF(I281&lt;[1]Parameters!$B$21,"TRUE","FALSE")</f>
        <v>FALSE</v>
      </c>
      <c r="T281" s="5">
        <f>(I281/[1]Parameters!$B$25)*60</f>
        <v>9.0645634077517006</v>
      </c>
      <c r="U281" s="10">
        <f>IF(AND('[1]Pizza Sales Calculations'!G281=TRUE,'[1]Pizza Sales Calculations'!S281="TRUE"),T281*[1]Parameters!$B$40*2,0)</f>
        <v>0</v>
      </c>
      <c r="V281">
        <f>INDEX([1]Parameters!$A$3:$C$5,MATCH('[1]Pizza Sales Calculations'!D281,[1]Parameters!$A$3:$A$5,0),2)</f>
        <v>7</v>
      </c>
      <c r="W281">
        <f>INDEX([1]Parameters!$A$3:$C$5,MATCH('[1]Pizza Sales Calculations'!E281,[1]Parameters!$A$3:$A$5,0),2)</f>
        <v>14</v>
      </c>
      <c r="X281" t="e">
        <f>INDEX([1]Parameters!$A$3:$C$5,MATCH('[1]Pizza Sales Calculations'!F281,[1]Parameters!$A$3:$A$5,0),2)</f>
        <v>#N/A</v>
      </c>
    </row>
    <row r="282" spans="1:24" x14ac:dyDescent="0.3">
      <c r="A282">
        <v>281</v>
      </c>
      <c r="B282" s="14">
        <v>42373.476967592593</v>
      </c>
      <c r="C282" s="14">
        <v>42373.487384259257</v>
      </c>
      <c r="D282" t="s">
        <v>3</v>
      </c>
      <c r="E282" t="s">
        <v>4</v>
      </c>
      <c r="G282" t="b">
        <v>1</v>
      </c>
      <c r="H282">
        <v>70804</v>
      </c>
      <c r="I282" s="5">
        <v>4.5106968873866098</v>
      </c>
      <c r="J282" s="14">
        <v>42373.50304398148</v>
      </c>
      <c r="K282">
        <v>19.579999999999998</v>
      </c>
      <c r="L282" s="5">
        <f>('[1]Pizza Sales Calculations'!$J282-'[1]Pizza Sales Calculations'!$C282)*24*60</f>
        <v>22.550000001210719</v>
      </c>
      <c r="M282">
        <f>COUNTA('[1]Pizza Sales Calculations'!$D282:$F282)</f>
        <v>2</v>
      </c>
      <c r="N282">
        <f>IFERROR(VLOOKUP(D282,[1]Parameters!$A$3:$C$5,3,FALSE),0)</f>
        <v>1</v>
      </c>
      <c r="O282">
        <f>IFERROR(VLOOKUP(E282,[1]Parameters!$A$3:$C$5,3,FALSE),0)</f>
        <v>1.7</v>
      </c>
      <c r="P282">
        <f>IFERROR(VLOOKUP(F282,[1]Parameters!$A$3:$C$5,3,FALSE),0)</f>
        <v>0</v>
      </c>
      <c r="Q282">
        <f t="shared" si="4"/>
        <v>2.7</v>
      </c>
      <c r="R282" s="10">
        <f>IF('[1]Pizza Sales Calculations'!$G282=TRUE, [1]Parameters!$B$17*'[1]Pizza Sales Calculations'!$L282*2, 0)</f>
        <v>6.3891666670097038</v>
      </c>
      <c r="S282" t="str">
        <f>IF(I282&lt;[1]Parameters!$B$21,"TRUE","FALSE")</f>
        <v>FALSE</v>
      </c>
      <c r="T282" s="5">
        <f>(I282/[1]Parameters!$B$25)*60</f>
        <v>9.0213937747732196</v>
      </c>
      <c r="U282" s="10">
        <f>IF(AND('[1]Pizza Sales Calculations'!G282=TRUE,'[1]Pizza Sales Calculations'!S282="TRUE"),T282*[1]Parameters!$B$40*2,0)</f>
        <v>0</v>
      </c>
      <c r="V282">
        <f>INDEX([1]Parameters!$A$3:$C$5,MATCH('[1]Pizza Sales Calculations'!D282,[1]Parameters!$A$3:$A$5,0),2)</f>
        <v>7</v>
      </c>
      <c r="W282">
        <f>INDEX([1]Parameters!$A$3:$C$5,MATCH('[1]Pizza Sales Calculations'!E282,[1]Parameters!$A$3:$A$5,0),2)</f>
        <v>10</v>
      </c>
      <c r="X282" t="e">
        <f>INDEX([1]Parameters!$A$3:$C$5,MATCH('[1]Pizza Sales Calculations'!F282,[1]Parameters!$A$3:$A$5,0),2)</f>
        <v>#N/A</v>
      </c>
    </row>
    <row r="283" spans="1:24" x14ac:dyDescent="0.3">
      <c r="A283">
        <v>282</v>
      </c>
      <c r="B283" s="14">
        <v>42373.463993055557</v>
      </c>
      <c r="C283" s="14">
        <v>42373.474432870367</v>
      </c>
      <c r="D283" t="s">
        <v>3</v>
      </c>
      <c r="E283" t="s">
        <v>4</v>
      </c>
      <c r="G283" t="b">
        <v>1</v>
      </c>
      <c r="H283">
        <v>70804</v>
      </c>
      <c r="I283" s="5">
        <v>3.41479710854194</v>
      </c>
      <c r="J283" s="14">
        <v>42373.486284722225</v>
      </c>
      <c r="K283">
        <v>19.579999999999998</v>
      </c>
      <c r="L283" s="5">
        <f>('[1]Pizza Sales Calculations'!$J283-'[1]Pizza Sales Calculations'!$C283)*24*60</f>
        <v>17.066666674800217</v>
      </c>
      <c r="M283">
        <f>COUNTA('[1]Pizza Sales Calculations'!$D283:$F283)</f>
        <v>2</v>
      </c>
      <c r="N283">
        <f>IFERROR(VLOOKUP(D283,[1]Parameters!$A$3:$C$5,3,FALSE),0)</f>
        <v>1</v>
      </c>
      <c r="O283">
        <f>IFERROR(VLOOKUP(E283,[1]Parameters!$A$3:$C$5,3,FALSE),0)</f>
        <v>1.7</v>
      </c>
      <c r="P283">
        <f>IFERROR(VLOOKUP(F283,[1]Parameters!$A$3:$C$5,3,FALSE),0)</f>
        <v>0</v>
      </c>
      <c r="Q283">
        <f t="shared" si="4"/>
        <v>2.7</v>
      </c>
      <c r="R283" s="10">
        <f>IF('[1]Pizza Sales Calculations'!$G283=TRUE, [1]Parameters!$B$17*'[1]Pizza Sales Calculations'!$L283*2, 0)</f>
        <v>4.8355555578600615</v>
      </c>
      <c r="S283" t="str">
        <f>IF(I283&lt;[1]Parameters!$B$21,"TRUE","FALSE")</f>
        <v>FALSE</v>
      </c>
      <c r="T283" s="5">
        <f>(I283/[1]Parameters!$B$25)*60</f>
        <v>6.8295942170838799</v>
      </c>
      <c r="U283" s="10">
        <f>IF(AND('[1]Pizza Sales Calculations'!G283=TRUE,'[1]Pizza Sales Calculations'!S283="TRUE"),T283*[1]Parameters!$B$40*2,0)</f>
        <v>0</v>
      </c>
      <c r="V283">
        <f>INDEX([1]Parameters!$A$3:$C$5,MATCH('[1]Pizza Sales Calculations'!D283,[1]Parameters!$A$3:$A$5,0),2)</f>
        <v>7</v>
      </c>
      <c r="W283">
        <f>INDEX([1]Parameters!$A$3:$C$5,MATCH('[1]Pizza Sales Calculations'!E283,[1]Parameters!$A$3:$A$5,0),2)</f>
        <v>10</v>
      </c>
      <c r="X283" t="e">
        <f>INDEX([1]Parameters!$A$3:$C$5,MATCH('[1]Pizza Sales Calculations'!F283,[1]Parameters!$A$3:$A$5,0),2)</f>
        <v>#N/A</v>
      </c>
    </row>
    <row r="284" spans="1:24" x14ac:dyDescent="0.3">
      <c r="A284">
        <v>283</v>
      </c>
      <c r="B284" s="14">
        <v>42373.582650462966</v>
      </c>
      <c r="C284" s="14">
        <v>42373.593032407407</v>
      </c>
      <c r="D284" t="s">
        <v>4</v>
      </c>
      <c r="G284" t="b">
        <v>0</v>
      </c>
      <c r="H284">
        <v>70804</v>
      </c>
      <c r="I284" s="5">
        <v>0</v>
      </c>
      <c r="J284" s="14">
        <v>42373.595127314817</v>
      </c>
      <c r="K284">
        <v>11.59</v>
      </c>
      <c r="L284" s="5">
        <f>('[1]Pizza Sales Calculations'!$J284-'[1]Pizza Sales Calculations'!$C284)*24*60</f>
        <v>3.0166666698642075</v>
      </c>
      <c r="M284">
        <f>COUNTA('[1]Pizza Sales Calculations'!$D284:$F284)</f>
        <v>1</v>
      </c>
      <c r="N284">
        <f>IFERROR(VLOOKUP(D284,[1]Parameters!$A$3:$C$5,3,FALSE),0)</f>
        <v>1.7</v>
      </c>
      <c r="O284">
        <f>IFERROR(VLOOKUP(E284,[1]Parameters!$A$3:$C$5,3,FALSE),0)</f>
        <v>0</v>
      </c>
      <c r="P284">
        <f>IFERROR(VLOOKUP(F284,[1]Parameters!$A$3:$C$5,3,FALSE),0)</f>
        <v>0</v>
      </c>
      <c r="Q284">
        <f t="shared" si="4"/>
        <v>1.7</v>
      </c>
      <c r="R284" s="10">
        <f>IF('[1]Pizza Sales Calculations'!$G284=TRUE, [1]Parameters!$B$17*'[1]Pizza Sales Calculations'!$L284*2, 0)</f>
        <v>0</v>
      </c>
      <c r="S284" t="str">
        <f>IF(I284&lt;[1]Parameters!$B$21,"TRUE","FALSE")</f>
        <v>TRUE</v>
      </c>
      <c r="T284" s="5">
        <f>(I284/[1]Parameters!$B$25)*60</f>
        <v>0</v>
      </c>
      <c r="U284" s="10">
        <f>IF(AND('[1]Pizza Sales Calculations'!G284=TRUE,'[1]Pizza Sales Calculations'!S284="TRUE"),T284*[1]Parameters!$B$40*2,0)</f>
        <v>0</v>
      </c>
      <c r="V284">
        <f>INDEX([1]Parameters!$A$3:$C$5,MATCH('[1]Pizza Sales Calculations'!D284,[1]Parameters!$A$3:$A$5,0),2)</f>
        <v>10</v>
      </c>
      <c r="W284" t="e">
        <f>INDEX([1]Parameters!$A$3:$C$5,MATCH('[1]Pizza Sales Calculations'!E284,[1]Parameters!$A$3:$A$5,0),2)</f>
        <v>#N/A</v>
      </c>
      <c r="X284" t="e">
        <f>INDEX([1]Parameters!$A$3:$C$5,MATCH('[1]Pizza Sales Calculations'!F284,[1]Parameters!$A$3:$A$5,0),2)</f>
        <v>#N/A</v>
      </c>
    </row>
    <row r="285" spans="1:24" x14ac:dyDescent="0.3">
      <c r="A285">
        <v>284</v>
      </c>
      <c r="B285" s="14">
        <v>42373.468344907407</v>
      </c>
      <c r="C285" s="14">
        <v>42373.478750000002</v>
      </c>
      <c r="D285" t="s">
        <v>3</v>
      </c>
      <c r="E285" t="s">
        <v>5</v>
      </c>
      <c r="G285" t="b">
        <v>1</v>
      </c>
      <c r="H285">
        <v>70803</v>
      </c>
      <c r="I285" s="5">
        <v>1.44929961592026</v>
      </c>
      <c r="J285" s="14">
        <v>42373.483773148146</v>
      </c>
      <c r="K285">
        <v>23.34</v>
      </c>
      <c r="L285" s="5">
        <f>('[1]Pizza Sales Calculations'!$J285-'[1]Pizza Sales Calculations'!$C285)*24*60</f>
        <v>7.2333333268761635</v>
      </c>
      <c r="M285">
        <f>COUNTA('[1]Pizza Sales Calculations'!$D285:$F285)</f>
        <v>2</v>
      </c>
      <c r="N285">
        <f>IFERROR(VLOOKUP(D285,[1]Parameters!$A$3:$C$5,3,FALSE),0)</f>
        <v>1</v>
      </c>
      <c r="O285">
        <f>IFERROR(VLOOKUP(E285,[1]Parameters!$A$3:$C$5,3,FALSE),0)</f>
        <v>2.2999999999999998</v>
      </c>
      <c r="P285">
        <f>IFERROR(VLOOKUP(F285,[1]Parameters!$A$3:$C$5,3,FALSE),0)</f>
        <v>0</v>
      </c>
      <c r="Q285">
        <f t="shared" si="4"/>
        <v>3.3</v>
      </c>
      <c r="R285" s="10">
        <f>IF('[1]Pizza Sales Calculations'!$G285=TRUE, [1]Parameters!$B$17*'[1]Pizza Sales Calculations'!$L285*2, 0)</f>
        <v>2.049444442614913</v>
      </c>
      <c r="S285" t="str">
        <f>IF(I285&lt;[1]Parameters!$B$21,"TRUE","FALSE")</f>
        <v>TRUE</v>
      </c>
      <c r="T285" s="5">
        <f>(I285/[1]Parameters!$B$25)*60</f>
        <v>2.89859923184052</v>
      </c>
      <c r="U285" s="10">
        <f>IF(AND('[1]Pizza Sales Calculations'!G285=TRUE,'[1]Pizza Sales Calculations'!S285="TRUE"),T285*[1]Parameters!$B$40*2,0)</f>
        <v>0.18093818188203878</v>
      </c>
      <c r="V285">
        <f>INDEX([1]Parameters!$A$3:$C$5,MATCH('[1]Pizza Sales Calculations'!D285,[1]Parameters!$A$3:$A$5,0),2)</f>
        <v>7</v>
      </c>
      <c r="W285">
        <f>INDEX([1]Parameters!$A$3:$C$5,MATCH('[1]Pizza Sales Calculations'!E285,[1]Parameters!$A$3:$A$5,0),2)</f>
        <v>14</v>
      </c>
      <c r="X285" t="e">
        <f>INDEX([1]Parameters!$A$3:$C$5,MATCH('[1]Pizza Sales Calculations'!F285,[1]Parameters!$A$3:$A$5,0),2)</f>
        <v>#N/A</v>
      </c>
    </row>
    <row r="286" spans="1:24" x14ac:dyDescent="0.3">
      <c r="A286">
        <v>285</v>
      </c>
      <c r="B286" s="14">
        <v>42373.459618055553</v>
      </c>
      <c r="C286" s="14">
        <v>42373.47</v>
      </c>
      <c r="D286" t="s">
        <v>3</v>
      </c>
      <c r="G286" t="b">
        <v>1</v>
      </c>
      <c r="H286">
        <v>70805</v>
      </c>
      <c r="I286" s="5">
        <v>3.3353953721751499</v>
      </c>
      <c r="J286" s="14">
        <v>42373.481574074074</v>
      </c>
      <c r="K286">
        <v>7.99</v>
      </c>
      <c r="L286" s="5">
        <f>('[1]Pizza Sales Calculations'!$J286-'[1]Pizza Sales Calculations'!$C286)*24*60</f>
        <v>16.666666665114462</v>
      </c>
      <c r="M286">
        <f>COUNTA('[1]Pizza Sales Calculations'!$D286:$F286)</f>
        <v>1</v>
      </c>
      <c r="N286">
        <f>IFERROR(VLOOKUP(D286,[1]Parameters!$A$3:$C$5,3,FALSE),0)</f>
        <v>1</v>
      </c>
      <c r="O286">
        <f>IFERROR(VLOOKUP(E286,[1]Parameters!$A$3:$C$5,3,FALSE),0)</f>
        <v>0</v>
      </c>
      <c r="P286">
        <f>IFERROR(VLOOKUP(F286,[1]Parameters!$A$3:$C$5,3,FALSE),0)</f>
        <v>0</v>
      </c>
      <c r="Q286">
        <f t="shared" si="4"/>
        <v>1</v>
      </c>
      <c r="R286" s="10">
        <f>IF('[1]Pizza Sales Calculations'!$G286=TRUE, [1]Parameters!$B$17*'[1]Pizza Sales Calculations'!$L286*2, 0)</f>
        <v>4.722222221782431</v>
      </c>
      <c r="S286" t="str">
        <f>IF(I286&lt;[1]Parameters!$B$21,"TRUE","FALSE")</f>
        <v>FALSE</v>
      </c>
      <c r="T286" s="5">
        <f>(I286/[1]Parameters!$B$25)*60</f>
        <v>6.6707907443502998</v>
      </c>
      <c r="U286" s="10">
        <f>IF(AND('[1]Pizza Sales Calculations'!G286=TRUE,'[1]Pizza Sales Calculations'!S286="TRUE"),T286*[1]Parameters!$B$40*2,0)</f>
        <v>0</v>
      </c>
      <c r="V286">
        <f>INDEX([1]Parameters!$A$3:$C$5,MATCH('[1]Pizza Sales Calculations'!D286,[1]Parameters!$A$3:$A$5,0),2)</f>
        <v>7</v>
      </c>
      <c r="W286" t="e">
        <f>INDEX([1]Parameters!$A$3:$C$5,MATCH('[1]Pizza Sales Calculations'!E286,[1]Parameters!$A$3:$A$5,0),2)</f>
        <v>#N/A</v>
      </c>
      <c r="X286" t="e">
        <f>INDEX([1]Parameters!$A$3:$C$5,MATCH('[1]Pizza Sales Calculations'!F286,[1]Parameters!$A$3:$A$5,0),2)</f>
        <v>#N/A</v>
      </c>
    </row>
    <row r="287" spans="1:24" x14ac:dyDescent="0.3">
      <c r="A287">
        <v>286</v>
      </c>
      <c r="B287" s="14">
        <v>42373.496041666665</v>
      </c>
      <c r="C287" s="14">
        <v>42373.50644675926</v>
      </c>
      <c r="D287" t="s">
        <v>3</v>
      </c>
      <c r="E287" t="s">
        <v>4</v>
      </c>
      <c r="G287" t="b">
        <v>1</v>
      </c>
      <c r="H287">
        <v>70804</v>
      </c>
      <c r="I287" s="5">
        <v>4.1135598655945902</v>
      </c>
      <c r="J287" s="14">
        <v>42373.520729166667</v>
      </c>
      <c r="K287">
        <v>19.579999999999998</v>
      </c>
      <c r="L287" s="5">
        <f>('[1]Pizza Sales Calculations'!$J287-'[1]Pizza Sales Calculations'!$C287)*24*60</f>
        <v>20.566666665254161</v>
      </c>
      <c r="M287">
        <f>COUNTA('[1]Pizza Sales Calculations'!$D287:$F287)</f>
        <v>2</v>
      </c>
      <c r="N287">
        <f>IFERROR(VLOOKUP(D287,[1]Parameters!$A$3:$C$5,3,FALSE),0)</f>
        <v>1</v>
      </c>
      <c r="O287">
        <f>IFERROR(VLOOKUP(E287,[1]Parameters!$A$3:$C$5,3,FALSE),0)</f>
        <v>1.7</v>
      </c>
      <c r="P287">
        <f>IFERROR(VLOOKUP(F287,[1]Parameters!$A$3:$C$5,3,FALSE),0)</f>
        <v>0</v>
      </c>
      <c r="Q287">
        <f t="shared" si="4"/>
        <v>2.7</v>
      </c>
      <c r="R287" s="10">
        <f>IF('[1]Pizza Sales Calculations'!$G287=TRUE, [1]Parameters!$B$17*'[1]Pizza Sales Calculations'!$L287*2, 0)</f>
        <v>5.8272222218220122</v>
      </c>
      <c r="S287" t="str">
        <f>IF(I287&lt;[1]Parameters!$B$21,"TRUE","FALSE")</f>
        <v>FALSE</v>
      </c>
      <c r="T287" s="5">
        <f>(I287/[1]Parameters!$B$25)*60</f>
        <v>8.2271197311891804</v>
      </c>
      <c r="U287" s="10">
        <f>IF(AND('[1]Pizza Sales Calculations'!G287=TRUE,'[1]Pizza Sales Calculations'!S287="TRUE"),T287*[1]Parameters!$B$40*2,0)</f>
        <v>0</v>
      </c>
      <c r="V287">
        <f>INDEX([1]Parameters!$A$3:$C$5,MATCH('[1]Pizza Sales Calculations'!D287,[1]Parameters!$A$3:$A$5,0),2)</f>
        <v>7</v>
      </c>
      <c r="W287">
        <f>INDEX([1]Parameters!$A$3:$C$5,MATCH('[1]Pizza Sales Calculations'!E287,[1]Parameters!$A$3:$A$5,0),2)</f>
        <v>10</v>
      </c>
      <c r="X287" t="e">
        <f>INDEX([1]Parameters!$A$3:$C$5,MATCH('[1]Pizza Sales Calculations'!F287,[1]Parameters!$A$3:$A$5,0),2)</f>
        <v>#N/A</v>
      </c>
    </row>
    <row r="288" spans="1:24" x14ac:dyDescent="0.3">
      <c r="A288">
        <v>287</v>
      </c>
      <c r="B288" s="14">
        <v>42373.531469907408</v>
      </c>
      <c r="C288" s="14">
        <v>42373.541875000003</v>
      </c>
      <c r="D288" t="s">
        <v>5</v>
      </c>
      <c r="G288" t="b">
        <v>1</v>
      </c>
      <c r="H288">
        <v>70805</v>
      </c>
      <c r="I288" s="5">
        <v>4.1103667311443299</v>
      </c>
      <c r="J288" s="14">
        <v>42373.556145833332</v>
      </c>
      <c r="K288">
        <v>15.35</v>
      </c>
      <c r="L288" s="5">
        <f>('[1]Pizza Sales Calculations'!$J288-'[1]Pizza Sales Calculations'!$C288)*24*60</f>
        <v>20.549999994691461</v>
      </c>
      <c r="M288">
        <f>COUNTA('[1]Pizza Sales Calculations'!$D288:$F288)</f>
        <v>1</v>
      </c>
      <c r="N288">
        <f>IFERROR(VLOOKUP(D288,[1]Parameters!$A$3:$C$5,3,FALSE),0)</f>
        <v>2.2999999999999998</v>
      </c>
      <c r="O288">
        <f>IFERROR(VLOOKUP(E288,[1]Parameters!$A$3:$C$5,3,FALSE),0)</f>
        <v>0</v>
      </c>
      <c r="P288">
        <f>IFERROR(VLOOKUP(F288,[1]Parameters!$A$3:$C$5,3,FALSE),0)</f>
        <v>0</v>
      </c>
      <c r="Q288">
        <f t="shared" si="4"/>
        <v>2.2999999999999998</v>
      </c>
      <c r="R288" s="10">
        <f>IF('[1]Pizza Sales Calculations'!$G288=TRUE, [1]Parameters!$B$17*'[1]Pizza Sales Calculations'!$L288*2, 0)</f>
        <v>5.822499998495914</v>
      </c>
      <c r="S288" t="str">
        <f>IF(I288&lt;[1]Parameters!$B$21,"TRUE","FALSE")</f>
        <v>FALSE</v>
      </c>
      <c r="T288" s="5">
        <f>(I288/[1]Parameters!$B$25)*60</f>
        <v>8.2207334622886599</v>
      </c>
      <c r="U288" s="10">
        <f>IF(AND('[1]Pizza Sales Calculations'!G288=TRUE,'[1]Pizza Sales Calculations'!S288="TRUE"),T288*[1]Parameters!$B$40*2,0)</f>
        <v>0</v>
      </c>
      <c r="V288">
        <f>INDEX([1]Parameters!$A$3:$C$5,MATCH('[1]Pizza Sales Calculations'!D288,[1]Parameters!$A$3:$A$5,0),2)</f>
        <v>14</v>
      </c>
      <c r="W288" t="e">
        <f>INDEX([1]Parameters!$A$3:$C$5,MATCH('[1]Pizza Sales Calculations'!E288,[1]Parameters!$A$3:$A$5,0),2)</f>
        <v>#N/A</v>
      </c>
      <c r="X288" t="e">
        <f>INDEX([1]Parameters!$A$3:$C$5,MATCH('[1]Pizza Sales Calculations'!F288,[1]Parameters!$A$3:$A$5,0),2)</f>
        <v>#N/A</v>
      </c>
    </row>
    <row r="289" spans="1:24" x14ac:dyDescent="0.3">
      <c r="A289">
        <v>288</v>
      </c>
      <c r="B289" s="14">
        <v>42373.428460648145</v>
      </c>
      <c r="C289" s="14">
        <v>42373.438877314817</v>
      </c>
      <c r="D289" t="s">
        <v>4</v>
      </c>
      <c r="G289" t="b">
        <v>0</v>
      </c>
      <c r="H289">
        <v>70803</v>
      </c>
      <c r="I289" s="5">
        <v>0</v>
      </c>
      <c r="J289" s="14">
        <v>42373.440960648149</v>
      </c>
      <c r="K289">
        <v>11.59</v>
      </c>
      <c r="L289" s="5">
        <f>('[1]Pizza Sales Calculations'!$J289-'[1]Pizza Sales Calculations'!$C289)*24*60</f>
        <v>2.9999999993015081</v>
      </c>
      <c r="M289">
        <f>COUNTA('[1]Pizza Sales Calculations'!$D289:$F289)</f>
        <v>1</v>
      </c>
      <c r="N289">
        <f>IFERROR(VLOOKUP(D289,[1]Parameters!$A$3:$C$5,3,FALSE),0)</f>
        <v>1.7</v>
      </c>
      <c r="O289">
        <f>IFERROR(VLOOKUP(E289,[1]Parameters!$A$3:$C$5,3,FALSE),0)</f>
        <v>0</v>
      </c>
      <c r="P289">
        <f>IFERROR(VLOOKUP(F289,[1]Parameters!$A$3:$C$5,3,FALSE),0)</f>
        <v>0</v>
      </c>
      <c r="Q289">
        <f t="shared" si="4"/>
        <v>1.7</v>
      </c>
      <c r="R289" s="10">
        <f>IF('[1]Pizza Sales Calculations'!$G289=TRUE, [1]Parameters!$B$17*'[1]Pizza Sales Calculations'!$L289*2, 0)</f>
        <v>0</v>
      </c>
      <c r="S289" t="str">
        <f>IF(I289&lt;[1]Parameters!$B$21,"TRUE","FALSE")</f>
        <v>TRUE</v>
      </c>
      <c r="T289" s="5">
        <f>(I289/[1]Parameters!$B$25)*60</f>
        <v>0</v>
      </c>
      <c r="U289" s="10">
        <f>IF(AND('[1]Pizza Sales Calculations'!G289=TRUE,'[1]Pizza Sales Calculations'!S289="TRUE"),T289*[1]Parameters!$B$40*2,0)</f>
        <v>0</v>
      </c>
      <c r="V289">
        <f>INDEX([1]Parameters!$A$3:$C$5,MATCH('[1]Pizza Sales Calculations'!D289,[1]Parameters!$A$3:$A$5,0),2)</f>
        <v>10</v>
      </c>
      <c r="W289" t="e">
        <f>INDEX([1]Parameters!$A$3:$C$5,MATCH('[1]Pizza Sales Calculations'!E289,[1]Parameters!$A$3:$A$5,0),2)</f>
        <v>#N/A</v>
      </c>
      <c r="X289" t="e">
        <f>INDEX([1]Parameters!$A$3:$C$5,MATCH('[1]Pizza Sales Calculations'!F289,[1]Parameters!$A$3:$A$5,0),2)</f>
        <v>#N/A</v>
      </c>
    </row>
    <row r="290" spans="1:24" x14ac:dyDescent="0.3">
      <c r="A290">
        <v>289</v>
      </c>
      <c r="B290" s="14">
        <v>42373.480381944442</v>
      </c>
      <c r="C290" s="14">
        <v>42373.490798611114</v>
      </c>
      <c r="D290" t="s">
        <v>5</v>
      </c>
      <c r="G290" t="b">
        <v>1</v>
      </c>
      <c r="H290">
        <v>70805</v>
      </c>
      <c r="I290" s="5">
        <v>4.3627106236587601</v>
      </c>
      <c r="J290" s="14">
        <v>42373.505937499998</v>
      </c>
      <c r="K290">
        <v>15.35</v>
      </c>
      <c r="L290" s="5">
        <f>('[1]Pizza Sales Calculations'!$J290-'[1]Pizza Sales Calculations'!$C290)*24*60</f>
        <v>21.799999993527308</v>
      </c>
      <c r="M290">
        <f>COUNTA('[1]Pizza Sales Calculations'!$D290:$F290)</f>
        <v>1</v>
      </c>
      <c r="N290">
        <f>IFERROR(VLOOKUP(D290,[1]Parameters!$A$3:$C$5,3,FALSE),0)</f>
        <v>2.2999999999999998</v>
      </c>
      <c r="O290">
        <f>IFERROR(VLOOKUP(E290,[1]Parameters!$A$3:$C$5,3,FALSE),0)</f>
        <v>0</v>
      </c>
      <c r="P290">
        <f>IFERROR(VLOOKUP(F290,[1]Parameters!$A$3:$C$5,3,FALSE),0)</f>
        <v>0</v>
      </c>
      <c r="Q290">
        <f t="shared" si="4"/>
        <v>2.2999999999999998</v>
      </c>
      <c r="R290" s="10">
        <f>IF('[1]Pizza Sales Calculations'!$G290=TRUE, [1]Parameters!$B$17*'[1]Pizza Sales Calculations'!$L290*2, 0)</f>
        <v>6.1766666648327373</v>
      </c>
      <c r="S290" t="str">
        <f>IF(I290&lt;[1]Parameters!$B$21,"TRUE","FALSE")</f>
        <v>FALSE</v>
      </c>
      <c r="T290" s="5">
        <f>(I290/[1]Parameters!$B$25)*60</f>
        <v>8.7254212473175201</v>
      </c>
      <c r="U290" s="10">
        <f>IF(AND('[1]Pizza Sales Calculations'!G290=TRUE,'[1]Pizza Sales Calculations'!S290="TRUE"),T290*[1]Parameters!$B$40*2,0)</f>
        <v>0</v>
      </c>
      <c r="V290">
        <f>INDEX([1]Parameters!$A$3:$C$5,MATCH('[1]Pizza Sales Calculations'!D290,[1]Parameters!$A$3:$A$5,0),2)</f>
        <v>14</v>
      </c>
      <c r="W290" t="e">
        <f>INDEX([1]Parameters!$A$3:$C$5,MATCH('[1]Pizza Sales Calculations'!E290,[1]Parameters!$A$3:$A$5,0),2)</f>
        <v>#N/A</v>
      </c>
      <c r="X290" t="e">
        <f>INDEX([1]Parameters!$A$3:$C$5,MATCH('[1]Pizza Sales Calculations'!F290,[1]Parameters!$A$3:$A$5,0),2)</f>
        <v>#N/A</v>
      </c>
    </row>
    <row r="291" spans="1:24" x14ac:dyDescent="0.3">
      <c r="A291">
        <v>290</v>
      </c>
      <c r="B291" s="14">
        <v>42373.567118055558</v>
      </c>
      <c r="C291" s="14">
        <v>42373.577523148146</v>
      </c>
      <c r="D291" t="s">
        <v>4</v>
      </c>
      <c r="G291" t="b">
        <v>0</v>
      </c>
      <c r="H291">
        <v>70804</v>
      </c>
      <c r="I291" s="5">
        <v>0</v>
      </c>
      <c r="J291" s="14">
        <v>42373.579583333332</v>
      </c>
      <c r="K291">
        <v>11.59</v>
      </c>
      <c r="L291" s="5">
        <f>('[1]Pizza Sales Calculations'!$J291-'[1]Pizza Sales Calculations'!$C291)*24*60</f>
        <v>2.9666666686534882</v>
      </c>
      <c r="M291">
        <f>COUNTA('[1]Pizza Sales Calculations'!$D291:$F291)</f>
        <v>1</v>
      </c>
      <c r="N291">
        <f>IFERROR(VLOOKUP(D291,[1]Parameters!$A$3:$C$5,3,FALSE),0)</f>
        <v>1.7</v>
      </c>
      <c r="O291">
        <f>IFERROR(VLOOKUP(E291,[1]Parameters!$A$3:$C$5,3,FALSE),0)</f>
        <v>0</v>
      </c>
      <c r="P291">
        <f>IFERROR(VLOOKUP(F291,[1]Parameters!$A$3:$C$5,3,FALSE),0)</f>
        <v>0</v>
      </c>
      <c r="Q291">
        <f t="shared" si="4"/>
        <v>1.7</v>
      </c>
      <c r="R291" s="10">
        <f>IF('[1]Pizza Sales Calculations'!$G291=TRUE, [1]Parameters!$B$17*'[1]Pizza Sales Calculations'!$L291*2, 0)</f>
        <v>0</v>
      </c>
      <c r="S291" t="str">
        <f>IF(I291&lt;[1]Parameters!$B$21,"TRUE","FALSE")</f>
        <v>TRUE</v>
      </c>
      <c r="T291" s="5">
        <f>(I291/[1]Parameters!$B$25)*60</f>
        <v>0</v>
      </c>
      <c r="U291" s="10">
        <f>IF(AND('[1]Pizza Sales Calculations'!G291=TRUE,'[1]Pizza Sales Calculations'!S291="TRUE"),T291*[1]Parameters!$B$40*2,0)</f>
        <v>0</v>
      </c>
      <c r="V291">
        <f>INDEX([1]Parameters!$A$3:$C$5,MATCH('[1]Pizza Sales Calculations'!D291,[1]Parameters!$A$3:$A$5,0),2)</f>
        <v>10</v>
      </c>
      <c r="W291" t="e">
        <f>INDEX([1]Parameters!$A$3:$C$5,MATCH('[1]Pizza Sales Calculations'!E291,[1]Parameters!$A$3:$A$5,0),2)</f>
        <v>#N/A</v>
      </c>
      <c r="X291" t="e">
        <f>INDEX([1]Parameters!$A$3:$C$5,MATCH('[1]Pizza Sales Calculations'!F291,[1]Parameters!$A$3:$A$5,0),2)</f>
        <v>#N/A</v>
      </c>
    </row>
    <row r="292" spans="1:24" x14ac:dyDescent="0.3">
      <c r="A292">
        <v>291</v>
      </c>
      <c r="B292" s="14">
        <v>42373.553773148145</v>
      </c>
      <c r="C292" s="14">
        <v>42373.56417824074</v>
      </c>
      <c r="D292" t="s">
        <v>3</v>
      </c>
      <c r="E292" t="s">
        <v>4</v>
      </c>
      <c r="G292" t="b">
        <v>1</v>
      </c>
      <c r="H292">
        <v>70803</v>
      </c>
      <c r="I292" s="5">
        <v>2.8789643115510901</v>
      </c>
      <c r="J292" s="14">
        <v>42373.574166666665</v>
      </c>
      <c r="K292">
        <v>19.579999999999998</v>
      </c>
      <c r="L292" s="5">
        <f>('[1]Pizza Sales Calculations'!$J292-'[1]Pizza Sales Calculations'!$C292)*24*60</f>
        <v>14.383333332370967</v>
      </c>
      <c r="M292">
        <f>COUNTA('[1]Pizza Sales Calculations'!$D292:$F292)</f>
        <v>2</v>
      </c>
      <c r="N292">
        <f>IFERROR(VLOOKUP(D292,[1]Parameters!$A$3:$C$5,3,FALSE),0)</f>
        <v>1</v>
      </c>
      <c r="O292">
        <f>IFERROR(VLOOKUP(E292,[1]Parameters!$A$3:$C$5,3,FALSE),0)</f>
        <v>1.7</v>
      </c>
      <c r="P292">
        <f>IFERROR(VLOOKUP(F292,[1]Parameters!$A$3:$C$5,3,FALSE),0)</f>
        <v>0</v>
      </c>
      <c r="Q292">
        <f t="shared" si="4"/>
        <v>2.7</v>
      </c>
      <c r="R292" s="10">
        <f>IF('[1]Pizza Sales Calculations'!$G292=TRUE, [1]Parameters!$B$17*'[1]Pizza Sales Calculations'!$L292*2, 0)</f>
        <v>4.0752777775051072</v>
      </c>
      <c r="S292" t="str">
        <f>IF(I292&lt;[1]Parameters!$B$21,"TRUE","FALSE")</f>
        <v>TRUE</v>
      </c>
      <c r="T292" s="5">
        <f>(I292/[1]Parameters!$B$25)*60</f>
        <v>5.7579286231021802</v>
      </c>
      <c r="U292" s="10">
        <f>IF(AND('[1]Pizza Sales Calculations'!G292=TRUE,'[1]Pizza Sales Calculations'!S292="TRUE"),T292*[1]Parameters!$B$40*2,0)</f>
        <v>0.35942503710978024</v>
      </c>
      <c r="V292">
        <f>INDEX([1]Parameters!$A$3:$C$5,MATCH('[1]Pizza Sales Calculations'!D292,[1]Parameters!$A$3:$A$5,0),2)</f>
        <v>7</v>
      </c>
      <c r="W292">
        <f>INDEX([1]Parameters!$A$3:$C$5,MATCH('[1]Pizza Sales Calculations'!E292,[1]Parameters!$A$3:$A$5,0),2)</f>
        <v>10</v>
      </c>
      <c r="X292" t="e">
        <f>INDEX([1]Parameters!$A$3:$C$5,MATCH('[1]Pizza Sales Calculations'!F292,[1]Parameters!$A$3:$A$5,0),2)</f>
        <v>#N/A</v>
      </c>
    </row>
    <row r="293" spans="1:24" x14ac:dyDescent="0.3">
      <c r="A293">
        <v>292</v>
      </c>
      <c r="B293" s="14">
        <v>42373.493414351855</v>
      </c>
      <c r="C293" s="14">
        <v>42373.503819444442</v>
      </c>
      <c r="D293" t="s">
        <v>3</v>
      </c>
      <c r="E293" t="s">
        <v>5</v>
      </c>
      <c r="G293" t="b">
        <v>0</v>
      </c>
      <c r="H293">
        <v>70804</v>
      </c>
      <c r="I293" s="5">
        <v>0</v>
      </c>
      <c r="J293" s="14">
        <v>42373.505879629629</v>
      </c>
      <c r="K293">
        <v>23.34</v>
      </c>
      <c r="L293" s="5">
        <f>('[1]Pizza Sales Calculations'!$J293-'[1]Pizza Sales Calculations'!$C293)*24*60</f>
        <v>2.9666666686534882</v>
      </c>
      <c r="M293">
        <f>COUNTA('[1]Pizza Sales Calculations'!$D293:$F293)</f>
        <v>2</v>
      </c>
      <c r="N293">
        <f>IFERROR(VLOOKUP(D293,[1]Parameters!$A$3:$C$5,3,FALSE),0)</f>
        <v>1</v>
      </c>
      <c r="O293">
        <f>IFERROR(VLOOKUP(E293,[1]Parameters!$A$3:$C$5,3,FALSE),0)</f>
        <v>2.2999999999999998</v>
      </c>
      <c r="P293">
        <f>IFERROR(VLOOKUP(F293,[1]Parameters!$A$3:$C$5,3,FALSE),0)</f>
        <v>0</v>
      </c>
      <c r="Q293">
        <f t="shared" si="4"/>
        <v>3.3</v>
      </c>
      <c r="R293" s="10">
        <f>IF('[1]Pizza Sales Calculations'!$G293=TRUE, [1]Parameters!$B$17*'[1]Pizza Sales Calculations'!$L293*2, 0)</f>
        <v>0</v>
      </c>
      <c r="S293" t="str">
        <f>IF(I293&lt;[1]Parameters!$B$21,"TRUE","FALSE")</f>
        <v>TRUE</v>
      </c>
      <c r="T293" s="5">
        <f>(I293/[1]Parameters!$B$25)*60</f>
        <v>0</v>
      </c>
      <c r="U293" s="10">
        <f>IF(AND('[1]Pizza Sales Calculations'!G293=TRUE,'[1]Pizza Sales Calculations'!S293="TRUE"),T293*[1]Parameters!$B$40*2,0)</f>
        <v>0</v>
      </c>
      <c r="V293">
        <f>INDEX([1]Parameters!$A$3:$C$5,MATCH('[1]Pizza Sales Calculations'!D293,[1]Parameters!$A$3:$A$5,0),2)</f>
        <v>7</v>
      </c>
      <c r="W293">
        <f>INDEX([1]Parameters!$A$3:$C$5,MATCH('[1]Pizza Sales Calculations'!E293,[1]Parameters!$A$3:$A$5,0),2)</f>
        <v>14</v>
      </c>
      <c r="X293" t="e">
        <f>INDEX([1]Parameters!$A$3:$C$5,MATCH('[1]Pizza Sales Calculations'!F293,[1]Parameters!$A$3:$A$5,0),2)</f>
        <v>#N/A</v>
      </c>
    </row>
    <row r="294" spans="1:24" x14ac:dyDescent="0.3">
      <c r="A294">
        <v>293</v>
      </c>
      <c r="B294" s="14">
        <v>42373.561574074076</v>
      </c>
      <c r="C294" s="14">
        <v>42373.57199074074</v>
      </c>
      <c r="D294" t="s">
        <v>4</v>
      </c>
      <c r="G294" t="b">
        <v>0</v>
      </c>
      <c r="H294">
        <v>70804</v>
      </c>
      <c r="I294" s="5">
        <v>0</v>
      </c>
      <c r="J294" s="14">
        <v>42373.574074074073</v>
      </c>
      <c r="K294">
        <v>11.59</v>
      </c>
      <c r="L294" s="5">
        <f>('[1]Pizza Sales Calculations'!$J294-'[1]Pizza Sales Calculations'!$C294)*24*60</f>
        <v>2.9999999993015081</v>
      </c>
      <c r="M294">
        <f>COUNTA('[1]Pizza Sales Calculations'!$D294:$F294)</f>
        <v>1</v>
      </c>
      <c r="N294">
        <f>IFERROR(VLOOKUP(D294,[1]Parameters!$A$3:$C$5,3,FALSE),0)</f>
        <v>1.7</v>
      </c>
      <c r="O294">
        <f>IFERROR(VLOOKUP(E294,[1]Parameters!$A$3:$C$5,3,FALSE),0)</f>
        <v>0</v>
      </c>
      <c r="P294">
        <f>IFERROR(VLOOKUP(F294,[1]Parameters!$A$3:$C$5,3,FALSE),0)</f>
        <v>0</v>
      </c>
      <c r="Q294">
        <f t="shared" si="4"/>
        <v>1.7</v>
      </c>
      <c r="R294" s="10">
        <f>IF('[1]Pizza Sales Calculations'!$G294=TRUE, [1]Parameters!$B$17*'[1]Pizza Sales Calculations'!$L294*2, 0)</f>
        <v>0</v>
      </c>
      <c r="S294" t="str">
        <f>IF(I294&lt;[1]Parameters!$B$21,"TRUE","FALSE")</f>
        <v>TRUE</v>
      </c>
      <c r="T294" s="5">
        <f>(I294/[1]Parameters!$B$25)*60</f>
        <v>0</v>
      </c>
      <c r="U294" s="10">
        <f>IF(AND('[1]Pizza Sales Calculations'!G294=TRUE,'[1]Pizza Sales Calculations'!S294="TRUE"),T294*[1]Parameters!$B$40*2,0)</f>
        <v>0</v>
      </c>
      <c r="V294">
        <f>INDEX([1]Parameters!$A$3:$C$5,MATCH('[1]Pizza Sales Calculations'!D294,[1]Parameters!$A$3:$A$5,0),2)</f>
        <v>10</v>
      </c>
      <c r="W294" t="e">
        <f>INDEX([1]Parameters!$A$3:$C$5,MATCH('[1]Pizza Sales Calculations'!E294,[1]Parameters!$A$3:$A$5,0),2)</f>
        <v>#N/A</v>
      </c>
      <c r="X294" t="e">
        <f>INDEX([1]Parameters!$A$3:$C$5,MATCH('[1]Pizza Sales Calculations'!F294,[1]Parameters!$A$3:$A$5,0),2)</f>
        <v>#N/A</v>
      </c>
    </row>
    <row r="295" spans="1:24" x14ac:dyDescent="0.3">
      <c r="A295">
        <v>294</v>
      </c>
      <c r="B295" s="14">
        <v>42373.449756944443</v>
      </c>
      <c r="C295" s="14">
        <v>42373.460173611114</v>
      </c>
      <c r="D295" t="s">
        <v>5</v>
      </c>
      <c r="G295" t="b">
        <v>1</v>
      </c>
      <c r="H295">
        <v>70804</v>
      </c>
      <c r="I295" s="5">
        <v>0.85822021595679199</v>
      </c>
      <c r="J295" s="14">
        <v>42373.463148148148</v>
      </c>
      <c r="K295">
        <v>15.35</v>
      </c>
      <c r="L295" s="5">
        <f>('[1]Pizza Sales Calculations'!$J295-'[1]Pizza Sales Calculations'!$C295)*24*60</f>
        <v>4.2833333287853748</v>
      </c>
      <c r="M295">
        <f>COUNTA('[1]Pizza Sales Calculations'!$D295:$F295)</f>
        <v>1</v>
      </c>
      <c r="N295">
        <f>IFERROR(VLOOKUP(D295,[1]Parameters!$A$3:$C$5,3,FALSE),0)</f>
        <v>2.2999999999999998</v>
      </c>
      <c r="O295">
        <f>IFERROR(VLOOKUP(E295,[1]Parameters!$A$3:$C$5,3,FALSE),0)</f>
        <v>0</v>
      </c>
      <c r="P295">
        <f>IFERROR(VLOOKUP(F295,[1]Parameters!$A$3:$C$5,3,FALSE),0)</f>
        <v>0</v>
      </c>
      <c r="Q295">
        <f t="shared" si="4"/>
        <v>2.2999999999999998</v>
      </c>
      <c r="R295" s="10">
        <f>IF('[1]Pizza Sales Calculations'!$G295=TRUE, [1]Parameters!$B$17*'[1]Pizza Sales Calculations'!$L295*2, 0)</f>
        <v>1.2136111098225228</v>
      </c>
      <c r="S295" t="str">
        <f>IF(I295&lt;[1]Parameters!$B$21,"TRUE","FALSE")</f>
        <v>TRUE</v>
      </c>
      <c r="T295" s="5">
        <f>(I295/[1]Parameters!$B$25)*60</f>
        <v>1.716440431913584</v>
      </c>
      <c r="U295" s="10">
        <f>IF(AND('[1]Pizza Sales Calculations'!G295=TRUE,'[1]Pizza Sales Calculations'!S295="TRUE"),T295*[1]Parameters!$B$40*2,0)</f>
        <v>0.10714472275012066</v>
      </c>
      <c r="V295">
        <f>INDEX([1]Parameters!$A$3:$C$5,MATCH('[1]Pizza Sales Calculations'!D295,[1]Parameters!$A$3:$A$5,0),2)</f>
        <v>14</v>
      </c>
      <c r="W295" t="e">
        <f>INDEX([1]Parameters!$A$3:$C$5,MATCH('[1]Pizza Sales Calculations'!E295,[1]Parameters!$A$3:$A$5,0),2)</f>
        <v>#N/A</v>
      </c>
      <c r="X295" t="e">
        <f>INDEX([1]Parameters!$A$3:$C$5,MATCH('[1]Pizza Sales Calculations'!F295,[1]Parameters!$A$3:$A$5,0),2)</f>
        <v>#N/A</v>
      </c>
    </row>
    <row r="296" spans="1:24" x14ac:dyDescent="0.3">
      <c r="A296">
        <v>295</v>
      </c>
      <c r="B296" s="14">
        <v>42373.475960648146</v>
      </c>
      <c r="C296" s="14">
        <v>42373.486342592594</v>
      </c>
      <c r="D296" t="s">
        <v>3</v>
      </c>
      <c r="G296" t="b">
        <v>1</v>
      </c>
      <c r="H296">
        <v>70806</v>
      </c>
      <c r="I296" s="5">
        <v>2.7576606316405798</v>
      </c>
      <c r="J296" s="14">
        <v>42373.49591435185</v>
      </c>
      <c r="K296">
        <v>7.99</v>
      </c>
      <c r="L296" s="5">
        <f>('[1]Pizza Sales Calculations'!$J296-'[1]Pizza Sales Calculations'!$C296)*24*60</f>
        <v>13.783333328319713</v>
      </c>
      <c r="M296">
        <f>COUNTA('[1]Pizza Sales Calculations'!$D296:$F296)</f>
        <v>1</v>
      </c>
      <c r="N296">
        <f>IFERROR(VLOOKUP(D296,[1]Parameters!$A$3:$C$5,3,FALSE),0)</f>
        <v>1</v>
      </c>
      <c r="O296">
        <f>IFERROR(VLOOKUP(E296,[1]Parameters!$A$3:$C$5,3,FALSE),0)</f>
        <v>0</v>
      </c>
      <c r="P296">
        <f>IFERROR(VLOOKUP(F296,[1]Parameters!$A$3:$C$5,3,FALSE),0)</f>
        <v>0</v>
      </c>
      <c r="Q296">
        <f t="shared" si="4"/>
        <v>1</v>
      </c>
      <c r="R296" s="10">
        <f>IF('[1]Pizza Sales Calculations'!$G296=TRUE, [1]Parameters!$B$17*'[1]Pizza Sales Calculations'!$L296*2, 0)</f>
        <v>3.9052777763572522</v>
      </c>
      <c r="S296" t="str">
        <f>IF(I296&lt;[1]Parameters!$B$21,"TRUE","FALSE")</f>
        <v>TRUE</v>
      </c>
      <c r="T296" s="5">
        <f>(I296/[1]Parameters!$B$25)*60</f>
        <v>5.5153212632811597</v>
      </c>
      <c r="U296" s="10">
        <f>IF(AND('[1]Pizza Sales Calculations'!G296=TRUE,'[1]Pizza Sales Calculations'!S296="TRUE"),T296*[1]Parameters!$B$40*2,0)</f>
        <v>0.34428084811151577</v>
      </c>
      <c r="V296">
        <f>INDEX([1]Parameters!$A$3:$C$5,MATCH('[1]Pizza Sales Calculations'!D296,[1]Parameters!$A$3:$A$5,0),2)</f>
        <v>7</v>
      </c>
      <c r="W296" t="e">
        <f>INDEX([1]Parameters!$A$3:$C$5,MATCH('[1]Pizza Sales Calculations'!E296,[1]Parameters!$A$3:$A$5,0),2)</f>
        <v>#N/A</v>
      </c>
      <c r="X296" t="e">
        <f>INDEX([1]Parameters!$A$3:$C$5,MATCH('[1]Pizza Sales Calculations'!F296,[1]Parameters!$A$3:$A$5,0),2)</f>
        <v>#N/A</v>
      </c>
    </row>
    <row r="297" spans="1:24" x14ac:dyDescent="0.3">
      <c r="A297">
        <v>296</v>
      </c>
      <c r="B297" s="14">
        <v>42373.508043981485</v>
      </c>
      <c r="C297" s="14">
        <v>42373.518460648149</v>
      </c>
      <c r="D297" t="s">
        <v>3</v>
      </c>
      <c r="E297" t="s">
        <v>5</v>
      </c>
      <c r="G297" t="b">
        <v>1</v>
      </c>
      <c r="H297">
        <v>70806</v>
      </c>
      <c r="I297" s="5">
        <v>5.4427183981334801</v>
      </c>
      <c r="J297" s="14">
        <v>42373.537349537037</v>
      </c>
      <c r="K297">
        <v>23.34</v>
      </c>
      <c r="L297" s="5">
        <f>('[1]Pizza Sales Calculations'!$J297-'[1]Pizza Sales Calculations'!$C297)*24*60</f>
        <v>27.19999999855645</v>
      </c>
      <c r="M297">
        <f>COUNTA('[1]Pizza Sales Calculations'!$D297:$F297)</f>
        <v>2</v>
      </c>
      <c r="N297">
        <f>IFERROR(VLOOKUP(D297,[1]Parameters!$A$3:$C$5,3,FALSE),0)</f>
        <v>1</v>
      </c>
      <c r="O297">
        <f>IFERROR(VLOOKUP(E297,[1]Parameters!$A$3:$C$5,3,FALSE),0)</f>
        <v>2.2999999999999998</v>
      </c>
      <c r="P297">
        <f>IFERROR(VLOOKUP(F297,[1]Parameters!$A$3:$C$5,3,FALSE),0)</f>
        <v>0</v>
      </c>
      <c r="Q297">
        <f t="shared" si="4"/>
        <v>3.3</v>
      </c>
      <c r="R297" s="10">
        <f>IF('[1]Pizza Sales Calculations'!$G297=TRUE, [1]Parameters!$B$17*'[1]Pizza Sales Calculations'!$L297*2, 0)</f>
        <v>7.7066666662576608</v>
      </c>
      <c r="S297" t="str">
        <f>IF(I297&lt;[1]Parameters!$B$21,"TRUE","FALSE")</f>
        <v>FALSE</v>
      </c>
      <c r="T297" s="5">
        <f>(I297/[1]Parameters!$B$25)*60</f>
        <v>10.88543679626696</v>
      </c>
      <c r="U297" s="10">
        <f>IF(AND('[1]Pizza Sales Calculations'!G297=TRUE,'[1]Pizza Sales Calculations'!S297="TRUE"),T297*[1]Parameters!$B$40*2,0)</f>
        <v>0</v>
      </c>
      <c r="V297">
        <f>INDEX([1]Parameters!$A$3:$C$5,MATCH('[1]Pizza Sales Calculations'!D297,[1]Parameters!$A$3:$A$5,0),2)</f>
        <v>7</v>
      </c>
      <c r="W297">
        <f>INDEX([1]Parameters!$A$3:$C$5,MATCH('[1]Pizza Sales Calculations'!E297,[1]Parameters!$A$3:$A$5,0),2)</f>
        <v>14</v>
      </c>
      <c r="X297" t="e">
        <f>INDEX([1]Parameters!$A$3:$C$5,MATCH('[1]Pizza Sales Calculations'!F297,[1]Parameters!$A$3:$A$5,0),2)</f>
        <v>#N/A</v>
      </c>
    </row>
    <row r="298" spans="1:24" x14ac:dyDescent="0.3">
      <c r="A298">
        <v>297</v>
      </c>
      <c r="B298" s="14">
        <v>42373.463842592595</v>
      </c>
      <c r="C298" s="14">
        <v>42373.474224537036</v>
      </c>
      <c r="D298" t="s">
        <v>3</v>
      </c>
      <c r="G298" t="b">
        <v>0</v>
      </c>
      <c r="H298">
        <v>70806</v>
      </c>
      <c r="I298" s="5">
        <v>0</v>
      </c>
      <c r="J298" s="14">
        <v>42373.476319444446</v>
      </c>
      <c r="K298">
        <v>7.99</v>
      </c>
      <c r="L298" s="5">
        <f>('[1]Pizza Sales Calculations'!$J298-'[1]Pizza Sales Calculations'!$C298)*24*60</f>
        <v>3.0166666698642075</v>
      </c>
      <c r="M298">
        <f>COUNTA('[1]Pizza Sales Calculations'!$D298:$F298)</f>
        <v>1</v>
      </c>
      <c r="N298">
        <f>IFERROR(VLOOKUP(D298,[1]Parameters!$A$3:$C$5,3,FALSE),0)</f>
        <v>1</v>
      </c>
      <c r="O298">
        <f>IFERROR(VLOOKUP(E298,[1]Parameters!$A$3:$C$5,3,FALSE),0)</f>
        <v>0</v>
      </c>
      <c r="P298">
        <f>IFERROR(VLOOKUP(F298,[1]Parameters!$A$3:$C$5,3,FALSE),0)</f>
        <v>0</v>
      </c>
      <c r="Q298">
        <f t="shared" si="4"/>
        <v>1</v>
      </c>
      <c r="R298" s="10">
        <f>IF('[1]Pizza Sales Calculations'!$G298=TRUE, [1]Parameters!$B$17*'[1]Pizza Sales Calculations'!$L298*2, 0)</f>
        <v>0</v>
      </c>
      <c r="S298" t="str">
        <f>IF(I298&lt;[1]Parameters!$B$21,"TRUE","FALSE")</f>
        <v>TRUE</v>
      </c>
      <c r="T298" s="5">
        <f>(I298/[1]Parameters!$B$25)*60</f>
        <v>0</v>
      </c>
      <c r="U298" s="10">
        <f>IF(AND('[1]Pizza Sales Calculations'!G298=TRUE,'[1]Pizza Sales Calculations'!S298="TRUE"),T298*[1]Parameters!$B$40*2,0)</f>
        <v>0</v>
      </c>
      <c r="V298">
        <f>INDEX([1]Parameters!$A$3:$C$5,MATCH('[1]Pizza Sales Calculations'!D298,[1]Parameters!$A$3:$A$5,0),2)</f>
        <v>7</v>
      </c>
      <c r="W298" t="e">
        <f>INDEX([1]Parameters!$A$3:$C$5,MATCH('[1]Pizza Sales Calculations'!E298,[1]Parameters!$A$3:$A$5,0),2)</f>
        <v>#N/A</v>
      </c>
      <c r="X298" t="e">
        <f>INDEX([1]Parameters!$A$3:$C$5,MATCH('[1]Pizza Sales Calculations'!F298,[1]Parameters!$A$3:$A$5,0),2)</f>
        <v>#N/A</v>
      </c>
    </row>
    <row r="299" spans="1:24" x14ac:dyDescent="0.3">
      <c r="A299">
        <v>298</v>
      </c>
      <c r="B299" s="14">
        <v>42373.470694444448</v>
      </c>
      <c r="C299" s="14">
        <v>42373.481099537035</v>
      </c>
      <c r="D299" t="s">
        <v>4</v>
      </c>
      <c r="G299" t="b">
        <v>0</v>
      </c>
      <c r="H299">
        <v>70804</v>
      </c>
      <c r="I299" s="5">
        <v>0</v>
      </c>
      <c r="J299" s="14">
        <v>42373.483182870368</v>
      </c>
      <c r="K299">
        <v>11.59</v>
      </c>
      <c r="L299" s="5">
        <f>('[1]Pizza Sales Calculations'!$J299-'[1]Pizza Sales Calculations'!$C299)*24*60</f>
        <v>2.9999999993015081</v>
      </c>
      <c r="M299">
        <f>COUNTA('[1]Pizza Sales Calculations'!$D299:$F299)</f>
        <v>1</v>
      </c>
      <c r="N299">
        <f>IFERROR(VLOOKUP(D299,[1]Parameters!$A$3:$C$5,3,FALSE),0)</f>
        <v>1.7</v>
      </c>
      <c r="O299">
        <f>IFERROR(VLOOKUP(E299,[1]Parameters!$A$3:$C$5,3,FALSE),0)</f>
        <v>0</v>
      </c>
      <c r="P299">
        <f>IFERROR(VLOOKUP(F299,[1]Parameters!$A$3:$C$5,3,FALSE),0)</f>
        <v>0</v>
      </c>
      <c r="Q299">
        <f t="shared" si="4"/>
        <v>1.7</v>
      </c>
      <c r="R299" s="10">
        <f>IF('[1]Pizza Sales Calculations'!$G299=TRUE, [1]Parameters!$B$17*'[1]Pizza Sales Calculations'!$L299*2, 0)</f>
        <v>0</v>
      </c>
      <c r="S299" t="str">
        <f>IF(I299&lt;[1]Parameters!$B$21,"TRUE","FALSE")</f>
        <v>TRUE</v>
      </c>
      <c r="T299" s="5">
        <f>(I299/[1]Parameters!$B$25)*60</f>
        <v>0</v>
      </c>
      <c r="U299" s="10">
        <f>IF(AND('[1]Pizza Sales Calculations'!G299=TRUE,'[1]Pizza Sales Calculations'!S299="TRUE"),T299*[1]Parameters!$B$40*2,0)</f>
        <v>0</v>
      </c>
      <c r="V299">
        <f>INDEX([1]Parameters!$A$3:$C$5,MATCH('[1]Pizza Sales Calculations'!D299,[1]Parameters!$A$3:$A$5,0),2)</f>
        <v>10</v>
      </c>
      <c r="W299" t="e">
        <f>INDEX([1]Parameters!$A$3:$C$5,MATCH('[1]Pizza Sales Calculations'!E299,[1]Parameters!$A$3:$A$5,0),2)</f>
        <v>#N/A</v>
      </c>
      <c r="X299" t="e">
        <f>INDEX([1]Parameters!$A$3:$C$5,MATCH('[1]Pizza Sales Calculations'!F299,[1]Parameters!$A$3:$A$5,0),2)</f>
        <v>#N/A</v>
      </c>
    </row>
    <row r="300" spans="1:24" x14ac:dyDescent="0.3">
      <c r="A300">
        <v>299</v>
      </c>
      <c r="B300" s="14">
        <v>42373.5312037037</v>
      </c>
      <c r="C300" s="14">
        <v>42373.541620370372</v>
      </c>
      <c r="D300" t="s">
        <v>4</v>
      </c>
      <c r="G300" t="b">
        <v>0</v>
      </c>
      <c r="H300">
        <v>70804</v>
      </c>
      <c r="I300" s="5">
        <v>0</v>
      </c>
      <c r="J300" s="14">
        <v>42373.543703703705</v>
      </c>
      <c r="K300">
        <v>11.59</v>
      </c>
      <c r="L300" s="5">
        <f>('[1]Pizza Sales Calculations'!$J300-'[1]Pizza Sales Calculations'!$C300)*24*60</f>
        <v>2.9999999993015081</v>
      </c>
      <c r="M300">
        <f>COUNTA('[1]Pizza Sales Calculations'!$D300:$F300)</f>
        <v>1</v>
      </c>
      <c r="N300">
        <f>IFERROR(VLOOKUP(D300,[1]Parameters!$A$3:$C$5,3,FALSE),0)</f>
        <v>1.7</v>
      </c>
      <c r="O300">
        <f>IFERROR(VLOOKUP(E300,[1]Parameters!$A$3:$C$5,3,FALSE),0)</f>
        <v>0</v>
      </c>
      <c r="P300">
        <f>IFERROR(VLOOKUP(F300,[1]Parameters!$A$3:$C$5,3,FALSE),0)</f>
        <v>0</v>
      </c>
      <c r="Q300">
        <f t="shared" si="4"/>
        <v>1.7</v>
      </c>
      <c r="R300" s="10">
        <f>IF('[1]Pizza Sales Calculations'!$G300=TRUE, [1]Parameters!$B$17*'[1]Pizza Sales Calculations'!$L300*2, 0)</f>
        <v>0</v>
      </c>
      <c r="S300" t="str">
        <f>IF(I300&lt;[1]Parameters!$B$21,"TRUE","FALSE")</f>
        <v>TRUE</v>
      </c>
      <c r="T300" s="5">
        <f>(I300/[1]Parameters!$B$25)*60</f>
        <v>0</v>
      </c>
      <c r="U300" s="10">
        <f>IF(AND('[1]Pizza Sales Calculations'!G300=TRUE,'[1]Pizza Sales Calculations'!S300="TRUE"),T300*[1]Parameters!$B$40*2,0)</f>
        <v>0</v>
      </c>
      <c r="V300">
        <f>INDEX([1]Parameters!$A$3:$C$5,MATCH('[1]Pizza Sales Calculations'!D300,[1]Parameters!$A$3:$A$5,0),2)</f>
        <v>10</v>
      </c>
      <c r="W300" t="e">
        <f>INDEX([1]Parameters!$A$3:$C$5,MATCH('[1]Pizza Sales Calculations'!E300,[1]Parameters!$A$3:$A$5,0),2)</f>
        <v>#N/A</v>
      </c>
      <c r="X300" t="e">
        <f>INDEX([1]Parameters!$A$3:$C$5,MATCH('[1]Pizza Sales Calculations'!F300,[1]Parameters!$A$3:$A$5,0),2)</f>
        <v>#N/A</v>
      </c>
    </row>
    <row r="301" spans="1:24" x14ac:dyDescent="0.3">
      <c r="A301">
        <v>300</v>
      </c>
      <c r="B301" s="14">
        <v>42373.524317129632</v>
      </c>
      <c r="C301" s="14">
        <v>42373.534699074073</v>
      </c>
      <c r="D301" t="s">
        <v>4</v>
      </c>
      <c r="E301" t="s">
        <v>5</v>
      </c>
      <c r="G301" t="b">
        <v>1</v>
      </c>
      <c r="H301">
        <v>70805</v>
      </c>
      <c r="I301" s="5">
        <v>2.7654784714688598</v>
      </c>
      <c r="J301" s="14">
        <v>42373.544293981482</v>
      </c>
      <c r="K301">
        <v>25.94</v>
      </c>
      <c r="L301" s="5">
        <f>('[1]Pizza Sales Calculations'!$J301-'[1]Pizza Sales Calculations'!$C301)*24*60</f>
        <v>13.816666669445112</v>
      </c>
      <c r="M301">
        <f>COUNTA('[1]Pizza Sales Calculations'!$D301:$F301)</f>
        <v>2</v>
      </c>
      <c r="N301">
        <f>IFERROR(VLOOKUP(D301,[1]Parameters!$A$3:$C$5,3,FALSE),0)</f>
        <v>1.7</v>
      </c>
      <c r="O301">
        <f>IFERROR(VLOOKUP(E301,[1]Parameters!$A$3:$C$5,3,FALSE),0)</f>
        <v>2.2999999999999998</v>
      </c>
      <c r="P301">
        <f>IFERROR(VLOOKUP(F301,[1]Parameters!$A$3:$C$5,3,FALSE),0)</f>
        <v>0</v>
      </c>
      <c r="Q301">
        <f t="shared" si="4"/>
        <v>4</v>
      </c>
      <c r="R301" s="10">
        <f>IF('[1]Pizza Sales Calculations'!$G301=TRUE, [1]Parameters!$B$17*'[1]Pizza Sales Calculations'!$L301*2, 0)</f>
        <v>3.9147222230094485</v>
      </c>
      <c r="S301" t="str">
        <f>IF(I301&lt;[1]Parameters!$B$21,"TRUE","FALSE")</f>
        <v>TRUE</v>
      </c>
      <c r="T301" s="5">
        <f>(I301/[1]Parameters!$B$25)*60</f>
        <v>5.5309569429377197</v>
      </c>
      <c r="U301" s="10">
        <f>IF(AND('[1]Pizza Sales Calculations'!G301=TRUE,'[1]Pizza Sales Calculations'!S301="TRUE"),T301*[1]Parameters!$B$40*2,0)</f>
        <v>0.34525686832792613</v>
      </c>
      <c r="V301">
        <f>INDEX([1]Parameters!$A$3:$C$5,MATCH('[1]Pizza Sales Calculations'!D301,[1]Parameters!$A$3:$A$5,0),2)</f>
        <v>10</v>
      </c>
      <c r="W301">
        <f>INDEX([1]Parameters!$A$3:$C$5,MATCH('[1]Pizza Sales Calculations'!E301,[1]Parameters!$A$3:$A$5,0),2)</f>
        <v>14</v>
      </c>
      <c r="X301" t="e">
        <f>INDEX([1]Parameters!$A$3:$C$5,MATCH('[1]Pizza Sales Calculations'!F301,[1]Parameters!$A$3:$A$5,0),2)</f>
        <v>#N/A</v>
      </c>
    </row>
    <row r="302" spans="1:24" x14ac:dyDescent="0.3">
      <c r="A302">
        <v>301</v>
      </c>
      <c r="B302" s="14">
        <v>42373.483715277776</v>
      </c>
      <c r="C302" s="14">
        <v>42373.494120370371</v>
      </c>
      <c r="D302" t="s">
        <v>3</v>
      </c>
      <c r="G302" t="b">
        <v>0</v>
      </c>
      <c r="H302">
        <v>70805</v>
      </c>
      <c r="I302" s="5">
        <v>0</v>
      </c>
      <c r="J302" s="14">
        <v>42373.496203703704</v>
      </c>
      <c r="K302">
        <v>7.99</v>
      </c>
      <c r="L302" s="5">
        <f>('[1]Pizza Sales Calculations'!$J302-'[1]Pizza Sales Calculations'!$C302)*24*60</f>
        <v>2.9999999993015081</v>
      </c>
      <c r="M302">
        <f>COUNTA('[1]Pizza Sales Calculations'!$D302:$F302)</f>
        <v>1</v>
      </c>
      <c r="N302">
        <f>IFERROR(VLOOKUP(D302,[1]Parameters!$A$3:$C$5,3,FALSE),0)</f>
        <v>1</v>
      </c>
      <c r="O302">
        <f>IFERROR(VLOOKUP(E302,[1]Parameters!$A$3:$C$5,3,FALSE),0)</f>
        <v>0</v>
      </c>
      <c r="P302">
        <f>IFERROR(VLOOKUP(F302,[1]Parameters!$A$3:$C$5,3,FALSE),0)</f>
        <v>0</v>
      </c>
      <c r="Q302">
        <f t="shared" si="4"/>
        <v>1</v>
      </c>
      <c r="R302" s="10">
        <f>IF('[1]Pizza Sales Calculations'!$G302=TRUE, [1]Parameters!$B$17*'[1]Pizza Sales Calculations'!$L302*2, 0)</f>
        <v>0</v>
      </c>
      <c r="S302" t="str">
        <f>IF(I302&lt;[1]Parameters!$B$21,"TRUE","FALSE")</f>
        <v>TRUE</v>
      </c>
      <c r="T302" s="5">
        <f>(I302/[1]Parameters!$B$25)*60</f>
        <v>0</v>
      </c>
      <c r="U302" s="10">
        <f>IF(AND('[1]Pizza Sales Calculations'!G302=TRUE,'[1]Pizza Sales Calculations'!S302="TRUE"),T302*[1]Parameters!$B$40*2,0)</f>
        <v>0</v>
      </c>
      <c r="V302">
        <f>INDEX([1]Parameters!$A$3:$C$5,MATCH('[1]Pizza Sales Calculations'!D302,[1]Parameters!$A$3:$A$5,0),2)</f>
        <v>7</v>
      </c>
      <c r="W302" t="e">
        <f>INDEX([1]Parameters!$A$3:$C$5,MATCH('[1]Pizza Sales Calculations'!E302,[1]Parameters!$A$3:$A$5,0),2)</f>
        <v>#N/A</v>
      </c>
      <c r="X302" t="e">
        <f>INDEX([1]Parameters!$A$3:$C$5,MATCH('[1]Pizza Sales Calculations'!F302,[1]Parameters!$A$3:$A$5,0),2)</f>
        <v>#N/A</v>
      </c>
    </row>
    <row r="303" spans="1:24" x14ac:dyDescent="0.3">
      <c r="A303">
        <v>302</v>
      </c>
      <c r="B303" s="14">
        <v>42373.553148148145</v>
      </c>
      <c r="C303" s="14">
        <v>42373.56355324074</v>
      </c>
      <c r="D303" t="s">
        <v>3</v>
      </c>
      <c r="E303" t="s">
        <v>4</v>
      </c>
      <c r="G303" t="b">
        <v>0</v>
      </c>
      <c r="H303">
        <v>70803</v>
      </c>
      <c r="I303" s="5">
        <v>0</v>
      </c>
      <c r="J303" s="14">
        <v>42373.565613425926</v>
      </c>
      <c r="K303">
        <v>19.579999999999998</v>
      </c>
      <c r="L303" s="5">
        <f>('[1]Pizza Sales Calculations'!$J303-'[1]Pizza Sales Calculations'!$C303)*24*60</f>
        <v>2.9666666686534882</v>
      </c>
      <c r="M303">
        <f>COUNTA('[1]Pizza Sales Calculations'!$D303:$F303)</f>
        <v>2</v>
      </c>
      <c r="N303">
        <f>IFERROR(VLOOKUP(D303,[1]Parameters!$A$3:$C$5,3,FALSE),0)</f>
        <v>1</v>
      </c>
      <c r="O303">
        <f>IFERROR(VLOOKUP(E303,[1]Parameters!$A$3:$C$5,3,FALSE),0)</f>
        <v>1.7</v>
      </c>
      <c r="P303">
        <f>IFERROR(VLOOKUP(F303,[1]Parameters!$A$3:$C$5,3,FALSE),0)</f>
        <v>0</v>
      </c>
      <c r="Q303">
        <f t="shared" si="4"/>
        <v>2.7</v>
      </c>
      <c r="R303" s="10">
        <f>IF('[1]Pizza Sales Calculations'!$G303=TRUE, [1]Parameters!$B$17*'[1]Pizza Sales Calculations'!$L303*2, 0)</f>
        <v>0</v>
      </c>
      <c r="S303" t="str">
        <f>IF(I303&lt;[1]Parameters!$B$21,"TRUE","FALSE")</f>
        <v>TRUE</v>
      </c>
      <c r="T303" s="5">
        <f>(I303/[1]Parameters!$B$25)*60</f>
        <v>0</v>
      </c>
      <c r="U303" s="10">
        <f>IF(AND('[1]Pizza Sales Calculations'!G303=TRUE,'[1]Pizza Sales Calculations'!S303="TRUE"),T303*[1]Parameters!$B$40*2,0)</f>
        <v>0</v>
      </c>
      <c r="V303">
        <f>INDEX([1]Parameters!$A$3:$C$5,MATCH('[1]Pizza Sales Calculations'!D303,[1]Parameters!$A$3:$A$5,0),2)</f>
        <v>7</v>
      </c>
      <c r="W303">
        <f>INDEX([1]Parameters!$A$3:$C$5,MATCH('[1]Pizza Sales Calculations'!E303,[1]Parameters!$A$3:$A$5,0),2)</f>
        <v>10</v>
      </c>
      <c r="X303" t="e">
        <f>INDEX([1]Parameters!$A$3:$C$5,MATCH('[1]Pizza Sales Calculations'!F303,[1]Parameters!$A$3:$A$5,0),2)</f>
        <v>#N/A</v>
      </c>
    </row>
    <row r="304" spans="1:24" x14ac:dyDescent="0.3">
      <c r="A304">
        <v>303</v>
      </c>
      <c r="B304" s="14">
        <v>42373.481574074074</v>
      </c>
      <c r="C304" s="14">
        <v>42373.491990740738</v>
      </c>
      <c r="D304" t="s">
        <v>4</v>
      </c>
      <c r="G304" t="b">
        <v>1</v>
      </c>
      <c r="H304">
        <v>70803</v>
      </c>
      <c r="I304" s="5">
        <v>2.2972406791594602</v>
      </c>
      <c r="J304" s="14">
        <v>42373.499965277777</v>
      </c>
      <c r="K304">
        <v>11.59</v>
      </c>
      <c r="L304" s="5">
        <f>('[1]Pizza Sales Calculations'!$J304-'[1]Pizza Sales Calculations'!$C304)*24*60</f>
        <v>11.483333335490897</v>
      </c>
      <c r="M304">
        <f>COUNTA('[1]Pizza Sales Calculations'!$D304:$F304)</f>
        <v>1</v>
      </c>
      <c r="N304">
        <f>IFERROR(VLOOKUP(D304,[1]Parameters!$A$3:$C$5,3,FALSE),0)</f>
        <v>1.7</v>
      </c>
      <c r="O304">
        <f>IFERROR(VLOOKUP(E304,[1]Parameters!$A$3:$C$5,3,FALSE),0)</f>
        <v>0</v>
      </c>
      <c r="P304">
        <f>IFERROR(VLOOKUP(F304,[1]Parameters!$A$3:$C$5,3,FALSE),0)</f>
        <v>0</v>
      </c>
      <c r="Q304">
        <f t="shared" si="4"/>
        <v>1.7</v>
      </c>
      <c r="R304" s="10">
        <f>IF('[1]Pizza Sales Calculations'!$G304=TRUE, [1]Parameters!$B$17*'[1]Pizza Sales Calculations'!$L304*2, 0)</f>
        <v>3.2536111117224209</v>
      </c>
      <c r="S304" t="str">
        <f>IF(I304&lt;[1]Parameters!$B$21,"TRUE","FALSE")</f>
        <v>TRUE</v>
      </c>
      <c r="T304" s="5">
        <f>(I304/[1]Parameters!$B$25)*60</f>
        <v>4.5944813583189203</v>
      </c>
      <c r="U304" s="10">
        <f>IF(AND('[1]Pizza Sales Calculations'!G304=TRUE,'[1]Pizza Sales Calculations'!S304="TRUE"),T304*[1]Parameters!$B$40*2,0)</f>
        <v>0.28679960117745734</v>
      </c>
      <c r="V304">
        <f>INDEX([1]Parameters!$A$3:$C$5,MATCH('[1]Pizza Sales Calculations'!D304,[1]Parameters!$A$3:$A$5,0),2)</f>
        <v>10</v>
      </c>
      <c r="W304" t="e">
        <f>INDEX([1]Parameters!$A$3:$C$5,MATCH('[1]Pizza Sales Calculations'!E304,[1]Parameters!$A$3:$A$5,0),2)</f>
        <v>#N/A</v>
      </c>
      <c r="X304" t="e">
        <f>INDEX([1]Parameters!$A$3:$C$5,MATCH('[1]Pizza Sales Calculations'!F304,[1]Parameters!$A$3:$A$5,0),2)</f>
        <v>#N/A</v>
      </c>
    </row>
    <row r="305" spans="1:24" x14ac:dyDescent="0.3">
      <c r="A305">
        <v>304</v>
      </c>
      <c r="B305" s="14">
        <v>42373.570937500001</v>
      </c>
      <c r="C305" s="14">
        <v>42373.581331018519</v>
      </c>
      <c r="D305" t="s">
        <v>3</v>
      </c>
      <c r="G305" t="b">
        <v>1</v>
      </c>
      <c r="H305">
        <v>70803</v>
      </c>
      <c r="I305" s="5">
        <v>3.6674402932149501</v>
      </c>
      <c r="J305" s="14">
        <v>42373.5940625</v>
      </c>
      <c r="K305">
        <v>7.99</v>
      </c>
      <c r="L305" s="5">
        <f>('[1]Pizza Sales Calculations'!$J305-'[1]Pizza Sales Calculations'!$C305)*24*60</f>
        <v>18.333333333721384</v>
      </c>
      <c r="M305">
        <f>COUNTA('[1]Pizza Sales Calculations'!$D305:$F305)</f>
        <v>1</v>
      </c>
      <c r="N305">
        <f>IFERROR(VLOOKUP(D305,[1]Parameters!$A$3:$C$5,3,FALSE),0)</f>
        <v>1</v>
      </c>
      <c r="O305">
        <f>IFERROR(VLOOKUP(E305,[1]Parameters!$A$3:$C$5,3,FALSE),0)</f>
        <v>0</v>
      </c>
      <c r="P305">
        <f>IFERROR(VLOOKUP(F305,[1]Parameters!$A$3:$C$5,3,FALSE),0)</f>
        <v>0</v>
      </c>
      <c r="Q305">
        <f t="shared" si="4"/>
        <v>1</v>
      </c>
      <c r="R305" s="10">
        <f>IF('[1]Pizza Sales Calculations'!$G305=TRUE, [1]Parameters!$B$17*'[1]Pizza Sales Calculations'!$L305*2, 0)</f>
        <v>5.1944444445543922</v>
      </c>
      <c r="S305" t="str">
        <f>IF(I305&lt;[1]Parameters!$B$21,"TRUE","FALSE")</f>
        <v>FALSE</v>
      </c>
      <c r="T305" s="5">
        <f>(I305/[1]Parameters!$B$25)*60</f>
        <v>7.3348805864299003</v>
      </c>
      <c r="U305" s="10">
        <f>IF(AND('[1]Pizza Sales Calculations'!G305=TRUE,'[1]Pizza Sales Calculations'!S305="TRUE"),T305*[1]Parameters!$B$40*2,0)</f>
        <v>0</v>
      </c>
      <c r="V305">
        <f>INDEX([1]Parameters!$A$3:$C$5,MATCH('[1]Pizza Sales Calculations'!D305,[1]Parameters!$A$3:$A$5,0),2)</f>
        <v>7</v>
      </c>
      <c r="W305" t="e">
        <f>INDEX([1]Parameters!$A$3:$C$5,MATCH('[1]Pizza Sales Calculations'!E305,[1]Parameters!$A$3:$A$5,0),2)</f>
        <v>#N/A</v>
      </c>
      <c r="X305" t="e">
        <f>INDEX([1]Parameters!$A$3:$C$5,MATCH('[1]Pizza Sales Calculations'!F305,[1]Parameters!$A$3:$A$5,0),2)</f>
        <v>#N/A</v>
      </c>
    </row>
    <row r="306" spans="1:24" x14ac:dyDescent="0.3">
      <c r="A306">
        <v>305</v>
      </c>
      <c r="B306" s="14">
        <v>42373.5937037037</v>
      </c>
      <c r="C306" s="14">
        <v>42373.604108796295</v>
      </c>
      <c r="D306" t="s">
        <v>4</v>
      </c>
      <c r="E306" t="s">
        <v>5</v>
      </c>
      <c r="G306" t="b">
        <v>0</v>
      </c>
      <c r="H306">
        <v>70805</v>
      </c>
      <c r="I306" s="5">
        <v>0</v>
      </c>
      <c r="J306" s="14">
        <v>42373.606168981481</v>
      </c>
      <c r="K306">
        <v>25.94</v>
      </c>
      <c r="L306" s="5">
        <f>('[1]Pizza Sales Calculations'!$J306-'[1]Pizza Sales Calculations'!$C306)*24*60</f>
        <v>2.9666666686534882</v>
      </c>
      <c r="M306">
        <f>COUNTA('[1]Pizza Sales Calculations'!$D306:$F306)</f>
        <v>2</v>
      </c>
      <c r="N306">
        <f>IFERROR(VLOOKUP(D306,[1]Parameters!$A$3:$C$5,3,FALSE),0)</f>
        <v>1.7</v>
      </c>
      <c r="O306">
        <f>IFERROR(VLOOKUP(E306,[1]Parameters!$A$3:$C$5,3,FALSE),0)</f>
        <v>2.2999999999999998</v>
      </c>
      <c r="P306">
        <f>IFERROR(VLOOKUP(F306,[1]Parameters!$A$3:$C$5,3,FALSE),0)</f>
        <v>0</v>
      </c>
      <c r="Q306">
        <f t="shared" si="4"/>
        <v>4</v>
      </c>
      <c r="R306" s="10">
        <f>IF('[1]Pizza Sales Calculations'!$G306=TRUE, [1]Parameters!$B$17*'[1]Pizza Sales Calculations'!$L306*2, 0)</f>
        <v>0</v>
      </c>
      <c r="S306" t="str">
        <f>IF(I306&lt;[1]Parameters!$B$21,"TRUE","FALSE")</f>
        <v>TRUE</v>
      </c>
      <c r="T306" s="5">
        <f>(I306/[1]Parameters!$B$25)*60</f>
        <v>0</v>
      </c>
      <c r="U306" s="10">
        <f>IF(AND('[1]Pizza Sales Calculations'!G306=TRUE,'[1]Pizza Sales Calculations'!S306="TRUE"),T306*[1]Parameters!$B$40*2,0)</f>
        <v>0</v>
      </c>
      <c r="V306">
        <f>INDEX([1]Parameters!$A$3:$C$5,MATCH('[1]Pizza Sales Calculations'!D306,[1]Parameters!$A$3:$A$5,0),2)</f>
        <v>10</v>
      </c>
      <c r="W306">
        <f>INDEX([1]Parameters!$A$3:$C$5,MATCH('[1]Pizza Sales Calculations'!E306,[1]Parameters!$A$3:$A$5,0),2)</f>
        <v>14</v>
      </c>
      <c r="X306" t="e">
        <f>INDEX([1]Parameters!$A$3:$C$5,MATCH('[1]Pizza Sales Calculations'!F306,[1]Parameters!$A$3:$A$5,0),2)</f>
        <v>#N/A</v>
      </c>
    </row>
    <row r="307" spans="1:24" x14ac:dyDescent="0.3">
      <c r="A307">
        <v>306</v>
      </c>
      <c r="B307" s="14">
        <v>42373.462106481478</v>
      </c>
      <c r="C307" s="14">
        <v>42373.47252314815</v>
      </c>
      <c r="D307" t="s">
        <v>3</v>
      </c>
      <c r="E307" t="s">
        <v>4</v>
      </c>
      <c r="G307" t="b">
        <v>0</v>
      </c>
      <c r="H307">
        <v>70803</v>
      </c>
      <c r="I307" s="5">
        <v>0</v>
      </c>
      <c r="J307" s="14">
        <v>42373.474594907406</v>
      </c>
      <c r="K307">
        <v>19.579999999999998</v>
      </c>
      <c r="L307" s="5">
        <f>('[1]Pizza Sales Calculations'!$J307-'[1]Pizza Sales Calculations'!$C307)*24*60</f>
        <v>2.9833333287388086</v>
      </c>
      <c r="M307">
        <f>COUNTA('[1]Pizza Sales Calculations'!$D307:$F307)</f>
        <v>2</v>
      </c>
      <c r="N307">
        <f>IFERROR(VLOOKUP(D307,[1]Parameters!$A$3:$C$5,3,FALSE),0)</f>
        <v>1</v>
      </c>
      <c r="O307">
        <f>IFERROR(VLOOKUP(E307,[1]Parameters!$A$3:$C$5,3,FALSE),0)</f>
        <v>1.7</v>
      </c>
      <c r="P307">
        <f>IFERROR(VLOOKUP(F307,[1]Parameters!$A$3:$C$5,3,FALSE),0)</f>
        <v>0</v>
      </c>
      <c r="Q307">
        <f t="shared" si="4"/>
        <v>2.7</v>
      </c>
      <c r="R307" s="10">
        <f>IF('[1]Pizza Sales Calculations'!$G307=TRUE, [1]Parameters!$B$17*'[1]Pizza Sales Calculations'!$L307*2, 0)</f>
        <v>0</v>
      </c>
      <c r="S307" t="str">
        <f>IF(I307&lt;[1]Parameters!$B$21,"TRUE","FALSE")</f>
        <v>TRUE</v>
      </c>
      <c r="T307" s="5">
        <f>(I307/[1]Parameters!$B$25)*60</f>
        <v>0</v>
      </c>
      <c r="U307" s="10">
        <f>IF(AND('[1]Pizza Sales Calculations'!G307=TRUE,'[1]Pizza Sales Calculations'!S307="TRUE"),T307*[1]Parameters!$B$40*2,0)</f>
        <v>0</v>
      </c>
      <c r="V307">
        <f>INDEX([1]Parameters!$A$3:$C$5,MATCH('[1]Pizza Sales Calculations'!D307,[1]Parameters!$A$3:$A$5,0),2)</f>
        <v>7</v>
      </c>
      <c r="W307">
        <f>INDEX([1]Parameters!$A$3:$C$5,MATCH('[1]Pizza Sales Calculations'!E307,[1]Parameters!$A$3:$A$5,0),2)</f>
        <v>10</v>
      </c>
      <c r="X307" t="e">
        <f>INDEX([1]Parameters!$A$3:$C$5,MATCH('[1]Pizza Sales Calculations'!F307,[1]Parameters!$A$3:$A$5,0),2)</f>
        <v>#N/A</v>
      </c>
    </row>
    <row r="308" spans="1:24" x14ac:dyDescent="0.3">
      <c r="A308">
        <v>307</v>
      </c>
      <c r="B308" s="14">
        <v>42373.426666666666</v>
      </c>
      <c r="C308" s="14">
        <v>42373.437083333331</v>
      </c>
      <c r="D308" t="s">
        <v>4</v>
      </c>
      <c r="G308" t="b">
        <v>1</v>
      </c>
      <c r="H308">
        <v>70805</v>
      </c>
      <c r="I308" s="5">
        <v>1.49603457499874</v>
      </c>
      <c r="J308" s="14">
        <v>42373.44226851852</v>
      </c>
      <c r="K308">
        <v>11.59</v>
      </c>
      <c r="L308" s="5">
        <f>('[1]Pizza Sales Calculations'!$J308-'[1]Pizza Sales Calculations'!$C308)*24*60</f>
        <v>7.4666666728444397</v>
      </c>
      <c r="M308">
        <f>COUNTA('[1]Pizza Sales Calculations'!$D308:$F308)</f>
        <v>1</v>
      </c>
      <c r="N308">
        <f>IFERROR(VLOOKUP(D308,[1]Parameters!$A$3:$C$5,3,FALSE),0)</f>
        <v>1.7</v>
      </c>
      <c r="O308">
        <f>IFERROR(VLOOKUP(E308,[1]Parameters!$A$3:$C$5,3,FALSE),0)</f>
        <v>0</v>
      </c>
      <c r="P308">
        <f>IFERROR(VLOOKUP(F308,[1]Parameters!$A$3:$C$5,3,FALSE),0)</f>
        <v>0</v>
      </c>
      <c r="Q308">
        <f t="shared" si="4"/>
        <v>1.7</v>
      </c>
      <c r="R308" s="10">
        <f>IF('[1]Pizza Sales Calculations'!$G308=TRUE, [1]Parameters!$B$17*'[1]Pizza Sales Calculations'!$L308*2, 0)</f>
        <v>2.1155555573059246</v>
      </c>
      <c r="S308" t="str">
        <f>IF(I308&lt;[1]Parameters!$B$21,"TRUE","FALSE")</f>
        <v>TRUE</v>
      </c>
      <c r="T308" s="5">
        <f>(I308/[1]Parameters!$B$25)*60</f>
        <v>2.9920691499974801</v>
      </c>
      <c r="U308" s="10">
        <f>IF(AND('[1]Pizza Sales Calculations'!G308=TRUE,'[1]Pizza Sales Calculations'!S308="TRUE"),T308*[1]Parameters!$B$40*2,0)</f>
        <v>0.18677281982239471</v>
      </c>
      <c r="V308">
        <f>INDEX([1]Parameters!$A$3:$C$5,MATCH('[1]Pizza Sales Calculations'!D308,[1]Parameters!$A$3:$A$5,0),2)</f>
        <v>10</v>
      </c>
      <c r="W308" t="e">
        <f>INDEX([1]Parameters!$A$3:$C$5,MATCH('[1]Pizza Sales Calculations'!E308,[1]Parameters!$A$3:$A$5,0),2)</f>
        <v>#N/A</v>
      </c>
      <c r="X308" t="e">
        <f>INDEX([1]Parameters!$A$3:$C$5,MATCH('[1]Pizza Sales Calculations'!F308,[1]Parameters!$A$3:$A$5,0),2)</f>
        <v>#N/A</v>
      </c>
    </row>
    <row r="309" spans="1:24" x14ac:dyDescent="0.3">
      <c r="A309">
        <v>308</v>
      </c>
      <c r="B309" s="14">
        <v>42373.510763888888</v>
      </c>
      <c r="C309" s="14">
        <v>42373.521168981482</v>
      </c>
      <c r="D309" t="s">
        <v>4</v>
      </c>
      <c r="G309" t="b">
        <v>0</v>
      </c>
      <c r="H309">
        <v>70804</v>
      </c>
      <c r="I309" s="5">
        <v>0</v>
      </c>
      <c r="J309" s="14">
        <v>42373.523240740738</v>
      </c>
      <c r="K309">
        <v>11.59</v>
      </c>
      <c r="L309" s="5">
        <f>('[1]Pizza Sales Calculations'!$J309-'[1]Pizza Sales Calculations'!$C309)*24*60</f>
        <v>2.9833333287388086</v>
      </c>
      <c r="M309">
        <f>COUNTA('[1]Pizza Sales Calculations'!$D309:$F309)</f>
        <v>1</v>
      </c>
      <c r="N309">
        <f>IFERROR(VLOOKUP(D309,[1]Parameters!$A$3:$C$5,3,FALSE),0)</f>
        <v>1.7</v>
      </c>
      <c r="O309">
        <f>IFERROR(VLOOKUP(E309,[1]Parameters!$A$3:$C$5,3,FALSE),0)</f>
        <v>0</v>
      </c>
      <c r="P309">
        <f>IFERROR(VLOOKUP(F309,[1]Parameters!$A$3:$C$5,3,FALSE),0)</f>
        <v>0</v>
      </c>
      <c r="Q309">
        <f t="shared" si="4"/>
        <v>1.7</v>
      </c>
      <c r="R309" s="10">
        <f>IF('[1]Pizza Sales Calculations'!$G309=TRUE, [1]Parameters!$B$17*'[1]Pizza Sales Calculations'!$L309*2, 0)</f>
        <v>0</v>
      </c>
      <c r="S309" t="str">
        <f>IF(I309&lt;[1]Parameters!$B$21,"TRUE","FALSE")</f>
        <v>TRUE</v>
      </c>
      <c r="T309" s="5">
        <f>(I309/[1]Parameters!$B$25)*60</f>
        <v>0</v>
      </c>
      <c r="U309" s="10">
        <f>IF(AND('[1]Pizza Sales Calculations'!G309=TRUE,'[1]Pizza Sales Calculations'!S309="TRUE"),T309*[1]Parameters!$B$40*2,0)</f>
        <v>0</v>
      </c>
      <c r="V309">
        <f>INDEX([1]Parameters!$A$3:$C$5,MATCH('[1]Pizza Sales Calculations'!D309,[1]Parameters!$A$3:$A$5,0),2)</f>
        <v>10</v>
      </c>
      <c r="W309" t="e">
        <f>INDEX([1]Parameters!$A$3:$C$5,MATCH('[1]Pizza Sales Calculations'!E309,[1]Parameters!$A$3:$A$5,0),2)</f>
        <v>#N/A</v>
      </c>
      <c r="X309" t="e">
        <f>INDEX([1]Parameters!$A$3:$C$5,MATCH('[1]Pizza Sales Calculations'!F309,[1]Parameters!$A$3:$A$5,0),2)</f>
        <v>#N/A</v>
      </c>
    </row>
    <row r="310" spans="1:24" x14ac:dyDescent="0.3">
      <c r="A310">
        <v>309</v>
      </c>
      <c r="B310" s="14">
        <v>42373.570729166669</v>
      </c>
      <c r="C310" s="14">
        <v>42373.581134259257</v>
      </c>
      <c r="D310" t="s">
        <v>3</v>
      </c>
      <c r="E310" t="s">
        <v>4</v>
      </c>
      <c r="G310" t="b">
        <v>0</v>
      </c>
      <c r="H310">
        <v>70806</v>
      </c>
      <c r="I310" s="5">
        <v>0</v>
      </c>
      <c r="J310" s="14">
        <v>42373.58321759259</v>
      </c>
      <c r="K310">
        <v>19.579999999999998</v>
      </c>
      <c r="L310" s="5">
        <f>('[1]Pizza Sales Calculations'!$J310-'[1]Pizza Sales Calculations'!$C310)*24*60</f>
        <v>2.9999999993015081</v>
      </c>
      <c r="M310">
        <f>COUNTA('[1]Pizza Sales Calculations'!$D310:$F310)</f>
        <v>2</v>
      </c>
      <c r="N310">
        <f>IFERROR(VLOOKUP(D310,[1]Parameters!$A$3:$C$5,3,FALSE),0)</f>
        <v>1</v>
      </c>
      <c r="O310">
        <f>IFERROR(VLOOKUP(E310,[1]Parameters!$A$3:$C$5,3,FALSE),0)</f>
        <v>1.7</v>
      </c>
      <c r="P310">
        <f>IFERROR(VLOOKUP(F310,[1]Parameters!$A$3:$C$5,3,FALSE),0)</f>
        <v>0</v>
      </c>
      <c r="Q310">
        <f t="shared" si="4"/>
        <v>2.7</v>
      </c>
      <c r="R310" s="10">
        <f>IF('[1]Pizza Sales Calculations'!$G310=TRUE, [1]Parameters!$B$17*'[1]Pizza Sales Calculations'!$L310*2, 0)</f>
        <v>0</v>
      </c>
      <c r="S310" t="str">
        <f>IF(I310&lt;[1]Parameters!$B$21,"TRUE","FALSE")</f>
        <v>TRUE</v>
      </c>
      <c r="T310" s="5">
        <f>(I310/[1]Parameters!$B$25)*60</f>
        <v>0</v>
      </c>
      <c r="U310" s="10">
        <f>IF(AND('[1]Pizza Sales Calculations'!G310=TRUE,'[1]Pizza Sales Calculations'!S310="TRUE"),T310*[1]Parameters!$B$40*2,0)</f>
        <v>0</v>
      </c>
      <c r="V310">
        <f>INDEX([1]Parameters!$A$3:$C$5,MATCH('[1]Pizza Sales Calculations'!D310,[1]Parameters!$A$3:$A$5,0),2)</f>
        <v>7</v>
      </c>
      <c r="W310">
        <f>INDEX([1]Parameters!$A$3:$C$5,MATCH('[1]Pizza Sales Calculations'!E310,[1]Parameters!$A$3:$A$5,0),2)</f>
        <v>10</v>
      </c>
      <c r="X310" t="e">
        <f>INDEX([1]Parameters!$A$3:$C$5,MATCH('[1]Pizza Sales Calculations'!F310,[1]Parameters!$A$3:$A$5,0),2)</f>
        <v>#N/A</v>
      </c>
    </row>
    <row r="311" spans="1:24" x14ac:dyDescent="0.3">
      <c r="A311">
        <v>310</v>
      </c>
      <c r="B311" s="14">
        <v>42373.457858796297</v>
      </c>
      <c r="C311" s="14">
        <v>42373.468275462961</v>
      </c>
      <c r="D311" t="s">
        <v>3</v>
      </c>
      <c r="G311" t="b">
        <v>1</v>
      </c>
      <c r="H311">
        <v>70805</v>
      </c>
      <c r="I311" s="5">
        <v>1.5562672956102299</v>
      </c>
      <c r="J311" s="14">
        <v>42373.473668981482</v>
      </c>
      <c r="K311">
        <v>7.99</v>
      </c>
      <c r="L311" s="5">
        <f>('[1]Pizza Sales Calculations'!$J311-'[1]Pizza Sales Calculations'!$C311)*24*60</f>
        <v>7.7666666696313769</v>
      </c>
      <c r="M311">
        <f>COUNTA('[1]Pizza Sales Calculations'!$D311:$F311)</f>
        <v>1</v>
      </c>
      <c r="N311">
        <f>IFERROR(VLOOKUP(D311,[1]Parameters!$A$3:$C$5,3,FALSE),0)</f>
        <v>1</v>
      </c>
      <c r="O311">
        <f>IFERROR(VLOOKUP(E311,[1]Parameters!$A$3:$C$5,3,FALSE),0)</f>
        <v>0</v>
      </c>
      <c r="P311">
        <f>IFERROR(VLOOKUP(F311,[1]Parameters!$A$3:$C$5,3,FALSE),0)</f>
        <v>0</v>
      </c>
      <c r="Q311">
        <f t="shared" si="4"/>
        <v>1</v>
      </c>
      <c r="R311" s="10">
        <f>IF('[1]Pizza Sales Calculations'!$G311=TRUE, [1]Parameters!$B$17*'[1]Pizza Sales Calculations'!$L311*2, 0)</f>
        <v>2.2005555563955568</v>
      </c>
      <c r="S311" t="str">
        <f>IF(I311&lt;[1]Parameters!$B$21,"TRUE","FALSE")</f>
        <v>TRUE</v>
      </c>
      <c r="T311" s="5">
        <f>(I311/[1]Parameters!$B$25)*60</f>
        <v>3.1125345912204598</v>
      </c>
      <c r="U311" s="10">
        <f>IF(AND('[1]Pizza Sales Calculations'!G311=TRUE,'[1]Pizza Sales Calculations'!S311="TRUE"),T311*[1]Parameters!$B$40*2,0)</f>
        <v>0.19429258925966988</v>
      </c>
      <c r="V311">
        <f>INDEX([1]Parameters!$A$3:$C$5,MATCH('[1]Pizza Sales Calculations'!D311,[1]Parameters!$A$3:$A$5,0),2)</f>
        <v>7</v>
      </c>
      <c r="W311" t="e">
        <f>INDEX([1]Parameters!$A$3:$C$5,MATCH('[1]Pizza Sales Calculations'!E311,[1]Parameters!$A$3:$A$5,0),2)</f>
        <v>#N/A</v>
      </c>
      <c r="X311" t="e">
        <f>INDEX([1]Parameters!$A$3:$C$5,MATCH('[1]Pizza Sales Calculations'!F311,[1]Parameters!$A$3:$A$5,0),2)</f>
        <v>#N/A</v>
      </c>
    </row>
    <row r="312" spans="1:24" x14ac:dyDescent="0.3">
      <c r="A312">
        <v>311</v>
      </c>
      <c r="B312" s="14">
        <v>42373.495717592596</v>
      </c>
      <c r="C312" s="14">
        <v>42373.506122685183</v>
      </c>
      <c r="D312" t="s">
        <v>5</v>
      </c>
      <c r="G312" t="b">
        <v>0</v>
      </c>
      <c r="H312">
        <v>70803</v>
      </c>
      <c r="I312" s="5">
        <v>0</v>
      </c>
      <c r="J312" s="14">
        <v>42373.508206018516</v>
      </c>
      <c r="K312">
        <v>15.35</v>
      </c>
      <c r="L312" s="5">
        <f>('[1]Pizza Sales Calculations'!$J312-'[1]Pizza Sales Calculations'!$C312)*24*60</f>
        <v>2.9999999993015081</v>
      </c>
      <c r="M312">
        <f>COUNTA('[1]Pizza Sales Calculations'!$D312:$F312)</f>
        <v>1</v>
      </c>
      <c r="N312">
        <f>IFERROR(VLOOKUP(D312,[1]Parameters!$A$3:$C$5,3,FALSE),0)</f>
        <v>2.2999999999999998</v>
      </c>
      <c r="O312">
        <f>IFERROR(VLOOKUP(E312,[1]Parameters!$A$3:$C$5,3,FALSE),0)</f>
        <v>0</v>
      </c>
      <c r="P312">
        <f>IFERROR(VLOOKUP(F312,[1]Parameters!$A$3:$C$5,3,FALSE),0)</f>
        <v>0</v>
      </c>
      <c r="Q312">
        <f t="shared" si="4"/>
        <v>2.2999999999999998</v>
      </c>
      <c r="R312" s="10">
        <f>IF('[1]Pizza Sales Calculations'!$G312=TRUE, [1]Parameters!$B$17*'[1]Pizza Sales Calculations'!$L312*2, 0)</f>
        <v>0</v>
      </c>
      <c r="S312" t="str">
        <f>IF(I312&lt;[1]Parameters!$B$21,"TRUE","FALSE")</f>
        <v>TRUE</v>
      </c>
      <c r="T312" s="5">
        <f>(I312/[1]Parameters!$B$25)*60</f>
        <v>0</v>
      </c>
      <c r="U312" s="10">
        <f>IF(AND('[1]Pizza Sales Calculations'!G312=TRUE,'[1]Pizza Sales Calculations'!S312="TRUE"),T312*[1]Parameters!$B$40*2,0)</f>
        <v>0</v>
      </c>
      <c r="V312">
        <f>INDEX([1]Parameters!$A$3:$C$5,MATCH('[1]Pizza Sales Calculations'!D312,[1]Parameters!$A$3:$A$5,0),2)</f>
        <v>14</v>
      </c>
      <c r="W312" t="e">
        <f>INDEX([1]Parameters!$A$3:$C$5,MATCH('[1]Pizza Sales Calculations'!E312,[1]Parameters!$A$3:$A$5,0),2)</f>
        <v>#N/A</v>
      </c>
      <c r="X312" t="e">
        <f>INDEX([1]Parameters!$A$3:$C$5,MATCH('[1]Pizza Sales Calculations'!F312,[1]Parameters!$A$3:$A$5,0),2)</f>
        <v>#N/A</v>
      </c>
    </row>
    <row r="313" spans="1:24" x14ac:dyDescent="0.3">
      <c r="A313">
        <v>312</v>
      </c>
      <c r="B313" s="14">
        <v>42373.426134259258</v>
      </c>
      <c r="C313" s="14">
        <v>42373.436527777776</v>
      </c>
      <c r="D313" t="s">
        <v>3</v>
      </c>
      <c r="E313" t="s">
        <v>4</v>
      </c>
      <c r="G313" t="b">
        <v>0</v>
      </c>
      <c r="H313">
        <v>70807</v>
      </c>
      <c r="I313" s="5">
        <v>0</v>
      </c>
      <c r="J313" s="14">
        <v>42373.438599537039</v>
      </c>
      <c r="K313">
        <v>19.579999999999998</v>
      </c>
      <c r="L313" s="5">
        <f>('[1]Pizza Sales Calculations'!$J313-'[1]Pizza Sales Calculations'!$C313)*24*60</f>
        <v>2.9833333392161876</v>
      </c>
      <c r="M313">
        <f>COUNTA('[1]Pizza Sales Calculations'!$D313:$F313)</f>
        <v>2</v>
      </c>
      <c r="N313">
        <f>IFERROR(VLOOKUP(D313,[1]Parameters!$A$3:$C$5,3,FALSE),0)</f>
        <v>1</v>
      </c>
      <c r="O313">
        <f>IFERROR(VLOOKUP(E313,[1]Parameters!$A$3:$C$5,3,FALSE),0)</f>
        <v>1.7</v>
      </c>
      <c r="P313">
        <f>IFERROR(VLOOKUP(F313,[1]Parameters!$A$3:$C$5,3,FALSE),0)</f>
        <v>0</v>
      </c>
      <c r="Q313">
        <f t="shared" si="4"/>
        <v>2.7</v>
      </c>
      <c r="R313" s="10">
        <f>IF('[1]Pizza Sales Calculations'!$G313=TRUE, [1]Parameters!$B$17*'[1]Pizza Sales Calculations'!$L313*2, 0)</f>
        <v>0</v>
      </c>
      <c r="S313" t="str">
        <f>IF(I313&lt;[1]Parameters!$B$21,"TRUE","FALSE")</f>
        <v>TRUE</v>
      </c>
      <c r="T313" s="5">
        <f>(I313/[1]Parameters!$B$25)*60</f>
        <v>0</v>
      </c>
      <c r="U313" s="10">
        <f>IF(AND('[1]Pizza Sales Calculations'!G313=TRUE,'[1]Pizza Sales Calculations'!S313="TRUE"),T313*[1]Parameters!$B$40*2,0)</f>
        <v>0</v>
      </c>
      <c r="V313">
        <f>INDEX([1]Parameters!$A$3:$C$5,MATCH('[1]Pizza Sales Calculations'!D313,[1]Parameters!$A$3:$A$5,0),2)</f>
        <v>7</v>
      </c>
      <c r="W313">
        <f>INDEX([1]Parameters!$A$3:$C$5,MATCH('[1]Pizza Sales Calculations'!E313,[1]Parameters!$A$3:$A$5,0),2)</f>
        <v>10</v>
      </c>
      <c r="X313" t="e">
        <f>INDEX([1]Parameters!$A$3:$C$5,MATCH('[1]Pizza Sales Calculations'!F313,[1]Parameters!$A$3:$A$5,0),2)</f>
        <v>#N/A</v>
      </c>
    </row>
    <row r="314" spans="1:24" x14ac:dyDescent="0.3">
      <c r="A314">
        <v>313</v>
      </c>
      <c r="B314" s="14">
        <v>42373.435439814813</v>
      </c>
      <c r="C314" s="14">
        <v>42373.445856481485</v>
      </c>
      <c r="D314" t="s">
        <v>5</v>
      </c>
      <c r="G314" t="b">
        <v>0</v>
      </c>
      <c r="H314">
        <v>70804</v>
      </c>
      <c r="I314" s="5">
        <v>0</v>
      </c>
      <c r="J314" s="14">
        <v>42373.447928240741</v>
      </c>
      <c r="K314">
        <v>15.35</v>
      </c>
      <c r="L314" s="5">
        <f>('[1]Pizza Sales Calculations'!$J314-'[1]Pizza Sales Calculations'!$C314)*24*60</f>
        <v>2.9833333287388086</v>
      </c>
      <c r="M314">
        <f>COUNTA('[1]Pizza Sales Calculations'!$D314:$F314)</f>
        <v>1</v>
      </c>
      <c r="N314">
        <f>IFERROR(VLOOKUP(D314,[1]Parameters!$A$3:$C$5,3,FALSE),0)</f>
        <v>2.2999999999999998</v>
      </c>
      <c r="O314">
        <f>IFERROR(VLOOKUP(E314,[1]Parameters!$A$3:$C$5,3,FALSE),0)</f>
        <v>0</v>
      </c>
      <c r="P314">
        <f>IFERROR(VLOOKUP(F314,[1]Parameters!$A$3:$C$5,3,FALSE),0)</f>
        <v>0</v>
      </c>
      <c r="Q314">
        <f t="shared" si="4"/>
        <v>2.2999999999999998</v>
      </c>
      <c r="R314" s="10">
        <f>IF('[1]Pizza Sales Calculations'!$G314=TRUE, [1]Parameters!$B$17*'[1]Pizza Sales Calculations'!$L314*2, 0)</f>
        <v>0</v>
      </c>
      <c r="S314" t="str">
        <f>IF(I314&lt;[1]Parameters!$B$21,"TRUE","FALSE")</f>
        <v>TRUE</v>
      </c>
      <c r="T314" s="5">
        <f>(I314/[1]Parameters!$B$25)*60</f>
        <v>0</v>
      </c>
      <c r="U314" s="10">
        <f>IF(AND('[1]Pizza Sales Calculations'!G314=TRUE,'[1]Pizza Sales Calculations'!S314="TRUE"),T314*[1]Parameters!$B$40*2,0)</f>
        <v>0</v>
      </c>
      <c r="V314">
        <f>INDEX([1]Parameters!$A$3:$C$5,MATCH('[1]Pizza Sales Calculations'!D314,[1]Parameters!$A$3:$A$5,0),2)</f>
        <v>14</v>
      </c>
      <c r="W314" t="e">
        <f>INDEX([1]Parameters!$A$3:$C$5,MATCH('[1]Pizza Sales Calculations'!E314,[1]Parameters!$A$3:$A$5,0),2)</f>
        <v>#N/A</v>
      </c>
      <c r="X314" t="e">
        <f>INDEX([1]Parameters!$A$3:$C$5,MATCH('[1]Pizza Sales Calculations'!F314,[1]Parameters!$A$3:$A$5,0),2)</f>
        <v>#N/A</v>
      </c>
    </row>
    <row r="315" spans="1:24" x14ac:dyDescent="0.3">
      <c r="A315">
        <v>314</v>
      </c>
      <c r="B315" s="14">
        <v>42373.499895833331</v>
      </c>
      <c r="C315" s="14">
        <v>42373.510312500002</v>
      </c>
      <c r="D315" t="s">
        <v>5</v>
      </c>
      <c r="G315" t="b">
        <v>0</v>
      </c>
      <c r="H315">
        <v>70805</v>
      </c>
      <c r="I315" s="5">
        <v>0</v>
      </c>
      <c r="J315" s="14">
        <v>42373.512384259258</v>
      </c>
      <c r="K315">
        <v>15.35</v>
      </c>
      <c r="L315" s="5">
        <f>('[1]Pizza Sales Calculations'!$J315-'[1]Pizza Sales Calculations'!$C315)*24*60</f>
        <v>2.9833333287388086</v>
      </c>
      <c r="M315">
        <f>COUNTA('[1]Pizza Sales Calculations'!$D315:$F315)</f>
        <v>1</v>
      </c>
      <c r="N315">
        <f>IFERROR(VLOOKUP(D315,[1]Parameters!$A$3:$C$5,3,FALSE),0)</f>
        <v>2.2999999999999998</v>
      </c>
      <c r="O315">
        <f>IFERROR(VLOOKUP(E315,[1]Parameters!$A$3:$C$5,3,FALSE),0)</f>
        <v>0</v>
      </c>
      <c r="P315">
        <f>IFERROR(VLOOKUP(F315,[1]Parameters!$A$3:$C$5,3,FALSE),0)</f>
        <v>0</v>
      </c>
      <c r="Q315">
        <f t="shared" si="4"/>
        <v>2.2999999999999998</v>
      </c>
      <c r="R315" s="10">
        <f>IF('[1]Pizza Sales Calculations'!$G315=TRUE, [1]Parameters!$B$17*'[1]Pizza Sales Calculations'!$L315*2, 0)</f>
        <v>0</v>
      </c>
      <c r="S315" t="str">
        <f>IF(I315&lt;[1]Parameters!$B$21,"TRUE","FALSE")</f>
        <v>TRUE</v>
      </c>
      <c r="T315" s="5">
        <f>(I315/[1]Parameters!$B$25)*60</f>
        <v>0</v>
      </c>
      <c r="U315" s="10">
        <f>IF(AND('[1]Pizza Sales Calculations'!G315=TRUE,'[1]Pizza Sales Calculations'!S315="TRUE"),T315*[1]Parameters!$B$40*2,0)</f>
        <v>0</v>
      </c>
      <c r="V315">
        <f>INDEX([1]Parameters!$A$3:$C$5,MATCH('[1]Pizza Sales Calculations'!D315,[1]Parameters!$A$3:$A$5,0),2)</f>
        <v>14</v>
      </c>
      <c r="W315" t="e">
        <f>INDEX([1]Parameters!$A$3:$C$5,MATCH('[1]Pizza Sales Calculations'!E315,[1]Parameters!$A$3:$A$5,0),2)</f>
        <v>#N/A</v>
      </c>
      <c r="X315" t="e">
        <f>INDEX([1]Parameters!$A$3:$C$5,MATCH('[1]Pizza Sales Calculations'!F315,[1]Parameters!$A$3:$A$5,0),2)</f>
        <v>#N/A</v>
      </c>
    </row>
    <row r="316" spans="1:24" x14ac:dyDescent="0.3">
      <c r="A316">
        <v>315</v>
      </c>
      <c r="B316" s="14">
        <v>42373.485856481479</v>
      </c>
      <c r="C316" s="14">
        <v>42373.49628472222</v>
      </c>
      <c r="D316" t="s">
        <v>3</v>
      </c>
      <c r="G316" t="b">
        <v>0</v>
      </c>
      <c r="H316">
        <v>70804</v>
      </c>
      <c r="I316" s="5">
        <v>0</v>
      </c>
      <c r="J316" s="14">
        <v>42373.498356481483</v>
      </c>
      <c r="K316">
        <v>7.99</v>
      </c>
      <c r="L316" s="5">
        <f>('[1]Pizza Sales Calculations'!$J316-'[1]Pizza Sales Calculations'!$C316)*24*60</f>
        <v>2.9833333392161876</v>
      </c>
      <c r="M316">
        <f>COUNTA('[1]Pizza Sales Calculations'!$D316:$F316)</f>
        <v>1</v>
      </c>
      <c r="N316">
        <f>IFERROR(VLOOKUP(D316,[1]Parameters!$A$3:$C$5,3,FALSE),0)</f>
        <v>1</v>
      </c>
      <c r="O316">
        <f>IFERROR(VLOOKUP(E316,[1]Parameters!$A$3:$C$5,3,FALSE),0)</f>
        <v>0</v>
      </c>
      <c r="P316">
        <f>IFERROR(VLOOKUP(F316,[1]Parameters!$A$3:$C$5,3,FALSE),0)</f>
        <v>0</v>
      </c>
      <c r="Q316">
        <f t="shared" si="4"/>
        <v>1</v>
      </c>
      <c r="R316" s="10">
        <f>IF('[1]Pizza Sales Calculations'!$G316=TRUE, [1]Parameters!$B$17*'[1]Pizza Sales Calculations'!$L316*2, 0)</f>
        <v>0</v>
      </c>
      <c r="S316" t="str">
        <f>IF(I316&lt;[1]Parameters!$B$21,"TRUE","FALSE")</f>
        <v>TRUE</v>
      </c>
      <c r="T316" s="5">
        <f>(I316/[1]Parameters!$B$25)*60</f>
        <v>0</v>
      </c>
      <c r="U316" s="10">
        <f>IF(AND('[1]Pizza Sales Calculations'!G316=TRUE,'[1]Pizza Sales Calculations'!S316="TRUE"),T316*[1]Parameters!$B$40*2,0)</f>
        <v>0</v>
      </c>
      <c r="V316">
        <f>INDEX([1]Parameters!$A$3:$C$5,MATCH('[1]Pizza Sales Calculations'!D316,[1]Parameters!$A$3:$A$5,0),2)</f>
        <v>7</v>
      </c>
      <c r="W316" t="e">
        <f>INDEX([1]Parameters!$A$3:$C$5,MATCH('[1]Pizza Sales Calculations'!E316,[1]Parameters!$A$3:$A$5,0),2)</f>
        <v>#N/A</v>
      </c>
      <c r="X316" t="e">
        <f>INDEX([1]Parameters!$A$3:$C$5,MATCH('[1]Pizza Sales Calculations'!F316,[1]Parameters!$A$3:$A$5,0),2)</f>
        <v>#N/A</v>
      </c>
    </row>
    <row r="317" spans="1:24" x14ac:dyDescent="0.3">
      <c r="A317">
        <v>316</v>
      </c>
      <c r="B317" s="14">
        <v>42373.479722222219</v>
      </c>
      <c r="C317" s="14">
        <v>42373.49013888889</v>
      </c>
      <c r="D317" t="s">
        <v>5</v>
      </c>
      <c r="G317" t="b">
        <v>0</v>
      </c>
      <c r="H317">
        <v>70803</v>
      </c>
      <c r="I317" s="5">
        <v>0</v>
      </c>
      <c r="J317" s="14">
        <v>42373.492210648146</v>
      </c>
      <c r="K317">
        <v>15.35</v>
      </c>
      <c r="L317" s="5">
        <f>('[1]Pizza Sales Calculations'!$J317-'[1]Pizza Sales Calculations'!$C317)*24*60</f>
        <v>2.9833333287388086</v>
      </c>
      <c r="M317">
        <f>COUNTA('[1]Pizza Sales Calculations'!$D317:$F317)</f>
        <v>1</v>
      </c>
      <c r="N317">
        <f>IFERROR(VLOOKUP(D317,[1]Parameters!$A$3:$C$5,3,FALSE),0)</f>
        <v>2.2999999999999998</v>
      </c>
      <c r="O317">
        <f>IFERROR(VLOOKUP(E317,[1]Parameters!$A$3:$C$5,3,FALSE),0)</f>
        <v>0</v>
      </c>
      <c r="P317">
        <f>IFERROR(VLOOKUP(F317,[1]Parameters!$A$3:$C$5,3,FALSE),0)</f>
        <v>0</v>
      </c>
      <c r="Q317">
        <f t="shared" si="4"/>
        <v>2.2999999999999998</v>
      </c>
      <c r="R317" s="10">
        <f>IF('[1]Pizza Sales Calculations'!$G317=TRUE, [1]Parameters!$B$17*'[1]Pizza Sales Calculations'!$L317*2, 0)</f>
        <v>0</v>
      </c>
      <c r="S317" t="str">
        <f>IF(I317&lt;[1]Parameters!$B$21,"TRUE","FALSE")</f>
        <v>TRUE</v>
      </c>
      <c r="T317" s="5">
        <f>(I317/[1]Parameters!$B$25)*60</f>
        <v>0</v>
      </c>
      <c r="U317" s="10">
        <f>IF(AND('[1]Pizza Sales Calculations'!G317=TRUE,'[1]Pizza Sales Calculations'!S317="TRUE"),T317*[1]Parameters!$B$40*2,0)</f>
        <v>0</v>
      </c>
      <c r="V317">
        <f>INDEX([1]Parameters!$A$3:$C$5,MATCH('[1]Pizza Sales Calculations'!D317,[1]Parameters!$A$3:$A$5,0),2)</f>
        <v>14</v>
      </c>
      <c r="W317" t="e">
        <f>INDEX([1]Parameters!$A$3:$C$5,MATCH('[1]Pizza Sales Calculations'!E317,[1]Parameters!$A$3:$A$5,0),2)</f>
        <v>#N/A</v>
      </c>
      <c r="X317" t="e">
        <f>INDEX([1]Parameters!$A$3:$C$5,MATCH('[1]Pizza Sales Calculations'!F317,[1]Parameters!$A$3:$A$5,0),2)</f>
        <v>#N/A</v>
      </c>
    </row>
    <row r="318" spans="1:24" x14ac:dyDescent="0.3">
      <c r="A318">
        <v>317</v>
      </c>
      <c r="B318" s="14">
        <v>42373.568796296298</v>
      </c>
      <c r="C318" s="14">
        <v>42373.579201388886</v>
      </c>
      <c r="D318" t="s">
        <v>3</v>
      </c>
      <c r="G318" t="b">
        <v>0</v>
      </c>
      <c r="H318">
        <v>70806</v>
      </c>
      <c r="I318" s="5">
        <v>0</v>
      </c>
      <c r="J318" s="14">
        <v>42373.581273148149</v>
      </c>
      <c r="K318">
        <v>7.99</v>
      </c>
      <c r="L318" s="5">
        <f>('[1]Pizza Sales Calculations'!$J318-'[1]Pizza Sales Calculations'!$C318)*24*60</f>
        <v>2.9833333392161876</v>
      </c>
      <c r="M318">
        <f>COUNTA('[1]Pizza Sales Calculations'!$D318:$F318)</f>
        <v>1</v>
      </c>
      <c r="N318">
        <f>IFERROR(VLOOKUP(D318,[1]Parameters!$A$3:$C$5,3,FALSE),0)</f>
        <v>1</v>
      </c>
      <c r="O318">
        <f>IFERROR(VLOOKUP(E318,[1]Parameters!$A$3:$C$5,3,FALSE),0)</f>
        <v>0</v>
      </c>
      <c r="P318">
        <f>IFERROR(VLOOKUP(F318,[1]Parameters!$A$3:$C$5,3,FALSE),0)</f>
        <v>0</v>
      </c>
      <c r="Q318">
        <f t="shared" si="4"/>
        <v>1</v>
      </c>
      <c r="R318" s="10">
        <f>IF('[1]Pizza Sales Calculations'!$G318=TRUE, [1]Parameters!$B$17*'[1]Pizza Sales Calculations'!$L318*2, 0)</f>
        <v>0</v>
      </c>
      <c r="S318" t="str">
        <f>IF(I318&lt;[1]Parameters!$B$21,"TRUE","FALSE")</f>
        <v>TRUE</v>
      </c>
      <c r="T318" s="5">
        <f>(I318/[1]Parameters!$B$25)*60</f>
        <v>0</v>
      </c>
      <c r="U318" s="10">
        <f>IF(AND('[1]Pizza Sales Calculations'!G318=TRUE,'[1]Pizza Sales Calculations'!S318="TRUE"),T318*[1]Parameters!$B$40*2,0)</f>
        <v>0</v>
      </c>
      <c r="V318">
        <f>INDEX([1]Parameters!$A$3:$C$5,MATCH('[1]Pizza Sales Calculations'!D318,[1]Parameters!$A$3:$A$5,0),2)</f>
        <v>7</v>
      </c>
      <c r="W318" t="e">
        <f>INDEX([1]Parameters!$A$3:$C$5,MATCH('[1]Pizza Sales Calculations'!E318,[1]Parameters!$A$3:$A$5,0),2)</f>
        <v>#N/A</v>
      </c>
      <c r="X318" t="e">
        <f>INDEX([1]Parameters!$A$3:$C$5,MATCH('[1]Pizza Sales Calculations'!F318,[1]Parameters!$A$3:$A$5,0),2)</f>
        <v>#N/A</v>
      </c>
    </row>
    <row r="319" spans="1:24" x14ac:dyDescent="0.3">
      <c r="A319">
        <v>318</v>
      </c>
      <c r="B319" s="14">
        <v>42373.471875000003</v>
      </c>
      <c r="C319" s="14">
        <v>42373.48228009259</v>
      </c>
      <c r="D319" t="s">
        <v>5</v>
      </c>
      <c r="G319" t="b">
        <v>0</v>
      </c>
      <c r="H319">
        <v>70805</v>
      </c>
      <c r="I319" s="5">
        <v>0</v>
      </c>
      <c r="J319" s="14">
        <v>42373.484375</v>
      </c>
      <c r="K319">
        <v>15.35</v>
      </c>
      <c r="L319" s="5">
        <f>('[1]Pizza Sales Calculations'!$J319-'[1]Pizza Sales Calculations'!$C319)*24*60</f>
        <v>3.0166666698642075</v>
      </c>
      <c r="M319">
        <f>COUNTA('[1]Pizza Sales Calculations'!$D319:$F319)</f>
        <v>1</v>
      </c>
      <c r="N319">
        <f>IFERROR(VLOOKUP(D319,[1]Parameters!$A$3:$C$5,3,FALSE),0)</f>
        <v>2.2999999999999998</v>
      </c>
      <c r="O319">
        <f>IFERROR(VLOOKUP(E319,[1]Parameters!$A$3:$C$5,3,FALSE),0)</f>
        <v>0</v>
      </c>
      <c r="P319">
        <f>IFERROR(VLOOKUP(F319,[1]Parameters!$A$3:$C$5,3,FALSE),0)</f>
        <v>0</v>
      </c>
      <c r="Q319">
        <f t="shared" si="4"/>
        <v>2.2999999999999998</v>
      </c>
      <c r="R319" s="10">
        <f>IF('[1]Pizza Sales Calculations'!$G319=TRUE, [1]Parameters!$B$17*'[1]Pizza Sales Calculations'!$L319*2, 0)</f>
        <v>0</v>
      </c>
      <c r="S319" t="str">
        <f>IF(I319&lt;[1]Parameters!$B$21,"TRUE","FALSE")</f>
        <v>TRUE</v>
      </c>
      <c r="T319" s="5">
        <f>(I319/[1]Parameters!$B$25)*60</f>
        <v>0</v>
      </c>
      <c r="U319" s="10">
        <f>IF(AND('[1]Pizza Sales Calculations'!G319=TRUE,'[1]Pizza Sales Calculations'!S319="TRUE"),T319*[1]Parameters!$B$40*2,0)</f>
        <v>0</v>
      </c>
      <c r="V319">
        <f>INDEX([1]Parameters!$A$3:$C$5,MATCH('[1]Pizza Sales Calculations'!D319,[1]Parameters!$A$3:$A$5,0),2)</f>
        <v>14</v>
      </c>
      <c r="W319" t="e">
        <f>INDEX([1]Parameters!$A$3:$C$5,MATCH('[1]Pizza Sales Calculations'!E319,[1]Parameters!$A$3:$A$5,0),2)</f>
        <v>#N/A</v>
      </c>
      <c r="X319" t="e">
        <f>INDEX([1]Parameters!$A$3:$C$5,MATCH('[1]Pizza Sales Calculations'!F319,[1]Parameters!$A$3:$A$5,0),2)</f>
        <v>#N/A</v>
      </c>
    </row>
    <row r="320" spans="1:24" x14ac:dyDescent="0.3">
      <c r="A320">
        <v>319</v>
      </c>
      <c r="B320" s="14">
        <v>42373.485243055555</v>
      </c>
      <c r="C320" s="14">
        <v>42373.495648148149</v>
      </c>
      <c r="D320" t="s">
        <v>3</v>
      </c>
      <c r="G320" t="b">
        <v>1</v>
      </c>
      <c r="H320">
        <v>70808</v>
      </c>
      <c r="I320" s="5">
        <v>0.91607002028784201</v>
      </c>
      <c r="J320" s="14">
        <v>42373.498819444445</v>
      </c>
      <c r="K320">
        <v>7.99</v>
      </c>
      <c r="L320" s="5">
        <f>('[1]Pizza Sales Calculations'!$J320-'[1]Pizza Sales Calculations'!$C320)*24*60</f>
        <v>4.5666666654869914</v>
      </c>
      <c r="M320">
        <f>COUNTA('[1]Pizza Sales Calculations'!$D320:$F320)</f>
        <v>1</v>
      </c>
      <c r="N320">
        <f>IFERROR(VLOOKUP(D320,[1]Parameters!$A$3:$C$5,3,FALSE),0)</f>
        <v>1</v>
      </c>
      <c r="O320">
        <f>IFERROR(VLOOKUP(E320,[1]Parameters!$A$3:$C$5,3,FALSE),0)</f>
        <v>0</v>
      </c>
      <c r="P320">
        <f>IFERROR(VLOOKUP(F320,[1]Parameters!$A$3:$C$5,3,FALSE),0)</f>
        <v>0</v>
      </c>
      <c r="Q320">
        <f t="shared" si="4"/>
        <v>1</v>
      </c>
      <c r="R320" s="10">
        <f>IF('[1]Pizza Sales Calculations'!$G320=TRUE, [1]Parameters!$B$17*'[1]Pizza Sales Calculations'!$L320*2, 0)</f>
        <v>1.2938888885546476</v>
      </c>
      <c r="S320" t="str">
        <f>IF(I320&lt;[1]Parameters!$B$21,"TRUE","FALSE")</f>
        <v>TRUE</v>
      </c>
      <c r="T320" s="5">
        <f>(I320/[1]Parameters!$B$25)*60</f>
        <v>1.832140040575684</v>
      </c>
      <c r="U320" s="10">
        <f>IF(AND('[1]Pizza Sales Calculations'!G320=TRUE,'[1]Pizza Sales Calculations'!S320="TRUE"),T320*[1]Parameters!$B$40*2,0)</f>
        <v>0.11436699639382512</v>
      </c>
      <c r="V320">
        <f>INDEX([1]Parameters!$A$3:$C$5,MATCH('[1]Pizza Sales Calculations'!D320,[1]Parameters!$A$3:$A$5,0),2)</f>
        <v>7</v>
      </c>
      <c r="W320" t="e">
        <f>INDEX([1]Parameters!$A$3:$C$5,MATCH('[1]Pizza Sales Calculations'!E320,[1]Parameters!$A$3:$A$5,0),2)</f>
        <v>#N/A</v>
      </c>
      <c r="X320" t="e">
        <f>INDEX([1]Parameters!$A$3:$C$5,MATCH('[1]Pizza Sales Calculations'!F320,[1]Parameters!$A$3:$A$5,0),2)</f>
        <v>#N/A</v>
      </c>
    </row>
    <row r="321" spans="1:24" x14ac:dyDescent="0.3">
      <c r="A321">
        <v>320</v>
      </c>
      <c r="B321" s="14">
        <v>42373.430069444446</v>
      </c>
      <c r="C321" s="14">
        <v>42373.440497685187</v>
      </c>
      <c r="D321" t="s">
        <v>3</v>
      </c>
      <c r="G321" t="b">
        <v>0</v>
      </c>
      <c r="H321">
        <v>70803</v>
      </c>
      <c r="I321" s="5">
        <v>0</v>
      </c>
      <c r="J321" s="14">
        <v>42373.442557870374</v>
      </c>
      <c r="K321">
        <v>7.99</v>
      </c>
      <c r="L321" s="5">
        <f>('[1]Pizza Sales Calculations'!$J321-'[1]Pizza Sales Calculations'!$C321)*24*60</f>
        <v>2.9666666686534882</v>
      </c>
      <c r="M321">
        <f>COUNTA('[1]Pizza Sales Calculations'!$D321:$F321)</f>
        <v>1</v>
      </c>
      <c r="N321">
        <f>IFERROR(VLOOKUP(D321,[1]Parameters!$A$3:$C$5,3,FALSE),0)</f>
        <v>1</v>
      </c>
      <c r="O321">
        <f>IFERROR(VLOOKUP(E321,[1]Parameters!$A$3:$C$5,3,FALSE),0)</f>
        <v>0</v>
      </c>
      <c r="P321">
        <f>IFERROR(VLOOKUP(F321,[1]Parameters!$A$3:$C$5,3,FALSE),0)</f>
        <v>0</v>
      </c>
      <c r="Q321">
        <f t="shared" si="4"/>
        <v>1</v>
      </c>
      <c r="R321" s="10">
        <f>IF('[1]Pizza Sales Calculations'!$G321=TRUE, [1]Parameters!$B$17*'[1]Pizza Sales Calculations'!$L321*2, 0)</f>
        <v>0</v>
      </c>
      <c r="S321" t="str">
        <f>IF(I321&lt;[1]Parameters!$B$21,"TRUE","FALSE")</f>
        <v>TRUE</v>
      </c>
      <c r="T321" s="5">
        <f>(I321/[1]Parameters!$B$25)*60</f>
        <v>0</v>
      </c>
      <c r="U321" s="10">
        <f>IF(AND('[1]Pizza Sales Calculations'!G321=TRUE,'[1]Pizza Sales Calculations'!S321="TRUE"),T321*[1]Parameters!$B$40*2,0)</f>
        <v>0</v>
      </c>
      <c r="V321">
        <f>INDEX([1]Parameters!$A$3:$C$5,MATCH('[1]Pizza Sales Calculations'!D321,[1]Parameters!$A$3:$A$5,0),2)</f>
        <v>7</v>
      </c>
      <c r="W321" t="e">
        <f>INDEX([1]Parameters!$A$3:$C$5,MATCH('[1]Pizza Sales Calculations'!E321,[1]Parameters!$A$3:$A$5,0),2)</f>
        <v>#N/A</v>
      </c>
      <c r="X321" t="e">
        <f>INDEX([1]Parameters!$A$3:$C$5,MATCH('[1]Pizza Sales Calculations'!F321,[1]Parameters!$A$3:$A$5,0),2)</f>
        <v>#N/A</v>
      </c>
    </row>
    <row r="322" spans="1:24" x14ac:dyDescent="0.3">
      <c r="A322">
        <v>321</v>
      </c>
      <c r="B322" s="14">
        <v>42373.476620370369</v>
      </c>
      <c r="C322" s="14">
        <v>42373.487025462964</v>
      </c>
      <c r="D322" t="s">
        <v>5</v>
      </c>
      <c r="G322" t="b">
        <v>1</v>
      </c>
      <c r="H322">
        <v>70807</v>
      </c>
      <c r="I322" s="5">
        <v>5.5330215012028399</v>
      </c>
      <c r="J322" s="14">
        <v>42373.506226851852</v>
      </c>
      <c r="K322">
        <v>15.35</v>
      </c>
      <c r="L322" s="5">
        <f>('[1]Pizza Sales Calculations'!$J322-'[1]Pizza Sales Calculations'!$C322)*24*60</f>
        <v>27.649999998975545</v>
      </c>
      <c r="M322">
        <f>COUNTA('[1]Pizza Sales Calculations'!$D322:$F322)</f>
        <v>1</v>
      </c>
      <c r="N322">
        <f>IFERROR(VLOOKUP(D322,[1]Parameters!$A$3:$C$5,3,FALSE),0)</f>
        <v>2.2999999999999998</v>
      </c>
      <c r="O322">
        <f>IFERROR(VLOOKUP(E322,[1]Parameters!$A$3:$C$5,3,FALSE),0)</f>
        <v>0</v>
      </c>
      <c r="P322">
        <f>IFERROR(VLOOKUP(F322,[1]Parameters!$A$3:$C$5,3,FALSE),0)</f>
        <v>0</v>
      </c>
      <c r="Q322">
        <f t="shared" si="4"/>
        <v>2.2999999999999998</v>
      </c>
      <c r="R322" s="10">
        <f>IF('[1]Pizza Sales Calculations'!$G322=TRUE, [1]Parameters!$B$17*'[1]Pizza Sales Calculations'!$L322*2, 0)</f>
        <v>7.8341666663764045</v>
      </c>
      <c r="S322" t="str">
        <f>IF(I322&lt;[1]Parameters!$B$21,"TRUE","FALSE")</f>
        <v>FALSE</v>
      </c>
      <c r="T322" s="5">
        <f>(I322/[1]Parameters!$B$25)*60</f>
        <v>11.06604300240568</v>
      </c>
      <c r="U322" s="10">
        <f>IF(AND('[1]Pizza Sales Calculations'!G322=TRUE,'[1]Pizza Sales Calculations'!S322="TRUE"),T322*[1]Parameters!$B$40*2,0)</f>
        <v>0</v>
      </c>
      <c r="V322">
        <f>INDEX([1]Parameters!$A$3:$C$5,MATCH('[1]Pizza Sales Calculations'!D322,[1]Parameters!$A$3:$A$5,0),2)</f>
        <v>14</v>
      </c>
      <c r="W322" t="e">
        <f>INDEX([1]Parameters!$A$3:$C$5,MATCH('[1]Pizza Sales Calculations'!E322,[1]Parameters!$A$3:$A$5,0),2)</f>
        <v>#N/A</v>
      </c>
      <c r="X322" t="e">
        <f>INDEX([1]Parameters!$A$3:$C$5,MATCH('[1]Pizza Sales Calculations'!F322,[1]Parameters!$A$3:$A$5,0),2)</f>
        <v>#N/A</v>
      </c>
    </row>
    <row r="323" spans="1:24" x14ac:dyDescent="0.3">
      <c r="A323">
        <v>322</v>
      </c>
      <c r="B323" s="14">
        <v>42373.515706018516</v>
      </c>
      <c r="C323" s="14">
        <v>42373.526122685187</v>
      </c>
      <c r="D323" t="s">
        <v>3</v>
      </c>
      <c r="E323" t="s">
        <v>5</v>
      </c>
      <c r="G323" t="b">
        <v>0</v>
      </c>
      <c r="H323">
        <v>70803</v>
      </c>
      <c r="I323" s="5">
        <v>0</v>
      </c>
      <c r="J323" s="14">
        <v>42373.528194444443</v>
      </c>
      <c r="K323">
        <v>23.34</v>
      </c>
      <c r="L323" s="5">
        <f>('[1]Pizza Sales Calculations'!$J323-'[1]Pizza Sales Calculations'!$C323)*24*60</f>
        <v>2.9833333287388086</v>
      </c>
      <c r="M323">
        <f>COUNTA('[1]Pizza Sales Calculations'!$D323:$F323)</f>
        <v>2</v>
      </c>
      <c r="N323">
        <f>IFERROR(VLOOKUP(D323,[1]Parameters!$A$3:$C$5,3,FALSE),0)</f>
        <v>1</v>
      </c>
      <c r="O323">
        <f>IFERROR(VLOOKUP(E323,[1]Parameters!$A$3:$C$5,3,FALSE),0)</f>
        <v>2.2999999999999998</v>
      </c>
      <c r="P323">
        <f>IFERROR(VLOOKUP(F323,[1]Parameters!$A$3:$C$5,3,FALSE),0)</f>
        <v>0</v>
      </c>
      <c r="Q323">
        <f t="shared" ref="Q323:Q386" si="5">SUM(N323:P323)</f>
        <v>3.3</v>
      </c>
      <c r="R323" s="10">
        <f>IF('[1]Pizza Sales Calculations'!$G323=TRUE, [1]Parameters!$B$17*'[1]Pizza Sales Calculations'!$L323*2, 0)</f>
        <v>0</v>
      </c>
      <c r="S323" t="str">
        <f>IF(I323&lt;[1]Parameters!$B$21,"TRUE","FALSE")</f>
        <v>TRUE</v>
      </c>
      <c r="T323" s="5">
        <f>(I323/[1]Parameters!$B$25)*60</f>
        <v>0</v>
      </c>
      <c r="U323" s="10">
        <f>IF(AND('[1]Pizza Sales Calculations'!G323=TRUE,'[1]Pizza Sales Calculations'!S323="TRUE"),T323*[1]Parameters!$B$40*2,0)</f>
        <v>0</v>
      </c>
      <c r="V323">
        <f>INDEX([1]Parameters!$A$3:$C$5,MATCH('[1]Pizza Sales Calculations'!D323,[1]Parameters!$A$3:$A$5,0),2)</f>
        <v>7</v>
      </c>
      <c r="W323">
        <f>INDEX([1]Parameters!$A$3:$C$5,MATCH('[1]Pizza Sales Calculations'!E323,[1]Parameters!$A$3:$A$5,0),2)</f>
        <v>14</v>
      </c>
      <c r="X323" t="e">
        <f>INDEX([1]Parameters!$A$3:$C$5,MATCH('[1]Pizza Sales Calculations'!F323,[1]Parameters!$A$3:$A$5,0),2)</f>
        <v>#N/A</v>
      </c>
    </row>
    <row r="324" spans="1:24" x14ac:dyDescent="0.3">
      <c r="A324">
        <v>323</v>
      </c>
      <c r="B324" s="14">
        <v>42373.435185185182</v>
      </c>
      <c r="C324" s="14">
        <v>42373.445613425924</v>
      </c>
      <c r="D324" t="s">
        <v>4</v>
      </c>
      <c r="G324" t="b">
        <v>0</v>
      </c>
      <c r="H324">
        <v>70805</v>
      </c>
      <c r="I324" s="5">
        <v>0</v>
      </c>
      <c r="J324" s="14">
        <v>42373.44767361111</v>
      </c>
      <c r="K324">
        <v>11.59</v>
      </c>
      <c r="L324" s="5">
        <f>('[1]Pizza Sales Calculations'!$J324-'[1]Pizza Sales Calculations'!$C324)*24*60</f>
        <v>2.9666666686534882</v>
      </c>
      <c r="M324">
        <f>COUNTA('[1]Pizza Sales Calculations'!$D324:$F324)</f>
        <v>1</v>
      </c>
      <c r="N324">
        <f>IFERROR(VLOOKUP(D324,[1]Parameters!$A$3:$C$5,3,FALSE),0)</f>
        <v>1.7</v>
      </c>
      <c r="O324">
        <f>IFERROR(VLOOKUP(E324,[1]Parameters!$A$3:$C$5,3,FALSE),0)</f>
        <v>0</v>
      </c>
      <c r="P324">
        <f>IFERROR(VLOOKUP(F324,[1]Parameters!$A$3:$C$5,3,FALSE),0)</f>
        <v>0</v>
      </c>
      <c r="Q324">
        <f t="shared" si="5"/>
        <v>1.7</v>
      </c>
      <c r="R324" s="10">
        <f>IF('[1]Pizza Sales Calculations'!$G324=TRUE, [1]Parameters!$B$17*'[1]Pizza Sales Calculations'!$L324*2, 0)</f>
        <v>0</v>
      </c>
      <c r="S324" t="str">
        <f>IF(I324&lt;[1]Parameters!$B$21,"TRUE","FALSE")</f>
        <v>TRUE</v>
      </c>
      <c r="T324" s="5">
        <f>(I324/[1]Parameters!$B$25)*60</f>
        <v>0</v>
      </c>
      <c r="U324" s="10">
        <f>IF(AND('[1]Pizza Sales Calculations'!G324=TRUE,'[1]Pizza Sales Calculations'!S324="TRUE"),T324*[1]Parameters!$B$40*2,0)</f>
        <v>0</v>
      </c>
      <c r="V324">
        <f>INDEX([1]Parameters!$A$3:$C$5,MATCH('[1]Pizza Sales Calculations'!D324,[1]Parameters!$A$3:$A$5,0),2)</f>
        <v>10</v>
      </c>
      <c r="W324" t="e">
        <f>INDEX([1]Parameters!$A$3:$C$5,MATCH('[1]Pizza Sales Calculations'!E324,[1]Parameters!$A$3:$A$5,0),2)</f>
        <v>#N/A</v>
      </c>
      <c r="X324" t="e">
        <f>INDEX([1]Parameters!$A$3:$C$5,MATCH('[1]Pizza Sales Calculations'!F324,[1]Parameters!$A$3:$A$5,0),2)</f>
        <v>#N/A</v>
      </c>
    </row>
    <row r="325" spans="1:24" x14ac:dyDescent="0.3">
      <c r="A325">
        <v>324</v>
      </c>
      <c r="B325" s="14">
        <v>42373.442187499997</v>
      </c>
      <c r="C325" s="14">
        <v>42373.452615740738</v>
      </c>
      <c r="D325" t="s">
        <v>5</v>
      </c>
      <c r="G325" t="b">
        <v>0</v>
      </c>
      <c r="H325">
        <v>70804</v>
      </c>
      <c r="I325" s="5">
        <v>0</v>
      </c>
      <c r="J325" s="14">
        <v>42373.454675925925</v>
      </c>
      <c r="K325">
        <v>15.35</v>
      </c>
      <c r="L325" s="5">
        <f>('[1]Pizza Sales Calculations'!$J325-'[1]Pizza Sales Calculations'!$C325)*24*60</f>
        <v>2.9666666686534882</v>
      </c>
      <c r="M325">
        <f>COUNTA('[1]Pizza Sales Calculations'!$D325:$F325)</f>
        <v>1</v>
      </c>
      <c r="N325">
        <f>IFERROR(VLOOKUP(D325,[1]Parameters!$A$3:$C$5,3,FALSE),0)</f>
        <v>2.2999999999999998</v>
      </c>
      <c r="O325">
        <f>IFERROR(VLOOKUP(E325,[1]Parameters!$A$3:$C$5,3,FALSE),0)</f>
        <v>0</v>
      </c>
      <c r="P325">
        <f>IFERROR(VLOOKUP(F325,[1]Parameters!$A$3:$C$5,3,FALSE),0)</f>
        <v>0</v>
      </c>
      <c r="Q325">
        <f t="shared" si="5"/>
        <v>2.2999999999999998</v>
      </c>
      <c r="R325" s="10">
        <f>IF('[1]Pizza Sales Calculations'!$G325=TRUE, [1]Parameters!$B$17*'[1]Pizza Sales Calculations'!$L325*2, 0)</f>
        <v>0</v>
      </c>
      <c r="S325" t="str">
        <f>IF(I325&lt;[1]Parameters!$B$21,"TRUE","FALSE")</f>
        <v>TRUE</v>
      </c>
      <c r="T325" s="5">
        <f>(I325/[1]Parameters!$B$25)*60</f>
        <v>0</v>
      </c>
      <c r="U325" s="10">
        <f>IF(AND('[1]Pizza Sales Calculations'!G325=TRUE,'[1]Pizza Sales Calculations'!S325="TRUE"),T325*[1]Parameters!$B$40*2,0)</f>
        <v>0</v>
      </c>
      <c r="V325">
        <f>INDEX([1]Parameters!$A$3:$C$5,MATCH('[1]Pizza Sales Calculations'!D325,[1]Parameters!$A$3:$A$5,0),2)</f>
        <v>14</v>
      </c>
      <c r="W325" t="e">
        <f>INDEX([1]Parameters!$A$3:$C$5,MATCH('[1]Pizza Sales Calculations'!E325,[1]Parameters!$A$3:$A$5,0),2)</f>
        <v>#N/A</v>
      </c>
      <c r="X325" t="e">
        <f>INDEX([1]Parameters!$A$3:$C$5,MATCH('[1]Pizza Sales Calculations'!F325,[1]Parameters!$A$3:$A$5,0),2)</f>
        <v>#N/A</v>
      </c>
    </row>
    <row r="326" spans="1:24" x14ac:dyDescent="0.3">
      <c r="A326">
        <v>325</v>
      </c>
      <c r="B326" s="14">
        <v>42373.532418981478</v>
      </c>
      <c r="C326" s="14">
        <v>42373.54283564815</v>
      </c>
      <c r="D326" t="s">
        <v>3</v>
      </c>
      <c r="E326" t="s">
        <v>4</v>
      </c>
      <c r="G326" t="b">
        <v>1</v>
      </c>
      <c r="H326">
        <v>70805</v>
      </c>
      <c r="I326" s="5">
        <v>2.13074469492134</v>
      </c>
      <c r="J326" s="14">
        <v>42373.55023148148</v>
      </c>
      <c r="K326">
        <v>19.579999999999998</v>
      </c>
      <c r="L326" s="5">
        <f>('[1]Pizza Sales Calculations'!$J326-'[1]Pizza Sales Calculations'!$C326)*24*60</f>
        <v>10.649999995948747</v>
      </c>
      <c r="M326">
        <f>COUNTA('[1]Pizza Sales Calculations'!$D326:$F326)</f>
        <v>2</v>
      </c>
      <c r="N326">
        <f>IFERROR(VLOOKUP(D326,[1]Parameters!$A$3:$C$5,3,FALSE),0)</f>
        <v>1</v>
      </c>
      <c r="O326">
        <f>IFERROR(VLOOKUP(E326,[1]Parameters!$A$3:$C$5,3,FALSE),0)</f>
        <v>1.7</v>
      </c>
      <c r="P326">
        <f>IFERROR(VLOOKUP(F326,[1]Parameters!$A$3:$C$5,3,FALSE),0)</f>
        <v>0</v>
      </c>
      <c r="Q326">
        <f t="shared" si="5"/>
        <v>2.7</v>
      </c>
      <c r="R326" s="10">
        <f>IF('[1]Pizza Sales Calculations'!$G326=TRUE, [1]Parameters!$B$17*'[1]Pizza Sales Calculations'!$L326*2, 0)</f>
        <v>3.0174999988521449</v>
      </c>
      <c r="S326" t="str">
        <f>IF(I326&lt;[1]Parameters!$B$21,"TRUE","FALSE")</f>
        <v>TRUE</v>
      </c>
      <c r="T326" s="5">
        <f>(I326/[1]Parameters!$B$25)*60</f>
        <v>4.26148938984268</v>
      </c>
      <c r="U326" s="10">
        <f>IF(AND('[1]Pizza Sales Calculations'!G326=TRUE,'[1]Pizza Sales Calculations'!S326="TRUE"),T326*[1]Parameters!$B$40*2,0)</f>
        <v>0.26601336736646075</v>
      </c>
      <c r="V326">
        <f>INDEX([1]Parameters!$A$3:$C$5,MATCH('[1]Pizza Sales Calculations'!D326,[1]Parameters!$A$3:$A$5,0),2)</f>
        <v>7</v>
      </c>
      <c r="W326">
        <f>INDEX([1]Parameters!$A$3:$C$5,MATCH('[1]Pizza Sales Calculations'!E326,[1]Parameters!$A$3:$A$5,0),2)</f>
        <v>10</v>
      </c>
      <c r="X326" t="e">
        <f>INDEX([1]Parameters!$A$3:$C$5,MATCH('[1]Pizza Sales Calculations'!F326,[1]Parameters!$A$3:$A$5,0),2)</f>
        <v>#N/A</v>
      </c>
    </row>
    <row r="327" spans="1:24" x14ac:dyDescent="0.3">
      <c r="A327">
        <v>326</v>
      </c>
      <c r="B327" s="14">
        <v>42373.510891203703</v>
      </c>
      <c r="C327" s="14">
        <v>42373.521307870367</v>
      </c>
      <c r="D327" t="s">
        <v>4</v>
      </c>
      <c r="G327" t="b">
        <v>0</v>
      </c>
      <c r="H327">
        <v>70805</v>
      </c>
      <c r="I327" s="5">
        <v>0</v>
      </c>
      <c r="J327" s="14">
        <v>42373.523379629631</v>
      </c>
      <c r="K327">
        <v>11.59</v>
      </c>
      <c r="L327" s="5">
        <f>('[1]Pizza Sales Calculations'!$J327-'[1]Pizza Sales Calculations'!$C327)*24*60</f>
        <v>2.9833333392161876</v>
      </c>
      <c r="M327">
        <f>COUNTA('[1]Pizza Sales Calculations'!$D327:$F327)</f>
        <v>1</v>
      </c>
      <c r="N327">
        <f>IFERROR(VLOOKUP(D327,[1]Parameters!$A$3:$C$5,3,FALSE),0)</f>
        <v>1.7</v>
      </c>
      <c r="O327">
        <f>IFERROR(VLOOKUP(E327,[1]Parameters!$A$3:$C$5,3,FALSE),0)</f>
        <v>0</v>
      </c>
      <c r="P327">
        <f>IFERROR(VLOOKUP(F327,[1]Parameters!$A$3:$C$5,3,FALSE),0)</f>
        <v>0</v>
      </c>
      <c r="Q327">
        <f t="shared" si="5"/>
        <v>1.7</v>
      </c>
      <c r="R327" s="10">
        <f>IF('[1]Pizza Sales Calculations'!$G327=TRUE, [1]Parameters!$B$17*'[1]Pizza Sales Calculations'!$L327*2, 0)</f>
        <v>0</v>
      </c>
      <c r="S327" t="str">
        <f>IF(I327&lt;[1]Parameters!$B$21,"TRUE","FALSE")</f>
        <v>TRUE</v>
      </c>
      <c r="T327" s="5">
        <f>(I327/[1]Parameters!$B$25)*60</f>
        <v>0</v>
      </c>
      <c r="U327" s="10">
        <f>IF(AND('[1]Pizza Sales Calculations'!G327=TRUE,'[1]Pizza Sales Calculations'!S327="TRUE"),T327*[1]Parameters!$B$40*2,0)</f>
        <v>0</v>
      </c>
      <c r="V327">
        <f>INDEX([1]Parameters!$A$3:$C$5,MATCH('[1]Pizza Sales Calculations'!D327,[1]Parameters!$A$3:$A$5,0),2)</f>
        <v>10</v>
      </c>
      <c r="W327" t="e">
        <f>INDEX([1]Parameters!$A$3:$C$5,MATCH('[1]Pizza Sales Calculations'!E327,[1]Parameters!$A$3:$A$5,0),2)</f>
        <v>#N/A</v>
      </c>
      <c r="X327" t="e">
        <f>INDEX([1]Parameters!$A$3:$C$5,MATCH('[1]Pizza Sales Calculations'!F327,[1]Parameters!$A$3:$A$5,0),2)</f>
        <v>#N/A</v>
      </c>
    </row>
    <row r="328" spans="1:24" x14ac:dyDescent="0.3">
      <c r="A328">
        <v>327</v>
      </c>
      <c r="B328" s="14">
        <v>42373.528240740743</v>
      </c>
      <c r="C328" s="14">
        <v>42373.538645833331</v>
      </c>
      <c r="D328" t="s">
        <v>3</v>
      </c>
      <c r="G328" t="b">
        <v>0</v>
      </c>
      <c r="H328">
        <v>70804</v>
      </c>
      <c r="I328" s="5">
        <v>0</v>
      </c>
      <c r="J328" s="14">
        <v>42373.540729166663</v>
      </c>
      <c r="K328">
        <v>7.99</v>
      </c>
      <c r="L328" s="5">
        <f>('[1]Pizza Sales Calculations'!$J328-'[1]Pizza Sales Calculations'!$C328)*24*60</f>
        <v>2.9999999993015081</v>
      </c>
      <c r="M328">
        <f>COUNTA('[1]Pizza Sales Calculations'!$D328:$F328)</f>
        <v>1</v>
      </c>
      <c r="N328">
        <f>IFERROR(VLOOKUP(D328,[1]Parameters!$A$3:$C$5,3,FALSE),0)</f>
        <v>1</v>
      </c>
      <c r="O328">
        <f>IFERROR(VLOOKUP(E328,[1]Parameters!$A$3:$C$5,3,FALSE),0)</f>
        <v>0</v>
      </c>
      <c r="P328">
        <f>IFERROR(VLOOKUP(F328,[1]Parameters!$A$3:$C$5,3,FALSE),0)</f>
        <v>0</v>
      </c>
      <c r="Q328">
        <f t="shared" si="5"/>
        <v>1</v>
      </c>
      <c r="R328" s="10">
        <f>IF('[1]Pizza Sales Calculations'!$G328=TRUE, [1]Parameters!$B$17*'[1]Pizza Sales Calculations'!$L328*2, 0)</f>
        <v>0</v>
      </c>
      <c r="S328" t="str">
        <f>IF(I328&lt;[1]Parameters!$B$21,"TRUE","FALSE")</f>
        <v>TRUE</v>
      </c>
      <c r="T328" s="5">
        <f>(I328/[1]Parameters!$B$25)*60</f>
        <v>0</v>
      </c>
      <c r="U328" s="10">
        <f>IF(AND('[1]Pizza Sales Calculations'!G328=TRUE,'[1]Pizza Sales Calculations'!S328="TRUE"),T328*[1]Parameters!$B$40*2,0)</f>
        <v>0</v>
      </c>
      <c r="V328">
        <f>INDEX([1]Parameters!$A$3:$C$5,MATCH('[1]Pizza Sales Calculations'!D328,[1]Parameters!$A$3:$A$5,0),2)</f>
        <v>7</v>
      </c>
      <c r="W328" t="e">
        <f>INDEX([1]Parameters!$A$3:$C$5,MATCH('[1]Pizza Sales Calculations'!E328,[1]Parameters!$A$3:$A$5,0),2)</f>
        <v>#N/A</v>
      </c>
      <c r="X328" t="e">
        <f>INDEX([1]Parameters!$A$3:$C$5,MATCH('[1]Pizza Sales Calculations'!F328,[1]Parameters!$A$3:$A$5,0),2)</f>
        <v>#N/A</v>
      </c>
    </row>
    <row r="329" spans="1:24" x14ac:dyDescent="0.3">
      <c r="A329">
        <v>328</v>
      </c>
      <c r="B329" s="14">
        <v>42373.43577546296</v>
      </c>
      <c r="C329" s="14">
        <v>42373.446180555555</v>
      </c>
      <c r="D329" t="s">
        <v>3</v>
      </c>
      <c r="E329" t="s">
        <v>5</v>
      </c>
      <c r="G329" t="b">
        <v>0</v>
      </c>
      <c r="H329">
        <v>70804</v>
      </c>
      <c r="I329" s="5">
        <v>0</v>
      </c>
      <c r="J329" s="14">
        <v>42373.448252314818</v>
      </c>
      <c r="K329">
        <v>23.34</v>
      </c>
      <c r="L329" s="5">
        <f>('[1]Pizza Sales Calculations'!$J329-'[1]Pizza Sales Calculations'!$C329)*24*60</f>
        <v>2.9833333392161876</v>
      </c>
      <c r="M329">
        <f>COUNTA('[1]Pizza Sales Calculations'!$D329:$F329)</f>
        <v>2</v>
      </c>
      <c r="N329">
        <f>IFERROR(VLOOKUP(D329,[1]Parameters!$A$3:$C$5,3,FALSE),0)</f>
        <v>1</v>
      </c>
      <c r="O329">
        <f>IFERROR(VLOOKUP(E329,[1]Parameters!$A$3:$C$5,3,FALSE),0)</f>
        <v>2.2999999999999998</v>
      </c>
      <c r="P329">
        <f>IFERROR(VLOOKUP(F329,[1]Parameters!$A$3:$C$5,3,FALSE),0)</f>
        <v>0</v>
      </c>
      <c r="Q329">
        <f t="shared" si="5"/>
        <v>3.3</v>
      </c>
      <c r="R329" s="10">
        <f>IF('[1]Pizza Sales Calculations'!$G329=TRUE, [1]Parameters!$B$17*'[1]Pizza Sales Calculations'!$L329*2, 0)</f>
        <v>0</v>
      </c>
      <c r="S329" t="str">
        <f>IF(I329&lt;[1]Parameters!$B$21,"TRUE","FALSE")</f>
        <v>TRUE</v>
      </c>
      <c r="T329" s="5">
        <f>(I329/[1]Parameters!$B$25)*60</f>
        <v>0</v>
      </c>
      <c r="U329" s="10">
        <f>IF(AND('[1]Pizza Sales Calculations'!G329=TRUE,'[1]Pizza Sales Calculations'!S329="TRUE"),T329*[1]Parameters!$B$40*2,0)</f>
        <v>0</v>
      </c>
      <c r="V329">
        <f>INDEX([1]Parameters!$A$3:$C$5,MATCH('[1]Pizza Sales Calculations'!D329,[1]Parameters!$A$3:$A$5,0),2)</f>
        <v>7</v>
      </c>
      <c r="W329">
        <f>INDEX([1]Parameters!$A$3:$C$5,MATCH('[1]Pizza Sales Calculations'!E329,[1]Parameters!$A$3:$A$5,0),2)</f>
        <v>14</v>
      </c>
      <c r="X329" t="e">
        <f>INDEX([1]Parameters!$A$3:$C$5,MATCH('[1]Pizza Sales Calculations'!F329,[1]Parameters!$A$3:$A$5,0),2)</f>
        <v>#N/A</v>
      </c>
    </row>
    <row r="330" spans="1:24" x14ac:dyDescent="0.3">
      <c r="A330">
        <v>329</v>
      </c>
      <c r="B330" s="14">
        <v>42373.432222222225</v>
      </c>
      <c r="C330" s="14">
        <v>42373.442615740743</v>
      </c>
      <c r="D330" t="s">
        <v>4</v>
      </c>
      <c r="G330" t="b">
        <v>1</v>
      </c>
      <c r="H330">
        <v>70804</v>
      </c>
      <c r="I330" s="5">
        <v>2.7423085121064701</v>
      </c>
      <c r="J330" s="14">
        <v>42373.45212962963</v>
      </c>
      <c r="K330">
        <v>11.59</v>
      </c>
      <c r="L330" s="5">
        <f>('[1]Pizza Sales Calculations'!$J330-'[1]Pizza Sales Calculations'!$C330)*24*60</f>
        <v>13.699999996460974</v>
      </c>
      <c r="M330">
        <f>COUNTA('[1]Pizza Sales Calculations'!$D330:$F330)</f>
        <v>1</v>
      </c>
      <c r="N330">
        <f>IFERROR(VLOOKUP(D330,[1]Parameters!$A$3:$C$5,3,FALSE),0)</f>
        <v>1.7</v>
      </c>
      <c r="O330">
        <f>IFERROR(VLOOKUP(E330,[1]Parameters!$A$3:$C$5,3,FALSE),0)</f>
        <v>0</v>
      </c>
      <c r="P330">
        <f>IFERROR(VLOOKUP(F330,[1]Parameters!$A$3:$C$5,3,FALSE),0)</f>
        <v>0</v>
      </c>
      <c r="Q330">
        <f t="shared" si="5"/>
        <v>1.7</v>
      </c>
      <c r="R330" s="10">
        <f>IF('[1]Pizza Sales Calculations'!$G330=TRUE, [1]Parameters!$B$17*'[1]Pizza Sales Calculations'!$L330*2, 0)</f>
        <v>3.8816666656639427</v>
      </c>
      <c r="S330" t="str">
        <f>IF(I330&lt;[1]Parameters!$B$21,"TRUE","FALSE")</f>
        <v>TRUE</v>
      </c>
      <c r="T330" s="5">
        <f>(I330/[1]Parameters!$B$25)*60</f>
        <v>5.4846170242129402</v>
      </c>
      <c r="U330" s="10">
        <f>IF(AND('[1]Pizza Sales Calculations'!G330=TRUE,'[1]Pizza Sales Calculations'!S330="TRUE"),T330*[1]Parameters!$B$40*2,0)</f>
        <v>0.3423642088148347</v>
      </c>
      <c r="V330">
        <f>INDEX([1]Parameters!$A$3:$C$5,MATCH('[1]Pizza Sales Calculations'!D330,[1]Parameters!$A$3:$A$5,0),2)</f>
        <v>10</v>
      </c>
      <c r="W330" t="e">
        <f>INDEX([1]Parameters!$A$3:$C$5,MATCH('[1]Pizza Sales Calculations'!E330,[1]Parameters!$A$3:$A$5,0),2)</f>
        <v>#N/A</v>
      </c>
      <c r="X330" t="e">
        <f>INDEX([1]Parameters!$A$3:$C$5,MATCH('[1]Pizza Sales Calculations'!F330,[1]Parameters!$A$3:$A$5,0),2)</f>
        <v>#N/A</v>
      </c>
    </row>
    <row r="331" spans="1:24" x14ac:dyDescent="0.3">
      <c r="A331">
        <v>330</v>
      </c>
      <c r="B331" s="14">
        <v>42373.589895833335</v>
      </c>
      <c r="C331" s="14">
        <v>42373.600324074076</v>
      </c>
      <c r="D331" t="s">
        <v>3</v>
      </c>
      <c r="E331" t="s">
        <v>4</v>
      </c>
      <c r="G331" t="b">
        <v>1</v>
      </c>
      <c r="H331">
        <v>70804</v>
      </c>
      <c r="I331" s="5">
        <v>2.8577849568401499</v>
      </c>
      <c r="J331" s="14">
        <v>42373.610243055555</v>
      </c>
      <c r="K331">
        <v>19.579999999999998</v>
      </c>
      <c r="L331" s="5">
        <f>('[1]Pizza Sales Calculations'!$J331-'[1]Pizza Sales Calculations'!$C331)*24*60</f>
        <v>14.283333329949528</v>
      </c>
      <c r="M331">
        <f>COUNTA('[1]Pizza Sales Calculations'!$D331:$F331)</f>
        <v>2</v>
      </c>
      <c r="N331">
        <f>IFERROR(VLOOKUP(D331,[1]Parameters!$A$3:$C$5,3,FALSE),0)</f>
        <v>1</v>
      </c>
      <c r="O331">
        <f>IFERROR(VLOOKUP(E331,[1]Parameters!$A$3:$C$5,3,FALSE),0)</f>
        <v>1.7</v>
      </c>
      <c r="P331">
        <f>IFERROR(VLOOKUP(F331,[1]Parameters!$A$3:$C$5,3,FALSE),0)</f>
        <v>0</v>
      </c>
      <c r="Q331">
        <f t="shared" si="5"/>
        <v>2.7</v>
      </c>
      <c r="R331" s="10">
        <f>IF('[1]Pizza Sales Calculations'!$G331=TRUE, [1]Parameters!$B$17*'[1]Pizza Sales Calculations'!$L331*2, 0)</f>
        <v>4.0469444434856996</v>
      </c>
      <c r="S331" t="str">
        <f>IF(I331&lt;[1]Parameters!$B$21,"TRUE","FALSE")</f>
        <v>TRUE</v>
      </c>
      <c r="T331" s="5">
        <f>(I331/[1]Parameters!$B$25)*60</f>
        <v>5.7155699136802998</v>
      </c>
      <c r="U331" s="10">
        <f>IF(AND('[1]Pizza Sales Calculations'!G331=TRUE,'[1]Pizza Sales Calculations'!S331="TRUE"),T331*[1]Parameters!$B$40*2,0)</f>
        <v>0.35678089514442202</v>
      </c>
      <c r="V331">
        <f>INDEX([1]Parameters!$A$3:$C$5,MATCH('[1]Pizza Sales Calculations'!D331,[1]Parameters!$A$3:$A$5,0),2)</f>
        <v>7</v>
      </c>
      <c r="W331">
        <f>INDEX([1]Parameters!$A$3:$C$5,MATCH('[1]Pizza Sales Calculations'!E331,[1]Parameters!$A$3:$A$5,0),2)</f>
        <v>10</v>
      </c>
      <c r="X331" t="e">
        <f>INDEX([1]Parameters!$A$3:$C$5,MATCH('[1]Pizza Sales Calculations'!F331,[1]Parameters!$A$3:$A$5,0),2)</f>
        <v>#N/A</v>
      </c>
    </row>
    <row r="332" spans="1:24" x14ac:dyDescent="0.3">
      <c r="A332">
        <v>331</v>
      </c>
      <c r="B332" s="14">
        <v>42373.441412037035</v>
      </c>
      <c r="C332" s="14">
        <v>42373.451851851853</v>
      </c>
      <c r="D332" t="s">
        <v>3</v>
      </c>
      <c r="E332" t="s">
        <v>4</v>
      </c>
      <c r="G332" t="b">
        <v>0</v>
      </c>
      <c r="H332">
        <v>70805</v>
      </c>
      <c r="I332" s="5">
        <v>0</v>
      </c>
      <c r="J332" s="14">
        <v>42373.453935185185</v>
      </c>
      <c r="K332">
        <v>19.579999999999998</v>
      </c>
      <c r="L332" s="5">
        <f>('[1]Pizza Sales Calculations'!$J332-'[1]Pizza Sales Calculations'!$C332)*24*60</f>
        <v>2.9999999993015081</v>
      </c>
      <c r="M332">
        <f>COUNTA('[1]Pizza Sales Calculations'!$D332:$F332)</f>
        <v>2</v>
      </c>
      <c r="N332">
        <f>IFERROR(VLOOKUP(D332,[1]Parameters!$A$3:$C$5,3,FALSE),0)</f>
        <v>1</v>
      </c>
      <c r="O332">
        <f>IFERROR(VLOOKUP(E332,[1]Parameters!$A$3:$C$5,3,FALSE),0)</f>
        <v>1.7</v>
      </c>
      <c r="P332">
        <f>IFERROR(VLOOKUP(F332,[1]Parameters!$A$3:$C$5,3,FALSE),0)</f>
        <v>0</v>
      </c>
      <c r="Q332">
        <f t="shared" si="5"/>
        <v>2.7</v>
      </c>
      <c r="R332" s="10">
        <f>IF('[1]Pizza Sales Calculations'!$G332=TRUE, [1]Parameters!$B$17*'[1]Pizza Sales Calculations'!$L332*2, 0)</f>
        <v>0</v>
      </c>
      <c r="S332" t="str">
        <f>IF(I332&lt;[1]Parameters!$B$21,"TRUE","FALSE")</f>
        <v>TRUE</v>
      </c>
      <c r="T332" s="5">
        <f>(I332/[1]Parameters!$B$25)*60</f>
        <v>0</v>
      </c>
      <c r="U332" s="10">
        <f>IF(AND('[1]Pizza Sales Calculations'!G332=TRUE,'[1]Pizza Sales Calculations'!S332="TRUE"),T332*[1]Parameters!$B$40*2,0)</f>
        <v>0</v>
      </c>
      <c r="V332">
        <f>INDEX([1]Parameters!$A$3:$C$5,MATCH('[1]Pizza Sales Calculations'!D332,[1]Parameters!$A$3:$A$5,0),2)</f>
        <v>7</v>
      </c>
      <c r="W332">
        <f>INDEX([1]Parameters!$A$3:$C$5,MATCH('[1]Pizza Sales Calculations'!E332,[1]Parameters!$A$3:$A$5,0),2)</f>
        <v>10</v>
      </c>
      <c r="X332" t="e">
        <f>INDEX([1]Parameters!$A$3:$C$5,MATCH('[1]Pizza Sales Calculations'!F332,[1]Parameters!$A$3:$A$5,0),2)</f>
        <v>#N/A</v>
      </c>
    </row>
    <row r="333" spans="1:24" x14ac:dyDescent="0.3">
      <c r="A333">
        <v>332</v>
      </c>
      <c r="B333" s="14">
        <v>42373.514305555553</v>
      </c>
      <c r="C333" s="14">
        <v>42373.524722222224</v>
      </c>
      <c r="D333" t="s">
        <v>3</v>
      </c>
      <c r="E333" t="s">
        <v>4</v>
      </c>
      <c r="G333" t="b">
        <v>0</v>
      </c>
      <c r="H333">
        <v>70804</v>
      </c>
      <c r="I333" s="5">
        <v>0</v>
      </c>
      <c r="J333" s="14">
        <v>42373.526805555557</v>
      </c>
      <c r="K333">
        <v>19.579999999999998</v>
      </c>
      <c r="L333" s="5">
        <f>('[1]Pizza Sales Calculations'!$J333-'[1]Pizza Sales Calculations'!$C333)*24*60</f>
        <v>2.9999999993015081</v>
      </c>
      <c r="M333">
        <f>COUNTA('[1]Pizza Sales Calculations'!$D333:$F333)</f>
        <v>2</v>
      </c>
      <c r="N333">
        <f>IFERROR(VLOOKUP(D333,[1]Parameters!$A$3:$C$5,3,FALSE),0)</f>
        <v>1</v>
      </c>
      <c r="O333">
        <f>IFERROR(VLOOKUP(E333,[1]Parameters!$A$3:$C$5,3,FALSE),0)</f>
        <v>1.7</v>
      </c>
      <c r="P333">
        <f>IFERROR(VLOOKUP(F333,[1]Parameters!$A$3:$C$5,3,FALSE),0)</f>
        <v>0</v>
      </c>
      <c r="Q333">
        <f t="shared" si="5"/>
        <v>2.7</v>
      </c>
      <c r="R333" s="10">
        <f>IF('[1]Pizza Sales Calculations'!$G333=TRUE, [1]Parameters!$B$17*'[1]Pizza Sales Calculations'!$L333*2, 0)</f>
        <v>0</v>
      </c>
      <c r="S333" t="str">
        <f>IF(I333&lt;[1]Parameters!$B$21,"TRUE","FALSE")</f>
        <v>TRUE</v>
      </c>
      <c r="T333" s="5">
        <f>(I333/[1]Parameters!$B$25)*60</f>
        <v>0</v>
      </c>
      <c r="U333" s="10">
        <f>IF(AND('[1]Pizza Sales Calculations'!G333=TRUE,'[1]Pizza Sales Calculations'!S333="TRUE"),T333*[1]Parameters!$B$40*2,0)</f>
        <v>0</v>
      </c>
      <c r="V333">
        <f>INDEX([1]Parameters!$A$3:$C$5,MATCH('[1]Pizza Sales Calculations'!D333,[1]Parameters!$A$3:$A$5,0),2)</f>
        <v>7</v>
      </c>
      <c r="W333">
        <f>INDEX([1]Parameters!$A$3:$C$5,MATCH('[1]Pizza Sales Calculations'!E333,[1]Parameters!$A$3:$A$5,0),2)</f>
        <v>10</v>
      </c>
      <c r="X333" t="e">
        <f>INDEX([1]Parameters!$A$3:$C$5,MATCH('[1]Pizza Sales Calculations'!F333,[1]Parameters!$A$3:$A$5,0),2)</f>
        <v>#N/A</v>
      </c>
    </row>
    <row r="334" spans="1:24" x14ac:dyDescent="0.3">
      <c r="A334">
        <v>333</v>
      </c>
      <c r="B334" s="14">
        <v>42373.560671296298</v>
      </c>
      <c r="C334" s="14">
        <v>42373.571064814816</v>
      </c>
      <c r="D334" t="s">
        <v>3</v>
      </c>
      <c r="E334" t="s">
        <v>4</v>
      </c>
      <c r="G334" t="b">
        <v>0</v>
      </c>
      <c r="H334">
        <v>70806</v>
      </c>
      <c r="I334" s="5">
        <v>0</v>
      </c>
      <c r="J334" s="14">
        <v>42373.573136574072</v>
      </c>
      <c r="K334">
        <v>19.579999999999998</v>
      </c>
      <c r="L334" s="5">
        <f>('[1]Pizza Sales Calculations'!$J334-'[1]Pizza Sales Calculations'!$C334)*24*60</f>
        <v>2.9833333287388086</v>
      </c>
      <c r="M334">
        <f>COUNTA('[1]Pizza Sales Calculations'!$D334:$F334)</f>
        <v>2</v>
      </c>
      <c r="N334">
        <f>IFERROR(VLOOKUP(D334,[1]Parameters!$A$3:$C$5,3,FALSE),0)</f>
        <v>1</v>
      </c>
      <c r="O334">
        <f>IFERROR(VLOOKUP(E334,[1]Parameters!$A$3:$C$5,3,FALSE),0)</f>
        <v>1.7</v>
      </c>
      <c r="P334">
        <f>IFERROR(VLOOKUP(F334,[1]Parameters!$A$3:$C$5,3,FALSE),0)</f>
        <v>0</v>
      </c>
      <c r="Q334">
        <f t="shared" si="5"/>
        <v>2.7</v>
      </c>
      <c r="R334" s="10">
        <f>IF('[1]Pizza Sales Calculations'!$G334=TRUE, [1]Parameters!$B$17*'[1]Pizza Sales Calculations'!$L334*2, 0)</f>
        <v>0</v>
      </c>
      <c r="S334" t="str">
        <f>IF(I334&lt;[1]Parameters!$B$21,"TRUE","FALSE")</f>
        <v>TRUE</v>
      </c>
      <c r="T334" s="5">
        <f>(I334/[1]Parameters!$B$25)*60</f>
        <v>0</v>
      </c>
      <c r="U334" s="10">
        <f>IF(AND('[1]Pizza Sales Calculations'!G334=TRUE,'[1]Pizza Sales Calculations'!S334="TRUE"),T334*[1]Parameters!$B$40*2,0)</f>
        <v>0</v>
      </c>
      <c r="V334">
        <f>INDEX([1]Parameters!$A$3:$C$5,MATCH('[1]Pizza Sales Calculations'!D334,[1]Parameters!$A$3:$A$5,0),2)</f>
        <v>7</v>
      </c>
      <c r="W334">
        <f>INDEX([1]Parameters!$A$3:$C$5,MATCH('[1]Pizza Sales Calculations'!E334,[1]Parameters!$A$3:$A$5,0),2)</f>
        <v>10</v>
      </c>
      <c r="X334" t="e">
        <f>INDEX([1]Parameters!$A$3:$C$5,MATCH('[1]Pizza Sales Calculations'!F334,[1]Parameters!$A$3:$A$5,0),2)</f>
        <v>#N/A</v>
      </c>
    </row>
    <row r="335" spans="1:24" x14ac:dyDescent="0.3">
      <c r="A335">
        <v>334</v>
      </c>
      <c r="B335" s="14">
        <v>42373.459953703707</v>
      </c>
      <c r="C335" s="14">
        <v>42373.470381944448</v>
      </c>
      <c r="D335" t="s">
        <v>3</v>
      </c>
      <c r="G335" t="b">
        <v>1</v>
      </c>
      <c r="H335">
        <v>70804</v>
      </c>
      <c r="I335" s="5">
        <v>1.8151910248001899</v>
      </c>
      <c r="J335" s="14">
        <v>42373.476678240739</v>
      </c>
      <c r="K335">
        <v>7.99</v>
      </c>
      <c r="L335" s="5">
        <f>('[1]Pizza Sales Calculations'!$J335-'[1]Pizza Sales Calculations'!$C335)*24*60</f>
        <v>9.066666659200564</v>
      </c>
      <c r="M335">
        <f>COUNTA('[1]Pizza Sales Calculations'!$D335:$F335)</f>
        <v>1</v>
      </c>
      <c r="N335">
        <f>IFERROR(VLOOKUP(D335,[1]Parameters!$A$3:$C$5,3,FALSE),0)</f>
        <v>1</v>
      </c>
      <c r="O335">
        <f>IFERROR(VLOOKUP(E335,[1]Parameters!$A$3:$C$5,3,FALSE),0)</f>
        <v>0</v>
      </c>
      <c r="P335">
        <f>IFERROR(VLOOKUP(F335,[1]Parameters!$A$3:$C$5,3,FALSE),0)</f>
        <v>0</v>
      </c>
      <c r="Q335">
        <f t="shared" si="5"/>
        <v>1</v>
      </c>
      <c r="R335" s="10">
        <f>IF('[1]Pizza Sales Calculations'!$G335=TRUE, [1]Parameters!$B$17*'[1]Pizza Sales Calculations'!$L335*2, 0)</f>
        <v>2.5688888867734931</v>
      </c>
      <c r="S335" t="str">
        <f>IF(I335&lt;[1]Parameters!$B$21,"TRUE","FALSE")</f>
        <v>TRUE</v>
      </c>
      <c r="T335" s="5">
        <f>(I335/[1]Parameters!$B$25)*60</f>
        <v>3.6303820496003798</v>
      </c>
      <c r="U335" s="10">
        <f>IF(AND('[1]Pizza Sales Calculations'!G335=TRUE,'[1]Pizza Sales Calculations'!S335="TRUE"),T335*[1]Parameters!$B$40*2,0)</f>
        <v>0.22661798857056459</v>
      </c>
      <c r="V335">
        <f>INDEX([1]Parameters!$A$3:$C$5,MATCH('[1]Pizza Sales Calculations'!D335,[1]Parameters!$A$3:$A$5,0),2)</f>
        <v>7</v>
      </c>
      <c r="W335" t="e">
        <f>INDEX([1]Parameters!$A$3:$C$5,MATCH('[1]Pizza Sales Calculations'!E335,[1]Parameters!$A$3:$A$5,0),2)</f>
        <v>#N/A</v>
      </c>
      <c r="X335" t="e">
        <f>INDEX([1]Parameters!$A$3:$C$5,MATCH('[1]Pizza Sales Calculations'!F335,[1]Parameters!$A$3:$A$5,0),2)</f>
        <v>#N/A</v>
      </c>
    </row>
    <row r="336" spans="1:24" x14ac:dyDescent="0.3">
      <c r="A336">
        <v>335</v>
      </c>
      <c r="B336" s="14">
        <v>42373.471226851849</v>
      </c>
      <c r="C336" s="14">
        <v>42373.481631944444</v>
      </c>
      <c r="D336" t="s">
        <v>5</v>
      </c>
      <c r="G336" t="b">
        <v>1</v>
      </c>
      <c r="H336">
        <v>70805</v>
      </c>
      <c r="I336" s="5">
        <v>3.2549577407388801</v>
      </c>
      <c r="J336" s="14">
        <v>42373.492928240739</v>
      </c>
      <c r="K336">
        <v>15.35</v>
      </c>
      <c r="L336" s="5">
        <f>('[1]Pizza Sales Calculations'!$J336-'[1]Pizza Sales Calculations'!$C336)*24*60</f>
        <v>16.266666665906087</v>
      </c>
      <c r="M336">
        <f>COUNTA('[1]Pizza Sales Calculations'!$D336:$F336)</f>
        <v>1</v>
      </c>
      <c r="N336">
        <f>IFERROR(VLOOKUP(D336,[1]Parameters!$A$3:$C$5,3,FALSE),0)</f>
        <v>2.2999999999999998</v>
      </c>
      <c r="O336">
        <f>IFERROR(VLOOKUP(E336,[1]Parameters!$A$3:$C$5,3,FALSE),0)</f>
        <v>0</v>
      </c>
      <c r="P336">
        <f>IFERROR(VLOOKUP(F336,[1]Parameters!$A$3:$C$5,3,FALSE),0)</f>
        <v>0</v>
      </c>
      <c r="Q336">
        <f t="shared" si="5"/>
        <v>2.2999999999999998</v>
      </c>
      <c r="R336" s="10">
        <f>IF('[1]Pizza Sales Calculations'!$G336=TRUE, [1]Parameters!$B$17*'[1]Pizza Sales Calculations'!$L336*2, 0)</f>
        <v>4.6088888886733912</v>
      </c>
      <c r="S336" t="str">
        <f>IF(I336&lt;[1]Parameters!$B$21,"TRUE","FALSE")</f>
        <v>FALSE</v>
      </c>
      <c r="T336" s="5">
        <f>(I336/[1]Parameters!$B$25)*60</f>
        <v>6.5099154814777602</v>
      </c>
      <c r="U336" s="10">
        <f>IF(AND('[1]Pizza Sales Calculations'!G336=TRUE,'[1]Pizza Sales Calculations'!S336="TRUE"),T336*[1]Parameters!$B$40*2,0)</f>
        <v>0</v>
      </c>
      <c r="V336">
        <f>INDEX([1]Parameters!$A$3:$C$5,MATCH('[1]Pizza Sales Calculations'!D336,[1]Parameters!$A$3:$A$5,0),2)</f>
        <v>14</v>
      </c>
      <c r="W336" t="e">
        <f>INDEX([1]Parameters!$A$3:$C$5,MATCH('[1]Pizza Sales Calculations'!E336,[1]Parameters!$A$3:$A$5,0),2)</f>
        <v>#N/A</v>
      </c>
      <c r="X336" t="e">
        <f>INDEX([1]Parameters!$A$3:$C$5,MATCH('[1]Pizza Sales Calculations'!F336,[1]Parameters!$A$3:$A$5,0),2)</f>
        <v>#N/A</v>
      </c>
    </row>
    <row r="337" spans="1:24" x14ac:dyDescent="0.3">
      <c r="A337">
        <v>336</v>
      </c>
      <c r="B337" s="14">
        <v>42374.532268518517</v>
      </c>
      <c r="C337" s="14">
        <v>42374.542673611111</v>
      </c>
      <c r="D337" t="s">
        <v>3</v>
      </c>
      <c r="G337" t="b">
        <v>1</v>
      </c>
      <c r="H337">
        <v>70806</v>
      </c>
      <c r="I337" s="5">
        <v>0.61418274048152099</v>
      </c>
      <c r="J337" s="14">
        <v>42374.544803240744</v>
      </c>
      <c r="K337">
        <v>7.99</v>
      </c>
      <c r="L337" s="5">
        <f>('[1]Pizza Sales Calculations'!$J337-'[1]Pizza Sales Calculations'!$C337)*24*60</f>
        <v>3.0666666710749269</v>
      </c>
      <c r="M337">
        <f>COUNTA('[1]Pizza Sales Calculations'!$D337:$F337)</f>
        <v>1</v>
      </c>
      <c r="N337">
        <f>IFERROR(VLOOKUP(D337,[1]Parameters!$A$3:$C$5,3,FALSE),0)</f>
        <v>1</v>
      </c>
      <c r="O337">
        <f>IFERROR(VLOOKUP(E337,[1]Parameters!$A$3:$C$5,3,FALSE),0)</f>
        <v>0</v>
      </c>
      <c r="P337">
        <f>IFERROR(VLOOKUP(F337,[1]Parameters!$A$3:$C$5,3,FALSE),0)</f>
        <v>0</v>
      </c>
      <c r="Q337">
        <f t="shared" si="5"/>
        <v>1</v>
      </c>
      <c r="R337" s="10">
        <f>IF('[1]Pizza Sales Calculations'!$G337=TRUE, [1]Parameters!$B$17*'[1]Pizza Sales Calculations'!$L337*2, 0)</f>
        <v>0.86888889013789594</v>
      </c>
      <c r="S337" t="str">
        <f>IF(I337&lt;[1]Parameters!$B$21,"TRUE","FALSE")</f>
        <v>TRUE</v>
      </c>
      <c r="T337" s="5">
        <f>(I337/[1]Parameters!$B$25)*60</f>
        <v>1.228365480963042</v>
      </c>
      <c r="U337" s="10">
        <f>IF(AND('[1]Pizza Sales Calculations'!G337=TRUE,'[1]Pizza Sales Calculations'!S337="TRUE"),T337*[1]Parameters!$B$40*2,0)</f>
        <v>7.6677801598319578E-2</v>
      </c>
      <c r="V337">
        <f>INDEX([1]Parameters!$A$3:$C$5,MATCH('[1]Pizza Sales Calculations'!D337,[1]Parameters!$A$3:$A$5,0),2)</f>
        <v>7</v>
      </c>
      <c r="W337" t="e">
        <f>INDEX([1]Parameters!$A$3:$C$5,MATCH('[1]Pizza Sales Calculations'!E337,[1]Parameters!$A$3:$A$5,0),2)</f>
        <v>#N/A</v>
      </c>
      <c r="X337" t="e">
        <f>INDEX([1]Parameters!$A$3:$C$5,MATCH('[1]Pizza Sales Calculations'!F337,[1]Parameters!$A$3:$A$5,0),2)</f>
        <v>#N/A</v>
      </c>
    </row>
    <row r="338" spans="1:24" x14ac:dyDescent="0.3">
      <c r="A338">
        <v>337</v>
      </c>
      <c r="B338" s="14">
        <v>42374.574374999997</v>
      </c>
      <c r="C338" s="14">
        <v>42374.584756944445</v>
      </c>
      <c r="D338" t="s">
        <v>4</v>
      </c>
      <c r="G338" t="b">
        <v>0</v>
      </c>
      <c r="H338">
        <v>70806</v>
      </c>
      <c r="I338" s="5">
        <v>0</v>
      </c>
      <c r="J338" s="14">
        <v>42374.586828703701</v>
      </c>
      <c r="K338">
        <v>11.59</v>
      </c>
      <c r="L338" s="5">
        <f>('[1]Pizza Sales Calculations'!$J338-'[1]Pizza Sales Calculations'!$C338)*24*60</f>
        <v>2.9833333287388086</v>
      </c>
      <c r="M338">
        <f>COUNTA('[1]Pizza Sales Calculations'!$D338:$F338)</f>
        <v>1</v>
      </c>
      <c r="N338">
        <f>IFERROR(VLOOKUP(D338,[1]Parameters!$A$3:$C$5,3,FALSE),0)</f>
        <v>1.7</v>
      </c>
      <c r="O338">
        <f>IFERROR(VLOOKUP(E338,[1]Parameters!$A$3:$C$5,3,FALSE),0)</f>
        <v>0</v>
      </c>
      <c r="P338">
        <f>IFERROR(VLOOKUP(F338,[1]Parameters!$A$3:$C$5,3,FALSE),0)</f>
        <v>0</v>
      </c>
      <c r="Q338">
        <f t="shared" si="5"/>
        <v>1.7</v>
      </c>
      <c r="R338" s="10">
        <f>IF('[1]Pizza Sales Calculations'!$G338=TRUE, [1]Parameters!$B$17*'[1]Pizza Sales Calculations'!$L338*2, 0)</f>
        <v>0</v>
      </c>
      <c r="S338" t="str">
        <f>IF(I338&lt;[1]Parameters!$B$21,"TRUE","FALSE")</f>
        <v>TRUE</v>
      </c>
      <c r="T338" s="5">
        <f>(I338/[1]Parameters!$B$25)*60</f>
        <v>0</v>
      </c>
      <c r="U338" s="10">
        <f>IF(AND('[1]Pizza Sales Calculations'!G338=TRUE,'[1]Pizza Sales Calculations'!S338="TRUE"),T338*[1]Parameters!$B$40*2,0)</f>
        <v>0</v>
      </c>
      <c r="V338">
        <f>INDEX([1]Parameters!$A$3:$C$5,MATCH('[1]Pizza Sales Calculations'!D338,[1]Parameters!$A$3:$A$5,0),2)</f>
        <v>10</v>
      </c>
      <c r="W338" t="e">
        <f>INDEX([1]Parameters!$A$3:$C$5,MATCH('[1]Pizza Sales Calculations'!E338,[1]Parameters!$A$3:$A$5,0),2)</f>
        <v>#N/A</v>
      </c>
      <c r="X338" t="e">
        <f>INDEX([1]Parameters!$A$3:$C$5,MATCH('[1]Pizza Sales Calculations'!F338,[1]Parameters!$A$3:$A$5,0),2)</f>
        <v>#N/A</v>
      </c>
    </row>
    <row r="339" spans="1:24" x14ac:dyDescent="0.3">
      <c r="A339">
        <v>338</v>
      </c>
      <c r="B339" s="14">
        <v>42374.519560185188</v>
      </c>
      <c r="C339" s="14">
        <v>42374.529976851853</v>
      </c>
      <c r="D339" t="s">
        <v>3</v>
      </c>
      <c r="G339" t="b">
        <v>1</v>
      </c>
      <c r="H339">
        <v>70804</v>
      </c>
      <c r="I339" s="5">
        <v>2.5574900712294402</v>
      </c>
      <c r="J339" s="14">
        <v>42374.538854166669</v>
      </c>
      <c r="K339">
        <v>7.99</v>
      </c>
      <c r="L339" s="5">
        <f>('[1]Pizza Sales Calculations'!$J339-'[1]Pizza Sales Calculations'!$C339)*24*60</f>
        <v>12.783333335537463</v>
      </c>
      <c r="M339">
        <f>COUNTA('[1]Pizza Sales Calculations'!$D339:$F339)</f>
        <v>1</v>
      </c>
      <c r="N339">
        <f>IFERROR(VLOOKUP(D339,[1]Parameters!$A$3:$C$5,3,FALSE),0)</f>
        <v>1</v>
      </c>
      <c r="O339">
        <f>IFERROR(VLOOKUP(E339,[1]Parameters!$A$3:$C$5,3,FALSE),0)</f>
        <v>0</v>
      </c>
      <c r="P339">
        <f>IFERROR(VLOOKUP(F339,[1]Parameters!$A$3:$C$5,3,FALSE),0)</f>
        <v>0</v>
      </c>
      <c r="Q339">
        <f t="shared" si="5"/>
        <v>1</v>
      </c>
      <c r="R339" s="10">
        <f>IF('[1]Pizza Sales Calculations'!$G339=TRUE, [1]Parameters!$B$17*'[1]Pizza Sales Calculations'!$L339*2, 0)</f>
        <v>3.621944445068948</v>
      </c>
      <c r="S339" t="str">
        <f>IF(I339&lt;[1]Parameters!$B$21,"TRUE","FALSE")</f>
        <v>TRUE</v>
      </c>
      <c r="T339" s="5">
        <f>(I339/[1]Parameters!$B$25)*60</f>
        <v>5.1149801424588803</v>
      </c>
      <c r="U339" s="10">
        <f>IF(AND('[1]Pizza Sales Calculations'!G339=TRUE,'[1]Pizza Sales Calculations'!S339="TRUE"),T339*[1]Parameters!$B$40*2,0)</f>
        <v>0.31929050321026303</v>
      </c>
      <c r="V339">
        <f>INDEX([1]Parameters!$A$3:$C$5,MATCH('[1]Pizza Sales Calculations'!D339,[1]Parameters!$A$3:$A$5,0),2)</f>
        <v>7</v>
      </c>
      <c r="W339" t="e">
        <f>INDEX([1]Parameters!$A$3:$C$5,MATCH('[1]Pizza Sales Calculations'!E339,[1]Parameters!$A$3:$A$5,0),2)</f>
        <v>#N/A</v>
      </c>
      <c r="X339" t="e">
        <f>INDEX([1]Parameters!$A$3:$C$5,MATCH('[1]Pizza Sales Calculations'!F339,[1]Parameters!$A$3:$A$5,0),2)</f>
        <v>#N/A</v>
      </c>
    </row>
    <row r="340" spans="1:24" x14ac:dyDescent="0.3">
      <c r="A340">
        <v>339</v>
      </c>
      <c r="B340" s="14">
        <v>42374.488425925927</v>
      </c>
      <c r="C340" s="14">
        <v>42374.498854166668</v>
      </c>
      <c r="D340" t="s">
        <v>3</v>
      </c>
      <c r="E340" t="s">
        <v>4</v>
      </c>
      <c r="G340" t="b">
        <v>0</v>
      </c>
      <c r="H340">
        <v>70806</v>
      </c>
      <c r="I340" s="5">
        <v>0</v>
      </c>
      <c r="J340" s="14">
        <v>42374.500949074078</v>
      </c>
      <c r="K340">
        <v>19.579999999999998</v>
      </c>
      <c r="L340" s="5">
        <f>('[1]Pizza Sales Calculations'!$J340-'[1]Pizza Sales Calculations'!$C340)*24*60</f>
        <v>3.0166666698642075</v>
      </c>
      <c r="M340">
        <f>COUNTA('[1]Pizza Sales Calculations'!$D340:$F340)</f>
        <v>2</v>
      </c>
      <c r="N340">
        <f>IFERROR(VLOOKUP(D340,[1]Parameters!$A$3:$C$5,3,FALSE),0)</f>
        <v>1</v>
      </c>
      <c r="O340">
        <f>IFERROR(VLOOKUP(E340,[1]Parameters!$A$3:$C$5,3,FALSE),0)</f>
        <v>1.7</v>
      </c>
      <c r="P340">
        <f>IFERROR(VLOOKUP(F340,[1]Parameters!$A$3:$C$5,3,FALSE),0)</f>
        <v>0</v>
      </c>
      <c r="Q340">
        <f t="shared" si="5"/>
        <v>2.7</v>
      </c>
      <c r="R340" s="10">
        <f>IF('[1]Pizza Sales Calculations'!$G340=TRUE, [1]Parameters!$B$17*'[1]Pizza Sales Calculations'!$L340*2, 0)</f>
        <v>0</v>
      </c>
      <c r="S340" t="str">
        <f>IF(I340&lt;[1]Parameters!$B$21,"TRUE","FALSE")</f>
        <v>TRUE</v>
      </c>
      <c r="T340" s="5">
        <f>(I340/[1]Parameters!$B$25)*60</f>
        <v>0</v>
      </c>
      <c r="U340" s="10">
        <f>IF(AND('[1]Pizza Sales Calculations'!G340=TRUE,'[1]Pizza Sales Calculations'!S340="TRUE"),T340*[1]Parameters!$B$40*2,0)</f>
        <v>0</v>
      </c>
      <c r="V340">
        <f>INDEX([1]Parameters!$A$3:$C$5,MATCH('[1]Pizza Sales Calculations'!D340,[1]Parameters!$A$3:$A$5,0),2)</f>
        <v>7</v>
      </c>
      <c r="W340">
        <f>INDEX([1]Parameters!$A$3:$C$5,MATCH('[1]Pizza Sales Calculations'!E340,[1]Parameters!$A$3:$A$5,0),2)</f>
        <v>10</v>
      </c>
      <c r="X340" t="e">
        <f>INDEX([1]Parameters!$A$3:$C$5,MATCH('[1]Pizza Sales Calculations'!F340,[1]Parameters!$A$3:$A$5,0),2)</f>
        <v>#N/A</v>
      </c>
    </row>
    <row r="341" spans="1:24" x14ac:dyDescent="0.3">
      <c r="A341">
        <v>340</v>
      </c>
      <c r="B341" s="14">
        <v>42374.471365740741</v>
      </c>
      <c r="C341" s="14">
        <v>42374.481782407405</v>
      </c>
      <c r="D341" t="s">
        <v>5</v>
      </c>
      <c r="G341" t="b">
        <v>0</v>
      </c>
      <c r="H341">
        <v>70805</v>
      </c>
      <c r="I341" s="5">
        <v>0</v>
      </c>
      <c r="J341" s="14">
        <v>42374.483877314815</v>
      </c>
      <c r="K341">
        <v>15.35</v>
      </c>
      <c r="L341" s="5">
        <f>('[1]Pizza Sales Calculations'!$J341-'[1]Pizza Sales Calculations'!$C341)*24*60</f>
        <v>3.0166666698642075</v>
      </c>
      <c r="M341">
        <f>COUNTA('[1]Pizza Sales Calculations'!$D341:$F341)</f>
        <v>1</v>
      </c>
      <c r="N341">
        <f>IFERROR(VLOOKUP(D341,[1]Parameters!$A$3:$C$5,3,FALSE),0)</f>
        <v>2.2999999999999998</v>
      </c>
      <c r="O341">
        <f>IFERROR(VLOOKUP(E341,[1]Parameters!$A$3:$C$5,3,FALSE),0)</f>
        <v>0</v>
      </c>
      <c r="P341">
        <f>IFERROR(VLOOKUP(F341,[1]Parameters!$A$3:$C$5,3,FALSE),0)</f>
        <v>0</v>
      </c>
      <c r="Q341">
        <f t="shared" si="5"/>
        <v>2.2999999999999998</v>
      </c>
      <c r="R341" s="10">
        <f>IF('[1]Pizza Sales Calculations'!$G341=TRUE, [1]Parameters!$B$17*'[1]Pizza Sales Calculations'!$L341*2, 0)</f>
        <v>0</v>
      </c>
      <c r="S341" t="str">
        <f>IF(I341&lt;[1]Parameters!$B$21,"TRUE","FALSE")</f>
        <v>TRUE</v>
      </c>
      <c r="T341" s="5">
        <f>(I341/[1]Parameters!$B$25)*60</f>
        <v>0</v>
      </c>
      <c r="U341" s="10">
        <f>IF(AND('[1]Pizza Sales Calculations'!G341=TRUE,'[1]Pizza Sales Calculations'!S341="TRUE"),T341*[1]Parameters!$B$40*2,0)</f>
        <v>0</v>
      </c>
      <c r="V341">
        <f>INDEX([1]Parameters!$A$3:$C$5,MATCH('[1]Pizza Sales Calculations'!D341,[1]Parameters!$A$3:$A$5,0),2)</f>
        <v>14</v>
      </c>
      <c r="W341" t="e">
        <f>INDEX([1]Parameters!$A$3:$C$5,MATCH('[1]Pizza Sales Calculations'!E341,[1]Parameters!$A$3:$A$5,0),2)</f>
        <v>#N/A</v>
      </c>
      <c r="X341" t="e">
        <f>INDEX([1]Parameters!$A$3:$C$5,MATCH('[1]Pizza Sales Calculations'!F341,[1]Parameters!$A$3:$A$5,0),2)</f>
        <v>#N/A</v>
      </c>
    </row>
    <row r="342" spans="1:24" x14ac:dyDescent="0.3">
      <c r="A342">
        <v>341</v>
      </c>
      <c r="B342" s="14">
        <v>42374.50099537037</v>
      </c>
      <c r="C342" s="14">
        <v>42374.511400462965</v>
      </c>
      <c r="D342" t="s">
        <v>5</v>
      </c>
      <c r="G342" t="b">
        <v>1</v>
      </c>
      <c r="H342">
        <v>70808</v>
      </c>
      <c r="I342" s="5">
        <v>4.1427055577426204</v>
      </c>
      <c r="J342" s="14">
        <v>42374.525775462964</v>
      </c>
      <c r="K342">
        <v>15.35</v>
      </c>
      <c r="L342" s="5">
        <f>('[1]Pizza Sales Calculations'!$J342-'[1]Pizza Sales Calculations'!$C342)*24*60</f>
        <v>20.699999998323619</v>
      </c>
      <c r="M342">
        <f>COUNTA('[1]Pizza Sales Calculations'!$D342:$F342)</f>
        <v>1</v>
      </c>
      <c r="N342">
        <f>IFERROR(VLOOKUP(D342,[1]Parameters!$A$3:$C$5,3,FALSE),0)</f>
        <v>2.2999999999999998</v>
      </c>
      <c r="O342">
        <f>IFERROR(VLOOKUP(E342,[1]Parameters!$A$3:$C$5,3,FALSE),0)</f>
        <v>0</v>
      </c>
      <c r="P342">
        <f>IFERROR(VLOOKUP(F342,[1]Parameters!$A$3:$C$5,3,FALSE),0)</f>
        <v>0</v>
      </c>
      <c r="Q342">
        <f t="shared" si="5"/>
        <v>2.2999999999999998</v>
      </c>
      <c r="R342" s="10">
        <f>IF('[1]Pizza Sales Calculations'!$G342=TRUE, [1]Parameters!$B$17*'[1]Pizza Sales Calculations'!$L342*2, 0)</f>
        <v>5.8649999995250255</v>
      </c>
      <c r="S342" t="str">
        <f>IF(I342&lt;[1]Parameters!$B$21,"TRUE","FALSE")</f>
        <v>FALSE</v>
      </c>
      <c r="T342" s="5">
        <f>(I342/[1]Parameters!$B$25)*60</f>
        <v>8.2854111154852408</v>
      </c>
      <c r="U342" s="10">
        <f>IF(AND('[1]Pizza Sales Calculations'!G342=TRUE,'[1]Pizza Sales Calculations'!S342="TRUE"),T342*[1]Parameters!$B$40*2,0)</f>
        <v>0</v>
      </c>
      <c r="V342">
        <f>INDEX([1]Parameters!$A$3:$C$5,MATCH('[1]Pizza Sales Calculations'!D342,[1]Parameters!$A$3:$A$5,0),2)</f>
        <v>14</v>
      </c>
      <c r="W342" t="e">
        <f>INDEX([1]Parameters!$A$3:$C$5,MATCH('[1]Pizza Sales Calculations'!E342,[1]Parameters!$A$3:$A$5,0),2)</f>
        <v>#N/A</v>
      </c>
      <c r="X342" t="e">
        <f>INDEX([1]Parameters!$A$3:$C$5,MATCH('[1]Pizza Sales Calculations'!F342,[1]Parameters!$A$3:$A$5,0),2)</f>
        <v>#N/A</v>
      </c>
    </row>
    <row r="343" spans="1:24" x14ac:dyDescent="0.3">
      <c r="A343">
        <v>342</v>
      </c>
      <c r="B343" s="14">
        <v>42374.449513888889</v>
      </c>
      <c r="C343" s="14">
        <v>42374.459918981483</v>
      </c>
      <c r="D343" t="s">
        <v>5</v>
      </c>
      <c r="G343" t="b">
        <v>1</v>
      </c>
      <c r="H343">
        <v>70805</v>
      </c>
      <c r="I343" s="5">
        <v>5.5437954469012496</v>
      </c>
      <c r="J343" s="14">
        <v>42374.479166666664</v>
      </c>
      <c r="K343">
        <v>15.35</v>
      </c>
      <c r="L343" s="5">
        <f>('[1]Pizza Sales Calculations'!$J343-'[1]Pizza Sales Calculations'!$C343)*24*60</f>
        <v>27.716666660271585</v>
      </c>
      <c r="M343">
        <f>COUNTA('[1]Pizza Sales Calculations'!$D343:$F343)</f>
        <v>1</v>
      </c>
      <c r="N343">
        <f>IFERROR(VLOOKUP(D343,[1]Parameters!$A$3:$C$5,3,FALSE),0)</f>
        <v>2.2999999999999998</v>
      </c>
      <c r="O343">
        <f>IFERROR(VLOOKUP(E343,[1]Parameters!$A$3:$C$5,3,FALSE),0)</f>
        <v>0</v>
      </c>
      <c r="P343">
        <f>IFERROR(VLOOKUP(F343,[1]Parameters!$A$3:$C$5,3,FALSE),0)</f>
        <v>0</v>
      </c>
      <c r="Q343">
        <f t="shared" si="5"/>
        <v>2.2999999999999998</v>
      </c>
      <c r="R343" s="10">
        <f>IF('[1]Pizza Sales Calculations'!$G343=TRUE, [1]Parameters!$B$17*'[1]Pizza Sales Calculations'!$L343*2, 0)</f>
        <v>7.8530555537436157</v>
      </c>
      <c r="S343" t="str">
        <f>IF(I343&lt;[1]Parameters!$B$21,"TRUE","FALSE")</f>
        <v>FALSE</v>
      </c>
      <c r="T343" s="5">
        <f>(I343/[1]Parameters!$B$25)*60</f>
        <v>11.087590893802499</v>
      </c>
      <c r="U343" s="10">
        <f>IF(AND('[1]Pizza Sales Calculations'!G343=TRUE,'[1]Pizza Sales Calculations'!S343="TRUE"),T343*[1]Parameters!$B$40*2,0)</f>
        <v>0</v>
      </c>
      <c r="V343">
        <f>INDEX([1]Parameters!$A$3:$C$5,MATCH('[1]Pizza Sales Calculations'!D343,[1]Parameters!$A$3:$A$5,0),2)</f>
        <v>14</v>
      </c>
      <c r="W343" t="e">
        <f>INDEX([1]Parameters!$A$3:$C$5,MATCH('[1]Pizza Sales Calculations'!E343,[1]Parameters!$A$3:$A$5,0),2)</f>
        <v>#N/A</v>
      </c>
      <c r="X343" t="e">
        <f>INDEX([1]Parameters!$A$3:$C$5,MATCH('[1]Pizza Sales Calculations'!F343,[1]Parameters!$A$3:$A$5,0),2)</f>
        <v>#N/A</v>
      </c>
    </row>
    <row r="344" spans="1:24" x14ac:dyDescent="0.3">
      <c r="A344">
        <v>343</v>
      </c>
      <c r="B344" s="14">
        <v>42374.477881944447</v>
      </c>
      <c r="C344" s="14">
        <v>42374.488298611112</v>
      </c>
      <c r="D344" t="s">
        <v>4</v>
      </c>
      <c r="G344" t="b">
        <v>0</v>
      </c>
      <c r="H344">
        <v>70805</v>
      </c>
      <c r="I344" s="5">
        <v>0</v>
      </c>
      <c r="J344" s="14">
        <v>42374.490370370368</v>
      </c>
      <c r="K344">
        <v>11.59</v>
      </c>
      <c r="L344" s="5">
        <f>('[1]Pizza Sales Calculations'!$J344-'[1]Pizza Sales Calculations'!$C344)*24*60</f>
        <v>2.9833333287388086</v>
      </c>
      <c r="M344">
        <f>COUNTA('[1]Pizza Sales Calculations'!$D344:$F344)</f>
        <v>1</v>
      </c>
      <c r="N344">
        <f>IFERROR(VLOOKUP(D344,[1]Parameters!$A$3:$C$5,3,FALSE),0)</f>
        <v>1.7</v>
      </c>
      <c r="O344">
        <f>IFERROR(VLOOKUP(E344,[1]Parameters!$A$3:$C$5,3,FALSE),0)</f>
        <v>0</v>
      </c>
      <c r="P344">
        <f>IFERROR(VLOOKUP(F344,[1]Parameters!$A$3:$C$5,3,FALSE),0)</f>
        <v>0</v>
      </c>
      <c r="Q344">
        <f t="shared" si="5"/>
        <v>1.7</v>
      </c>
      <c r="R344" s="10">
        <f>IF('[1]Pizza Sales Calculations'!$G344=TRUE, [1]Parameters!$B$17*'[1]Pizza Sales Calculations'!$L344*2, 0)</f>
        <v>0</v>
      </c>
      <c r="S344" t="str">
        <f>IF(I344&lt;[1]Parameters!$B$21,"TRUE","FALSE")</f>
        <v>TRUE</v>
      </c>
      <c r="T344" s="5">
        <f>(I344/[1]Parameters!$B$25)*60</f>
        <v>0</v>
      </c>
      <c r="U344" s="10">
        <f>IF(AND('[1]Pizza Sales Calculations'!G344=TRUE,'[1]Pizza Sales Calculations'!S344="TRUE"),T344*[1]Parameters!$B$40*2,0)</f>
        <v>0</v>
      </c>
      <c r="V344">
        <f>INDEX([1]Parameters!$A$3:$C$5,MATCH('[1]Pizza Sales Calculations'!D344,[1]Parameters!$A$3:$A$5,0),2)</f>
        <v>10</v>
      </c>
      <c r="W344" t="e">
        <f>INDEX([1]Parameters!$A$3:$C$5,MATCH('[1]Pizza Sales Calculations'!E344,[1]Parameters!$A$3:$A$5,0),2)</f>
        <v>#N/A</v>
      </c>
      <c r="X344" t="e">
        <f>INDEX([1]Parameters!$A$3:$C$5,MATCH('[1]Pizza Sales Calculations'!F344,[1]Parameters!$A$3:$A$5,0),2)</f>
        <v>#N/A</v>
      </c>
    </row>
    <row r="345" spans="1:24" x14ac:dyDescent="0.3">
      <c r="A345">
        <v>344</v>
      </c>
      <c r="B345" s="14">
        <v>42374.539097222223</v>
      </c>
      <c r="C345" s="14">
        <v>42374.549537037034</v>
      </c>
      <c r="D345" t="s">
        <v>3</v>
      </c>
      <c r="E345" t="s">
        <v>4</v>
      </c>
      <c r="G345" t="b">
        <v>1</v>
      </c>
      <c r="H345">
        <v>70804</v>
      </c>
      <c r="I345" s="5">
        <v>1.8837121084389199</v>
      </c>
      <c r="J345" s="14">
        <v>42374.556076388886</v>
      </c>
      <c r="K345">
        <v>19.579999999999998</v>
      </c>
      <c r="L345" s="5">
        <f>('[1]Pizza Sales Calculations'!$J345-'[1]Pizza Sales Calculations'!$C345)*24*60</f>
        <v>9.4166666676755995</v>
      </c>
      <c r="M345">
        <f>COUNTA('[1]Pizza Sales Calculations'!$D345:$F345)</f>
        <v>2</v>
      </c>
      <c r="N345">
        <f>IFERROR(VLOOKUP(D345,[1]Parameters!$A$3:$C$5,3,FALSE),0)</f>
        <v>1</v>
      </c>
      <c r="O345">
        <f>IFERROR(VLOOKUP(E345,[1]Parameters!$A$3:$C$5,3,FALSE),0)</f>
        <v>1.7</v>
      </c>
      <c r="P345">
        <f>IFERROR(VLOOKUP(F345,[1]Parameters!$A$3:$C$5,3,FALSE),0)</f>
        <v>0</v>
      </c>
      <c r="Q345">
        <f t="shared" si="5"/>
        <v>2.7</v>
      </c>
      <c r="R345" s="10">
        <f>IF('[1]Pizza Sales Calculations'!$G345=TRUE, [1]Parameters!$B$17*'[1]Pizza Sales Calculations'!$L345*2, 0)</f>
        <v>2.6680555558414198</v>
      </c>
      <c r="S345" t="str">
        <f>IF(I345&lt;[1]Parameters!$B$21,"TRUE","FALSE")</f>
        <v>TRUE</v>
      </c>
      <c r="T345" s="5">
        <f>(I345/[1]Parameters!$B$25)*60</f>
        <v>3.7674242168778398</v>
      </c>
      <c r="U345" s="10">
        <f>IF(AND('[1]Pizza Sales Calculations'!G345=TRUE,'[1]Pizza Sales Calculations'!S345="TRUE"),T345*[1]Parameters!$B$40*2,0)</f>
        <v>0.23517252081357945</v>
      </c>
      <c r="V345">
        <f>INDEX([1]Parameters!$A$3:$C$5,MATCH('[1]Pizza Sales Calculations'!D345,[1]Parameters!$A$3:$A$5,0),2)</f>
        <v>7</v>
      </c>
      <c r="W345">
        <f>INDEX([1]Parameters!$A$3:$C$5,MATCH('[1]Pizza Sales Calculations'!E345,[1]Parameters!$A$3:$A$5,0),2)</f>
        <v>10</v>
      </c>
      <c r="X345" t="e">
        <f>INDEX([1]Parameters!$A$3:$C$5,MATCH('[1]Pizza Sales Calculations'!F345,[1]Parameters!$A$3:$A$5,0),2)</f>
        <v>#N/A</v>
      </c>
    </row>
    <row r="346" spans="1:24" x14ac:dyDescent="0.3">
      <c r="A346">
        <v>345</v>
      </c>
      <c r="B346" s="14">
        <v>42374.46329861111</v>
      </c>
      <c r="C346" s="14">
        <v>42374.473692129628</v>
      </c>
      <c r="D346" t="s">
        <v>3</v>
      </c>
      <c r="E346" t="s">
        <v>4</v>
      </c>
      <c r="G346" t="b">
        <v>0</v>
      </c>
      <c r="H346">
        <v>70806</v>
      </c>
      <c r="I346" s="5">
        <v>0</v>
      </c>
      <c r="J346" s="14">
        <v>42374.475787037038</v>
      </c>
      <c r="K346">
        <v>19.579999999999998</v>
      </c>
      <c r="L346" s="5">
        <f>('[1]Pizza Sales Calculations'!$J346-'[1]Pizza Sales Calculations'!$C346)*24*60</f>
        <v>3.0166666698642075</v>
      </c>
      <c r="M346">
        <f>COUNTA('[1]Pizza Sales Calculations'!$D346:$F346)</f>
        <v>2</v>
      </c>
      <c r="N346">
        <f>IFERROR(VLOOKUP(D346,[1]Parameters!$A$3:$C$5,3,FALSE),0)</f>
        <v>1</v>
      </c>
      <c r="O346">
        <f>IFERROR(VLOOKUP(E346,[1]Parameters!$A$3:$C$5,3,FALSE),0)</f>
        <v>1.7</v>
      </c>
      <c r="P346">
        <f>IFERROR(VLOOKUP(F346,[1]Parameters!$A$3:$C$5,3,FALSE),0)</f>
        <v>0</v>
      </c>
      <c r="Q346">
        <f t="shared" si="5"/>
        <v>2.7</v>
      </c>
      <c r="R346" s="10">
        <f>IF('[1]Pizza Sales Calculations'!$G346=TRUE, [1]Parameters!$B$17*'[1]Pizza Sales Calculations'!$L346*2, 0)</f>
        <v>0</v>
      </c>
      <c r="S346" t="str">
        <f>IF(I346&lt;[1]Parameters!$B$21,"TRUE","FALSE")</f>
        <v>TRUE</v>
      </c>
      <c r="T346" s="5">
        <f>(I346/[1]Parameters!$B$25)*60</f>
        <v>0</v>
      </c>
      <c r="U346" s="10">
        <f>IF(AND('[1]Pizza Sales Calculations'!G346=TRUE,'[1]Pizza Sales Calculations'!S346="TRUE"),T346*[1]Parameters!$B$40*2,0)</f>
        <v>0</v>
      </c>
      <c r="V346">
        <f>INDEX([1]Parameters!$A$3:$C$5,MATCH('[1]Pizza Sales Calculations'!D346,[1]Parameters!$A$3:$A$5,0),2)</f>
        <v>7</v>
      </c>
      <c r="W346">
        <f>INDEX([1]Parameters!$A$3:$C$5,MATCH('[1]Pizza Sales Calculations'!E346,[1]Parameters!$A$3:$A$5,0),2)</f>
        <v>10</v>
      </c>
      <c r="X346" t="e">
        <f>INDEX([1]Parameters!$A$3:$C$5,MATCH('[1]Pizza Sales Calculations'!F346,[1]Parameters!$A$3:$A$5,0),2)</f>
        <v>#N/A</v>
      </c>
    </row>
    <row r="347" spans="1:24" x14ac:dyDescent="0.3">
      <c r="A347">
        <v>346</v>
      </c>
      <c r="B347" s="14">
        <v>42374.477824074071</v>
      </c>
      <c r="C347" s="14">
        <v>42374.488229166665</v>
      </c>
      <c r="D347" t="s">
        <v>5</v>
      </c>
      <c r="G347" t="b">
        <v>0</v>
      </c>
      <c r="H347">
        <v>70807</v>
      </c>
      <c r="I347" s="5">
        <v>0</v>
      </c>
      <c r="J347" s="14">
        <v>42374.490312499998</v>
      </c>
      <c r="K347">
        <v>15.35</v>
      </c>
      <c r="L347" s="5">
        <f>('[1]Pizza Sales Calculations'!$J347-'[1]Pizza Sales Calculations'!$C347)*24*60</f>
        <v>2.9999999993015081</v>
      </c>
      <c r="M347">
        <f>COUNTA('[1]Pizza Sales Calculations'!$D347:$F347)</f>
        <v>1</v>
      </c>
      <c r="N347">
        <f>IFERROR(VLOOKUP(D347,[1]Parameters!$A$3:$C$5,3,FALSE),0)</f>
        <v>2.2999999999999998</v>
      </c>
      <c r="O347">
        <f>IFERROR(VLOOKUP(E347,[1]Parameters!$A$3:$C$5,3,FALSE),0)</f>
        <v>0</v>
      </c>
      <c r="P347">
        <f>IFERROR(VLOOKUP(F347,[1]Parameters!$A$3:$C$5,3,FALSE),0)</f>
        <v>0</v>
      </c>
      <c r="Q347">
        <f t="shared" si="5"/>
        <v>2.2999999999999998</v>
      </c>
      <c r="R347" s="10">
        <f>IF('[1]Pizza Sales Calculations'!$G347=TRUE, [1]Parameters!$B$17*'[1]Pizza Sales Calculations'!$L347*2, 0)</f>
        <v>0</v>
      </c>
      <c r="S347" t="str">
        <f>IF(I347&lt;[1]Parameters!$B$21,"TRUE","FALSE")</f>
        <v>TRUE</v>
      </c>
      <c r="T347" s="5">
        <f>(I347/[1]Parameters!$B$25)*60</f>
        <v>0</v>
      </c>
      <c r="U347" s="10">
        <f>IF(AND('[1]Pizza Sales Calculations'!G347=TRUE,'[1]Pizza Sales Calculations'!S347="TRUE"),T347*[1]Parameters!$B$40*2,0)</f>
        <v>0</v>
      </c>
      <c r="V347">
        <f>INDEX([1]Parameters!$A$3:$C$5,MATCH('[1]Pizza Sales Calculations'!D347,[1]Parameters!$A$3:$A$5,0),2)</f>
        <v>14</v>
      </c>
      <c r="W347" t="e">
        <f>INDEX([1]Parameters!$A$3:$C$5,MATCH('[1]Pizza Sales Calculations'!E347,[1]Parameters!$A$3:$A$5,0),2)</f>
        <v>#N/A</v>
      </c>
      <c r="X347" t="e">
        <f>INDEX([1]Parameters!$A$3:$C$5,MATCH('[1]Pizza Sales Calculations'!F347,[1]Parameters!$A$3:$A$5,0),2)</f>
        <v>#N/A</v>
      </c>
    </row>
    <row r="348" spans="1:24" x14ac:dyDescent="0.3">
      <c r="A348">
        <v>347</v>
      </c>
      <c r="B348" s="14">
        <v>42374.488888888889</v>
      </c>
      <c r="C348" s="14">
        <v>42374.499293981484</v>
      </c>
      <c r="D348" t="s">
        <v>5</v>
      </c>
      <c r="G348" t="b">
        <v>1</v>
      </c>
      <c r="H348">
        <v>70804</v>
      </c>
      <c r="I348" s="5">
        <v>3.4727314076240599</v>
      </c>
      <c r="J348" s="14">
        <v>42374.511342592596</v>
      </c>
      <c r="K348">
        <v>15.35</v>
      </c>
      <c r="L348" s="5">
        <f>('[1]Pizza Sales Calculations'!$J348-'[1]Pizza Sales Calculations'!$C348)*24*60</f>
        <v>17.350000001024455</v>
      </c>
      <c r="M348">
        <f>COUNTA('[1]Pizza Sales Calculations'!$D348:$F348)</f>
        <v>1</v>
      </c>
      <c r="N348">
        <f>IFERROR(VLOOKUP(D348,[1]Parameters!$A$3:$C$5,3,FALSE),0)</f>
        <v>2.2999999999999998</v>
      </c>
      <c r="O348">
        <f>IFERROR(VLOOKUP(E348,[1]Parameters!$A$3:$C$5,3,FALSE),0)</f>
        <v>0</v>
      </c>
      <c r="P348">
        <f>IFERROR(VLOOKUP(F348,[1]Parameters!$A$3:$C$5,3,FALSE),0)</f>
        <v>0</v>
      </c>
      <c r="Q348">
        <f t="shared" si="5"/>
        <v>2.2999999999999998</v>
      </c>
      <c r="R348" s="10">
        <f>IF('[1]Pizza Sales Calculations'!$G348=TRUE, [1]Parameters!$B$17*'[1]Pizza Sales Calculations'!$L348*2, 0)</f>
        <v>4.9158333336235955</v>
      </c>
      <c r="S348" t="str">
        <f>IF(I348&lt;[1]Parameters!$B$21,"TRUE","FALSE")</f>
        <v>FALSE</v>
      </c>
      <c r="T348" s="5">
        <f>(I348/[1]Parameters!$B$25)*60</f>
        <v>6.9454628152481197</v>
      </c>
      <c r="U348" s="10">
        <f>IF(AND('[1]Pizza Sales Calculations'!G348=TRUE,'[1]Pizza Sales Calculations'!S348="TRUE"),T348*[1]Parameters!$B$40*2,0)</f>
        <v>0</v>
      </c>
      <c r="V348">
        <f>INDEX([1]Parameters!$A$3:$C$5,MATCH('[1]Pizza Sales Calculations'!D348,[1]Parameters!$A$3:$A$5,0),2)</f>
        <v>14</v>
      </c>
      <c r="W348" t="e">
        <f>INDEX([1]Parameters!$A$3:$C$5,MATCH('[1]Pizza Sales Calculations'!E348,[1]Parameters!$A$3:$A$5,0),2)</f>
        <v>#N/A</v>
      </c>
      <c r="X348" t="e">
        <f>INDEX([1]Parameters!$A$3:$C$5,MATCH('[1]Pizza Sales Calculations'!F348,[1]Parameters!$A$3:$A$5,0),2)</f>
        <v>#N/A</v>
      </c>
    </row>
    <row r="349" spans="1:24" x14ac:dyDescent="0.3">
      <c r="A349">
        <v>348</v>
      </c>
      <c r="B349" s="14">
        <v>42374.567118055558</v>
      </c>
      <c r="C349" s="14">
        <v>42374.577523148146</v>
      </c>
      <c r="D349" t="s">
        <v>5</v>
      </c>
      <c r="G349" t="b">
        <v>0</v>
      </c>
      <c r="H349">
        <v>70806</v>
      </c>
      <c r="I349" s="5">
        <v>0</v>
      </c>
      <c r="J349" s="14">
        <v>42374.579629629632</v>
      </c>
      <c r="K349">
        <v>15.35</v>
      </c>
      <c r="L349" s="5">
        <f>('[1]Pizza Sales Calculations'!$J349-'[1]Pizza Sales Calculations'!$C349)*24*60</f>
        <v>3.0333333404269069</v>
      </c>
      <c r="M349">
        <f>COUNTA('[1]Pizza Sales Calculations'!$D349:$F349)</f>
        <v>1</v>
      </c>
      <c r="N349">
        <f>IFERROR(VLOOKUP(D349,[1]Parameters!$A$3:$C$5,3,FALSE),0)</f>
        <v>2.2999999999999998</v>
      </c>
      <c r="O349">
        <f>IFERROR(VLOOKUP(E349,[1]Parameters!$A$3:$C$5,3,FALSE),0)</f>
        <v>0</v>
      </c>
      <c r="P349">
        <f>IFERROR(VLOOKUP(F349,[1]Parameters!$A$3:$C$5,3,FALSE),0)</f>
        <v>0</v>
      </c>
      <c r="Q349">
        <f t="shared" si="5"/>
        <v>2.2999999999999998</v>
      </c>
      <c r="R349" s="10">
        <f>IF('[1]Pizza Sales Calculations'!$G349=TRUE, [1]Parameters!$B$17*'[1]Pizza Sales Calculations'!$L349*2, 0)</f>
        <v>0</v>
      </c>
      <c r="S349" t="str">
        <f>IF(I349&lt;[1]Parameters!$B$21,"TRUE","FALSE")</f>
        <v>TRUE</v>
      </c>
      <c r="T349" s="5">
        <f>(I349/[1]Parameters!$B$25)*60</f>
        <v>0</v>
      </c>
      <c r="U349" s="10">
        <f>IF(AND('[1]Pizza Sales Calculations'!G349=TRUE,'[1]Pizza Sales Calculations'!S349="TRUE"),T349*[1]Parameters!$B$40*2,0)</f>
        <v>0</v>
      </c>
      <c r="V349">
        <f>INDEX([1]Parameters!$A$3:$C$5,MATCH('[1]Pizza Sales Calculations'!D349,[1]Parameters!$A$3:$A$5,0),2)</f>
        <v>14</v>
      </c>
      <c r="W349" t="e">
        <f>INDEX([1]Parameters!$A$3:$C$5,MATCH('[1]Pizza Sales Calculations'!E349,[1]Parameters!$A$3:$A$5,0),2)</f>
        <v>#N/A</v>
      </c>
      <c r="X349" t="e">
        <f>INDEX([1]Parameters!$A$3:$C$5,MATCH('[1]Pizza Sales Calculations'!F349,[1]Parameters!$A$3:$A$5,0),2)</f>
        <v>#N/A</v>
      </c>
    </row>
    <row r="350" spans="1:24" x14ac:dyDescent="0.3">
      <c r="A350">
        <v>349</v>
      </c>
      <c r="B350" s="14">
        <v>42374.545775462961</v>
      </c>
      <c r="C350" s="14">
        <v>42374.556180555555</v>
      </c>
      <c r="D350" t="s">
        <v>3</v>
      </c>
      <c r="E350" t="s">
        <v>5</v>
      </c>
      <c r="G350" t="b">
        <v>0</v>
      </c>
      <c r="H350">
        <v>70808</v>
      </c>
      <c r="I350" s="5">
        <v>0</v>
      </c>
      <c r="J350" s="14">
        <v>42374.558217592596</v>
      </c>
      <c r="K350">
        <v>23.34</v>
      </c>
      <c r="L350" s="5">
        <f>('[1]Pizza Sales Calculations'!$J350-'[1]Pizza Sales Calculations'!$C350)*24*60</f>
        <v>2.9333333380054682</v>
      </c>
      <c r="M350">
        <f>COUNTA('[1]Pizza Sales Calculations'!$D350:$F350)</f>
        <v>2</v>
      </c>
      <c r="N350">
        <f>IFERROR(VLOOKUP(D350,[1]Parameters!$A$3:$C$5,3,FALSE),0)</f>
        <v>1</v>
      </c>
      <c r="O350">
        <f>IFERROR(VLOOKUP(E350,[1]Parameters!$A$3:$C$5,3,FALSE),0)</f>
        <v>2.2999999999999998</v>
      </c>
      <c r="P350">
        <f>IFERROR(VLOOKUP(F350,[1]Parameters!$A$3:$C$5,3,FALSE),0)</f>
        <v>0</v>
      </c>
      <c r="Q350">
        <f t="shared" si="5"/>
        <v>3.3</v>
      </c>
      <c r="R350" s="10">
        <f>IF('[1]Pizza Sales Calculations'!$G350=TRUE, [1]Parameters!$B$17*'[1]Pizza Sales Calculations'!$L350*2, 0)</f>
        <v>0</v>
      </c>
      <c r="S350" t="str">
        <f>IF(I350&lt;[1]Parameters!$B$21,"TRUE","FALSE")</f>
        <v>TRUE</v>
      </c>
      <c r="T350" s="5">
        <f>(I350/[1]Parameters!$B$25)*60</f>
        <v>0</v>
      </c>
      <c r="U350" s="10">
        <f>IF(AND('[1]Pizza Sales Calculations'!G350=TRUE,'[1]Pizza Sales Calculations'!S350="TRUE"),T350*[1]Parameters!$B$40*2,0)</f>
        <v>0</v>
      </c>
      <c r="V350">
        <f>INDEX([1]Parameters!$A$3:$C$5,MATCH('[1]Pizza Sales Calculations'!D350,[1]Parameters!$A$3:$A$5,0),2)</f>
        <v>7</v>
      </c>
      <c r="W350">
        <f>INDEX([1]Parameters!$A$3:$C$5,MATCH('[1]Pizza Sales Calculations'!E350,[1]Parameters!$A$3:$A$5,0),2)</f>
        <v>14</v>
      </c>
      <c r="X350" t="e">
        <f>INDEX([1]Parameters!$A$3:$C$5,MATCH('[1]Pizza Sales Calculations'!F350,[1]Parameters!$A$3:$A$5,0),2)</f>
        <v>#N/A</v>
      </c>
    </row>
    <row r="351" spans="1:24" x14ac:dyDescent="0.3">
      <c r="A351">
        <v>350</v>
      </c>
      <c r="B351" s="14">
        <v>42374.476701388892</v>
      </c>
      <c r="C351" s="14">
        <v>42374.487118055556</v>
      </c>
      <c r="D351" t="s">
        <v>3</v>
      </c>
      <c r="E351" t="s">
        <v>5</v>
      </c>
      <c r="G351" t="b">
        <v>0</v>
      </c>
      <c r="H351">
        <v>70807</v>
      </c>
      <c r="I351" s="5">
        <v>0</v>
      </c>
      <c r="J351" s="14">
        <v>42374.489178240743</v>
      </c>
      <c r="K351">
        <v>23.34</v>
      </c>
      <c r="L351" s="5">
        <f>('[1]Pizza Sales Calculations'!$J351-'[1]Pizza Sales Calculations'!$C351)*24*60</f>
        <v>2.9666666686534882</v>
      </c>
      <c r="M351">
        <f>COUNTA('[1]Pizza Sales Calculations'!$D351:$F351)</f>
        <v>2</v>
      </c>
      <c r="N351">
        <f>IFERROR(VLOOKUP(D351,[1]Parameters!$A$3:$C$5,3,FALSE),0)</f>
        <v>1</v>
      </c>
      <c r="O351">
        <f>IFERROR(VLOOKUP(E351,[1]Parameters!$A$3:$C$5,3,FALSE),0)</f>
        <v>2.2999999999999998</v>
      </c>
      <c r="P351">
        <f>IFERROR(VLOOKUP(F351,[1]Parameters!$A$3:$C$5,3,FALSE),0)</f>
        <v>0</v>
      </c>
      <c r="Q351">
        <f t="shared" si="5"/>
        <v>3.3</v>
      </c>
      <c r="R351" s="10">
        <f>IF('[1]Pizza Sales Calculations'!$G351=TRUE, [1]Parameters!$B$17*'[1]Pizza Sales Calculations'!$L351*2, 0)</f>
        <v>0</v>
      </c>
      <c r="S351" t="str">
        <f>IF(I351&lt;[1]Parameters!$B$21,"TRUE","FALSE")</f>
        <v>TRUE</v>
      </c>
      <c r="T351" s="5">
        <f>(I351/[1]Parameters!$B$25)*60</f>
        <v>0</v>
      </c>
      <c r="U351" s="10">
        <f>IF(AND('[1]Pizza Sales Calculations'!G351=TRUE,'[1]Pizza Sales Calculations'!S351="TRUE"),T351*[1]Parameters!$B$40*2,0)</f>
        <v>0</v>
      </c>
      <c r="V351">
        <f>INDEX([1]Parameters!$A$3:$C$5,MATCH('[1]Pizza Sales Calculations'!D351,[1]Parameters!$A$3:$A$5,0),2)</f>
        <v>7</v>
      </c>
      <c r="W351">
        <f>INDEX([1]Parameters!$A$3:$C$5,MATCH('[1]Pizza Sales Calculations'!E351,[1]Parameters!$A$3:$A$5,0),2)</f>
        <v>14</v>
      </c>
      <c r="X351" t="e">
        <f>INDEX([1]Parameters!$A$3:$C$5,MATCH('[1]Pizza Sales Calculations'!F351,[1]Parameters!$A$3:$A$5,0),2)</f>
        <v>#N/A</v>
      </c>
    </row>
    <row r="352" spans="1:24" x14ac:dyDescent="0.3">
      <c r="A352">
        <v>351</v>
      </c>
      <c r="B352" s="14">
        <v>42374.471678240741</v>
      </c>
      <c r="C352" s="14">
        <v>42374.482071759259</v>
      </c>
      <c r="D352" t="s">
        <v>4</v>
      </c>
      <c r="G352" t="b">
        <v>0</v>
      </c>
      <c r="H352">
        <v>70805</v>
      </c>
      <c r="I352" s="5">
        <v>0</v>
      </c>
      <c r="J352" s="14">
        <v>42374.484155092592</v>
      </c>
      <c r="K352">
        <v>11.59</v>
      </c>
      <c r="L352" s="5">
        <f>('[1]Pizza Sales Calculations'!$J352-'[1]Pizza Sales Calculations'!$C352)*24*60</f>
        <v>2.9999999993015081</v>
      </c>
      <c r="M352">
        <f>COUNTA('[1]Pizza Sales Calculations'!$D352:$F352)</f>
        <v>1</v>
      </c>
      <c r="N352">
        <f>IFERROR(VLOOKUP(D352,[1]Parameters!$A$3:$C$5,3,FALSE),0)</f>
        <v>1.7</v>
      </c>
      <c r="O352">
        <f>IFERROR(VLOOKUP(E352,[1]Parameters!$A$3:$C$5,3,FALSE),0)</f>
        <v>0</v>
      </c>
      <c r="P352">
        <f>IFERROR(VLOOKUP(F352,[1]Parameters!$A$3:$C$5,3,FALSE),0)</f>
        <v>0</v>
      </c>
      <c r="Q352">
        <f t="shared" si="5"/>
        <v>1.7</v>
      </c>
      <c r="R352" s="10">
        <f>IF('[1]Pizza Sales Calculations'!$G352=TRUE, [1]Parameters!$B$17*'[1]Pizza Sales Calculations'!$L352*2, 0)</f>
        <v>0</v>
      </c>
      <c r="S352" t="str">
        <f>IF(I352&lt;[1]Parameters!$B$21,"TRUE","FALSE")</f>
        <v>TRUE</v>
      </c>
      <c r="T352" s="5">
        <f>(I352/[1]Parameters!$B$25)*60</f>
        <v>0</v>
      </c>
      <c r="U352" s="10">
        <f>IF(AND('[1]Pizza Sales Calculations'!G352=TRUE,'[1]Pizza Sales Calculations'!S352="TRUE"),T352*[1]Parameters!$B$40*2,0)</f>
        <v>0</v>
      </c>
      <c r="V352">
        <f>INDEX([1]Parameters!$A$3:$C$5,MATCH('[1]Pizza Sales Calculations'!D352,[1]Parameters!$A$3:$A$5,0),2)</f>
        <v>10</v>
      </c>
      <c r="W352" t="e">
        <f>INDEX([1]Parameters!$A$3:$C$5,MATCH('[1]Pizza Sales Calculations'!E352,[1]Parameters!$A$3:$A$5,0),2)</f>
        <v>#N/A</v>
      </c>
      <c r="X352" t="e">
        <f>INDEX([1]Parameters!$A$3:$C$5,MATCH('[1]Pizza Sales Calculations'!F352,[1]Parameters!$A$3:$A$5,0),2)</f>
        <v>#N/A</v>
      </c>
    </row>
    <row r="353" spans="1:24" x14ac:dyDescent="0.3">
      <c r="A353">
        <v>352</v>
      </c>
      <c r="B353" s="14">
        <v>42374.535150462965</v>
      </c>
      <c r="C353" s="14">
        <v>42374.545555555553</v>
      </c>
      <c r="D353" t="s">
        <v>4</v>
      </c>
      <c r="G353" t="b">
        <v>1</v>
      </c>
      <c r="H353">
        <v>70805</v>
      </c>
      <c r="I353" s="5">
        <v>2.9244031964541102</v>
      </c>
      <c r="J353" s="14">
        <v>42374.555706018517</v>
      </c>
      <c r="K353">
        <v>11.59</v>
      </c>
      <c r="L353" s="5">
        <f>('[1]Pizza Sales Calculations'!$J353-'[1]Pizza Sales Calculations'!$C353)*24*60</f>
        <v>14.616666667861864</v>
      </c>
      <c r="M353">
        <f>COUNTA('[1]Pizza Sales Calculations'!$D353:$F353)</f>
        <v>1</v>
      </c>
      <c r="N353">
        <f>IFERROR(VLOOKUP(D353,[1]Parameters!$A$3:$C$5,3,FALSE),0)</f>
        <v>1.7</v>
      </c>
      <c r="O353">
        <f>IFERROR(VLOOKUP(E353,[1]Parameters!$A$3:$C$5,3,FALSE),0)</f>
        <v>0</v>
      </c>
      <c r="P353">
        <f>IFERROR(VLOOKUP(F353,[1]Parameters!$A$3:$C$5,3,FALSE),0)</f>
        <v>0</v>
      </c>
      <c r="Q353">
        <f t="shared" si="5"/>
        <v>1.7</v>
      </c>
      <c r="R353" s="10">
        <f>IF('[1]Pizza Sales Calculations'!$G353=TRUE, [1]Parameters!$B$17*'[1]Pizza Sales Calculations'!$L353*2, 0)</f>
        <v>4.1413888892275281</v>
      </c>
      <c r="S353" t="str">
        <f>IF(I353&lt;[1]Parameters!$B$21,"TRUE","FALSE")</f>
        <v>TRUE</v>
      </c>
      <c r="T353" s="5">
        <f>(I353/[1]Parameters!$B$25)*60</f>
        <v>5.8488063929082204</v>
      </c>
      <c r="U353" s="10">
        <f>IF(AND('[1]Pizza Sales Calculations'!G353=TRUE,'[1]Pizza Sales Calculations'!S353="TRUE"),T353*[1]Parameters!$B$40*2,0)</f>
        <v>0.36509786633762709</v>
      </c>
      <c r="V353">
        <f>INDEX([1]Parameters!$A$3:$C$5,MATCH('[1]Pizza Sales Calculations'!D353,[1]Parameters!$A$3:$A$5,0),2)</f>
        <v>10</v>
      </c>
      <c r="W353" t="e">
        <f>INDEX([1]Parameters!$A$3:$C$5,MATCH('[1]Pizza Sales Calculations'!E353,[1]Parameters!$A$3:$A$5,0),2)</f>
        <v>#N/A</v>
      </c>
      <c r="X353" t="e">
        <f>INDEX([1]Parameters!$A$3:$C$5,MATCH('[1]Pizza Sales Calculations'!F353,[1]Parameters!$A$3:$A$5,0),2)</f>
        <v>#N/A</v>
      </c>
    </row>
    <row r="354" spans="1:24" x14ac:dyDescent="0.3">
      <c r="A354">
        <v>353</v>
      </c>
      <c r="B354" s="14">
        <v>42374.541979166665</v>
      </c>
      <c r="C354" s="14">
        <v>42374.552384259259</v>
      </c>
      <c r="D354" t="s">
        <v>5</v>
      </c>
      <c r="G354" t="b">
        <v>1</v>
      </c>
      <c r="H354">
        <v>70803</v>
      </c>
      <c r="I354" s="5">
        <v>3.1437128603989799</v>
      </c>
      <c r="J354" s="14">
        <v>42374.563298611109</v>
      </c>
      <c r="K354">
        <v>15.35</v>
      </c>
      <c r="L354" s="5">
        <f>('[1]Pizza Sales Calculations'!$J354-'[1]Pizza Sales Calculations'!$C354)*24*60</f>
        <v>15.716666663065553</v>
      </c>
      <c r="M354">
        <f>COUNTA('[1]Pizza Sales Calculations'!$D354:$F354)</f>
        <v>1</v>
      </c>
      <c r="N354">
        <f>IFERROR(VLOOKUP(D354,[1]Parameters!$A$3:$C$5,3,FALSE),0)</f>
        <v>2.2999999999999998</v>
      </c>
      <c r="O354">
        <f>IFERROR(VLOOKUP(E354,[1]Parameters!$A$3:$C$5,3,FALSE),0)</f>
        <v>0</v>
      </c>
      <c r="P354">
        <f>IFERROR(VLOOKUP(F354,[1]Parameters!$A$3:$C$5,3,FALSE),0)</f>
        <v>0</v>
      </c>
      <c r="Q354">
        <f t="shared" si="5"/>
        <v>2.2999999999999998</v>
      </c>
      <c r="R354" s="10">
        <f>IF('[1]Pizza Sales Calculations'!$G354=TRUE, [1]Parameters!$B$17*'[1]Pizza Sales Calculations'!$L354*2, 0)</f>
        <v>4.4530555545352399</v>
      </c>
      <c r="S354" t="str">
        <f>IF(I354&lt;[1]Parameters!$B$21,"TRUE","FALSE")</f>
        <v>TRUE</v>
      </c>
      <c r="T354" s="5">
        <f>(I354/[1]Parameters!$B$25)*60</f>
        <v>6.2874257207979598</v>
      </c>
      <c r="U354" s="10">
        <f>IF(AND('[1]Pizza Sales Calculations'!G354=TRUE,'[1]Pizza Sales Calculations'!S354="TRUE"),T354*[1]Parameters!$B$40*2,0)</f>
        <v>0.39247763752327602</v>
      </c>
      <c r="V354">
        <f>INDEX([1]Parameters!$A$3:$C$5,MATCH('[1]Pizza Sales Calculations'!D354,[1]Parameters!$A$3:$A$5,0),2)</f>
        <v>14</v>
      </c>
      <c r="W354" t="e">
        <f>INDEX([1]Parameters!$A$3:$C$5,MATCH('[1]Pizza Sales Calculations'!E354,[1]Parameters!$A$3:$A$5,0),2)</f>
        <v>#N/A</v>
      </c>
      <c r="X354" t="e">
        <f>INDEX([1]Parameters!$A$3:$C$5,MATCH('[1]Pizza Sales Calculations'!F354,[1]Parameters!$A$3:$A$5,0),2)</f>
        <v>#N/A</v>
      </c>
    </row>
    <row r="355" spans="1:24" x14ac:dyDescent="0.3">
      <c r="A355">
        <v>354</v>
      </c>
      <c r="B355" s="14">
        <v>42374.470092592594</v>
      </c>
      <c r="C355" s="14">
        <v>42374.480509259258</v>
      </c>
      <c r="D355" t="s">
        <v>3</v>
      </c>
      <c r="G355" t="b">
        <v>1</v>
      </c>
      <c r="H355">
        <v>70807</v>
      </c>
      <c r="I355" s="5">
        <v>3.4871905918495401</v>
      </c>
      <c r="J355" s="14">
        <v>42374.492615740739</v>
      </c>
      <c r="K355">
        <v>7.99</v>
      </c>
      <c r="L355" s="5">
        <f>('[1]Pizza Sales Calculations'!$J355-'[1]Pizza Sales Calculations'!$C355)*24*60</f>
        <v>17.433333332883194</v>
      </c>
      <c r="M355">
        <f>COUNTA('[1]Pizza Sales Calculations'!$D355:$F355)</f>
        <v>1</v>
      </c>
      <c r="N355">
        <f>IFERROR(VLOOKUP(D355,[1]Parameters!$A$3:$C$5,3,FALSE),0)</f>
        <v>1</v>
      </c>
      <c r="O355">
        <f>IFERROR(VLOOKUP(E355,[1]Parameters!$A$3:$C$5,3,FALSE),0)</f>
        <v>0</v>
      </c>
      <c r="P355">
        <f>IFERROR(VLOOKUP(F355,[1]Parameters!$A$3:$C$5,3,FALSE),0)</f>
        <v>0</v>
      </c>
      <c r="Q355">
        <f t="shared" si="5"/>
        <v>1</v>
      </c>
      <c r="R355" s="10">
        <f>IF('[1]Pizza Sales Calculations'!$G355=TRUE, [1]Parameters!$B$17*'[1]Pizza Sales Calculations'!$L355*2, 0)</f>
        <v>4.939444444316905</v>
      </c>
      <c r="S355" t="str">
        <f>IF(I355&lt;[1]Parameters!$B$21,"TRUE","FALSE")</f>
        <v>FALSE</v>
      </c>
      <c r="T355" s="5">
        <f>(I355/[1]Parameters!$B$25)*60</f>
        <v>6.9743811836990801</v>
      </c>
      <c r="U355" s="10">
        <f>IF(AND('[1]Pizza Sales Calculations'!G355=TRUE,'[1]Pizza Sales Calculations'!S355="TRUE"),T355*[1]Parameters!$B$40*2,0)</f>
        <v>0</v>
      </c>
      <c r="V355">
        <f>INDEX([1]Parameters!$A$3:$C$5,MATCH('[1]Pizza Sales Calculations'!D355,[1]Parameters!$A$3:$A$5,0),2)</f>
        <v>7</v>
      </c>
      <c r="W355" t="e">
        <f>INDEX([1]Parameters!$A$3:$C$5,MATCH('[1]Pizza Sales Calculations'!E355,[1]Parameters!$A$3:$A$5,0),2)</f>
        <v>#N/A</v>
      </c>
      <c r="X355" t="e">
        <f>INDEX([1]Parameters!$A$3:$C$5,MATCH('[1]Pizza Sales Calculations'!F355,[1]Parameters!$A$3:$A$5,0),2)</f>
        <v>#N/A</v>
      </c>
    </row>
    <row r="356" spans="1:24" x14ac:dyDescent="0.3">
      <c r="A356">
        <v>355</v>
      </c>
      <c r="B356" s="14">
        <v>42374.459652777776</v>
      </c>
      <c r="C356" s="14">
        <v>42374.470069444447</v>
      </c>
      <c r="D356" t="s">
        <v>3</v>
      </c>
      <c r="E356" t="s">
        <v>4</v>
      </c>
      <c r="G356" t="b">
        <v>1</v>
      </c>
      <c r="H356">
        <v>70804</v>
      </c>
      <c r="I356" s="5">
        <v>2.2648754730439502</v>
      </c>
      <c r="J356" s="14">
        <v>42374.47792824074</v>
      </c>
      <c r="K356">
        <v>19.579999999999998</v>
      </c>
      <c r="L356" s="5">
        <f>('[1]Pizza Sales Calculations'!$J356-'[1]Pizza Sales Calculations'!$C356)*24*60</f>
        <v>11.31666666129604</v>
      </c>
      <c r="M356">
        <f>COUNTA('[1]Pizza Sales Calculations'!$D356:$F356)</f>
        <v>2</v>
      </c>
      <c r="N356">
        <f>IFERROR(VLOOKUP(D356,[1]Parameters!$A$3:$C$5,3,FALSE),0)</f>
        <v>1</v>
      </c>
      <c r="O356">
        <f>IFERROR(VLOOKUP(E356,[1]Parameters!$A$3:$C$5,3,FALSE),0)</f>
        <v>1.7</v>
      </c>
      <c r="P356">
        <f>IFERROR(VLOOKUP(F356,[1]Parameters!$A$3:$C$5,3,FALSE),0)</f>
        <v>0</v>
      </c>
      <c r="Q356">
        <f t="shared" si="5"/>
        <v>2.7</v>
      </c>
      <c r="R356" s="10">
        <f>IF('[1]Pizza Sales Calculations'!$G356=TRUE, [1]Parameters!$B$17*'[1]Pizza Sales Calculations'!$L356*2, 0)</f>
        <v>3.2063888873672113</v>
      </c>
      <c r="S356" t="str">
        <f>IF(I356&lt;[1]Parameters!$B$21,"TRUE","FALSE")</f>
        <v>TRUE</v>
      </c>
      <c r="T356" s="5">
        <f>(I356/[1]Parameters!$B$25)*60</f>
        <v>4.5297509460879004</v>
      </c>
      <c r="U356" s="10">
        <f>IF(AND('[1]Pizza Sales Calculations'!G356=TRUE,'[1]Pizza Sales Calculations'!S356="TRUE"),T356*[1]Parameters!$B$40*2,0)</f>
        <v>0.28275895872751133</v>
      </c>
      <c r="V356">
        <f>INDEX([1]Parameters!$A$3:$C$5,MATCH('[1]Pizza Sales Calculations'!D356,[1]Parameters!$A$3:$A$5,0),2)</f>
        <v>7</v>
      </c>
      <c r="W356">
        <f>INDEX([1]Parameters!$A$3:$C$5,MATCH('[1]Pizza Sales Calculations'!E356,[1]Parameters!$A$3:$A$5,0),2)</f>
        <v>10</v>
      </c>
      <c r="X356" t="e">
        <f>INDEX([1]Parameters!$A$3:$C$5,MATCH('[1]Pizza Sales Calculations'!F356,[1]Parameters!$A$3:$A$5,0),2)</f>
        <v>#N/A</v>
      </c>
    </row>
    <row r="357" spans="1:24" x14ac:dyDescent="0.3">
      <c r="A357">
        <v>356</v>
      </c>
      <c r="B357" s="14">
        <v>42374.43849537037</v>
      </c>
      <c r="C357" s="14">
        <v>42374.448912037034</v>
      </c>
      <c r="D357" t="s">
        <v>3</v>
      </c>
      <c r="G357" t="b">
        <v>1</v>
      </c>
      <c r="H357">
        <v>70806</v>
      </c>
      <c r="I357" s="5">
        <v>2.5151869791399801</v>
      </c>
      <c r="J357" s="14">
        <v>42374.457638888889</v>
      </c>
      <c r="K357">
        <v>7.99</v>
      </c>
      <c r="L357" s="5">
        <f>('[1]Pizza Sales Calculations'!$J357-'[1]Pizza Sales Calculations'!$C357)*24*60</f>
        <v>12.566666670609266</v>
      </c>
      <c r="M357">
        <f>COUNTA('[1]Pizza Sales Calculations'!$D357:$F357)</f>
        <v>1</v>
      </c>
      <c r="N357">
        <f>IFERROR(VLOOKUP(D357,[1]Parameters!$A$3:$C$5,3,FALSE),0)</f>
        <v>1</v>
      </c>
      <c r="O357">
        <f>IFERROR(VLOOKUP(E357,[1]Parameters!$A$3:$C$5,3,FALSE),0)</f>
        <v>0</v>
      </c>
      <c r="P357">
        <f>IFERROR(VLOOKUP(F357,[1]Parameters!$A$3:$C$5,3,FALSE),0)</f>
        <v>0</v>
      </c>
      <c r="Q357">
        <f t="shared" si="5"/>
        <v>1</v>
      </c>
      <c r="R357" s="10">
        <f>IF('[1]Pizza Sales Calculations'!$G357=TRUE, [1]Parameters!$B$17*'[1]Pizza Sales Calculations'!$L357*2, 0)</f>
        <v>3.5605555566726252</v>
      </c>
      <c r="S357" t="str">
        <f>IF(I357&lt;[1]Parameters!$B$21,"TRUE","FALSE")</f>
        <v>TRUE</v>
      </c>
      <c r="T357" s="5">
        <f>(I357/[1]Parameters!$B$25)*60</f>
        <v>5.0303739582799603</v>
      </c>
      <c r="U357" s="10">
        <f>IF(AND('[1]Pizza Sales Calculations'!G357=TRUE,'[1]Pizza Sales Calculations'!S357="TRUE"),T357*[1]Parameters!$B$40*2,0)</f>
        <v>0.31400916283966263</v>
      </c>
      <c r="V357">
        <f>INDEX([1]Parameters!$A$3:$C$5,MATCH('[1]Pizza Sales Calculations'!D357,[1]Parameters!$A$3:$A$5,0),2)</f>
        <v>7</v>
      </c>
      <c r="W357" t="e">
        <f>INDEX([1]Parameters!$A$3:$C$5,MATCH('[1]Pizza Sales Calculations'!E357,[1]Parameters!$A$3:$A$5,0),2)</f>
        <v>#N/A</v>
      </c>
      <c r="X357" t="e">
        <f>INDEX([1]Parameters!$A$3:$C$5,MATCH('[1]Pizza Sales Calculations'!F357,[1]Parameters!$A$3:$A$5,0),2)</f>
        <v>#N/A</v>
      </c>
    </row>
    <row r="358" spans="1:24" x14ac:dyDescent="0.3">
      <c r="A358">
        <v>357</v>
      </c>
      <c r="B358" s="14">
        <v>42374.508125</v>
      </c>
      <c r="C358" s="14">
        <v>42374.518518518518</v>
      </c>
      <c r="D358" t="s">
        <v>3</v>
      </c>
      <c r="G358" t="b">
        <v>1</v>
      </c>
      <c r="H358">
        <v>70805</v>
      </c>
      <c r="I358" s="5">
        <v>3.6830884928476602</v>
      </c>
      <c r="J358" s="14">
        <v>42374.5312962963</v>
      </c>
      <c r="K358">
        <v>7.99</v>
      </c>
      <c r="L358" s="5">
        <f>('[1]Pizza Sales Calculations'!$J358-'[1]Pizza Sales Calculations'!$C358)*24*60</f>
        <v>18.400000005494803</v>
      </c>
      <c r="M358">
        <f>COUNTA('[1]Pizza Sales Calculations'!$D358:$F358)</f>
        <v>1</v>
      </c>
      <c r="N358">
        <f>IFERROR(VLOOKUP(D358,[1]Parameters!$A$3:$C$5,3,FALSE),0)</f>
        <v>1</v>
      </c>
      <c r="O358">
        <f>IFERROR(VLOOKUP(E358,[1]Parameters!$A$3:$C$5,3,FALSE),0)</f>
        <v>0</v>
      </c>
      <c r="P358">
        <f>IFERROR(VLOOKUP(F358,[1]Parameters!$A$3:$C$5,3,FALSE),0)</f>
        <v>0</v>
      </c>
      <c r="Q358">
        <f t="shared" si="5"/>
        <v>1</v>
      </c>
      <c r="R358" s="10">
        <f>IF('[1]Pizza Sales Calculations'!$G358=TRUE, [1]Parameters!$B$17*'[1]Pizza Sales Calculations'!$L358*2, 0)</f>
        <v>5.2133333348901942</v>
      </c>
      <c r="S358" t="str">
        <f>IF(I358&lt;[1]Parameters!$B$21,"TRUE","FALSE")</f>
        <v>FALSE</v>
      </c>
      <c r="T358" s="5">
        <f>(I358/[1]Parameters!$B$25)*60</f>
        <v>7.3661769856953203</v>
      </c>
      <c r="U358" s="10">
        <f>IF(AND('[1]Pizza Sales Calculations'!G358=TRUE,'[1]Pizza Sales Calculations'!S358="TRUE"),T358*[1]Parameters!$B$40*2,0)</f>
        <v>0</v>
      </c>
      <c r="V358">
        <f>INDEX([1]Parameters!$A$3:$C$5,MATCH('[1]Pizza Sales Calculations'!D358,[1]Parameters!$A$3:$A$5,0),2)</f>
        <v>7</v>
      </c>
      <c r="W358" t="e">
        <f>INDEX([1]Parameters!$A$3:$C$5,MATCH('[1]Pizza Sales Calculations'!E358,[1]Parameters!$A$3:$A$5,0),2)</f>
        <v>#N/A</v>
      </c>
      <c r="X358" t="e">
        <f>INDEX([1]Parameters!$A$3:$C$5,MATCH('[1]Pizza Sales Calculations'!F358,[1]Parameters!$A$3:$A$5,0),2)</f>
        <v>#N/A</v>
      </c>
    </row>
    <row r="359" spans="1:24" x14ac:dyDescent="0.3">
      <c r="A359">
        <v>358</v>
      </c>
      <c r="B359" s="14">
        <v>42374.554837962962</v>
      </c>
      <c r="C359" s="14">
        <v>42374.565243055556</v>
      </c>
      <c r="D359" t="s">
        <v>4</v>
      </c>
      <c r="G359" t="b">
        <v>1</v>
      </c>
      <c r="H359">
        <v>70804</v>
      </c>
      <c r="I359" s="5">
        <v>4.0680088016139804</v>
      </c>
      <c r="J359" s="14">
        <v>42374.579363425924</v>
      </c>
      <c r="K359">
        <v>11.59</v>
      </c>
      <c r="L359" s="5">
        <f>('[1]Pizza Sales Calculations'!$J359-'[1]Pizza Sales Calculations'!$C359)*24*60</f>
        <v>20.333333329763263</v>
      </c>
      <c r="M359">
        <f>COUNTA('[1]Pizza Sales Calculations'!$D359:$F359)</f>
        <v>1</v>
      </c>
      <c r="N359">
        <f>IFERROR(VLOOKUP(D359,[1]Parameters!$A$3:$C$5,3,FALSE),0)</f>
        <v>1.7</v>
      </c>
      <c r="O359">
        <f>IFERROR(VLOOKUP(E359,[1]Parameters!$A$3:$C$5,3,FALSE),0)</f>
        <v>0</v>
      </c>
      <c r="P359">
        <f>IFERROR(VLOOKUP(F359,[1]Parameters!$A$3:$C$5,3,FALSE),0)</f>
        <v>0</v>
      </c>
      <c r="Q359">
        <f t="shared" si="5"/>
        <v>1.7</v>
      </c>
      <c r="R359" s="10">
        <f>IF('[1]Pizza Sales Calculations'!$G359=TRUE, [1]Parameters!$B$17*'[1]Pizza Sales Calculations'!$L359*2, 0)</f>
        <v>5.7611111100995913</v>
      </c>
      <c r="S359" t="str">
        <f>IF(I359&lt;[1]Parameters!$B$21,"TRUE","FALSE")</f>
        <v>FALSE</v>
      </c>
      <c r="T359" s="5">
        <f>(I359/[1]Parameters!$B$25)*60</f>
        <v>8.1360176032279607</v>
      </c>
      <c r="U359" s="10">
        <f>IF(AND('[1]Pizza Sales Calculations'!G359=TRUE,'[1]Pizza Sales Calculations'!S359="TRUE"),T359*[1]Parameters!$B$40*2,0)</f>
        <v>0</v>
      </c>
      <c r="V359">
        <f>INDEX([1]Parameters!$A$3:$C$5,MATCH('[1]Pizza Sales Calculations'!D359,[1]Parameters!$A$3:$A$5,0),2)</f>
        <v>10</v>
      </c>
      <c r="W359" t="e">
        <f>INDEX([1]Parameters!$A$3:$C$5,MATCH('[1]Pizza Sales Calculations'!E359,[1]Parameters!$A$3:$A$5,0),2)</f>
        <v>#N/A</v>
      </c>
      <c r="X359" t="e">
        <f>INDEX([1]Parameters!$A$3:$C$5,MATCH('[1]Pizza Sales Calculations'!F359,[1]Parameters!$A$3:$A$5,0),2)</f>
        <v>#N/A</v>
      </c>
    </row>
    <row r="360" spans="1:24" x14ac:dyDescent="0.3">
      <c r="A360">
        <v>359</v>
      </c>
      <c r="B360" s="14">
        <v>42374.417129629626</v>
      </c>
      <c r="C360" s="14">
        <v>42374.427546296298</v>
      </c>
      <c r="D360" t="s">
        <v>5</v>
      </c>
      <c r="G360" t="b">
        <v>1</v>
      </c>
      <c r="H360">
        <v>70804</v>
      </c>
      <c r="I360" s="5">
        <v>2.66426516615399</v>
      </c>
      <c r="J360" s="14">
        <v>42374.436793981484</v>
      </c>
      <c r="K360">
        <v>15.35</v>
      </c>
      <c r="L360" s="5">
        <f>('[1]Pizza Sales Calculations'!$J360-'[1]Pizza Sales Calculations'!$C360)*24*60</f>
        <v>13.316666667815298</v>
      </c>
      <c r="M360">
        <f>COUNTA('[1]Pizza Sales Calculations'!$D360:$F360)</f>
        <v>1</v>
      </c>
      <c r="N360">
        <f>IFERROR(VLOOKUP(D360,[1]Parameters!$A$3:$C$5,3,FALSE),0)</f>
        <v>2.2999999999999998</v>
      </c>
      <c r="O360">
        <f>IFERROR(VLOOKUP(E360,[1]Parameters!$A$3:$C$5,3,FALSE),0)</f>
        <v>0</v>
      </c>
      <c r="P360">
        <f>IFERROR(VLOOKUP(F360,[1]Parameters!$A$3:$C$5,3,FALSE),0)</f>
        <v>0</v>
      </c>
      <c r="Q360">
        <f t="shared" si="5"/>
        <v>2.2999999999999998</v>
      </c>
      <c r="R360" s="10">
        <f>IF('[1]Pizza Sales Calculations'!$G360=TRUE, [1]Parameters!$B$17*'[1]Pizza Sales Calculations'!$L360*2, 0)</f>
        <v>3.7730555558810011</v>
      </c>
      <c r="S360" t="str">
        <f>IF(I360&lt;[1]Parameters!$B$21,"TRUE","FALSE")</f>
        <v>TRUE</v>
      </c>
      <c r="T360" s="5">
        <f>(I360/[1]Parameters!$B$25)*60</f>
        <v>5.32853033230798</v>
      </c>
      <c r="U360" s="10">
        <f>IF(AND('[1]Pizza Sales Calculations'!G360=TRUE,'[1]Pizza Sales Calculations'!S360="TRUE"),T360*[1]Parameters!$B$40*2,0)</f>
        <v>0.33262086729351215</v>
      </c>
      <c r="V360">
        <f>INDEX([1]Parameters!$A$3:$C$5,MATCH('[1]Pizza Sales Calculations'!D360,[1]Parameters!$A$3:$A$5,0),2)</f>
        <v>14</v>
      </c>
      <c r="W360" t="e">
        <f>INDEX([1]Parameters!$A$3:$C$5,MATCH('[1]Pizza Sales Calculations'!E360,[1]Parameters!$A$3:$A$5,0),2)</f>
        <v>#N/A</v>
      </c>
      <c r="X360" t="e">
        <f>INDEX([1]Parameters!$A$3:$C$5,MATCH('[1]Pizza Sales Calculations'!F360,[1]Parameters!$A$3:$A$5,0),2)</f>
        <v>#N/A</v>
      </c>
    </row>
    <row r="361" spans="1:24" x14ac:dyDescent="0.3">
      <c r="A361">
        <v>360</v>
      </c>
      <c r="B361" s="14">
        <v>42374.476423611108</v>
      </c>
      <c r="C361" s="14">
        <v>42374.486851851849</v>
      </c>
      <c r="D361" t="s">
        <v>3</v>
      </c>
      <c r="E361" t="s">
        <v>5</v>
      </c>
      <c r="G361" t="b">
        <v>1</v>
      </c>
      <c r="H361">
        <v>70804</v>
      </c>
      <c r="I361" s="5">
        <v>3.7649554951017001</v>
      </c>
      <c r="J361" s="14">
        <v>42374.499918981484</v>
      </c>
      <c r="K361">
        <v>23.34</v>
      </c>
      <c r="L361" s="5">
        <f>('[1]Pizza Sales Calculations'!$J361-'[1]Pizza Sales Calculations'!$C361)*24*60</f>
        <v>18.816666675265878</v>
      </c>
      <c r="M361">
        <f>COUNTA('[1]Pizza Sales Calculations'!$D361:$F361)</f>
        <v>2</v>
      </c>
      <c r="N361">
        <f>IFERROR(VLOOKUP(D361,[1]Parameters!$A$3:$C$5,3,FALSE),0)</f>
        <v>1</v>
      </c>
      <c r="O361">
        <f>IFERROR(VLOOKUP(E361,[1]Parameters!$A$3:$C$5,3,FALSE),0)</f>
        <v>2.2999999999999998</v>
      </c>
      <c r="P361">
        <f>IFERROR(VLOOKUP(F361,[1]Parameters!$A$3:$C$5,3,FALSE),0)</f>
        <v>0</v>
      </c>
      <c r="Q361">
        <f t="shared" si="5"/>
        <v>3.3</v>
      </c>
      <c r="R361" s="10">
        <f>IF('[1]Pizza Sales Calculations'!$G361=TRUE, [1]Parameters!$B$17*'[1]Pizza Sales Calculations'!$L361*2, 0)</f>
        <v>5.3313888913253322</v>
      </c>
      <c r="S361" t="str">
        <f>IF(I361&lt;[1]Parameters!$B$21,"TRUE","FALSE")</f>
        <v>FALSE</v>
      </c>
      <c r="T361" s="5">
        <f>(I361/[1]Parameters!$B$25)*60</f>
        <v>7.5299109902034003</v>
      </c>
      <c r="U361" s="10">
        <f>IF(AND('[1]Pizza Sales Calculations'!G361=TRUE,'[1]Pizza Sales Calculations'!S361="TRUE"),T361*[1]Parameters!$B$40*2,0)</f>
        <v>0</v>
      </c>
      <c r="V361">
        <f>INDEX([1]Parameters!$A$3:$C$5,MATCH('[1]Pizza Sales Calculations'!D361,[1]Parameters!$A$3:$A$5,0),2)</f>
        <v>7</v>
      </c>
      <c r="W361">
        <f>INDEX([1]Parameters!$A$3:$C$5,MATCH('[1]Pizza Sales Calculations'!E361,[1]Parameters!$A$3:$A$5,0),2)</f>
        <v>14</v>
      </c>
      <c r="X361" t="e">
        <f>INDEX([1]Parameters!$A$3:$C$5,MATCH('[1]Pizza Sales Calculations'!F361,[1]Parameters!$A$3:$A$5,0),2)</f>
        <v>#N/A</v>
      </c>
    </row>
    <row r="362" spans="1:24" x14ac:dyDescent="0.3">
      <c r="A362">
        <v>361</v>
      </c>
      <c r="B362" s="14">
        <v>42374.432557870372</v>
      </c>
      <c r="C362" s="14">
        <v>42374.442974537036</v>
      </c>
      <c r="D362" t="s">
        <v>4</v>
      </c>
      <c r="G362" t="b">
        <v>1</v>
      </c>
      <c r="H362">
        <v>70804</v>
      </c>
      <c r="I362" s="5">
        <v>2.5888636106810701</v>
      </c>
      <c r="J362" s="14">
        <v>42374.451956018522</v>
      </c>
      <c r="K362">
        <v>11.59</v>
      </c>
      <c r="L362" s="5">
        <f>('[1]Pizza Sales Calculations'!$J362-'[1]Pizza Sales Calculations'!$C362)*24*60</f>
        <v>12.933333339169621</v>
      </c>
      <c r="M362">
        <f>COUNTA('[1]Pizza Sales Calculations'!$D362:$F362)</f>
        <v>1</v>
      </c>
      <c r="N362">
        <f>IFERROR(VLOOKUP(D362,[1]Parameters!$A$3:$C$5,3,FALSE),0)</f>
        <v>1.7</v>
      </c>
      <c r="O362">
        <f>IFERROR(VLOOKUP(E362,[1]Parameters!$A$3:$C$5,3,FALSE),0)</f>
        <v>0</v>
      </c>
      <c r="P362">
        <f>IFERROR(VLOOKUP(F362,[1]Parameters!$A$3:$C$5,3,FALSE),0)</f>
        <v>0</v>
      </c>
      <c r="Q362">
        <f t="shared" si="5"/>
        <v>1.7</v>
      </c>
      <c r="R362" s="10">
        <f>IF('[1]Pizza Sales Calculations'!$G362=TRUE, [1]Parameters!$B$17*'[1]Pizza Sales Calculations'!$L362*2, 0)</f>
        <v>3.6644444460980594</v>
      </c>
      <c r="S362" t="str">
        <f>IF(I362&lt;[1]Parameters!$B$21,"TRUE","FALSE")</f>
        <v>TRUE</v>
      </c>
      <c r="T362" s="5">
        <f>(I362/[1]Parameters!$B$25)*60</f>
        <v>5.1777272213621401</v>
      </c>
      <c r="U362" s="10">
        <f>IF(AND('[1]Pizza Sales Calculations'!G362=TRUE,'[1]Pizza Sales Calculations'!S362="TRUE"),T362*[1]Parameters!$B$40*2,0)</f>
        <v>0.32320734078147689</v>
      </c>
      <c r="V362">
        <f>INDEX([1]Parameters!$A$3:$C$5,MATCH('[1]Pizza Sales Calculations'!D362,[1]Parameters!$A$3:$A$5,0),2)</f>
        <v>10</v>
      </c>
      <c r="W362" t="e">
        <f>INDEX([1]Parameters!$A$3:$C$5,MATCH('[1]Pizza Sales Calculations'!E362,[1]Parameters!$A$3:$A$5,0),2)</f>
        <v>#N/A</v>
      </c>
      <c r="X362" t="e">
        <f>INDEX([1]Parameters!$A$3:$C$5,MATCH('[1]Pizza Sales Calculations'!F362,[1]Parameters!$A$3:$A$5,0),2)</f>
        <v>#N/A</v>
      </c>
    </row>
    <row r="363" spans="1:24" x14ac:dyDescent="0.3">
      <c r="A363">
        <v>362</v>
      </c>
      <c r="B363" s="14">
        <v>42374.518564814818</v>
      </c>
      <c r="C363" s="14">
        <v>42374.528981481482</v>
      </c>
      <c r="D363" t="s">
        <v>3</v>
      </c>
      <c r="G363" t="b">
        <v>1</v>
      </c>
      <c r="H363">
        <v>70804</v>
      </c>
      <c r="I363" s="5">
        <v>3.9328325430095501</v>
      </c>
      <c r="J363" s="14">
        <v>42374.542627314811</v>
      </c>
      <c r="K363">
        <v>7.99</v>
      </c>
      <c r="L363" s="5">
        <f>('[1]Pizza Sales Calculations'!$J363-'[1]Pizza Sales Calculations'!$C363)*24*60</f>
        <v>19.649999993853271</v>
      </c>
      <c r="M363">
        <f>COUNTA('[1]Pizza Sales Calculations'!$D363:$F363)</f>
        <v>1</v>
      </c>
      <c r="N363">
        <f>IFERROR(VLOOKUP(D363,[1]Parameters!$A$3:$C$5,3,FALSE),0)</f>
        <v>1</v>
      </c>
      <c r="O363">
        <f>IFERROR(VLOOKUP(E363,[1]Parameters!$A$3:$C$5,3,FALSE),0)</f>
        <v>0</v>
      </c>
      <c r="P363">
        <f>IFERROR(VLOOKUP(F363,[1]Parameters!$A$3:$C$5,3,FALSE),0)</f>
        <v>0</v>
      </c>
      <c r="Q363">
        <f t="shared" si="5"/>
        <v>1</v>
      </c>
      <c r="R363" s="10">
        <f>IF('[1]Pizza Sales Calculations'!$G363=TRUE, [1]Parameters!$B$17*'[1]Pizza Sales Calculations'!$L363*2, 0)</f>
        <v>5.5674999982584268</v>
      </c>
      <c r="S363" t="str">
        <f>IF(I363&lt;[1]Parameters!$B$21,"TRUE","FALSE")</f>
        <v>FALSE</v>
      </c>
      <c r="T363" s="5">
        <f>(I363/[1]Parameters!$B$25)*60</f>
        <v>7.8656650860190993</v>
      </c>
      <c r="U363" s="10">
        <f>IF(AND('[1]Pizza Sales Calculations'!G363=TRUE,'[1]Pizza Sales Calculations'!S363="TRUE"),T363*[1]Parameters!$B$40*2,0)</f>
        <v>0</v>
      </c>
      <c r="V363">
        <f>INDEX([1]Parameters!$A$3:$C$5,MATCH('[1]Pizza Sales Calculations'!D363,[1]Parameters!$A$3:$A$5,0),2)</f>
        <v>7</v>
      </c>
      <c r="W363" t="e">
        <f>INDEX([1]Parameters!$A$3:$C$5,MATCH('[1]Pizza Sales Calculations'!E363,[1]Parameters!$A$3:$A$5,0),2)</f>
        <v>#N/A</v>
      </c>
      <c r="X363" t="e">
        <f>INDEX([1]Parameters!$A$3:$C$5,MATCH('[1]Pizza Sales Calculations'!F363,[1]Parameters!$A$3:$A$5,0),2)</f>
        <v>#N/A</v>
      </c>
    </row>
    <row r="364" spans="1:24" x14ac:dyDescent="0.3">
      <c r="A364">
        <v>363</v>
      </c>
      <c r="B364" s="14">
        <v>42374.459618055553</v>
      </c>
      <c r="C364" s="14">
        <v>42374.470034722224</v>
      </c>
      <c r="D364" t="s">
        <v>5</v>
      </c>
      <c r="G364" t="b">
        <v>0</v>
      </c>
      <c r="H364">
        <v>70804</v>
      </c>
      <c r="I364" s="5">
        <v>0</v>
      </c>
      <c r="J364" s="14">
        <v>42374.47210648148</v>
      </c>
      <c r="K364">
        <v>15.35</v>
      </c>
      <c r="L364" s="5">
        <f>('[1]Pizza Sales Calculations'!$J364-'[1]Pizza Sales Calculations'!$C364)*24*60</f>
        <v>2.9833333287388086</v>
      </c>
      <c r="M364">
        <f>COUNTA('[1]Pizza Sales Calculations'!$D364:$F364)</f>
        <v>1</v>
      </c>
      <c r="N364">
        <f>IFERROR(VLOOKUP(D364,[1]Parameters!$A$3:$C$5,3,FALSE),0)</f>
        <v>2.2999999999999998</v>
      </c>
      <c r="O364">
        <f>IFERROR(VLOOKUP(E364,[1]Parameters!$A$3:$C$5,3,FALSE),0)</f>
        <v>0</v>
      </c>
      <c r="P364">
        <f>IFERROR(VLOOKUP(F364,[1]Parameters!$A$3:$C$5,3,FALSE),0)</f>
        <v>0</v>
      </c>
      <c r="Q364">
        <f t="shared" si="5"/>
        <v>2.2999999999999998</v>
      </c>
      <c r="R364" s="10">
        <f>IF('[1]Pizza Sales Calculations'!$G364=TRUE, [1]Parameters!$B$17*'[1]Pizza Sales Calculations'!$L364*2, 0)</f>
        <v>0</v>
      </c>
      <c r="S364" t="str">
        <f>IF(I364&lt;[1]Parameters!$B$21,"TRUE","FALSE")</f>
        <v>TRUE</v>
      </c>
      <c r="T364" s="5">
        <f>(I364/[1]Parameters!$B$25)*60</f>
        <v>0</v>
      </c>
      <c r="U364" s="10">
        <f>IF(AND('[1]Pizza Sales Calculations'!G364=TRUE,'[1]Pizza Sales Calculations'!S364="TRUE"),T364*[1]Parameters!$B$40*2,0)</f>
        <v>0</v>
      </c>
      <c r="V364">
        <f>INDEX([1]Parameters!$A$3:$C$5,MATCH('[1]Pizza Sales Calculations'!D364,[1]Parameters!$A$3:$A$5,0),2)</f>
        <v>14</v>
      </c>
      <c r="W364" t="e">
        <f>INDEX([1]Parameters!$A$3:$C$5,MATCH('[1]Pizza Sales Calculations'!E364,[1]Parameters!$A$3:$A$5,0),2)</f>
        <v>#N/A</v>
      </c>
      <c r="X364" t="e">
        <f>INDEX([1]Parameters!$A$3:$C$5,MATCH('[1]Pizza Sales Calculations'!F364,[1]Parameters!$A$3:$A$5,0),2)</f>
        <v>#N/A</v>
      </c>
    </row>
    <row r="365" spans="1:24" x14ac:dyDescent="0.3">
      <c r="A365">
        <v>364</v>
      </c>
      <c r="B365" s="14">
        <v>42374.50885416667</v>
      </c>
      <c r="C365" s="14">
        <v>42374.519259259258</v>
      </c>
      <c r="D365" t="s">
        <v>5</v>
      </c>
      <c r="G365" t="b">
        <v>1</v>
      </c>
      <c r="H365">
        <v>70807</v>
      </c>
      <c r="I365" s="5">
        <v>2.0518545647962001</v>
      </c>
      <c r="J365" s="14">
        <v>42374.526377314818</v>
      </c>
      <c r="K365">
        <v>15.35</v>
      </c>
      <c r="L365" s="5">
        <f>('[1]Pizza Sales Calculations'!$J365-'[1]Pizza Sales Calculations'!$C365)*24*60</f>
        <v>10.25000000721775</v>
      </c>
      <c r="M365">
        <f>COUNTA('[1]Pizza Sales Calculations'!$D365:$F365)</f>
        <v>1</v>
      </c>
      <c r="N365">
        <f>IFERROR(VLOOKUP(D365,[1]Parameters!$A$3:$C$5,3,FALSE),0)</f>
        <v>2.2999999999999998</v>
      </c>
      <c r="O365">
        <f>IFERROR(VLOOKUP(E365,[1]Parameters!$A$3:$C$5,3,FALSE),0)</f>
        <v>0</v>
      </c>
      <c r="P365">
        <f>IFERROR(VLOOKUP(F365,[1]Parameters!$A$3:$C$5,3,FALSE),0)</f>
        <v>0</v>
      </c>
      <c r="Q365">
        <f t="shared" si="5"/>
        <v>2.2999999999999998</v>
      </c>
      <c r="R365" s="10">
        <f>IF('[1]Pizza Sales Calculations'!$G365=TRUE, [1]Parameters!$B$17*'[1]Pizza Sales Calculations'!$L365*2, 0)</f>
        <v>2.9041666687116958</v>
      </c>
      <c r="S365" t="str">
        <f>IF(I365&lt;[1]Parameters!$B$21,"TRUE","FALSE")</f>
        <v>TRUE</v>
      </c>
      <c r="T365" s="5">
        <f>(I365/[1]Parameters!$B$25)*60</f>
        <v>4.1037091295924002</v>
      </c>
      <c r="U365" s="10">
        <f>IF(AND('[1]Pizza Sales Calculations'!G365=TRUE,'[1]Pizza Sales Calculations'!S365="TRUE"),T365*[1]Parameters!$B$40*2,0)</f>
        <v>0.25616430885814356</v>
      </c>
      <c r="V365">
        <f>INDEX([1]Parameters!$A$3:$C$5,MATCH('[1]Pizza Sales Calculations'!D365,[1]Parameters!$A$3:$A$5,0),2)</f>
        <v>14</v>
      </c>
      <c r="W365" t="e">
        <f>INDEX([1]Parameters!$A$3:$C$5,MATCH('[1]Pizza Sales Calculations'!E365,[1]Parameters!$A$3:$A$5,0),2)</f>
        <v>#N/A</v>
      </c>
      <c r="X365" t="e">
        <f>INDEX([1]Parameters!$A$3:$C$5,MATCH('[1]Pizza Sales Calculations'!F365,[1]Parameters!$A$3:$A$5,0),2)</f>
        <v>#N/A</v>
      </c>
    </row>
    <row r="366" spans="1:24" x14ac:dyDescent="0.3">
      <c r="A366">
        <v>365</v>
      </c>
      <c r="B366" s="14">
        <v>42374.526192129626</v>
      </c>
      <c r="C366" s="14">
        <v>42374.536597222221</v>
      </c>
      <c r="D366" t="s">
        <v>5</v>
      </c>
      <c r="G366" t="b">
        <v>0</v>
      </c>
      <c r="H366">
        <v>70806</v>
      </c>
      <c r="I366" s="5">
        <v>0</v>
      </c>
      <c r="J366" s="14">
        <v>42374.538657407407</v>
      </c>
      <c r="K366">
        <v>15.35</v>
      </c>
      <c r="L366" s="5">
        <f>('[1]Pizza Sales Calculations'!$J366-'[1]Pizza Sales Calculations'!$C366)*24*60</f>
        <v>2.9666666686534882</v>
      </c>
      <c r="M366">
        <f>COUNTA('[1]Pizza Sales Calculations'!$D366:$F366)</f>
        <v>1</v>
      </c>
      <c r="N366">
        <f>IFERROR(VLOOKUP(D366,[1]Parameters!$A$3:$C$5,3,FALSE),0)</f>
        <v>2.2999999999999998</v>
      </c>
      <c r="O366">
        <f>IFERROR(VLOOKUP(E366,[1]Parameters!$A$3:$C$5,3,FALSE),0)</f>
        <v>0</v>
      </c>
      <c r="P366">
        <f>IFERROR(VLOOKUP(F366,[1]Parameters!$A$3:$C$5,3,FALSE),0)</f>
        <v>0</v>
      </c>
      <c r="Q366">
        <f t="shared" si="5"/>
        <v>2.2999999999999998</v>
      </c>
      <c r="R366" s="10">
        <f>IF('[1]Pizza Sales Calculations'!$G366=TRUE, [1]Parameters!$B$17*'[1]Pizza Sales Calculations'!$L366*2, 0)</f>
        <v>0</v>
      </c>
      <c r="S366" t="str">
        <f>IF(I366&lt;[1]Parameters!$B$21,"TRUE","FALSE")</f>
        <v>TRUE</v>
      </c>
      <c r="T366" s="5">
        <f>(I366/[1]Parameters!$B$25)*60</f>
        <v>0</v>
      </c>
      <c r="U366" s="10">
        <f>IF(AND('[1]Pizza Sales Calculations'!G366=TRUE,'[1]Pizza Sales Calculations'!S366="TRUE"),T366*[1]Parameters!$B$40*2,0)</f>
        <v>0</v>
      </c>
      <c r="V366">
        <f>INDEX([1]Parameters!$A$3:$C$5,MATCH('[1]Pizza Sales Calculations'!D366,[1]Parameters!$A$3:$A$5,0),2)</f>
        <v>14</v>
      </c>
      <c r="W366" t="e">
        <f>INDEX([1]Parameters!$A$3:$C$5,MATCH('[1]Pizza Sales Calculations'!E366,[1]Parameters!$A$3:$A$5,0),2)</f>
        <v>#N/A</v>
      </c>
      <c r="X366" t="e">
        <f>INDEX([1]Parameters!$A$3:$C$5,MATCH('[1]Pizza Sales Calculations'!F366,[1]Parameters!$A$3:$A$5,0),2)</f>
        <v>#N/A</v>
      </c>
    </row>
    <row r="367" spans="1:24" x14ac:dyDescent="0.3">
      <c r="A367">
        <v>366</v>
      </c>
      <c r="B367" s="14">
        <v>42374.531157407408</v>
      </c>
      <c r="C367" s="14">
        <v>42374.541539351849</v>
      </c>
      <c r="D367" t="s">
        <v>3</v>
      </c>
      <c r="E367" t="s">
        <v>4</v>
      </c>
      <c r="G367" t="b">
        <v>1</v>
      </c>
      <c r="H367">
        <v>70803</v>
      </c>
      <c r="I367" s="5">
        <v>2.3519525426379699</v>
      </c>
      <c r="J367" s="14">
        <v>42374.549699074072</v>
      </c>
      <c r="K367">
        <v>19.579999999999998</v>
      </c>
      <c r="L367" s="5">
        <f>('[1]Pizza Sales Calculations'!$J367-'[1]Pizza Sales Calculations'!$C367)*24*60</f>
        <v>11.750000001629815</v>
      </c>
      <c r="M367">
        <f>COUNTA('[1]Pizza Sales Calculations'!$D367:$F367)</f>
        <v>2</v>
      </c>
      <c r="N367">
        <f>IFERROR(VLOOKUP(D367,[1]Parameters!$A$3:$C$5,3,FALSE),0)</f>
        <v>1</v>
      </c>
      <c r="O367">
        <f>IFERROR(VLOOKUP(E367,[1]Parameters!$A$3:$C$5,3,FALSE),0)</f>
        <v>1.7</v>
      </c>
      <c r="P367">
        <f>IFERROR(VLOOKUP(F367,[1]Parameters!$A$3:$C$5,3,FALSE),0)</f>
        <v>0</v>
      </c>
      <c r="Q367">
        <f t="shared" si="5"/>
        <v>2.7</v>
      </c>
      <c r="R367" s="10">
        <f>IF('[1]Pizza Sales Calculations'!$G367=TRUE, [1]Parameters!$B$17*'[1]Pizza Sales Calculations'!$L367*2, 0)</f>
        <v>3.3291666671284474</v>
      </c>
      <c r="S367" t="str">
        <f>IF(I367&lt;[1]Parameters!$B$21,"TRUE","FALSE")</f>
        <v>TRUE</v>
      </c>
      <c r="T367" s="5">
        <f>(I367/[1]Parameters!$B$25)*60</f>
        <v>4.7039050852759399</v>
      </c>
      <c r="U367" s="10">
        <f>IF(AND('[1]Pizza Sales Calculations'!G367=TRUE,'[1]Pizza Sales Calculations'!S367="TRUE"),T367*[1]Parameters!$B$40*2,0)</f>
        <v>0.29363011779143855</v>
      </c>
      <c r="V367">
        <f>INDEX([1]Parameters!$A$3:$C$5,MATCH('[1]Pizza Sales Calculations'!D367,[1]Parameters!$A$3:$A$5,0),2)</f>
        <v>7</v>
      </c>
      <c r="W367">
        <f>INDEX([1]Parameters!$A$3:$C$5,MATCH('[1]Pizza Sales Calculations'!E367,[1]Parameters!$A$3:$A$5,0),2)</f>
        <v>10</v>
      </c>
      <c r="X367" t="e">
        <f>INDEX([1]Parameters!$A$3:$C$5,MATCH('[1]Pizza Sales Calculations'!F367,[1]Parameters!$A$3:$A$5,0),2)</f>
        <v>#N/A</v>
      </c>
    </row>
    <row r="368" spans="1:24" x14ac:dyDescent="0.3">
      <c r="A368">
        <v>367</v>
      </c>
      <c r="B368" s="14">
        <v>42374.567060185182</v>
      </c>
      <c r="C368" s="14">
        <v>42374.577476851853</v>
      </c>
      <c r="D368" t="s">
        <v>3</v>
      </c>
      <c r="E368" t="s">
        <v>4</v>
      </c>
      <c r="G368" t="b">
        <v>1</v>
      </c>
      <c r="H368">
        <v>70806</v>
      </c>
      <c r="I368" s="5">
        <v>3.2583877768076102</v>
      </c>
      <c r="J368" s="14">
        <v>42374.588784722226</v>
      </c>
      <c r="K368">
        <v>19.579999999999998</v>
      </c>
      <c r="L368" s="5">
        <f>('[1]Pizza Sales Calculations'!$J368-'[1]Pizza Sales Calculations'!$C368)*24*60</f>
        <v>16.283333336468786</v>
      </c>
      <c r="M368">
        <f>COUNTA('[1]Pizza Sales Calculations'!$D368:$F368)</f>
        <v>2</v>
      </c>
      <c r="N368">
        <f>IFERROR(VLOOKUP(D368,[1]Parameters!$A$3:$C$5,3,FALSE),0)</f>
        <v>1</v>
      </c>
      <c r="O368">
        <f>IFERROR(VLOOKUP(E368,[1]Parameters!$A$3:$C$5,3,FALSE),0)</f>
        <v>1.7</v>
      </c>
      <c r="P368">
        <f>IFERROR(VLOOKUP(F368,[1]Parameters!$A$3:$C$5,3,FALSE),0)</f>
        <v>0</v>
      </c>
      <c r="Q368">
        <f t="shared" si="5"/>
        <v>2.7</v>
      </c>
      <c r="R368" s="10">
        <f>IF('[1]Pizza Sales Calculations'!$G368=TRUE, [1]Parameters!$B$17*'[1]Pizza Sales Calculations'!$L368*2, 0)</f>
        <v>4.6136111119994894</v>
      </c>
      <c r="S368" t="str">
        <f>IF(I368&lt;[1]Parameters!$B$21,"TRUE","FALSE")</f>
        <v>FALSE</v>
      </c>
      <c r="T368" s="5">
        <f>(I368/[1]Parameters!$B$25)*60</f>
        <v>6.5167755536152203</v>
      </c>
      <c r="U368" s="10">
        <f>IF(AND('[1]Pizza Sales Calculations'!G368=TRUE,'[1]Pizza Sales Calculations'!S368="TRUE"),T368*[1]Parameters!$B$40*2,0)</f>
        <v>0</v>
      </c>
      <c r="V368">
        <f>INDEX([1]Parameters!$A$3:$C$5,MATCH('[1]Pizza Sales Calculations'!D368,[1]Parameters!$A$3:$A$5,0),2)</f>
        <v>7</v>
      </c>
      <c r="W368">
        <f>INDEX([1]Parameters!$A$3:$C$5,MATCH('[1]Pizza Sales Calculations'!E368,[1]Parameters!$A$3:$A$5,0),2)</f>
        <v>10</v>
      </c>
      <c r="X368" t="e">
        <f>INDEX([1]Parameters!$A$3:$C$5,MATCH('[1]Pizza Sales Calculations'!F368,[1]Parameters!$A$3:$A$5,0),2)</f>
        <v>#N/A</v>
      </c>
    </row>
    <row r="369" spans="1:24" x14ac:dyDescent="0.3">
      <c r="A369">
        <v>368</v>
      </c>
      <c r="B369" s="14">
        <v>42374.446064814816</v>
      </c>
      <c r="C369" s="14">
        <v>42374.456469907411</v>
      </c>
      <c r="D369" t="s">
        <v>3</v>
      </c>
      <c r="E369" t="s">
        <v>5</v>
      </c>
      <c r="G369" t="b">
        <v>1</v>
      </c>
      <c r="H369">
        <v>70804</v>
      </c>
      <c r="I369" s="5">
        <v>2.7532098724812899</v>
      </c>
      <c r="J369" s="14">
        <v>42374.46601851852</v>
      </c>
      <c r="K369">
        <v>23.34</v>
      </c>
      <c r="L369" s="5">
        <f>('[1]Pizza Sales Calculations'!$J369-'[1]Pizza Sales Calculations'!$C369)*24*60</f>
        <v>13.749999997671694</v>
      </c>
      <c r="M369">
        <f>COUNTA('[1]Pizza Sales Calculations'!$D369:$F369)</f>
        <v>2</v>
      </c>
      <c r="N369">
        <f>IFERROR(VLOOKUP(D369,[1]Parameters!$A$3:$C$5,3,FALSE),0)</f>
        <v>1</v>
      </c>
      <c r="O369">
        <f>IFERROR(VLOOKUP(E369,[1]Parameters!$A$3:$C$5,3,FALSE),0)</f>
        <v>2.2999999999999998</v>
      </c>
      <c r="P369">
        <f>IFERROR(VLOOKUP(F369,[1]Parameters!$A$3:$C$5,3,FALSE),0)</f>
        <v>0</v>
      </c>
      <c r="Q369">
        <f t="shared" si="5"/>
        <v>3.3</v>
      </c>
      <c r="R369" s="10">
        <f>IF('[1]Pizza Sales Calculations'!$G369=TRUE, [1]Parameters!$B$17*'[1]Pizza Sales Calculations'!$L369*2, 0)</f>
        <v>3.8958333326736465</v>
      </c>
      <c r="S369" t="str">
        <f>IF(I369&lt;[1]Parameters!$B$21,"TRUE","FALSE")</f>
        <v>TRUE</v>
      </c>
      <c r="T369" s="5">
        <f>(I369/[1]Parameters!$B$25)*60</f>
        <v>5.5064197449625798</v>
      </c>
      <c r="U369" s="10">
        <f>IF(AND('[1]Pizza Sales Calculations'!G369=TRUE,'[1]Pizza Sales Calculations'!S369="TRUE"),T369*[1]Parameters!$B$40*2,0)</f>
        <v>0.34372519194392243</v>
      </c>
      <c r="V369">
        <f>INDEX([1]Parameters!$A$3:$C$5,MATCH('[1]Pizza Sales Calculations'!D369,[1]Parameters!$A$3:$A$5,0),2)</f>
        <v>7</v>
      </c>
      <c r="W369">
        <f>INDEX([1]Parameters!$A$3:$C$5,MATCH('[1]Pizza Sales Calculations'!E369,[1]Parameters!$A$3:$A$5,0),2)</f>
        <v>14</v>
      </c>
      <c r="X369" t="e">
        <f>INDEX([1]Parameters!$A$3:$C$5,MATCH('[1]Pizza Sales Calculations'!F369,[1]Parameters!$A$3:$A$5,0),2)</f>
        <v>#N/A</v>
      </c>
    </row>
    <row r="370" spans="1:24" x14ac:dyDescent="0.3">
      <c r="A370">
        <v>369</v>
      </c>
      <c r="B370" s="14">
        <v>42374.467905092592</v>
      </c>
      <c r="C370" s="14">
        <v>42374.478321759256</v>
      </c>
      <c r="D370" t="s">
        <v>3</v>
      </c>
      <c r="G370" t="b">
        <v>1</v>
      </c>
      <c r="H370">
        <v>70805</v>
      </c>
      <c r="I370" s="5">
        <v>4.3456439745574498</v>
      </c>
      <c r="J370" s="14">
        <v>42374.493402777778</v>
      </c>
      <c r="K370">
        <v>7.99</v>
      </c>
      <c r="L370" s="5">
        <f>('[1]Pizza Sales Calculations'!$J370-'[1]Pizza Sales Calculations'!$C370)*24*60</f>
        <v>21.716666672145948</v>
      </c>
      <c r="M370">
        <f>COUNTA('[1]Pizza Sales Calculations'!$D370:$F370)</f>
        <v>1</v>
      </c>
      <c r="N370">
        <f>IFERROR(VLOOKUP(D370,[1]Parameters!$A$3:$C$5,3,FALSE),0)</f>
        <v>1</v>
      </c>
      <c r="O370">
        <f>IFERROR(VLOOKUP(E370,[1]Parameters!$A$3:$C$5,3,FALSE),0)</f>
        <v>0</v>
      </c>
      <c r="P370">
        <f>IFERROR(VLOOKUP(F370,[1]Parameters!$A$3:$C$5,3,FALSE),0)</f>
        <v>0</v>
      </c>
      <c r="Q370">
        <f t="shared" si="5"/>
        <v>1</v>
      </c>
      <c r="R370" s="10">
        <f>IF('[1]Pizza Sales Calculations'!$G370=TRUE, [1]Parameters!$B$17*'[1]Pizza Sales Calculations'!$L370*2, 0)</f>
        <v>6.1530555571080185</v>
      </c>
      <c r="S370" t="str">
        <f>IF(I370&lt;[1]Parameters!$B$21,"TRUE","FALSE")</f>
        <v>FALSE</v>
      </c>
      <c r="T370" s="5">
        <f>(I370/[1]Parameters!$B$25)*60</f>
        <v>8.6912879491148995</v>
      </c>
      <c r="U370" s="10">
        <f>IF(AND('[1]Pizza Sales Calculations'!G370=TRUE,'[1]Pizza Sales Calculations'!S370="TRUE"),T370*[1]Parameters!$B$40*2,0)</f>
        <v>0</v>
      </c>
      <c r="V370">
        <f>INDEX([1]Parameters!$A$3:$C$5,MATCH('[1]Pizza Sales Calculations'!D370,[1]Parameters!$A$3:$A$5,0),2)</f>
        <v>7</v>
      </c>
      <c r="W370" t="e">
        <f>INDEX([1]Parameters!$A$3:$C$5,MATCH('[1]Pizza Sales Calculations'!E370,[1]Parameters!$A$3:$A$5,0),2)</f>
        <v>#N/A</v>
      </c>
      <c r="X370" t="e">
        <f>INDEX([1]Parameters!$A$3:$C$5,MATCH('[1]Pizza Sales Calculations'!F370,[1]Parameters!$A$3:$A$5,0),2)</f>
        <v>#N/A</v>
      </c>
    </row>
    <row r="371" spans="1:24" x14ac:dyDescent="0.3">
      <c r="A371">
        <v>370</v>
      </c>
      <c r="B371" s="14">
        <v>42374.506539351853</v>
      </c>
      <c r="C371" s="14">
        <v>42374.516956018517</v>
      </c>
      <c r="D371" t="s">
        <v>3</v>
      </c>
      <c r="G371" t="b">
        <v>0</v>
      </c>
      <c r="H371">
        <v>70804</v>
      </c>
      <c r="I371" s="5">
        <v>0</v>
      </c>
      <c r="J371" s="14">
        <v>42374.519050925926</v>
      </c>
      <c r="K371">
        <v>7.99</v>
      </c>
      <c r="L371" s="5">
        <f>('[1]Pizza Sales Calculations'!$J371-'[1]Pizza Sales Calculations'!$C371)*24*60</f>
        <v>3.0166666698642075</v>
      </c>
      <c r="M371">
        <f>COUNTA('[1]Pizza Sales Calculations'!$D371:$F371)</f>
        <v>1</v>
      </c>
      <c r="N371">
        <f>IFERROR(VLOOKUP(D371,[1]Parameters!$A$3:$C$5,3,FALSE),0)</f>
        <v>1</v>
      </c>
      <c r="O371">
        <f>IFERROR(VLOOKUP(E371,[1]Parameters!$A$3:$C$5,3,FALSE),0)</f>
        <v>0</v>
      </c>
      <c r="P371">
        <f>IFERROR(VLOOKUP(F371,[1]Parameters!$A$3:$C$5,3,FALSE),0)</f>
        <v>0</v>
      </c>
      <c r="Q371">
        <f t="shared" si="5"/>
        <v>1</v>
      </c>
      <c r="R371" s="10">
        <f>IF('[1]Pizza Sales Calculations'!$G371=TRUE, [1]Parameters!$B$17*'[1]Pizza Sales Calculations'!$L371*2, 0)</f>
        <v>0</v>
      </c>
      <c r="S371" t="str">
        <f>IF(I371&lt;[1]Parameters!$B$21,"TRUE","FALSE")</f>
        <v>TRUE</v>
      </c>
      <c r="T371" s="5">
        <f>(I371/[1]Parameters!$B$25)*60</f>
        <v>0</v>
      </c>
      <c r="U371" s="10">
        <f>IF(AND('[1]Pizza Sales Calculations'!G371=TRUE,'[1]Pizza Sales Calculations'!S371="TRUE"),T371*[1]Parameters!$B$40*2,0)</f>
        <v>0</v>
      </c>
      <c r="V371">
        <f>INDEX([1]Parameters!$A$3:$C$5,MATCH('[1]Pizza Sales Calculations'!D371,[1]Parameters!$A$3:$A$5,0),2)</f>
        <v>7</v>
      </c>
      <c r="W371" t="e">
        <f>INDEX([1]Parameters!$A$3:$C$5,MATCH('[1]Pizza Sales Calculations'!E371,[1]Parameters!$A$3:$A$5,0),2)</f>
        <v>#N/A</v>
      </c>
      <c r="X371" t="e">
        <f>INDEX([1]Parameters!$A$3:$C$5,MATCH('[1]Pizza Sales Calculations'!F371,[1]Parameters!$A$3:$A$5,0),2)</f>
        <v>#N/A</v>
      </c>
    </row>
    <row r="372" spans="1:24" x14ac:dyDescent="0.3">
      <c r="A372">
        <v>371</v>
      </c>
      <c r="B372" s="14">
        <v>42374.446111111109</v>
      </c>
      <c r="C372" s="14">
        <v>42374.456516203703</v>
      </c>
      <c r="D372" t="s">
        <v>5</v>
      </c>
      <c r="G372" t="b">
        <v>1</v>
      </c>
      <c r="H372">
        <v>70804</v>
      </c>
      <c r="I372" s="5">
        <v>3.79840418309769</v>
      </c>
      <c r="J372" s="14">
        <v>42374.469699074078</v>
      </c>
      <c r="K372">
        <v>15.35</v>
      </c>
      <c r="L372" s="5">
        <f>('[1]Pizza Sales Calculations'!$J372-'[1]Pizza Sales Calculations'!$C372)*24*60</f>
        <v>18.983333338983357</v>
      </c>
      <c r="M372">
        <f>COUNTA('[1]Pizza Sales Calculations'!$D372:$F372)</f>
        <v>1</v>
      </c>
      <c r="N372">
        <f>IFERROR(VLOOKUP(D372,[1]Parameters!$A$3:$C$5,3,FALSE),0)</f>
        <v>2.2999999999999998</v>
      </c>
      <c r="O372">
        <f>IFERROR(VLOOKUP(E372,[1]Parameters!$A$3:$C$5,3,FALSE),0)</f>
        <v>0</v>
      </c>
      <c r="P372">
        <f>IFERROR(VLOOKUP(F372,[1]Parameters!$A$3:$C$5,3,FALSE),0)</f>
        <v>0</v>
      </c>
      <c r="Q372">
        <f t="shared" si="5"/>
        <v>2.2999999999999998</v>
      </c>
      <c r="R372" s="10">
        <f>IF('[1]Pizza Sales Calculations'!$G372=TRUE, [1]Parameters!$B$17*'[1]Pizza Sales Calculations'!$L372*2, 0)</f>
        <v>5.3786111127119511</v>
      </c>
      <c r="S372" t="str">
        <f>IF(I372&lt;[1]Parameters!$B$21,"TRUE","FALSE")</f>
        <v>FALSE</v>
      </c>
      <c r="T372" s="5">
        <f>(I372/[1]Parameters!$B$25)*60</f>
        <v>7.5968083661953791</v>
      </c>
      <c r="U372" s="10">
        <f>IF(AND('[1]Pizza Sales Calculations'!G372=TRUE,'[1]Pizza Sales Calculations'!S372="TRUE"),T372*[1]Parameters!$B$40*2,0)</f>
        <v>0</v>
      </c>
      <c r="V372">
        <f>INDEX([1]Parameters!$A$3:$C$5,MATCH('[1]Pizza Sales Calculations'!D372,[1]Parameters!$A$3:$A$5,0),2)</f>
        <v>14</v>
      </c>
      <c r="W372" t="e">
        <f>INDEX([1]Parameters!$A$3:$C$5,MATCH('[1]Pizza Sales Calculations'!E372,[1]Parameters!$A$3:$A$5,0),2)</f>
        <v>#N/A</v>
      </c>
      <c r="X372" t="e">
        <f>INDEX([1]Parameters!$A$3:$C$5,MATCH('[1]Pizza Sales Calculations'!F372,[1]Parameters!$A$3:$A$5,0),2)</f>
        <v>#N/A</v>
      </c>
    </row>
    <row r="373" spans="1:24" x14ac:dyDescent="0.3">
      <c r="A373">
        <v>372</v>
      </c>
      <c r="B373" s="14">
        <v>42374.459131944444</v>
      </c>
      <c r="C373" s="14">
        <v>42374.469537037039</v>
      </c>
      <c r="D373" t="s">
        <v>4</v>
      </c>
      <c r="G373" t="b">
        <v>0</v>
      </c>
      <c r="H373">
        <v>70803</v>
      </c>
      <c r="I373" s="5">
        <v>0</v>
      </c>
      <c r="J373" s="14">
        <v>42374.471620370372</v>
      </c>
      <c r="K373">
        <v>11.59</v>
      </c>
      <c r="L373" s="5">
        <f>('[1]Pizza Sales Calculations'!$J373-'[1]Pizza Sales Calculations'!$C373)*24*60</f>
        <v>2.9999999993015081</v>
      </c>
      <c r="M373">
        <f>COUNTA('[1]Pizza Sales Calculations'!$D373:$F373)</f>
        <v>1</v>
      </c>
      <c r="N373">
        <f>IFERROR(VLOOKUP(D373,[1]Parameters!$A$3:$C$5,3,FALSE),0)</f>
        <v>1.7</v>
      </c>
      <c r="O373">
        <f>IFERROR(VLOOKUP(E373,[1]Parameters!$A$3:$C$5,3,FALSE),0)</f>
        <v>0</v>
      </c>
      <c r="P373">
        <f>IFERROR(VLOOKUP(F373,[1]Parameters!$A$3:$C$5,3,FALSE),0)</f>
        <v>0</v>
      </c>
      <c r="Q373">
        <f t="shared" si="5"/>
        <v>1.7</v>
      </c>
      <c r="R373" s="10">
        <f>IF('[1]Pizza Sales Calculations'!$G373=TRUE, [1]Parameters!$B$17*'[1]Pizza Sales Calculations'!$L373*2, 0)</f>
        <v>0</v>
      </c>
      <c r="S373" t="str">
        <f>IF(I373&lt;[1]Parameters!$B$21,"TRUE","FALSE")</f>
        <v>TRUE</v>
      </c>
      <c r="T373" s="5">
        <f>(I373/[1]Parameters!$B$25)*60</f>
        <v>0</v>
      </c>
      <c r="U373" s="10">
        <f>IF(AND('[1]Pizza Sales Calculations'!G373=TRUE,'[1]Pizza Sales Calculations'!S373="TRUE"),T373*[1]Parameters!$B$40*2,0)</f>
        <v>0</v>
      </c>
      <c r="V373">
        <f>INDEX([1]Parameters!$A$3:$C$5,MATCH('[1]Pizza Sales Calculations'!D373,[1]Parameters!$A$3:$A$5,0),2)</f>
        <v>10</v>
      </c>
      <c r="W373" t="e">
        <f>INDEX([1]Parameters!$A$3:$C$5,MATCH('[1]Pizza Sales Calculations'!E373,[1]Parameters!$A$3:$A$5,0),2)</f>
        <v>#N/A</v>
      </c>
      <c r="X373" t="e">
        <f>INDEX([1]Parameters!$A$3:$C$5,MATCH('[1]Pizza Sales Calculations'!F373,[1]Parameters!$A$3:$A$5,0),2)</f>
        <v>#N/A</v>
      </c>
    </row>
    <row r="374" spans="1:24" x14ac:dyDescent="0.3">
      <c r="A374">
        <v>373</v>
      </c>
      <c r="B374" s="14">
        <v>42374.538460648146</v>
      </c>
      <c r="C374" s="14">
        <v>42374.548877314817</v>
      </c>
      <c r="D374" t="s">
        <v>4</v>
      </c>
      <c r="G374" t="b">
        <v>1</v>
      </c>
      <c r="H374">
        <v>70807</v>
      </c>
      <c r="I374" s="5">
        <v>5.0894193352882002</v>
      </c>
      <c r="J374" s="14">
        <v>42374.56653935185</v>
      </c>
      <c r="K374">
        <v>11.59</v>
      </c>
      <c r="L374" s="5">
        <f>('[1]Pizza Sales Calculations'!$J374-'[1]Pizza Sales Calculations'!$C374)*24*60</f>
        <v>25.433333327528089</v>
      </c>
      <c r="M374">
        <f>COUNTA('[1]Pizza Sales Calculations'!$D374:$F374)</f>
        <v>1</v>
      </c>
      <c r="N374">
        <f>IFERROR(VLOOKUP(D374,[1]Parameters!$A$3:$C$5,3,FALSE),0)</f>
        <v>1.7</v>
      </c>
      <c r="O374">
        <f>IFERROR(VLOOKUP(E374,[1]Parameters!$A$3:$C$5,3,FALSE),0)</f>
        <v>0</v>
      </c>
      <c r="P374">
        <f>IFERROR(VLOOKUP(F374,[1]Parameters!$A$3:$C$5,3,FALSE),0)</f>
        <v>0</v>
      </c>
      <c r="Q374">
        <f t="shared" si="5"/>
        <v>1.7</v>
      </c>
      <c r="R374" s="10">
        <f>IF('[1]Pizza Sales Calculations'!$G374=TRUE, [1]Parameters!$B$17*'[1]Pizza Sales Calculations'!$L374*2, 0)</f>
        <v>7.206111109466292</v>
      </c>
      <c r="S374" t="str">
        <f>IF(I374&lt;[1]Parameters!$B$21,"TRUE","FALSE")</f>
        <v>FALSE</v>
      </c>
      <c r="T374" s="5">
        <f>(I374/[1]Parameters!$B$25)*60</f>
        <v>10.1788386705764</v>
      </c>
      <c r="U374" s="10">
        <f>IF(AND('[1]Pizza Sales Calculations'!G374=TRUE,'[1]Pizza Sales Calculations'!S374="TRUE"),T374*[1]Parameters!$B$40*2,0)</f>
        <v>0</v>
      </c>
      <c r="V374">
        <f>INDEX([1]Parameters!$A$3:$C$5,MATCH('[1]Pizza Sales Calculations'!D374,[1]Parameters!$A$3:$A$5,0),2)</f>
        <v>10</v>
      </c>
      <c r="W374" t="e">
        <f>INDEX([1]Parameters!$A$3:$C$5,MATCH('[1]Pizza Sales Calculations'!E374,[1]Parameters!$A$3:$A$5,0),2)</f>
        <v>#N/A</v>
      </c>
      <c r="X374" t="e">
        <f>INDEX([1]Parameters!$A$3:$C$5,MATCH('[1]Pizza Sales Calculations'!F374,[1]Parameters!$A$3:$A$5,0),2)</f>
        <v>#N/A</v>
      </c>
    </row>
    <row r="375" spans="1:24" x14ac:dyDescent="0.3">
      <c r="A375">
        <v>374</v>
      </c>
      <c r="B375" s="14">
        <v>42374.490405092591</v>
      </c>
      <c r="C375" s="14">
        <v>42374.500787037039</v>
      </c>
      <c r="D375" t="s">
        <v>3</v>
      </c>
      <c r="E375" t="s">
        <v>5</v>
      </c>
      <c r="G375" t="b">
        <v>0</v>
      </c>
      <c r="H375">
        <v>70804</v>
      </c>
      <c r="I375" s="5">
        <v>0</v>
      </c>
      <c r="J375" s="14">
        <v>42374.502858796295</v>
      </c>
      <c r="K375">
        <v>23.34</v>
      </c>
      <c r="L375" s="5">
        <f>('[1]Pizza Sales Calculations'!$J375-'[1]Pizza Sales Calculations'!$C375)*24*60</f>
        <v>2.9833333287388086</v>
      </c>
      <c r="M375">
        <f>COUNTA('[1]Pizza Sales Calculations'!$D375:$F375)</f>
        <v>2</v>
      </c>
      <c r="N375">
        <f>IFERROR(VLOOKUP(D375,[1]Parameters!$A$3:$C$5,3,FALSE),0)</f>
        <v>1</v>
      </c>
      <c r="O375">
        <f>IFERROR(VLOOKUP(E375,[1]Parameters!$A$3:$C$5,3,FALSE),0)</f>
        <v>2.2999999999999998</v>
      </c>
      <c r="P375">
        <f>IFERROR(VLOOKUP(F375,[1]Parameters!$A$3:$C$5,3,FALSE),0)</f>
        <v>0</v>
      </c>
      <c r="Q375">
        <f t="shared" si="5"/>
        <v>3.3</v>
      </c>
      <c r="R375" s="10">
        <f>IF('[1]Pizza Sales Calculations'!$G375=TRUE, [1]Parameters!$B$17*'[1]Pizza Sales Calculations'!$L375*2, 0)</f>
        <v>0</v>
      </c>
      <c r="S375" t="str">
        <f>IF(I375&lt;[1]Parameters!$B$21,"TRUE","FALSE")</f>
        <v>TRUE</v>
      </c>
      <c r="T375" s="5">
        <f>(I375/[1]Parameters!$B$25)*60</f>
        <v>0</v>
      </c>
      <c r="U375" s="10">
        <f>IF(AND('[1]Pizza Sales Calculations'!G375=TRUE,'[1]Pizza Sales Calculations'!S375="TRUE"),T375*[1]Parameters!$B$40*2,0)</f>
        <v>0</v>
      </c>
      <c r="V375">
        <f>INDEX([1]Parameters!$A$3:$C$5,MATCH('[1]Pizza Sales Calculations'!D375,[1]Parameters!$A$3:$A$5,0),2)</f>
        <v>7</v>
      </c>
      <c r="W375">
        <f>INDEX([1]Parameters!$A$3:$C$5,MATCH('[1]Pizza Sales Calculations'!E375,[1]Parameters!$A$3:$A$5,0),2)</f>
        <v>14</v>
      </c>
      <c r="X375" t="e">
        <f>INDEX([1]Parameters!$A$3:$C$5,MATCH('[1]Pizza Sales Calculations'!F375,[1]Parameters!$A$3:$A$5,0),2)</f>
        <v>#N/A</v>
      </c>
    </row>
    <row r="376" spans="1:24" x14ac:dyDescent="0.3">
      <c r="A376">
        <v>375</v>
      </c>
      <c r="B376" s="14">
        <v>42374.485150462962</v>
      </c>
      <c r="C376" s="14">
        <v>42374.495578703703</v>
      </c>
      <c r="D376" t="s">
        <v>4</v>
      </c>
      <c r="G376" t="b">
        <v>0</v>
      </c>
      <c r="H376">
        <v>70808</v>
      </c>
      <c r="I376" s="5">
        <v>0</v>
      </c>
      <c r="J376" s="14">
        <v>42374.497650462959</v>
      </c>
      <c r="K376">
        <v>11.59</v>
      </c>
      <c r="L376" s="5">
        <f>('[1]Pizza Sales Calculations'!$J376-'[1]Pizza Sales Calculations'!$C376)*24*60</f>
        <v>2.9833333287388086</v>
      </c>
      <c r="M376">
        <f>COUNTA('[1]Pizza Sales Calculations'!$D376:$F376)</f>
        <v>1</v>
      </c>
      <c r="N376">
        <f>IFERROR(VLOOKUP(D376,[1]Parameters!$A$3:$C$5,3,FALSE),0)</f>
        <v>1.7</v>
      </c>
      <c r="O376">
        <f>IFERROR(VLOOKUP(E376,[1]Parameters!$A$3:$C$5,3,FALSE),0)</f>
        <v>0</v>
      </c>
      <c r="P376">
        <f>IFERROR(VLOOKUP(F376,[1]Parameters!$A$3:$C$5,3,FALSE),0)</f>
        <v>0</v>
      </c>
      <c r="Q376">
        <f t="shared" si="5"/>
        <v>1.7</v>
      </c>
      <c r="R376" s="10">
        <f>IF('[1]Pizza Sales Calculations'!$G376=TRUE, [1]Parameters!$B$17*'[1]Pizza Sales Calculations'!$L376*2, 0)</f>
        <v>0</v>
      </c>
      <c r="S376" t="str">
        <f>IF(I376&lt;[1]Parameters!$B$21,"TRUE","FALSE")</f>
        <v>TRUE</v>
      </c>
      <c r="T376" s="5">
        <f>(I376/[1]Parameters!$B$25)*60</f>
        <v>0</v>
      </c>
      <c r="U376" s="10">
        <f>IF(AND('[1]Pizza Sales Calculations'!G376=TRUE,'[1]Pizza Sales Calculations'!S376="TRUE"),T376*[1]Parameters!$B$40*2,0)</f>
        <v>0</v>
      </c>
      <c r="V376">
        <f>INDEX([1]Parameters!$A$3:$C$5,MATCH('[1]Pizza Sales Calculations'!D376,[1]Parameters!$A$3:$A$5,0),2)</f>
        <v>10</v>
      </c>
      <c r="W376" t="e">
        <f>INDEX([1]Parameters!$A$3:$C$5,MATCH('[1]Pizza Sales Calculations'!E376,[1]Parameters!$A$3:$A$5,0),2)</f>
        <v>#N/A</v>
      </c>
      <c r="X376" t="e">
        <f>INDEX([1]Parameters!$A$3:$C$5,MATCH('[1]Pizza Sales Calculations'!F376,[1]Parameters!$A$3:$A$5,0),2)</f>
        <v>#N/A</v>
      </c>
    </row>
    <row r="377" spans="1:24" x14ac:dyDescent="0.3">
      <c r="A377">
        <v>376</v>
      </c>
      <c r="B377" s="14">
        <v>42374.51971064815</v>
      </c>
      <c r="C377" s="14">
        <v>42374.530115740738</v>
      </c>
      <c r="D377" t="s">
        <v>5</v>
      </c>
      <c r="G377" t="b">
        <v>1</v>
      </c>
      <c r="H377">
        <v>70804</v>
      </c>
      <c r="I377" s="5">
        <v>2.4965918980955899</v>
      </c>
      <c r="J377" s="14">
        <v>42374.538773148146</v>
      </c>
      <c r="K377">
        <v>15.35</v>
      </c>
      <c r="L377" s="5">
        <f>('[1]Pizza Sales Calculations'!$J377-'[1]Pizza Sales Calculations'!$C377)*24*60</f>
        <v>12.466666668187827</v>
      </c>
      <c r="M377">
        <f>COUNTA('[1]Pizza Sales Calculations'!$D377:$F377)</f>
        <v>1</v>
      </c>
      <c r="N377">
        <f>IFERROR(VLOOKUP(D377,[1]Parameters!$A$3:$C$5,3,FALSE),0)</f>
        <v>2.2999999999999998</v>
      </c>
      <c r="O377">
        <f>IFERROR(VLOOKUP(E377,[1]Parameters!$A$3:$C$5,3,FALSE),0)</f>
        <v>0</v>
      </c>
      <c r="P377">
        <f>IFERROR(VLOOKUP(F377,[1]Parameters!$A$3:$C$5,3,FALSE),0)</f>
        <v>0</v>
      </c>
      <c r="Q377">
        <f t="shared" si="5"/>
        <v>2.2999999999999998</v>
      </c>
      <c r="R377" s="10">
        <f>IF('[1]Pizza Sales Calculations'!$G377=TRUE, [1]Parameters!$B$17*'[1]Pizza Sales Calculations'!$L377*2, 0)</f>
        <v>3.5322222226532176</v>
      </c>
      <c r="S377" t="str">
        <f>IF(I377&lt;[1]Parameters!$B$21,"TRUE","FALSE")</f>
        <v>TRUE</v>
      </c>
      <c r="T377" s="5">
        <f>(I377/[1]Parameters!$B$25)*60</f>
        <v>4.9931837961911798</v>
      </c>
      <c r="U377" s="10">
        <f>IF(AND('[1]Pizza Sales Calculations'!G377=TRUE,'[1]Pizza Sales Calculations'!S377="TRUE"),T377*[1]Parameters!$B$40*2,0)</f>
        <v>0.31168765518233482</v>
      </c>
      <c r="V377">
        <f>INDEX([1]Parameters!$A$3:$C$5,MATCH('[1]Pizza Sales Calculations'!D377,[1]Parameters!$A$3:$A$5,0),2)</f>
        <v>14</v>
      </c>
      <c r="W377" t="e">
        <f>INDEX([1]Parameters!$A$3:$C$5,MATCH('[1]Pizza Sales Calculations'!E377,[1]Parameters!$A$3:$A$5,0),2)</f>
        <v>#N/A</v>
      </c>
      <c r="X377" t="e">
        <f>INDEX([1]Parameters!$A$3:$C$5,MATCH('[1]Pizza Sales Calculations'!F377,[1]Parameters!$A$3:$A$5,0),2)</f>
        <v>#N/A</v>
      </c>
    </row>
    <row r="378" spans="1:24" x14ac:dyDescent="0.3">
      <c r="A378">
        <v>377</v>
      </c>
      <c r="B378" s="14">
        <v>42374.538888888892</v>
      </c>
      <c r="C378" s="14">
        <v>42374.549293981479</v>
      </c>
      <c r="D378" t="s">
        <v>3</v>
      </c>
      <c r="E378" t="s">
        <v>4</v>
      </c>
      <c r="G378" t="b">
        <v>1</v>
      </c>
      <c r="H378">
        <v>70806</v>
      </c>
      <c r="I378" s="5">
        <v>0.78649930357481401</v>
      </c>
      <c r="J378" s="14">
        <v>42374.55201388889</v>
      </c>
      <c r="K378">
        <v>19.579999999999998</v>
      </c>
      <c r="L378" s="5">
        <f>('[1]Pizza Sales Calculations'!$J378-'[1]Pizza Sales Calculations'!$C378)*24*60</f>
        <v>3.9166666707023978</v>
      </c>
      <c r="M378">
        <f>COUNTA('[1]Pizza Sales Calculations'!$D378:$F378)</f>
        <v>2</v>
      </c>
      <c r="N378">
        <f>IFERROR(VLOOKUP(D378,[1]Parameters!$A$3:$C$5,3,FALSE),0)</f>
        <v>1</v>
      </c>
      <c r="O378">
        <f>IFERROR(VLOOKUP(E378,[1]Parameters!$A$3:$C$5,3,FALSE),0)</f>
        <v>1.7</v>
      </c>
      <c r="P378">
        <f>IFERROR(VLOOKUP(F378,[1]Parameters!$A$3:$C$5,3,FALSE),0)</f>
        <v>0</v>
      </c>
      <c r="Q378">
        <f t="shared" si="5"/>
        <v>2.7</v>
      </c>
      <c r="R378" s="10">
        <f>IF('[1]Pizza Sales Calculations'!$G378=TRUE, [1]Parameters!$B$17*'[1]Pizza Sales Calculations'!$L378*2, 0)</f>
        <v>1.1097222233656794</v>
      </c>
      <c r="S378" t="str">
        <f>IF(I378&lt;[1]Parameters!$B$21,"TRUE","FALSE")</f>
        <v>TRUE</v>
      </c>
      <c r="T378" s="5">
        <f>(I378/[1]Parameters!$B$25)*60</f>
        <v>1.572998607149628</v>
      </c>
      <c r="U378" s="10">
        <f>IF(AND('[1]Pizza Sales Calculations'!G378=TRUE,'[1]Pizza Sales Calculations'!S378="TRUE"),T378*[1]Parameters!$B$40*2,0)</f>
        <v>9.8190707067810509E-2</v>
      </c>
      <c r="V378">
        <f>INDEX([1]Parameters!$A$3:$C$5,MATCH('[1]Pizza Sales Calculations'!D378,[1]Parameters!$A$3:$A$5,0),2)</f>
        <v>7</v>
      </c>
      <c r="W378">
        <f>INDEX([1]Parameters!$A$3:$C$5,MATCH('[1]Pizza Sales Calculations'!E378,[1]Parameters!$A$3:$A$5,0),2)</f>
        <v>10</v>
      </c>
      <c r="X378" t="e">
        <f>INDEX([1]Parameters!$A$3:$C$5,MATCH('[1]Pizza Sales Calculations'!F378,[1]Parameters!$A$3:$A$5,0),2)</f>
        <v>#N/A</v>
      </c>
    </row>
    <row r="379" spans="1:24" x14ac:dyDescent="0.3">
      <c r="A379">
        <v>378</v>
      </c>
      <c r="B379" s="14">
        <v>42374.5155787037</v>
      </c>
      <c r="C379" s="14">
        <v>42374.525995370372</v>
      </c>
      <c r="D379" t="s">
        <v>3</v>
      </c>
      <c r="G379" t="b">
        <v>1</v>
      </c>
      <c r="H379">
        <v>70805</v>
      </c>
      <c r="I379" s="5">
        <v>2.0338958763368402</v>
      </c>
      <c r="J379" s="14">
        <v>42374.533055555556</v>
      </c>
      <c r="K379">
        <v>7.99</v>
      </c>
      <c r="L379" s="5">
        <f>('[1]Pizza Sales Calculations'!$J379-'[1]Pizza Sales Calculations'!$C379)*24*60</f>
        <v>10.166666664881632</v>
      </c>
      <c r="M379">
        <f>COUNTA('[1]Pizza Sales Calculations'!$D379:$F379)</f>
        <v>1</v>
      </c>
      <c r="N379">
        <f>IFERROR(VLOOKUP(D379,[1]Parameters!$A$3:$C$5,3,FALSE),0)</f>
        <v>1</v>
      </c>
      <c r="O379">
        <f>IFERROR(VLOOKUP(E379,[1]Parameters!$A$3:$C$5,3,FALSE),0)</f>
        <v>0</v>
      </c>
      <c r="P379">
        <f>IFERROR(VLOOKUP(F379,[1]Parameters!$A$3:$C$5,3,FALSE),0)</f>
        <v>0</v>
      </c>
      <c r="Q379">
        <f t="shared" si="5"/>
        <v>1</v>
      </c>
      <c r="R379" s="10">
        <f>IF('[1]Pizza Sales Calculations'!$G379=TRUE, [1]Parameters!$B$17*'[1]Pizza Sales Calculations'!$L379*2, 0)</f>
        <v>2.8805555550497957</v>
      </c>
      <c r="S379" t="str">
        <f>IF(I379&lt;[1]Parameters!$B$21,"TRUE","FALSE")</f>
        <v>TRUE</v>
      </c>
      <c r="T379" s="5">
        <f>(I379/[1]Parameters!$B$25)*60</f>
        <v>4.0677917526736804</v>
      </c>
      <c r="U379" s="10">
        <f>IF(AND('[1]Pizza Sales Calculations'!G379=TRUE,'[1]Pizza Sales Calculations'!S379="TRUE"),T379*[1]Parameters!$B$40*2,0)</f>
        <v>0.2539222517961473</v>
      </c>
      <c r="V379">
        <f>INDEX([1]Parameters!$A$3:$C$5,MATCH('[1]Pizza Sales Calculations'!D379,[1]Parameters!$A$3:$A$5,0),2)</f>
        <v>7</v>
      </c>
      <c r="W379" t="e">
        <f>INDEX([1]Parameters!$A$3:$C$5,MATCH('[1]Pizza Sales Calculations'!E379,[1]Parameters!$A$3:$A$5,0),2)</f>
        <v>#N/A</v>
      </c>
      <c r="X379" t="e">
        <f>INDEX([1]Parameters!$A$3:$C$5,MATCH('[1]Pizza Sales Calculations'!F379,[1]Parameters!$A$3:$A$5,0),2)</f>
        <v>#N/A</v>
      </c>
    </row>
    <row r="380" spans="1:24" x14ac:dyDescent="0.3">
      <c r="A380">
        <v>379</v>
      </c>
      <c r="B380" s="14">
        <v>42374.521296296298</v>
      </c>
      <c r="C380" s="14">
        <v>42374.531701388885</v>
      </c>
      <c r="D380" t="s">
        <v>3</v>
      </c>
      <c r="E380" t="s">
        <v>5</v>
      </c>
      <c r="G380" t="b">
        <v>0</v>
      </c>
      <c r="H380">
        <v>70804</v>
      </c>
      <c r="I380" s="5">
        <v>0</v>
      </c>
      <c r="J380" s="14">
        <v>42374.533773148149</v>
      </c>
      <c r="K380">
        <v>23.34</v>
      </c>
      <c r="L380" s="5">
        <f>('[1]Pizza Sales Calculations'!$J380-'[1]Pizza Sales Calculations'!$C380)*24*60</f>
        <v>2.9833333392161876</v>
      </c>
      <c r="M380">
        <f>COUNTA('[1]Pizza Sales Calculations'!$D380:$F380)</f>
        <v>2</v>
      </c>
      <c r="N380">
        <f>IFERROR(VLOOKUP(D380,[1]Parameters!$A$3:$C$5,3,FALSE),0)</f>
        <v>1</v>
      </c>
      <c r="O380">
        <f>IFERROR(VLOOKUP(E380,[1]Parameters!$A$3:$C$5,3,FALSE),0)</f>
        <v>2.2999999999999998</v>
      </c>
      <c r="P380">
        <f>IFERROR(VLOOKUP(F380,[1]Parameters!$A$3:$C$5,3,FALSE),0)</f>
        <v>0</v>
      </c>
      <c r="Q380">
        <f t="shared" si="5"/>
        <v>3.3</v>
      </c>
      <c r="R380" s="10">
        <f>IF('[1]Pizza Sales Calculations'!$G380=TRUE, [1]Parameters!$B$17*'[1]Pizza Sales Calculations'!$L380*2, 0)</f>
        <v>0</v>
      </c>
      <c r="S380" t="str">
        <f>IF(I380&lt;[1]Parameters!$B$21,"TRUE","FALSE")</f>
        <v>TRUE</v>
      </c>
      <c r="T380" s="5">
        <f>(I380/[1]Parameters!$B$25)*60</f>
        <v>0</v>
      </c>
      <c r="U380" s="10">
        <f>IF(AND('[1]Pizza Sales Calculations'!G380=TRUE,'[1]Pizza Sales Calculations'!S380="TRUE"),T380*[1]Parameters!$B$40*2,0)</f>
        <v>0</v>
      </c>
      <c r="V380">
        <f>INDEX([1]Parameters!$A$3:$C$5,MATCH('[1]Pizza Sales Calculations'!D380,[1]Parameters!$A$3:$A$5,0),2)</f>
        <v>7</v>
      </c>
      <c r="W380">
        <f>INDEX([1]Parameters!$A$3:$C$5,MATCH('[1]Pizza Sales Calculations'!E380,[1]Parameters!$A$3:$A$5,0),2)</f>
        <v>14</v>
      </c>
      <c r="X380" t="e">
        <f>INDEX([1]Parameters!$A$3:$C$5,MATCH('[1]Pizza Sales Calculations'!F380,[1]Parameters!$A$3:$A$5,0),2)</f>
        <v>#N/A</v>
      </c>
    </row>
    <row r="381" spans="1:24" x14ac:dyDescent="0.3">
      <c r="A381">
        <v>380</v>
      </c>
      <c r="B381" s="14">
        <v>42374.518680555557</v>
      </c>
      <c r="C381" s="14">
        <v>42374.529085648152</v>
      </c>
      <c r="D381" t="s">
        <v>3</v>
      </c>
      <c r="G381" t="b">
        <v>0</v>
      </c>
      <c r="H381">
        <v>70805</v>
      </c>
      <c r="I381" s="5">
        <v>0</v>
      </c>
      <c r="J381" s="14">
        <v>42374.531180555554</v>
      </c>
      <c r="K381">
        <v>7.99</v>
      </c>
      <c r="L381" s="5">
        <f>('[1]Pizza Sales Calculations'!$J381-'[1]Pizza Sales Calculations'!$C381)*24*60</f>
        <v>3.0166666593868285</v>
      </c>
      <c r="M381">
        <f>COUNTA('[1]Pizza Sales Calculations'!$D381:$F381)</f>
        <v>1</v>
      </c>
      <c r="N381">
        <f>IFERROR(VLOOKUP(D381,[1]Parameters!$A$3:$C$5,3,FALSE),0)</f>
        <v>1</v>
      </c>
      <c r="O381">
        <f>IFERROR(VLOOKUP(E381,[1]Parameters!$A$3:$C$5,3,FALSE),0)</f>
        <v>0</v>
      </c>
      <c r="P381">
        <f>IFERROR(VLOOKUP(F381,[1]Parameters!$A$3:$C$5,3,FALSE),0)</f>
        <v>0</v>
      </c>
      <c r="Q381">
        <f t="shared" si="5"/>
        <v>1</v>
      </c>
      <c r="R381" s="10">
        <f>IF('[1]Pizza Sales Calculations'!$G381=TRUE, [1]Parameters!$B$17*'[1]Pizza Sales Calculations'!$L381*2, 0)</f>
        <v>0</v>
      </c>
      <c r="S381" t="str">
        <f>IF(I381&lt;[1]Parameters!$B$21,"TRUE","FALSE")</f>
        <v>TRUE</v>
      </c>
      <c r="T381" s="5">
        <f>(I381/[1]Parameters!$B$25)*60</f>
        <v>0</v>
      </c>
      <c r="U381" s="10">
        <f>IF(AND('[1]Pizza Sales Calculations'!G381=TRUE,'[1]Pizza Sales Calculations'!S381="TRUE"),T381*[1]Parameters!$B$40*2,0)</f>
        <v>0</v>
      </c>
      <c r="V381">
        <f>INDEX([1]Parameters!$A$3:$C$5,MATCH('[1]Pizza Sales Calculations'!D381,[1]Parameters!$A$3:$A$5,0),2)</f>
        <v>7</v>
      </c>
      <c r="W381" t="e">
        <f>INDEX([1]Parameters!$A$3:$C$5,MATCH('[1]Pizza Sales Calculations'!E381,[1]Parameters!$A$3:$A$5,0),2)</f>
        <v>#N/A</v>
      </c>
      <c r="X381" t="e">
        <f>INDEX([1]Parameters!$A$3:$C$5,MATCH('[1]Pizza Sales Calculations'!F381,[1]Parameters!$A$3:$A$5,0),2)</f>
        <v>#N/A</v>
      </c>
    </row>
    <row r="382" spans="1:24" x14ac:dyDescent="0.3">
      <c r="A382">
        <v>381</v>
      </c>
      <c r="B382" s="14">
        <v>42374.54420138889</v>
      </c>
      <c r="C382" s="14">
        <v>42374.554594907408</v>
      </c>
      <c r="D382" t="s">
        <v>3</v>
      </c>
      <c r="E382" t="s">
        <v>5</v>
      </c>
      <c r="G382" t="b">
        <v>1</v>
      </c>
      <c r="H382">
        <v>70805</v>
      </c>
      <c r="I382" s="5">
        <v>3.3305524210361401</v>
      </c>
      <c r="J382" s="14">
        <v>42374.566157407404</v>
      </c>
      <c r="K382">
        <v>23.34</v>
      </c>
      <c r="L382" s="5">
        <f>('[1]Pizza Sales Calculations'!$J382-'[1]Pizza Sales Calculations'!$C382)*24*60</f>
        <v>16.649999994551763</v>
      </c>
      <c r="M382">
        <f>COUNTA('[1]Pizza Sales Calculations'!$D382:$F382)</f>
        <v>2</v>
      </c>
      <c r="N382">
        <f>IFERROR(VLOOKUP(D382,[1]Parameters!$A$3:$C$5,3,FALSE),0)</f>
        <v>1</v>
      </c>
      <c r="O382">
        <f>IFERROR(VLOOKUP(E382,[1]Parameters!$A$3:$C$5,3,FALSE),0)</f>
        <v>2.2999999999999998</v>
      </c>
      <c r="P382">
        <f>IFERROR(VLOOKUP(F382,[1]Parameters!$A$3:$C$5,3,FALSE),0)</f>
        <v>0</v>
      </c>
      <c r="Q382">
        <f t="shared" si="5"/>
        <v>3.3</v>
      </c>
      <c r="R382" s="10">
        <f>IF('[1]Pizza Sales Calculations'!$G382=TRUE, [1]Parameters!$B$17*'[1]Pizza Sales Calculations'!$L382*2, 0)</f>
        <v>4.7174999984563328</v>
      </c>
      <c r="S382" t="str">
        <f>IF(I382&lt;[1]Parameters!$B$21,"TRUE","FALSE")</f>
        <v>FALSE</v>
      </c>
      <c r="T382" s="5">
        <f>(I382/[1]Parameters!$B$25)*60</f>
        <v>6.6611048420722803</v>
      </c>
      <c r="U382" s="10">
        <f>IF(AND('[1]Pizza Sales Calculations'!G382=TRUE,'[1]Pizza Sales Calculations'!S382="TRUE"),T382*[1]Parameters!$B$40*2,0)</f>
        <v>0</v>
      </c>
      <c r="V382">
        <f>INDEX([1]Parameters!$A$3:$C$5,MATCH('[1]Pizza Sales Calculations'!D382,[1]Parameters!$A$3:$A$5,0),2)</f>
        <v>7</v>
      </c>
      <c r="W382">
        <f>INDEX([1]Parameters!$A$3:$C$5,MATCH('[1]Pizza Sales Calculations'!E382,[1]Parameters!$A$3:$A$5,0),2)</f>
        <v>14</v>
      </c>
      <c r="X382" t="e">
        <f>INDEX([1]Parameters!$A$3:$C$5,MATCH('[1]Pizza Sales Calculations'!F382,[1]Parameters!$A$3:$A$5,0),2)</f>
        <v>#N/A</v>
      </c>
    </row>
    <row r="383" spans="1:24" x14ac:dyDescent="0.3">
      <c r="A383">
        <v>382</v>
      </c>
      <c r="B383" s="14">
        <v>42374.582384259258</v>
      </c>
      <c r="C383" s="14">
        <v>42374.592812499999</v>
      </c>
      <c r="D383" t="s">
        <v>5</v>
      </c>
      <c r="G383" t="b">
        <v>1</v>
      </c>
      <c r="H383">
        <v>70806</v>
      </c>
      <c r="I383" s="5">
        <v>4.3098802544181396</v>
      </c>
      <c r="J383" s="14">
        <v>42374.607766203706</v>
      </c>
      <c r="K383">
        <v>15.35</v>
      </c>
      <c r="L383" s="5">
        <f>('[1]Pizza Sales Calculations'!$J383-'[1]Pizza Sales Calculations'!$C383)*24*60</f>
        <v>21.53333333786577</v>
      </c>
      <c r="M383">
        <f>COUNTA('[1]Pizza Sales Calculations'!$D383:$F383)</f>
        <v>1</v>
      </c>
      <c r="N383">
        <f>IFERROR(VLOOKUP(D383,[1]Parameters!$A$3:$C$5,3,FALSE),0)</f>
        <v>2.2999999999999998</v>
      </c>
      <c r="O383">
        <f>IFERROR(VLOOKUP(E383,[1]Parameters!$A$3:$C$5,3,FALSE),0)</f>
        <v>0</v>
      </c>
      <c r="P383">
        <f>IFERROR(VLOOKUP(F383,[1]Parameters!$A$3:$C$5,3,FALSE),0)</f>
        <v>0</v>
      </c>
      <c r="Q383">
        <f t="shared" si="5"/>
        <v>2.2999999999999998</v>
      </c>
      <c r="R383" s="10">
        <f>IF('[1]Pizza Sales Calculations'!$G383=TRUE, [1]Parameters!$B$17*'[1]Pizza Sales Calculations'!$L383*2, 0)</f>
        <v>6.1011111123953015</v>
      </c>
      <c r="S383" t="str">
        <f>IF(I383&lt;[1]Parameters!$B$21,"TRUE","FALSE")</f>
        <v>FALSE</v>
      </c>
      <c r="T383" s="5">
        <f>(I383/[1]Parameters!$B$25)*60</f>
        <v>8.6197605088362792</v>
      </c>
      <c r="U383" s="10">
        <f>IF(AND('[1]Pizza Sales Calculations'!G383=TRUE,'[1]Pizza Sales Calculations'!S383="TRUE"),T383*[1]Parameters!$B$40*2,0)</f>
        <v>0</v>
      </c>
      <c r="V383">
        <f>INDEX([1]Parameters!$A$3:$C$5,MATCH('[1]Pizza Sales Calculations'!D383,[1]Parameters!$A$3:$A$5,0),2)</f>
        <v>14</v>
      </c>
      <c r="W383" t="e">
        <f>INDEX([1]Parameters!$A$3:$C$5,MATCH('[1]Pizza Sales Calculations'!E383,[1]Parameters!$A$3:$A$5,0),2)</f>
        <v>#N/A</v>
      </c>
      <c r="X383" t="e">
        <f>INDEX([1]Parameters!$A$3:$C$5,MATCH('[1]Pizza Sales Calculations'!F383,[1]Parameters!$A$3:$A$5,0),2)</f>
        <v>#N/A</v>
      </c>
    </row>
    <row r="384" spans="1:24" x14ac:dyDescent="0.3">
      <c r="A384">
        <v>383</v>
      </c>
      <c r="B384" s="14">
        <v>42374.529340277775</v>
      </c>
      <c r="C384" s="14">
        <v>42374.539733796293</v>
      </c>
      <c r="D384" t="s">
        <v>4</v>
      </c>
      <c r="G384" t="b">
        <v>1</v>
      </c>
      <c r="H384">
        <v>70806</v>
      </c>
      <c r="I384" s="5">
        <v>4.3755982985687902</v>
      </c>
      <c r="J384" s="14">
        <v>42374.554918981485</v>
      </c>
      <c r="K384">
        <v>11.59</v>
      </c>
      <c r="L384" s="5">
        <f>('[1]Pizza Sales Calculations'!$J384-'[1]Pizza Sales Calculations'!$C384)*24*60</f>
        <v>21.866666675778106</v>
      </c>
      <c r="M384">
        <f>COUNTA('[1]Pizza Sales Calculations'!$D384:$F384)</f>
        <v>1</v>
      </c>
      <c r="N384">
        <f>IFERROR(VLOOKUP(D384,[1]Parameters!$A$3:$C$5,3,FALSE),0)</f>
        <v>1.7</v>
      </c>
      <c r="O384">
        <f>IFERROR(VLOOKUP(E384,[1]Parameters!$A$3:$C$5,3,FALSE),0)</f>
        <v>0</v>
      </c>
      <c r="P384">
        <f>IFERROR(VLOOKUP(F384,[1]Parameters!$A$3:$C$5,3,FALSE),0)</f>
        <v>0</v>
      </c>
      <c r="Q384">
        <f t="shared" si="5"/>
        <v>1.7</v>
      </c>
      <c r="R384" s="10">
        <f>IF('[1]Pizza Sales Calculations'!$G384=TRUE, [1]Parameters!$B$17*'[1]Pizza Sales Calculations'!$L384*2, 0)</f>
        <v>6.19555555813713</v>
      </c>
      <c r="S384" t="str">
        <f>IF(I384&lt;[1]Parameters!$B$21,"TRUE","FALSE")</f>
        <v>FALSE</v>
      </c>
      <c r="T384" s="5">
        <f>(I384/[1]Parameters!$B$25)*60</f>
        <v>8.7511965971375805</v>
      </c>
      <c r="U384" s="10">
        <f>IF(AND('[1]Pizza Sales Calculations'!G384=TRUE,'[1]Pizza Sales Calculations'!S384="TRUE"),T384*[1]Parameters!$B$40*2,0)</f>
        <v>0</v>
      </c>
      <c r="V384">
        <f>INDEX([1]Parameters!$A$3:$C$5,MATCH('[1]Pizza Sales Calculations'!D384,[1]Parameters!$A$3:$A$5,0),2)</f>
        <v>10</v>
      </c>
      <c r="W384" t="e">
        <f>INDEX([1]Parameters!$A$3:$C$5,MATCH('[1]Pizza Sales Calculations'!E384,[1]Parameters!$A$3:$A$5,0),2)</f>
        <v>#N/A</v>
      </c>
      <c r="X384" t="e">
        <f>INDEX([1]Parameters!$A$3:$C$5,MATCH('[1]Pizza Sales Calculations'!F384,[1]Parameters!$A$3:$A$5,0),2)</f>
        <v>#N/A</v>
      </c>
    </row>
    <row r="385" spans="1:24" x14ac:dyDescent="0.3">
      <c r="A385">
        <v>384</v>
      </c>
      <c r="B385" s="14">
        <v>42374.473935185182</v>
      </c>
      <c r="C385" s="14">
        <v>42374.484340277777</v>
      </c>
      <c r="D385" t="s">
        <v>3</v>
      </c>
      <c r="E385" t="s">
        <v>4</v>
      </c>
      <c r="G385" t="b">
        <v>1</v>
      </c>
      <c r="H385">
        <v>70803</v>
      </c>
      <c r="I385" s="5">
        <v>3.1709123088927398</v>
      </c>
      <c r="J385" s="14">
        <v>42374.495347222219</v>
      </c>
      <c r="K385">
        <v>19.579999999999998</v>
      </c>
      <c r="L385" s="5">
        <f>('[1]Pizza Sales Calculations'!$J385-'[1]Pizza Sales Calculations'!$C385)*24*60</f>
        <v>15.849999996135011</v>
      </c>
      <c r="M385">
        <f>COUNTA('[1]Pizza Sales Calculations'!$D385:$F385)</f>
        <v>2</v>
      </c>
      <c r="N385">
        <f>IFERROR(VLOOKUP(D385,[1]Parameters!$A$3:$C$5,3,FALSE),0)</f>
        <v>1</v>
      </c>
      <c r="O385">
        <f>IFERROR(VLOOKUP(E385,[1]Parameters!$A$3:$C$5,3,FALSE),0)</f>
        <v>1.7</v>
      </c>
      <c r="P385">
        <f>IFERROR(VLOOKUP(F385,[1]Parameters!$A$3:$C$5,3,FALSE),0)</f>
        <v>0</v>
      </c>
      <c r="Q385">
        <f t="shared" si="5"/>
        <v>2.7</v>
      </c>
      <c r="R385" s="10">
        <f>IF('[1]Pizza Sales Calculations'!$G385=TRUE, [1]Parameters!$B$17*'[1]Pizza Sales Calculations'!$L385*2, 0)</f>
        <v>4.4908333322382532</v>
      </c>
      <c r="S385" t="str">
        <f>IF(I385&lt;[1]Parameters!$B$21,"TRUE","FALSE")</f>
        <v>TRUE</v>
      </c>
      <c r="T385" s="5">
        <f>(I385/[1]Parameters!$B$25)*60</f>
        <v>6.3418246177854796</v>
      </c>
      <c r="U385" s="10">
        <f>IF(AND('[1]Pizza Sales Calculations'!G385=TRUE,'[1]Pizza Sales Calculations'!S385="TRUE"),T385*[1]Parameters!$B$40*2,0)</f>
        <v>0.39587335963938941</v>
      </c>
      <c r="V385">
        <f>INDEX([1]Parameters!$A$3:$C$5,MATCH('[1]Pizza Sales Calculations'!D385,[1]Parameters!$A$3:$A$5,0),2)</f>
        <v>7</v>
      </c>
      <c r="W385">
        <f>INDEX([1]Parameters!$A$3:$C$5,MATCH('[1]Pizza Sales Calculations'!E385,[1]Parameters!$A$3:$A$5,0),2)</f>
        <v>10</v>
      </c>
      <c r="X385" t="e">
        <f>INDEX([1]Parameters!$A$3:$C$5,MATCH('[1]Pizza Sales Calculations'!F385,[1]Parameters!$A$3:$A$5,0),2)</f>
        <v>#N/A</v>
      </c>
    </row>
    <row r="386" spans="1:24" x14ac:dyDescent="0.3">
      <c r="A386">
        <v>385</v>
      </c>
      <c r="B386" s="14">
        <v>42374.485578703701</v>
      </c>
      <c r="C386" s="14">
        <v>42374.495995370373</v>
      </c>
      <c r="D386" t="s">
        <v>3</v>
      </c>
      <c r="E386" t="s">
        <v>5</v>
      </c>
      <c r="G386" t="b">
        <v>0</v>
      </c>
      <c r="H386">
        <v>70808</v>
      </c>
      <c r="I386" s="5">
        <v>0</v>
      </c>
      <c r="J386" s="14">
        <v>42374.498078703706</v>
      </c>
      <c r="K386">
        <v>23.34</v>
      </c>
      <c r="L386" s="5">
        <f>('[1]Pizza Sales Calculations'!$J386-'[1]Pizza Sales Calculations'!$C386)*24*60</f>
        <v>2.9999999993015081</v>
      </c>
      <c r="M386">
        <f>COUNTA('[1]Pizza Sales Calculations'!$D386:$F386)</f>
        <v>2</v>
      </c>
      <c r="N386">
        <f>IFERROR(VLOOKUP(D386,[1]Parameters!$A$3:$C$5,3,FALSE),0)</f>
        <v>1</v>
      </c>
      <c r="O386">
        <f>IFERROR(VLOOKUP(E386,[1]Parameters!$A$3:$C$5,3,FALSE),0)</f>
        <v>2.2999999999999998</v>
      </c>
      <c r="P386">
        <f>IFERROR(VLOOKUP(F386,[1]Parameters!$A$3:$C$5,3,FALSE),0)</f>
        <v>0</v>
      </c>
      <c r="Q386">
        <f t="shared" si="5"/>
        <v>3.3</v>
      </c>
      <c r="R386" s="10">
        <f>IF('[1]Pizza Sales Calculations'!$G386=TRUE, [1]Parameters!$B$17*'[1]Pizza Sales Calculations'!$L386*2, 0)</f>
        <v>0</v>
      </c>
      <c r="S386" t="str">
        <f>IF(I386&lt;[1]Parameters!$B$21,"TRUE","FALSE")</f>
        <v>TRUE</v>
      </c>
      <c r="T386" s="5">
        <f>(I386/[1]Parameters!$B$25)*60</f>
        <v>0</v>
      </c>
      <c r="U386" s="10">
        <f>IF(AND('[1]Pizza Sales Calculations'!G386=TRUE,'[1]Pizza Sales Calculations'!S386="TRUE"),T386*[1]Parameters!$B$40*2,0)</f>
        <v>0</v>
      </c>
      <c r="V386">
        <f>INDEX([1]Parameters!$A$3:$C$5,MATCH('[1]Pizza Sales Calculations'!D386,[1]Parameters!$A$3:$A$5,0),2)</f>
        <v>7</v>
      </c>
      <c r="W386">
        <f>INDEX([1]Parameters!$A$3:$C$5,MATCH('[1]Pizza Sales Calculations'!E386,[1]Parameters!$A$3:$A$5,0),2)</f>
        <v>14</v>
      </c>
      <c r="X386" t="e">
        <f>INDEX([1]Parameters!$A$3:$C$5,MATCH('[1]Pizza Sales Calculations'!F386,[1]Parameters!$A$3:$A$5,0),2)</f>
        <v>#N/A</v>
      </c>
    </row>
    <row r="387" spans="1:24" x14ac:dyDescent="0.3">
      <c r="A387">
        <v>386</v>
      </c>
      <c r="B387" s="14">
        <v>42374.55746527778</v>
      </c>
      <c r="C387" s="14">
        <v>42374.567881944444</v>
      </c>
      <c r="D387" t="s">
        <v>5</v>
      </c>
      <c r="G387" t="b">
        <v>0</v>
      </c>
      <c r="H387">
        <v>70803</v>
      </c>
      <c r="I387" s="5">
        <v>0</v>
      </c>
      <c r="J387" s="14">
        <v>42374.56994212963</v>
      </c>
      <c r="K387">
        <v>15.35</v>
      </c>
      <c r="L387" s="5">
        <f>('[1]Pizza Sales Calculations'!$J387-'[1]Pizza Sales Calculations'!$C387)*24*60</f>
        <v>2.9666666686534882</v>
      </c>
      <c r="M387">
        <f>COUNTA('[1]Pizza Sales Calculations'!$D387:$F387)</f>
        <v>1</v>
      </c>
      <c r="N387">
        <f>IFERROR(VLOOKUP(D387,[1]Parameters!$A$3:$C$5,3,FALSE),0)</f>
        <v>2.2999999999999998</v>
      </c>
      <c r="O387">
        <f>IFERROR(VLOOKUP(E387,[1]Parameters!$A$3:$C$5,3,FALSE),0)</f>
        <v>0</v>
      </c>
      <c r="P387">
        <f>IFERROR(VLOOKUP(F387,[1]Parameters!$A$3:$C$5,3,FALSE),0)</f>
        <v>0</v>
      </c>
      <c r="Q387">
        <f t="shared" ref="Q387:Q450" si="6">SUM(N387:P387)</f>
        <v>2.2999999999999998</v>
      </c>
      <c r="R387" s="10">
        <f>IF('[1]Pizza Sales Calculations'!$G387=TRUE, [1]Parameters!$B$17*'[1]Pizza Sales Calculations'!$L387*2, 0)</f>
        <v>0</v>
      </c>
      <c r="S387" t="str">
        <f>IF(I387&lt;[1]Parameters!$B$21,"TRUE","FALSE")</f>
        <v>TRUE</v>
      </c>
      <c r="T387" s="5">
        <f>(I387/[1]Parameters!$B$25)*60</f>
        <v>0</v>
      </c>
      <c r="U387" s="10">
        <f>IF(AND('[1]Pizza Sales Calculations'!G387=TRUE,'[1]Pizza Sales Calculations'!S387="TRUE"),T387*[1]Parameters!$B$40*2,0)</f>
        <v>0</v>
      </c>
      <c r="V387">
        <f>INDEX([1]Parameters!$A$3:$C$5,MATCH('[1]Pizza Sales Calculations'!D387,[1]Parameters!$A$3:$A$5,0),2)</f>
        <v>14</v>
      </c>
      <c r="W387" t="e">
        <f>INDEX([1]Parameters!$A$3:$C$5,MATCH('[1]Pizza Sales Calculations'!E387,[1]Parameters!$A$3:$A$5,0),2)</f>
        <v>#N/A</v>
      </c>
      <c r="X387" t="e">
        <f>INDEX([1]Parameters!$A$3:$C$5,MATCH('[1]Pizza Sales Calculations'!F387,[1]Parameters!$A$3:$A$5,0),2)</f>
        <v>#N/A</v>
      </c>
    </row>
    <row r="388" spans="1:24" x14ac:dyDescent="0.3">
      <c r="A388">
        <v>387</v>
      </c>
      <c r="B388" s="14">
        <v>42374.486331018517</v>
      </c>
      <c r="C388" s="14">
        <v>42374.496736111112</v>
      </c>
      <c r="D388" t="s">
        <v>3</v>
      </c>
      <c r="G388" t="b">
        <v>0</v>
      </c>
      <c r="H388">
        <v>70803</v>
      </c>
      <c r="I388" s="5">
        <v>0</v>
      </c>
      <c r="J388" s="14">
        <v>42374.498796296299</v>
      </c>
      <c r="K388">
        <v>7.99</v>
      </c>
      <c r="L388" s="5">
        <f>('[1]Pizza Sales Calculations'!$J388-'[1]Pizza Sales Calculations'!$C388)*24*60</f>
        <v>2.9666666686534882</v>
      </c>
      <c r="M388">
        <f>COUNTA('[1]Pizza Sales Calculations'!$D388:$F388)</f>
        <v>1</v>
      </c>
      <c r="N388">
        <f>IFERROR(VLOOKUP(D388,[1]Parameters!$A$3:$C$5,3,FALSE),0)</f>
        <v>1</v>
      </c>
      <c r="O388">
        <f>IFERROR(VLOOKUP(E388,[1]Parameters!$A$3:$C$5,3,FALSE),0)</f>
        <v>0</v>
      </c>
      <c r="P388">
        <f>IFERROR(VLOOKUP(F388,[1]Parameters!$A$3:$C$5,3,FALSE),0)</f>
        <v>0</v>
      </c>
      <c r="Q388">
        <f t="shared" si="6"/>
        <v>1</v>
      </c>
      <c r="R388" s="10">
        <f>IF('[1]Pizza Sales Calculations'!$G388=TRUE, [1]Parameters!$B$17*'[1]Pizza Sales Calculations'!$L388*2, 0)</f>
        <v>0</v>
      </c>
      <c r="S388" t="str">
        <f>IF(I388&lt;[1]Parameters!$B$21,"TRUE","FALSE")</f>
        <v>TRUE</v>
      </c>
      <c r="T388" s="5">
        <f>(I388/[1]Parameters!$B$25)*60</f>
        <v>0</v>
      </c>
      <c r="U388" s="10">
        <f>IF(AND('[1]Pizza Sales Calculations'!G388=TRUE,'[1]Pizza Sales Calculations'!S388="TRUE"),T388*[1]Parameters!$B$40*2,0)</f>
        <v>0</v>
      </c>
      <c r="V388">
        <f>INDEX([1]Parameters!$A$3:$C$5,MATCH('[1]Pizza Sales Calculations'!D388,[1]Parameters!$A$3:$A$5,0),2)</f>
        <v>7</v>
      </c>
      <c r="W388" t="e">
        <f>INDEX([1]Parameters!$A$3:$C$5,MATCH('[1]Pizza Sales Calculations'!E388,[1]Parameters!$A$3:$A$5,0),2)</f>
        <v>#N/A</v>
      </c>
      <c r="X388" t="e">
        <f>INDEX([1]Parameters!$A$3:$C$5,MATCH('[1]Pizza Sales Calculations'!F388,[1]Parameters!$A$3:$A$5,0),2)</f>
        <v>#N/A</v>
      </c>
    </row>
    <row r="389" spans="1:24" x14ac:dyDescent="0.3">
      <c r="A389">
        <v>388</v>
      </c>
      <c r="B389" s="14">
        <v>42374.500300925924</v>
      </c>
      <c r="C389" s="14">
        <v>42374.510706018518</v>
      </c>
      <c r="D389" t="s">
        <v>3</v>
      </c>
      <c r="G389" t="b">
        <v>0</v>
      </c>
      <c r="H389">
        <v>70806</v>
      </c>
      <c r="I389" s="5">
        <v>0</v>
      </c>
      <c r="J389" s="14">
        <v>42374.512766203705</v>
      </c>
      <c r="K389">
        <v>7.99</v>
      </c>
      <c r="L389" s="5">
        <f>('[1]Pizza Sales Calculations'!$J389-'[1]Pizza Sales Calculations'!$C389)*24*60</f>
        <v>2.9666666686534882</v>
      </c>
      <c r="M389">
        <f>COUNTA('[1]Pizza Sales Calculations'!$D389:$F389)</f>
        <v>1</v>
      </c>
      <c r="N389">
        <f>IFERROR(VLOOKUP(D389,[1]Parameters!$A$3:$C$5,3,FALSE),0)</f>
        <v>1</v>
      </c>
      <c r="O389">
        <f>IFERROR(VLOOKUP(E389,[1]Parameters!$A$3:$C$5,3,FALSE),0)</f>
        <v>0</v>
      </c>
      <c r="P389">
        <f>IFERROR(VLOOKUP(F389,[1]Parameters!$A$3:$C$5,3,FALSE),0)</f>
        <v>0</v>
      </c>
      <c r="Q389">
        <f t="shared" si="6"/>
        <v>1</v>
      </c>
      <c r="R389" s="10">
        <f>IF('[1]Pizza Sales Calculations'!$G389=TRUE, [1]Parameters!$B$17*'[1]Pizza Sales Calculations'!$L389*2, 0)</f>
        <v>0</v>
      </c>
      <c r="S389" t="str">
        <f>IF(I389&lt;[1]Parameters!$B$21,"TRUE","FALSE")</f>
        <v>TRUE</v>
      </c>
      <c r="T389" s="5">
        <f>(I389/[1]Parameters!$B$25)*60</f>
        <v>0</v>
      </c>
      <c r="U389" s="10">
        <f>IF(AND('[1]Pizza Sales Calculations'!G389=TRUE,'[1]Pizza Sales Calculations'!S389="TRUE"),T389*[1]Parameters!$B$40*2,0)</f>
        <v>0</v>
      </c>
      <c r="V389">
        <f>INDEX([1]Parameters!$A$3:$C$5,MATCH('[1]Pizza Sales Calculations'!D389,[1]Parameters!$A$3:$A$5,0),2)</f>
        <v>7</v>
      </c>
      <c r="W389" t="e">
        <f>INDEX([1]Parameters!$A$3:$C$5,MATCH('[1]Pizza Sales Calculations'!E389,[1]Parameters!$A$3:$A$5,0),2)</f>
        <v>#N/A</v>
      </c>
      <c r="X389" t="e">
        <f>INDEX([1]Parameters!$A$3:$C$5,MATCH('[1]Pizza Sales Calculations'!F389,[1]Parameters!$A$3:$A$5,0),2)</f>
        <v>#N/A</v>
      </c>
    </row>
    <row r="390" spans="1:24" x14ac:dyDescent="0.3">
      <c r="A390">
        <v>389</v>
      </c>
      <c r="B390" s="14">
        <v>42374.537766203706</v>
      </c>
      <c r="C390" s="14">
        <v>42374.548182870371</v>
      </c>
      <c r="D390" t="s">
        <v>5</v>
      </c>
      <c r="G390" t="b">
        <v>1</v>
      </c>
      <c r="H390">
        <v>70803</v>
      </c>
      <c r="I390" s="5">
        <v>4.2370143150446804</v>
      </c>
      <c r="J390" s="14">
        <v>42374.562893518516</v>
      </c>
      <c r="K390">
        <v>15.35</v>
      </c>
      <c r="L390" s="5">
        <f>('[1]Pizza Sales Calculations'!$J390-'[1]Pizza Sales Calculations'!$C390)*24*60</f>
        <v>21.183333329390734</v>
      </c>
      <c r="M390">
        <f>COUNTA('[1]Pizza Sales Calculations'!$D390:$F390)</f>
        <v>1</v>
      </c>
      <c r="N390">
        <f>IFERROR(VLOOKUP(D390,[1]Parameters!$A$3:$C$5,3,FALSE),0)</f>
        <v>2.2999999999999998</v>
      </c>
      <c r="O390">
        <f>IFERROR(VLOOKUP(E390,[1]Parameters!$A$3:$C$5,3,FALSE),0)</f>
        <v>0</v>
      </c>
      <c r="P390">
        <f>IFERROR(VLOOKUP(F390,[1]Parameters!$A$3:$C$5,3,FALSE),0)</f>
        <v>0</v>
      </c>
      <c r="Q390">
        <f t="shared" si="6"/>
        <v>2.2999999999999998</v>
      </c>
      <c r="R390" s="10">
        <f>IF('[1]Pizza Sales Calculations'!$G390=TRUE, [1]Parameters!$B$17*'[1]Pizza Sales Calculations'!$L390*2, 0)</f>
        <v>6.0019444433273748</v>
      </c>
      <c r="S390" t="str">
        <f>IF(I390&lt;[1]Parameters!$B$21,"TRUE","FALSE")</f>
        <v>FALSE</v>
      </c>
      <c r="T390" s="5">
        <f>(I390/[1]Parameters!$B$25)*60</f>
        <v>8.4740286300893608</v>
      </c>
      <c r="U390" s="10">
        <f>IF(AND('[1]Pizza Sales Calculations'!G390=TRUE,'[1]Pizza Sales Calculations'!S390="TRUE"),T390*[1]Parameters!$B$40*2,0)</f>
        <v>0</v>
      </c>
      <c r="V390">
        <f>INDEX([1]Parameters!$A$3:$C$5,MATCH('[1]Pizza Sales Calculations'!D390,[1]Parameters!$A$3:$A$5,0),2)</f>
        <v>14</v>
      </c>
      <c r="W390" t="e">
        <f>INDEX([1]Parameters!$A$3:$C$5,MATCH('[1]Pizza Sales Calculations'!E390,[1]Parameters!$A$3:$A$5,0),2)</f>
        <v>#N/A</v>
      </c>
      <c r="X390" t="e">
        <f>INDEX([1]Parameters!$A$3:$C$5,MATCH('[1]Pizza Sales Calculations'!F390,[1]Parameters!$A$3:$A$5,0),2)</f>
        <v>#N/A</v>
      </c>
    </row>
    <row r="391" spans="1:24" x14ac:dyDescent="0.3">
      <c r="A391">
        <v>390</v>
      </c>
      <c r="B391" s="14">
        <v>42374.562928240739</v>
      </c>
      <c r="C391" s="14">
        <v>42374.573344907411</v>
      </c>
      <c r="D391" t="s">
        <v>4</v>
      </c>
      <c r="G391" t="b">
        <v>1</v>
      </c>
      <c r="H391">
        <v>70805</v>
      </c>
      <c r="I391" s="5">
        <v>4.1914482676219897</v>
      </c>
      <c r="J391" s="14">
        <v>42374.587893518517</v>
      </c>
      <c r="K391">
        <v>11.59</v>
      </c>
      <c r="L391" s="5">
        <f>('[1]Pizza Sales Calculations'!$J391-'[1]Pizza Sales Calculations'!$C391)*24*60</f>
        <v>20.949999993899837</v>
      </c>
      <c r="M391">
        <f>COUNTA('[1]Pizza Sales Calculations'!$D391:$F391)</f>
        <v>1</v>
      </c>
      <c r="N391">
        <f>IFERROR(VLOOKUP(D391,[1]Parameters!$A$3:$C$5,3,FALSE),0)</f>
        <v>1.7</v>
      </c>
      <c r="O391">
        <f>IFERROR(VLOOKUP(E391,[1]Parameters!$A$3:$C$5,3,FALSE),0)</f>
        <v>0</v>
      </c>
      <c r="P391">
        <f>IFERROR(VLOOKUP(F391,[1]Parameters!$A$3:$C$5,3,FALSE),0)</f>
        <v>0</v>
      </c>
      <c r="Q391">
        <f t="shared" si="6"/>
        <v>1.7</v>
      </c>
      <c r="R391" s="10">
        <f>IF('[1]Pizza Sales Calculations'!$G391=TRUE, [1]Parameters!$B$17*'[1]Pizza Sales Calculations'!$L391*2, 0)</f>
        <v>5.9358333316049539</v>
      </c>
      <c r="S391" t="str">
        <f>IF(I391&lt;[1]Parameters!$B$21,"TRUE","FALSE")</f>
        <v>FALSE</v>
      </c>
      <c r="T391" s="5">
        <f>(I391/[1]Parameters!$B$25)*60</f>
        <v>8.3828965352439795</v>
      </c>
      <c r="U391" s="10">
        <f>IF(AND('[1]Pizza Sales Calculations'!G391=TRUE,'[1]Pizza Sales Calculations'!S391="TRUE"),T391*[1]Parameters!$B$40*2,0)</f>
        <v>0</v>
      </c>
      <c r="V391">
        <f>INDEX([1]Parameters!$A$3:$C$5,MATCH('[1]Pizza Sales Calculations'!D391,[1]Parameters!$A$3:$A$5,0),2)</f>
        <v>10</v>
      </c>
      <c r="W391" t="e">
        <f>INDEX([1]Parameters!$A$3:$C$5,MATCH('[1]Pizza Sales Calculations'!E391,[1]Parameters!$A$3:$A$5,0),2)</f>
        <v>#N/A</v>
      </c>
      <c r="X391" t="e">
        <f>INDEX([1]Parameters!$A$3:$C$5,MATCH('[1]Pizza Sales Calculations'!F391,[1]Parameters!$A$3:$A$5,0),2)</f>
        <v>#N/A</v>
      </c>
    </row>
    <row r="392" spans="1:24" x14ac:dyDescent="0.3">
      <c r="A392">
        <v>391</v>
      </c>
      <c r="B392" s="14">
        <v>42374.481666666667</v>
      </c>
      <c r="C392" s="14">
        <v>42374.492060185185</v>
      </c>
      <c r="D392" t="s">
        <v>5</v>
      </c>
      <c r="G392" t="b">
        <v>0</v>
      </c>
      <c r="H392">
        <v>70805</v>
      </c>
      <c r="I392" s="5">
        <v>0</v>
      </c>
      <c r="J392" s="14">
        <v>42374.494143518517</v>
      </c>
      <c r="K392">
        <v>15.35</v>
      </c>
      <c r="L392" s="5">
        <f>('[1]Pizza Sales Calculations'!$J392-'[1]Pizza Sales Calculations'!$C392)*24*60</f>
        <v>2.9999999993015081</v>
      </c>
      <c r="M392">
        <f>COUNTA('[1]Pizza Sales Calculations'!$D392:$F392)</f>
        <v>1</v>
      </c>
      <c r="N392">
        <f>IFERROR(VLOOKUP(D392,[1]Parameters!$A$3:$C$5,3,FALSE),0)</f>
        <v>2.2999999999999998</v>
      </c>
      <c r="O392">
        <f>IFERROR(VLOOKUP(E392,[1]Parameters!$A$3:$C$5,3,FALSE),0)</f>
        <v>0</v>
      </c>
      <c r="P392">
        <f>IFERROR(VLOOKUP(F392,[1]Parameters!$A$3:$C$5,3,FALSE),0)</f>
        <v>0</v>
      </c>
      <c r="Q392">
        <f t="shared" si="6"/>
        <v>2.2999999999999998</v>
      </c>
      <c r="R392" s="10">
        <f>IF('[1]Pizza Sales Calculations'!$G392=TRUE, [1]Parameters!$B$17*'[1]Pizza Sales Calculations'!$L392*2, 0)</f>
        <v>0</v>
      </c>
      <c r="S392" t="str">
        <f>IF(I392&lt;[1]Parameters!$B$21,"TRUE","FALSE")</f>
        <v>TRUE</v>
      </c>
      <c r="T392" s="5">
        <f>(I392/[1]Parameters!$B$25)*60</f>
        <v>0</v>
      </c>
      <c r="U392" s="10">
        <f>IF(AND('[1]Pizza Sales Calculations'!G392=TRUE,'[1]Pizza Sales Calculations'!S392="TRUE"),T392*[1]Parameters!$B$40*2,0)</f>
        <v>0</v>
      </c>
      <c r="V392">
        <f>INDEX([1]Parameters!$A$3:$C$5,MATCH('[1]Pizza Sales Calculations'!D392,[1]Parameters!$A$3:$A$5,0),2)</f>
        <v>14</v>
      </c>
      <c r="W392" t="e">
        <f>INDEX([1]Parameters!$A$3:$C$5,MATCH('[1]Pizza Sales Calculations'!E392,[1]Parameters!$A$3:$A$5,0),2)</f>
        <v>#N/A</v>
      </c>
      <c r="X392" t="e">
        <f>INDEX([1]Parameters!$A$3:$C$5,MATCH('[1]Pizza Sales Calculations'!F392,[1]Parameters!$A$3:$A$5,0),2)</f>
        <v>#N/A</v>
      </c>
    </row>
    <row r="393" spans="1:24" x14ac:dyDescent="0.3">
      <c r="A393">
        <v>392</v>
      </c>
      <c r="B393" s="14">
        <v>42374.514097222222</v>
      </c>
      <c r="C393" s="14">
        <v>42374.524502314816</v>
      </c>
      <c r="D393" t="s">
        <v>3</v>
      </c>
      <c r="E393" t="s">
        <v>4</v>
      </c>
      <c r="G393" t="b">
        <v>1</v>
      </c>
      <c r="H393">
        <v>70807</v>
      </c>
      <c r="I393" s="5">
        <v>1.50030744248446</v>
      </c>
      <c r="J393" s="14">
        <v>42374.529710648145</v>
      </c>
      <c r="K393">
        <v>19.579999999999998</v>
      </c>
      <c r="L393" s="5">
        <f>('[1]Pizza Sales Calculations'!$J393-'[1]Pizza Sales Calculations'!$C393)*24*60</f>
        <v>7.4999999930150807</v>
      </c>
      <c r="M393">
        <f>COUNTA('[1]Pizza Sales Calculations'!$D393:$F393)</f>
        <v>2</v>
      </c>
      <c r="N393">
        <f>IFERROR(VLOOKUP(D393,[1]Parameters!$A$3:$C$5,3,FALSE),0)</f>
        <v>1</v>
      </c>
      <c r="O393">
        <f>IFERROR(VLOOKUP(E393,[1]Parameters!$A$3:$C$5,3,FALSE),0)</f>
        <v>1.7</v>
      </c>
      <c r="P393">
        <f>IFERROR(VLOOKUP(F393,[1]Parameters!$A$3:$C$5,3,FALSE),0)</f>
        <v>0</v>
      </c>
      <c r="Q393">
        <f t="shared" si="6"/>
        <v>2.7</v>
      </c>
      <c r="R393" s="10">
        <f>IF('[1]Pizza Sales Calculations'!$G393=TRUE, [1]Parameters!$B$17*'[1]Pizza Sales Calculations'!$L393*2, 0)</f>
        <v>2.1249999980209395</v>
      </c>
      <c r="S393" t="str">
        <f>IF(I393&lt;[1]Parameters!$B$21,"TRUE","FALSE")</f>
        <v>TRUE</v>
      </c>
      <c r="T393" s="5">
        <f>(I393/[1]Parameters!$B$25)*60</f>
        <v>3.00061488496892</v>
      </c>
      <c r="U393" s="10">
        <f>IF(AND('[1]Pizza Sales Calculations'!G393=TRUE,'[1]Pizza Sales Calculations'!S393="TRUE"),T393*[1]Parameters!$B$40*2,0)</f>
        <v>0.18730626705842268</v>
      </c>
      <c r="V393">
        <f>INDEX([1]Parameters!$A$3:$C$5,MATCH('[1]Pizza Sales Calculations'!D393,[1]Parameters!$A$3:$A$5,0),2)</f>
        <v>7</v>
      </c>
      <c r="W393">
        <f>INDEX([1]Parameters!$A$3:$C$5,MATCH('[1]Pizza Sales Calculations'!E393,[1]Parameters!$A$3:$A$5,0),2)</f>
        <v>10</v>
      </c>
      <c r="X393" t="e">
        <f>INDEX([1]Parameters!$A$3:$C$5,MATCH('[1]Pizza Sales Calculations'!F393,[1]Parameters!$A$3:$A$5,0),2)</f>
        <v>#N/A</v>
      </c>
    </row>
    <row r="394" spans="1:24" x14ac:dyDescent="0.3">
      <c r="A394">
        <v>393</v>
      </c>
      <c r="B394" s="14">
        <v>42374.520856481482</v>
      </c>
      <c r="C394" s="14">
        <v>42374.531261574077</v>
      </c>
      <c r="D394" t="s">
        <v>4</v>
      </c>
      <c r="G394" t="b">
        <v>1</v>
      </c>
      <c r="H394">
        <v>70803</v>
      </c>
      <c r="I394" s="5">
        <v>4.5773148144098803</v>
      </c>
      <c r="J394" s="14">
        <v>42374.547152777777</v>
      </c>
      <c r="K394">
        <v>11.59</v>
      </c>
      <c r="L394" s="5">
        <f>('[1]Pizza Sales Calculations'!$J394-'[1]Pizza Sales Calculations'!$C394)*24*60</f>
        <v>22.883333328645676</v>
      </c>
      <c r="M394">
        <f>COUNTA('[1]Pizza Sales Calculations'!$D394:$F394)</f>
        <v>1</v>
      </c>
      <c r="N394">
        <f>IFERROR(VLOOKUP(D394,[1]Parameters!$A$3:$C$5,3,FALSE),0)</f>
        <v>1.7</v>
      </c>
      <c r="O394">
        <f>IFERROR(VLOOKUP(E394,[1]Parameters!$A$3:$C$5,3,FALSE),0)</f>
        <v>0</v>
      </c>
      <c r="P394">
        <f>IFERROR(VLOOKUP(F394,[1]Parameters!$A$3:$C$5,3,FALSE),0)</f>
        <v>0</v>
      </c>
      <c r="Q394">
        <f t="shared" si="6"/>
        <v>1.7</v>
      </c>
      <c r="R394" s="10">
        <f>IF('[1]Pizza Sales Calculations'!$G394=TRUE, [1]Parameters!$B$17*'[1]Pizza Sales Calculations'!$L394*2, 0)</f>
        <v>6.4836111097829416</v>
      </c>
      <c r="S394" t="str">
        <f>IF(I394&lt;[1]Parameters!$B$21,"TRUE","FALSE")</f>
        <v>FALSE</v>
      </c>
      <c r="T394" s="5">
        <f>(I394/[1]Parameters!$B$25)*60</f>
        <v>9.1546296288197606</v>
      </c>
      <c r="U394" s="10">
        <f>IF(AND('[1]Pizza Sales Calculations'!G394=TRUE,'[1]Pizza Sales Calculations'!S394="TRUE"),T394*[1]Parameters!$B$40*2,0)</f>
        <v>0</v>
      </c>
      <c r="V394">
        <f>INDEX([1]Parameters!$A$3:$C$5,MATCH('[1]Pizza Sales Calculations'!D394,[1]Parameters!$A$3:$A$5,0),2)</f>
        <v>10</v>
      </c>
      <c r="W394" t="e">
        <f>INDEX([1]Parameters!$A$3:$C$5,MATCH('[1]Pizza Sales Calculations'!E394,[1]Parameters!$A$3:$A$5,0),2)</f>
        <v>#N/A</v>
      </c>
      <c r="X394" t="e">
        <f>INDEX([1]Parameters!$A$3:$C$5,MATCH('[1]Pizza Sales Calculations'!F394,[1]Parameters!$A$3:$A$5,0),2)</f>
        <v>#N/A</v>
      </c>
    </row>
    <row r="395" spans="1:24" x14ac:dyDescent="0.3">
      <c r="A395">
        <v>394</v>
      </c>
      <c r="B395" s="14">
        <v>42374.488495370373</v>
      </c>
      <c r="C395" s="14">
        <v>42374.498865740738</v>
      </c>
      <c r="D395" t="s">
        <v>5</v>
      </c>
      <c r="G395" t="b">
        <v>0</v>
      </c>
      <c r="H395">
        <v>70805</v>
      </c>
      <c r="I395" s="5">
        <v>0</v>
      </c>
      <c r="J395" s="14">
        <v>42374.500937500001</v>
      </c>
      <c r="K395">
        <v>15.35</v>
      </c>
      <c r="L395" s="5">
        <f>('[1]Pizza Sales Calculations'!$J395-'[1]Pizza Sales Calculations'!$C395)*24*60</f>
        <v>2.9833333392161876</v>
      </c>
      <c r="M395">
        <f>COUNTA('[1]Pizza Sales Calculations'!$D395:$F395)</f>
        <v>1</v>
      </c>
      <c r="N395">
        <f>IFERROR(VLOOKUP(D395,[1]Parameters!$A$3:$C$5,3,FALSE),0)</f>
        <v>2.2999999999999998</v>
      </c>
      <c r="O395">
        <f>IFERROR(VLOOKUP(E395,[1]Parameters!$A$3:$C$5,3,FALSE),0)</f>
        <v>0</v>
      </c>
      <c r="P395">
        <f>IFERROR(VLOOKUP(F395,[1]Parameters!$A$3:$C$5,3,FALSE),0)</f>
        <v>0</v>
      </c>
      <c r="Q395">
        <f t="shared" si="6"/>
        <v>2.2999999999999998</v>
      </c>
      <c r="R395" s="10">
        <f>IF('[1]Pizza Sales Calculations'!$G395=TRUE, [1]Parameters!$B$17*'[1]Pizza Sales Calculations'!$L395*2, 0)</f>
        <v>0</v>
      </c>
      <c r="S395" t="str">
        <f>IF(I395&lt;[1]Parameters!$B$21,"TRUE","FALSE")</f>
        <v>TRUE</v>
      </c>
      <c r="T395" s="5">
        <f>(I395/[1]Parameters!$B$25)*60</f>
        <v>0</v>
      </c>
      <c r="U395" s="10">
        <f>IF(AND('[1]Pizza Sales Calculations'!G395=TRUE,'[1]Pizza Sales Calculations'!S395="TRUE"),T395*[1]Parameters!$B$40*2,0)</f>
        <v>0</v>
      </c>
      <c r="V395">
        <f>INDEX([1]Parameters!$A$3:$C$5,MATCH('[1]Pizza Sales Calculations'!D395,[1]Parameters!$A$3:$A$5,0),2)</f>
        <v>14</v>
      </c>
      <c r="W395" t="e">
        <f>INDEX([1]Parameters!$A$3:$C$5,MATCH('[1]Pizza Sales Calculations'!E395,[1]Parameters!$A$3:$A$5,0),2)</f>
        <v>#N/A</v>
      </c>
      <c r="X395" t="e">
        <f>INDEX([1]Parameters!$A$3:$C$5,MATCH('[1]Pizza Sales Calculations'!F395,[1]Parameters!$A$3:$A$5,0),2)</f>
        <v>#N/A</v>
      </c>
    </row>
    <row r="396" spans="1:24" x14ac:dyDescent="0.3">
      <c r="A396">
        <v>395</v>
      </c>
      <c r="B396" s="14">
        <v>42374.427488425928</v>
      </c>
      <c r="C396" s="14">
        <v>42374.437893518516</v>
      </c>
      <c r="D396" t="s">
        <v>4</v>
      </c>
      <c r="G396" t="b">
        <v>0</v>
      </c>
      <c r="H396">
        <v>70805</v>
      </c>
      <c r="I396" s="5">
        <v>0</v>
      </c>
      <c r="J396" s="14">
        <v>42374.439965277779</v>
      </c>
      <c r="K396">
        <v>11.59</v>
      </c>
      <c r="L396" s="5">
        <f>('[1]Pizza Sales Calculations'!$J396-'[1]Pizza Sales Calculations'!$C396)*24*60</f>
        <v>2.9833333392161876</v>
      </c>
      <c r="M396">
        <f>COUNTA('[1]Pizza Sales Calculations'!$D396:$F396)</f>
        <v>1</v>
      </c>
      <c r="N396">
        <f>IFERROR(VLOOKUP(D396,[1]Parameters!$A$3:$C$5,3,FALSE),0)</f>
        <v>1.7</v>
      </c>
      <c r="O396">
        <f>IFERROR(VLOOKUP(E396,[1]Parameters!$A$3:$C$5,3,FALSE),0)</f>
        <v>0</v>
      </c>
      <c r="P396">
        <f>IFERROR(VLOOKUP(F396,[1]Parameters!$A$3:$C$5,3,FALSE),0)</f>
        <v>0</v>
      </c>
      <c r="Q396">
        <f t="shared" si="6"/>
        <v>1.7</v>
      </c>
      <c r="R396" s="10">
        <f>IF('[1]Pizza Sales Calculations'!$G396=TRUE, [1]Parameters!$B$17*'[1]Pizza Sales Calculations'!$L396*2, 0)</f>
        <v>0</v>
      </c>
      <c r="S396" t="str">
        <f>IF(I396&lt;[1]Parameters!$B$21,"TRUE","FALSE")</f>
        <v>TRUE</v>
      </c>
      <c r="T396" s="5">
        <f>(I396/[1]Parameters!$B$25)*60</f>
        <v>0</v>
      </c>
      <c r="U396" s="10">
        <f>IF(AND('[1]Pizza Sales Calculations'!G396=TRUE,'[1]Pizza Sales Calculations'!S396="TRUE"),T396*[1]Parameters!$B$40*2,0)</f>
        <v>0</v>
      </c>
      <c r="V396">
        <f>INDEX([1]Parameters!$A$3:$C$5,MATCH('[1]Pizza Sales Calculations'!D396,[1]Parameters!$A$3:$A$5,0),2)</f>
        <v>10</v>
      </c>
      <c r="W396" t="e">
        <f>INDEX([1]Parameters!$A$3:$C$5,MATCH('[1]Pizza Sales Calculations'!E396,[1]Parameters!$A$3:$A$5,0),2)</f>
        <v>#N/A</v>
      </c>
      <c r="X396" t="e">
        <f>INDEX([1]Parameters!$A$3:$C$5,MATCH('[1]Pizza Sales Calculations'!F396,[1]Parameters!$A$3:$A$5,0),2)</f>
        <v>#N/A</v>
      </c>
    </row>
    <row r="397" spans="1:24" x14ac:dyDescent="0.3">
      <c r="A397">
        <v>396</v>
      </c>
      <c r="B397" s="14">
        <v>42374.521099537036</v>
      </c>
      <c r="C397" s="14">
        <v>42374.531504629631</v>
      </c>
      <c r="D397" t="s">
        <v>5</v>
      </c>
      <c r="G397" t="b">
        <v>0</v>
      </c>
      <c r="H397">
        <v>70804</v>
      </c>
      <c r="I397" s="5">
        <v>0</v>
      </c>
      <c r="J397" s="14">
        <v>42374.533599537041</v>
      </c>
      <c r="K397">
        <v>15.35</v>
      </c>
      <c r="L397" s="5">
        <f>('[1]Pizza Sales Calculations'!$J397-'[1]Pizza Sales Calculations'!$C397)*24*60</f>
        <v>3.0166666698642075</v>
      </c>
      <c r="M397">
        <f>COUNTA('[1]Pizza Sales Calculations'!$D397:$F397)</f>
        <v>1</v>
      </c>
      <c r="N397">
        <f>IFERROR(VLOOKUP(D397,[1]Parameters!$A$3:$C$5,3,FALSE),0)</f>
        <v>2.2999999999999998</v>
      </c>
      <c r="O397">
        <f>IFERROR(VLOOKUP(E397,[1]Parameters!$A$3:$C$5,3,FALSE),0)</f>
        <v>0</v>
      </c>
      <c r="P397">
        <f>IFERROR(VLOOKUP(F397,[1]Parameters!$A$3:$C$5,3,FALSE),0)</f>
        <v>0</v>
      </c>
      <c r="Q397">
        <f t="shared" si="6"/>
        <v>2.2999999999999998</v>
      </c>
      <c r="R397" s="10">
        <f>IF('[1]Pizza Sales Calculations'!$G397=TRUE, [1]Parameters!$B$17*'[1]Pizza Sales Calculations'!$L397*2, 0)</f>
        <v>0</v>
      </c>
      <c r="S397" t="str">
        <f>IF(I397&lt;[1]Parameters!$B$21,"TRUE","FALSE")</f>
        <v>TRUE</v>
      </c>
      <c r="T397" s="5">
        <f>(I397/[1]Parameters!$B$25)*60</f>
        <v>0</v>
      </c>
      <c r="U397" s="10">
        <f>IF(AND('[1]Pizza Sales Calculations'!G397=TRUE,'[1]Pizza Sales Calculations'!S397="TRUE"),T397*[1]Parameters!$B$40*2,0)</f>
        <v>0</v>
      </c>
      <c r="V397">
        <f>INDEX([1]Parameters!$A$3:$C$5,MATCH('[1]Pizza Sales Calculations'!D397,[1]Parameters!$A$3:$A$5,0),2)</f>
        <v>14</v>
      </c>
      <c r="W397" t="e">
        <f>INDEX([1]Parameters!$A$3:$C$5,MATCH('[1]Pizza Sales Calculations'!E397,[1]Parameters!$A$3:$A$5,0),2)</f>
        <v>#N/A</v>
      </c>
      <c r="X397" t="e">
        <f>INDEX([1]Parameters!$A$3:$C$5,MATCH('[1]Pizza Sales Calculations'!F397,[1]Parameters!$A$3:$A$5,0),2)</f>
        <v>#N/A</v>
      </c>
    </row>
    <row r="398" spans="1:24" x14ac:dyDescent="0.3">
      <c r="A398">
        <v>397</v>
      </c>
      <c r="B398" s="14">
        <v>42374.476493055554</v>
      </c>
      <c r="C398" s="14">
        <v>42374.486898148149</v>
      </c>
      <c r="D398" t="s">
        <v>5</v>
      </c>
      <c r="G398" t="b">
        <v>1</v>
      </c>
      <c r="H398">
        <v>70806</v>
      </c>
      <c r="I398" s="5">
        <v>1.0458570367373901</v>
      </c>
      <c r="J398" s="14">
        <v>42374.490520833337</v>
      </c>
      <c r="K398">
        <v>15.35</v>
      </c>
      <c r="L398" s="5">
        <f>('[1]Pizza Sales Calculations'!$J398-'[1]Pizza Sales Calculations'!$C398)*24*60</f>
        <v>5.216666670748964</v>
      </c>
      <c r="M398">
        <f>COUNTA('[1]Pizza Sales Calculations'!$D398:$F398)</f>
        <v>1</v>
      </c>
      <c r="N398">
        <f>IFERROR(VLOOKUP(D398,[1]Parameters!$A$3:$C$5,3,FALSE),0)</f>
        <v>2.2999999999999998</v>
      </c>
      <c r="O398">
        <f>IFERROR(VLOOKUP(E398,[1]Parameters!$A$3:$C$5,3,FALSE),0)</f>
        <v>0</v>
      </c>
      <c r="P398">
        <f>IFERROR(VLOOKUP(F398,[1]Parameters!$A$3:$C$5,3,FALSE),0)</f>
        <v>0</v>
      </c>
      <c r="Q398">
        <f t="shared" si="6"/>
        <v>2.2999999999999998</v>
      </c>
      <c r="R398" s="10">
        <f>IF('[1]Pizza Sales Calculations'!$G398=TRUE, [1]Parameters!$B$17*'[1]Pizza Sales Calculations'!$L398*2, 0)</f>
        <v>1.4780555567122065</v>
      </c>
      <c r="S398" t="str">
        <f>IF(I398&lt;[1]Parameters!$B$21,"TRUE","FALSE")</f>
        <v>TRUE</v>
      </c>
      <c r="T398" s="5">
        <f>(I398/[1]Parameters!$B$25)*60</f>
        <v>2.0917140734747801</v>
      </c>
      <c r="U398" s="10">
        <f>IF(AND('[1]Pizza Sales Calculations'!G398=TRUE,'[1]Pizza Sales Calculations'!S398="TRUE"),T398*[1]Parameters!$B$40*2,0)</f>
        <v>0.13057028971586485</v>
      </c>
      <c r="V398">
        <f>INDEX([1]Parameters!$A$3:$C$5,MATCH('[1]Pizza Sales Calculations'!D398,[1]Parameters!$A$3:$A$5,0),2)</f>
        <v>14</v>
      </c>
      <c r="W398" t="e">
        <f>INDEX([1]Parameters!$A$3:$C$5,MATCH('[1]Pizza Sales Calculations'!E398,[1]Parameters!$A$3:$A$5,0),2)</f>
        <v>#N/A</v>
      </c>
      <c r="X398" t="e">
        <f>INDEX([1]Parameters!$A$3:$C$5,MATCH('[1]Pizza Sales Calculations'!F398,[1]Parameters!$A$3:$A$5,0),2)</f>
        <v>#N/A</v>
      </c>
    </row>
    <row r="399" spans="1:24" x14ac:dyDescent="0.3">
      <c r="A399">
        <v>398</v>
      </c>
      <c r="B399" s="14">
        <v>42374.468321759261</v>
      </c>
      <c r="C399" s="14">
        <v>42374.478726851848</v>
      </c>
      <c r="D399" t="s">
        <v>3</v>
      </c>
      <c r="E399" t="s">
        <v>5</v>
      </c>
      <c r="G399" t="b">
        <v>1</v>
      </c>
      <c r="H399">
        <v>70806</v>
      </c>
      <c r="I399" s="5">
        <v>2.9732005861183302</v>
      </c>
      <c r="J399" s="14">
        <v>42374.489039351851</v>
      </c>
      <c r="K399">
        <v>23.34</v>
      </c>
      <c r="L399" s="5">
        <f>('[1]Pizza Sales Calculations'!$J399-'[1]Pizza Sales Calculations'!$C399)*24*60</f>
        <v>14.850000003352761</v>
      </c>
      <c r="M399">
        <f>COUNTA('[1]Pizza Sales Calculations'!$D399:$F399)</f>
        <v>2</v>
      </c>
      <c r="N399">
        <f>IFERROR(VLOOKUP(D399,[1]Parameters!$A$3:$C$5,3,FALSE),0)</f>
        <v>1</v>
      </c>
      <c r="O399">
        <f>IFERROR(VLOOKUP(E399,[1]Parameters!$A$3:$C$5,3,FALSE),0)</f>
        <v>2.2999999999999998</v>
      </c>
      <c r="P399">
        <f>IFERROR(VLOOKUP(F399,[1]Parameters!$A$3:$C$5,3,FALSE),0)</f>
        <v>0</v>
      </c>
      <c r="Q399">
        <f t="shared" si="6"/>
        <v>3.3</v>
      </c>
      <c r="R399" s="10">
        <f>IF('[1]Pizza Sales Calculations'!$G399=TRUE, [1]Parameters!$B$17*'[1]Pizza Sales Calculations'!$L399*2, 0)</f>
        <v>4.207500000949949</v>
      </c>
      <c r="S399" t="str">
        <f>IF(I399&lt;[1]Parameters!$B$21,"TRUE","FALSE")</f>
        <v>TRUE</v>
      </c>
      <c r="T399" s="5">
        <f>(I399/[1]Parameters!$B$25)*60</f>
        <v>5.9464011722366603</v>
      </c>
      <c r="U399" s="10">
        <f>IF(AND('[1]Pizza Sales Calculations'!G399=TRUE,'[1]Pizza Sales Calculations'!S399="TRUE"),T399*[1]Parameters!$B$40*2,0)</f>
        <v>0.37118998895288563</v>
      </c>
      <c r="V399">
        <f>INDEX([1]Parameters!$A$3:$C$5,MATCH('[1]Pizza Sales Calculations'!D399,[1]Parameters!$A$3:$A$5,0),2)</f>
        <v>7</v>
      </c>
      <c r="W399">
        <f>INDEX([1]Parameters!$A$3:$C$5,MATCH('[1]Pizza Sales Calculations'!E399,[1]Parameters!$A$3:$A$5,0),2)</f>
        <v>14</v>
      </c>
      <c r="X399" t="e">
        <f>INDEX([1]Parameters!$A$3:$C$5,MATCH('[1]Pizza Sales Calculations'!F399,[1]Parameters!$A$3:$A$5,0),2)</f>
        <v>#N/A</v>
      </c>
    </row>
    <row r="400" spans="1:24" x14ac:dyDescent="0.3">
      <c r="A400">
        <v>399</v>
      </c>
      <c r="B400" s="14">
        <v>42374.531412037039</v>
      </c>
      <c r="C400" s="14">
        <v>42374.541828703703</v>
      </c>
      <c r="D400" t="s">
        <v>3</v>
      </c>
      <c r="E400" t="s">
        <v>4</v>
      </c>
      <c r="G400" t="b">
        <v>1</v>
      </c>
      <c r="H400">
        <v>70805</v>
      </c>
      <c r="I400" s="5">
        <v>3.8293535742858902</v>
      </c>
      <c r="J400" s="14">
        <v>42374.555115740739</v>
      </c>
      <c r="K400">
        <v>19.579999999999998</v>
      </c>
      <c r="L400" s="5">
        <f>('[1]Pizza Sales Calculations'!$J400-'[1]Pizza Sales Calculations'!$C400)*24*60</f>
        <v>19.133333332138136</v>
      </c>
      <c r="M400">
        <f>COUNTA('[1]Pizza Sales Calculations'!$D400:$F400)</f>
        <v>2</v>
      </c>
      <c r="N400">
        <f>IFERROR(VLOOKUP(D400,[1]Parameters!$A$3:$C$5,3,FALSE),0)</f>
        <v>1</v>
      </c>
      <c r="O400">
        <f>IFERROR(VLOOKUP(E400,[1]Parameters!$A$3:$C$5,3,FALSE),0)</f>
        <v>1.7</v>
      </c>
      <c r="P400">
        <f>IFERROR(VLOOKUP(F400,[1]Parameters!$A$3:$C$5,3,FALSE),0)</f>
        <v>0</v>
      </c>
      <c r="Q400">
        <f t="shared" si="6"/>
        <v>2.7</v>
      </c>
      <c r="R400" s="10">
        <f>IF('[1]Pizza Sales Calculations'!$G400=TRUE, [1]Parameters!$B$17*'[1]Pizza Sales Calculations'!$L400*2, 0)</f>
        <v>5.4211111107724719</v>
      </c>
      <c r="S400" t="str">
        <f>IF(I400&lt;[1]Parameters!$B$21,"TRUE","FALSE")</f>
        <v>FALSE</v>
      </c>
      <c r="T400" s="5">
        <f>(I400/[1]Parameters!$B$25)*60</f>
        <v>7.6587071485717804</v>
      </c>
      <c r="U400" s="10">
        <f>IF(AND('[1]Pizza Sales Calculations'!G400=TRUE,'[1]Pizza Sales Calculations'!S400="TRUE"),T400*[1]Parameters!$B$40*2,0)</f>
        <v>0</v>
      </c>
      <c r="V400">
        <f>INDEX([1]Parameters!$A$3:$C$5,MATCH('[1]Pizza Sales Calculations'!D400,[1]Parameters!$A$3:$A$5,0),2)</f>
        <v>7</v>
      </c>
      <c r="W400">
        <f>INDEX([1]Parameters!$A$3:$C$5,MATCH('[1]Pizza Sales Calculations'!E400,[1]Parameters!$A$3:$A$5,0),2)</f>
        <v>10</v>
      </c>
      <c r="X400" t="e">
        <f>INDEX([1]Parameters!$A$3:$C$5,MATCH('[1]Pizza Sales Calculations'!F400,[1]Parameters!$A$3:$A$5,0),2)</f>
        <v>#N/A</v>
      </c>
    </row>
    <row r="401" spans="1:24" x14ac:dyDescent="0.3">
      <c r="A401">
        <v>400</v>
      </c>
      <c r="B401" s="14">
        <v>42374.457939814813</v>
      </c>
      <c r="C401" s="14">
        <v>42374.468368055554</v>
      </c>
      <c r="D401" t="s">
        <v>3</v>
      </c>
      <c r="E401" t="s">
        <v>4</v>
      </c>
      <c r="G401" t="b">
        <v>1</v>
      </c>
      <c r="H401">
        <v>70804</v>
      </c>
      <c r="I401" s="5">
        <v>1.09083131747134</v>
      </c>
      <c r="J401" s="14">
        <v>42374.47215277778</v>
      </c>
      <c r="K401">
        <v>19.579999999999998</v>
      </c>
      <c r="L401" s="5">
        <f>('[1]Pizza Sales Calculations'!$J401-'[1]Pizza Sales Calculations'!$C401)*24*60</f>
        <v>5.4500000062398612</v>
      </c>
      <c r="M401">
        <f>COUNTA('[1]Pizza Sales Calculations'!$D401:$F401)</f>
        <v>2</v>
      </c>
      <c r="N401">
        <f>IFERROR(VLOOKUP(D401,[1]Parameters!$A$3:$C$5,3,FALSE),0)</f>
        <v>1</v>
      </c>
      <c r="O401">
        <f>IFERROR(VLOOKUP(E401,[1]Parameters!$A$3:$C$5,3,FALSE),0)</f>
        <v>1.7</v>
      </c>
      <c r="P401">
        <f>IFERROR(VLOOKUP(F401,[1]Parameters!$A$3:$C$5,3,FALSE),0)</f>
        <v>0</v>
      </c>
      <c r="Q401">
        <f t="shared" si="6"/>
        <v>2.7</v>
      </c>
      <c r="R401" s="10">
        <f>IF('[1]Pizza Sales Calculations'!$G401=TRUE, [1]Parameters!$B$17*'[1]Pizza Sales Calculations'!$L401*2, 0)</f>
        <v>1.5441666684346274</v>
      </c>
      <c r="S401" t="str">
        <f>IF(I401&lt;[1]Parameters!$B$21,"TRUE","FALSE")</f>
        <v>TRUE</v>
      </c>
      <c r="T401" s="5">
        <f>(I401/[1]Parameters!$B$25)*60</f>
        <v>2.18166263494268</v>
      </c>
      <c r="U401" s="10">
        <f>IF(AND('[1]Pizza Sales Calculations'!G401=TRUE,'[1]Pizza Sales Calculations'!S401="TRUE"),T401*[1]Parameters!$B$40*2,0)</f>
        <v>0.13618511531718552</v>
      </c>
      <c r="V401">
        <f>INDEX([1]Parameters!$A$3:$C$5,MATCH('[1]Pizza Sales Calculations'!D401,[1]Parameters!$A$3:$A$5,0),2)</f>
        <v>7</v>
      </c>
      <c r="W401">
        <f>INDEX([1]Parameters!$A$3:$C$5,MATCH('[1]Pizza Sales Calculations'!E401,[1]Parameters!$A$3:$A$5,0),2)</f>
        <v>10</v>
      </c>
      <c r="X401" t="e">
        <f>INDEX([1]Parameters!$A$3:$C$5,MATCH('[1]Pizza Sales Calculations'!F401,[1]Parameters!$A$3:$A$5,0),2)</f>
        <v>#N/A</v>
      </c>
    </row>
    <row r="402" spans="1:24" x14ac:dyDescent="0.3">
      <c r="A402">
        <v>401</v>
      </c>
      <c r="B402" s="14">
        <v>42374.538043981483</v>
      </c>
      <c r="C402" s="14">
        <v>42374.548472222225</v>
      </c>
      <c r="D402" t="s">
        <v>3</v>
      </c>
      <c r="E402" t="s">
        <v>4</v>
      </c>
      <c r="G402" t="b">
        <v>0</v>
      </c>
      <c r="H402">
        <v>70803</v>
      </c>
      <c r="I402" s="5">
        <v>0</v>
      </c>
      <c r="J402" s="14">
        <v>42374.550543981481</v>
      </c>
      <c r="K402">
        <v>19.579999999999998</v>
      </c>
      <c r="L402" s="5">
        <f>('[1]Pizza Sales Calculations'!$J402-'[1]Pizza Sales Calculations'!$C402)*24*60</f>
        <v>2.9833333287388086</v>
      </c>
      <c r="M402">
        <f>COUNTA('[1]Pizza Sales Calculations'!$D402:$F402)</f>
        <v>2</v>
      </c>
      <c r="N402">
        <f>IFERROR(VLOOKUP(D402,[1]Parameters!$A$3:$C$5,3,FALSE),0)</f>
        <v>1</v>
      </c>
      <c r="O402">
        <f>IFERROR(VLOOKUP(E402,[1]Parameters!$A$3:$C$5,3,FALSE),0)</f>
        <v>1.7</v>
      </c>
      <c r="P402">
        <f>IFERROR(VLOOKUP(F402,[1]Parameters!$A$3:$C$5,3,FALSE),0)</f>
        <v>0</v>
      </c>
      <c r="Q402">
        <f t="shared" si="6"/>
        <v>2.7</v>
      </c>
      <c r="R402" s="10">
        <f>IF('[1]Pizza Sales Calculations'!$G402=TRUE, [1]Parameters!$B$17*'[1]Pizza Sales Calculations'!$L402*2, 0)</f>
        <v>0</v>
      </c>
      <c r="S402" t="str">
        <f>IF(I402&lt;[1]Parameters!$B$21,"TRUE","FALSE")</f>
        <v>TRUE</v>
      </c>
      <c r="T402" s="5">
        <f>(I402/[1]Parameters!$B$25)*60</f>
        <v>0</v>
      </c>
      <c r="U402" s="10">
        <f>IF(AND('[1]Pizza Sales Calculations'!G402=TRUE,'[1]Pizza Sales Calculations'!S402="TRUE"),T402*[1]Parameters!$B$40*2,0)</f>
        <v>0</v>
      </c>
      <c r="V402">
        <f>INDEX([1]Parameters!$A$3:$C$5,MATCH('[1]Pizza Sales Calculations'!D402,[1]Parameters!$A$3:$A$5,0),2)</f>
        <v>7</v>
      </c>
      <c r="W402">
        <f>INDEX([1]Parameters!$A$3:$C$5,MATCH('[1]Pizza Sales Calculations'!E402,[1]Parameters!$A$3:$A$5,0),2)</f>
        <v>10</v>
      </c>
      <c r="X402" t="e">
        <f>INDEX([1]Parameters!$A$3:$C$5,MATCH('[1]Pizza Sales Calculations'!F402,[1]Parameters!$A$3:$A$5,0),2)</f>
        <v>#N/A</v>
      </c>
    </row>
    <row r="403" spans="1:24" x14ac:dyDescent="0.3">
      <c r="A403">
        <v>402</v>
      </c>
      <c r="B403" s="14">
        <v>42374.418495370373</v>
      </c>
      <c r="C403" s="14">
        <v>42374.428900462961</v>
      </c>
      <c r="D403" t="s">
        <v>5</v>
      </c>
      <c r="G403" t="b">
        <v>0</v>
      </c>
      <c r="H403">
        <v>70807</v>
      </c>
      <c r="I403" s="5">
        <v>0</v>
      </c>
      <c r="J403" s="14">
        <v>42374.430983796294</v>
      </c>
      <c r="K403">
        <v>15.35</v>
      </c>
      <c r="L403" s="5">
        <f>('[1]Pizza Sales Calculations'!$J403-'[1]Pizza Sales Calculations'!$C403)*24*60</f>
        <v>2.9999999993015081</v>
      </c>
      <c r="M403">
        <f>COUNTA('[1]Pizza Sales Calculations'!$D403:$F403)</f>
        <v>1</v>
      </c>
      <c r="N403">
        <f>IFERROR(VLOOKUP(D403,[1]Parameters!$A$3:$C$5,3,FALSE),0)</f>
        <v>2.2999999999999998</v>
      </c>
      <c r="O403">
        <f>IFERROR(VLOOKUP(E403,[1]Parameters!$A$3:$C$5,3,FALSE),0)</f>
        <v>0</v>
      </c>
      <c r="P403">
        <f>IFERROR(VLOOKUP(F403,[1]Parameters!$A$3:$C$5,3,FALSE),0)</f>
        <v>0</v>
      </c>
      <c r="Q403">
        <f t="shared" si="6"/>
        <v>2.2999999999999998</v>
      </c>
      <c r="R403" s="10">
        <f>IF('[1]Pizza Sales Calculations'!$G403=TRUE, [1]Parameters!$B$17*'[1]Pizza Sales Calculations'!$L403*2, 0)</f>
        <v>0</v>
      </c>
      <c r="S403" t="str">
        <f>IF(I403&lt;[1]Parameters!$B$21,"TRUE","FALSE")</f>
        <v>TRUE</v>
      </c>
      <c r="T403" s="5">
        <f>(I403/[1]Parameters!$B$25)*60</f>
        <v>0</v>
      </c>
      <c r="U403" s="10">
        <f>IF(AND('[1]Pizza Sales Calculations'!G403=TRUE,'[1]Pizza Sales Calculations'!S403="TRUE"),T403*[1]Parameters!$B$40*2,0)</f>
        <v>0</v>
      </c>
      <c r="V403">
        <f>INDEX([1]Parameters!$A$3:$C$5,MATCH('[1]Pizza Sales Calculations'!D403,[1]Parameters!$A$3:$A$5,0),2)</f>
        <v>14</v>
      </c>
      <c r="W403" t="e">
        <f>INDEX([1]Parameters!$A$3:$C$5,MATCH('[1]Pizza Sales Calculations'!E403,[1]Parameters!$A$3:$A$5,0),2)</f>
        <v>#N/A</v>
      </c>
      <c r="X403" t="e">
        <f>INDEX([1]Parameters!$A$3:$C$5,MATCH('[1]Pizza Sales Calculations'!F403,[1]Parameters!$A$3:$A$5,0),2)</f>
        <v>#N/A</v>
      </c>
    </row>
    <row r="404" spans="1:24" x14ac:dyDescent="0.3">
      <c r="A404">
        <v>403</v>
      </c>
      <c r="B404" s="14">
        <v>42374.493530092594</v>
      </c>
      <c r="C404" s="14">
        <v>42374.503935185188</v>
      </c>
      <c r="D404" t="s">
        <v>4</v>
      </c>
      <c r="G404" t="b">
        <v>0</v>
      </c>
      <c r="H404">
        <v>70805</v>
      </c>
      <c r="I404" s="5">
        <v>0</v>
      </c>
      <c r="J404" s="14">
        <v>42374.506006944444</v>
      </c>
      <c r="K404">
        <v>11.59</v>
      </c>
      <c r="L404" s="5">
        <f>('[1]Pizza Sales Calculations'!$J404-'[1]Pizza Sales Calculations'!$C404)*24*60</f>
        <v>2.9833333287388086</v>
      </c>
      <c r="M404">
        <f>COUNTA('[1]Pizza Sales Calculations'!$D404:$F404)</f>
        <v>1</v>
      </c>
      <c r="N404">
        <f>IFERROR(VLOOKUP(D404,[1]Parameters!$A$3:$C$5,3,FALSE),0)</f>
        <v>1.7</v>
      </c>
      <c r="O404">
        <f>IFERROR(VLOOKUP(E404,[1]Parameters!$A$3:$C$5,3,FALSE),0)</f>
        <v>0</v>
      </c>
      <c r="P404">
        <f>IFERROR(VLOOKUP(F404,[1]Parameters!$A$3:$C$5,3,FALSE),0)</f>
        <v>0</v>
      </c>
      <c r="Q404">
        <f t="shared" si="6"/>
        <v>1.7</v>
      </c>
      <c r="R404" s="10">
        <f>IF('[1]Pizza Sales Calculations'!$G404=TRUE, [1]Parameters!$B$17*'[1]Pizza Sales Calculations'!$L404*2, 0)</f>
        <v>0</v>
      </c>
      <c r="S404" t="str">
        <f>IF(I404&lt;[1]Parameters!$B$21,"TRUE","FALSE")</f>
        <v>TRUE</v>
      </c>
      <c r="T404" s="5">
        <f>(I404/[1]Parameters!$B$25)*60</f>
        <v>0</v>
      </c>
      <c r="U404" s="10">
        <f>IF(AND('[1]Pizza Sales Calculations'!G404=TRUE,'[1]Pizza Sales Calculations'!S404="TRUE"),T404*[1]Parameters!$B$40*2,0)</f>
        <v>0</v>
      </c>
      <c r="V404">
        <f>INDEX([1]Parameters!$A$3:$C$5,MATCH('[1]Pizza Sales Calculations'!D404,[1]Parameters!$A$3:$A$5,0),2)</f>
        <v>10</v>
      </c>
      <c r="W404" t="e">
        <f>INDEX([1]Parameters!$A$3:$C$5,MATCH('[1]Pizza Sales Calculations'!E404,[1]Parameters!$A$3:$A$5,0),2)</f>
        <v>#N/A</v>
      </c>
      <c r="X404" t="e">
        <f>INDEX([1]Parameters!$A$3:$C$5,MATCH('[1]Pizza Sales Calculations'!F404,[1]Parameters!$A$3:$A$5,0),2)</f>
        <v>#N/A</v>
      </c>
    </row>
    <row r="405" spans="1:24" x14ac:dyDescent="0.3">
      <c r="A405">
        <v>404</v>
      </c>
      <c r="B405" s="14">
        <v>42374.441608796296</v>
      </c>
      <c r="C405" s="14">
        <v>42374.452002314814</v>
      </c>
      <c r="D405" t="s">
        <v>5</v>
      </c>
      <c r="G405" t="b">
        <v>0</v>
      </c>
      <c r="H405">
        <v>70804</v>
      </c>
      <c r="I405" s="5">
        <v>0</v>
      </c>
      <c r="J405" s="14">
        <v>42374.454074074078</v>
      </c>
      <c r="K405">
        <v>15.35</v>
      </c>
      <c r="L405" s="5">
        <f>('[1]Pizza Sales Calculations'!$J405-'[1]Pizza Sales Calculations'!$C405)*24*60</f>
        <v>2.9833333392161876</v>
      </c>
      <c r="M405">
        <f>COUNTA('[1]Pizza Sales Calculations'!$D405:$F405)</f>
        <v>1</v>
      </c>
      <c r="N405">
        <f>IFERROR(VLOOKUP(D405,[1]Parameters!$A$3:$C$5,3,FALSE),0)</f>
        <v>2.2999999999999998</v>
      </c>
      <c r="O405">
        <f>IFERROR(VLOOKUP(E405,[1]Parameters!$A$3:$C$5,3,FALSE),0)</f>
        <v>0</v>
      </c>
      <c r="P405">
        <f>IFERROR(VLOOKUP(F405,[1]Parameters!$A$3:$C$5,3,FALSE),0)</f>
        <v>0</v>
      </c>
      <c r="Q405">
        <f t="shared" si="6"/>
        <v>2.2999999999999998</v>
      </c>
      <c r="R405" s="10">
        <f>IF('[1]Pizza Sales Calculations'!$G405=TRUE, [1]Parameters!$B$17*'[1]Pizza Sales Calculations'!$L405*2, 0)</f>
        <v>0</v>
      </c>
      <c r="S405" t="str">
        <f>IF(I405&lt;[1]Parameters!$B$21,"TRUE","FALSE")</f>
        <v>TRUE</v>
      </c>
      <c r="T405" s="5">
        <f>(I405/[1]Parameters!$B$25)*60</f>
        <v>0</v>
      </c>
      <c r="U405" s="10">
        <f>IF(AND('[1]Pizza Sales Calculations'!G405=TRUE,'[1]Pizza Sales Calculations'!S405="TRUE"),T405*[1]Parameters!$B$40*2,0)</f>
        <v>0</v>
      </c>
      <c r="V405">
        <f>INDEX([1]Parameters!$A$3:$C$5,MATCH('[1]Pizza Sales Calculations'!D405,[1]Parameters!$A$3:$A$5,0),2)</f>
        <v>14</v>
      </c>
      <c r="W405" t="e">
        <f>INDEX([1]Parameters!$A$3:$C$5,MATCH('[1]Pizza Sales Calculations'!E405,[1]Parameters!$A$3:$A$5,0),2)</f>
        <v>#N/A</v>
      </c>
      <c r="X405" t="e">
        <f>INDEX([1]Parameters!$A$3:$C$5,MATCH('[1]Pizza Sales Calculations'!F405,[1]Parameters!$A$3:$A$5,0),2)</f>
        <v>#N/A</v>
      </c>
    </row>
    <row r="406" spans="1:24" x14ac:dyDescent="0.3">
      <c r="A406">
        <v>405</v>
      </c>
      <c r="B406" s="14">
        <v>42374.432118055556</v>
      </c>
      <c r="C406" s="14">
        <v>42374.442499999997</v>
      </c>
      <c r="D406" t="s">
        <v>3</v>
      </c>
      <c r="E406" t="s">
        <v>4</v>
      </c>
      <c r="G406" t="b">
        <v>1</v>
      </c>
      <c r="H406">
        <v>70806</v>
      </c>
      <c r="I406" s="5">
        <v>3.1321827464602801</v>
      </c>
      <c r="J406" s="14">
        <v>42374.453368055554</v>
      </c>
      <c r="K406">
        <v>19.579999999999998</v>
      </c>
      <c r="L406" s="5">
        <f>('[1]Pizza Sales Calculations'!$J406-'[1]Pizza Sales Calculations'!$C406)*24*60</f>
        <v>15.650000001769513</v>
      </c>
      <c r="M406">
        <f>COUNTA('[1]Pizza Sales Calculations'!$D406:$F406)</f>
        <v>2</v>
      </c>
      <c r="N406">
        <f>IFERROR(VLOOKUP(D406,[1]Parameters!$A$3:$C$5,3,FALSE),0)</f>
        <v>1</v>
      </c>
      <c r="O406">
        <f>IFERROR(VLOOKUP(E406,[1]Parameters!$A$3:$C$5,3,FALSE),0)</f>
        <v>1.7</v>
      </c>
      <c r="P406">
        <f>IFERROR(VLOOKUP(F406,[1]Parameters!$A$3:$C$5,3,FALSE),0)</f>
        <v>0</v>
      </c>
      <c r="Q406">
        <f t="shared" si="6"/>
        <v>2.7</v>
      </c>
      <c r="R406" s="10">
        <f>IF('[1]Pizza Sales Calculations'!$G406=TRUE, [1]Parameters!$B$17*'[1]Pizza Sales Calculations'!$L406*2, 0)</f>
        <v>4.4341666671680287</v>
      </c>
      <c r="S406" t="str">
        <f>IF(I406&lt;[1]Parameters!$B$21,"TRUE","FALSE")</f>
        <v>TRUE</v>
      </c>
      <c r="T406" s="5">
        <f>(I406/[1]Parameters!$B$25)*60</f>
        <v>6.2643654929205601</v>
      </c>
      <c r="U406" s="10">
        <f>IF(AND('[1]Pizza Sales Calculations'!G406=TRUE,'[1]Pizza Sales Calculations'!S406="TRUE"),T406*[1]Parameters!$B$40*2,0)</f>
        <v>0.39103815749440957</v>
      </c>
      <c r="V406">
        <f>INDEX([1]Parameters!$A$3:$C$5,MATCH('[1]Pizza Sales Calculations'!D406,[1]Parameters!$A$3:$A$5,0),2)</f>
        <v>7</v>
      </c>
      <c r="W406">
        <f>INDEX([1]Parameters!$A$3:$C$5,MATCH('[1]Pizza Sales Calculations'!E406,[1]Parameters!$A$3:$A$5,0),2)</f>
        <v>10</v>
      </c>
      <c r="X406" t="e">
        <f>INDEX([1]Parameters!$A$3:$C$5,MATCH('[1]Pizza Sales Calculations'!F406,[1]Parameters!$A$3:$A$5,0),2)</f>
        <v>#N/A</v>
      </c>
    </row>
    <row r="407" spans="1:24" x14ac:dyDescent="0.3">
      <c r="A407">
        <v>406</v>
      </c>
      <c r="B407" s="14">
        <v>42374.525104166663</v>
      </c>
      <c r="C407" s="14">
        <v>42374.535520833335</v>
      </c>
      <c r="D407" t="s">
        <v>4</v>
      </c>
      <c r="G407" t="b">
        <v>1</v>
      </c>
      <c r="H407">
        <v>70807</v>
      </c>
      <c r="I407" s="5">
        <v>2.6959979460329802</v>
      </c>
      <c r="J407" s="14">
        <v>42374.544872685183</v>
      </c>
      <c r="K407">
        <v>11.59</v>
      </c>
      <c r="L407" s="5">
        <f>('[1]Pizza Sales Calculations'!$J407-'[1]Pizza Sales Calculations'!$C407)*24*60</f>
        <v>13.466666660970077</v>
      </c>
      <c r="M407">
        <f>COUNTA('[1]Pizza Sales Calculations'!$D407:$F407)</f>
        <v>1</v>
      </c>
      <c r="N407">
        <f>IFERROR(VLOOKUP(D407,[1]Parameters!$A$3:$C$5,3,FALSE),0)</f>
        <v>1.7</v>
      </c>
      <c r="O407">
        <f>IFERROR(VLOOKUP(E407,[1]Parameters!$A$3:$C$5,3,FALSE),0)</f>
        <v>0</v>
      </c>
      <c r="P407">
        <f>IFERROR(VLOOKUP(F407,[1]Parameters!$A$3:$C$5,3,FALSE),0)</f>
        <v>0</v>
      </c>
      <c r="Q407">
        <f t="shared" si="6"/>
        <v>1.7</v>
      </c>
      <c r="R407" s="10">
        <f>IF('[1]Pizza Sales Calculations'!$G407=TRUE, [1]Parameters!$B$17*'[1]Pizza Sales Calculations'!$L407*2, 0)</f>
        <v>3.8155555539415218</v>
      </c>
      <c r="S407" t="str">
        <f>IF(I407&lt;[1]Parameters!$B$21,"TRUE","FALSE")</f>
        <v>TRUE</v>
      </c>
      <c r="T407" s="5">
        <f>(I407/[1]Parameters!$B$25)*60</f>
        <v>5.3919958920659603</v>
      </c>
      <c r="U407" s="10">
        <f>IF(AND('[1]Pizza Sales Calculations'!G407=TRUE,'[1]Pizza Sales Calculations'!S407="TRUE"),T407*[1]Parameters!$B$40*2,0)</f>
        <v>0.33658255432792261</v>
      </c>
      <c r="V407">
        <f>INDEX([1]Parameters!$A$3:$C$5,MATCH('[1]Pizza Sales Calculations'!D407,[1]Parameters!$A$3:$A$5,0),2)</f>
        <v>10</v>
      </c>
      <c r="W407" t="e">
        <f>INDEX([1]Parameters!$A$3:$C$5,MATCH('[1]Pizza Sales Calculations'!E407,[1]Parameters!$A$3:$A$5,0),2)</f>
        <v>#N/A</v>
      </c>
      <c r="X407" t="e">
        <f>INDEX([1]Parameters!$A$3:$C$5,MATCH('[1]Pizza Sales Calculations'!F407,[1]Parameters!$A$3:$A$5,0),2)</f>
        <v>#N/A</v>
      </c>
    </row>
    <row r="408" spans="1:24" x14ac:dyDescent="0.3">
      <c r="A408">
        <v>407</v>
      </c>
      <c r="B408" s="14">
        <v>42374.537685185183</v>
      </c>
      <c r="C408" s="14">
        <v>42374.548113425924</v>
      </c>
      <c r="D408" t="s">
        <v>3</v>
      </c>
      <c r="G408" t="b">
        <v>1</v>
      </c>
      <c r="H408">
        <v>70805</v>
      </c>
      <c r="I408" s="5">
        <v>3.08657462998484</v>
      </c>
      <c r="J408" s="14">
        <v>42374.558819444443</v>
      </c>
      <c r="K408">
        <v>7.99</v>
      </c>
      <c r="L408" s="5">
        <f>('[1]Pizza Sales Calculations'!$J408-'[1]Pizza Sales Calculations'!$C408)*24*60</f>
        <v>15.416666666278616</v>
      </c>
      <c r="M408">
        <f>COUNTA('[1]Pizza Sales Calculations'!$D408:$F408)</f>
        <v>1</v>
      </c>
      <c r="N408">
        <f>IFERROR(VLOOKUP(D408,[1]Parameters!$A$3:$C$5,3,FALSE),0)</f>
        <v>1</v>
      </c>
      <c r="O408">
        <f>IFERROR(VLOOKUP(E408,[1]Parameters!$A$3:$C$5,3,FALSE),0)</f>
        <v>0</v>
      </c>
      <c r="P408">
        <f>IFERROR(VLOOKUP(F408,[1]Parameters!$A$3:$C$5,3,FALSE),0)</f>
        <v>0</v>
      </c>
      <c r="Q408">
        <f t="shared" si="6"/>
        <v>1</v>
      </c>
      <c r="R408" s="10">
        <f>IF('[1]Pizza Sales Calculations'!$G408=TRUE, [1]Parameters!$B$17*'[1]Pizza Sales Calculations'!$L408*2, 0)</f>
        <v>4.3680555554456078</v>
      </c>
      <c r="S408" t="str">
        <f>IF(I408&lt;[1]Parameters!$B$21,"TRUE","FALSE")</f>
        <v>TRUE</v>
      </c>
      <c r="T408" s="5">
        <f>(I408/[1]Parameters!$B$25)*60</f>
        <v>6.17314925996968</v>
      </c>
      <c r="U408" s="10">
        <f>IF(AND('[1]Pizza Sales Calculations'!G408=TRUE,'[1]Pizza Sales Calculations'!S408="TRUE"),T408*[1]Parameters!$B$40*2,0)</f>
        <v>0.3853442005075442</v>
      </c>
      <c r="V408">
        <f>INDEX([1]Parameters!$A$3:$C$5,MATCH('[1]Pizza Sales Calculations'!D408,[1]Parameters!$A$3:$A$5,0),2)</f>
        <v>7</v>
      </c>
      <c r="W408" t="e">
        <f>INDEX([1]Parameters!$A$3:$C$5,MATCH('[1]Pizza Sales Calculations'!E408,[1]Parameters!$A$3:$A$5,0),2)</f>
        <v>#N/A</v>
      </c>
      <c r="X408" t="e">
        <f>INDEX([1]Parameters!$A$3:$C$5,MATCH('[1]Pizza Sales Calculations'!F408,[1]Parameters!$A$3:$A$5,0),2)</f>
        <v>#N/A</v>
      </c>
    </row>
    <row r="409" spans="1:24" x14ac:dyDescent="0.3">
      <c r="A409">
        <v>408</v>
      </c>
      <c r="B409" s="14">
        <v>42374.480925925927</v>
      </c>
      <c r="C409" s="14">
        <v>42374.491342592592</v>
      </c>
      <c r="D409" t="s">
        <v>5</v>
      </c>
      <c r="G409" t="b">
        <v>1</v>
      </c>
      <c r="H409">
        <v>70806</v>
      </c>
      <c r="I409" s="5">
        <v>2.05996557509045</v>
      </c>
      <c r="J409" s="14">
        <v>42374.498483796298</v>
      </c>
      <c r="K409">
        <v>15.35</v>
      </c>
      <c r="L409" s="5">
        <f>('[1]Pizza Sales Calculations'!$J409-'[1]Pizza Sales Calculations'!$C409)*24*60</f>
        <v>10.28333333786577</v>
      </c>
      <c r="M409">
        <f>COUNTA('[1]Pizza Sales Calculations'!$D409:$F409)</f>
        <v>1</v>
      </c>
      <c r="N409">
        <f>IFERROR(VLOOKUP(D409,[1]Parameters!$A$3:$C$5,3,FALSE),0)</f>
        <v>2.2999999999999998</v>
      </c>
      <c r="O409">
        <f>IFERROR(VLOOKUP(E409,[1]Parameters!$A$3:$C$5,3,FALSE),0)</f>
        <v>0</v>
      </c>
      <c r="P409">
        <f>IFERROR(VLOOKUP(F409,[1]Parameters!$A$3:$C$5,3,FALSE),0)</f>
        <v>0</v>
      </c>
      <c r="Q409">
        <f t="shared" si="6"/>
        <v>2.2999999999999998</v>
      </c>
      <c r="R409" s="10">
        <f>IF('[1]Pizza Sales Calculations'!$G409=TRUE, [1]Parameters!$B$17*'[1]Pizza Sales Calculations'!$L409*2, 0)</f>
        <v>2.9136111123953015</v>
      </c>
      <c r="S409" t="str">
        <f>IF(I409&lt;[1]Parameters!$B$21,"TRUE","FALSE")</f>
        <v>TRUE</v>
      </c>
      <c r="T409" s="5">
        <f>(I409/[1]Parameters!$B$25)*60</f>
        <v>4.1199311501808999</v>
      </c>
      <c r="U409" s="10">
        <f>IF(AND('[1]Pizza Sales Calculations'!G409=TRUE,'[1]Pizza Sales Calculations'!S409="TRUE"),T409*[1]Parameters!$B$40*2,0)</f>
        <v>0.25717693001649267</v>
      </c>
      <c r="V409">
        <f>INDEX([1]Parameters!$A$3:$C$5,MATCH('[1]Pizza Sales Calculations'!D409,[1]Parameters!$A$3:$A$5,0),2)</f>
        <v>14</v>
      </c>
      <c r="W409" t="e">
        <f>INDEX([1]Parameters!$A$3:$C$5,MATCH('[1]Pizza Sales Calculations'!E409,[1]Parameters!$A$3:$A$5,0),2)</f>
        <v>#N/A</v>
      </c>
      <c r="X409" t="e">
        <f>INDEX([1]Parameters!$A$3:$C$5,MATCH('[1]Pizza Sales Calculations'!F409,[1]Parameters!$A$3:$A$5,0),2)</f>
        <v>#N/A</v>
      </c>
    </row>
    <row r="410" spans="1:24" x14ac:dyDescent="0.3">
      <c r="A410">
        <v>409</v>
      </c>
      <c r="B410" s="14">
        <v>42374.570567129631</v>
      </c>
      <c r="C410" s="14">
        <v>42374.580995370372</v>
      </c>
      <c r="D410" t="s">
        <v>3</v>
      </c>
      <c r="G410" t="b">
        <v>1</v>
      </c>
      <c r="H410">
        <v>70804</v>
      </c>
      <c r="I410" s="5">
        <v>2.5167784530998198</v>
      </c>
      <c r="J410" s="14">
        <v>42374.589733796296</v>
      </c>
      <c r="K410">
        <v>7.99</v>
      </c>
      <c r="L410" s="5">
        <f>('[1]Pizza Sales Calculations'!$J410-'[1]Pizza Sales Calculations'!$C410)*24*60</f>
        <v>12.583333330694586</v>
      </c>
      <c r="M410">
        <f>COUNTA('[1]Pizza Sales Calculations'!$D410:$F410)</f>
        <v>1</v>
      </c>
      <c r="N410">
        <f>IFERROR(VLOOKUP(D410,[1]Parameters!$A$3:$C$5,3,FALSE),0)</f>
        <v>1</v>
      </c>
      <c r="O410">
        <f>IFERROR(VLOOKUP(E410,[1]Parameters!$A$3:$C$5,3,FALSE),0)</f>
        <v>0</v>
      </c>
      <c r="P410">
        <f>IFERROR(VLOOKUP(F410,[1]Parameters!$A$3:$C$5,3,FALSE),0)</f>
        <v>0</v>
      </c>
      <c r="Q410">
        <f t="shared" si="6"/>
        <v>1</v>
      </c>
      <c r="R410" s="10">
        <f>IF('[1]Pizza Sales Calculations'!$G410=TRUE, [1]Parameters!$B$17*'[1]Pizza Sales Calculations'!$L410*2, 0)</f>
        <v>3.5652777770301327</v>
      </c>
      <c r="S410" t="str">
        <f>IF(I410&lt;[1]Parameters!$B$21,"TRUE","FALSE")</f>
        <v>TRUE</v>
      </c>
      <c r="T410" s="5">
        <f>(I410/[1]Parameters!$B$25)*60</f>
        <v>5.0335569061996397</v>
      </c>
      <c r="U410" s="10">
        <f>IF(AND('[1]Pizza Sales Calculations'!G410=TRUE,'[1]Pizza Sales Calculations'!S410="TRUE"),T410*[1]Parameters!$B$40*2,0)</f>
        <v>0.31420785081393848</v>
      </c>
      <c r="V410">
        <f>INDEX([1]Parameters!$A$3:$C$5,MATCH('[1]Pizza Sales Calculations'!D410,[1]Parameters!$A$3:$A$5,0),2)</f>
        <v>7</v>
      </c>
      <c r="W410" t="e">
        <f>INDEX([1]Parameters!$A$3:$C$5,MATCH('[1]Pizza Sales Calculations'!E410,[1]Parameters!$A$3:$A$5,0),2)</f>
        <v>#N/A</v>
      </c>
      <c r="X410" t="e">
        <f>INDEX([1]Parameters!$A$3:$C$5,MATCH('[1]Pizza Sales Calculations'!F410,[1]Parameters!$A$3:$A$5,0),2)</f>
        <v>#N/A</v>
      </c>
    </row>
    <row r="411" spans="1:24" x14ac:dyDescent="0.3">
      <c r="A411">
        <v>410</v>
      </c>
      <c r="B411" s="14">
        <v>42374.527581018519</v>
      </c>
      <c r="C411" s="14">
        <v>42374.53802083333</v>
      </c>
      <c r="D411" t="s">
        <v>4</v>
      </c>
      <c r="E411" t="s">
        <v>5</v>
      </c>
      <c r="G411" t="b">
        <v>1</v>
      </c>
      <c r="H411">
        <v>70806</v>
      </c>
      <c r="I411" s="5">
        <v>2.6172287680748099</v>
      </c>
      <c r="J411" s="14">
        <v>42374.547106481485</v>
      </c>
      <c r="K411">
        <v>25.94</v>
      </c>
      <c r="L411" s="5">
        <f>('[1]Pizza Sales Calculations'!$J411-'[1]Pizza Sales Calculations'!$C411)*24*60</f>
        <v>13.08333334280178</v>
      </c>
      <c r="M411">
        <f>COUNTA('[1]Pizza Sales Calculations'!$D411:$F411)</f>
        <v>2</v>
      </c>
      <c r="N411">
        <f>IFERROR(VLOOKUP(D411,[1]Parameters!$A$3:$C$5,3,FALSE),0)</f>
        <v>1.7</v>
      </c>
      <c r="O411">
        <f>IFERROR(VLOOKUP(E411,[1]Parameters!$A$3:$C$5,3,FALSE),0)</f>
        <v>2.2999999999999998</v>
      </c>
      <c r="P411">
        <f>IFERROR(VLOOKUP(F411,[1]Parameters!$A$3:$C$5,3,FALSE),0)</f>
        <v>0</v>
      </c>
      <c r="Q411">
        <f t="shared" si="6"/>
        <v>4</v>
      </c>
      <c r="R411" s="10">
        <f>IF('[1]Pizza Sales Calculations'!$G411=TRUE, [1]Parameters!$B$17*'[1]Pizza Sales Calculations'!$L411*2, 0)</f>
        <v>3.7069444471271709</v>
      </c>
      <c r="S411" t="str">
        <f>IF(I411&lt;[1]Parameters!$B$21,"TRUE","FALSE")</f>
        <v>TRUE</v>
      </c>
      <c r="T411" s="5">
        <f>(I411/[1]Parameters!$B$25)*60</f>
        <v>5.2344575361496197</v>
      </c>
      <c r="U411" s="10">
        <f>IF(AND('[1]Pizza Sales Calculations'!G411=TRUE,'[1]Pizza Sales Calculations'!S411="TRUE"),T411*[1]Parameters!$B$40*2,0)</f>
        <v>0.32674859612388052</v>
      </c>
      <c r="V411">
        <f>INDEX([1]Parameters!$A$3:$C$5,MATCH('[1]Pizza Sales Calculations'!D411,[1]Parameters!$A$3:$A$5,0),2)</f>
        <v>10</v>
      </c>
      <c r="W411">
        <f>INDEX([1]Parameters!$A$3:$C$5,MATCH('[1]Pizza Sales Calculations'!E411,[1]Parameters!$A$3:$A$5,0),2)</f>
        <v>14</v>
      </c>
      <c r="X411" t="e">
        <f>INDEX([1]Parameters!$A$3:$C$5,MATCH('[1]Pizza Sales Calculations'!F411,[1]Parameters!$A$3:$A$5,0),2)</f>
        <v>#N/A</v>
      </c>
    </row>
    <row r="412" spans="1:24" x14ac:dyDescent="0.3">
      <c r="A412">
        <v>411</v>
      </c>
      <c r="B412" s="14">
        <v>42374.508356481485</v>
      </c>
      <c r="C412" s="14">
        <v>42374.518738425926</v>
      </c>
      <c r="D412" t="s">
        <v>5</v>
      </c>
      <c r="G412" t="b">
        <v>1</v>
      </c>
      <c r="H412">
        <v>70804</v>
      </c>
      <c r="I412" s="5">
        <v>2.4993064945460999</v>
      </c>
      <c r="J412" s="14">
        <v>42374.527407407404</v>
      </c>
      <c r="K412">
        <v>15.35</v>
      </c>
      <c r="L412" s="5">
        <f>('[1]Pizza Sales Calculations'!$J412-'[1]Pizza Sales Calculations'!$C412)*24*60</f>
        <v>12.483333328273147</v>
      </c>
      <c r="M412">
        <f>COUNTA('[1]Pizza Sales Calculations'!$D412:$F412)</f>
        <v>1</v>
      </c>
      <c r="N412">
        <f>IFERROR(VLOOKUP(D412,[1]Parameters!$A$3:$C$5,3,FALSE),0)</f>
        <v>2.2999999999999998</v>
      </c>
      <c r="O412">
        <f>IFERROR(VLOOKUP(E412,[1]Parameters!$A$3:$C$5,3,FALSE),0)</f>
        <v>0</v>
      </c>
      <c r="P412">
        <f>IFERROR(VLOOKUP(F412,[1]Parameters!$A$3:$C$5,3,FALSE),0)</f>
        <v>0</v>
      </c>
      <c r="Q412">
        <f t="shared" si="6"/>
        <v>2.2999999999999998</v>
      </c>
      <c r="R412" s="10">
        <f>IF('[1]Pizza Sales Calculations'!$G412=TRUE, [1]Parameters!$B$17*'[1]Pizza Sales Calculations'!$L412*2, 0)</f>
        <v>3.5369444430107251</v>
      </c>
      <c r="S412" t="str">
        <f>IF(I412&lt;[1]Parameters!$B$21,"TRUE","FALSE")</f>
        <v>TRUE</v>
      </c>
      <c r="T412" s="5">
        <f>(I412/[1]Parameters!$B$25)*60</f>
        <v>4.9986129890921998</v>
      </c>
      <c r="U412" s="10">
        <f>IF(AND('[1]Pizza Sales Calculations'!G412=TRUE,'[1]Pizza Sales Calculations'!S412="TRUE"),T412*[1]Parameters!$B$40*2,0)</f>
        <v>0.31202655967171938</v>
      </c>
      <c r="V412">
        <f>INDEX([1]Parameters!$A$3:$C$5,MATCH('[1]Pizza Sales Calculations'!D412,[1]Parameters!$A$3:$A$5,0),2)</f>
        <v>14</v>
      </c>
      <c r="W412" t="e">
        <f>INDEX([1]Parameters!$A$3:$C$5,MATCH('[1]Pizza Sales Calculations'!E412,[1]Parameters!$A$3:$A$5,0),2)</f>
        <v>#N/A</v>
      </c>
      <c r="X412" t="e">
        <f>INDEX([1]Parameters!$A$3:$C$5,MATCH('[1]Pizza Sales Calculations'!F412,[1]Parameters!$A$3:$A$5,0),2)</f>
        <v>#N/A</v>
      </c>
    </row>
    <row r="413" spans="1:24" x14ac:dyDescent="0.3">
      <c r="A413">
        <v>412</v>
      </c>
      <c r="B413" s="14">
        <v>42374.484050925923</v>
      </c>
      <c r="C413" s="14">
        <v>42374.494467592594</v>
      </c>
      <c r="D413" t="s">
        <v>5</v>
      </c>
      <c r="G413" t="b">
        <v>0</v>
      </c>
      <c r="H413">
        <v>70803</v>
      </c>
      <c r="I413" s="5">
        <v>0</v>
      </c>
      <c r="J413" s="14">
        <v>42374.496539351851</v>
      </c>
      <c r="K413">
        <v>15.35</v>
      </c>
      <c r="L413" s="5">
        <f>('[1]Pizza Sales Calculations'!$J413-'[1]Pizza Sales Calculations'!$C413)*24*60</f>
        <v>2.9833333287388086</v>
      </c>
      <c r="M413">
        <f>COUNTA('[1]Pizza Sales Calculations'!$D413:$F413)</f>
        <v>1</v>
      </c>
      <c r="N413">
        <f>IFERROR(VLOOKUP(D413,[1]Parameters!$A$3:$C$5,3,FALSE),0)</f>
        <v>2.2999999999999998</v>
      </c>
      <c r="O413">
        <f>IFERROR(VLOOKUP(E413,[1]Parameters!$A$3:$C$5,3,FALSE),0)</f>
        <v>0</v>
      </c>
      <c r="P413">
        <f>IFERROR(VLOOKUP(F413,[1]Parameters!$A$3:$C$5,3,FALSE),0)</f>
        <v>0</v>
      </c>
      <c r="Q413">
        <f t="shared" si="6"/>
        <v>2.2999999999999998</v>
      </c>
      <c r="R413" s="10">
        <f>IF('[1]Pizza Sales Calculations'!$G413=TRUE, [1]Parameters!$B$17*'[1]Pizza Sales Calculations'!$L413*2, 0)</f>
        <v>0</v>
      </c>
      <c r="S413" t="str">
        <f>IF(I413&lt;[1]Parameters!$B$21,"TRUE","FALSE")</f>
        <v>TRUE</v>
      </c>
      <c r="T413" s="5">
        <f>(I413/[1]Parameters!$B$25)*60</f>
        <v>0</v>
      </c>
      <c r="U413" s="10">
        <f>IF(AND('[1]Pizza Sales Calculations'!G413=TRUE,'[1]Pizza Sales Calculations'!S413="TRUE"),T413*[1]Parameters!$B$40*2,0)</f>
        <v>0</v>
      </c>
      <c r="V413">
        <f>INDEX([1]Parameters!$A$3:$C$5,MATCH('[1]Pizza Sales Calculations'!D413,[1]Parameters!$A$3:$A$5,0),2)</f>
        <v>14</v>
      </c>
      <c r="W413" t="e">
        <f>INDEX([1]Parameters!$A$3:$C$5,MATCH('[1]Pizza Sales Calculations'!E413,[1]Parameters!$A$3:$A$5,0),2)</f>
        <v>#N/A</v>
      </c>
      <c r="X413" t="e">
        <f>INDEX([1]Parameters!$A$3:$C$5,MATCH('[1]Pizza Sales Calculations'!F413,[1]Parameters!$A$3:$A$5,0),2)</f>
        <v>#N/A</v>
      </c>
    </row>
    <row r="414" spans="1:24" x14ac:dyDescent="0.3">
      <c r="A414">
        <v>413</v>
      </c>
      <c r="B414" s="14">
        <v>42374.461226851854</v>
      </c>
      <c r="C414" s="14">
        <v>42374.471631944441</v>
      </c>
      <c r="D414" t="s">
        <v>4</v>
      </c>
      <c r="G414" t="b">
        <v>1</v>
      </c>
      <c r="H414">
        <v>70804</v>
      </c>
      <c r="I414" s="5">
        <v>5.6391824028670996</v>
      </c>
      <c r="J414" s="14">
        <v>42374.491203703707</v>
      </c>
      <c r="K414">
        <v>11.59</v>
      </c>
      <c r="L414" s="5">
        <f>('[1]Pizza Sales Calculations'!$J414-'[1]Pizza Sales Calculations'!$C414)*24*60</f>
        <v>28.183333341730759</v>
      </c>
      <c r="M414">
        <f>COUNTA('[1]Pizza Sales Calculations'!$D414:$F414)</f>
        <v>1</v>
      </c>
      <c r="N414">
        <f>IFERROR(VLOOKUP(D414,[1]Parameters!$A$3:$C$5,3,FALSE),0)</f>
        <v>1.7</v>
      </c>
      <c r="O414">
        <f>IFERROR(VLOOKUP(E414,[1]Parameters!$A$3:$C$5,3,FALSE),0)</f>
        <v>0</v>
      </c>
      <c r="P414">
        <f>IFERROR(VLOOKUP(F414,[1]Parameters!$A$3:$C$5,3,FALSE),0)</f>
        <v>0</v>
      </c>
      <c r="Q414">
        <f t="shared" si="6"/>
        <v>1.7</v>
      </c>
      <c r="R414" s="10">
        <f>IF('[1]Pizza Sales Calculations'!$G414=TRUE, [1]Parameters!$B$17*'[1]Pizza Sales Calculations'!$L414*2, 0)</f>
        <v>7.9852777801570483</v>
      </c>
      <c r="S414" t="str">
        <f>IF(I414&lt;[1]Parameters!$B$21,"TRUE","FALSE")</f>
        <v>FALSE</v>
      </c>
      <c r="T414" s="5">
        <f>(I414/[1]Parameters!$B$25)*60</f>
        <v>11.278364805734199</v>
      </c>
      <c r="U414" s="10">
        <f>IF(AND('[1]Pizza Sales Calculations'!G414=TRUE,'[1]Pizza Sales Calculations'!S414="TRUE"),T414*[1]Parameters!$B$40*2,0)</f>
        <v>0</v>
      </c>
      <c r="V414">
        <f>INDEX([1]Parameters!$A$3:$C$5,MATCH('[1]Pizza Sales Calculations'!D414,[1]Parameters!$A$3:$A$5,0),2)</f>
        <v>10</v>
      </c>
      <c r="W414" t="e">
        <f>INDEX([1]Parameters!$A$3:$C$5,MATCH('[1]Pizza Sales Calculations'!E414,[1]Parameters!$A$3:$A$5,0),2)</f>
        <v>#N/A</v>
      </c>
      <c r="X414" t="e">
        <f>INDEX([1]Parameters!$A$3:$C$5,MATCH('[1]Pizza Sales Calculations'!F414,[1]Parameters!$A$3:$A$5,0),2)</f>
        <v>#N/A</v>
      </c>
    </row>
    <row r="415" spans="1:24" x14ac:dyDescent="0.3">
      <c r="A415">
        <v>414</v>
      </c>
      <c r="B415" s="14">
        <v>42374.556435185186</v>
      </c>
      <c r="C415" s="14">
        <v>42374.566840277781</v>
      </c>
      <c r="D415" t="s">
        <v>3</v>
      </c>
      <c r="E415" t="s">
        <v>5</v>
      </c>
      <c r="G415" t="b">
        <v>0</v>
      </c>
      <c r="H415">
        <v>70803</v>
      </c>
      <c r="I415" s="5">
        <v>0</v>
      </c>
      <c r="J415" s="14">
        <v>42374.568935185183</v>
      </c>
      <c r="K415">
        <v>23.34</v>
      </c>
      <c r="L415" s="5">
        <f>('[1]Pizza Sales Calculations'!$J415-'[1]Pizza Sales Calculations'!$C415)*24*60</f>
        <v>3.0166666593868285</v>
      </c>
      <c r="M415">
        <f>COUNTA('[1]Pizza Sales Calculations'!$D415:$F415)</f>
        <v>2</v>
      </c>
      <c r="N415">
        <f>IFERROR(VLOOKUP(D415,[1]Parameters!$A$3:$C$5,3,FALSE),0)</f>
        <v>1</v>
      </c>
      <c r="O415">
        <f>IFERROR(VLOOKUP(E415,[1]Parameters!$A$3:$C$5,3,FALSE),0)</f>
        <v>2.2999999999999998</v>
      </c>
      <c r="P415">
        <f>IFERROR(VLOOKUP(F415,[1]Parameters!$A$3:$C$5,3,FALSE),0)</f>
        <v>0</v>
      </c>
      <c r="Q415">
        <f t="shared" si="6"/>
        <v>3.3</v>
      </c>
      <c r="R415" s="10">
        <f>IF('[1]Pizza Sales Calculations'!$G415=TRUE, [1]Parameters!$B$17*'[1]Pizza Sales Calculations'!$L415*2, 0)</f>
        <v>0</v>
      </c>
      <c r="S415" t="str">
        <f>IF(I415&lt;[1]Parameters!$B$21,"TRUE","FALSE")</f>
        <v>TRUE</v>
      </c>
      <c r="T415" s="5">
        <f>(I415/[1]Parameters!$B$25)*60</f>
        <v>0</v>
      </c>
      <c r="U415" s="10">
        <f>IF(AND('[1]Pizza Sales Calculations'!G415=TRUE,'[1]Pizza Sales Calculations'!S415="TRUE"),T415*[1]Parameters!$B$40*2,0)</f>
        <v>0</v>
      </c>
      <c r="V415">
        <f>INDEX([1]Parameters!$A$3:$C$5,MATCH('[1]Pizza Sales Calculations'!D415,[1]Parameters!$A$3:$A$5,0),2)</f>
        <v>7</v>
      </c>
      <c r="W415">
        <f>INDEX([1]Parameters!$A$3:$C$5,MATCH('[1]Pizza Sales Calculations'!E415,[1]Parameters!$A$3:$A$5,0),2)</f>
        <v>14</v>
      </c>
      <c r="X415" t="e">
        <f>INDEX([1]Parameters!$A$3:$C$5,MATCH('[1]Pizza Sales Calculations'!F415,[1]Parameters!$A$3:$A$5,0),2)</f>
        <v>#N/A</v>
      </c>
    </row>
    <row r="416" spans="1:24" x14ac:dyDescent="0.3">
      <c r="A416">
        <v>415</v>
      </c>
      <c r="B416" s="14">
        <v>42374.576539351852</v>
      </c>
      <c r="C416" s="14">
        <v>42374.586956018517</v>
      </c>
      <c r="D416" t="s">
        <v>3</v>
      </c>
      <c r="E416" t="s">
        <v>4</v>
      </c>
      <c r="G416" t="b">
        <v>1</v>
      </c>
      <c r="H416">
        <v>70805</v>
      </c>
      <c r="I416" s="5">
        <v>3.9136668149684799</v>
      </c>
      <c r="J416" s="14">
        <v>42374.600543981483</v>
      </c>
      <c r="K416">
        <v>19.579999999999998</v>
      </c>
      <c r="L416" s="5">
        <f>('[1]Pizza Sales Calculations'!$J416-'[1]Pizza Sales Calculations'!$C416)*24*60</f>
        <v>19.566666672471911</v>
      </c>
      <c r="M416">
        <f>COUNTA('[1]Pizza Sales Calculations'!$D416:$F416)</f>
        <v>2</v>
      </c>
      <c r="N416">
        <f>IFERROR(VLOOKUP(D416,[1]Parameters!$A$3:$C$5,3,FALSE),0)</f>
        <v>1</v>
      </c>
      <c r="O416">
        <f>IFERROR(VLOOKUP(E416,[1]Parameters!$A$3:$C$5,3,FALSE),0)</f>
        <v>1.7</v>
      </c>
      <c r="P416">
        <f>IFERROR(VLOOKUP(F416,[1]Parameters!$A$3:$C$5,3,FALSE),0)</f>
        <v>0</v>
      </c>
      <c r="Q416">
        <f t="shared" si="6"/>
        <v>2.7</v>
      </c>
      <c r="R416" s="10">
        <f>IF('[1]Pizza Sales Calculations'!$G416=TRUE, [1]Parameters!$B$17*'[1]Pizza Sales Calculations'!$L416*2, 0)</f>
        <v>5.543888890533708</v>
      </c>
      <c r="S416" t="str">
        <f>IF(I416&lt;[1]Parameters!$B$21,"TRUE","FALSE")</f>
        <v>FALSE</v>
      </c>
      <c r="T416" s="5">
        <f>(I416/[1]Parameters!$B$25)*60</f>
        <v>7.8273336299369598</v>
      </c>
      <c r="U416" s="10">
        <f>IF(AND('[1]Pizza Sales Calculations'!G416=TRUE,'[1]Pizza Sales Calculations'!S416="TRUE"),T416*[1]Parameters!$B$40*2,0)</f>
        <v>0</v>
      </c>
      <c r="V416">
        <f>INDEX([1]Parameters!$A$3:$C$5,MATCH('[1]Pizza Sales Calculations'!D416,[1]Parameters!$A$3:$A$5,0),2)</f>
        <v>7</v>
      </c>
      <c r="W416">
        <f>INDEX([1]Parameters!$A$3:$C$5,MATCH('[1]Pizza Sales Calculations'!E416,[1]Parameters!$A$3:$A$5,0),2)</f>
        <v>10</v>
      </c>
      <c r="X416" t="e">
        <f>INDEX([1]Parameters!$A$3:$C$5,MATCH('[1]Pizza Sales Calculations'!F416,[1]Parameters!$A$3:$A$5,0),2)</f>
        <v>#N/A</v>
      </c>
    </row>
    <row r="417" spans="1:24" x14ac:dyDescent="0.3">
      <c r="A417">
        <v>416</v>
      </c>
      <c r="B417" s="14">
        <v>42374.523692129631</v>
      </c>
      <c r="C417" s="14">
        <v>42374.534108796295</v>
      </c>
      <c r="D417" t="s">
        <v>3</v>
      </c>
      <c r="E417" t="s">
        <v>5</v>
      </c>
      <c r="G417" t="b">
        <v>1</v>
      </c>
      <c r="H417">
        <v>70806</v>
      </c>
      <c r="I417" s="5">
        <v>3.2953934753319101</v>
      </c>
      <c r="J417" s="14">
        <v>42374.545543981483</v>
      </c>
      <c r="K417">
        <v>23.34</v>
      </c>
      <c r="L417" s="5">
        <f>('[1]Pizza Sales Calculations'!$J417-'[1]Pizza Sales Calculations'!$C417)*24*60</f>
        <v>16.466666670748964</v>
      </c>
      <c r="M417">
        <f>COUNTA('[1]Pizza Sales Calculations'!$D417:$F417)</f>
        <v>2</v>
      </c>
      <c r="N417">
        <f>IFERROR(VLOOKUP(D417,[1]Parameters!$A$3:$C$5,3,FALSE),0)</f>
        <v>1</v>
      </c>
      <c r="O417">
        <f>IFERROR(VLOOKUP(E417,[1]Parameters!$A$3:$C$5,3,FALSE),0)</f>
        <v>2.2999999999999998</v>
      </c>
      <c r="P417">
        <f>IFERROR(VLOOKUP(F417,[1]Parameters!$A$3:$C$5,3,FALSE),0)</f>
        <v>0</v>
      </c>
      <c r="Q417">
        <f t="shared" si="6"/>
        <v>3.3</v>
      </c>
      <c r="R417" s="10">
        <f>IF('[1]Pizza Sales Calculations'!$G417=TRUE, [1]Parameters!$B$17*'[1]Pizza Sales Calculations'!$L417*2, 0)</f>
        <v>4.6655555567122065</v>
      </c>
      <c r="S417" t="str">
        <f>IF(I417&lt;[1]Parameters!$B$21,"TRUE","FALSE")</f>
        <v>FALSE</v>
      </c>
      <c r="T417" s="5">
        <f>(I417/[1]Parameters!$B$25)*60</f>
        <v>6.5907869506638201</v>
      </c>
      <c r="U417" s="10">
        <f>IF(AND('[1]Pizza Sales Calculations'!G417=TRUE,'[1]Pizza Sales Calculations'!S417="TRUE"),T417*[1]Parameters!$B$40*2,0)</f>
        <v>0</v>
      </c>
      <c r="V417">
        <f>INDEX([1]Parameters!$A$3:$C$5,MATCH('[1]Pizza Sales Calculations'!D417,[1]Parameters!$A$3:$A$5,0),2)</f>
        <v>7</v>
      </c>
      <c r="W417">
        <f>INDEX([1]Parameters!$A$3:$C$5,MATCH('[1]Pizza Sales Calculations'!E417,[1]Parameters!$A$3:$A$5,0),2)</f>
        <v>14</v>
      </c>
      <c r="X417" t="e">
        <f>INDEX([1]Parameters!$A$3:$C$5,MATCH('[1]Pizza Sales Calculations'!F417,[1]Parameters!$A$3:$A$5,0),2)</f>
        <v>#N/A</v>
      </c>
    </row>
    <row r="418" spans="1:24" x14ac:dyDescent="0.3">
      <c r="A418">
        <v>417</v>
      </c>
      <c r="B418" s="14">
        <v>42374.449363425927</v>
      </c>
      <c r="C418" s="14">
        <v>42374.459780092591</v>
      </c>
      <c r="D418" t="s">
        <v>3</v>
      </c>
      <c r="G418" t="b">
        <v>1</v>
      </c>
      <c r="H418">
        <v>70804</v>
      </c>
      <c r="I418" s="5">
        <v>0.689845506353301</v>
      </c>
      <c r="J418" s="14">
        <v>42374.462164351855</v>
      </c>
      <c r="K418">
        <v>7.99</v>
      </c>
      <c r="L418" s="5">
        <f>('[1]Pizza Sales Calculations'!$J418-'[1]Pizza Sales Calculations'!$C418)*24*60</f>
        <v>3.4333333396352828</v>
      </c>
      <c r="M418">
        <f>COUNTA('[1]Pizza Sales Calculations'!$D418:$F418)</f>
        <v>1</v>
      </c>
      <c r="N418">
        <f>IFERROR(VLOOKUP(D418,[1]Parameters!$A$3:$C$5,3,FALSE),0)</f>
        <v>1</v>
      </c>
      <c r="O418">
        <f>IFERROR(VLOOKUP(E418,[1]Parameters!$A$3:$C$5,3,FALSE),0)</f>
        <v>0</v>
      </c>
      <c r="P418">
        <f>IFERROR(VLOOKUP(F418,[1]Parameters!$A$3:$C$5,3,FALSE),0)</f>
        <v>0</v>
      </c>
      <c r="Q418">
        <f t="shared" si="6"/>
        <v>1</v>
      </c>
      <c r="R418" s="10">
        <f>IF('[1]Pizza Sales Calculations'!$G418=TRUE, [1]Parameters!$B$17*'[1]Pizza Sales Calculations'!$L418*2, 0)</f>
        <v>0.97277777956333011</v>
      </c>
      <c r="S418" t="str">
        <f>IF(I418&lt;[1]Parameters!$B$21,"TRUE","FALSE")</f>
        <v>TRUE</v>
      </c>
      <c r="T418" s="5">
        <f>(I418/[1]Parameters!$B$25)*60</f>
        <v>1.379691012706602</v>
      </c>
      <c r="U418" s="10">
        <f>IF(AND('[1]Pizza Sales Calculations'!G418=TRUE,'[1]Pizza Sales Calculations'!S418="TRUE"),T418*[1]Parameters!$B$40*2,0)</f>
        <v>8.6123938989526527E-2</v>
      </c>
      <c r="V418">
        <f>INDEX([1]Parameters!$A$3:$C$5,MATCH('[1]Pizza Sales Calculations'!D418,[1]Parameters!$A$3:$A$5,0),2)</f>
        <v>7</v>
      </c>
      <c r="W418" t="e">
        <f>INDEX([1]Parameters!$A$3:$C$5,MATCH('[1]Pizza Sales Calculations'!E418,[1]Parameters!$A$3:$A$5,0),2)</f>
        <v>#N/A</v>
      </c>
      <c r="X418" t="e">
        <f>INDEX([1]Parameters!$A$3:$C$5,MATCH('[1]Pizza Sales Calculations'!F418,[1]Parameters!$A$3:$A$5,0),2)</f>
        <v>#N/A</v>
      </c>
    </row>
    <row r="419" spans="1:24" x14ac:dyDescent="0.3">
      <c r="A419">
        <v>418</v>
      </c>
      <c r="B419" s="14">
        <v>42374.484467592592</v>
      </c>
      <c r="C419" s="14">
        <v>42374.494872685187</v>
      </c>
      <c r="D419" t="s">
        <v>4</v>
      </c>
      <c r="G419" t="b">
        <v>0</v>
      </c>
      <c r="H419">
        <v>70806</v>
      </c>
      <c r="I419" s="5">
        <v>0</v>
      </c>
      <c r="J419" s="14">
        <v>42374.496967592589</v>
      </c>
      <c r="K419">
        <v>11.59</v>
      </c>
      <c r="L419" s="5">
        <f>('[1]Pizza Sales Calculations'!$J419-'[1]Pizza Sales Calculations'!$C419)*24*60</f>
        <v>3.0166666593868285</v>
      </c>
      <c r="M419">
        <f>COUNTA('[1]Pizza Sales Calculations'!$D419:$F419)</f>
        <v>1</v>
      </c>
      <c r="N419">
        <f>IFERROR(VLOOKUP(D419,[1]Parameters!$A$3:$C$5,3,FALSE),0)</f>
        <v>1.7</v>
      </c>
      <c r="O419">
        <f>IFERROR(VLOOKUP(E419,[1]Parameters!$A$3:$C$5,3,FALSE),0)</f>
        <v>0</v>
      </c>
      <c r="P419">
        <f>IFERROR(VLOOKUP(F419,[1]Parameters!$A$3:$C$5,3,FALSE),0)</f>
        <v>0</v>
      </c>
      <c r="Q419">
        <f t="shared" si="6"/>
        <v>1.7</v>
      </c>
      <c r="R419" s="10">
        <f>IF('[1]Pizza Sales Calculations'!$G419=TRUE, [1]Parameters!$B$17*'[1]Pizza Sales Calculations'!$L419*2, 0)</f>
        <v>0</v>
      </c>
      <c r="S419" t="str">
        <f>IF(I419&lt;[1]Parameters!$B$21,"TRUE","FALSE")</f>
        <v>TRUE</v>
      </c>
      <c r="T419" s="5">
        <f>(I419/[1]Parameters!$B$25)*60</f>
        <v>0</v>
      </c>
      <c r="U419" s="10">
        <f>IF(AND('[1]Pizza Sales Calculations'!G419=TRUE,'[1]Pizza Sales Calculations'!S419="TRUE"),T419*[1]Parameters!$B$40*2,0)</f>
        <v>0</v>
      </c>
      <c r="V419">
        <f>INDEX([1]Parameters!$A$3:$C$5,MATCH('[1]Pizza Sales Calculations'!D419,[1]Parameters!$A$3:$A$5,0),2)</f>
        <v>10</v>
      </c>
      <c r="W419" t="e">
        <f>INDEX([1]Parameters!$A$3:$C$5,MATCH('[1]Pizza Sales Calculations'!E419,[1]Parameters!$A$3:$A$5,0),2)</f>
        <v>#N/A</v>
      </c>
      <c r="X419" t="e">
        <f>INDEX([1]Parameters!$A$3:$C$5,MATCH('[1]Pizza Sales Calculations'!F419,[1]Parameters!$A$3:$A$5,0),2)</f>
        <v>#N/A</v>
      </c>
    </row>
    <row r="420" spans="1:24" x14ac:dyDescent="0.3">
      <c r="A420">
        <v>419</v>
      </c>
      <c r="B420" s="14">
        <v>42374.517638888887</v>
      </c>
      <c r="C420" s="14">
        <v>42374.528043981481</v>
      </c>
      <c r="D420" t="s">
        <v>5</v>
      </c>
      <c r="G420" t="b">
        <v>0</v>
      </c>
      <c r="H420">
        <v>70803</v>
      </c>
      <c r="I420" s="5">
        <v>0</v>
      </c>
      <c r="J420" s="14">
        <v>42374.530115740738</v>
      </c>
      <c r="K420">
        <v>15.35</v>
      </c>
      <c r="L420" s="5">
        <f>('[1]Pizza Sales Calculations'!$J420-'[1]Pizza Sales Calculations'!$C420)*24*60</f>
        <v>2.9833333287388086</v>
      </c>
      <c r="M420">
        <f>COUNTA('[1]Pizza Sales Calculations'!$D420:$F420)</f>
        <v>1</v>
      </c>
      <c r="N420">
        <f>IFERROR(VLOOKUP(D420,[1]Parameters!$A$3:$C$5,3,FALSE),0)</f>
        <v>2.2999999999999998</v>
      </c>
      <c r="O420">
        <f>IFERROR(VLOOKUP(E420,[1]Parameters!$A$3:$C$5,3,FALSE),0)</f>
        <v>0</v>
      </c>
      <c r="P420">
        <f>IFERROR(VLOOKUP(F420,[1]Parameters!$A$3:$C$5,3,FALSE),0)</f>
        <v>0</v>
      </c>
      <c r="Q420">
        <f t="shared" si="6"/>
        <v>2.2999999999999998</v>
      </c>
      <c r="R420" s="10">
        <f>IF('[1]Pizza Sales Calculations'!$G420=TRUE, [1]Parameters!$B$17*'[1]Pizza Sales Calculations'!$L420*2, 0)</f>
        <v>0</v>
      </c>
      <c r="S420" t="str">
        <f>IF(I420&lt;[1]Parameters!$B$21,"TRUE","FALSE")</f>
        <v>TRUE</v>
      </c>
      <c r="T420" s="5">
        <f>(I420/[1]Parameters!$B$25)*60</f>
        <v>0</v>
      </c>
      <c r="U420" s="10">
        <f>IF(AND('[1]Pizza Sales Calculations'!G420=TRUE,'[1]Pizza Sales Calculations'!S420="TRUE"),T420*[1]Parameters!$B$40*2,0)</f>
        <v>0</v>
      </c>
      <c r="V420">
        <f>INDEX([1]Parameters!$A$3:$C$5,MATCH('[1]Pizza Sales Calculations'!D420,[1]Parameters!$A$3:$A$5,0),2)</f>
        <v>14</v>
      </c>
      <c r="W420" t="e">
        <f>INDEX([1]Parameters!$A$3:$C$5,MATCH('[1]Pizza Sales Calculations'!E420,[1]Parameters!$A$3:$A$5,0),2)</f>
        <v>#N/A</v>
      </c>
      <c r="X420" t="e">
        <f>INDEX([1]Parameters!$A$3:$C$5,MATCH('[1]Pizza Sales Calculations'!F420,[1]Parameters!$A$3:$A$5,0),2)</f>
        <v>#N/A</v>
      </c>
    </row>
    <row r="421" spans="1:24" x14ac:dyDescent="0.3">
      <c r="A421">
        <v>420</v>
      </c>
      <c r="B421" s="14">
        <v>42374.42728009259</v>
      </c>
      <c r="C421" s="14">
        <v>42374.437685185185</v>
      </c>
      <c r="D421" t="s">
        <v>3</v>
      </c>
      <c r="E421" t="s">
        <v>4</v>
      </c>
      <c r="G421" t="b">
        <v>0</v>
      </c>
      <c r="H421">
        <v>70806</v>
      </c>
      <c r="I421" s="5">
        <v>0</v>
      </c>
      <c r="J421" s="14">
        <v>42374.439745370371</v>
      </c>
      <c r="K421">
        <v>19.579999999999998</v>
      </c>
      <c r="L421" s="5">
        <f>('[1]Pizza Sales Calculations'!$J421-'[1]Pizza Sales Calculations'!$C421)*24*60</f>
        <v>2.9666666686534882</v>
      </c>
      <c r="M421">
        <f>COUNTA('[1]Pizza Sales Calculations'!$D421:$F421)</f>
        <v>2</v>
      </c>
      <c r="N421">
        <f>IFERROR(VLOOKUP(D421,[1]Parameters!$A$3:$C$5,3,FALSE),0)</f>
        <v>1</v>
      </c>
      <c r="O421">
        <f>IFERROR(VLOOKUP(E421,[1]Parameters!$A$3:$C$5,3,FALSE),0)</f>
        <v>1.7</v>
      </c>
      <c r="P421">
        <f>IFERROR(VLOOKUP(F421,[1]Parameters!$A$3:$C$5,3,FALSE),0)</f>
        <v>0</v>
      </c>
      <c r="Q421">
        <f t="shared" si="6"/>
        <v>2.7</v>
      </c>
      <c r="R421" s="10">
        <f>IF('[1]Pizza Sales Calculations'!$G421=TRUE, [1]Parameters!$B$17*'[1]Pizza Sales Calculations'!$L421*2, 0)</f>
        <v>0</v>
      </c>
      <c r="S421" t="str">
        <f>IF(I421&lt;[1]Parameters!$B$21,"TRUE","FALSE")</f>
        <v>TRUE</v>
      </c>
      <c r="T421" s="5">
        <f>(I421/[1]Parameters!$B$25)*60</f>
        <v>0</v>
      </c>
      <c r="U421" s="10">
        <f>IF(AND('[1]Pizza Sales Calculations'!G421=TRUE,'[1]Pizza Sales Calculations'!S421="TRUE"),T421*[1]Parameters!$B$40*2,0)</f>
        <v>0</v>
      </c>
      <c r="V421">
        <f>INDEX([1]Parameters!$A$3:$C$5,MATCH('[1]Pizza Sales Calculations'!D421,[1]Parameters!$A$3:$A$5,0),2)</f>
        <v>7</v>
      </c>
      <c r="W421">
        <f>INDEX([1]Parameters!$A$3:$C$5,MATCH('[1]Pizza Sales Calculations'!E421,[1]Parameters!$A$3:$A$5,0),2)</f>
        <v>10</v>
      </c>
      <c r="X421" t="e">
        <f>INDEX([1]Parameters!$A$3:$C$5,MATCH('[1]Pizza Sales Calculations'!F421,[1]Parameters!$A$3:$A$5,0),2)</f>
        <v>#N/A</v>
      </c>
    </row>
    <row r="422" spans="1:24" x14ac:dyDescent="0.3">
      <c r="A422">
        <v>421</v>
      </c>
      <c r="B422" s="14">
        <v>42374.425532407404</v>
      </c>
      <c r="C422" s="14">
        <v>42374.435937499999</v>
      </c>
      <c r="D422" t="s">
        <v>4</v>
      </c>
      <c r="G422" t="b">
        <v>0</v>
      </c>
      <c r="H422">
        <v>70807</v>
      </c>
      <c r="I422" s="5">
        <v>0</v>
      </c>
      <c r="J422" s="14">
        <v>42374.438009259262</v>
      </c>
      <c r="K422">
        <v>11.59</v>
      </c>
      <c r="L422" s="5">
        <f>('[1]Pizza Sales Calculations'!$J422-'[1]Pizza Sales Calculations'!$C422)*24*60</f>
        <v>2.9833333392161876</v>
      </c>
      <c r="M422">
        <f>COUNTA('[1]Pizza Sales Calculations'!$D422:$F422)</f>
        <v>1</v>
      </c>
      <c r="N422">
        <f>IFERROR(VLOOKUP(D422,[1]Parameters!$A$3:$C$5,3,FALSE),0)</f>
        <v>1.7</v>
      </c>
      <c r="O422">
        <f>IFERROR(VLOOKUP(E422,[1]Parameters!$A$3:$C$5,3,FALSE),0)</f>
        <v>0</v>
      </c>
      <c r="P422">
        <f>IFERROR(VLOOKUP(F422,[1]Parameters!$A$3:$C$5,3,FALSE),0)</f>
        <v>0</v>
      </c>
      <c r="Q422">
        <f t="shared" si="6"/>
        <v>1.7</v>
      </c>
      <c r="R422" s="10">
        <f>IF('[1]Pizza Sales Calculations'!$G422=TRUE, [1]Parameters!$B$17*'[1]Pizza Sales Calculations'!$L422*2, 0)</f>
        <v>0</v>
      </c>
      <c r="S422" t="str">
        <f>IF(I422&lt;[1]Parameters!$B$21,"TRUE","FALSE")</f>
        <v>TRUE</v>
      </c>
      <c r="T422" s="5">
        <f>(I422/[1]Parameters!$B$25)*60</f>
        <v>0</v>
      </c>
      <c r="U422" s="10">
        <f>IF(AND('[1]Pizza Sales Calculations'!G422=TRUE,'[1]Pizza Sales Calculations'!S422="TRUE"),T422*[1]Parameters!$B$40*2,0)</f>
        <v>0</v>
      </c>
      <c r="V422">
        <f>INDEX([1]Parameters!$A$3:$C$5,MATCH('[1]Pizza Sales Calculations'!D422,[1]Parameters!$A$3:$A$5,0),2)</f>
        <v>10</v>
      </c>
      <c r="W422" t="e">
        <f>INDEX([1]Parameters!$A$3:$C$5,MATCH('[1]Pizza Sales Calculations'!E422,[1]Parameters!$A$3:$A$5,0),2)</f>
        <v>#N/A</v>
      </c>
      <c r="X422" t="e">
        <f>INDEX([1]Parameters!$A$3:$C$5,MATCH('[1]Pizza Sales Calculations'!F422,[1]Parameters!$A$3:$A$5,0),2)</f>
        <v>#N/A</v>
      </c>
    </row>
    <row r="423" spans="1:24" x14ac:dyDescent="0.3">
      <c r="A423">
        <v>422</v>
      </c>
      <c r="B423" s="14">
        <v>42374.527118055557</v>
      </c>
      <c r="C423" s="14">
        <v>42374.537534722222</v>
      </c>
      <c r="D423" t="s">
        <v>5</v>
      </c>
      <c r="G423" t="b">
        <v>1</v>
      </c>
      <c r="H423">
        <v>70803</v>
      </c>
      <c r="I423" s="5">
        <v>3.2836951868528002</v>
      </c>
      <c r="J423" s="14">
        <v>42374.548935185187</v>
      </c>
      <c r="K423">
        <v>15.35</v>
      </c>
      <c r="L423" s="5">
        <f>('[1]Pizza Sales Calculations'!$J423-'[1]Pizza Sales Calculations'!$C423)*24*60</f>
        <v>16.416666669538245</v>
      </c>
      <c r="M423">
        <f>COUNTA('[1]Pizza Sales Calculations'!$D423:$F423)</f>
        <v>1</v>
      </c>
      <c r="N423">
        <f>IFERROR(VLOOKUP(D423,[1]Parameters!$A$3:$C$5,3,FALSE),0)</f>
        <v>2.2999999999999998</v>
      </c>
      <c r="O423">
        <f>IFERROR(VLOOKUP(E423,[1]Parameters!$A$3:$C$5,3,FALSE),0)</f>
        <v>0</v>
      </c>
      <c r="P423">
        <f>IFERROR(VLOOKUP(F423,[1]Parameters!$A$3:$C$5,3,FALSE),0)</f>
        <v>0</v>
      </c>
      <c r="Q423">
        <f t="shared" si="6"/>
        <v>2.2999999999999998</v>
      </c>
      <c r="R423" s="10">
        <f>IF('[1]Pizza Sales Calculations'!$G423=TRUE, [1]Parameters!$B$17*'[1]Pizza Sales Calculations'!$L423*2, 0)</f>
        <v>4.6513888897025026</v>
      </c>
      <c r="S423" t="str">
        <f>IF(I423&lt;[1]Parameters!$B$21,"TRUE","FALSE")</f>
        <v>FALSE</v>
      </c>
      <c r="T423" s="5">
        <f>(I423/[1]Parameters!$B$25)*60</f>
        <v>6.5673903737056003</v>
      </c>
      <c r="U423" s="10">
        <f>IF(AND('[1]Pizza Sales Calculations'!G423=TRUE,'[1]Pizza Sales Calculations'!S423="TRUE"),T423*[1]Parameters!$B$40*2,0)</f>
        <v>0</v>
      </c>
      <c r="V423">
        <f>INDEX([1]Parameters!$A$3:$C$5,MATCH('[1]Pizza Sales Calculations'!D423,[1]Parameters!$A$3:$A$5,0),2)</f>
        <v>14</v>
      </c>
      <c r="W423" t="e">
        <f>INDEX([1]Parameters!$A$3:$C$5,MATCH('[1]Pizza Sales Calculations'!E423,[1]Parameters!$A$3:$A$5,0),2)</f>
        <v>#N/A</v>
      </c>
      <c r="X423" t="e">
        <f>INDEX([1]Parameters!$A$3:$C$5,MATCH('[1]Pizza Sales Calculations'!F423,[1]Parameters!$A$3:$A$5,0),2)</f>
        <v>#N/A</v>
      </c>
    </row>
    <row r="424" spans="1:24" x14ac:dyDescent="0.3">
      <c r="A424">
        <v>423</v>
      </c>
      <c r="B424" s="14">
        <v>42374.509027777778</v>
      </c>
      <c r="C424" s="14">
        <v>42374.519456018519</v>
      </c>
      <c r="D424" t="s">
        <v>4</v>
      </c>
      <c r="G424" t="b">
        <v>1</v>
      </c>
      <c r="H424">
        <v>70805</v>
      </c>
      <c r="I424" s="5">
        <v>4.6167869727311404</v>
      </c>
      <c r="J424" s="14">
        <v>42374.535486111112</v>
      </c>
      <c r="K424">
        <v>11.59</v>
      </c>
      <c r="L424" s="5">
        <f>('[1]Pizza Sales Calculations'!$J424-'[1]Pizza Sales Calculations'!$C424)*24*60</f>
        <v>23.083333333488554</v>
      </c>
      <c r="M424">
        <f>COUNTA('[1]Pizza Sales Calculations'!$D424:$F424)</f>
        <v>1</v>
      </c>
      <c r="N424">
        <f>IFERROR(VLOOKUP(D424,[1]Parameters!$A$3:$C$5,3,FALSE),0)</f>
        <v>1.7</v>
      </c>
      <c r="O424">
        <f>IFERROR(VLOOKUP(E424,[1]Parameters!$A$3:$C$5,3,FALSE),0)</f>
        <v>0</v>
      </c>
      <c r="P424">
        <f>IFERROR(VLOOKUP(F424,[1]Parameters!$A$3:$C$5,3,FALSE),0)</f>
        <v>0</v>
      </c>
      <c r="Q424">
        <f t="shared" si="6"/>
        <v>1.7</v>
      </c>
      <c r="R424" s="10">
        <f>IF('[1]Pizza Sales Calculations'!$G424=TRUE, [1]Parameters!$B$17*'[1]Pizza Sales Calculations'!$L424*2, 0)</f>
        <v>6.5402777778217569</v>
      </c>
      <c r="S424" t="str">
        <f>IF(I424&lt;[1]Parameters!$B$21,"TRUE","FALSE")</f>
        <v>FALSE</v>
      </c>
      <c r="T424" s="5">
        <f>(I424/[1]Parameters!$B$25)*60</f>
        <v>9.2335739454622807</v>
      </c>
      <c r="U424" s="10">
        <f>IF(AND('[1]Pizza Sales Calculations'!G424=TRUE,'[1]Pizza Sales Calculations'!S424="TRUE"),T424*[1]Parameters!$B$40*2,0)</f>
        <v>0</v>
      </c>
      <c r="V424">
        <f>INDEX([1]Parameters!$A$3:$C$5,MATCH('[1]Pizza Sales Calculations'!D424,[1]Parameters!$A$3:$A$5,0),2)</f>
        <v>10</v>
      </c>
      <c r="W424" t="e">
        <f>INDEX([1]Parameters!$A$3:$C$5,MATCH('[1]Pizza Sales Calculations'!E424,[1]Parameters!$A$3:$A$5,0),2)</f>
        <v>#N/A</v>
      </c>
      <c r="X424" t="e">
        <f>INDEX([1]Parameters!$A$3:$C$5,MATCH('[1]Pizza Sales Calculations'!F424,[1]Parameters!$A$3:$A$5,0),2)</f>
        <v>#N/A</v>
      </c>
    </row>
    <row r="425" spans="1:24" x14ac:dyDescent="0.3">
      <c r="A425">
        <v>424</v>
      </c>
      <c r="B425" s="14">
        <v>42374.492476851854</v>
      </c>
      <c r="C425" s="14">
        <v>42374.502893518518</v>
      </c>
      <c r="D425" t="s">
        <v>5</v>
      </c>
      <c r="G425" t="b">
        <v>0</v>
      </c>
      <c r="H425">
        <v>70804</v>
      </c>
      <c r="I425" s="5">
        <v>0</v>
      </c>
      <c r="J425" s="14">
        <v>42374.504965277774</v>
      </c>
      <c r="K425">
        <v>15.35</v>
      </c>
      <c r="L425" s="5">
        <f>('[1]Pizza Sales Calculations'!$J425-'[1]Pizza Sales Calculations'!$C425)*24*60</f>
        <v>2.9833333287388086</v>
      </c>
      <c r="M425">
        <f>COUNTA('[1]Pizza Sales Calculations'!$D425:$F425)</f>
        <v>1</v>
      </c>
      <c r="N425">
        <f>IFERROR(VLOOKUP(D425,[1]Parameters!$A$3:$C$5,3,FALSE),0)</f>
        <v>2.2999999999999998</v>
      </c>
      <c r="O425">
        <f>IFERROR(VLOOKUP(E425,[1]Parameters!$A$3:$C$5,3,FALSE),0)</f>
        <v>0</v>
      </c>
      <c r="P425">
        <f>IFERROR(VLOOKUP(F425,[1]Parameters!$A$3:$C$5,3,FALSE),0)</f>
        <v>0</v>
      </c>
      <c r="Q425">
        <f t="shared" si="6"/>
        <v>2.2999999999999998</v>
      </c>
      <c r="R425" s="10">
        <f>IF('[1]Pizza Sales Calculations'!$G425=TRUE, [1]Parameters!$B$17*'[1]Pizza Sales Calculations'!$L425*2, 0)</f>
        <v>0</v>
      </c>
      <c r="S425" t="str">
        <f>IF(I425&lt;[1]Parameters!$B$21,"TRUE","FALSE")</f>
        <v>TRUE</v>
      </c>
      <c r="T425" s="5">
        <f>(I425/[1]Parameters!$B$25)*60</f>
        <v>0</v>
      </c>
      <c r="U425" s="10">
        <f>IF(AND('[1]Pizza Sales Calculations'!G425=TRUE,'[1]Pizza Sales Calculations'!S425="TRUE"),T425*[1]Parameters!$B$40*2,0)</f>
        <v>0</v>
      </c>
      <c r="V425">
        <f>INDEX([1]Parameters!$A$3:$C$5,MATCH('[1]Pizza Sales Calculations'!D425,[1]Parameters!$A$3:$A$5,0),2)</f>
        <v>14</v>
      </c>
      <c r="W425" t="e">
        <f>INDEX([1]Parameters!$A$3:$C$5,MATCH('[1]Pizza Sales Calculations'!E425,[1]Parameters!$A$3:$A$5,0),2)</f>
        <v>#N/A</v>
      </c>
      <c r="X425" t="e">
        <f>INDEX([1]Parameters!$A$3:$C$5,MATCH('[1]Pizza Sales Calculations'!F425,[1]Parameters!$A$3:$A$5,0),2)</f>
        <v>#N/A</v>
      </c>
    </row>
    <row r="426" spans="1:24" x14ac:dyDescent="0.3">
      <c r="A426">
        <v>425</v>
      </c>
      <c r="B426" s="14">
        <v>42374.460543981484</v>
      </c>
      <c r="C426" s="14">
        <v>42374.470960648148</v>
      </c>
      <c r="D426" t="s">
        <v>5</v>
      </c>
      <c r="G426" t="b">
        <v>0</v>
      </c>
      <c r="H426">
        <v>70803</v>
      </c>
      <c r="I426" s="5">
        <v>0</v>
      </c>
      <c r="J426" s="14">
        <v>42374.473020833335</v>
      </c>
      <c r="K426">
        <v>15.35</v>
      </c>
      <c r="L426" s="5">
        <f>('[1]Pizza Sales Calculations'!$J426-'[1]Pizza Sales Calculations'!$C426)*24*60</f>
        <v>2.9666666686534882</v>
      </c>
      <c r="M426">
        <f>COUNTA('[1]Pizza Sales Calculations'!$D426:$F426)</f>
        <v>1</v>
      </c>
      <c r="N426">
        <f>IFERROR(VLOOKUP(D426,[1]Parameters!$A$3:$C$5,3,FALSE),0)</f>
        <v>2.2999999999999998</v>
      </c>
      <c r="O426">
        <f>IFERROR(VLOOKUP(E426,[1]Parameters!$A$3:$C$5,3,FALSE),0)</f>
        <v>0</v>
      </c>
      <c r="P426">
        <f>IFERROR(VLOOKUP(F426,[1]Parameters!$A$3:$C$5,3,FALSE),0)</f>
        <v>0</v>
      </c>
      <c r="Q426">
        <f t="shared" si="6"/>
        <v>2.2999999999999998</v>
      </c>
      <c r="R426" s="10">
        <f>IF('[1]Pizza Sales Calculations'!$G426=TRUE, [1]Parameters!$B$17*'[1]Pizza Sales Calculations'!$L426*2, 0)</f>
        <v>0</v>
      </c>
      <c r="S426" t="str">
        <f>IF(I426&lt;[1]Parameters!$B$21,"TRUE","FALSE")</f>
        <v>TRUE</v>
      </c>
      <c r="T426" s="5">
        <f>(I426/[1]Parameters!$B$25)*60</f>
        <v>0</v>
      </c>
      <c r="U426" s="10">
        <f>IF(AND('[1]Pizza Sales Calculations'!G426=TRUE,'[1]Pizza Sales Calculations'!S426="TRUE"),T426*[1]Parameters!$B$40*2,0)</f>
        <v>0</v>
      </c>
      <c r="V426">
        <f>INDEX([1]Parameters!$A$3:$C$5,MATCH('[1]Pizza Sales Calculations'!D426,[1]Parameters!$A$3:$A$5,0),2)</f>
        <v>14</v>
      </c>
      <c r="W426" t="e">
        <f>INDEX([1]Parameters!$A$3:$C$5,MATCH('[1]Pizza Sales Calculations'!E426,[1]Parameters!$A$3:$A$5,0),2)</f>
        <v>#N/A</v>
      </c>
      <c r="X426" t="e">
        <f>INDEX([1]Parameters!$A$3:$C$5,MATCH('[1]Pizza Sales Calculations'!F426,[1]Parameters!$A$3:$A$5,0),2)</f>
        <v>#N/A</v>
      </c>
    </row>
    <row r="427" spans="1:24" x14ac:dyDescent="0.3">
      <c r="A427">
        <v>426</v>
      </c>
      <c r="B427" s="14">
        <v>42374.523958333331</v>
      </c>
      <c r="C427" s="14">
        <v>42374.534363425926</v>
      </c>
      <c r="D427" t="s">
        <v>4</v>
      </c>
      <c r="G427" t="b">
        <v>0</v>
      </c>
      <c r="H427">
        <v>70805</v>
      </c>
      <c r="I427" s="5">
        <v>0</v>
      </c>
      <c r="J427" s="14">
        <v>42374.536423611113</v>
      </c>
      <c r="K427">
        <v>11.59</v>
      </c>
      <c r="L427" s="5">
        <f>('[1]Pizza Sales Calculations'!$J427-'[1]Pizza Sales Calculations'!$C427)*24*60</f>
        <v>2.9666666686534882</v>
      </c>
      <c r="M427">
        <f>COUNTA('[1]Pizza Sales Calculations'!$D427:$F427)</f>
        <v>1</v>
      </c>
      <c r="N427">
        <f>IFERROR(VLOOKUP(D427,[1]Parameters!$A$3:$C$5,3,FALSE),0)</f>
        <v>1.7</v>
      </c>
      <c r="O427">
        <f>IFERROR(VLOOKUP(E427,[1]Parameters!$A$3:$C$5,3,FALSE),0)</f>
        <v>0</v>
      </c>
      <c r="P427">
        <f>IFERROR(VLOOKUP(F427,[1]Parameters!$A$3:$C$5,3,FALSE),0)</f>
        <v>0</v>
      </c>
      <c r="Q427">
        <f t="shared" si="6"/>
        <v>1.7</v>
      </c>
      <c r="R427" s="10">
        <f>IF('[1]Pizza Sales Calculations'!$G427=TRUE, [1]Parameters!$B$17*'[1]Pizza Sales Calculations'!$L427*2, 0)</f>
        <v>0</v>
      </c>
      <c r="S427" t="str">
        <f>IF(I427&lt;[1]Parameters!$B$21,"TRUE","FALSE")</f>
        <v>TRUE</v>
      </c>
      <c r="T427" s="5">
        <f>(I427/[1]Parameters!$B$25)*60</f>
        <v>0</v>
      </c>
      <c r="U427" s="10">
        <f>IF(AND('[1]Pizza Sales Calculations'!G427=TRUE,'[1]Pizza Sales Calculations'!S427="TRUE"),T427*[1]Parameters!$B$40*2,0)</f>
        <v>0</v>
      </c>
      <c r="V427">
        <f>INDEX([1]Parameters!$A$3:$C$5,MATCH('[1]Pizza Sales Calculations'!D427,[1]Parameters!$A$3:$A$5,0),2)</f>
        <v>10</v>
      </c>
      <c r="W427" t="e">
        <f>INDEX([1]Parameters!$A$3:$C$5,MATCH('[1]Pizza Sales Calculations'!E427,[1]Parameters!$A$3:$A$5,0),2)</f>
        <v>#N/A</v>
      </c>
      <c r="X427" t="e">
        <f>INDEX([1]Parameters!$A$3:$C$5,MATCH('[1]Pizza Sales Calculations'!F427,[1]Parameters!$A$3:$A$5,0),2)</f>
        <v>#N/A</v>
      </c>
    </row>
    <row r="428" spans="1:24" x14ac:dyDescent="0.3">
      <c r="A428">
        <v>427</v>
      </c>
      <c r="B428" s="14">
        <v>42374.452488425923</v>
      </c>
      <c r="C428" s="14">
        <v>42374.462893518517</v>
      </c>
      <c r="D428" t="s">
        <v>5</v>
      </c>
      <c r="G428" t="b">
        <v>1</v>
      </c>
      <c r="H428">
        <v>70804</v>
      </c>
      <c r="I428" s="5">
        <v>2.4539297233034501</v>
      </c>
      <c r="J428" s="14">
        <v>42374.471412037034</v>
      </c>
      <c r="K428">
        <v>15.35</v>
      </c>
      <c r="L428" s="5">
        <f>('[1]Pizza Sales Calculations'!$J428-'[1]Pizza Sales Calculations'!$C428)*24*60</f>
        <v>12.266666663344949</v>
      </c>
      <c r="M428">
        <f>COUNTA('[1]Pizza Sales Calculations'!$D428:$F428)</f>
        <v>1</v>
      </c>
      <c r="N428">
        <f>IFERROR(VLOOKUP(D428,[1]Parameters!$A$3:$C$5,3,FALSE),0)</f>
        <v>2.2999999999999998</v>
      </c>
      <c r="O428">
        <f>IFERROR(VLOOKUP(E428,[1]Parameters!$A$3:$C$5,3,FALSE),0)</f>
        <v>0</v>
      </c>
      <c r="P428">
        <f>IFERROR(VLOOKUP(F428,[1]Parameters!$A$3:$C$5,3,FALSE),0)</f>
        <v>0</v>
      </c>
      <c r="Q428">
        <f t="shared" si="6"/>
        <v>2.2999999999999998</v>
      </c>
      <c r="R428" s="10">
        <f>IF('[1]Pizza Sales Calculations'!$G428=TRUE, [1]Parameters!$B$17*'[1]Pizza Sales Calculations'!$L428*2, 0)</f>
        <v>3.4755555546144024</v>
      </c>
      <c r="S428" t="str">
        <f>IF(I428&lt;[1]Parameters!$B$21,"TRUE","FALSE")</f>
        <v>TRUE</v>
      </c>
      <c r="T428" s="5">
        <f>(I428/[1]Parameters!$B$25)*60</f>
        <v>4.9078594466069001</v>
      </c>
      <c r="U428" s="10">
        <f>IF(AND('[1]Pizza Sales Calculations'!G428=TRUE,'[1]Pizza Sales Calculations'!S428="TRUE"),T428*[1]Parameters!$B$40*2,0)</f>
        <v>0.30636148503971589</v>
      </c>
      <c r="V428">
        <f>INDEX([1]Parameters!$A$3:$C$5,MATCH('[1]Pizza Sales Calculations'!D428,[1]Parameters!$A$3:$A$5,0),2)</f>
        <v>14</v>
      </c>
      <c r="W428" t="e">
        <f>INDEX([1]Parameters!$A$3:$C$5,MATCH('[1]Pizza Sales Calculations'!E428,[1]Parameters!$A$3:$A$5,0),2)</f>
        <v>#N/A</v>
      </c>
      <c r="X428" t="e">
        <f>INDEX([1]Parameters!$A$3:$C$5,MATCH('[1]Pizza Sales Calculations'!F428,[1]Parameters!$A$3:$A$5,0),2)</f>
        <v>#N/A</v>
      </c>
    </row>
    <row r="429" spans="1:24" x14ac:dyDescent="0.3">
      <c r="A429">
        <v>428</v>
      </c>
      <c r="B429" s="14">
        <v>42374.527812499997</v>
      </c>
      <c r="C429" s="14">
        <v>42374.538229166668</v>
      </c>
      <c r="D429" t="s">
        <v>5</v>
      </c>
      <c r="G429" t="b">
        <v>0</v>
      </c>
      <c r="H429">
        <v>70805</v>
      </c>
      <c r="I429" s="5">
        <v>0</v>
      </c>
      <c r="J429" s="14">
        <v>42374.540312500001</v>
      </c>
      <c r="K429">
        <v>15.35</v>
      </c>
      <c r="L429" s="5">
        <f>('[1]Pizza Sales Calculations'!$J429-'[1]Pizza Sales Calculations'!$C429)*24*60</f>
        <v>2.9999999993015081</v>
      </c>
      <c r="M429">
        <f>COUNTA('[1]Pizza Sales Calculations'!$D429:$F429)</f>
        <v>1</v>
      </c>
      <c r="N429">
        <f>IFERROR(VLOOKUP(D429,[1]Parameters!$A$3:$C$5,3,FALSE),0)</f>
        <v>2.2999999999999998</v>
      </c>
      <c r="O429">
        <f>IFERROR(VLOOKUP(E429,[1]Parameters!$A$3:$C$5,3,FALSE),0)</f>
        <v>0</v>
      </c>
      <c r="P429">
        <f>IFERROR(VLOOKUP(F429,[1]Parameters!$A$3:$C$5,3,FALSE),0)</f>
        <v>0</v>
      </c>
      <c r="Q429">
        <f t="shared" si="6"/>
        <v>2.2999999999999998</v>
      </c>
      <c r="R429" s="10">
        <f>IF('[1]Pizza Sales Calculations'!$G429=TRUE, [1]Parameters!$B$17*'[1]Pizza Sales Calculations'!$L429*2, 0)</f>
        <v>0</v>
      </c>
      <c r="S429" t="str">
        <f>IF(I429&lt;[1]Parameters!$B$21,"TRUE","FALSE")</f>
        <v>TRUE</v>
      </c>
      <c r="T429" s="5">
        <f>(I429/[1]Parameters!$B$25)*60</f>
        <v>0</v>
      </c>
      <c r="U429" s="10">
        <f>IF(AND('[1]Pizza Sales Calculations'!G429=TRUE,'[1]Pizza Sales Calculations'!S429="TRUE"),T429*[1]Parameters!$B$40*2,0)</f>
        <v>0</v>
      </c>
      <c r="V429">
        <f>INDEX([1]Parameters!$A$3:$C$5,MATCH('[1]Pizza Sales Calculations'!D429,[1]Parameters!$A$3:$A$5,0),2)</f>
        <v>14</v>
      </c>
      <c r="W429" t="e">
        <f>INDEX([1]Parameters!$A$3:$C$5,MATCH('[1]Pizza Sales Calculations'!E429,[1]Parameters!$A$3:$A$5,0),2)</f>
        <v>#N/A</v>
      </c>
      <c r="X429" t="e">
        <f>INDEX([1]Parameters!$A$3:$C$5,MATCH('[1]Pizza Sales Calculations'!F429,[1]Parameters!$A$3:$A$5,0),2)</f>
        <v>#N/A</v>
      </c>
    </row>
    <row r="430" spans="1:24" x14ac:dyDescent="0.3">
      <c r="A430">
        <v>429</v>
      </c>
      <c r="B430" s="14">
        <v>42374.47314814815</v>
      </c>
      <c r="C430" s="14">
        <v>42374.483541666668</v>
      </c>
      <c r="D430" t="s">
        <v>3</v>
      </c>
      <c r="E430" t="s">
        <v>4</v>
      </c>
      <c r="G430" t="b">
        <v>0</v>
      </c>
      <c r="H430">
        <v>70804</v>
      </c>
      <c r="I430" s="5">
        <v>0</v>
      </c>
      <c r="J430" s="14">
        <v>42374.485613425924</v>
      </c>
      <c r="K430">
        <v>19.579999999999998</v>
      </c>
      <c r="L430" s="5">
        <f>('[1]Pizza Sales Calculations'!$J430-'[1]Pizza Sales Calculations'!$C430)*24*60</f>
        <v>2.9833333287388086</v>
      </c>
      <c r="M430">
        <f>COUNTA('[1]Pizza Sales Calculations'!$D430:$F430)</f>
        <v>2</v>
      </c>
      <c r="N430">
        <f>IFERROR(VLOOKUP(D430,[1]Parameters!$A$3:$C$5,3,FALSE),0)</f>
        <v>1</v>
      </c>
      <c r="O430">
        <f>IFERROR(VLOOKUP(E430,[1]Parameters!$A$3:$C$5,3,FALSE),0)</f>
        <v>1.7</v>
      </c>
      <c r="P430">
        <f>IFERROR(VLOOKUP(F430,[1]Parameters!$A$3:$C$5,3,FALSE),0)</f>
        <v>0</v>
      </c>
      <c r="Q430">
        <f t="shared" si="6"/>
        <v>2.7</v>
      </c>
      <c r="R430" s="10">
        <f>IF('[1]Pizza Sales Calculations'!$G430=TRUE, [1]Parameters!$B$17*'[1]Pizza Sales Calculations'!$L430*2, 0)</f>
        <v>0</v>
      </c>
      <c r="S430" t="str">
        <f>IF(I430&lt;[1]Parameters!$B$21,"TRUE","FALSE")</f>
        <v>TRUE</v>
      </c>
      <c r="T430" s="5">
        <f>(I430/[1]Parameters!$B$25)*60</f>
        <v>0</v>
      </c>
      <c r="U430" s="10">
        <f>IF(AND('[1]Pizza Sales Calculations'!G430=TRUE,'[1]Pizza Sales Calculations'!S430="TRUE"),T430*[1]Parameters!$B$40*2,0)</f>
        <v>0</v>
      </c>
      <c r="V430">
        <f>INDEX([1]Parameters!$A$3:$C$5,MATCH('[1]Pizza Sales Calculations'!D430,[1]Parameters!$A$3:$A$5,0),2)</f>
        <v>7</v>
      </c>
      <c r="W430">
        <f>INDEX([1]Parameters!$A$3:$C$5,MATCH('[1]Pizza Sales Calculations'!E430,[1]Parameters!$A$3:$A$5,0),2)</f>
        <v>10</v>
      </c>
      <c r="X430" t="e">
        <f>INDEX([1]Parameters!$A$3:$C$5,MATCH('[1]Pizza Sales Calculations'!F430,[1]Parameters!$A$3:$A$5,0),2)</f>
        <v>#N/A</v>
      </c>
    </row>
    <row r="431" spans="1:24" x14ac:dyDescent="0.3">
      <c r="A431">
        <v>430</v>
      </c>
      <c r="B431" s="14">
        <v>42375.574120370373</v>
      </c>
      <c r="C431" s="14">
        <v>42375.584513888891</v>
      </c>
      <c r="D431" t="s">
        <v>4</v>
      </c>
      <c r="G431" t="b">
        <v>1</v>
      </c>
      <c r="H431">
        <v>70805</v>
      </c>
      <c r="I431" s="5">
        <v>3.4906561740564301</v>
      </c>
      <c r="J431" s="14">
        <v>42375.596631944441</v>
      </c>
      <c r="K431">
        <v>11.59</v>
      </c>
      <c r="L431" s="5">
        <f>('[1]Pizza Sales Calculations'!$J431-'[1]Pizza Sales Calculations'!$C431)*24*60</f>
        <v>17.449999992968515</v>
      </c>
      <c r="M431">
        <f>COUNTA('[1]Pizza Sales Calculations'!$D431:$F431)</f>
        <v>1</v>
      </c>
      <c r="N431">
        <f>IFERROR(VLOOKUP(D431,[1]Parameters!$A$3:$C$5,3,FALSE),0)</f>
        <v>1.7</v>
      </c>
      <c r="O431">
        <f>IFERROR(VLOOKUP(E431,[1]Parameters!$A$3:$C$5,3,FALSE),0)</f>
        <v>0</v>
      </c>
      <c r="P431">
        <f>IFERROR(VLOOKUP(F431,[1]Parameters!$A$3:$C$5,3,FALSE),0)</f>
        <v>0</v>
      </c>
      <c r="Q431">
        <f t="shared" si="6"/>
        <v>1.7</v>
      </c>
      <c r="R431" s="10">
        <f>IF('[1]Pizza Sales Calculations'!$G431=TRUE, [1]Parameters!$B$17*'[1]Pizza Sales Calculations'!$L431*2, 0)</f>
        <v>4.9441666646744125</v>
      </c>
      <c r="S431" t="str">
        <f>IF(I431&lt;[1]Parameters!$B$21,"TRUE","FALSE")</f>
        <v>FALSE</v>
      </c>
      <c r="T431" s="5">
        <f>(I431/[1]Parameters!$B$25)*60</f>
        <v>6.9813123481128603</v>
      </c>
      <c r="U431" s="10">
        <f>IF(AND('[1]Pizza Sales Calculations'!G431=TRUE,'[1]Pizza Sales Calculations'!S431="TRUE"),T431*[1]Parameters!$B$40*2,0)</f>
        <v>0</v>
      </c>
      <c r="V431">
        <f>INDEX([1]Parameters!$A$3:$C$5,MATCH('[1]Pizza Sales Calculations'!D431,[1]Parameters!$A$3:$A$5,0),2)</f>
        <v>10</v>
      </c>
      <c r="W431" t="e">
        <f>INDEX([1]Parameters!$A$3:$C$5,MATCH('[1]Pizza Sales Calculations'!E431,[1]Parameters!$A$3:$A$5,0),2)</f>
        <v>#N/A</v>
      </c>
      <c r="X431" t="e">
        <f>INDEX([1]Parameters!$A$3:$C$5,MATCH('[1]Pizza Sales Calculations'!F431,[1]Parameters!$A$3:$A$5,0),2)</f>
        <v>#N/A</v>
      </c>
    </row>
    <row r="432" spans="1:24" x14ac:dyDescent="0.3">
      <c r="A432">
        <v>431</v>
      </c>
      <c r="B432" s="14">
        <v>42375.493078703701</v>
      </c>
      <c r="C432" s="14">
        <v>42375.503495370373</v>
      </c>
      <c r="D432" t="s">
        <v>4</v>
      </c>
      <c r="G432" t="b">
        <v>1</v>
      </c>
      <c r="H432">
        <v>70804</v>
      </c>
      <c r="I432" s="5">
        <v>2.5775087345876302</v>
      </c>
      <c r="J432" s="14">
        <v>42375.512442129628</v>
      </c>
      <c r="K432">
        <v>11.59</v>
      </c>
      <c r="L432" s="5">
        <f>('[1]Pizza Sales Calculations'!$J432-'[1]Pizza Sales Calculations'!$C432)*24*60</f>
        <v>12.883333327481523</v>
      </c>
      <c r="M432">
        <f>COUNTA('[1]Pizza Sales Calculations'!$D432:$F432)</f>
        <v>1</v>
      </c>
      <c r="N432">
        <f>IFERROR(VLOOKUP(D432,[1]Parameters!$A$3:$C$5,3,FALSE),0)</f>
        <v>1.7</v>
      </c>
      <c r="O432">
        <f>IFERROR(VLOOKUP(E432,[1]Parameters!$A$3:$C$5,3,FALSE),0)</f>
        <v>0</v>
      </c>
      <c r="P432">
        <f>IFERROR(VLOOKUP(F432,[1]Parameters!$A$3:$C$5,3,FALSE),0)</f>
        <v>0</v>
      </c>
      <c r="Q432">
        <f t="shared" si="6"/>
        <v>1.7</v>
      </c>
      <c r="R432" s="10">
        <f>IF('[1]Pizza Sales Calculations'!$G432=TRUE, [1]Parameters!$B$17*'[1]Pizza Sales Calculations'!$L432*2, 0)</f>
        <v>3.6502777761197649</v>
      </c>
      <c r="S432" t="str">
        <f>IF(I432&lt;[1]Parameters!$B$21,"TRUE","FALSE")</f>
        <v>TRUE</v>
      </c>
      <c r="T432" s="5">
        <f>(I432/[1]Parameters!$B$25)*60</f>
        <v>5.1550174691752604</v>
      </c>
      <c r="U432" s="10">
        <f>IF(AND('[1]Pizza Sales Calculations'!G432=TRUE,'[1]Pizza Sales Calculations'!S432="TRUE"),T432*[1]Parameters!$B$40*2,0)</f>
        <v>0.32178973836630048</v>
      </c>
      <c r="V432">
        <f>INDEX([1]Parameters!$A$3:$C$5,MATCH('[1]Pizza Sales Calculations'!D432,[1]Parameters!$A$3:$A$5,0),2)</f>
        <v>10</v>
      </c>
      <c r="W432" t="e">
        <f>INDEX([1]Parameters!$A$3:$C$5,MATCH('[1]Pizza Sales Calculations'!E432,[1]Parameters!$A$3:$A$5,0),2)</f>
        <v>#N/A</v>
      </c>
      <c r="X432" t="e">
        <f>INDEX([1]Parameters!$A$3:$C$5,MATCH('[1]Pizza Sales Calculations'!F432,[1]Parameters!$A$3:$A$5,0),2)</f>
        <v>#N/A</v>
      </c>
    </row>
    <row r="433" spans="1:24" x14ac:dyDescent="0.3">
      <c r="A433">
        <v>432</v>
      </c>
      <c r="B433" s="14">
        <v>42375.499791666669</v>
      </c>
      <c r="C433" s="14">
        <v>42375.51021990741</v>
      </c>
      <c r="D433" t="s">
        <v>3</v>
      </c>
      <c r="G433" t="b">
        <v>0</v>
      </c>
      <c r="H433">
        <v>70805</v>
      </c>
      <c r="I433" s="5">
        <v>0</v>
      </c>
      <c r="J433" s="14">
        <v>42375.512303240743</v>
      </c>
      <c r="K433">
        <v>7.99</v>
      </c>
      <c r="L433" s="5">
        <f>('[1]Pizza Sales Calculations'!$J433-'[1]Pizza Sales Calculations'!$C433)*24*60</f>
        <v>2.9999999993015081</v>
      </c>
      <c r="M433">
        <f>COUNTA('[1]Pizza Sales Calculations'!$D433:$F433)</f>
        <v>1</v>
      </c>
      <c r="N433">
        <f>IFERROR(VLOOKUP(D433,[1]Parameters!$A$3:$C$5,3,FALSE),0)</f>
        <v>1</v>
      </c>
      <c r="O433">
        <f>IFERROR(VLOOKUP(E433,[1]Parameters!$A$3:$C$5,3,FALSE),0)</f>
        <v>0</v>
      </c>
      <c r="P433">
        <f>IFERROR(VLOOKUP(F433,[1]Parameters!$A$3:$C$5,3,FALSE),0)</f>
        <v>0</v>
      </c>
      <c r="Q433">
        <f t="shared" si="6"/>
        <v>1</v>
      </c>
      <c r="R433" s="10">
        <f>IF('[1]Pizza Sales Calculations'!$G433=TRUE, [1]Parameters!$B$17*'[1]Pizza Sales Calculations'!$L433*2, 0)</f>
        <v>0</v>
      </c>
      <c r="S433" t="str">
        <f>IF(I433&lt;[1]Parameters!$B$21,"TRUE","FALSE")</f>
        <v>TRUE</v>
      </c>
      <c r="T433" s="5">
        <f>(I433/[1]Parameters!$B$25)*60</f>
        <v>0</v>
      </c>
      <c r="U433" s="10">
        <f>IF(AND('[1]Pizza Sales Calculations'!G433=TRUE,'[1]Pizza Sales Calculations'!S433="TRUE"),T433*[1]Parameters!$B$40*2,0)</f>
        <v>0</v>
      </c>
      <c r="V433">
        <f>INDEX([1]Parameters!$A$3:$C$5,MATCH('[1]Pizza Sales Calculations'!D433,[1]Parameters!$A$3:$A$5,0),2)</f>
        <v>7</v>
      </c>
      <c r="W433" t="e">
        <f>INDEX([1]Parameters!$A$3:$C$5,MATCH('[1]Pizza Sales Calculations'!E433,[1]Parameters!$A$3:$A$5,0),2)</f>
        <v>#N/A</v>
      </c>
      <c r="X433" t="e">
        <f>INDEX([1]Parameters!$A$3:$C$5,MATCH('[1]Pizza Sales Calculations'!F433,[1]Parameters!$A$3:$A$5,0),2)</f>
        <v>#N/A</v>
      </c>
    </row>
    <row r="434" spans="1:24" x14ac:dyDescent="0.3">
      <c r="A434">
        <v>433</v>
      </c>
      <c r="B434" s="14">
        <v>42375.486064814817</v>
      </c>
      <c r="C434" s="14">
        <v>42375.496469907404</v>
      </c>
      <c r="D434" t="s">
        <v>3</v>
      </c>
      <c r="G434" t="b">
        <v>0</v>
      </c>
      <c r="H434">
        <v>70804</v>
      </c>
      <c r="I434" s="5">
        <v>0</v>
      </c>
      <c r="J434" s="14">
        <v>42375.498541666668</v>
      </c>
      <c r="K434">
        <v>7.99</v>
      </c>
      <c r="L434" s="5">
        <f>('[1]Pizza Sales Calculations'!$J434-'[1]Pizza Sales Calculations'!$C434)*24*60</f>
        <v>2.9833333392161876</v>
      </c>
      <c r="M434">
        <f>COUNTA('[1]Pizza Sales Calculations'!$D434:$F434)</f>
        <v>1</v>
      </c>
      <c r="N434">
        <f>IFERROR(VLOOKUP(D434,[1]Parameters!$A$3:$C$5,3,FALSE),0)</f>
        <v>1</v>
      </c>
      <c r="O434">
        <f>IFERROR(VLOOKUP(E434,[1]Parameters!$A$3:$C$5,3,FALSE),0)</f>
        <v>0</v>
      </c>
      <c r="P434">
        <f>IFERROR(VLOOKUP(F434,[1]Parameters!$A$3:$C$5,3,FALSE),0)</f>
        <v>0</v>
      </c>
      <c r="Q434">
        <f t="shared" si="6"/>
        <v>1</v>
      </c>
      <c r="R434" s="10">
        <f>IF('[1]Pizza Sales Calculations'!$G434=TRUE, [1]Parameters!$B$17*'[1]Pizza Sales Calculations'!$L434*2, 0)</f>
        <v>0</v>
      </c>
      <c r="S434" t="str">
        <f>IF(I434&lt;[1]Parameters!$B$21,"TRUE","FALSE")</f>
        <v>TRUE</v>
      </c>
      <c r="T434" s="5">
        <f>(I434/[1]Parameters!$B$25)*60</f>
        <v>0</v>
      </c>
      <c r="U434" s="10">
        <f>IF(AND('[1]Pizza Sales Calculations'!G434=TRUE,'[1]Pizza Sales Calculations'!S434="TRUE"),T434*[1]Parameters!$B$40*2,0)</f>
        <v>0</v>
      </c>
      <c r="V434">
        <f>INDEX([1]Parameters!$A$3:$C$5,MATCH('[1]Pizza Sales Calculations'!D434,[1]Parameters!$A$3:$A$5,0),2)</f>
        <v>7</v>
      </c>
      <c r="W434" t="e">
        <f>INDEX([1]Parameters!$A$3:$C$5,MATCH('[1]Pizza Sales Calculations'!E434,[1]Parameters!$A$3:$A$5,0),2)</f>
        <v>#N/A</v>
      </c>
      <c r="X434" t="e">
        <f>INDEX([1]Parameters!$A$3:$C$5,MATCH('[1]Pizza Sales Calculations'!F434,[1]Parameters!$A$3:$A$5,0),2)</f>
        <v>#N/A</v>
      </c>
    </row>
    <row r="435" spans="1:24" x14ac:dyDescent="0.3">
      <c r="A435">
        <v>434</v>
      </c>
      <c r="B435" s="14">
        <v>42375.469722222224</v>
      </c>
      <c r="C435" s="14">
        <v>42375.480138888888</v>
      </c>
      <c r="D435" t="s">
        <v>4</v>
      </c>
      <c r="G435" t="b">
        <v>0</v>
      </c>
      <c r="H435">
        <v>70804</v>
      </c>
      <c r="I435" s="5">
        <v>0</v>
      </c>
      <c r="J435" s="14">
        <v>42375.482233796298</v>
      </c>
      <c r="K435">
        <v>11.59</v>
      </c>
      <c r="L435" s="5">
        <f>('[1]Pizza Sales Calculations'!$J435-'[1]Pizza Sales Calculations'!$C435)*24*60</f>
        <v>3.0166666698642075</v>
      </c>
      <c r="M435">
        <f>COUNTA('[1]Pizza Sales Calculations'!$D435:$F435)</f>
        <v>1</v>
      </c>
      <c r="N435">
        <f>IFERROR(VLOOKUP(D435,[1]Parameters!$A$3:$C$5,3,FALSE),0)</f>
        <v>1.7</v>
      </c>
      <c r="O435">
        <f>IFERROR(VLOOKUP(E435,[1]Parameters!$A$3:$C$5,3,FALSE),0)</f>
        <v>0</v>
      </c>
      <c r="P435">
        <f>IFERROR(VLOOKUP(F435,[1]Parameters!$A$3:$C$5,3,FALSE),0)</f>
        <v>0</v>
      </c>
      <c r="Q435">
        <f t="shared" si="6"/>
        <v>1.7</v>
      </c>
      <c r="R435" s="10">
        <f>IF('[1]Pizza Sales Calculations'!$G435=TRUE, [1]Parameters!$B$17*'[1]Pizza Sales Calculations'!$L435*2, 0)</f>
        <v>0</v>
      </c>
      <c r="S435" t="str">
        <f>IF(I435&lt;[1]Parameters!$B$21,"TRUE","FALSE")</f>
        <v>TRUE</v>
      </c>
      <c r="T435" s="5">
        <f>(I435/[1]Parameters!$B$25)*60</f>
        <v>0</v>
      </c>
      <c r="U435" s="10">
        <f>IF(AND('[1]Pizza Sales Calculations'!G435=TRUE,'[1]Pizza Sales Calculations'!S435="TRUE"),T435*[1]Parameters!$B$40*2,0)</f>
        <v>0</v>
      </c>
      <c r="V435">
        <f>INDEX([1]Parameters!$A$3:$C$5,MATCH('[1]Pizza Sales Calculations'!D435,[1]Parameters!$A$3:$A$5,0),2)</f>
        <v>10</v>
      </c>
      <c r="W435" t="e">
        <f>INDEX([1]Parameters!$A$3:$C$5,MATCH('[1]Pizza Sales Calculations'!E435,[1]Parameters!$A$3:$A$5,0),2)</f>
        <v>#N/A</v>
      </c>
      <c r="X435" t="e">
        <f>INDEX([1]Parameters!$A$3:$C$5,MATCH('[1]Pizza Sales Calculations'!F435,[1]Parameters!$A$3:$A$5,0),2)</f>
        <v>#N/A</v>
      </c>
    </row>
    <row r="436" spans="1:24" x14ac:dyDescent="0.3">
      <c r="A436">
        <v>435</v>
      </c>
      <c r="B436" s="14">
        <v>42375.526712962965</v>
      </c>
      <c r="C436" s="14">
        <v>42375.537118055552</v>
      </c>
      <c r="D436" t="s">
        <v>5</v>
      </c>
      <c r="G436" t="b">
        <v>1</v>
      </c>
      <c r="H436">
        <v>70803</v>
      </c>
      <c r="I436" s="5">
        <v>0.83898221995693401</v>
      </c>
      <c r="J436" s="14">
        <v>42375.540023148147</v>
      </c>
      <c r="K436">
        <v>15.35</v>
      </c>
      <c r="L436" s="5">
        <f>('[1]Pizza Sales Calculations'!$J436-'[1]Pizza Sales Calculations'!$C436)*24*60</f>
        <v>4.183333336841315</v>
      </c>
      <c r="M436">
        <f>COUNTA('[1]Pizza Sales Calculations'!$D436:$F436)</f>
        <v>1</v>
      </c>
      <c r="N436">
        <f>IFERROR(VLOOKUP(D436,[1]Parameters!$A$3:$C$5,3,FALSE),0)</f>
        <v>2.2999999999999998</v>
      </c>
      <c r="O436">
        <f>IFERROR(VLOOKUP(E436,[1]Parameters!$A$3:$C$5,3,FALSE),0)</f>
        <v>0</v>
      </c>
      <c r="P436">
        <f>IFERROR(VLOOKUP(F436,[1]Parameters!$A$3:$C$5,3,FALSE),0)</f>
        <v>0</v>
      </c>
      <c r="Q436">
        <f t="shared" si="6"/>
        <v>2.2999999999999998</v>
      </c>
      <c r="R436" s="10">
        <f>IF('[1]Pizza Sales Calculations'!$G436=TRUE, [1]Parameters!$B$17*'[1]Pizza Sales Calculations'!$L436*2, 0)</f>
        <v>1.1852777787717059</v>
      </c>
      <c r="S436" t="str">
        <f>IF(I436&lt;[1]Parameters!$B$21,"TRUE","FALSE")</f>
        <v>TRUE</v>
      </c>
      <c r="T436" s="5">
        <f>(I436/[1]Parameters!$B$25)*60</f>
        <v>1.677964439913868</v>
      </c>
      <c r="U436" s="10">
        <f>IF(AND('[1]Pizza Sales Calculations'!G436=TRUE,'[1]Pizza Sales Calculations'!S436="TRUE"),T436*[1]Parameters!$B$40*2,0)</f>
        <v>0.10474295021045296</v>
      </c>
      <c r="V436">
        <f>INDEX([1]Parameters!$A$3:$C$5,MATCH('[1]Pizza Sales Calculations'!D436,[1]Parameters!$A$3:$A$5,0),2)</f>
        <v>14</v>
      </c>
      <c r="W436" t="e">
        <f>INDEX([1]Parameters!$A$3:$C$5,MATCH('[1]Pizza Sales Calculations'!E436,[1]Parameters!$A$3:$A$5,0),2)</f>
        <v>#N/A</v>
      </c>
      <c r="X436" t="e">
        <f>INDEX([1]Parameters!$A$3:$C$5,MATCH('[1]Pizza Sales Calculations'!F436,[1]Parameters!$A$3:$A$5,0),2)</f>
        <v>#N/A</v>
      </c>
    </row>
    <row r="437" spans="1:24" x14ac:dyDescent="0.3">
      <c r="A437">
        <v>436</v>
      </c>
      <c r="B437" s="14">
        <v>42375.526828703703</v>
      </c>
      <c r="C437" s="14">
        <v>42375.537245370368</v>
      </c>
      <c r="D437" t="s">
        <v>5</v>
      </c>
      <c r="G437" t="b">
        <v>0</v>
      </c>
      <c r="H437">
        <v>70804</v>
      </c>
      <c r="I437" s="5">
        <v>0</v>
      </c>
      <c r="J437" s="14">
        <v>42375.539340277777</v>
      </c>
      <c r="K437">
        <v>15.35</v>
      </c>
      <c r="L437" s="5">
        <f>('[1]Pizza Sales Calculations'!$J437-'[1]Pizza Sales Calculations'!$C437)*24*60</f>
        <v>3.0166666698642075</v>
      </c>
      <c r="M437">
        <f>COUNTA('[1]Pizza Sales Calculations'!$D437:$F437)</f>
        <v>1</v>
      </c>
      <c r="N437">
        <f>IFERROR(VLOOKUP(D437,[1]Parameters!$A$3:$C$5,3,FALSE),0)</f>
        <v>2.2999999999999998</v>
      </c>
      <c r="O437">
        <f>IFERROR(VLOOKUP(E437,[1]Parameters!$A$3:$C$5,3,FALSE),0)</f>
        <v>0</v>
      </c>
      <c r="P437">
        <f>IFERROR(VLOOKUP(F437,[1]Parameters!$A$3:$C$5,3,FALSE),0)</f>
        <v>0</v>
      </c>
      <c r="Q437">
        <f t="shared" si="6"/>
        <v>2.2999999999999998</v>
      </c>
      <c r="R437" s="10">
        <f>IF('[1]Pizza Sales Calculations'!$G437=TRUE, [1]Parameters!$B$17*'[1]Pizza Sales Calculations'!$L437*2, 0)</f>
        <v>0</v>
      </c>
      <c r="S437" t="str">
        <f>IF(I437&lt;[1]Parameters!$B$21,"TRUE","FALSE")</f>
        <v>TRUE</v>
      </c>
      <c r="T437" s="5">
        <f>(I437/[1]Parameters!$B$25)*60</f>
        <v>0</v>
      </c>
      <c r="U437" s="10">
        <f>IF(AND('[1]Pizza Sales Calculations'!G437=TRUE,'[1]Pizza Sales Calculations'!S437="TRUE"),T437*[1]Parameters!$B$40*2,0)</f>
        <v>0</v>
      </c>
      <c r="V437">
        <f>INDEX([1]Parameters!$A$3:$C$5,MATCH('[1]Pizza Sales Calculations'!D437,[1]Parameters!$A$3:$A$5,0),2)</f>
        <v>14</v>
      </c>
      <c r="W437" t="e">
        <f>INDEX([1]Parameters!$A$3:$C$5,MATCH('[1]Pizza Sales Calculations'!E437,[1]Parameters!$A$3:$A$5,0),2)</f>
        <v>#N/A</v>
      </c>
      <c r="X437" t="e">
        <f>INDEX([1]Parameters!$A$3:$C$5,MATCH('[1]Pizza Sales Calculations'!F437,[1]Parameters!$A$3:$A$5,0),2)</f>
        <v>#N/A</v>
      </c>
    </row>
    <row r="438" spans="1:24" x14ac:dyDescent="0.3">
      <c r="A438">
        <v>437</v>
      </c>
      <c r="B438" s="14">
        <v>42375.519513888888</v>
      </c>
      <c r="C438" s="14">
        <v>42375.529918981483</v>
      </c>
      <c r="D438" t="s">
        <v>3</v>
      </c>
      <c r="E438" t="s">
        <v>4</v>
      </c>
      <c r="G438" t="b">
        <v>0</v>
      </c>
      <c r="H438">
        <v>70805</v>
      </c>
      <c r="I438" s="5">
        <v>0</v>
      </c>
      <c r="J438" s="14">
        <v>42375.531990740739</v>
      </c>
      <c r="K438">
        <v>19.579999999999998</v>
      </c>
      <c r="L438" s="5">
        <f>('[1]Pizza Sales Calculations'!$J438-'[1]Pizza Sales Calculations'!$C438)*24*60</f>
        <v>2.9833333287388086</v>
      </c>
      <c r="M438">
        <f>COUNTA('[1]Pizza Sales Calculations'!$D438:$F438)</f>
        <v>2</v>
      </c>
      <c r="N438">
        <f>IFERROR(VLOOKUP(D438,[1]Parameters!$A$3:$C$5,3,FALSE),0)</f>
        <v>1</v>
      </c>
      <c r="O438">
        <f>IFERROR(VLOOKUP(E438,[1]Parameters!$A$3:$C$5,3,FALSE),0)</f>
        <v>1.7</v>
      </c>
      <c r="P438">
        <f>IFERROR(VLOOKUP(F438,[1]Parameters!$A$3:$C$5,3,FALSE),0)</f>
        <v>0</v>
      </c>
      <c r="Q438">
        <f t="shared" si="6"/>
        <v>2.7</v>
      </c>
      <c r="R438" s="10">
        <f>IF('[1]Pizza Sales Calculations'!$G438=TRUE, [1]Parameters!$B$17*'[1]Pizza Sales Calculations'!$L438*2, 0)</f>
        <v>0</v>
      </c>
      <c r="S438" t="str">
        <f>IF(I438&lt;[1]Parameters!$B$21,"TRUE","FALSE")</f>
        <v>TRUE</v>
      </c>
      <c r="T438" s="5">
        <f>(I438/[1]Parameters!$B$25)*60</f>
        <v>0</v>
      </c>
      <c r="U438" s="10">
        <f>IF(AND('[1]Pizza Sales Calculations'!G438=TRUE,'[1]Pizza Sales Calculations'!S438="TRUE"),T438*[1]Parameters!$B$40*2,0)</f>
        <v>0</v>
      </c>
      <c r="V438">
        <f>INDEX([1]Parameters!$A$3:$C$5,MATCH('[1]Pizza Sales Calculations'!D438,[1]Parameters!$A$3:$A$5,0),2)</f>
        <v>7</v>
      </c>
      <c r="W438">
        <f>INDEX([1]Parameters!$A$3:$C$5,MATCH('[1]Pizza Sales Calculations'!E438,[1]Parameters!$A$3:$A$5,0),2)</f>
        <v>10</v>
      </c>
      <c r="X438" t="e">
        <f>INDEX([1]Parameters!$A$3:$C$5,MATCH('[1]Pizza Sales Calculations'!F438,[1]Parameters!$A$3:$A$5,0),2)</f>
        <v>#N/A</v>
      </c>
    </row>
    <row r="439" spans="1:24" x14ac:dyDescent="0.3">
      <c r="A439">
        <v>438</v>
      </c>
      <c r="B439" s="14">
        <v>42375.476354166669</v>
      </c>
      <c r="C439" s="14">
        <v>42375.48678240741</v>
      </c>
      <c r="D439" t="s">
        <v>4</v>
      </c>
      <c r="G439" t="b">
        <v>0</v>
      </c>
      <c r="H439">
        <v>70805</v>
      </c>
      <c r="I439" s="5">
        <v>0</v>
      </c>
      <c r="J439" s="14">
        <v>42375.488854166666</v>
      </c>
      <c r="K439">
        <v>11.59</v>
      </c>
      <c r="L439" s="5">
        <f>('[1]Pizza Sales Calculations'!$J439-'[1]Pizza Sales Calculations'!$C439)*24*60</f>
        <v>2.9833333287388086</v>
      </c>
      <c r="M439">
        <f>COUNTA('[1]Pizza Sales Calculations'!$D439:$F439)</f>
        <v>1</v>
      </c>
      <c r="N439">
        <f>IFERROR(VLOOKUP(D439,[1]Parameters!$A$3:$C$5,3,FALSE),0)</f>
        <v>1.7</v>
      </c>
      <c r="O439">
        <f>IFERROR(VLOOKUP(E439,[1]Parameters!$A$3:$C$5,3,FALSE),0)</f>
        <v>0</v>
      </c>
      <c r="P439">
        <f>IFERROR(VLOOKUP(F439,[1]Parameters!$A$3:$C$5,3,FALSE),0)</f>
        <v>0</v>
      </c>
      <c r="Q439">
        <f t="shared" si="6"/>
        <v>1.7</v>
      </c>
      <c r="R439" s="10">
        <f>IF('[1]Pizza Sales Calculations'!$G439=TRUE, [1]Parameters!$B$17*'[1]Pizza Sales Calculations'!$L439*2, 0)</f>
        <v>0</v>
      </c>
      <c r="S439" t="str">
        <f>IF(I439&lt;[1]Parameters!$B$21,"TRUE","FALSE")</f>
        <v>TRUE</v>
      </c>
      <c r="T439" s="5">
        <f>(I439/[1]Parameters!$B$25)*60</f>
        <v>0</v>
      </c>
      <c r="U439" s="10">
        <f>IF(AND('[1]Pizza Sales Calculations'!G439=TRUE,'[1]Pizza Sales Calculations'!S439="TRUE"),T439*[1]Parameters!$B$40*2,0)</f>
        <v>0</v>
      </c>
      <c r="V439">
        <f>INDEX([1]Parameters!$A$3:$C$5,MATCH('[1]Pizza Sales Calculations'!D439,[1]Parameters!$A$3:$A$5,0),2)</f>
        <v>10</v>
      </c>
      <c r="W439" t="e">
        <f>INDEX([1]Parameters!$A$3:$C$5,MATCH('[1]Pizza Sales Calculations'!E439,[1]Parameters!$A$3:$A$5,0),2)</f>
        <v>#N/A</v>
      </c>
      <c r="X439" t="e">
        <f>INDEX([1]Parameters!$A$3:$C$5,MATCH('[1]Pizza Sales Calculations'!F439,[1]Parameters!$A$3:$A$5,0),2)</f>
        <v>#N/A</v>
      </c>
    </row>
    <row r="440" spans="1:24" x14ac:dyDescent="0.3">
      <c r="A440">
        <v>439</v>
      </c>
      <c r="B440" s="14">
        <v>42375.529513888891</v>
      </c>
      <c r="C440" s="14">
        <v>42375.539930555555</v>
      </c>
      <c r="D440" t="s">
        <v>4</v>
      </c>
      <c r="G440" t="b">
        <v>0</v>
      </c>
      <c r="H440">
        <v>70806</v>
      </c>
      <c r="I440" s="5">
        <v>0</v>
      </c>
      <c r="J440" s="14">
        <v>42375.542025462964</v>
      </c>
      <c r="K440">
        <v>11.59</v>
      </c>
      <c r="L440" s="5">
        <f>('[1]Pizza Sales Calculations'!$J440-'[1]Pizza Sales Calculations'!$C440)*24*60</f>
        <v>3.0166666698642075</v>
      </c>
      <c r="M440">
        <f>COUNTA('[1]Pizza Sales Calculations'!$D440:$F440)</f>
        <v>1</v>
      </c>
      <c r="N440">
        <f>IFERROR(VLOOKUP(D440,[1]Parameters!$A$3:$C$5,3,FALSE),0)</f>
        <v>1.7</v>
      </c>
      <c r="O440">
        <f>IFERROR(VLOOKUP(E440,[1]Parameters!$A$3:$C$5,3,FALSE),0)</f>
        <v>0</v>
      </c>
      <c r="P440">
        <f>IFERROR(VLOOKUP(F440,[1]Parameters!$A$3:$C$5,3,FALSE),0)</f>
        <v>0</v>
      </c>
      <c r="Q440">
        <f t="shared" si="6"/>
        <v>1.7</v>
      </c>
      <c r="R440" s="10">
        <f>IF('[1]Pizza Sales Calculations'!$G440=TRUE, [1]Parameters!$B$17*'[1]Pizza Sales Calculations'!$L440*2, 0)</f>
        <v>0</v>
      </c>
      <c r="S440" t="str">
        <f>IF(I440&lt;[1]Parameters!$B$21,"TRUE","FALSE")</f>
        <v>TRUE</v>
      </c>
      <c r="T440" s="5">
        <f>(I440/[1]Parameters!$B$25)*60</f>
        <v>0</v>
      </c>
      <c r="U440" s="10">
        <f>IF(AND('[1]Pizza Sales Calculations'!G440=TRUE,'[1]Pizza Sales Calculations'!S440="TRUE"),T440*[1]Parameters!$B$40*2,0)</f>
        <v>0</v>
      </c>
      <c r="V440">
        <f>INDEX([1]Parameters!$A$3:$C$5,MATCH('[1]Pizza Sales Calculations'!D440,[1]Parameters!$A$3:$A$5,0),2)</f>
        <v>10</v>
      </c>
      <c r="W440" t="e">
        <f>INDEX([1]Parameters!$A$3:$C$5,MATCH('[1]Pizza Sales Calculations'!E440,[1]Parameters!$A$3:$A$5,0),2)</f>
        <v>#N/A</v>
      </c>
      <c r="X440" t="e">
        <f>INDEX([1]Parameters!$A$3:$C$5,MATCH('[1]Pizza Sales Calculations'!F440,[1]Parameters!$A$3:$A$5,0),2)</f>
        <v>#N/A</v>
      </c>
    </row>
    <row r="441" spans="1:24" x14ac:dyDescent="0.3">
      <c r="A441">
        <v>440</v>
      </c>
      <c r="B441" s="14">
        <v>42375.47451388889</v>
      </c>
      <c r="C441" s="14">
        <v>42375.484907407408</v>
      </c>
      <c r="D441" t="s">
        <v>3</v>
      </c>
      <c r="E441" t="s">
        <v>4</v>
      </c>
      <c r="G441" t="b">
        <v>0</v>
      </c>
      <c r="H441">
        <v>70803</v>
      </c>
      <c r="I441" s="5">
        <v>0</v>
      </c>
      <c r="J441" s="14">
        <v>42375.486967592595</v>
      </c>
      <c r="K441">
        <v>19.579999999999998</v>
      </c>
      <c r="L441" s="5">
        <f>('[1]Pizza Sales Calculations'!$J441-'[1]Pizza Sales Calculations'!$C441)*24*60</f>
        <v>2.9666666686534882</v>
      </c>
      <c r="M441">
        <f>COUNTA('[1]Pizza Sales Calculations'!$D441:$F441)</f>
        <v>2</v>
      </c>
      <c r="N441">
        <f>IFERROR(VLOOKUP(D441,[1]Parameters!$A$3:$C$5,3,FALSE),0)</f>
        <v>1</v>
      </c>
      <c r="O441">
        <f>IFERROR(VLOOKUP(E441,[1]Parameters!$A$3:$C$5,3,FALSE),0)</f>
        <v>1.7</v>
      </c>
      <c r="P441">
        <f>IFERROR(VLOOKUP(F441,[1]Parameters!$A$3:$C$5,3,FALSE),0)</f>
        <v>0</v>
      </c>
      <c r="Q441">
        <f t="shared" si="6"/>
        <v>2.7</v>
      </c>
      <c r="R441" s="10">
        <f>IF('[1]Pizza Sales Calculations'!$G441=TRUE, [1]Parameters!$B$17*'[1]Pizza Sales Calculations'!$L441*2, 0)</f>
        <v>0</v>
      </c>
      <c r="S441" t="str">
        <f>IF(I441&lt;[1]Parameters!$B$21,"TRUE","FALSE")</f>
        <v>TRUE</v>
      </c>
      <c r="T441" s="5">
        <f>(I441/[1]Parameters!$B$25)*60</f>
        <v>0</v>
      </c>
      <c r="U441" s="10">
        <f>IF(AND('[1]Pizza Sales Calculations'!G441=TRUE,'[1]Pizza Sales Calculations'!S441="TRUE"),T441*[1]Parameters!$B$40*2,0)</f>
        <v>0</v>
      </c>
      <c r="V441">
        <f>INDEX([1]Parameters!$A$3:$C$5,MATCH('[1]Pizza Sales Calculations'!D441,[1]Parameters!$A$3:$A$5,0),2)</f>
        <v>7</v>
      </c>
      <c r="W441">
        <f>INDEX([1]Parameters!$A$3:$C$5,MATCH('[1]Pizza Sales Calculations'!E441,[1]Parameters!$A$3:$A$5,0),2)</f>
        <v>10</v>
      </c>
      <c r="X441" t="e">
        <f>INDEX([1]Parameters!$A$3:$C$5,MATCH('[1]Pizza Sales Calculations'!F441,[1]Parameters!$A$3:$A$5,0),2)</f>
        <v>#N/A</v>
      </c>
    </row>
    <row r="442" spans="1:24" x14ac:dyDescent="0.3">
      <c r="A442">
        <v>441</v>
      </c>
      <c r="B442" s="14">
        <v>42375.508148148147</v>
      </c>
      <c r="C442" s="14">
        <v>42375.518576388888</v>
      </c>
      <c r="D442" t="s">
        <v>5</v>
      </c>
      <c r="G442" t="b">
        <v>1</v>
      </c>
      <c r="H442">
        <v>70805</v>
      </c>
      <c r="I442" s="5">
        <v>2.12602641598825</v>
      </c>
      <c r="J442" s="14">
        <v>42375.525949074072</v>
      </c>
      <c r="K442">
        <v>15.35</v>
      </c>
      <c r="L442" s="5">
        <f>('[1]Pizza Sales Calculations'!$J442-'[1]Pizza Sales Calculations'!$C442)*24*60</f>
        <v>10.616666665300727</v>
      </c>
      <c r="M442">
        <f>COUNTA('[1]Pizza Sales Calculations'!$D442:$F442)</f>
        <v>1</v>
      </c>
      <c r="N442">
        <f>IFERROR(VLOOKUP(D442,[1]Parameters!$A$3:$C$5,3,FALSE),0)</f>
        <v>2.2999999999999998</v>
      </c>
      <c r="O442">
        <f>IFERROR(VLOOKUP(E442,[1]Parameters!$A$3:$C$5,3,FALSE),0)</f>
        <v>0</v>
      </c>
      <c r="P442">
        <f>IFERROR(VLOOKUP(F442,[1]Parameters!$A$3:$C$5,3,FALSE),0)</f>
        <v>0</v>
      </c>
      <c r="Q442">
        <f t="shared" si="6"/>
        <v>2.2999999999999998</v>
      </c>
      <c r="R442" s="10">
        <f>IF('[1]Pizza Sales Calculations'!$G442=TRUE, [1]Parameters!$B$17*'[1]Pizza Sales Calculations'!$L442*2, 0)</f>
        <v>3.0080555551685393</v>
      </c>
      <c r="S442" t="str">
        <f>IF(I442&lt;[1]Parameters!$B$21,"TRUE","FALSE")</f>
        <v>TRUE</v>
      </c>
      <c r="T442" s="5">
        <f>(I442/[1]Parameters!$B$25)*60</f>
        <v>4.2520528319765001</v>
      </c>
      <c r="U442" s="10">
        <f>IF(AND('[1]Pizza Sales Calculations'!G442=TRUE,'[1]Pizza Sales Calculations'!S442="TRUE"),T442*[1]Parameters!$B$40*2,0)</f>
        <v>0.26542431262416477</v>
      </c>
      <c r="V442">
        <f>INDEX([1]Parameters!$A$3:$C$5,MATCH('[1]Pizza Sales Calculations'!D442,[1]Parameters!$A$3:$A$5,0),2)</f>
        <v>14</v>
      </c>
      <c r="W442" t="e">
        <f>INDEX([1]Parameters!$A$3:$C$5,MATCH('[1]Pizza Sales Calculations'!E442,[1]Parameters!$A$3:$A$5,0),2)</f>
        <v>#N/A</v>
      </c>
      <c r="X442" t="e">
        <f>INDEX([1]Parameters!$A$3:$C$5,MATCH('[1]Pizza Sales Calculations'!F442,[1]Parameters!$A$3:$A$5,0),2)</f>
        <v>#N/A</v>
      </c>
    </row>
    <row r="443" spans="1:24" x14ac:dyDescent="0.3">
      <c r="A443">
        <v>442</v>
      </c>
      <c r="B443" s="14">
        <v>42375.47452546296</v>
      </c>
      <c r="C443" s="14">
        <v>42375.484942129631</v>
      </c>
      <c r="D443" t="s">
        <v>3</v>
      </c>
      <c r="G443" t="b">
        <v>0</v>
      </c>
      <c r="H443">
        <v>70806</v>
      </c>
      <c r="I443" s="5">
        <v>0</v>
      </c>
      <c r="J443" s="14">
        <v>42375.487025462964</v>
      </c>
      <c r="K443">
        <v>7.99</v>
      </c>
      <c r="L443" s="5">
        <f>('[1]Pizza Sales Calculations'!$J443-'[1]Pizza Sales Calculations'!$C443)*24*60</f>
        <v>2.9999999993015081</v>
      </c>
      <c r="M443">
        <f>COUNTA('[1]Pizza Sales Calculations'!$D443:$F443)</f>
        <v>1</v>
      </c>
      <c r="N443">
        <f>IFERROR(VLOOKUP(D443,[1]Parameters!$A$3:$C$5,3,FALSE),0)</f>
        <v>1</v>
      </c>
      <c r="O443">
        <f>IFERROR(VLOOKUP(E443,[1]Parameters!$A$3:$C$5,3,FALSE),0)</f>
        <v>0</v>
      </c>
      <c r="P443">
        <f>IFERROR(VLOOKUP(F443,[1]Parameters!$A$3:$C$5,3,FALSE),0)</f>
        <v>0</v>
      </c>
      <c r="Q443">
        <f t="shared" si="6"/>
        <v>1</v>
      </c>
      <c r="R443" s="10">
        <f>IF('[1]Pizza Sales Calculations'!$G443=TRUE, [1]Parameters!$B$17*'[1]Pizza Sales Calculations'!$L443*2, 0)</f>
        <v>0</v>
      </c>
      <c r="S443" t="str">
        <f>IF(I443&lt;[1]Parameters!$B$21,"TRUE","FALSE")</f>
        <v>TRUE</v>
      </c>
      <c r="T443" s="5">
        <f>(I443/[1]Parameters!$B$25)*60</f>
        <v>0</v>
      </c>
      <c r="U443" s="10">
        <f>IF(AND('[1]Pizza Sales Calculations'!G443=TRUE,'[1]Pizza Sales Calculations'!S443="TRUE"),T443*[1]Parameters!$B$40*2,0)</f>
        <v>0</v>
      </c>
      <c r="V443">
        <f>INDEX([1]Parameters!$A$3:$C$5,MATCH('[1]Pizza Sales Calculations'!D443,[1]Parameters!$A$3:$A$5,0),2)</f>
        <v>7</v>
      </c>
      <c r="W443" t="e">
        <f>INDEX([1]Parameters!$A$3:$C$5,MATCH('[1]Pizza Sales Calculations'!E443,[1]Parameters!$A$3:$A$5,0),2)</f>
        <v>#N/A</v>
      </c>
      <c r="X443" t="e">
        <f>INDEX([1]Parameters!$A$3:$C$5,MATCH('[1]Pizza Sales Calculations'!F443,[1]Parameters!$A$3:$A$5,0),2)</f>
        <v>#N/A</v>
      </c>
    </row>
    <row r="444" spans="1:24" x14ac:dyDescent="0.3">
      <c r="A444">
        <v>443</v>
      </c>
      <c r="B444" s="14">
        <v>42375.550162037034</v>
      </c>
      <c r="C444" s="14">
        <v>42375.560543981483</v>
      </c>
      <c r="D444" t="s">
        <v>3</v>
      </c>
      <c r="G444" t="b">
        <v>1</v>
      </c>
      <c r="H444">
        <v>70805</v>
      </c>
      <c r="I444" s="5">
        <v>3.72231070343586</v>
      </c>
      <c r="J444" s="14">
        <v>42375.573460648149</v>
      </c>
      <c r="K444">
        <v>7.99</v>
      </c>
      <c r="L444" s="5">
        <f>('[1]Pizza Sales Calculations'!$J444-'[1]Pizza Sales Calculations'!$C444)*24*60</f>
        <v>18.599999999860302</v>
      </c>
      <c r="M444">
        <f>COUNTA('[1]Pizza Sales Calculations'!$D444:$F444)</f>
        <v>1</v>
      </c>
      <c r="N444">
        <f>IFERROR(VLOOKUP(D444,[1]Parameters!$A$3:$C$5,3,FALSE),0)</f>
        <v>1</v>
      </c>
      <c r="O444">
        <f>IFERROR(VLOOKUP(E444,[1]Parameters!$A$3:$C$5,3,FALSE),0)</f>
        <v>0</v>
      </c>
      <c r="P444">
        <f>IFERROR(VLOOKUP(F444,[1]Parameters!$A$3:$C$5,3,FALSE),0)</f>
        <v>0</v>
      </c>
      <c r="Q444">
        <f t="shared" si="6"/>
        <v>1</v>
      </c>
      <c r="R444" s="10">
        <f>IF('[1]Pizza Sales Calculations'!$G444=TRUE, [1]Parameters!$B$17*'[1]Pizza Sales Calculations'!$L444*2, 0)</f>
        <v>5.2699999999604188</v>
      </c>
      <c r="S444" t="str">
        <f>IF(I444&lt;[1]Parameters!$B$21,"TRUE","FALSE")</f>
        <v>FALSE</v>
      </c>
      <c r="T444" s="5">
        <f>(I444/[1]Parameters!$B$25)*60</f>
        <v>7.44462140687172</v>
      </c>
      <c r="U444" s="10">
        <f>IF(AND('[1]Pizza Sales Calculations'!G444=TRUE,'[1]Pizza Sales Calculations'!S444="TRUE"),T444*[1]Parameters!$B$40*2,0)</f>
        <v>0</v>
      </c>
      <c r="V444">
        <f>INDEX([1]Parameters!$A$3:$C$5,MATCH('[1]Pizza Sales Calculations'!D444,[1]Parameters!$A$3:$A$5,0),2)</f>
        <v>7</v>
      </c>
      <c r="W444" t="e">
        <f>INDEX([1]Parameters!$A$3:$C$5,MATCH('[1]Pizza Sales Calculations'!E444,[1]Parameters!$A$3:$A$5,0),2)</f>
        <v>#N/A</v>
      </c>
      <c r="X444" t="e">
        <f>INDEX([1]Parameters!$A$3:$C$5,MATCH('[1]Pizza Sales Calculations'!F444,[1]Parameters!$A$3:$A$5,0),2)</f>
        <v>#N/A</v>
      </c>
    </row>
    <row r="445" spans="1:24" x14ac:dyDescent="0.3">
      <c r="A445">
        <v>444</v>
      </c>
      <c r="B445" s="14">
        <v>42375.469606481478</v>
      </c>
      <c r="C445" s="14">
        <v>42375.480023148149</v>
      </c>
      <c r="D445" t="s">
        <v>4</v>
      </c>
      <c r="E445" t="s">
        <v>5</v>
      </c>
      <c r="G445" t="b">
        <v>0</v>
      </c>
      <c r="H445">
        <v>70805</v>
      </c>
      <c r="I445" s="5">
        <v>0</v>
      </c>
      <c r="J445" s="14">
        <v>42375.482083333336</v>
      </c>
      <c r="K445">
        <v>25.94</v>
      </c>
      <c r="L445" s="5">
        <f>('[1]Pizza Sales Calculations'!$J445-'[1]Pizza Sales Calculations'!$C445)*24*60</f>
        <v>2.9666666686534882</v>
      </c>
      <c r="M445">
        <f>COUNTA('[1]Pizza Sales Calculations'!$D445:$F445)</f>
        <v>2</v>
      </c>
      <c r="N445">
        <f>IFERROR(VLOOKUP(D445,[1]Parameters!$A$3:$C$5,3,FALSE),0)</f>
        <v>1.7</v>
      </c>
      <c r="O445">
        <f>IFERROR(VLOOKUP(E445,[1]Parameters!$A$3:$C$5,3,FALSE),0)</f>
        <v>2.2999999999999998</v>
      </c>
      <c r="P445">
        <f>IFERROR(VLOOKUP(F445,[1]Parameters!$A$3:$C$5,3,FALSE),0)</f>
        <v>0</v>
      </c>
      <c r="Q445">
        <f t="shared" si="6"/>
        <v>4</v>
      </c>
      <c r="R445" s="10">
        <f>IF('[1]Pizza Sales Calculations'!$G445=TRUE, [1]Parameters!$B$17*'[1]Pizza Sales Calculations'!$L445*2, 0)</f>
        <v>0</v>
      </c>
      <c r="S445" t="str">
        <f>IF(I445&lt;[1]Parameters!$B$21,"TRUE","FALSE")</f>
        <v>TRUE</v>
      </c>
      <c r="T445" s="5">
        <f>(I445/[1]Parameters!$B$25)*60</f>
        <v>0</v>
      </c>
      <c r="U445" s="10">
        <f>IF(AND('[1]Pizza Sales Calculations'!G445=TRUE,'[1]Pizza Sales Calculations'!S445="TRUE"),T445*[1]Parameters!$B$40*2,0)</f>
        <v>0</v>
      </c>
      <c r="V445">
        <f>INDEX([1]Parameters!$A$3:$C$5,MATCH('[1]Pizza Sales Calculations'!D445,[1]Parameters!$A$3:$A$5,0),2)</f>
        <v>10</v>
      </c>
      <c r="W445">
        <f>INDEX([1]Parameters!$A$3:$C$5,MATCH('[1]Pizza Sales Calculations'!E445,[1]Parameters!$A$3:$A$5,0),2)</f>
        <v>14</v>
      </c>
      <c r="X445" t="e">
        <f>INDEX([1]Parameters!$A$3:$C$5,MATCH('[1]Pizza Sales Calculations'!F445,[1]Parameters!$A$3:$A$5,0),2)</f>
        <v>#N/A</v>
      </c>
    </row>
    <row r="446" spans="1:24" x14ac:dyDescent="0.3">
      <c r="A446">
        <v>445</v>
      </c>
      <c r="B446" s="14">
        <v>42375.516157407408</v>
      </c>
      <c r="C446" s="14">
        <v>42375.526562500003</v>
      </c>
      <c r="D446" t="s">
        <v>4</v>
      </c>
      <c r="G446" t="b">
        <v>0</v>
      </c>
      <c r="H446">
        <v>70803</v>
      </c>
      <c r="I446" s="5">
        <v>0</v>
      </c>
      <c r="J446" s="14">
        <v>42375.528634259259</v>
      </c>
      <c r="K446">
        <v>11.59</v>
      </c>
      <c r="L446" s="5">
        <f>('[1]Pizza Sales Calculations'!$J446-'[1]Pizza Sales Calculations'!$C446)*24*60</f>
        <v>2.9833333287388086</v>
      </c>
      <c r="M446">
        <f>COUNTA('[1]Pizza Sales Calculations'!$D446:$F446)</f>
        <v>1</v>
      </c>
      <c r="N446">
        <f>IFERROR(VLOOKUP(D446,[1]Parameters!$A$3:$C$5,3,FALSE),0)</f>
        <v>1.7</v>
      </c>
      <c r="O446">
        <f>IFERROR(VLOOKUP(E446,[1]Parameters!$A$3:$C$5,3,FALSE),0)</f>
        <v>0</v>
      </c>
      <c r="P446">
        <f>IFERROR(VLOOKUP(F446,[1]Parameters!$A$3:$C$5,3,FALSE),0)</f>
        <v>0</v>
      </c>
      <c r="Q446">
        <f t="shared" si="6"/>
        <v>1.7</v>
      </c>
      <c r="R446" s="10">
        <f>IF('[1]Pizza Sales Calculations'!$G446=TRUE, [1]Parameters!$B$17*'[1]Pizza Sales Calculations'!$L446*2, 0)</f>
        <v>0</v>
      </c>
      <c r="S446" t="str">
        <f>IF(I446&lt;[1]Parameters!$B$21,"TRUE","FALSE")</f>
        <v>TRUE</v>
      </c>
      <c r="T446" s="5">
        <f>(I446/[1]Parameters!$B$25)*60</f>
        <v>0</v>
      </c>
      <c r="U446" s="10">
        <f>IF(AND('[1]Pizza Sales Calculations'!G446=TRUE,'[1]Pizza Sales Calculations'!S446="TRUE"),T446*[1]Parameters!$B$40*2,0)</f>
        <v>0</v>
      </c>
      <c r="V446">
        <f>INDEX([1]Parameters!$A$3:$C$5,MATCH('[1]Pizza Sales Calculations'!D446,[1]Parameters!$A$3:$A$5,0),2)</f>
        <v>10</v>
      </c>
      <c r="W446" t="e">
        <f>INDEX([1]Parameters!$A$3:$C$5,MATCH('[1]Pizza Sales Calculations'!E446,[1]Parameters!$A$3:$A$5,0),2)</f>
        <v>#N/A</v>
      </c>
      <c r="X446" t="e">
        <f>INDEX([1]Parameters!$A$3:$C$5,MATCH('[1]Pizza Sales Calculations'!F446,[1]Parameters!$A$3:$A$5,0),2)</f>
        <v>#N/A</v>
      </c>
    </row>
    <row r="447" spans="1:24" x14ac:dyDescent="0.3">
      <c r="A447">
        <v>446</v>
      </c>
      <c r="B447" s="14">
        <v>42375.506261574075</v>
      </c>
      <c r="C447" s="14">
        <v>42375.51666666667</v>
      </c>
      <c r="D447" t="s">
        <v>3</v>
      </c>
      <c r="G447" t="b">
        <v>1</v>
      </c>
      <c r="H447">
        <v>70808</v>
      </c>
      <c r="I447" s="5">
        <v>2.6900617645223401</v>
      </c>
      <c r="J447" s="14">
        <v>42375.526006944441</v>
      </c>
      <c r="K447">
        <v>7.99</v>
      </c>
      <c r="L447" s="5">
        <f>('[1]Pizza Sales Calculations'!$J447-'[1]Pizza Sales Calculations'!$C447)*24*60</f>
        <v>13.449999990407377</v>
      </c>
      <c r="M447">
        <f>COUNTA('[1]Pizza Sales Calculations'!$D447:$F447)</f>
        <v>1</v>
      </c>
      <c r="N447">
        <f>IFERROR(VLOOKUP(D447,[1]Parameters!$A$3:$C$5,3,FALSE),0)</f>
        <v>1</v>
      </c>
      <c r="O447">
        <f>IFERROR(VLOOKUP(E447,[1]Parameters!$A$3:$C$5,3,FALSE),0)</f>
        <v>0</v>
      </c>
      <c r="P447">
        <f>IFERROR(VLOOKUP(F447,[1]Parameters!$A$3:$C$5,3,FALSE),0)</f>
        <v>0</v>
      </c>
      <c r="Q447">
        <f t="shared" si="6"/>
        <v>1</v>
      </c>
      <c r="R447" s="10">
        <f>IF('[1]Pizza Sales Calculations'!$G447=TRUE, [1]Parameters!$B$17*'[1]Pizza Sales Calculations'!$L447*2, 0)</f>
        <v>3.8108333306154236</v>
      </c>
      <c r="S447" t="str">
        <f>IF(I447&lt;[1]Parameters!$B$21,"TRUE","FALSE")</f>
        <v>TRUE</v>
      </c>
      <c r="T447" s="5">
        <f>(I447/[1]Parameters!$B$25)*60</f>
        <v>5.3801235290446803</v>
      </c>
      <c r="U447" s="10">
        <f>IF(AND('[1]Pizza Sales Calculations'!G447=TRUE,'[1]Pizza Sales Calculations'!S447="TRUE"),T447*[1]Parameters!$B$40*2,0)</f>
        <v>0.33584145022628731</v>
      </c>
      <c r="V447">
        <f>INDEX([1]Parameters!$A$3:$C$5,MATCH('[1]Pizza Sales Calculations'!D447,[1]Parameters!$A$3:$A$5,0),2)</f>
        <v>7</v>
      </c>
      <c r="W447" t="e">
        <f>INDEX([1]Parameters!$A$3:$C$5,MATCH('[1]Pizza Sales Calculations'!E447,[1]Parameters!$A$3:$A$5,0),2)</f>
        <v>#N/A</v>
      </c>
      <c r="X447" t="e">
        <f>INDEX([1]Parameters!$A$3:$C$5,MATCH('[1]Pizza Sales Calculations'!F447,[1]Parameters!$A$3:$A$5,0),2)</f>
        <v>#N/A</v>
      </c>
    </row>
    <row r="448" spans="1:24" x14ac:dyDescent="0.3">
      <c r="A448">
        <v>447</v>
      </c>
      <c r="B448" s="14">
        <v>42375.440069444441</v>
      </c>
      <c r="C448" s="14">
        <v>42375.450486111113</v>
      </c>
      <c r="D448" t="s">
        <v>3</v>
      </c>
      <c r="G448" t="b">
        <v>1</v>
      </c>
      <c r="H448">
        <v>70805</v>
      </c>
      <c r="I448" s="5">
        <v>3.1246263029545198</v>
      </c>
      <c r="J448" s="14">
        <v>42375.461331018516</v>
      </c>
      <c r="K448">
        <v>7.99</v>
      </c>
      <c r="L448" s="5">
        <f>('[1]Pizza Sales Calculations'!$J448-'[1]Pizza Sales Calculations'!$C448)*24*60</f>
        <v>15.616666660644114</v>
      </c>
      <c r="M448">
        <f>COUNTA('[1]Pizza Sales Calculations'!$D448:$F448)</f>
        <v>1</v>
      </c>
      <c r="N448">
        <f>IFERROR(VLOOKUP(D448,[1]Parameters!$A$3:$C$5,3,FALSE),0)</f>
        <v>1</v>
      </c>
      <c r="O448">
        <f>IFERROR(VLOOKUP(E448,[1]Parameters!$A$3:$C$5,3,FALSE),0)</f>
        <v>0</v>
      </c>
      <c r="P448">
        <f>IFERROR(VLOOKUP(F448,[1]Parameters!$A$3:$C$5,3,FALSE),0)</f>
        <v>0</v>
      </c>
      <c r="Q448">
        <f t="shared" si="6"/>
        <v>1</v>
      </c>
      <c r="R448" s="10">
        <f>IF('[1]Pizza Sales Calculations'!$G448=TRUE, [1]Parameters!$B$17*'[1]Pizza Sales Calculations'!$L448*2, 0)</f>
        <v>4.4247222205158323</v>
      </c>
      <c r="S448" t="str">
        <f>IF(I448&lt;[1]Parameters!$B$21,"TRUE","FALSE")</f>
        <v>TRUE</v>
      </c>
      <c r="T448" s="5">
        <f>(I448/[1]Parameters!$B$25)*60</f>
        <v>6.2492526059090396</v>
      </c>
      <c r="U448" s="10">
        <f>IF(AND('[1]Pizza Sales Calculations'!G448=TRUE,'[1]Pizza Sales Calculations'!S448="TRUE"),T448*[1]Parameters!$B$40*2,0)</f>
        <v>0.39009477136885784</v>
      </c>
      <c r="V448">
        <f>INDEX([1]Parameters!$A$3:$C$5,MATCH('[1]Pizza Sales Calculations'!D448,[1]Parameters!$A$3:$A$5,0),2)</f>
        <v>7</v>
      </c>
      <c r="W448" t="e">
        <f>INDEX([1]Parameters!$A$3:$C$5,MATCH('[1]Pizza Sales Calculations'!E448,[1]Parameters!$A$3:$A$5,0),2)</f>
        <v>#N/A</v>
      </c>
      <c r="X448" t="e">
        <f>INDEX([1]Parameters!$A$3:$C$5,MATCH('[1]Pizza Sales Calculations'!F448,[1]Parameters!$A$3:$A$5,0),2)</f>
        <v>#N/A</v>
      </c>
    </row>
    <row r="449" spans="1:24" x14ac:dyDescent="0.3">
      <c r="A449">
        <v>448</v>
      </c>
      <c r="B449" s="14">
        <v>42375.548888888887</v>
      </c>
      <c r="C449" s="14">
        <v>42375.559305555558</v>
      </c>
      <c r="D449" t="s">
        <v>5</v>
      </c>
      <c r="G449" t="b">
        <v>0</v>
      </c>
      <c r="H449">
        <v>70806</v>
      </c>
      <c r="I449" s="5">
        <v>0</v>
      </c>
      <c r="J449" s="14">
        <v>42375.561388888891</v>
      </c>
      <c r="K449">
        <v>15.35</v>
      </c>
      <c r="L449" s="5">
        <f>('[1]Pizza Sales Calculations'!$J449-'[1]Pizza Sales Calculations'!$C449)*24*60</f>
        <v>2.9999999993015081</v>
      </c>
      <c r="M449">
        <f>COUNTA('[1]Pizza Sales Calculations'!$D449:$F449)</f>
        <v>1</v>
      </c>
      <c r="N449">
        <f>IFERROR(VLOOKUP(D449,[1]Parameters!$A$3:$C$5,3,FALSE),0)</f>
        <v>2.2999999999999998</v>
      </c>
      <c r="O449">
        <f>IFERROR(VLOOKUP(E449,[1]Parameters!$A$3:$C$5,3,FALSE),0)</f>
        <v>0</v>
      </c>
      <c r="P449">
        <f>IFERROR(VLOOKUP(F449,[1]Parameters!$A$3:$C$5,3,FALSE),0)</f>
        <v>0</v>
      </c>
      <c r="Q449">
        <f t="shared" si="6"/>
        <v>2.2999999999999998</v>
      </c>
      <c r="R449" s="10">
        <f>IF('[1]Pizza Sales Calculations'!$G449=TRUE, [1]Parameters!$B$17*'[1]Pizza Sales Calculations'!$L449*2, 0)</f>
        <v>0</v>
      </c>
      <c r="S449" t="str">
        <f>IF(I449&lt;[1]Parameters!$B$21,"TRUE","FALSE")</f>
        <v>TRUE</v>
      </c>
      <c r="T449" s="5">
        <f>(I449/[1]Parameters!$B$25)*60</f>
        <v>0</v>
      </c>
      <c r="U449" s="10">
        <f>IF(AND('[1]Pizza Sales Calculations'!G449=TRUE,'[1]Pizza Sales Calculations'!S449="TRUE"),T449*[1]Parameters!$B$40*2,0)</f>
        <v>0</v>
      </c>
      <c r="V449">
        <f>INDEX([1]Parameters!$A$3:$C$5,MATCH('[1]Pizza Sales Calculations'!D449,[1]Parameters!$A$3:$A$5,0),2)</f>
        <v>14</v>
      </c>
      <c r="W449" t="e">
        <f>INDEX([1]Parameters!$A$3:$C$5,MATCH('[1]Pizza Sales Calculations'!E449,[1]Parameters!$A$3:$A$5,0),2)</f>
        <v>#N/A</v>
      </c>
      <c r="X449" t="e">
        <f>INDEX([1]Parameters!$A$3:$C$5,MATCH('[1]Pizza Sales Calculations'!F449,[1]Parameters!$A$3:$A$5,0),2)</f>
        <v>#N/A</v>
      </c>
    </row>
    <row r="450" spans="1:24" x14ac:dyDescent="0.3">
      <c r="A450">
        <v>449</v>
      </c>
      <c r="B450" s="14">
        <v>42375.430358796293</v>
      </c>
      <c r="C450" s="14">
        <v>42375.440752314818</v>
      </c>
      <c r="D450" t="s">
        <v>5</v>
      </c>
      <c r="G450" t="b">
        <v>1</v>
      </c>
      <c r="H450">
        <v>70804</v>
      </c>
      <c r="I450" s="5">
        <v>3.47740706564998</v>
      </c>
      <c r="J450" s="14">
        <v>42375.452824074076</v>
      </c>
      <c r="K450">
        <v>15.35</v>
      </c>
      <c r="L450" s="5">
        <f>('[1]Pizza Sales Calculations'!$J450-'[1]Pizza Sales Calculations'!$C450)*24*60</f>
        <v>17.383333331672475</v>
      </c>
      <c r="M450">
        <f>COUNTA('[1]Pizza Sales Calculations'!$D450:$F450)</f>
        <v>1</v>
      </c>
      <c r="N450">
        <f>IFERROR(VLOOKUP(D450,[1]Parameters!$A$3:$C$5,3,FALSE),0)</f>
        <v>2.2999999999999998</v>
      </c>
      <c r="O450">
        <f>IFERROR(VLOOKUP(E450,[1]Parameters!$A$3:$C$5,3,FALSE),0)</f>
        <v>0</v>
      </c>
      <c r="P450">
        <f>IFERROR(VLOOKUP(F450,[1]Parameters!$A$3:$C$5,3,FALSE),0)</f>
        <v>0</v>
      </c>
      <c r="Q450">
        <f t="shared" si="6"/>
        <v>2.2999999999999998</v>
      </c>
      <c r="R450" s="10">
        <f>IF('[1]Pizza Sales Calculations'!$G450=TRUE, [1]Parameters!$B$17*'[1]Pizza Sales Calculations'!$L450*2, 0)</f>
        <v>4.9252777773072012</v>
      </c>
      <c r="S450" t="str">
        <f>IF(I450&lt;[1]Parameters!$B$21,"TRUE","FALSE")</f>
        <v>FALSE</v>
      </c>
      <c r="T450" s="5">
        <f>(I450/[1]Parameters!$B$25)*60</f>
        <v>6.9548141312999601</v>
      </c>
      <c r="U450" s="10">
        <f>IF(AND('[1]Pizza Sales Calculations'!G450=TRUE,'[1]Pizza Sales Calculations'!S450="TRUE"),T450*[1]Parameters!$B$40*2,0)</f>
        <v>0</v>
      </c>
      <c r="V450">
        <f>INDEX([1]Parameters!$A$3:$C$5,MATCH('[1]Pizza Sales Calculations'!D450,[1]Parameters!$A$3:$A$5,0),2)</f>
        <v>14</v>
      </c>
      <c r="W450" t="e">
        <f>INDEX([1]Parameters!$A$3:$C$5,MATCH('[1]Pizza Sales Calculations'!E450,[1]Parameters!$A$3:$A$5,0),2)</f>
        <v>#N/A</v>
      </c>
      <c r="X450" t="e">
        <f>INDEX([1]Parameters!$A$3:$C$5,MATCH('[1]Pizza Sales Calculations'!F450,[1]Parameters!$A$3:$A$5,0),2)</f>
        <v>#N/A</v>
      </c>
    </row>
    <row r="451" spans="1:24" x14ac:dyDescent="0.3">
      <c r="A451">
        <v>450</v>
      </c>
      <c r="B451" s="14">
        <v>42375.430428240739</v>
      </c>
      <c r="C451" s="14">
        <v>42375.440833333334</v>
      </c>
      <c r="D451" t="s">
        <v>3</v>
      </c>
      <c r="G451" t="b">
        <v>1</v>
      </c>
      <c r="H451">
        <v>70806</v>
      </c>
      <c r="I451" s="5">
        <v>3.8919643769021199</v>
      </c>
      <c r="J451" s="14">
        <v>42375.454340277778</v>
      </c>
      <c r="K451">
        <v>7.99</v>
      </c>
      <c r="L451" s="5">
        <f>('[1]Pizza Sales Calculations'!$J451-'[1]Pizza Sales Calculations'!$C451)*24*60</f>
        <v>19.449999999487773</v>
      </c>
      <c r="M451">
        <f>COUNTA('[1]Pizza Sales Calculations'!$D451:$F451)</f>
        <v>1</v>
      </c>
      <c r="N451">
        <f>IFERROR(VLOOKUP(D451,[1]Parameters!$A$3:$C$5,3,FALSE),0)</f>
        <v>1</v>
      </c>
      <c r="O451">
        <f>IFERROR(VLOOKUP(E451,[1]Parameters!$A$3:$C$5,3,FALSE),0)</f>
        <v>0</v>
      </c>
      <c r="P451">
        <f>IFERROR(VLOOKUP(F451,[1]Parameters!$A$3:$C$5,3,FALSE),0)</f>
        <v>0</v>
      </c>
      <c r="Q451">
        <f t="shared" ref="Q451:Q514" si="7">SUM(N451:P451)</f>
        <v>1</v>
      </c>
      <c r="R451" s="10">
        <f>IF('[1]Pizza Sales Calculations'!$G451=TRUE, [1]Parameters!$B$17*'[1]Pizza Sales Calculations'!$L451*2, 0)</f>
        <v>5.5108333331882022</v>
      </c>
      <c r="S451" t="str">
        <f>IF(I451&lt;[1]Parameters!$B$21,"TRUE","FALSE")</f>
        <v>FALSE</v>
      </c>
      <c r="T451" s="5">
        <f>(I451/[1]Parameters!$B$25)*60</f>
        <v>7.7839287538042408</v>
      </c>
      <c r="U451" s="10">
        <f>IF(AND('[1]Pizza Sales Calculations'!G451=TRUE,'[1]Pizza Sales Calculations'!S451="TRUE"),T451*[1]Parameters!$B$40*2,0)</f>
        <v>0</v>
      </c>
      <c r="V451">
        <f>INDEX([1]Parameters!$A$3:$C$5,MATCH('[1]Pizza Sales Calculations'!D451,[1]Parameters!$A$3:$A$5,0),2)</f>
        <v>7</v>
      </c>
      <c r="W451" t="e">
        <f>INDEX([1]Parameters!$A$3:$C$5,MATCH('[1]Pizza Sales Calculations'!E451,[1]Parameters!$A$3:$A$5,0),2)</f>
        <v>#N/A</v>
      </c>
      <c r="X451" t="e">
        <f>INDEX([1]Parameters!$A$3:$C$5,MATCH('[1]Pizza Sales Calculations'!F451,[1]Parameters!$A$3:$A$5,0),2)</f>
        <v>#N/A</v>
      </c>
    </row>
    <row r="452" spans="1:24" x14ac:dyDescent="0.3">
      <c r="A452">
        <v>451</v>
      </c>
      <c r="B452" s="14">
        <v>42375.483622685184</v>
      </c>
      <c r="C452" s="14">
        <v>42375.494039351855</v>
      </c>
      <c r="D452" t="s">
        <v>3</v>
      </c>
      <c r="E452" t="s">
        <v>4</v>
      </c>
      <c r="G452" t="b">
        <v>1</v>
      </c>
      <c r="H452">
        <v>70804</v>
      </c>
      <c r="I452" s="5">
        <v>1.44251622820514</v>
      </c>
      <c r="J452" s="14">
        <v>42375.499039351853</v>
      </c>
      <c r="K452">
        <v>19.579999999999998</v>
      </c>
      <c r="L452" s="5">
        <f>('[1]Pizza Sales Calculations'!$J452-'[1]Pizza Sales Calculations'!$C452)*24*60</f>
        <v>7.1999999962281436</v>
      </c>
      <c r="M452">
        <f>COUNTA('[1]Pizza Sales Calculations'!$D452:$F452)</f>
        <v>2</v>
      </c>
      <c r="N452">
        <f>IFERROR(VLOOKUP(D452,[1]Parameters!$A$3:$C$5,3,FALSE),0)</f>
        <v>1</v>
      </c>
      <c r="O452">
        <f>IFERROR(VLOOKUP(E452,[1]Parameters!$A$3:$C$5,3,FALSE),0)</f>
        <v>1.7</v>
      </c>
      <c r="P452">
        <f>IFERROR(VLOOKUP(F452,[1]Parameters!$A$3:$C$5,3,FALSE),0)</f>
        <v>0</v>
      </c>
      <c r="Q452">
        <f t="shared" si="7"/>
        <v>2.7</v>
      </c>
      <c r="R452" s="10">
        <f>IF('[1]Pizza Sales Calculations'!$G452=TRUE, [1]Parameters!$B$17*'[1]Pizza Sales Calculations'!$L452*2, 0)</f>
        <v>2.0399999989313073</v>
      </c>
      <c r="S452" t="str">
        <f>IF(I452&lt;[1]Parameters!$B$21,"TRUE","FALSE")</f>
        <v>TRUE</v>
      </c>
      <c r="T452" s="5">
        <f>(I452/[1]Parameters!$B$25)*60</f>
        <v>2.8850324564102801</v>
      </c>
      <c r="U452" s="10">
        <f>IF(AND('[1]Pizza Sales Calculations'!G452=TRUE,'[1]Pizza Sales Calculations'!S452="TRUE"),T452*[1]Parameters!$B$40*2,0)</f>
        <v>0.18009130810473814</v>
      </c>
      <c r="V452">
        <f>INDEX([1]Parameters!$A$3:$C$5,MATCH('[1]Pizza Sales Calculations'!D452,[1]Parameters!$A$3:$A$5,0),2)</f>
        <v>7</v>
      </c>
      <c r="W452">
        <f>INDEX([1]Parameters!$A$3:$C$5,MATCH('[1]Pizza Sales Calculations'!E452,[1]Parameters!$A$3:$A$5,0),2)</f>
        <v>10</v>
      </c>
      <c r="X452" t="e">
        <f>INDEX([1]Parameters!$A$3:$C$5,MATCH('[1]Pizza Sales Calculations'!F452,[1]Parameters!$A$3:$A$5,0),2)</f>
        <v>#N/A</v>
      </c>
    </row>
    <row r="453" spans="1:24" x14ac:dyDescent="0.3">
      <c r="A453">
        <v>452</v>
      </c>
      <c r="B453" s="14">
        <v>42375.486145833333</v>
      </c>
      <c r="C453" s="14">
        <v>42375.496574074074</v>
      </c>
      <c r="D453" t="s">
        <v>5</v>
      </c>
      <c r="G453" t="b">
        <v>0</v>
      </c>
      <c r="H453">
        <v>70804</v>
      </c>
      <c r="I453" s="5">
        <v>0</v>
      </c>
      <c r="J453" s="14">
        <v>42375.498692129629</v>
      </c>
      <c r="K453">
        <v>15.35</v>
      </c>
      <c r="L453" s="5">
        <f>('[1]Pizza Sales Calculations'!$J453-'[1]Pizza Sales Calculations'!$C453)*24*60</f>
        <v>3.0500000005122274</v>
      </c>
      <c r="M453">
        <f>COUNTA('[1]Pizza Sales Calculations'!$D453:$F453)</f>
        <v>1</v>
      </c>
      <c r="N453">
        <f>IFERROR(VLOOKUP(D453,[1]Parameters!$A$3:$C$5,3,FALSE),0)</f>
        <v>2.2999999999999998</v>
      </c>
      <c r="O453">
        <f>IFERROR(VLOOKUP(E453,[1]Parameters!$A$3:$C$5,3,FALSE),0)</f>
        <v>0</v>
      </c>
      <c r="P453">
        <f>IFERROR(VLOOKUP(F453,[1]Parameters!$A$3:$C$5,3,FALSE),0)</f>
        <v>0</v>
      </c>
      <c r="Q453">
        <f t="shared" si="7"/>
        <v>2.2999999999999998</v>
      </c>
      <c r="R453" s="10">
        <f>IF('[1]Pizza Sales Calculations'!$G453=TRUE, [1]Parameters!$B$17*'[1]Pizza Sales Calculations'!$L453*2, 0)</f>
        <v>0</v>
      </c>
      <c r="S453" t="str">
        <f>IF(I453&lt;[1]Parameters!$B$21,"TRUE","FALSE")</f>
        <v>TRUE</v>
      </c>
      <c r="T453" s="5">
        <f>(I453/[1]Parameters!$B$25)*60</f>
        <v>0</v>
      </c>
      <c r="U453" s="10">
        <f>IF(AND('[1]Pizza Sales Calculations'!G453=TRUE,'[1]Pizza Sales Calculations'!S453="TRUE"),T453*[1]Parameters!$B$40*2,0)</f>
        <v>0</v>
      </c>
      <c r="V453">
        <f>INDEX([1]Parameters!$A$3:$C$5,MATCH('[1]Pizza Sales Calculations'!D453,[1]Parameters!$A$3:$A$5,0),2)</f>
        <v>14</v>
      </c>
      <c r="W453" t="e">
        <f>INDEX([1]Parameters!$A$3:$C$5,MATCH('[1]Pizza Sales Calculations'!E453,[1]Parameters!$A$3:$A$5,0),2)</f>
        <v>#N/A</v>
      </c>
      <c r="X453" t="e">
        <f>INDEX([1]Parameters!$A$3:$C$5,MATCH('[1]Pizza Sales Calculations'!F453,[1]Parameters!$A$3:$A$5,0),2)</f>
        <v>#N/A</v>
      </c>
    </row>
    <row r="454" spans="1:24" x14ac:dyDescent="0.3">
      <c r="A454">
        <v>453</v>
      </c>
      <c r="B454" s="14">
        <v>42375.430243055554</v>
      </c>
      <c r="C454" s="14">
        <v>42375.440671296295</v>
      </c>
      <c r="D454" t="s">
        <v>3</v>
      </c>
      <c r="E454" t="s">
        <v>4</v>
      </c>
      <c r="G454" t="b">
        <v>0</v>
      </c>
      <c r="H454">
        <v>70805</v>
      </c>
      <c r="I454" s="5">
        <v>0</v>
      </c>
      <c r="J454" s="14">
        <v>42375.442754629628</v>
      </c>
      <c r="K454">
        <v>19.579999999999998</v>
      </c>
      <c r="L454" s="5">
        <f>('[1]Pizza Sales Calculations'!$J454-'[1]Pizza Sales Calculations'!$C454)*24*60</f>
        <v>2.9999999993015081</v>
      </c>
      <c r="M454">
        <f>COUNTA('[1]Pizza Sales Calculations'!$D454:$F454)</f>
        <v>2</v>
      </c>
      <c r="N454">
        <f>IFERROR(VLOOKUP(D454,[1]Parameters!$A$3:$C$5,3,FALSE),0)</f>
        <v>1</v>
      </c>
      <c r="O454">
        <f>IFERROR(VLOOKUP(E454,[1]Parameters!$A$3:$C$5,3,FALSE),0)</f>
        <v>1.7</v>
      </c>
      <c r="P454">
        <f>IFERROR(VLOOKUP(F454,[1]Parameters!$A$3:$C$5,3,FALSE),0)</f>
        <v>0</v>
      </c>
      <c r="Q454">
        <f t="shared" si="7"/>
        <v>2.7</v>
      </c>
      <c r="R454" s="10">
        <f>IF('[1]Pizza Sales Calculations'!$G454=TRUE, [1]Parameters!$B$17*'[1]Pizza Sales Calculations'!$L454*2, 0)</f>
        <v>0</v>
      </c>
      <c r="S454" t="str">
        <f>IF(I454&lt;[1]Parameters!$B$21,"TRUE","FALSE")</f>
        <v>TRUE</v>
      </c>
      <c r="T454" s="5">
        <f>(I454/[1]Parameters!$B$25)*60</f>
        <v>0</v>
      </c>
      <c r="U454" s="10">
        <f>IF(AND('[1]Pizza Sales Calculations'!G454=TRUE,'[1]Pizza Sales Calculations'!S454="TRUE"),T454*[1]Parameters!$B$40*2,0)</f>
        <v>0</v>
      </c>
      <c r="V454">
        <f>INDEX([1]Parameters!$A$3:$C$5,MATCH('[1]Pizza Sales Calculations'!D454,[1]Parameters!$A$3:$A$5,0),2)</f>
        <v>7</v>
      </c>
      <c r="W454">
        <f>INDEX([1]Parameters!$A$3:$C$5,MATCH('[1]Pizza Sales Calculations'!E454,[1]Parameters!$A$3:$A$5,0),2)</f>
        <v>10</v>
      </c>
      <c r="X454" t="e">
        <f>INDEX([1]Parameters!$A$3:$C$5,MATCH('[1]Pizza Sales Calculations'!F454,[1]Parameters!$A$3:$A$5,0),2)</f>
        <v>#N/A</v>
      </c>
    </row>
    <row r="455" spans="1:24" x14ac:dyDescent="0.3">
      <c r="A455">
        <v>454</v>
      </c>
      <c r="B455" s="14">
        <v>42375.564953703702</v>
      </c>
      <c r="C455" s="14">
        <v>42375.57534722222</v>
      </c>
      <c r="D455" t="s">
        <v>4</v>
      </c>
      <c r="G455" t="b">
        <v>1</v>
      </c>
      <c r="H455">
        <v>70804</v>
      </c>
      <c r="I455" s="5">
        <v>2.1939255605924699</v>
      </c>
      <c r="J455" s="14">
        <v>42375.582962962966</v>
      </c>
      <c r="K455">
        <v>11.59</v>
      </c>
      <c r="L455" s="5">
        <f>('[1]Pizza Sales Calculations'!$J455-'[1]Pizza Sales Calculations'!$C455)*24*60</f>
        <v>10.966666673775762</v>
      </c>
      <c r="M455">
        <f>COUNTA('[1]Pizza Sales Calculations'!$D455:$F455)</f>
        <v>1</v>
      </c>
      <c r="N455">
        <f>IFERROR(VLOOKUP(D455,[1]Parameters!$A$3:$C$5,3,FALSE),0)</f>
        <v>1.7</v>
      </c>
      <c r="O455">
        <f>IFERROR(VLOOKUP(E455,[1]Parameters!$A$3:$C$5,3,FALSE),0)</f>
        <v>0</v>
      </c>
      <c r="P455">
        <f>IFERROR(VLOOKUP(F455,[1]Parameters!$A$3:$C$5,3,FALSE),0)</f>
        <v>0</v>
      </c>
      <c r="Q455">
        <f t="shared" si="7"/>
        <v>1.7</v>
      </c>
      <c r="R455" s="10">
        <f>IF('[1]Pizza Sales Calculations'!$G455=TRUE, [1]Parameters!$B$17*'[1]Pizza Sales Calculations'!$L455*2, 0)</f>
        <v>3.107222224236466</v>
      </c>
      <c r="S455" t="str">
        <f>IF(I455&lt;[1]Parameters!$B$21,"TRUE","FALSE")</f>
        <v>TRUE</v>
      </c>
      <c r="T455" s="5">
        <f>(I455/[1]Parameters!$B$25)*60</f>
        <v>4.3878511211849398</v>
      </c>
      <c r="U455" s="10">
        <f>IF(AND('[1]Pizza Sales Calculations'!G455=TRUE,'[1]Pizza Sales Calculations'!S455="TRUE"),T455*[1]Parameters!$B$40*2,0)</f>
        <v>0.27390119872906604</v>
      </c>
      <c r="V455">
        <f>INDEX([1]Parameters!$A$3:$C$5,MATCH('[1]Pizza Sales Calculations'!D455,[1]Parameters!$A$3:$A$5,0),2)</f>
        <v>10</v>
      </c>
      <c r="W455" t="e">
        <f>INDEX([1]Parameters!$A$3:$C$5,MATCH('[1]Pizza Sales Calculations'!E455,[1]Parameters!$A$3:$A$5,0),2)</f>
        <v>#N/A</v>
      </c>
      <c r="X455" t="e">
        <f>INDEX([1]Parameters!$A$3:$C$5,MATCH('[1]Pizza Sales Calculations'!F455,[1]Parameters!$A$3:$A$5,0),2)</f>
        <v>#N/A</v>
      </c>
    </row>
    <row r="456" spans="1:24" x14ac:dyDescent="0.3">
      <c r="A456">
        <v>455</v>
      </c>
      <c r="B456" s="14">
        <v>42375.50445601852</v>
      </c>
      <c r="C456" s="14">
        <v>42375.514872685184</v>
      </c>
      <c r="D456" t="s">
        <v>4</v>
      </c>
      <c r="G456" t="b">
        <v>0</v>
      </c>
      <c r="H456">
        <v>70805</v>
      </c>
      <c r="I456" s="5">
        <v>0</v>
      </c>
      <c r="J456" s="14">
        <v>42375.516944444447</v>
      </c>
      <c r="K456">
        <v>11.59</v>
      </c>
      <c r="L456" s="5">
        <f>('[1]Pizza Sales Calculations'!$J456-'[1]Pizza Sales Calculations'!$C456)*24*60</f>
        <v>2.9833333392161876</v>
      </c>
      <c r="M456">
        <f>COUNTA('[1]Pizza Sales Calculations'!$D456:$F456)</f>
        <v>1</v>
      </c>
      <c r="N456">
        <f>IFERROR(VLOOKUP(D456,[1]Parameters!$A$3:$C$5,3,FALSE),0)</f>
        <v>1.7</v>
      </c>
      <c r="O456">
        <f>IFERROR(VLOOKUP(E456,[1]Parameters!$A$3:$C$5,3,FALSE),0)</f>
        <v>0</v>
      </c>
      <c r="P456">
        <f>IFERROR(VLOOKUP(F456,[1]Parameters!$A$3:$C$5,3,FALSE),0)</f>
        <v>0</v>
      </c>
      <c r="Q456">
        <f t="shared" si="7"/>
        <v>1.7</v>
      </c>
      <c r="R456" s="10">
        <f>IF('[1]Pizza Sales Calculations'!$G456=TRUE, [1]Parameters!$B$17*'[1]Pizza Sales Calculations'!$L456*2, 0)</f>
        <v>0</v>
      </c>
      <c r="S456" t="str">
        <f>IF(I456&lt;[1]Parameters!$B$21,"TRUE","FALSE")</f>
        <v>TRUE</v>
      </c>
      <c r="T456" s="5">
        <f>(I456/[1]Parameters!$B$25)*60</f>
        <v>0</v>
      </c>
      <c r="U456" s="10">
        <f>IF(AND('[1]Pizza Sales Calculations'!G456=TRUE,'[1]Pizza Sales Calculations'!S456="TRUE"),T456*[1]Parameters!$B$40*2,0)</f>
        <v>0</v>
      </c>
      <c r="V456">
        <f>INDEX([1]Parameters!$A$3:$C$5,MATCH('[1]Pizza Sales Calculations'!D456,[1]Parameters!$A$3:$A$5,0),2)</f>
        <v>10</v>
      </c>
      <c r="W456" t="e">
        <f>INDEX([1]Parameters!$A$3:$C$5,MATCH('[1]Pizza Sales Calculations'!E456,[1]Parameters!$A$3:$A$5,0),2)</f>
        <v>#N/A</v>
      </c>
      <c r="X456" t="e">
        <f>INDEX([1]Parameters!$A$3:$C$5,MATCH('[1]Pizza Sales Calculations'!F456,[1]Parameters!$A$3:$A$5,0),2)</f>
        <v>#N/A</v>
      </c>
    </row>
    <row r="457" spans="1:24" x14ac:dyDescent="0.3">
      <c r="A457">
        <v>456</v>
      </c>
      <c r="B457" s="14">
        <v>42375.532939814817</v>
      </c>
      <c r="C457" s="14">
        <v>42375.543356481481</v>
      </c>
      <c r="D457" t="s">
        <v>3</v>
      </c>
      <c r="G457" t="b">
        <v>1</v>
      </c>
      <c r="H457">
        <v>70803</v>
      </c>
      <c r="I457" s="5">
        <v>4.59400251952371</v>
      </c>
      <c r="J457" s="14">
        <v>42375.559305555558</v>
      </c>
      <c r="K457">
        <v>7.99</v>
      </c>
      <c r="L457" s="5">
        <f>('[1]Pizza Sales Calculations'!$J457-'[1]Pizza Sales Calculations'!$C457)*24*60</f>
        <v>22.966666670981795</v>
      </c>
      <c r="M457">
        <f>COUNTA('[1]Pizza Sales Calculations'!$D457:$F457)</f>
        <v>1</v>
      </c>
      <c r="N457">
        <f>IFERROR(VLOOKUP(D457,[1]Parameters!$A$3:$C$5,3,FALSE),0)</f>
        <v>1</v>
      </c>
      <c r="O457">
        <f>IFERROR(VLOOKUP(E457,[1]Parameters!$A$3:$C$5,3,FALSE),0)</f>
        <v>0</v>
      </c>
      <c r="P457">
        <f>IFERROR(VLOOKUP(F457,[1]Parameters!$A$3:$C$5,3,FALSE),0)</f>
        <v>0</v>
      </c>
      <c r="Q457">
        <f t="shared" si="7"/>
        <v>1</v>
      </c>
      <c r="R457" s="10">
        <f>IF('[1]Pizza Sales Calculations'!$G457=TRUE, [1]Parameters!$B$17*'[1]Pizza Sales Calculations'!$L457*2, 0)</f>
        <v>6.5072222234448418</v>
      </c>
      <c r="S457" t="str">
        <f>IF(I457&lt;[1]Parameters!$B$21,"TRUE","FALSE")</f>
        <v>FALSE</v>
      </c>
      <c r="T457" s="5">
        <f>(I457/[1]Parameters!$B$25)*60</f>
        <v>9.1880050390474199</v>
      </c>
      <c r="U457" s="10">
        <f>IF(AND('[1]Pizza Sales Calculations'!G457=TRUE,'[1]Pizza Sales Calculations'!S457="TRUE"),T457*[1]Parameters!$B$40*2,0)</f>
        <v>0</v>
      </c>
      <c r="V457">
        <f>INDEX([1]Parameters!$A$3:$C$5,MATCH('[1]Pizza Sales Calculations'!D457,[1]Parameters!$A$3:$A$5,0),2)</f>
        <v>7</v>
      </c>
      <c r="W457" t="e">
        <f>INDEX([1]Parameters!$A$3:$C$5,MATCH('[1]Pizza Sales Calculations'!E457,[1]Parameters!$A$3:$A$5,0),2)</f>
        <v>#N/A</v>
      </c>
      <c r="X457" t="e">
        <f>INDEX([1]Parameters!$A$3:$C$5,MATCH('[1]Pizza Sales Calculations'!F457,[1]Parameters!$A$3:$A$5,0),2)</f>
        <v>#N/A</v>
      </c>
    </row>
    <row r="458" spans="1:24" x14ac:dyDescent="0.3">
      <c r="A458">
        <v>457</v>
      </c>
      <c r="B458" s="14">
        <v>42375.471828703703</v>
      </c>
      <c r="C458" s="14">
        <v>42375.482233796298</v>
      </c>
      <c r="D458" t="s">
        <v>5</v>
      </c>
      <c r="G458" t="b">
        <v>1</v>
      </c>
      <c r="H458">
        <v>70805</v>
      </c>
      <c r="I458" s="5">
        <v>2.09887910849119</v>
      </c>
      <c r="J458" s="14">
        <v>42375.48951388889</v>
      </c>
      <c r="K458">
        <v>15.35</v>
      </c>
      <c r="L458" s="5">
        <f>('[1]Pizza Sales Calculations'!$J458-'[1]Pizza Sales Calculations'!$C458)*24*60</f>
        <v>10.483333332231268</v>
      </c>
      <c r="M458">
        <f>COUNTA('[1]Pizza Sales Calculations'!$D458:$F458)</f>
        <v>1</v>
      </c>
      <c r="N458">
        <f>IFERROR(VLOOKUP(D458,[1]Parameters!$A$3:$C$5,3,FALSE),0)</f>
        <v>2.2999999999999998</v>
      </c>
      <c r="O458">
        <f>IFERROR(VLOOKUP(E458,[1]Parameters!$A$3:$C$5,3,FALSE),0)</f>
        <v>0</v>
      </c>
      <c r="P458">
        <f>IFERROR(VLOOKUP(F458,[1]Parameters!$A$3:$C$5,3,FALSE),0)</f>
        <v>0</v>
      </c>
      <c r="Q458">
        <f t="shared" si="7"/>
        <v>2.2999999999999998</v>
      </c>
      <c r="R458" s="10">
        <f>IF('[1]Pizza Sales Calculations'!$G458=TRUE, [1]Parameters!$B$17*'[1]Pizza Sales Calculations'!$L458*2, 0)</f>
        <v>2.970277777465526</v>
      </c>
      <c r="S458" t="str">
        <f>IF(I458&lt;[1]Parameters!$B$21,"TRUE","FALSE")</f>
        <v>TRUE</v>
      </c>
      <c r="T458" s="5">
        <f>(I458/[1]Parameters!$B$25)*60</f>
        <v>4.1977582169823799</v>
      </c>
      <c r="U458" s="10">
        <f>IF(AND('[1]Pizza Sales Calculations'!G458=TRUE,'[1]Pizza Sales Calculations'!S458="TRUE"),T458*[1]Parameters!$B$40*2,0)</f>
        <v>0.26203510006414366</v>
      </c>
      <c r="V458">
        <f>INDEX([1]Parameters!$A$3:$C$5,MATCH('[1]Pizza Sales Calculations'!D458,[1]Parameters!$A$3:$A$5,0),2)</f>
        <v>14</v>
      </c>
      <c r="W458" t="e">
        <f>INDEX([1]Parameters!$A$3:$C$5,MATCH('[1]Pizza Sales Calculations'!E458,[1]Parameters!$A$3:$A$5,0),2)</f>
        <v>#N/A</v>
      </c>
      <c r="X458" t="e">
        <f>INDEX([1]Parameters!$A$3:$C$5,MATCH('[1]Pizza Sales Calculations'!F458,[1]Parameters!$A$3:$A$5,0),2)</f>
        <v>#N/A</v>
      </c>
    </row>
    <row r="459" spans="1:24" x14ac:dyDescent="0.3">
      <c r="A459">
        <v>458</v>
      </c>
      <c r="B459" s="14">
        <v>42375.555902777778</v>
      </c>
      <c r="C459" s="14">
        <v>42375.566296296296</v>
      </c>
      <c r="D459" t="s">
        <v>4</v>
      </c>
      <c r="G459" t="b">
        <v>0</v>
      </c>
      <c r="H459">
        <v>70804</v>
      </c>
      <c r="I459" s="5">
        <v>0</v>
      </c>
      <c r="J459" s="14">
        <v>42375.568379629629</v>
      </c>
      <c r="K459">
        <v>11.59</v>
      </c>
      <c r="L459" s="5">
        <f>('[1]Pizza Sales Calculations'!$J459-'[1]Pizza Sales Calculations'!$C459)*24*60</f>
        <v>2.9999999993015081</v>
      </c>
      <c r="M459">
        <f>COUNTA('[1]Pizza Sales Calculations'!$D459:$F459)</f>
        <v>1</v>
      </c>
      <c r="N459">
        <f>IFERROR(VLOOKUP(D459,[1]Parameters!$A$3:$C$5,3,FALSE),0)</f>
        <v>1.7</v>
      </c>
      <c r="O459">
        <f>IFERROR(VLOOKUP(E459,[1]Parameters!$A$3:$C$5,3,FALSE),0)</f>
        <v>0</v>
      </c>
      <c r="P459">
        <f>IFERROR(VLOOKUP(F459,[1]Parameters!$A$3:$C$5,3,FALSE),0)</f>
        <v>0</v>
      </c>
      <c r="Q459">
        <f t="shared" si="7"/>
        <v>1.7</v>
      </c>
      <c r="R459" s="10">
        <f>IF('[1]Pizza Sales Calculations'!$G459=TRUE, [1]Parameters!$B$17*'[1]Pizza Sales Calculations'!$L459*2, 0)</f>
        <v>0</v>
      </c>
      <c r="S459" t="str">
        <f>IF(I459&lt;[1]Parameters!$B$21,"TRUE","FALSE")</f>
        <v>TRUE</v>
      </c>
      <c r="T459" s="5">
        <f>(I459/[1]Parameters!$B$25)*60</f>
        <v>0</v>
      </c>
      <c r="U459" s="10">
        <f>IF(AND('[1]Pizza Sales Calculations'!G459=TRUE,'[1]Pizza Sales Calculations'!S459="TRUE"),T459*[1]Parameters!$B$40*2,0)</f>
        <v>0</v>
      </c>
      <c r="V459">
        <f>INDEX([1]Parameters!$A$3:$C$5,MATCH('[1]Pizza Sales Calculations'!D459,[1]Parameters!$A$3:$A$5,0),2)</f>
        <v>10</v>
      </c>
      <c r="W459" t="e">
        <f>INDEX([1]Parameters!$A$3:$C$5,MATCH('[1]Pizza Sales Calculations'!E459,[1]Parameters!$A$3:$A$5,0),2)</f>
        <v>#N/A</v>
      </c>
      <c r="X459" t="e">
        <f>INDEX([1]Parameters!$A$3:$C$5,MATCH('[1]Pizza Sales Calculations'!F459,[1]Parameters!$A$3:$A$5,0),2)</f>
        <v>#N/A</v>
      </c>
    </row>
    <row r="460" spans="1:24" x14ac:dyDescent="0.3">
      <c r="A460">
        <v>459</v>
      </c>
      <c r="B460" s="14">
        <v>42375.448969907404</v>
      </c>
      <c r="C460" s="14">
        <v>42375.459363425929</v>
      </c>
      <c r="D460" t="s">
        <v>5</v>
      </c>
      <c r="G460" t="b">
        <v>1</v>
      </c>
      <c r="H460">
        <v>70805</v>
      </c>
      <c r="I460" s="5">
        <v>2.21282366787689</v>
      </c>
      <c r="J460" s="14">
        <v>42375.467037037037</v>
      </c>
      <c r="K460">
        <v>15.35</v>
      </c>
      <c r="L460" s="5">
        <f>('[1]Pizza Sales Calculations'!$J460-'[1]Pizza Sales Calculations'!$C460)*24*60</f>
        <v>11.049999995157123</v>
      </c>
      <c r="M460">
        <f>COUNTA('[1]Pizza Sales Calculations'!$D460:$F460)</f>
        <v>1</v>
      </c>
      <c r="N460">
        <f>IFERROR(VLOOKUP(D460,[1]Parameters!$A$3:$C$5,3,FALSE),0)</f>
        <v>2.2999999999999998</v>
      </c>
      <c r="O460">
        <f>IFERROR(VLOOKUP(E460,[1]Parameters!$A$3:$C$5,3,FALSE),0)</f>
        <v>0</v>
      </c>
      <c r="P460">
        <f>IFERROR(VLOOKUP(F460,[1]Parameters!$A$3:$C$5,3,FALSE),0)</f>
        <v>0</v>
      </c>
      <c r="Q460">
        <f t="shared" si="7"/>
        <v>2.2999999999999998</v>
      </c>
      <c r="R460" s="10">
        <f>IF('[1]Pizza Sales Calculations'!$G460=TRUE, [1]Parameters!$B$17*'[1]Pizza Sales Calculations'!$L460*2, 0)</f>
        <v>3.1308333319611847</v>
      </c>
      <c r="S460" t="str">
        <f>IF(I460&lt;[1]Parameters!$B$21,"TRUE","FALSE")</f>
        <v>TRUE</v>
      </c>
      <c r="T460" s="5">
        <f>(I460/[1]Parameters!$B$25)*60</f>
        <v>4.42564733575378</v>
      </c>
      <c r="U460" s="10">
        <f>IF(AND('[1]Pizza Sales Calculations'!G460=TRUE,'[1]Pizza Sales Calculations'!S460="TRUE"),T460*[1]Parameters!$B$40*2,0)</f>
        <v>0.27626053777497028</v>
      </c>
      <c r="V460">
        <f>INDEX([1]Parameters!$A$3:$C$5,MATCH('[1]Pizza Sales Calculations'!D460,[1]Parameters!$A$3:$A$5,0),2)</f>
        <v>14</v>
      </c>
      <c r="W460" t="e">
        <f>INDEX([1]Parameters!$A$3:$C$5,MATCH('[1]Pizza Sales Calculations'!E460,[1]Parameters!$A$3:$A$5,0),2)</f>
        <v>#N/A</v>
      </c>
      <c r="X460" t="e">
        <f>INDEX([1]Parameters!$A$3:$C$5,MATCH('[1]Pizza Sales Calculations'!F460,[1]Parameters!$A$3:$A$5,0),2)</f>
        <v>#N/A</v>
      </c>
    </row>
    <row r="461" spans="1:24" x14ac:dyDescent="0.3">
      <c r="A461">
        <v>460</v>
      </c>
      <c r="B461" s="14">
        <v>42375.510092592594</v>
      </c>
      <c r="C461" s="14">
        <v>42375.520497685182</v>
      </c>
      <c r="D461" t="s">
        <v>5</v>
      </c>
      <c r="G461" t="b">
        <v>0</v>
      </c>
      <c r="H461">
        <v>70805</v>
      </c>
      <c r="I461" s="5">
        <v>0</v>
      </c>
      <c r="J461" s="14">
        <v>42375.522581018522</v>
      </c>
      <c r="K461">
        <v>15.35</v>
      </c>
      <c r="L461" s="5">
        <f>('[1]Pizza Sales Calculations'!$J461-'[1]Pizza Sales Calculations'!$C461)*24*60</f>
        <v>3.000000009778887</v>
      </c>
      <c r="M461">
        <f>COUNTA('[1]Pizza Sales Calculations'!$D461:$F461)</f>
        <v>1</v>
      </c>
      <c r="N461">
        <f>IFERROR(VLOOKUP(D461,[1]Parameters!$A$3:$C$5,3,FALSE),0)</f>
        <v>2.2999999999999998</v>
      </c>
      <c r="O461">
        <f>IFERROR(VLOOKUP(E461,[1]Parameters!$A$3:$C$5,3,FALSE),0)</f>
        <v>0</v>
      </c>
      <c r="P461">
        <f>IFERROR(VLOOKUP(F461,[1]Parameters!$A$3:$C$5,3,FALSE),0)</f>
        <v>0</v>
      </c>
      <c r="Q461">
        <f t="shared" si="7"/>
        <v>2.2999999999999998</v>
      </c>
      <c r="R461" s="10">
        <f>IF('[1]Pizza Sales Calculations'!$G461=TRUE, [1]Parameters!$B$17*'[1]Pizza Sales Calculations'!$L461*2, 0)</f>
        <v>0</v>
      </c>
      <c r="S461" t="str">
        <f>IF(I461&lt;[1]Parameters!$B$21,"TRUE","FALSE")</f>
        <v>TRUE</v>
      </c>
      <c r="T461" s="5">
        <f>(I461/[1]Parameters!$B$25)*60</f>
        <v>0</v>
      </c>
      <c r="U461" s="10">
        <f>IF(AND('[1]Pizza Sales Calculations'!G461=TRUE,'[1]Pizza Sales Calculations'!S461="TRUE"),T461*[1]Parameters!$B$40*2,0)</f>
        <v>0</v>
      </c>
      <c r="V461">
        <f>INDEX([1]Parameters!$A$3:$C$5,MATCH('[1]Pizza Sales Calculations'!D461,[1]Parameters!$A$3:$A$5,0),2)</f>
        <v>14</v>
      </c>
      <c r="W461" t="e">
        <f>INDEX([1]Parameters!$A$3:$C$5,MATCH('[1]Pizza Sales Calculations'!E461,[1]Parameters!$A$3:$A$5,0),2)</f>
        <v>#N/A</v>
      </c>
      <c r="X461" t="e">
        <f>INDEX([1]Parameters!$A$3:$C$5,MATCH('[1]Pizza Sales Calculations'!F461,[1]Parameters!$A$3:$A$5,0),2)</f>
        <v>#N/A</v>
      </c>
    </row>
    <row r="462" spans="1:24" x14ac:dyDescent="0.3">
      <c r="A462">
        <v>461</v>
      </c>
      <c r="B462" s="14">
        <v>42375.533472222225</v>
      </c>
      <c r="C462" s="14">
        <v>42375.543900462966</v>
      </c>
      <c r="D462" t="s">
        <v>5</v>
      </c>
      <c r="G462" t="b">
        <v>1</v>
      </c>
      <c r="H462">
        <v>70804</v>
      </c>
      <c r="I462" s="5">
        <v>4.4573382036376801</v>
      </c>
      <c r="J462" s="14">
        <v>42375.559374999997</v>
      </c>
      <c r="K462">
        <v>15.35</v>
      </c>
      <c r="L462" s="5">
        <f>('[1]Pizza Sales Calculations'!$J462-'[1]Pizza Sales Calculations'!$C462)*24*60</f>
        <v>22.283333324594423</v>
      </c>
      <c r="M462">
        <f>COUNTA('[1]Pizza Sales Calculations'!$D462:$F462)</f>
        <v>1</v>
      </c>
      <c r="N462">
        <f>IFERROR(VLOOKUP(D462,[1]Parameters!$A$3:$C$5,3,FALSE),0)</f>
        <v>2.2999999999999998</v>
      </c>
      <c r="O462">
        <f>IFERROR(VLOOKUP(E462,[1]Parameters!$A$3:$C$5,3,FALSE),0)</f>
        <v>0</v>
      </c>
      <c r="P462">
        <f>IFERROR(VLOOKUP(F462,[1]Parameters!$A$3:$C$5,3,FALSE),0)</f>
        <v>0</v>
      </c>
      <c r="Q462">
        <f t="shared" si="7"/>
        <v>2.2999999999999998</v>
      </c>
      <c r="R462" s="10">
        <f>IF('[1]Pizza Sales Calculations'!$G462=TRUE, [1]Parameters!$B$17*'[1]Pizza Sales Calculations'!$L462*2, 0)</f>
        <v>6.3136111086350866</v>
      </c>
      <c r="S462" t="str">
        <f>IF(I462&lt;[1]Parameters!$B$21,"TRUE","FALSE")</f>
        <v>FALSE</v>
      </c>
      <c r="T462" s="5">
        <f>(I462/[1]Parameters!$B$25)*60</f>
        <v>8.9146764072753601</v>
      </c>
      <c r="U462" s="10">
        <f>IF(AND('[1]Pizza Sales Calculations'!G462=TRUE,'[1]Pizza Sales Calculations'!S462="TRUE"),T462*[1]Parameters!$B$40*2,0)</f>
        <v>0</v>
      </c>
      <c r="V462">
        <f>INDEX([1]Parameters!$A$3:$C$5,MATCH('[1]Pizza Sales Calculations'!D462,[1]Parameters!$A$3:$A$5,0),2)</f>
        <v>14</v>
      </c>
      <c r="W462" t="e">
        <f>INDEX([1]Parameters!$A$3:$C$5,MATCH('[1]Pizza Sales Calculations'!E462,[1]Parameters!$A$3:$A$5,0),2)</f>
        <v>#N/A</v>
      </c>
      <c r="X462" t="e">
        <f>INDEX([1]Parameters!$A$3:$C$5,MATCH('[1]Pizza Sales Calculations'!F462,[1]Parameters!$A$3:$A$5,0),2)</f>
        <v>#N/A</v>
      </c>
    </row>
    <row r="463" spans="1:24" x14ac:dyDescent="0.3">
      <c r="A463">
        <v>462</v>
      </c>
      <c r="B463" s="14">
        <v>42375.429664351854</v>
      </c>
      <c r="C463" s="14">
        <v>42375.440069444441</v>
      </c>
      <c r="D463" t="s">
        <v>5</v>
      </c>
      <c r="G463" t="b">
        <v>0</v>
      </c>
      <c r="H463">
        <v>70806</v>
      </c>
      <c r="I463" s="5">
        <v>0</v>
      </c>
      <c r="J463" s="14">
        <v>42375.442129629628</v>
      </c>
      <c r="K463">
        <v>15.35</v>
      </c>
      <c r="L463" s="5">
        <f>('[1]Pizza Sales Calculations'!$J463-'[1]Pizza Sales Calculations'!$C463)*24*60</f>
        <v>2.9666666686534882</v>
      </c>
      <c r="M463">
        <f>COUNTA('[1]Pizza Sales Calculations'!$D463:$F463)</f>
        <v>1</v>
      </c>
      <c r="N463">
        <f>IFERROR(VLOOKUP(D463,[1]Parameters!$A$3:$C$5,3,FALSE),0)</f>
        <v>2.2999999999999998</v>
      </c>
      <c r="O463">
        <f>IFERROR(VLOOKUP(E463,[1]Parameters!$A$3:$C$5,3,FALSE),0)</f>
        <v>0</v>
      </c>
      <c r="P463">
        <f>IFERROR(VLOOKUP(F463,[1]Parameters!$A$3:$C$5,3,FALSE),0)</f>
        <v>0</v>
      </c>
      <c r="Q463">
        <f t="shared" si="7"/>
        <v>2.2999999999999998</v>
      </c>
      <c r="R463" s="10">
        <f>IF('[1]Pizza Sales Calculations'!$G463=TRUE, [1]Parameters!$B$17*'[1]Pizza Sales Calculations'!$L463*2, 0)</f>
        <v>0</v>
      </c>
      <c r="S463" t="str">
        <f>IF(I463&lt;[1]Parameters!$B$21,"TRUE","FALSE")</f>
        <v>TRUE</v>
      </c>
      <c r="T463" s="5">
        <f>(I463/[1]Parameters!$B$25)*60</f>
        <v>0</v>
      </c>
      <c r="U463" s="10">
        <f>IF(AND('[1]Pizza Sales Calculations'!G463=TRUE,'[1]Pizza Sales Calculations'!S463="TRUE"),T463*[1]Parameters!$B$40*2,0)</f>
        <v>0</v>
      </c>
      <c r="V463">
        <f>INDEX([1]Parameters!$A$3:$C$5,MATCH('[1]Pizza Sales Calculations'!D463,[1]Parameters!$A$3:$A$5,0),2)</f>
        <v>14</v>
      </c>
      <c r="W463" t="e">
        <f>INDEX([1]Parameters!$A$3:$C$5,MATCH('[1]Pizza Sales Calculations'!E463,[1]Parameters!$A$3:$A$5,0),2)</f>
        <v>#N/A</v>
      </c>
      <c r="X463" t="e">
        <f>INDEX([1]Parameters!$A$3:$C$5,MATCH('[1]Pizza Sales Calculations'!F463,[1]Parameters!$A$3:$A$5,0),2)</f>
        <v>#N/A</v>
      </c>
    </row>
    <row r="464" spans="1:24" x14ac:dyDescent="0.3">
      <c r="A464">
        <v>463</v>
      </c>
      <c r="B464" s="14">
        <v>42375.577662037038</v>
      </c>
      <c r="C464" s="14">
        <v>42375.588078703702</v>
      </c>
      <c r="D464" t="s">
        <v>3</v>
      </c>
      <c r="E464" t="s">
        <v>4</v>
      </c>
      <c r="G464" t="b">
        <v>0</v>
      </c>
      <c r="H464">
        <v>70804</v>
      </c>
      <c r="I464" s="5">
        <v>0</v>
      </c>
      <c r="J464" s="14">
        <v>42375.590173611112</v>
      </c>
      <c r="K464">
        <v>19.579999999999998</v>
      </c>
      <c r="L464" s="5">
        <f>('[1]Pizza Sales Calculations'!$J464-'[1]Pizza Sales Calculations'!$C464)*24*60</f>
        <v>3.0166666698642075</v>
      </c>
      <c r="M464">
        <f>COUNTA('[1]Pizza Sales Calculations'!$D464:$F464)</f>
        <v>2</v>
      </c>
      <c r="N464">
        <f>IFERROR(VLOOKUP(D464,[1]Parameters!$A$3:$C$5,3,FALSE),0)</f>
        <v>1</v>
      </c>
      <c r="O464">
        <f>IFERROR(VLOOKUP(E464,[1]Parameters!$A$3:$C$5,3,FALSE),0)</f>
        <v>1.7</v>
      </c>
      <c r="P464">
        <f>IFERROR(VLOOKUP(F464,[1]Parameters!$A$3:$C$5,3,FALSE),0)</f>
        <v>0</v>
      </c>
      <c r="Q464">
        <f t="shared" si="7"/>
        <v>2.7</v>
      </c>
      <c r="R464" s="10">
        <f>IF('[1]Pizza Sales Calculations'!$G464=TRUE, [1]Parameters!$B$17*'[1]Pizza Sales Calculations'!$L464*2, 0)</f>
        <v>0</v>
      </c>
      <c r="S464" t="str">
        <f>IF(I464&lt;[1]Parameters!$B$21,"TRUE","FALSE")</f>
        <v>TRUE</v>
      </c>
      <c r="T464" s="5">
        <f>(I464/[1]Parameters!$B$25)*60</f>
        <v>0</v>
      </c>
      <c r="U464" s="10">
        <f>IF(AND('[1]Pizza Sales Calculations'!G464=TRUE,'[1]Pizza Sales Calculations'!S464="TRUE"),T464*[1]Parameters!$B$40*2,0)</f>
        <v>0</v>
      </c>
      <c r="V464">
        <f>INDEX([1]Parameters!$A$3:$C$5,MATCH('[1]Pizza Sales Calculations'!D464,[1]Parameters!$A$3:$A$5,0),2)</f>
        <v>7</v>
      </c>
      <c r="W464">
        <f>INDEX([1]Parameters!$A$3:$C$5,MATCH('[1]Pizza Sales Calculations'!E464,[1]Parameters!$A$3:$A$5,0),2)</f>
        <v>10</v>
      </c>
      <c r="X464" t="e">
        <f>INDEX([1]Parameters!$A$3:$C$5,MATCH('[1]Pizza Sales Calculations'!F464,[1]Parameters!$A$3:$A$5,0),2)</f>
        <v>#N/A</v>
      </c>
    </row>
    <row r="465" spans="1:24" x14ac:dyDescent="0.3">
      <c r="A465">
        <v>464</v>
      </c>
      <c r="B465" s="14">
        <v>42375.5705787037</v>
      </c>
      <c r="C465" s="14">
        <v>42375.580995370372</v>
      </c>
      <c r="D465" t="s">
        <v>4</v>
      </c>
      <c r="G465" t="b">
        <v>1</v>
      </c>
      <c r="H465">
        <v>70805</v>
      </c>
      <c r="I465" s="5">
        <v>3.3603246695759101</v>
      </c>
      <c r="J465" s="14">
        <v>42375.592662037037</v>
      </c>
      <c r="K465">
        <v>11.59</v>
      </c>
      <c r="L465" s="5">
        <f>('[1]Pizza Sales Calculations'!$J465-'[1]Pizza Sales Calculations'!$C465)*24*60</f>
        <v>16.799999998183921</v>
      </c>
      <c r="M465">
        <f>COUNTA('[1]Pizza Sales Calculations'!$D465:$F465)</f>
        <v>1</v>
      </c>
      <c r="N465">
        <f>IFERROR(VLOOKUP(D465,[1]Parameters!$A$3:$C$5,3,FALSE),0)</f>
        <v>1.7</v>
      </c>
      <c r="O465">
        <f>IFERROR(VLOOKUP(E465,[1]Parameters!$A$3:$C$5,3,FALSE),0)</f>
        <v>0</v>
      </c>
      <c r="P465">
        <f>IFERROR(VLOOKUP(F465,[1]Parameters!$A$3:$C$5,3,FALSE),0)</f>
        <v>0</v>
      </c>
      <c r="Q465">
        <f t="shared" si="7"/>
        <v>1.7</v>
      </c>
      <c r="R465" s="10">
        <f>IF('[1]Pizza Sales Calculations'!$G465=TRUE, [1]Parameters!$B$17*'[1]Pizza Sales Calculations'!$L465*2, 0)</f>
        <v>4.7599999994854443</v>
      </c>
      <c r="S465" t="str">
        <f>IF(I465&lt;[1]Parameters!$B$21,"TRUE","FALSE")</f>
        <v>FALSE</v>
      </c>
      <c r="T465" s="5">
        <f>(I465/[1]Parameters!$B$25)*60</f>
        <v>6.7206493391518203</v>
      </c>
      <c r="U465" s="10">
        <f>IF(AND('[1]Pizza Sales Calculations'!G465=TRUE,'[1]Pizza Sales Calculations'!S465="TRUE"),T465*[1]Parameters!$B$40*2,0)</f>
        <v>0</v>
      </c>
      <c r="V465">
        <f>INDEX([1]Parameters!$A$3:$C$5,MATCH('[1]Pizza Sales Calculations'!D465,[1]Parameters!$A$3:$A$5,0),2)</f>
        <v>10</v>
      </c>
      <c r="W465" t="e">
        <f>INDEX([1]Parameters!$A$3:$C$5,MATCH('[1]Pizza Sales Calculations'!E465,[1]Parameters!$A$3:$A$5,0),2)</f>
        <v>#N/A</v>
      </c>
      <c r="X465" t="e">
        <f>INDEX([1]Parameters!$A$3:$C$5,MATCH('[1]Pizza Sales Calculations'!F465,[1]Parameters!$A$3:$A$5,0),2)</f>
        <v>#N/A</v>
      </c>
    </row>
    <row r="466" spans="1:24" x14ac:dyDescent="0.3">
      <c r="A466">
        <v>465</v>
      </c>
      <c r="B466" s="14">
        <v>42375.538530092592</v>
      </c>
      <c r="C466" s="14">
        <v>42375.548946759256</v>
      </c>
      <c r="D466" t="s">
        <v>3</v>
      </c>
      <c r="E466" t="s">
        <v>4</v>
      </c>
      <c r="G466" t="b">
        <v>1</v>
      </c>
      <c r="H466">
        <v>70803</v>
      </c>
      <c r="I466" s="5">
        <v>3.7830055951394201</v>
      </c>
      <c r="J466" s="14">
        <v>42375.562071759261</v>
      </c>
      <c r="K466">
        <v>19.579999999999998</v>
      </c>
      <c r="L466" s="5">
        <f>('[1]Pizza Sales Calculations'!$J466-'[1]Pizza Sales Calculations'!$C466)*24*60</f>
        <v>18.900000007124618</v>
      </c>
      <c r="M466">
        <f>COUNTA('[1]Pizza Sales Calculations'!$D466:$F466)</f>
        <v>2</v>
      </c>
      <c r="N466">
        <f>IFERROR(VLOOKUP(D466,[1]Parameters!$A$3:$C$5,3,FALSE),0)</f>
        <v>1</v>
      </c>
      <c r="O466">
        <f>IFERROR(VLOOKUP(E466,[1]Parameters!$A$3:$C$5,3,FALSE),0)</f>
        <v>1.7</v>
      </c>
      <c r="P466">
        <f>IFERROR(VLOOKUP(F466,[1]Parameters!$A$3:$C$5,3,FALSE),0)</f>
        <v>0</v>
      </c>
      <c r="Q466">
        <f t="shared" si="7"/>
        <v>2.7</v>
      </c>
      <c r="R466" s="10">
        <f>IF('[1]Pizza Sales Calculations'!$G466=TRUE, [1]Parameters!$B$17*'[1]Pizza Sales Calculations'!$L466*2, 0)</f>
        <v>5.3550000020186417</v>
      </c>
      <c r="S466" t="str">
        <f>IF(I466&lt;[1]Parameters!$B$21,"TRUE","FALSE")</f>
        <v>FALSE</v>
      </c>
      <c r="T466" s="5">
        <f>(I466/[1]Parameters!$B$25)*60</f>
        <v>7.5660111902788394</v>
      </c>
      <c r="U466" s="10">
        <f>IF(AND('[1]Pizza Sales Calculations'!G466=TRUE,'[1]Pizza Sales Calculations'!S466="TRUE"),T466*[1]Parameters!$B$40*2,0)</f>
        <v>0</v>
      </c>
      <c r="V466">
        <f>INDEX([1]Parameters!$A$3:$C$5,MATCH('[1]Pizza Sales Calculations'!D466,[1]Parameters!$A$3:$A$5,0),2)</f>
        <v>7</v>
      </c>
      <c r="W466">
        <f>INDEX([1]Parameters!$A$3:$C$5,MATCH('[1]Pizza Sales Calculations'!E466,[1]Parameters!$A$3:$A$5,0),2)</f>
        <v>10</v>
      </c>
      <c r="X466" t="e">
        <f>INDEX([1]Parameters!$A$3:$C$5,MATCH('[1]Pizza Sales Calculations'!F466,[1]Parameters!$A$3:$A$5,0),2)</f>
        <v>#N/A</v>
      </c>
    </row>
    <row r="467" spans="1:24" x14ac:dyDescent="0.3">
      <c r="A467">
        <v>466</v>
      </c>
      <c r="B467" s="14">
        <v>42375.546782407408</v>
      </c>
      <c r="C467" s="14">
        <v>42375.557199074072</v>
      </c>
      <c r="D467" t="s">
        <v>5</v>
      </c>
      <c r="G467" t="b">
        <v>0</v>
      </c>
      <c r="H467">
        <v>70803</v>
      </c>
      <c r="I467" s="5">
        <v>0</v>
      </c>
      <c r="J467" s="14">
        <v>42375.559270833335</v>
      </c>
      <c r="K467">
        <v>15.35</v>
      </c>
      <c r="L467" s="5">
        <f>('[1]Pizza Sales Calculations'!$J467-'[1]Pizza Sales Calculations'!$C467)*24*60</f>
        <v>2.9833333392161876</v>
      </c>
      <c r="M467">
        <f>COUNTA('[1]Pizza Sales Calculations'!$D467:$F467)</f>
        <v>1</v>
      </c>
      <c r="N467">
        <f>IFERROR(VLOOKUP(D467,[1]Parameters!$A$3:$C$5,3,FALSE),0)</f>
        <v>2.2999999999999998</v>
      </c>
      <c r="O467">
        <f>IFERROR(VLOOKUP(E467,[1]Parameters!$A$3:$C$5,3,FALSE),0)</f>
        <v>0</v>
      </c>
      <c r="P467">
        <f>IFERROR(VLOOKUP(F467,[1]Parameters!$A$3:$C$5,3,FALSE),0)</f>
        <v>0</v>
      </c>
      <c r="Q467">
        <f t="shared" si="7"/>
        <v>2.2999999999999998</v>
      </c>
      <c r="R467" s="10">
        <f>IF('[1]Pizza Sales Calculations'!$G467=TRUE, [1]Parameters!$B$17*'[1]Pizza Sales Calculations'!$L467*2, 0)</f>
        <v>0</v>
      </c>
      <c r="S467" t="str">
        <f>IF(I467&lt;[1]Parameters!$B$21,"TRUE","FALSE")</f>
        <v>TRUE</v>
      </c>
      <c r="T467" s="5">
        <f>(I467/[1]Parameters!$B$25)*60</f>
        <v>0</v>
      </c>
      <c r="U467" s="10">
        <f>IF(AND('[1]Pizza Sales Calculations'!G467=TRUE,'[1]Pizza Sales Calculations'!S467="TRUE"),T467*[1]Parameters!$B$40*2,0)</f>
        <v>0</v>
      </c>
      <c r="V467">
        <f>INDEX([1]Parameters!$A$3:$C$5,MATCH('[1]Pizza Sales Calculations'!D467,[1]Parameters!$A$3:$A$5,0),2)</f>
        <v>14</v>
      </c>
      <c r="W467" t="e">
        <f>INDEX([1]Parameters!$A$3:$C$5,MATCH('[1]Pizza Sales Calculations'!E467,[1]Parameters!$A$3:$A$5,0),2)</f>
        <v>#N/A</v>
      </c>
      <c r="X467" t="e">
        <f>INDEX([1]Parameters!$A$3:$C$5,MATCH('[1]Pizza Sales Calculations'!F467,[1]Parameters!$A$3:$A$5,0),2)</f>
        <v>#N/A</v>
      </c>
    </row>
    <row r="468" spans="1:24" x14ac:dyDescent="0.3">
      <c r="A468">
        <v>467</v>
      </c>
      <c r="B468" s="14">
        <v>42375.521412037036</v>
      </c>
      <c r="C468" s="14">
        <v>42375.531805555554</v>
      </c>
      <c r="D468" t="s">
        <v>4</v>
      </c>
      <c r="G468" t="b">
        <v>0</v>
      </c>
      <c r="H468">
        <v>70807</v>
      </c>
      <c r="I468" s="5">
        <v>0</v>
      </c>
      <c r="J468" s="14">
        <v>42375.533900462964</v>
      </c>
      <c r="K468">
        <v>11.59</v>
      </c>
      <c r="L468" s="5">
        <f>('[1]Pizza Sales Calculations'!$J468-'[1]Pizza Sales Calculations'!$C468)*24*60</f>
        <v>3.0166666698642075</v>
      </c>
      <c r="M468">
        <f>COUNTA('[1]Pizza Sales Calculations'!$D468:$F468)</f>
        <v>1</v>
      </c>
      <c r="N468">
        <f>IFERROR(VLOOKUP(D468,[1]Parameters!$A$3:$C$5,3,FALSE),0)</f>
        <v>1.7</v>
      </c>
      <c r="O468">
        <f>IFERROR(VLOOKUP(E468,[1]Parameters!$A$3:$C$5,3,FALSE),0)</f>
        <v>0</v>
      </c>
      <c r="P468">
        <f>IFERROR(VLOOKUP(F468,[1]Parameters!$A$3:$C$5,3,FALSE),0)</f>
        <v>0</v>
      </c>
      <c r="Q468">
        <f t="shared" si="7"/>
        <v>1.7</v>
      </c>
      <c r="R468" s="10">
        <f>IF('[1]Pizza Sales Calculations'!$G468=TRUE, [1]Parameters!$B$17*'[1]Pizza Sales Calculations'!$L468*2, 0)</f>
        <v>0</v>
      </c>
      <c r="S468" t="str">
        <f>IF(I468&lt;[1]Parameters!$B$21,"TRUE","FALSE")</f>
        <v>TRUE</v>
      </c>
      <c r="T468" s="5">
        <f>(I468/[1]Parameters!$B$25)*60</f>
        <v>0</v>
      </c>
      <c r="U468" s="10">
        <f>IF(AND('[1]Pizza Sales Calculations'!G468=TRUE,'[1]Pizza Sales Calculations'!S468="TRUE"),T468*[1]Parameters!$B$40*2,0)</f>
        <v>0</v>
      </c>
      <c r="V468">
        <f>INDEX([1]Parameters!$A$3:$C$5,MATCH('[1]Pizza Sales Calculations'!D468,[1]Parameters!$A$3:$A$5,0),2)</f>
        <v>10</v>
      </c>
      <c r="W468" t="e">
        <f>INDEX([1]Parameters!$A$3:$C$5,MATCH('[1]Pizza Sales Calculations'!E468,[1]Parameters!$A$3:$A$5,0),2)</f>
        <v>#N/A</v>
      </c>
      <c r="X468" t="e">
        <f>INDEX([1]Parameters!$A$3:$C$5,MATCH('[1]Pizza Sales Calculations'!F468,[1]Parameters!$A$3:$A$5,0),2)</f>
        <v>#N/A</v>
      </c>
    </row>
    <row r="469" spans="1:24" x14ac:dyDescent="0.3">
      <c r="A469">
        <v>468</v>
      </c>
      <c r="B469" s="14">
        <v>42375.536979166667</v>
      </c>
      <c r="C469" s="14">
        <v>42375.547361111108</v>
      </c>
      <c r="D469" t="s">
        <v>5</v>
      </c>
      <c r="G469" t="b">
        <v>0</v>
      </c>
      <c r="H469">
        <v>70804</v>
      </c>
      <c r="I469" s="5">
        <v>0</v>
      </c>
      <c r="J469" s="14">
        <v>42375.549421296295</v>
      </c>
      <c r="K469">
        <v>15.35</v>
      </c>
      <c r="L469" s="5">
        <f>('[1]Pizza Sales Calculations'!$J469-'[1]Pizza Sales Calculations'!$C469)*24*60</f>
        <v>2.9666666686534882</v>
      </c>
      <c r="M469">
        <f>COUNTA('[1]Pizza Sales Calculations'!$D469:$F469)</f>
        <v>1</v>
      </c>
      <c r="N469">
        <f>IFERROR(VLOOKUP(D469,[1]Parameters!$A$3:$C$5,3,FALSE),0)</f>
        <v>2.2999999999999998</v>
      </c>
      <c r="O469">
        <f>IFERROR(VLOOKUP(E469,[1]Parameters!$A$3:$C$5,3,FALSE),0)</f>
        <v>0</v>
      </c>
      <c r="P469">
        <f>IFERROR(VLOOKUP(F469,[1]Parameters!$A$3:$C$5,3,FALSE),0)</f>
        <v>0</v>
      </c>
      <c r="Q469">
        <f t="shared" si="7"/>
        <v>2.2999999999999998</v>
      </c>
      <c r="R469" s="10">
        <f>IF('[1]Pizza Sales Calculations'!$G469=TRUE, [1]Parameters!$B$17*'[1]Pizza Sales Calculations'!$L469*2, 0)</f>
        <v>0</v>
      </c>
      <c r="S469" t="str">
        <f>IF(I469&lt;[1]Parameters!$B$21,"TRUE","FALSE")</f>
        <v>TRUE</v>
      </c>
      <c r="T469" s="5">
        <f>(I469/[1]Parameters!$B$25)*60</f>
        <v>0</v>
      </c>
      <c r="U469" s="10">
        <f>IF(AND('[1]Pizza Sales Calculations'!G469=TRUE,'[1]Pizza Sales Calculations'!S469="TRUE"),T469*[1]Parameters!$B$40*2,0)</f>
        <v>0</v>
      </c>
      <c r="V469">
        <f>INDEX([1]Parameters!$A$3:$C$5,MATCH('[1]Pizza Sales Calculations'!D469,[1]Parameters!$A$3:$A$5,0),2)</f>
        <v>14</v>
      </c>
      <c r="W469" t="e">
        <f>INDEX([1]Parameters!$A$3:$C$5,MATCH('[1]Pizza Sales Calculations'!E469,[1]Parameters!$A$3:$A$5,0),2)</f>
        <v>#N/A</v>
      </c>
      <c r="X469" t="e">
        <f>INDEX([1]Parameters!$A$3:$C$5,MATCH('[1]Pizza Sales Calculations'!F469,[1]Parameters!$A$3:$A$5,0),2)</f>
        <v>#N/A</v>
      </c>
    </row>
    <row r="470" spans="1:24" x14ac:dyDescent="0.3">
      <c r="A470">
        <v>469</v>
      </c>
      <c r="B470" s="14">
        <v>42375.527303240742</v>
      </c>
      <c r="C470" s="14">
        <v>42375.537719907406</v>
      </c>
      <c r="D470" t="s">
        <v>3</v>
      </c>
      <c r="E470" t="s">
        <v>5</v>
      </c>
      <c r="G470" t="b">
        <v>1</v>
      </c>
      <c r="H470">
        <v>70803</v>
      </c>
      <c r="I470" s="5">
        <v>2.45685414360831</v>
      </c>
      <c r="J470" s="14">
        <v>42375.546249999999</v>
      </c>
      <c r="K470">
        <v>23.34</v>
      </c>
      <c r="L470" s="5">
        <f>('[1]Pizza Sales Calculations'!$J470-'[1]Pizza Sales Calculations'!$C470)*24*60</f>
        <v>12.283333333907649</v>
      </c>
      <c r="M470">
        <f>COUNTA('[1]Pizza Sales Calculations'!$D470:$F470)</f>
        <v>2</v>
      </c>
      <c r="N470">
        <f>IFERROR(VLOOKUP(D470,[1]Parameters!$A$3:$C$5,3,FALSE),0)</f>
        <v>1</v>
      </c>
      <c r="O470">
        <f>IFERROR(VLOOKUP(E470,[1]Parameters!$A$3:$C$5,3,FALSE),0)</f>
        <v>2.2999999999999998</v>
      </c>
      <c r="P470">
        <f>IFERROR(VLOOKUP(F470,[1]Parameters!$A$3:$C$5,3,FALSE),0)</f>
        <v>0</v>
      </c>
      <c r="Q470">
        <f t="shared" si="7"/>
        <v>3.3</v>
      </c>
      <c r="R470" s="10">
        <f>IF('[1]Pizza Sales Calculations'!$G470=TRUE, [1]Parameters!$B$17*'[1]Pizza Sales Calculations'!$L470*2, 0)</f>
        <v>3.4802777779405005</v>
      </c>
      <c r="S470" t="str">
        <f>IF(I470&lt;[1]Parameters!$B$21,"TRUE","FALSE")</f>
        <v>TRUE</v>
      </c>
      <c r="T470" s="5">
        <f>(I470/[1]Parameters!$B$25)*60</f>
        <v>4.91370828721662</v>
      </c>
      <c r="U470" s="10">
        <f>IF(AND('[1]Pizza Sales Calculations'!G470=TRUE,'[1]Pizza Sales Calculations'!S470="TRUE"),T470*[1]Parameters!$B$40*2,0)</f>
        <v>0.30672658504195682</v>
      </c>
      <c r="V470">
        <f>INDEX([1]Parameters!$A$3:$C$5,MATCH('[1]Pizza Sales Calculations'!D470,[1]Parameters!$A$3:$A$5,0),2)</f>
        <v>7</v>
      </c>
      <c r="W470">
        <f>INDEX([1]Parameters!$A$3:$C$5,MATCH('[1]Pizza Sales Calculations'!E470,[1]Parameters!$A$3:$A$5,0),2)</f>
        <v>14</v>
      </c>
      <c r="X470" t="e">
        <f>INDEX([1]Parameters!$A$3:$C$5,MATCH('[1]Pizza Sales Calculations'!F470,[1]Parameters!$A$3:$A$5,0),2)</f>
        <v>#N/A</v>
      </c>
    </row>
    <row r="471" spans="1:24" x14ac:dyDescent="0.3">
      <c r="A471">
        <v>470</v>
      </c>
      <c r="B471" s="14">
        <v>42375.522534722222</v>
      </c>
      <c r="C471" s="14">
        <v>42375.532951388886</v>
      </c>
      <c r="D471" t="s">
        <v>4</v>
      </c>
      <c r="G471" t="b">
        <v>1</v>
      </c>
      <c r="H471">
        <v>70808</v>
      </c>
      <c r="I471" s="5">
        <v>2.9738725395011101</v>
      </c>
      <c r="J471" s="14">
        <v>42375.543275462966</v>
      </c>
      <c r="K471">
        <v>11.59</v>
      </c>
      <c r="L471" s="5">
        <f>('[1]Pizza Sales Calculations'!$J471-'[1]Pizza Sales Calculations'!$C471)*24*60</f>
        <v>14.866666673915461</v>
      </c>
      <c r="M471">
        <f>COUNTA('[1]Pizza Sales Calculations'!$D471:$F471)</f>
        <v>1</v>
      </c>
      <c r="N471">
        <f>IFERROR(VLOOKUP(D471,[1]Parameters!$A$3:$C$5,3,FALSE),0)</f>
        <v>1.7</v>
      </c>
      <c r="O471">
        <f>IFERROR(VLOOKUP(E471,[1]Parameters!$A$3:$C$5,3,FALSE),0)</f>
        <v>0</v>
      </c>
      <c r="P471">
        <f>IFERROR(VLOOKUP(F471,[1]Parameters!$A$3:$C$5,3,FALSE),0)</f>
        <v>0</v>
      </c>
      <c r="Q471">
        <f t="shared" si="7"/>
        <v>1.7</v>
      </c>
      <c r="R471" s="10">
        <f>IF('[1]Pizza Sales Calculations'!$G471=TRUE, [1]Parameters!$B$17*'[1]Pizza Sales Calculations'!$L471*2, 0)</f>
        <v>4.2122222242760472</v>
      </c>
      <c r="S471" t="str">
        <f>IF(I471&lt;[1]Parameters!$B$21,"TRUE","FALSE")</f>
        <v>TRUE</v>
      </c>
      <c r="T471" s="5">
        <f>(I471/[1]Parameters!$B$25)*60</f>
        <v>5.9477450790022202</v>
      </c>
      <c r="U471" s="10">
        <f>IF(AND('[1]Pizza Sales Calculations'!G471=TRUE,'[1]Pizza Sales Calculations'!S471="TRUE"),T471*[1]Parameters!$B$40*2,0)</f>
        <v>0.37127387914512339</v>
      </c>
      <c r="V471">
        <f>INDEX([1]Parameters!$A$3:$C$5,MATCH('[1]Pizza Sales Calculations'!D471,[1]Parameters!$A$3:$A$5,0),2)</f>
        <v>10</v>
      </c>
      <c r="W471" t="e">
        <f>INDEX([1]Parameters!$A$3:$C$5,MATCH('[1]Pizza Sales Calculations'!E471,[1]Parameters!$A$3:$A$5,0),2)</f>
        <v>#N/A</v>
      </c>
      <c r="X471" t="e">
        <f>INDEX([1]Parameters!$A$3:$C$5,MATCH('[1]Pizza Sales Calculations'!F471,[1]Parameters!$A$3:$A$5,0),2)</f>
        <v>#N/A</v>
      </c>
    </row>
    <row r="472" spans="1:24" x14ac:dyDescent="0.3">
      <c r="A472">
        <v>471</v>
      </c>
      <c r="B472" s="14">
        <v>42375.484513888892</v>
      </c>
      <c r="C472" s="14">
        <v>42375.494930555556</v>
      </c>
      <c r="D472" t="s">
        <v>3</v>
      </c>
      <c r="E472" t="s">
        <v>4</v>
      </c>
      <c r="G472" t="b">
        <v>1</v>
      </c>
      <c r="H472">
        <v>70804</v>
      </c>
      <c r="I472" s="5">
        <v>3.9644691008371802</v>
      </c>
      <c r="J472" s="14">
        <v>42375.508692129632</v>
      </c>
      <c r="K472">
        <v>19.579999999999998</v>
      </c>
      <c r="L472" s="5">
        <f>('[1]Pizza Sales Calculations'!$J472-'[1]Pizza Sales Calculations'!$C472)*24*60</f>
        <v>19.816666668048128</v>
      </c>
      <c r="M472">
        <f>COUNTA('[1]Pizza Sales Calculations'!$D472:$F472)</f>
        <v>2</v>
      </c>
      <c r="N472">
        <f>IFERROR(VLOOKUP(D472,[1]Parameters!$A$3:$C$5,3,FALSE),0)</f>
        <v>1</v>
      </c>
      <c r="O472">
        <f>IFERROR(VLOOKUP(E472,[1]Parameters!$A$3:$C$5,3,FALSE),0)</f>
        <v>1.7</v>
      </c>
      <c r="P472">
        <f>IFERROR(VLOOKUP(F472,[1]Parameters!$A$3:$C$5,3,FALSE),0)</f>
        <v>0</v>
      </c>
      <c r="Q472">
        <f t="shared" si="7"/>
        <v>2.7</v>
      </c>
      <c r="R472" s="10">
        <f>IF('[1]Pizza Sales Calculations'!$G472=TRUE, [1]Parameters!$B$17*'[1]Pizza Sales Calculations'!$L472*2, 0)</f>
        <v>5.6147222226136364</v>
      </c>
      <c r="S472" t="str">
        <f>IF(I472&lt;[1]Parameters!$B$21,"TRUE","FALSE")</f>
        <v>FALSE</v>
      </c>
      <c r="T472" s="5">
        <f>(I472/[1]Parameters!$B$25)*60</f>
        <v>7.9289382016743613</v>
      </c>
      <c r="U472" s="10">
        <f>IF(AND('[1]Pizza Sales Calculations'!G472=TRUE,'[1]Pizza Sales Calculations'!S472="TRUE"),T472*[1]Parameters!$B$40*2,0)</f>
        <v>0</v>
      </c>
      <c r="V472">
        <f>INDEX([1]Parameters!$A$3:$C$5,MATCH('[1]Pizza Sales Calculations'!D472,[1]Parameters!$A$3:$A$5,0),2)</f>
        <v>7</v>
      </c>
      <c r="W472">
        <f>INDEX([1]Parameters!$A$3:$C$5,MATCH('[1]Pizza Sales Calculations'!E472,[1]Parameters!$A$3:$A$5,0),2)</f>
        <v>10</v>
      </c>
      <c r="X472" t="e">
        <f>INDEX([1]Parameters!$A$3:$C$5,MATCH('[1]Pizza Sales Calculations'!F472,[1]Parameters!$A$3:$A$5,0),2)</f>
        <v>#N/A</v>
      </c>
    </row>
    <row r="473" spans="1:24" x14ac:dyDescent="0.3">
      <c r="A473">
        <v>472</v>
      </c>
      <c r="B473" s="14">
        <v>42375.44604166667</v>
      </c>
      <c r="C473" s="14">
        <v>42375.456458333334</v>
      </c>
      <c r="D473" t="s">
        <v>3</v>
      </c>
      <c r="G473" t="b">
        <v>1</v>
      </c>
      <c r="H473">
        <v>70805</v>
      </c>
      <c r="I473" s="5">
        <v>2.5363281363549399</v>
      </c>
      <c r="J473" s="14">
        <v>42375.465254629627</v>
      </c>
      <c r="K473">
        <v>7.99</v>
      </c>
      <c r="L473" s="5">
        <f>('[1]Pizza Sales Calculations'!$J473-'[1]Pizza Sales Calculations'!$C473)*24*60</f>
        <v>12.666666662553325</v>
      </c>
      <c r="M473">
        <f>COUNTA('[1]Pizza Sales Calculations'!$D473:$F473)</f>
        <v>1</v>
      </c>
      <c r="N473">
        <f>IFERROR(VLOOKUP(D473,[1]Parameters!$A$3:$C$5,3,FALSE),0)</f>
        <v>1</v>
      </c>
      <c r="O473">
        <f>IFERROR(VLOOKUP(E473,[1]Parameters!$A$3:$C$5,3,FALSE),0)</f>
        <v>0</v>
      </c>
      <c r="P473">
        <f>IFERROR(VLOOKUP(F473,[1]Parameters!$A$3:$C$5,3,FALSE),0)</f>
        <v>0</v>
      </c>
      <c r="Q473">
        <f t="shared" si="7"/>
        <v>1</v>
      </c>
      <c r="R473" s="10">
        <f>IF('[1]Pizza Sales Calculations'!$G473=TRUE, [1]Parameters!$B$17*'[1]Pizza Sales Calculations'!$L473*2, 0)</f>
        <v>3.5888888877234422</v>
      </c>
      <c r="S473" t="str">
        <f>IF(I473&lt;[1]Parameters!$B$21,"TRUE","FALSE")</f>
        <v>TRUE</v>
      </c>
      <c r="T473" s="5">
        <f>(I473/[1]Parameters!$B$25)*60</f>
        <v>5.0726562727098798</v>
      </c>
      <c r="U473" s="10">
        <f>IF(AND('[1]Pizza Sales Calculations'!G473=TRUE,'[1]Pizza Sales Calculations'!S473="TRUE"),T473*[1]Parameters!$B$40*2,0)</f>
        <v>0.31664853602884835</v>
      </c>
      <c r="V473">
        <f>INDEX([1]Parameters!$A$3:$C$5,MATCH('[1]Pizza Sales Calculations'!D473,[1]Parameters!$A$3:$A$5,0),2)</f>
        <v>7</v>
      </c>
      <c r="W473" t="e">
        <f>INDEX([1]Parameters!$A$3:$C$5,MATCH('[1]Pizza Sales Calculations'!E473,[1]Parameters!$A$3:$A$5,0),2)</f>
        <v>#N/A</v>
      </c>
      <c r="X473" t="e">
        <f>INDEX([1]Parameters!$A$3:$C$5,MATCH('[1]Pizza Sales Calculations'!F473,[1]Parameters!$A$3:$A$5,0),2)</f>
        <v>#N/A</v>
      </c>
    </row>
    <row r="474" spans="1:24" x14ac:dyDescent="0.3">
      <c r="A474">
        <v>473</v>
      </c>
      <c r="B474" s="14">
        <v>42375.511921296296</v>
      </c>
      <c r="C474" s="14">
        <v>42375.522337962961</v>
      </c>
      <c r="D474" t="s">
        <v>3</v>
      </c>
      <c r="E474" t="s">
        <v>4</v>
      </c>
      <c r="G474" t="b">
        <v>0</v>
      </c>
      <c r="H474">
        <v>70805</v>
      </c>
      <c r="I474" s="5">
        <v>0</v>
      </c>
      <c r="J474" s="14">
        <v>42375.52443287037</v>
      </c>
      <c r="K474">
        <v>19.579999999999998</v>
      </c>
      <c r="L474" s="5">
        <f>('[1]Pizza Sales Calculations'!$J474-'[1]Pizza Sales Calculations'!$C474)*24*60</f>
        <v>3.0166666698642075</v>
      </c>
      <c r="M474">
        <f>COUNTA('[1]Pizza Sales Calculations'!$D474:$F474)</f>
        <v>2</v>
      </c>
      <c r="N474">
        <f>IFERROR(VLOOKUP(D474,[1]Parameters!$A$3:$C$5,3,FALSE),0)</f>
        <v>1</v>
      </c>
      <c r="O474">
        <f>IFERROR(VLOOKUP(E474,[1]Parameters!$A$3:$C$5,3,FALSE),0)</f>
        <v>1.7</v>
      </c>
      <c r="P474">
        <f>IFERROR(VLOOKUP(F474,[1]Parameters!$A$3:$C$5,3,FALSE),0)</f>
        <v>0</v>
      </c>
      <c r="Q474">
        <f t="shared" si="7"/>
        <v>2.7</v>
      </c>
      <c r="R474" s="10">
        <f>IF('[1]Pizza Sales Calculations'!$G474=TRUE, [1]Parameters!$B$17*'[1]Pizza Sales Calculations'!$L474*2, 0)</f>
        <v>0</v>
      </c>
      <c r="S474" t="str">
        <f>IF(I474&lt;[1]Parameters!$B$21,"TRUE","FALSE")</f>
        <v>TRUE</v>
      </c>
      <c r="T474" s="5">
        <f>(I474/[1]Parameters!$B$25)*60</f>
        <v>0</v>
      </c>
      <c r="U474" s="10">
        <f>IF(AND('[1]Pizza Sales Calculations'!G474=TRUE,'[1]Pizza Sales Calculations'!S474="TRUE"),T474*[1]Parameters!$B$40*2,0)</f>
        <v>0</v>
      </c>
      <c r="V474">
        <f>INDEX([1]Parameters!$A$3:$C$5,MATCH('[1]Pizza Sales Calculations'!D474,[1]Parameters!$A$3:$A$5,0),2)</f>
        <v>7</v>
      </c>
      <c r="W474">
        <f>INDEX([1]Parameters!$A$3:$C$5,MATCH('[1]Pizza Sales Calculations'!E474,[1]Parameters!$A$3:$A$5,0),2)</f>
        <v>10</v>
      </c>
      <c r="X474" t="e">
        <f>INDEX([1]Parameters!$A$3:$C$5,MATCH('[1]Pizza Sales Calculations'!F474,[1]Parameters!$A$3:$A$5,0),2)</f>
        <v>#N/A</v>
      </c>
    </row>
    <row r="475" spans="1:24" x14ac:dyDescent="0.3">
      <c r="A475">
        <v>474</v>
      </c>
      <c r="B475" s="14">
        <v>42375.473287037035</v>
      </c>
      <c r="C475" s="14">
        <v>42375.483680555553</v>
      </c>
      <c r="D475" t="s">
        <v>5</v>
      </c>
      <c r="G475" t="b">
        <v>1</v>
      </c>
      <c r="H475">
        <v>70805</v>
      </c>
      <c r="I475" s="5">
        <v>4.6068310956273404</v>
      </c>
      <c r="J475" s="14">
        <v>42375.499675925923</v>
      </c>
      <c r="K475">
        <v>15.35</v>
      </c>
      <c r="L475" s="5">
        <f>('[1]Pizza Sales Calculations'!$J475-'[1]Pizza Sales Calculations'!$C475)*24*60</f>
        <v>23.033333332277834</v>
      </c>
      <c r="M475">
        <f>COUNTA('[1]Pizza Sales Calculations'!$D475:$F475)</f>
        <v>1</v>
      </c>
      <c r="N475">
        <f>IFERROR(VLOOKUP(D475,[1]Parameters!$A$3:$C$5,3,FALSE),0)</f>
        <v>2.2999999999999998</v>
      </c>
      <c r="O475">
        <f>IFERROR(VLOOKUP(E475,[1]Parameters!$A$3:$C$5,3,FALSE),0)</f>
        <v>0</v>
      </c>
      <c r="P475">
        <f>IFERROR(VLOOKUP(F475,[1]Parameters!$A$3:$C$5,3,FALSE),0)</f>
        <v>0</v>
      </c>
      <c r="Q475">
        <f t="shared" si="7"/>
        <v>2.2999999999999998</v>
      </c>
      <c r="R475" s="10">
        <f>IF('[1]Pizza Sales Calculations'!$G475=TRUE, [1]Parameters!$B$17*'[1]Pizza Sales Calculations'!$L475*2, 0)</f>
        <v>6.5261111108120531</v>
      </c>
      <c r="S475" t="str">
        <f>IF(I475&lt;[1]Parameters!$B$21,"TRUE","FALSE")</f>
        <v>FALSE</v>
      </c>
      <c r="T475" s="5">
        <f>(I475/[1]Parameters!$B$25)*60</f>
        <v>9.2136621912546808</v>
      </c>
      <c r="U475" s="10">
        <f>IF(AND('[1]Pizza Sales Calculations'!G475=TRUE,'[1]Pizza Sales Calculations'!S475="TRUE"),T475*[1]Parameters!$B$40*2,0)</f>
        <v>0</v>
      </c>
      <c r="V475">
        <f>INDEX([1]Parameters!$A$3:$C$5,MATCH('[1]Pizza Sales Calculations'!D475,[1]Parameters!$A$3:$A$5,0),2)</f>
        <v>14</v>
      </c>
      <c r="W475" t="e">
        <f>INDEX([1]Parameters!$A$3:$C$5,MATCH('[1]Pizza Sales Calculations'!E475,[1]Parameters!$A$3:$A$5,0),2)</f>
        <v>#N/A</v>
      </c>
      <c r="X475" t="e">
        <f>INDEX([1]Parameters!$A$3:$C$5,MATCH('[1]Pizza Sales Calculations'!F475,[1]Parameters!$A$3:$A$5,0),2)</f>
        <v>#N/A</v>
      </c>
    </row>
    <row r="476" spans="1:24" x14ac:dyDescent="0.3">
      <c r="A476">
        <v>475</v>
      </c>
      <c r="B476" s="14">
        <v>42375.512280092589</v>
      </c>
      <c r="C476" s="14">
        <v>42375.522696759261</v>
      </c>
      <c r="D476" t="s">
        <v>3</v>
      </c>
      <c r="E476" t="s">
        <v>4</v>
      </c>
      <c r="G476" t="b">
        <v>1</v>
      </c>
      <c r="H476">
        <v>70808</v>
      </c>
      <c r="I476" s="5">
        <v>4.7680962192036302</v>
      </c>
      <c r="J476" s="14">
        <v>42375.539247685185</v>
      </c>
      <c r="K476">
        <v>19.579999999999998</v>
      </c>
      <c r="L476" s="5">
        <f>('[1]Pizza Sales Calculations'!$J476-'[1]Pizza Sales Calculations'!$C476)*24*60</f>
        <v>23.833333330694586</v>
      </c>
      <c r="M476">
        <f>COUNTA('[1]Pizza Sales Calculations'!$D476:$F476)</f>
        <v>2</v>
      </c>
      <c r="N476">
        <f>IFERROR(VLOOKUP(D476,[1]Parameters!$A$3:$C$5,3,FALSE),0)</f>
        <v>1</v>
      </c>
      <c r="O476">
        <f>IFERROR(VLOOKUP(E476,[1]Parameters!$A$3:$C$5,3,FALSE),0)</f>
        <v>1.7</v>
      </c>
      <c r="P476">
        <f>IFERROR(VLOOKUP(F476,[1]Parameters!$A$3:$C$5,3,FALSE),0)</f>
        <v>0</v>
      </c>
      <c r="Q476">
        <f t="shared" si="7"/>
        <v>2.7</v>
      </c>
      <c r="R476" s="10">
        <f>IF('[1]Pizza Sales Calculations'!$G476=TRUE, [1]Parameters!$B$17*'[1]Pizza Sales Calculations'!$L476*2, 0)</f>
        <v>6.7527777770301327</v>
      </c>
      <c r="S476" t="str">
        <f>IF(I476&lt;[1]Parameters!$B$21,"TRUE","FALSE")</f>
        <v>FALSE</v>
      </c>
      <c r="T476" s="5">
        <f>(I476/[1]Parameters!$B$25)*60</f>
        <v>9.5361924384072605</v>
      </c>
      <c r="U476" s="10">
        <f>IF(AND('[1]Pizza Sales Calculations'!G476=TRUE,'[1]Pizza Sales Calculations'!S476="TRUE"),T476*[1]Parameters!$B$40*2,0)</f>
        <v>0</v>
      </c>
      <c r="V476">
        <f>INDEX([1]Parameters!$A$3:$C$5,MATCH('[1]Pizza Sales Calculations'!D476,[1]Parameters!$A$3:$A$5,0),2)</f>
        <v>7</v>
      </c>
      <c r="W476">
        <f>INDEX([1]Parameters!$A$3:$C$5,MATCH('[1]Pizza Sales Calculations'!E476,[1]Parameters!$A$3:$A$5,0),2)</f>
        <v>10</v>
      </c>
      <c r="X476" t="e">
        <f>INDEX([1]Parameters!$A$3:$C$5,MATCH('[1]Pizza Sales Calculations'!F476,[1]Parameters!$A$3:$A$5,0),2)</f>
        <v>#N/A</v>
      </c>
    </row>
    <row r="477" spans="1:24" x14ac:dyDescent="0.3">
      <c r="A477">
        <v>476</v>
      </c>
      <c r="B477" s="14">
        <v>42375.457372685189</v>
      </c>
      <c r="C477" s="14">
        <v>42375.467777777776</v>
      </c>
      <c r="D477" t="s">
        <v>5</v>
      </c>
      <c r="G477" t="b">
        <v>0</v>
      </c>
      <c r="H477">
        <v>70806</v>
      </c>
      <c r="I477" s="5">
        <v>0</v>
      </c>
      <c r="J477" s="14">
        <v>42375.469861111109</v>
      </c>
      <c r="K477">
        <v>15.35</v>
      </c>
      <c r="L477" s="5">
        <f>('[1]Pizza Sales Calculations'!$J477-'[1]Pizza Sales Calculations'!$C477)*24*60</f>
        <v>2.9999999993015081</v>
      </c>
      <c r="M477">
        <f>COUNTA('[1]Pizza Sales Calculations'!$D477:$F477)</f>
        <v>1</v>
      </c>
      <c r="N477">
        <f>IFERROR(VLOOKUP(D477,[1]Parameters!$A$3:$C$5,3,FALSE),0)</f>
        <v>2.2999999999999998</v>
      </c>
      <c r="O477">
        <f>IFERROR(VLOOKUP(E477,[1]Parameters!$A$3:$C$5,3,FALSE),0)</f>
        <v>0</v>
      </c>
      <c r="P477">
        <f>IFERROR(VLOOKUP(F477,[1]Parameters!$A$3:$C$5,3,FALSE),0)</f>
        <v>0</v>
      </c>
      <c r="Q477">
        <f t="shared" si="7"/>
        <v>2.2999999999999998</v>
      </c>
      <c r="R477" s="10">
        <f>IF('[1]Pizza Sales Calculations'!$G477=TRUE, [1]Parameters!$B$17*'[1]Pizza Sales Calculations'!$L477*2, 0)</f>
        <v>0</v>
      </c>
      <c r="S477" t="str">
        <f>IF(I477&lt;[1]Parameters!$B$21,"TRUE","FALSE")</f>
        <v>TRUE</v>
      </c>
      <c r="T477" s="5">
        <f>(I477/[1]Parameters!$B$25)*60</f>
        <v>0</v>
      </c>
      <c r="U477" s="10">
        <f>IF(AND('[1]Pizza Sales Calculations'!G477=TRUE,'[1]Pizza Sales Calculations'!S477="TRUE"),T477*[1]Parameters!$B$40*2,0)</f>
        <v>0</v>
      </c>
      <c r="V477">
        <f>INDEX([1]Parameters!$A$3:$C$5,MATCH('[1]Pizza Sales Calculations'!D477,[1]Parameters!$A$3:$A$5,0),2)</f>
        <v>14</v>
      </c>
      <c r="W477" t="e">
        <f>INDEX([1]Parameters!$A$3:$C$5,MATCH('[1]Pizza Sales Calculations'!E477,[1]Parameters!$A$3:$A$5,0),2)</f>
        <v>#N/A</v>
      </c>
      <c r="X477" t="e">
        <f>INDEX([1]Parameters!$A$3:$C$5,MATCH('[1]Pizza Sales Calculations'!F477,[1]Parameters!$A$3:$A$5,0),2)</f>
        <v>#N/A</v>
      </c>
    </row>
    <row r="478" spans="1:24" x14ac:dyDescent="0.3">
      <c r="A478">
        <v>477</v>
      </c>
      <c r="B478" s="14">
        <v>42375.547407407408</v>
      </c>
      <c r="C478" s="14">
        <v>42375.557824074072</v>
      </c>
      <c r="D478" t="s">
        <v>3</v>
      </c>
      <c r="G478" t="b">
        <v>0</v>
      </c>
      <c r="H478">
        <v>70804</v>
      </c>
      <c r="I478" s="5">
        <v>0</v>
      </c>
      <c r="J478" s="14">
        <v>42375.559907407405</v>
      </c>
      <c r="K478">
        <v>7.99</v>
      </c>
      <c r="L478" s="5">
        <f>('[1]Pizza Sales Calculations'!$J478-'[1]Pizza Sales Calculations'!$C478)*24*60</f>
        <v>2.9999999993015081</v>
      </c>
      <c r="M478">
        <f>COUNTA('[1]Pizza Sales Calculations'!$D478:$F478)</f>
        <v>1</v>
      </c>
      <c r="N478">
        <f>IFERROR(VLOOKUP(D478,[1]Parameters!$A$3:$C$5,3,FALSE),0)</f>
        <v>1</v>
      </c>
      <c r="O478">
        <f>IFERROR(VLOOKUP(E478,[1]Parameters!$A$3:$C$5,3,FALSE),0)</f>
        <v>0</v>
      </c>
      <c r="P478">
        <f>IFERROR(VLOOKUP(F478,[1]Parameters!$A$3:$C$5,3,FALSE),0)</f>
        <v>0</v>
      </c>
      <c r="Q478">
        <f t="shared" si="7"/>
        <v>1</v>
      </c>
      <c r="R478" s="10">
        <f>IF('[1]Pizza Sales Calculations'!$G478=TRUE, [1]Parameters!$B$17*'[1]Pizza Sales Calculations'!$L478*2, 0)</f>
        <v>0</v>
      </c>
      <c r="S478" t="str">
        <f>IF(I478&lt;[1]Parameters!$B$21,"TRUE","FALSE")</f>
        <v>TRUE</v>
      </c>
      <c r="T478" s="5">
        <f>(I478/[1]Parameters!$B$25)*60</f>
        <v>0</v>
      </c>
      <c r="U478" s="10">
        <f>IF(AND('[1]Pizza Sales Calculations'!G478=TRUE,'[1]Pizza Sales Calculations'!S478="TRUE"),T478*[1]Parameters!$B$40*2,0)</f>
        <v>0</v>
      </c>
      <c r="V478">
        <f>INDEX([1]Parameters!$A$3:$C$5,MATCH('[1]Pizza Sales Calculations'!D478,[1]Parameters!$A$3:$A$5,0),2)</f>
        <v>7</v>
      </c>
      <c r="W478" t="e">
        <f>INDEX([1]Parameters!$A$3:$C$5,MATCH('[1]Pizza Sales Calculations'!E478,[1]Parameters!$A$3:$A$5,0),2)</f>
        <v>#N/A</v>
      </c>
      <c r="X478" t="e">
        <f>INDEX([1]Parameters!$A$3:$C$5,MATCH('[1]Pizza Sales Calculations'!F478,[1]Parameters!$A$3:$A$5,0),2)</f>
        <v>#N/A</v>
      </c>
    </row>
    <row r="479" spans="1:24" x14ac:dyDescent="0.3">
      <c r="A479">
        <v>478</v>
      </c>
      <c r="B479" s="14">
        <v>42375.450914351852</v>
      </c>
      <c r="C479" s="14">
        <v>42375.461331018516</v>
      </c>
      <c r="D479" t="s">
        <v>5</v>
      </c>
      <c r="G479" t="b">
        <v>0</v>
      </c>
      <c r="H479">
        <v>70804</v>
      </c>
      <c r="I479" s="5">
        <v>0</v>
      </c>
      <c r="J479" s="14">
        <v>42375.463414351849</v>
      </c>
      <c r="K479">
        <v>15.35</v>
      </c>
      <c r="L479" s="5">
        <f>('[1]Pizza Sales Calculations'!$J479-'[1]Pizza Sales Calculations'!$C479)*24*60</f>
        <v>2.9999999993015081</v>
      </c>
      <c r="M479">
        <f>COUNTA('[1]Pizza Sales Calculations'!$D479:$F479)</f>
        <v>1</v>
      </c>
      <c r="N479">
        <f>IFERROR(VLOOKUP(D479,[1]Parameters!$A$3:$C$5,3,FALSE),0)</f>
        <v>2.2999999999999998</v>
      </c>
      <c r="O479">
        <f>IFERROR(VLOOKUP(E479,[1]Parameters!$A$3:$C$5,3,FALSE),0)</f>
        <v>0</v>
      </c>
      <c r="P479">
        <f>IFERROR(VLOOKUP(F479,[1]Parameters!$A$3:$C$5,3,FALSE),0)</f>
        <v>0</v>
      </c>
      <c r="Q479">
        <f t="shared" si="7"/>
        <v>2.2999999999999998</v>
      </c>
      <c r="R479" s="10">
        <f>IF('[1]Pizza Sales Calculations'!$G479=TRUE, [1]Parameters!$B$17*'[1]Pizza Sales Calculations'!$L479*2, 0)</f>
        <v>0</v>
      </c>
      <c r="S479" t="str">
        <f>IF(I479&lt;[1]Parameters!$B$21,"TRUE","FALSE")</f>
        <v>TRUE</v>
      </c>
      <c r="T479" s="5">
        <f>(I479/[1]Parameters!$B$25)*60</f>
        <v>0</v>
      </c>
      <c r="U479" s="10">
        <f>IF(AND('[1]Pizza Sales Calculations'!G479=TRUE,'[1]Pizza Sales Calculations'!S479="TRUE"),T479*[1]Parameters!$B$40*2,0)</f>
        <v>0</v>
      </c>
      <c r="V479">
        <f>INDEX([1]Parameters!$A$3:$C$5,MATCH('[1]Pizza Sales Calculations'!D479,[1]Parameters!$A$3:$A$5,0),2)</f>
        <v>14</v>
      </c>
      <c r="W479" t="e">
        <f>INDEX([1]Parameters!$A$3:$C$5,MATCH('[1]Pizza Sales Calculations'!E479,[1]Parameters!$A$3:$A$5,0),2)</f>
        <v>#N/A</v>
      </c>
      <c r="X479" t="e">
        <f>INDEX([1]Parameters!$A$3:$C$5,MATCH('[1]Pizza Sales Calculations'!F479,[1]Parameters!$A$3:$A$5,0),2)</f>
        <v>#N/A</v>
      </c>
    </row>
    <row r="480" spans="1:24" x14ac:dyDescent="0.3">
      <c r="A480">
        <v>479</v>
      </c>
      <c r="B480" s="14">
        <v>42375.542488425926</v>
      </c>
      <c r="C480" s="14">
        <v>42375.552881944444</v>
      </c>
      <c r="D480" t="s">
        <v>4</v>
      </c>
      <c r="G480" t="b">
        <v>0</v>
      </c>
      <c r="H480">
        <v>70806</v>
      </c>
      <c r="I480" s="5">
        <v>0</v>
      </c>
      <c r="J480" s="14">
        <v>42375.554976851854</v>
      </c>
      <c r="K480">
        <v>11.59</v>
      </c>
      <c r="L480" s="5">
        <f>('[1]Pizza Sales Calculations'!$J480-'[1]Pizza Sales Calculations'!$C480)*24*60</f>
        <v>3.0166666698642075</v>
      </c>
      <c r="M480">
        <f>COUNTA('[1]Pizza Sales Calculations'!$D480:$F480)</f>
        <v>1</v>
      </c>
      <c r="N480">
        <f>IFERROR(VLOOKUP(D480,[1]Parameters!$A$3:$C$5,3,FALSE),0)</f>
        <v>1.7</v>
      </c>
      <c r="O480">
        <f>IFERROR(VLOOKUP(E480,[1]Parameters!$A$3:$C$5,3,FALSE),0)</f>
        <v>0</v>
      </c>
      <c r="P480">
        <f>IFERROR(VLOOKUP(F480,[1]Parameters!$A$3:$C$5,3,FALSE),0)</f>
        <v>0</v>
      </c>
      <c r="Q480">
        <f t="shared" si="7"/>
        <v>1.7</v>
      </c>
      <c r="R480" s="10">
        <f>IF('[1]Pizza Sales Calculations'!$G480=TRUE, [1]Parameters!$B$17*'[1]Pizza Sales Calculations'!$L480*2, 0)</f>
        <v>0</v>
      </c>
      <c r="S480" t="str">
        <f>IF(I480&lt;[1]Parameters!$B$21,"TRUE","FALSE")</f>
        <v>TRUE</v>
      </c>
      <c r="T480" s="5">
        <f>(I480/[1]Parameters!$B$25)*60</f>
        <v>0</v>
      </c>
      <c r="U480" s="10">
        <f>IF(AND('[1]Pizza Sales Calculations'!G480=TRUE,'[1]Pizza Sales Calculations'!S480="TRUE"),T480*[1]Parameters!$B$40*2,0)</f>
        <v>0</v>
      </c>
      <c r="V480">
        <f>INDEX([1]Parameters!$A$3:$C$5,MATCH('[1]Pizza Sales Calculations'!D480,[1]Parameters!$A$3:$A$5,0),2)</f>
        <v>10</v>
      </c>
      <c r="W480" t="e">
        <f>INDEX([1]Parameters!$A$3:$C$5,MATCH('[1]Pizza Sales Calculations'!E480,[1]Parameters!$A$3:$A$5,0),2)</f>
        <v>#N/A</v>
      </c>
      <c r="X480" t="e">
        <f>INDEX([1]Parameters!$A$3:$C$5,MATCH('[1]Pizza Sales Calculations'!F480,[1]Parameters!$A$3:$A$5,0),2)</f>
        <v>#N/A</v>
      </c>
    </row>
    <row r="481" spans="1:24" x14ac:dyDescent="0.3">
      <c r="A481">
        <v>480</v>
      </c>
      <c r="B481" s="14">
        <v>42375.535532407404</v>
      </c>
      <c r="C481" s="14">
        <v>42375.545949074076</v>
      </c>
      <c r="D481" t="s">
        <v>3</v>
      </c>
      <c r="G481" t="b">
        <v>1</v>
      </c>
      <c r="H481">
        <v>70804</v>
      </c>
      <c r="I481" s="5">
        <v>3.04558039730916</v>
      </c>
      <c r="J481" s="14">
        <v>42375.556516203702</v>
      </c>
      <c r="K481">
        <v>7.99</v>
      </c>
      <c r="L481" s="5">
        <f>('[1]Pizza Sales Calculations'!$J481-'[1]Pizza Sales Calculations'!$C481)*24*60</f>
        <v>15.216666661435738</v>
      </c>
      <c r="M481">
        <f>COUNTA('[1]Pizza Sales Calculations'!$D481:$F481)</f>
        <v>1</v>
      </c>
      <c r="N481">
        <f>IFERROR(VLOOKUP(D481,[1]Parameters!$A$3:$C$5,3,FALSE),0)</f>
        <v>1</v>
      </c>
      <c r="O481">
        <f>IFERROR(VLOOKUP(E481,[1]Parameters!$A$3:$C$5,3,FALSE),0)</f>
        <v>0</v>
      </c>
      <c r="P481">
        <f>IFERROR(VLOOKUP(F481,[1]Parameters!$A$3:$C$5,3,FALSE),0)</f>
        <v>0</v>
      </c>
      <c r="Q481">
        <f t="shared" si="7"/>
        <v>1</v>
      </c>
      <c r="R481" s="10">
        <f>IF('[1]Pizza Sales Calculations'!$G481=TRUE, [1]Parameters!$B$17*'[1]Pizza Sales Calculations'!$L481*2, 0)</f>
        <v>4.3113888874067925</v>
      </c>
      <c r="S481" t="str">
        <f>IF(I481&lt;[1]Parameters!$B$21,"TRUE","FALSE")</f>
        <v>TRUE</v>
      </c>
      <c r="T481" s="5">
        <f>(I481/[1]Parameters!$B$25)*60</f>
        <v>6.0911607946183199</v>
      </c>
      <c r="U481" s="10">
        <f>IF(AND('[1]Pizza Sales Calculations'!G481=TRUE,'[1]Pizza Sales Calculations'!S481="TRUE"),T481*[1]Parameters!$B$40*2,0)</f>
        <v>0.38022626502580675</v>
      </c>
      <c r="V481">
        <f>INDEX([1]Parameters!$A$3:$C$5,MATCH('[1]Pizza Sales Calculations'!D481,[1]Parameters!$A$3:$A$5,0),2)</f>
        <v>7</v>
      </c>
      <c r="W481" t="e">
        <f>INDEX([1]Parameters!$A$3:$C$5,MATCH('[1]Pizza Sales Calculations'!E481,[1]Parameters!$A$3:$A$5,0),2)</f>
        <v>#N/A</v>
      </c>
      <c r="X481" t="e">
        <f>INDEX([1]Parameters!$A$3:$C$5,MATCH('[1]Pizza Sales Calculations'!F481,[1]Parameters!$A$3:$A$5,0),2)</f>
        <v>#N/A</v>
      </c>
    </row>
    <row r="482" spans="1:24" x14ac:dyDescent="0.3">
      <c r="A482">
        <v>481</v>
      </c>
      <c r="B482" s="14">
        <v>42375.500092592592</v>
      </c>
      <c r="C482" s="14">
        <v>42375.510520833333</v>
      </c>
      <c r="D482" t="s">
        <v>5</v>
      </c>
      <c r="G482" t="b">
        <v>0</v>
      </c>
      <c r="H482">
        <v>70803</v>
      </c>
      <c r="I482" s="5">
        <v>0</v>
      </c>
      <c r="J482" s="14">
        <v>42375.512592592589</v>
      </c>
      <c r="K482">
        <v>15.35</v>
      </c>
      <c r="L482" s="5">
        <f>('[1]Pizza Sales Calculations'!$J482-'[1]Pizza Sales Calculations'!$C482)*24*60</f>
        <v>2.9833333287388086</v>
      </c>
      <c r="M482">
        <f>COUNTA('[1]Pizza Sales Calculations'!$D482:$F482)</f>
        <v>1</v>
      </c>
      <c r="N482">
        <f>IFERROR(VLOOKUP(D482,[1]Parameters!$A$3:$C$5,3,FALSE),0)</f>
        <v>2.2999999999999998</v>
      </c>
      <c r="O482">
        <f>IFERROR(VLOOKUP(E482,[1]Parameters!$A$3:$C$5,3,FALSE),0)</f>
        <v>0</v>
      </c>
      <c r="P482">
        <f>IFERROR(VLOOKUP(F482,[1]Parameters!$A$3:$C$5,3,FALSE),0)</f>
        <v>0</v>
      </c>
      <c r="Q482">
        <f t="shared" si="7"/>
        <v>2.2999999999999998</v>
      </c>
      <c r="R482" s="10">
        <f>IF('[1]Pizza Sales Calculations'!$G482=TRUE, [1]Parameters!$B$17*'[1]Pizza Sales Calculations'!$L482*2, 0)</f>
        <v>0</v>
      </c>
      <c r="S482" t="str">
        <f>IF(I482&lt;[1]Parameters!$B$21,"TRUE","FALSE")</f>
        <v>TRUE</v>
      </c>
      <c r="T482" s="5">
        <f>(I482/[1]Parameters!$B$25)*60</f>
        <v>0</v>
      </c>
      <c r="U482" s="10">
        <f>IF(AND('[1]Pizza Sales Calculations'!G482=TRUE,'[1]Pizza Sales Calculations'!S482="TRUE"),T482*[1]Parameters!$B$40*2,0)</f>
        <v>0</v>
      </c>
      <c r="V482">
        <f>INDEX([1]Parameters!$A$3:$C$5,MATCH('[1]Pizza Sales Calculations'!D482,[1]Parameters!$A$3:$A$5,0),2)</f>
        <v>14</v>
      </c>
      <c r="W482" t="e">
        <f>INDEX([1]Parameters!$A$3:$C$5,MATCH('[1]Pizza Sales Calculations'!E482,[1]Parameters!$A$3:$A$5,0),2)</f>
        <v>#N/A</v>
      </c>
      <c r="X482" t="e">
        <f>INDEX([1]Parameters!$A$3:$C$5,MATCH('[1]Pizza Sales Calculations'!F482,[1]Parameters!$A$3:$A$5,0),2)</f>
        <v>#N/A</v>
      </c>
    </row>
    <row r="483" spans="1:24" x14ac:dyDescent="0.3">
      <c r="A483">
        <v>482</v>
      </c>
      <c r="B483" s="14">
        <v>42375.521006944444</v>
      </c>
      <c r="C483" s="14">
        <v>42375.531423611108</v>
      </c>
      <c r="D483" t="s">
        <v>4</v>
      </c>
      <c r="G483" t="b">
        <v>0</v>
      </c>
      <c r="H483">
        <v>70805</v>
      </c>
      <c r="I483" s="5">
        <v>0</v>
      </c>
      <c r="J483" s="14">
        <v>42375.533495370371</v>
      </c>
      <c r="K483">
        <v>11.59</v>
      </c>
      <c r="L483" s="5">
        <f>('[1]Pizza Sales Calculations'!$J483-'[1]Pizza Sales Calculations'!$C483)*24*60</f>
        <v>2.9833333392161876</v>
      </c>
      <c r="M483">
        <f>COUNTA('[1]Pizza Sales Calculations'!$D483:$F483)</f>
        <v>1</v>
      </c>
      <c r="N483">
        <f>IFERROR(VLOOKUP(D483,[1]Parameters!$A$3:$C$5,3,FALSE),0)</f>
        <v>1.7</v>
      </c>
      <c r="O483">
        <f>IFERROR(VLOOKUP(E483,[1]Parameters!$A$3:$C$5,3,FALSE),0)</f>
        <v>0</v>
      </c>
      <c r="P483">
        <f>IFERROR(VLOOKUP(F483,[1]Parameters!$A$3:$C$5,3,FALSE),0)</f>
        <v>0</v>
      </c>
      <c r="Q483">
        <f t="shared" si="7"/>
        <v>1.7</v>
      </c>
      <c r="R483" s="10">
        <f>IF('[1]Pizza Sales Calculations'!$G483=TRUE, [1]Parameters!$B$17*'[1]Pizza Sales Calculations'!$L483*2, 0)</f>
        <v>0</v>
      </c>
      <c r="S483" t="str">
        <f>IF(I483&lt;[1]Parameters!$B$21,"TRUE","FALSE")</f>
        <v>TRUE</v>
      </c>
      <c r="T483" s="5">
        <f>(I483/[1]Parameters!$B$25)*60</f>
        <v>0</v>
      </c>
      <c r="U483" s="10">
        <f>IF(AND('[1]Pizza Sales Calculations'!G483=TRUE,'[1]Pizza Sales Calculations'!S483="TRUE"),T483*[1]Parameters!$B$40*2,0)</f>
        <v>0</v>
      </c>
      <c r="V483">
        <f>INDEX([1]Parameters!$A$3:$C$5,MATCH('[1]Pizza Sales Calculations'!D483,[1]Parameters!$A$3:$A$5,0),2)</f>
        <v>10</v>
      </c>
      <c r="W483" t="e">
        <f>INDEX([1]Parameters!$A$3:$C$5,MATCH('[1]Pizza Sales Calculations'!E483,[1]Parameters!$A$3:$A$5,0),2)</f>
        <v>#N/A</v>
      </c>
      <c r="X483" t="e">
        <f>INDEX([1]Parameters!$A$3:$C$5,MATCH('[1]Pizza Sales Calculations'!F483,[1]Parameters!$A$3:$A$5,0),2)</f>
        <v>#N/A</v>
      </c>
    </row>
    <row r="484" spans="1:24" x14ac:dyDescent="0.3">
      <c r="A484">
        <v>483</v>
      </c>
      <c r="B484" s="14">
        <v>42375.464375000003</v>
      </c>
      <c r="C484" s="14">
        <v>42375.474780092591</v>
      </c>
      <c r="D484" t="s">
        <v>5</v>
      </c>
      <c r="G484" t="b">
        <v>1</v>
      </c>
      <c r="H484">
        <v>70804</v>
      </c>
      <c r="I484" s="5">
        <v>2.6981102185261401</v>
      </c>
      <c r="J484" s="14">
        <v>42375.484143518515</v>
      </c>
      <c r="K484">
        <v>15.35</v>
      </c>
      <c r="L484" s="5">
        <f>('[1]Pizza Sales Calculations'!$J484-'[1]Pizza Sales Calculations'!$C484)*24*60</f>
        <v>13.483333331532776</v>
      </c>
      <c r="M484">
        <f>COUNTA('[1]Pizza Sales Calculations'!$D484:$F484)</f>
        <v>1</v>
      </c>
      <c r="N484">
        <f>IFERROR(VLOOKUP(D484,[1]Parameters!$A$3:$C$5,3,FALSE),0)</f>
        <v>2.2999999999999998</v>
      </c>
      <c r="O484">
        <f>IFERROR(VLOOKUP(E484,[1]Parameters!$A$3:$C$5,3,FALSE),0)</f>
        <v>0</v>
      </c>
      <c r="P484">
        <f>IFERROR(VLOOKUP(F484,[1]Parameters!$A$3:$C$5,3,FALSE),0)</f>
        <v>0</v>
      </c>
      <c r="Q484">
        <f t="shared" si="7"/>
        <v>2.2999999999999998</v>
      </c>
      <c r="R484" s="10">
        <f>IF('[1]Pizza Sales Calculations'!$G484=TRUE, [1]Parameters!$B$17*'[1]Pizza Sales Calculations'!$L484*2, 0)</f>
        <v>3.82027777726762</v>
      </c>
      <c r="S484" t="str">
        <f>IF(I484&lt;[1]Parameters!$B$21,"TRUE","FALSE")</f>
        <v>TRUE</v>
      </c>
      <c r="T484" s="5">
        <f>(I484/[1]Parameters!$B$25)*60</f>
        <v>5.3962204370522802</v>
      </c>
      <c r="U484" s="10">
        <f>IF(AND('[1]Pizza Sales Calculations'!G484=TRUE,'[1]Pizza Sales Calculations'!S484="TRUE"),T484*[1]Parameters!$B$40*2,0)</f>
        <v>0.33684626152852731</v>
      </c>
      <c r="V484">
        <f>INDEX([1]Parameters!$A$3:$C$5,MATCH('[1]Pizza Sales Calculations'!D484,[1]Parameters!$A$3:$A$5,0),2)</f>
        <v>14</v>
      </c>
      <c r="W484" t="e">
        <f>INDEX([1]Parameters!$A$3:$C$5,MATCH('[1]Pizza Sales Calculations'!E484,[1]Parameters!$A$3:$A$5,0),2)</f>
        <v>#N/A</v>
      </c>
      <c r="X484" t="e">
        <f>INDEX([1]Parameters!$A$3:$C$5,MATCH('[1]Pizza Sales Calculations'!F484,[1]Parameters!$A$3:$A$5,0),2)</f>
        <v>#N/A</v>
      </c>
    </row>
    <row r="485" spans="1:24" x14ac:dyDescent="0.3">
      <c r="A485">
        <v>484</v>
      </c>
      <c r="B485" s="14">
        <v>42375.460127314815</v>
      </c>
      <c r="C485" s="14">
        <v>42375.470555555556</v>
      </c>
      <c r="D485" t="s">
        <v>4</v>
      </c>
      <c r="G485" t="b">
        <v>1</v>
      </c>
      <c r="H485">
        <v>70805</v>
      </c>
      <c r="I485" s="5">
        <v>3.3085467244915798</v>
      </c>
      <c r="J485" s="14">
        <v>42375.482037037036</v>
      </c>
      <c r="K485">
        <v>11.59</v>
      </c>
      <c r="L485" s="5">
        <f>('[1]Pizza Sales Calculations'!$J485-'[1]Pizza Sales Calculations'!$C485)*24*60</f>
        <v>16.533333332045004</v>
      </c>
      <c r="M485">
        <f>COUNTA('[1]Pizza Sales Calculations'!$D485:$F485)</f>
        <v>1</v>
      </c>
      <c r="N485">
        <f>IFERROR(VLOOKUP(D485,[1]Parameters!$A$3:$C$5,3,FALSE),0)</f>
        <v>1.7</v>
      </c>
      <c r="O485">
        <f>IFERROR(VLOOKUP(E485,[1]Parameters!$A$3:$C$5,3,FALSE),0)</f>
        <v>0</v>
      </c>
      <c r="P485">
        <f>IFERROR(VLOOKUP(F485,[1]Parameters!$A$3:$C$5,3,FALSE),0)</f>
        <v>0</v>
      </c>
      <c r="Q485">
        <f t="shared" si="7"/>
        <v>1.7</v>
      </c>
      <c r="R485" s="10">
        <f>IF('[1]Pizza Sales Calculations'!$G485=TRUE, [1]Parameters!$B$17*'[1]Pizza Sales Calculations'!$L485*2, 0)</f>
        <v>4.6844444440794177</v>
      </c>
      <c r="S485" t="str">
        <f>IF(I485&lt;[1]Parameters!$B$21,"TRUE","FALSE")</f>
        <v>FALSE</v>
      </c>
      <c r="T485" s="5">
        <f>(I485/[1]Parameters!$B$25)*60</f>
        <v>6.6170934489831597</v>
      </c>
      <c r="U485" s="10">
        <f>IF(AND('[1]Pizza Sales Calculations'!G485=TRUE,'[1]Pizza Sales Calculations'!S485="TRUE"),T485*[1]Parameters!$B$40*2,0)</f>
        <v>0</v>
      </c>
      <c r="V485">
        <f>INDEX([1]Parameters!$A$3:$C$5,MATCH('[1]Pizza Sales Calculations'!D485,[1]Parameters!$A$3:$A$5,0),2)</f>
        <v>10</v>
      </c>
      <c r="W485" t="e">
        <f>INDEX([1]Parameters!$A$3:$C$5,MATCH('[1]Pizza Sales Calculations'!E485,[1]Parameters!$A$3:$A$5,0),2)</f>
        <v>#N/A</v>
      </c>
      <c r="X485" t="e">
        <f>INDEX([1]Parameters!$A$3:$C$5,MATCH('[1]Pizza Sales Calculations'!F485,[1]Parameters!$A$3:$A$5,0),2)</f>
        <v>#N/A</v>
      </c>
    </row>
    <row r="486" spans="1:24" x14ac:dyDescent="0.3">
      <c r="A486">
        <v>485</v>
      </c>
      <c r="B486" s="14">
        <v>42375.480011574073</v>
      </c>
      <c r="C486" s="14">
        <v>42375.490428240744</v>
      </c>
      <c r="D486" t="s">
        <v>4</v>
      </c>
      <c r="G486" t="b">
        <v>1</v>
      </c>
      <c r="H486">
        <v>70804</v>
      </c>
      <c r="I486" s="5">
        <v>1.9158689504364601</v>
      </c>
      <c r="J486" s="14">
        <v>42375.497071759259</v>
      </c>
      <c r="K486">
        <v>11.59</v>
      </c>
      <c r="L486" s="5">
        <f>('[1]Pizza Sales Calculations'!$J486-'[1]Pizza Sales Calculations'!$C486)*24*60</f>
        <v>9.5666666608303785</v>
      </c>
      <c r="M486">
        <f>COUNTA('[1]Pizza Sales Calculations'!$D486:$F486)</f>
        <v>1</v>
      </c>
      <c r="N486">
        <f>IFERROR(VLOOKUP(D486,[1]Parameters!$A$3:$C$5,3,FALSE),0)</f>
        <v>1.7</v>
      </c>
      <c r="O486">
        <f>IFERROR(VLOOKUP(E486,[1]Parameters!$A$3:$C$5,3,FALSE),0)</f>
        <v>0</v>
      </c>
      <c r="P486">
        <f>IFERROR(VLOOKUP(F486,[1]Parameters!$A$3:$C$5,3,FALSE),0)</f>
        <v>0</v>
      </c>
      <c r="Q486">
        <f t="shared" si="7"/>
        <v>1.7</v>
      </c>
      <c r="R486" s="10">
        <f>IF('[1]Pizza Sales Calculations'!$G486=TRUE, [1]Parameters!$B$17*'[1]Pizza Sales Calculations'!$L486*2, 0)</f>
        <v>2.7105555539019406</v>
      </c>
      <c r="S486" t="str">
        <f>IF(I486&lt;[1]Parameters!$B$21,"TRUE","FALSE")</f>
        <v>TRUE</v>
      </c>
      <c r="T486" s="5">
        <f>(I486/[1]Parameters!$B$25)*60</f>
        <v>3.8317379008729198</v>
      </c>
      <c r="U486" s="10">
        <f>IF(AND('[1]Pizza Sales Calculations'!G486=TRUE,'[1]Pizza Sales Calculations'!S486="TRUE"),T486*[1]Parameters!$B$40*2,0)</f>
        <v>0.23918714999183144</v>
      </c>
      <c r="V486">
        <f>INDEX([1]Parameters!$A$3:$C$5,MATCH('[1]Pizza Sales Calculations'!D486,[1]Parameters!$A$3:$A$5,0),2)</f>
        <v>10</v>
      </c>
      <c r="W486" t="e">
        <f>INDEX([1]Parameters!$A$3:$C$5,MATCH('[1]Pizza Sales Calculations'!E486,[1]Parameters!$A$3:$A$5,0),2)</f>
        <v>#N/A</v>
      </c>
      <c r="X486" t="e">
        <f>INDEX([1]Parameters!$A$3:$C$5,MATCH('[1]Pizza Sales Calculations'!F486,[1]Parameters!$A$3:$A$5,0),2)</f>
        <v>#N/A</v>
      </c>
    </row>
    <row r="487" spans="1:24" x14ac:dyDescent="0.3">
      <c r="A487">
        <v>486</v>
      </c>
      <c r="B487" s="14">
        <v>42375.52547453704</v>
      </c>
      <c r="C487" s="14">
        <v>42375.535902777781</v>
      </c>
      <c r="D487" t="s">
        <v>3</v>
      </c>
      <c r="E487" t="s">
        <v>4</v>
      </c>
      <c r="G487" t="b">
        <v>0</v>
      </c>
      <c r="H487">
        <v>70805</v>
      </c>
      <c r="I487" s="5">
        <v>0</v>
      </c>
      <c r="J487" s="14">
        <v>42375.537974537037</v>
      </c>
      <c r="K487">
        <v>19.579999999999998</v>
      </c>
      <c r="L487" s="5">
        <f>('[1]Pizza Sales Calculations'!$J487-'[1]Pizza Sales Calculations'!$C487)*24*60</f>
        <v>2.9833333287388086</v>
      </c>
      <c r="M487">
        <f>COUNTA('[1]Pizza Sales Calculations'!$D487:$F487)</f>
        <v>2</v>
      </c>
      <c r="N487">
        <f>IFERROR(VLOOKUP(D487,[1]Parameters!$A$3:$C$5,3,FALSE),0)</f>
        <v>1</v>
      </c>
      <c r="O487">
        <f>IFERROR(VLOOKUP(E487,[1]Parameters!$A$3:$C$5,3,FALSE),0)</f>
        <v>1.7</v>
      </c>
      <c r="P487">
        <f>IFERROR(VLOOKUP(F487,[1]Parameters!$A$3:$C$5,3,FALSE),0)</f>
        <v>0</v>
      </c>
      <c r="Q487">
        <f t="shared" si="7"/>
        <v>2.7</v>
      </c>
      <c r="R487" s="10">
        <f>IF('[1]Pizza Sales Calculations'!$G487=TRUE, [1]Parameters!$B$17*'[1]Pizza Sales Calculations'!$L487*2, 0)</f>
        <v>0</v>
      </c>
      <c r="S487" t="str">
        <f>IF(I487&lt;[1]Parameters!$B$21,"TRUE","FALSE")</f>
        <v>TRUE</v>
      </c>
      <c r="T487" s="5">
        <f>(I487/[1]Parameters!$B$25)*60</f>
        <v>0</v>
      </c>
      <c r="U487" s="10">
        <f>IF(AND('[1]Pizza Sales Calculations'!G487=TRUE,'[1]Pizza Sales Calculations'!S487="TRUE"),T487*[1]Parameters!$B$40*2,0)</f>
        <v>0</v>
      </c>
      <c r="V487">
        <f>INDEX([1]Parameters!$A$3:$C$5,MATCH('[1]Pizza Sales Calculations'!D487,[1]Parameters!$A$3:$A$5,0),2)</f>
        <v>7</v>
      </c>
      <c r="W487">
        <f>INDEX([1]Parameters!$A$3:$C$5,MATCH('[1]Pizza Sales Calculations'!E487,[1]Parameters!$A$3:$A$5,0),2)</f>
        <v>10</v>
      </c>
      <c r="X487" t="e">
        <f>INDEX([1]Parameters!$A$3:$C$5,MATCH('[1]Pizza Sales Calculations'!F487,[1]Parameters!$A$3:$A$5,0),2)</f>
        <v>#N/A</v>
      </c>
    </row>
    <row r="488" spans="1:24" x14ac:dyDescent="0.3">
      <c r="A488">
        <v>487</v>
      </c>
      <c r="B488" s="14">
        <v>42375.450740740744</v>
      </c>
      <c r="C488" s="14">
        <v>42375.461157407408</v>
      </c>
      <c r="D488" t="s">
        <v>3</v>
      </c>
      <c r="G488" t="b">
        <v>1</v>
      </c>
      <c r="H488">
        <v>70807</v>
      </c>
      <c r="I488" s="5">
        <v>3.0528908453041499</v>
      </c>
      <c r="J488" s="14">
        <v>42375.471747685187</v>
      </c>
      <c r="K488">
        <v>7.99</v>
      </c>
      <c r="L488" s="5">
        <f>('[1]Pizza Sales Calculations'!$J488-'[1]Pizza Sales Calculations'!$C488)*24*60</f>
        <v>15.250000002561137</v>
      </c>
      <c r="M488">
        <f>COUNTA('[1]Pizza Sales Calculations'!$D488:$F488)</f>
        <v>1</v>
      </c>
      <c r="N488">
        <f>IFERROR(VLOOKUP(D488,[1]Parameters!$A$3:$C$5,3,FALSE),0)</f>
        <v>1</v>
      </c>
      <c r="O488">
        <f>IFERROR(VLOOKUP(E488,[1]Parameters!$A$3:$C$5,3,FALSE),0)</f>
        <v>0</v>
      </c>
      <c r="P488">
        <f>IFERROR(VLOOKUP(F488,[1]Parameters!$A$3:$C$5,3,FALSE),0)</f>
        <v>0</v>
      </c>
      <c r="Q488">
        <f t="shared" si="7"/>
        <v>1</v>
      </c>
      <c r="R488" s="10">
        <f>IF('[1]Pizza Sales Calculations'!$G488=TRUE, [1]Parameters!$B$17*'[1]Pizza Sales Calculations'!$L488*2, 0)</f>
        <v>4.3208333340589888</v>
      </c>
      <c r="S488" t="str">
        <f>IF(I488&lt;[1]Parameters!$B$21,"TRUE","FALSE")</f>
        <v>TRUE</v>
      </c>
      <c r="T488" s="5">
        <f>(I488/[1]Parameters!$B$25)*60</f>
        <v>6.1057816906082998</v>
      </c>
      <c r="U488" s="10">
        <f>IF(AND('[1]Pizza Sales Calculations'!G488=TRUE,'[1]Pizza Sales Calculations'!S488="TRUE"),T488*[1]Parameters!$B$40*2,0)</f>
        <v>0.38113893977878854</v>
      </c>
      <c r="V488">
        <f>INDEX([1]Parameters!$A$3:$C$5,MATCH('[1]Pizza Sales Calculations'!D488,[1]Parameters!$A$3:$A$5,0),2)</f>
        <v>7</v>
      </c>
      <c r="W488" t="e">
        <f>INDEX([1]Parameters!$A$3:$C$5,MATCH('[1]Pizza Sales Calculations'!E488,[1]Parameters!$A$3:$A$5,0),2)</f>
        <v>#N/A</v>
      </c>
      <c r="X488" t="e">
        <f>INDEX([1]Parameters!$A$3:$C$5,MATCH('[1]Pizza Sales Calculations'!F488,[1]Parameters!$A$3:$A$5,0),2)</f>
        <v>#N/A</v>
      </c>
    </row>
    <row r="489" spans="1:24" x14ac:dyDescent="0.3">
      <c r="A489">
        <v>488</v>
      </c>
      <c r="B489" s="14">
        <v>42375.527187500003</v>
      </c>
      <c r="C489" s="14">
        <v>42375.537592592591</v>
      </c>
      <c r="D489" t="s">
        <v>3</v>
      </c>
      <c r="G489" t="b">
        <v>0</v>
      </c>
      <c r="H489">
        <v>70806</v>
      </c>
      <c r="I489" s="5">
        <v>0</v>
      </c>
      <c r="J489" s="14">
        <v>42375.539675925924</v>
      </c>
      <c r="K489">
        <v>7.99</v>
      </c>
      <c r="L489" s="5">
        <f>('[1]Pizza Sales Calculations'!$J489-'[1]Pizza Sales Calculations'!$C489)*24*60</f>
        <v>2.9999999993015081</v>
      </c>
      <c r="M489">
        <f>COUNTA('[1]Pizza Sales Calculations'!$D489:$F489)</f>
        <v>1</v>
      </c>
      <c r="N489">
        <f>IFERROR(VLOOKUP(D489,[1]Parameters!$A$3:$C$5,3,FALSE),0)</f>
        <v>1</v>
      </c>
      <c r="O489">
        <f>IFERROR(VLOOKUP(E489,[1]Parameters!$A$3:$C$5,3,FALSE),0)</f>
        <v>0</v>
      </c>
      <c r="P489">
        <f>IFERROR(VLOOKUP(F489,[1]Parameters!$A$3:$C$5,3,FALSE),0)</f>
        <v>0</v>
      </c>
      <c r="Q489">
        <f t="shared" si="7"/>
        <v>1</v>
      </c>
      <c r="R489" s="10">
        <f>IF('[1]Pizza Sales Calculations'!$G489=TRUE, [1]Parameters!$B$17*'[1]Pizza Sales Calculations'!$L489*2, 0)</f>
        <v>0</v>
      </c>
      <c r="S489" t="str">
        <f>IF(I489&lt;[1]Parameters!$B$21,"TRUE","FALSE")</f>
        <v>TRUE</v>
      </c>
      <c r="T489" s="5">
        <f>(I489/[1]Parameters!$B$25)*60</f>
        <v>0</v>
      </c>
      <c r="U489" s="10">
        <f>IF(AND('[1]Pizza Sales Calculations'!G489=TRUE,'[1]Pizza Sales Calculations'!S489="TRUE"),T489*[1]Parameters!$B$40*2,0)</f>
        <v>0</v>
      </c>
      <c r="V489">
        <f>INDEX([1]Parameters!$A$3:$C$5,MATCH('[1]Pizza Sales Calculations'!D489,[1]Parameters!$A$3:$A$5,0),2)</f>
        <v>7</v>
      </c>
      <c r="W489" t="e">
        <f>INDEX([1]Parameters!$A$3:$C$5,MATCH('[1]Pizza Sales Calculations'!E489,[1]Parameters!$A$3:$A$5,0),2)</f>
        <v>#N/A</v>
      </c>
      <c r="X489" t="e">
        <f>INDEX([1]Parameters!$A$3:$C$5,MATCH('[1]Pizza Sales Calculations'!F489,[1]Parameters!$A$3:$A$5,0),2)</f>
        <v>#N/A</v>
      </c>
    </row>
    <row r="490" spans="1:24" x14ac:dyDescent="0.3">
      <c r="A490">
        <v>489</v>
      </c>
      <c r="B490" s="14">
        <v>42375.467245370368</v>
      </c>
      <c r="C490" s="14">
        <v>42375.477650462963</v>
      </c>
      <c r="D490" t="s">
        <v>5</v>
      </c>
      <c r="G490" t="b">
        <v>1</v>
      </c>
      <c r="H490">
        <v>70806</v>
      </c>
      <c r="I490" s="5">
        <v>2.3584183778299499</v>
      </c>
      <c r="J490" s="14">
        <v>42375.485833333332</v>
      </c>
      <c r="K490">
        <v>15.35</v>
      </c>
      <c r="L490" s="5">
        <f>('[1]Pizza Sales Calculations'!$J490-'[1]Pizza Sales Calculations'!$C490)*24*60</f>
        <v>11.783333332277834</v>
      </c>
      <c r="M490">
        <f>COUNTA('[1]Pizza Sales Calculations'!$D490:$F490)</f>
        <v>1</v>
      </c>
      <c r="N490">
        <f>IFERROR(VLOOKUP(D490,[1]Parameters!$A$3:$C$5,3,FALSE),0)</f>
        <v>2.2999999999999998</v>
      </c>
      <c r="O490">
        <f>IFERROR(VLOOKUP(E490,[1]Parameters!$A$3:$C$5,3,FALSE),0)</f>
        <v>0</v>
      </c>
      <c r="P490">
        <f>IFERROR(VLOOKUP(F490,[1]Parameters!$A$3:$C$5,3,FALSE),0)</f>
        <v>0</v>
      </c>
      <c r="Q490">
        <f t="shared" si="7"/>
        <v>2.2999999999999998</v>
      </c>
      <c r="R490" s="10">
        <f>IF('[1]Pizza Sales Calculations'!$G490=TRUE, [1]Parameters!$B$17*'[1]Pizza Sales Calculations'!$L490*2, 0)</f>
        <v>3.3386111108120531</v>
      </c>
      <c r="S490" t="str">
        <f>IF(I490&lt;[1]Parameters!$B$21,"TRUE","FALSE")</f>
        <v>TRUE</v>
      </c>
      <c r="T490" s="5">
        <f>(I490/[1]Parameters!$B$25)*60</f>
        <v>4.7168367556598998</v>
      </c>
      <c r="U490" s="10">
        <f>IF(AND('[1]Pizza Sales Calculations'!G490=TRUE,'[1]Pizza Sales Calculations'!S490="TRUE"),T490*[1]Parameters!$B$40*2,0)</f>
        <v>0.294437346642626</v>
      </c>
      <c r="V490">
        <f>INDEX([1]Parameters!$A$3:$C$5,MATCH('[1]Pizza Sales Calculations'!D490,[1]Parameters!$A$3:$A$5,0),2)</f>
        <v>14</v>
      </c>
      <c r="W490" t="e">
        <f>INDEX([1]Parameters!$A$3:$C$5,MATCH('[1]Pizza Sales Calculations'!E490,[1]Parameters!$A$3:$A$5,0),2)</f>
        <v>#N/A</v>
      </c>
      <c r="X490" t="e">
        <f>INDEX([1]Parameters!$A$3:$C$5,MATCH('[1]Pizza Sales Calculations'!F490,[1]Parameters!$A$3:$A$5,0),2)</f>
        <v>#N/A</v>
      </c>
    </row>
    <row r="491" spans="1:24" x14ac:dyDescent="0.3">
      <c r="A491">
        <v>490</v>
      </c>
      <c r="B491" s="14">
        <v>42375.480891203704</v>
      </c>
      <c r="C491" s="14">
        <v>42375.491296296299</v>
      </c>
      <c r="D491" t="s">
        <v>3</v>
      </c>
      <c r="E491" t="s">
        <v>4</v>
      </c>
      <c r="G491" t="b">
        <v>1</v>
      </c>
      <c r="H491">
        <v>70805</v>
      </c>
      <c r="I491" s="5">
        <v>4.6248960461797202</v>
      </c>
      <c r="J491" s="14">
        <v>42375.507349537038</v>
      </c>
      <c r="K491">
        <v>19.579999999999998</v>
      </c>
      <c r="L491" s="5">
        <f>('[1]Pizza Sales Calculations'!$J491-'[1]Pizza Sales Calculations'!$C491)*24*60</f>
        <v>23.116666664136574</v>
      </c>
      <c r="M491">
        <f>COUNTA('[1]Pizza Sales Calculations'!$D491:$F491)</f>
        <v>2</v>
      </c>
      <c r="N491">
        <f>IFERROR(VLOOKUP(D491,[1]Parameters!$A$3:$C$5,3,FALSE),0)</f>
        <v>1</v>
      </c>
      <c r="O491">
        <f>IFERROR(VLOOKUP(E491,[1]Parameters!$A$3:$C$5,3,FALSE),0)</f>
        <v>1.7</v>
      </c>
      <c r="P491">
        <f>IFERROR(VLOOKUP(F491,[1]Parameters!$A$3:$C$5,3,FALSE),0)</f>
        <v>0</v>
      </c>
      <c r="Q491">
        <f t="shared" si="7"/>
        <v>2.7</v>
      </c>
      <c r="R491" s="10">
        <f>IF('[1]Pizza Sales Calculations'!$G491=TRUE, [1]Parameters!$B$17*'[1]Pizza Sales Calculations'!$L491*2, 0)</f>
        <v>6.5497222215053625</v>
      </c>
      <c r="S491" t="str">
        <f>IF(I491&lt;[1]Parameters!$B$21,"TRUE","FALSE")</f>
        <v>FALSE</v>
      </c>
      <c r="T491" s="5">
        <f>(I491/[1]Parameters!$B$25)*60</f>
        <v>9.2497920923594403</v>
      </c>
      <c r="U491" s="10">
        <f>IF(AND('[1]Pizza Sales Calculations'!G491=TRUE,'[1]Pizza Sales Calculations'!S491="TRUE"),T491*[1]Parameters!$B$40*2,0)</f>
        <v>0</v>
      </c>
      <c r="V491">
        <f>INDEX([1]Parameters!$A$3:$C$5,MATCH('[1]Pizza Sales Calculations'!D491,[1]Parameters!$A$3:$A$5,0),2)</f>
        <v>7</v>
      </c>
      <c r="W491">
        <f>INDEX([1]Parameters!$A$3:$C$5,MATCH('[1]Pizza Sales Calculations'!E491,[1]Parameters!$A$3:$A$5,0),2)</f>
        <v>10</v>
      </c>
      <c r="X491" t="e">
        <f>INDEX([1]Parameters!$A$3:$C$5,MATCH('[1]Pizza Sales Calculations'!F491,[1]Parameters!$A$3:$A$5,0),2)</f>
        <v>#N/A</v>
      </c>
    </row>
    <row r="492" spans="1:24" x14ac:dyDescent="0.3">
      <c r="A492">
        <v>491</v>
      </c>
      <c r="B492" s="14">
        <v>42375.492986111109</v>
      </c>
      <c r="C492" s="14">
        <v>42375.503391203703</v>
      </c>
      <c r="D492" t="s">
        <v>5</v>
      </c>
      <c r="G492" t="b">
        <v>1</v>
      </c>
      <c r="H492">
        <v>70806</v>
      </c>
      <c r="I492" s="5">
        <v>0.88674010433897099</v>
      </c>
      <c r="J492" s="14">
        <v>42375.506469907406</v>
      </c>
      <c r="K492">
        <v>15.35</v>
      </c>
      <c r="L492" s="5">
        <f>('[1]Pizza Sales Calculations'!$J492-'[1]Pizza Sales Calculations'!$C492)*24*60</f>
        <v>4.4333333324175328</v>
      </c>
      <c r="M492">
        <f>COUNTA('[1]Pizza Sales Calculations'!$D492:$F492)</f>
        <v>1</v>
      </c>
      <c r="N492">
        <f>IFERROR(VLOOKUP(D492,[1]Parameters!$A$3:$C$5,3,FALSE),0)</f>
        <v>2.2999999999999998</v>
      </c>
      <c r="O492">
        <f>IFERROR(VLOOKUP(E492,[1]Parameters!$A$3:$C$5,3,FALSE),0)</f>
        <v>0</v>
      </c>
      <c r="P492">
        <f>IFERROR(VLOOKUP(F492,[1]Parameters!$A$3:$C$5,3,FALSE),0)</f>
        <v>0</v>
      </c>
      <c r="Q492">
        <f t="shared" si="7"/>
        <v>2.2999999999999998</v>
      </c>
      <c r="R492" s="10">
        <f>IF('[1]Pizza Sales Calculations'!$G492=TRUE, [1]Parameters!$B$17*'[1]Pizza Sales Calculations'!$L492*2, 0)</f>
        <v>1.2561111108516343</v>
      </c>
      <c r="S492" t="str">
        <f>IF(I492&lt;[1]Parameters!$B$21,"TRUE","FALSE")</f>
        <v>TRUE</v>
      </c>
      <c r="T492" s="5">
        <f>(I492/[1]Parameters!$B$25)*60</f>
        <v>1.773480208677942</v>
      </c>
      <c r="U492" s="10">
        <f>IF(AND('[1]Pizza Sales Calculations'!G492=TRUE,'[1]Pizza Sales Calculations'!S492="TRUE"),T492*[1]Parameters!$B$40*2,0)</f>
        <v>0.11070529552242041</v>
      </c>
      <c r="V492">
        <f>INDEX([1]Parameters!$A$3:$C$5,MATCH('[1]Pizza Sales Calculations'!D492,[1]Parameters!$A$3:$A$5,0),2)</f>
        <v>14</v>
      </c>
      <c r="W492" t="e">
        <f>INDEX([1]Parameters!$A$3:$C$5,MATCH('[1]Pizza Sales Calculations'!E492,[1]Parameters!$A$3:$A$5,0),2)</f>
        <v>#N/A</v>
      </c>
      <c r="X492" t="e">
        <f>INDEX([1]Parameters!$A$3:$C$5,MATCH('[1]Pizza Sales Calculations'!F492,[1]Parameters!$A$3:$A$5,0),2)</f>
        <v>#N/A</v>
      </c>
    </row>
    <row r="493" spans="1:24" x14ac:dyDescent="0.3">
      <c r="A493">
        <v>492</v>
      </c>
      <c r="B493" s="14">
        <v>42375.513611111113</v>
      </c>
      <c r="C493" s="14">
        <v>42375.524027777778</v>
      </c>
      <c r="D493" t="s">
        <v>4</v>
      </c>
      <c r="G493" t="b">
        <v>1</v>
      </c>
      <c r="H493">
        <v>70804</v>
      </c>
      <c r="I493" s="5">
        <v>4.1974832097261698</v>
      </c>
      <c r="J493" s="14">
        <v>42375.538599537038</v>
      </c>
      <c r="K493">
        <v>11.59</v>
      </c>
      <c r="L493" s="5">
        <f>('[1]Pizza Sales Calculations'!$J493-'[1]Pizza Sales Calculations'!$C493)*24*60</f>
        <v>20.983333335025236</v>
      </c>
      <c r="M493">
        <f>COUNTA('[1]Pizza Sales Calculations'!$D493:$F493)</f>
        <v>1</v>
      </c>
      <c r="N493">
        <f>IFERROR(VLOOKUP(D493,[1]Parameters!$A$3:$C$5,3,FALSE),0)</f>
        <v>1.7</v>
      </c>
      <c r="O493">
        <f>IFERROR(VLOOKUP(E493,[1]Parameters!$A$3:$C$5,3,FALSE),0)</f>
        <v>0</v>
      </c>
      <c r="P493">
        <f>IFERROR(VLOOKUP(F493,[1]Parameters!$A$3:$C$5,3,FALSE),0)</f>
        <v>0</v>
      </c>
      <c r="Q493">
        <f t="shared" si="7"/>
        <v>1.7</v>
      </c>
      <c r="R493" s="10">
        <f>IF('[1]Pizza Sales Calculations'!$G493=TRUE, [1]Parameters!$B$17*'[1]Pizza Sales Calculations'!$L493*2, 0)</f>
        <v>5.9452777782571502</v>
      </c>
      <c r="S493" t="str">
        <f>IF(I493&lt;[1]Parameters!$B$21,"TRUE","FALSE")</f>
        <v>FALSE</v>
      </c>
      <c r="T493" s="5">
        <f>(I493/[1]Parameters!$B$25)*60</f>
        <v>8.3949664194523397</v>
      </c>
      <c r="U493" s="10">
        <f>IF(AND('[1]Pizza Sales Calculations'!G493=TRUE,'[1]Pizza Sales Calculations'!S493="TRUE"),T493*[1]Parameters!$B$40*2,0)</f>
        <v>0</v>
      </c>
      <c r="V493">
        <f>INDEX([1]Parameters!$A$3:$C$5,MATCH('[1]Pizza Sales Calculations'!D493,[1]Parameters!$A$3:$A$5,0),2)</f>
        <v>10</v>
      </c>
      <c r="W493" t="e">
        <f>INDEX([1]Parameters!$A$3:$C$5,MATCH('[1]Pizza Sales Calculations'!E493,[1]Parameters!$A$3:$A$5,0),2)</f>
        <v>#N/A</v>
      </c>
      <c r="X493" t="e">
        <f>INDEX([1]Parameters!$A$3:$C$5,MATCH('[1]Pizza Sales Calculations'!F493,[1]Parameters!$A$3:$A$5,0),2)</f>
        <v>#N/A</v>
      </c>
    </row>
    <row r="494" spans="1:24" x14ac:dyDescent="0.3">
      <c r="A494">
        <v>493</v>
      </c>
      <c r="B494" s="14">
        <v>42375.505914351852</v>
      </c>
      <c r="C494" s="14">
        <v>42375.51630787037</v>
      </c>
      <c r="D494" t="s">
        <v>4</v>
      </c>
      <c r="G494" t="b">
        <v>0</v>
      </c>
      <c r="H494">
        <v>70803</v>
      </c>
      <c r="I494" s="5">
        <v>0</v>
      </c>
      <c r="J494" s="14">
        <v>42375.518379629626</v>
      </c>
      <c r="K494">
        <v>11.59</v>
      </c>
      <c r="L494" s="5">
        <f>('[1]Pizza Sales Calculations'!$J494-'[1]Pizza Sales Calculations'!$C494)*24*60</f>
        <v>2.9833333287388086</v>
      </c>
      <c r="M494">
        <f>COUNTA('[1]Pizza Sales Calculations'!$D494:$F494)</f>
        <v>1</v>
      </c>
      <c r="N494">
        <f>IFERROR(VLOOKUP(D494,[1]Parameters!$A$3:$C$5,3,FALSE),0)</f>
        <v>1.7</v>
      </c>
      <c r="O494">
        <f>IFERROR(VLOOKUP(E494,[1]Parameters!$A$3:$C$5,3,FALSE),0)</f>
        <v>0</v>
      </c>
      <c r="P494">
        <f>IFERROR(VLOOKUP(F494,[1]Parameters!$A$3:$C$5,3,FALSE),0)</f>
        <v>0</v>
      </c>
      <c r="Q494">
        <f t="shared" si="7"/>
        <v>1.7</v>
      </c>
      <c r="R494" s="10">
        <f>IF('[1]Pizza Sales Calculations'!$G494=TRUE, [1]Parameters!$B$17*'[1]Pizza Sales Calculations'!$L494*2, 0)</f>
        <v>0</v>
      </c>
      <c r="S494" t="str">
        <f>IF(I494&lt;[1]Parameters!$B$21,"TRUE","FALSE")</f>
        <v>TRUE</v>
      </c>
      <c r="T494" s="5">
        <f>(I494/[1]Parameters!$B$25)*60</f>
        <v>0</v>
      </c>
      <c r="U494" s="10">
        <f>IF(AND('[1]Pizza Sales Calculations'!G494=TRUE,'[1]Pizza Sales Calculations'!S494="TRUE"),T494*[1]Parameters!$B$40*2,0)</f>
        <v>0</v>
      </c>
      <c r="V494">
        <f>INDEX([1]Parameters!$A$3:$C$5,MATCH('[1]Pizza Sales Calculations'!D494,[1]Parameters!$A$3:$A$5,0),2)</f>
        <v>10</v>
      </c>
      <c r="W494" t="e">
        <f>INDEX([1]Parameters!$A$3:$C$5,MATCH('[1]Pizza Sales Calculations'!E494,[1]Parameters!$A$3:$A$5,0),2)</f>
        <v>#N/A</v>
      </c>
      <c r="X494" t="e">
        <f>INDEX([1]Parameters!$A$3:$C$5,MATCH('[1]Pizza Sales Calculations'!F494,[1]Parameters!$A$3:$A$5,0),2)</f>
        <v>#N/A</v>
      </c>
    </row>
    <row r="495" spans="1:24" x14ac:dyDescent="0.3">
      <c r="A495">
        <v>494</v>
      </c>
      <c r="B495" s="14">
        <v>42375.541655092595</v>
      </c>
      <c r="C495" s="14">
        <v>42375.552071759259</v>
      </c>
      <c r="D495" t="s">
        <v>5</v>
      </c>
      <c r="G495" t="b">
        <v>1</v>
      </c>
      <c r="H495">
        <v>70804</v>
      </c>
      <c r="I495" s="5">
        <v>1.8524543153874</v>
      </c>
      <c r="J495" s="14">
        <v>42375.558495370373</v>
      </c>
      <c r="K495">
        <v>15.35</v>
      </c>
      <c r="L495" s="5">
        <f>('[1]Pizza Sales Calculations'!$J495-'[1]Pizza Sales Calculations'!$C495)*24*60</f>
        <v>9.2500000039581209</v>
      </c>
      <c r="M495">
        <f>COUNTA('[1]Pizza Sales Calculations'!$D495:$F495)</f>
        <v>1</v>
      </c>
      <c r="N495">
        <f>IFERROR(VLOOKUP(D495,[1]Parameters!$A$3:$C$5,3,FALSE),0)</f>
        <v>2.2999999999999998</v>
      </c>
      <c r="O495">
        <f>IFERROR(VLOOKUP(E495,[1]Parameters!$A$3:$C$5,3,FALSE),0)</f>
        <v>0</v>
      </c>
      <c r="P495">
        <f>IFERROR(VLOOKUP(F495,[1]Parameters!$A$3:$C$5,3,FALSE),0)</f>
        <v>0</v>
      </c>
      <c r="Q495">
        <f t="shared" si="7"/>
        <v>2.2999999999999998</v>
      </c>
      <c r="R495" s="10">
        <f>IF('[1]Pizza Sales Calculations'!$G495=TRUE, [1]Parameters!$B$17*'[1]Pizza Sales Calculations'!$L495*2, 0)</f>
        <v>2.6208333344548009</v>
      </c>
      <c r="S495" t="str">
        <f>IF(I495&lt;[1]Parameters!$B$21,"TRUE","FALSE")</f>
        <v>TRUE</v>
      </c>
      <c r="T495" s="5">
        <f>(I495/[1]Parameters!$B$25)*60</f>
        <v>3.7049086307748</v>
      </c>
      <c r="U495" s="10">
        <f>IF(AND('[1]Pizza Sales Calculations'!G495=TRUE,'[1]Pizza Sales Calculations'!S495="TRUE"),T495*[1]Parameters!$B$40*2,0)</f>
        <v>0.23127013363134327</v>
      </c>
      <c r="V495">
        <f>INDEX([1]Parameters!$A$3:$C$5,MATCH('[1]Pizza Sales Calculations'!D495,[1]Parameters!$A$3:$A$5,0),2)</f>
        <v>14</v>
      </c>
      <c r="W495" t="e">
        <f>INDEX([1]Parameters!$A$3:$C$5,MATCH('[1]Pizza Sales Calculations'!E495,[1]Parameters!$A$3:$A$5,0),2)</f>
        <v>#N/A</v>
      </c>
      <c r="X495" t="e">
        <f>INDEX([1]Parameters!$A$3:$C$5,MATCH('[1]Pizza Sales Calculations'!F495,[1]Parameters!$A$3:$A$5,0),2)</f>
        <v>#N/A</v>
      </c>
    </row>
    <row r="496" spans="1:24" x14ac:dyDescent="0.3">
      <c r="A496">
        <v>495</v>
      </c>
      <c r="B496" s="14">
        <v>42375.434247685182</v>
      </c>
      <c r="C496" s="14">
        <v>42375.444641203707</v>
      </c>
      <c r="D496" t="s">
        <v>3</v>
      </c>
      <c r="E496" t="s">
        <v>4</v>
      </c>
      <c r="G496" t="b">
        <v>1</v>
      </c>
      <c r="H496">
        <v>70804</v>
      </c>
      <c r="I496" s="5">
        <v>1.3390316324139899</v>
      </c>
      <c r="J496" s="14">
        <v>42375.449282407404</v>
      </c>
      <c r="K496">
        <v>19.579999999999998</v>
      </c>
      <c r="L496" s="5">
        <f>('[1]Pizza Sales Calculations'!$J496-'[1]Pizza Sales Calculations'!$C496)*24*60</f>
        <v>6.6833333240356296</v>
      </c>
      <c r="M496">
        <f>COUNTA('[1]Pizza Sales Calculations'!$D496:$F496)</f>
        <v>2</v>
      </c>
      <c r="N496">
        <f>IFERROR(VLOOKUP(D496,[1]Parameters!$A$3:$C$5,3,FALSE),0)</f>
        <v>1</v>
      </c>
      <c r="O496">
        <f>IFERROR(VLOOKUP(E496,[1]Parameters!$A$3:$C$5,3,FALSE),0)</f>
        <v>1.7</v>
      </c>
      <c r="P496">
        <f>IFERROR(VLOOKUP(F496,[1]Parameters!$A$3:$C$5,3,FALSE),0)</f>
        <v>0</v>
      </c>
      <c r="Q496">
        <f t="shared" si="7"/>
        <v>2.7</v>
      </c>
      <c r="R496" s="10">
        <f>IF('[1]Pizza Sales Calculations'!$G496=TRUE, [1]Parameters!$B$17*'[1]Pizza Sales Calculations'!$L496*2, 0)</f>
        <v>1.8936111084767617</v>
      </c>
      <c r="S496" t="str">
        <f>IF(I496&lt;[1]Parameters!$B$21,"TRUE","FALSE")</f>
        <v>TRUE</v>
      </c>
      <c r="T496" s="5">
        <f>(I496/[1]Parameters!$B$25)*60</f>
        <v>2.6780632648279799</v>
      </c>
      <c r="U496" s="10">
        <f>IF(AND('[1]Pizza Sales Calculations'!G496=TRUE,'[1]Pizza Sales Calculations'!S496="TRUE"),T496*[1]Parameters!$B$40*2,0)</f>
        <v>0.16717174722887393</v>
      </c>
      <c r="V496">
        <f>INDEX([1]Parameters!$A$3:$C$5,MATCH('[1]Pizza Sales Calculations'!D496,[1]Parameters!$A$3:$A$5,0),2)</f>
        <v>7</v>
      </c>
      <c r="W496">
        <f>INDEX([1]Parameters!$A$3:$C$5,MATCH('[1]Pizza Sales Calculations'!E496,[1]Parameters!$A$3:$A$5,0),2)</f>
        <v>10</v>
      </c>
      <c r="X496" t="e">
        <f>INDEX([1]Parameters!$A$3:$C$5,MATCH('[1]Pizza Sales Calculations'!F496,[1]Parameters!$A$3:$A$5,0),2)</f>
        <v>#N/A</v>
      </c>
    </row>
    <row r="497" spans="1:24" x14ac:dyDescent="0.3">
      <c r="A497">
        <v>496</v>
      </c>
      <c r="B497" s="14">
        <v>42375.483530092592</v>
      </c>
      <c r="C497" s="14">
        <v>42375.493946759256</v>
      </c>
      <c r="D497" t="s">
        <v>3</v>
      </c>
      <c r="G497" t="b">
        <v>0</v>
      </c>
      <c r="H497">
        <v>70803</v>
      </c>
      <c r="I497" s="5">
        <v>0</v>
      </c>
      <c r="J497" s="14">
        <v>42375.496018518519</v>
      </c>
      <c r="K497">
        <v>7.99</v>
      </c>
      <c r="L497" s="5">
        <f>('[1]Pizza Sales Calculations'!$J497-'[1]Pizza Sales Calculations'!$C497)*24*60</f>
        <v>2.9833333392161876</v>
      </c>
      <c r="M497">
        <f>COUNTA('[1]Pizza Sales Calculations'!$D497:$F497)</f>
        <v>1</v>
      </c>
      <c r="N497">
        <f>IFERROR(VLOOKUP(D497,[1]Parameters!$A$3:$C$5,3,FALSE),0)</f>
        <v>1</v>
      </c>
      <c r="O497">
        <f>IFERROR(VLOOKUP(E497,[1]Parameters!$A$3:$C$5,3,FALSE),0)</f>
        <v>0</v>
      </c>
      <c r="P497">
        <f>IFERROR(VLOOKUP(F497,[1]Parameters!$A$3:$C$5,3,FALSE),0)</f>
        <v>0</v>
      </c>
      <c r="Q497">
        <f t="shared" si="7"/>
        <v>1</v>
      </c>
      <c r="R497" s="10">
        <f>IF('[1]Pizza Sales Calculations'!$G497=TRUE, [1]Parameters!$B$17*'[1]Pizza Sales Calculations'!$L497*2, 0)</f>
        <v>0</v>
      </c>
      <c r="S497" t="str">
        <f>IF(I497&lt;[1]Parameters!$B$21,"TRUE","FALSE")</f>
        <v>TRUE</v>
      </c>
      <c r="T497" s="5">
        <f>(I497/[1]Parameters!$B$25)*60</f>
        <v>0</v>
      </c>
      <c r="U497" s="10">
        <f>IF(AND('[1]Pizza Sales Calculations'!G497=TRUE,'[1]Pizza Sales Calculations'!S497="TRUE"),T497*[1]Parameters!$B$40*2,0)</f>
        <v>0</v>
      </c>
      <c r="V497">
        <f>INDEX([1]Parameters!$A$3:$C$5,MATCH('[1]Pizza Sales Calculations'!D497,[1]Parameters!$A$3:$A$5,0),2)</f>
        <v>7</v>
      </c>
      <c r="W497" t="e">
        <f>INDEX([1]Parameters!$A$3:$C$5,MATCH('[1]Pizza Sales Calculations'!E497,[1]Parameters!$A$3:$A$5,0),2)</f>
        <v>#N/A</v>
      </c>
      <c r="X497" t="e">
        <f>INDEX([1]Parameters!$A$3:$C$5,MATCH('[1]Pizza Sales Calculations'!F497,[1]Parameters!$A$3:$A$5,0),2)</f>
        <v>#N/A</v>
      </c>
    </row>
    <row r="498" spans="1:24" x14ac:dyDescent="0.3">
      <c r="A498">
        <v>497</v>
      </c>
      <c r="B498" s="14">
        <v>42375.483159722222</v>
      </c>
      <c r="C498" s="14">
        <v>42375.493564814817</v>
      </c>
      <c r="D498" t="s">
        <v>3</v>
      </c>
      <c r="G498" t="b">
        <v>1</v>
      </c>
      <c r="H498">
        <v>70804</v>
      </c>
      <c r="I498" s="5">
        <v>3.3341791020852898</v>
      </c>
      <c r="J498" s="14">
        <v>42375.50513888889</v>
      </c>
      <c r="K498">
        <v>7.99</v>
      </c>
      <c r="L498" s="5">
        <f>('[1]Pizza Sales Calculations'!$J498-'[1]Pizza Sales Calculations'!$C498)*24*60</f>
        <v>16.666666665114462</v>
      </c>
      <c r="M498">
        <f>COUNTA('[1]Pizza Sales Calculations'!$D498:$F498)</f>
        <v>1</v>
      </c>
      <c r="N498">
        <f>IFERROR(VLOOKUP(D498,[1]Parameters!$A$3:$C$5,3,FALSE),0)</f>
        <v>1</v>
      </c>
      <c r="O498">
        <f>IFERROR(VLOOKUP(E498,[1]Parameters!$A$3:$C$5,3,FALSE),0)</f>
        <v>0</v>
      </c>
      <c r="P498">
        <f>IFERROR(VLOOKUP(F498,[1]Parameters!$A$3:$C$5,3,FALSE),0)</f>
        <v>0</v>
      </c>
      <c r="Q498">
        <f t="shared" si="7"/>
        <v>1</v>
      </c>
      <c r="R498" s="10">
        <f>IF('[1]Pizza Sales Calculations'!$G498=TRUE, [1]Parameters!$B$17*'[1]Pizza Sales Calculations'!$L498*2, 0)</f>
        <v>4.722222221782431</v>
      </c>
      <c r="S498" t="str">
        <f>IF(I498&lt;[1]Parameters!$B$21,"TRUE","FALSE")</f>
        <v>FALSE</v>
      </c>
      <c r="T498" s="5">
        <f>(I498/[1]Parameters!$B$25)*60</f>
        <v>6.6683582041705796</v>
      </c>
      <c r="U498" s="10">
        <f>IF(AND('[1]Pizza Sales Calculations'!G498=TRUE,'[1]Pizza Sales Calculations'!S498="TRUE"),T498*[1]Parameters!$B$40*2,0)</f>
        <v>0</v>
      </c>
      <c r="V498">
        <f>INDEX([1]Parameters!$A$3:$C$5,MATCH('[1]Pizza Sales Calculations'!D498,[1]Parameters!$A$3:$A$5,0),2)</f>
        <v>7</v>
      </c>
      <c r="W498" t="e">
        <f>INDEX([1]Parameters!$A$3:$C$5,MATCH('[1]Pizza Sales Calculations'!E498,[1]Parameters!$A$3:$A$5,0),2)</f>
        <v>#N/A</v>
      </c>
      <c r="X498" t="e">
        <f>INDEX([1]Parameters!$A$3:$C$5,MATCH('[1]Pizza Sales Calculations'!F498,[1]Parameters!$A$3:$A$5,0),2)</f>
        <v>#N/A</v>
      </c>
    </row>
    <row r="499" spans="1:24" x14ac:dyDescent="0.3">
      <c r="A499">
        <v>498</v>
      </c>
      <c r="B499" s="14">
        <v>42375.51222222222</v>
      </c>
      <c r="C499" s="14">
        <v>42375.522638888891</v>
      </c>
      <c r="D499" t="s">
        <v>4</v>
      </c>
      <c r="G499" t="b">
        <v>1</v>
      </c>
      <c r="H499">
        <v>70808</v>
      </c>
      <c r="I499" s="5">
        <v>1.9725657526965401</v>
      </c>
      <c r="J499" s="14">
        <v>42375.529479166667</v>
      </c>
      <c r="K499">
        <v>11.59</v>
      </c>
      <c r="L499" s="5">
        <f>('[1]Pizza Sales Calculations'!$J499-'[1]Pizza Sales Calculations'!$C499)*24*60</f>
        <v>9.8499999975319952</v>
      </c>
      <c r="M499">
        <f>COUNTA('[1]Pizza Sales Calculations'!$D499:$F499)</f>
        <v>1</v>
      </c>
      <c r="N499">
        <f>IFERROR(VLOOKUP(D499,[1]Parameters!$A$3:$C$5,3,FALSE),0)</f>
        <v>1.7</v>
      </c>
      <c r="O499">
        <f>IFERROR(VLOOKUP(E499,[1]Parameters!$A$3:$C$5,3,FALSE),0)</f>
        <v>0</v>
      </c>
      <c r="P499">
        <f>IFERROR(VLOOKUP(F499,[1]Parameters!$A$3:$C$5,3,FALSE),0)</f>
        <v>0</v>
      </c>
      <c r="Q499">
        <f t="shared" si="7"/>
        <v>1.7</v>
      </c>
      <c r="R499" s="10">
        <f>IF('[1]Pizza Sales Calculations'!$G499=TRUE, [1]Parameters!$B$17*'[1]Pizza Sales Calculations'!$L499*2, 0)</f>
        <v>2.7908333326340653</v>
      </c>
      <c r="S499" t="str">
        <f>IF(I499&lt;[1]Parameters!$B$21,"TRUE","FALSE")</f>
        <v>TRUE</v>
      </c>
      <c r="T499" s="5">
        <f>(I499/[1]Parameters!$B$25)*60</f>
        <v>3.9451315053930802</v>
      </c>
      <c r="U499" s="10">
        <f>IF(AND('[1]Pizza Sales Calculations'!G499=TRUE,'[1]Pizza Sales Calculations'!S499="TRUE"),T499*[1]Parameters!$B$40*2,0)</f>
        <v>0.2462654767965691</v>
      </c>
      <c r="V499">
        <f>INDEX([1]Parameters!$A$3:$C$5,MATCH('[1]Pizza Sales Calculations'!D499,[1]Parameters!$A$3:$A$5,0),2)</f>
        <v>10</v>
      </c>
      <c r="W499" t="e">
        <f>INDEX([1]Parameters!$A$3:$C$5,MATCH('[1]Pizza Sales Calculations'!E499,[1]Parameters!$A$3:$A$5,0),2)</f>
        <v>#N/A</v>
      </c>
      <c r="X499" t="e">
        <f>INDEX([1]Parameters!$A$3:$C$5,MATCH('[1]Pizza Sales Calculations'!F499,[1]Parameters!$A$3:$A$5,0),2)</f>
        <v>#N/A</v>
      </c>
    </row>
    <row r="500" spans="1:24" x14ac:dyDescent="0.3">
      <c r="A500">
        <v>499</v>
      </c>
      <c r="B500" s="14">
        <v>42375.48704861111</v>
      </c>
      <c r="C500" s="14">
        <v>42375.497453703705</v>
      </c>
      <c r="D500" t="s">
        <v>4</v>
      </c>
      <c r="E500" t="s">
        <v>5</v>
      </c>
      <c r="G500" t="b">
        <v>1</v>
      </c>
      <c r="H500">
        <v>70804</v>
      </c>
      <c r="I500" s="5">
        <v>2.97038880252761</v>
      </c>
      <c r="J500" s="14">
        <v>42375.5077662037</v>
      </c>
      <c r="K500">
        <v>25.94</v>
      </c>
      <c r="L500" s="5">
        <f>('[1]Pizza Sales Calculations'!$J500-'[1]Pizza Sales Calculations'!$C500)*24*60</f>
        <v>14.849999992875382</v>
      </c>
      <c r="M500">
        <f>COUNTA('[1]Pizza Sales Calculations'!$D500:$F500)</f>
        <v>2</v>
      </c>
      <c r="N500">
        <f>IFERROR(VLOOKUP(D500,[1]Parameters!$A$3:$C$5,3,FALSE),0)</f>
        <v>1.7</v>
      </c>
      <c r="O500">
        <f>IFERROR(VLOOKUP(E500,[1]Parameters!$A$3:$C$5,3,FALSE),0)</f>
        <v>2.2999999999999998</v>
      </c>
      <c r="P500">
        <f>IFERROR(VLOOKUP(F500,[1]Parameters!$A$3:$C$5,3,FALSE),0)</f>
        <v>0</v>
      </c>
      <c r="Q500">
        <f t="shared" si="7"/>
        <v>4</v>
      </c>
      <c r="R500" s="10">
        <f>IF('[1]Pizza Sales Calculations'!$G500=TRUE, [1]Parameters!$B$17*'[1]Pizza Sales Calculations'!$L500*2, 0)</f>
        <v>4.2074999979813583</v>
      </c>
      <c r="S500" t="str">
        <f>IF(I500&lt;[1]Parameters!$B$21,"TRUE","FALSE")</f>
        <v>TRUE</v>
      </c>
      <c r="T500" s="5">
        <f>(I500/[1]Parameters!$B$25)*60</f>
        <v>5.9407776050552199</v>
      </c>
      <c r="U500" s="10">
        <f>IF(AND('[1]Pizza Sales Calculations'!G500=TRUE,'[1]Pizza Sales Calculations'!S500="TRUE"),T500*[1]Parameters!$B$40*2,0)</f>
        <v>0.37083895111008069</v>
      </c>
      <c r="V500">
        <f>INDEX([1]Parameters!$A$3:$C$5,MATCH('[1]Pizza Sales Calculations'!D500,[1]Parameters!$A$3:$A$5,0),2)</f>
        <v>10</v>
      </c>
      <c r="W500">
        <f>INDEX([1]Parameters!$A$3:$C$5,MATCH('[1]Pizza Sales Calculations'!E500,[1]Parameters!$A$3:$A$5,0),2)</f>
        <v>14</v>
      </c>
      <c r="X500" t="e">
        <f>INDEX([1]Parameters!$A$3:$C$5,MATCH('[1]Pizza Sales Calculations'!F500,[1]Parameters!$A$3:$A$5,0),2)</f>
        <v>#N/A</v>
      </c>
    </row>
    <row r="501" spans="1:24" x14ac:dyDescent="0.3">
      <c r="A501">
        <v>500</v>
      </c>
      <c r="B501" s="14">
        <v>42375.522083333337</v>
      </c>
      <c r="C501" s="14">
        <v>42375.532500000001</v>
      </c>
      <c r="D501" t="s">
        <v>4</v>
      </c>
      <c r="G501" t="b">
        <v>0</v>
      </c>
      <c r="H501">
        <v>70804</v>
      </c>
      <c r="I501" s="5">
        <v>0</v>
      </c>
      <c r="J501" s="14">
        <v>42375.534594907411</v>
      </c>
      <c r="K501">
        <v>11.59</v>
      </c>
      <c r="L501" s="5">
        <f>('[1]Pizza Sales Calculations'!$J501-'[1]Pizza Sales Calculations'!$C501)*24*60</f>
        <v>3.0166666698642075</v>
      </c>
      <c r="M501">
        <f>COUNTA('[1]Pizza Sales Calculations'!$D501:$F501)</f>
        <v>1</v>
      </c>
      <c r="N501">
        <f>IFERROR(VLOOKUP(D501,[1]Parameters!$A$3:$C$5,3,FALSE),0)</f>
        <v>1.7</v>
      </c>
      <c r="O501">
        <f>IFERROR(VLOOKUP(E501,[1]Parameters!$A$3:$C$5,3,FALSE),0)</f>
        <v>0</v>
      </c>
      <c r="P501">
        <f>IFERROR(VLOOKUP(F501,[1]Parameters!$A$3:$C$5,3,FALSE),0)</f>
        <v>0</v>
      </c>
      <c r="Q501">
        <f t="shared" si="7"/>
        <v>1.7</v>
      </c>
      <c r="R501" s="10">
        <f>IF('[1]Pizza Sales Calculations'!$G501=TRUE, [1]Parameters!$B$17*'[1]Pizza Sales Calculations'!$L501*2, 0)</f>
        <v>0</v>
      </c>
      <c r="S501" t="str">
        <f>IF(I501&lt;[1]Parameters!$B$21,"TRUE","FALSE")</f>
        <v>TRUE</v>
      </c>
      <c r="T501" s="5">
        <f>(I501/[1]Parameters!$B$25)*60</f>
        <v>0</v>
      </c>
      <c r="U501" s="10">
        <f>IF(AND('[1]Pizza Sales Calculations'!G501=TRUE,'[1]Pizza Sales Calculations'!S501="TRUE"),T501*[1]Parameters!$B$40*2,0)</f>
        <v>0</v>
      </c>
      <c r="V501">
        <f>INDEX([1]Parameters!$A$3:$C$5,MATCH('[1]Pizza Sales Calculations'!D501,[1]Parameters!$A$3:$A$5,0),2)</f>
        <v>10</v>
      </c>
      <c r="W501" t="e">
        <f>INDEX([1]Parameters!$A$3:$C$5,MATCH('[1]Pizza Sales Calculations'!E501,[1]Parameters!$A$3:$A$5,0),2)</f>
        <v>#N/A</v>
      </c>
      <c r="X501" t="e">
        <f>INDEX([1]Parameters!$A$3:$C$5,MATCH('[1]Pizza Sales Calculations'!F501,[1]Parameters!$A$3:$A$5,0),2)</f>
        <v>#N/A</v>
      </c>
    </row>
    <row r="502" spans="1:24" x14ac:dyDescent="0.3">
      <c r="A502">
        <v>501</v>
      </c>
      <c r="B502" s="14">
        <v>42375.449479166666</v>
      </c>
      <c r="C502" s="14">
        <v>42375.45988425926</v>
      </c>
      <c r="D502" t="s">
        <v>5</v>
      </c>
      <c r="G502" t="b">
        <v>0</v>
      </c>
      <c r="H502">
        <v>70806</v>
      </c>
      <c r="I502" s="5">
        <v>0</v>
      </c>
      <c r="J502" s="14">
        <v>42375.461956018517</v>
      </c>
      <c r="K502">
        <v>15.35</v>
      </c>
      <c r="L502" s="5">
        <f>('[1]Pizza Sales Calculations'!$J502-'[1]Pizza Sales Calculations'!$C502)*24*60</f>
        <v>2.9833333287388086</v>
      </c>
      <c r="M502">
        <f>COUNTA('[1]Pizza Sales Calculations'!$D502:$F502)</f>
        <v>1</v>
      </c>
      <c r="N502">
        <f>IFERROR(VLOOKUP(D502,[1]Parameters!$A$3:$C$5,3,FALSE),0)</f>
        <v>2.2999999999999998</v>
      </c>
      <c r="O502">
        <f>IFERROR(VLOOKUP(E502,[1]Parameters!$A$3:$C$5,3,FALSE),0)</f>
        <v>0</v>
      </c>
      <c r="P502">
        <f>IFERROR(VLOOKUP(F502,[1]Parameters!$A$3:$C$5,3,FALSE),0)</f>
        <v>0</v>
      </c>
      <c r="Q502">
        <f t="shared" si="7"/>
        <v>2.2999999999999998</v>
      </c>
      <c r="R502" s="10">
        <f>IF('[1]Pizza Sales Calculations'!$G502=TRUE, [1]Parameters!$B$17*'[1]Pizza Sales Calculations'!$L502*2, 0)</f>
        <v>0</v>
      </c>
      <c r="S502" t="str">
        <f>IF(I502&lt;[1]Parameters!$B$21,"TRUE","FALSE")</f>
        <v>TRUE</v>
      </c>
      <c r="T502" s="5">
        <f>(I502/[1]Parameters!$B$25)*60</f>
        <v>0</v>
      </c>
      <c r="U502" s="10">
        <f>IF(AND('[1]Pizza Sales Calculations'!G502=TRUE,'[1]Pizza Sales Calculations'!S502="TRUE"),T502*[1]Parameters!$B$40*2,0)</f>
        <v>0</v>
      </c>
      <c r="V502">
        <f>INDEX([1]Parameters!$A$3:$C$5,MATCH('[1]Pizza Sales Calculations'!D502,[1]Parameters!$A$3:$A$5,0),2)</f>
        <v>14</v>
      </c>
      <c r="W502" t="e">
        <f>INDEX([1]Parameters!$A$3:$C$5,MATCH('[1]Pizza Sales Calculations'!E502,[1]Parameters!$A$3:$A$5,0),2)</f>
        <v>#N/A</v>
      </c>
      <c r="X502" t="e">
        <f>INDEX([1]Parameters!$A$3:$C$5,MATCH('[1]Pizza Sales Calculations'!F502,[1]Parameters!$A$3:$A$5,0),2)</f>
        <v>#N/A</v>
      </c>
    </row>
    <row r="503" spans="1:24" x14ac:dyDescent="0.3">
      <c r="A503">
        <v>502</v>
      </c>
      <c r="B503" s="14">
        <v>42375.478912037041</v>
      </c>
      <c r="C503" s="14">
        <v>42375.489317129628</v>
      </c>
      <c r="D503" t="s">
        <v>4</v>
      </c>
      <c r="E503" t="s">
        <v>5</v>
      </c>
      <c r="G503" t="b">
        <v>0</v>
      </c>
      <c r="H503">
        <v>70806</v>
      </c>
      <c r="I503" s="5">
        <v>0</v>
      </c>
      <c r="J503" s="14">
        <v>42375.491388888891</v>
      </c>
      <c r="K503">
        <v>25.94</v>
      </c>
      <c r="L503" s="5">
        <f>('[1]Pizza Sales Calculations'!$J503-'[1]Pizza Sales Calculations'!$C503)*24*60</f>
        <v>2.9833333392161876</v>
      </c>
      <c r="M503">
        <f>COUNTA('[1]Pizza Sales Calculations'!$D503:$F503)</f>
        <v>2</v>
      </c>
      <c r="N503">
        <f>IFERROR(VLOOKUP(D503,[1]Parameters!$A$3:$C$5,3,FALSE),0)</f>
        <v>1.7</v>
      </c>
      <c r="O503">
        <f>IFERROR(VLOOKUP(E503,[1]Parameters!$A$3:$C$5,3,FALSE),0)</f>
        <v>2.2999999999999998</v>
      </c>
      <c r="P503">
        <f>IFERROR(VLOOKUP(F503,[1]Parameters!$A$3:$C$5,3,FALSE),0)</f>
        <v>0</v>
      </c>
      <c r="Q503">
        <f t="shared" si="7"/>
        <v>4</v>
      </c>
      <c r="R503" s="10">
        <f>IF('[1]Pizza Sales Calculations'!$G503=TRUE, [1]Parameters!$B$17*'[1]Pizza Sales Calculations'!$L503*2, 0)</f>
        <v>0</v>
      </c>
      <c r="S503" t="str">
        <f>IF(I503&lt;[1]Parameters!$B$21,"TRUE","FALSE")</f>
        <v>TRUE</v>
      </c>
      <c r="T503" s="5">
        <f>(I503/[1]Parameters!$B$25)*60</f>
        <v>0</v>
      </c>
      <c r="U503" s="10">
        <f>IF(AND('[1]Pizza Sales Calculations'!G503=TRUE,'[1]Pizza Sales Calculations'!S503="TRUE"),T503*[1]Parameters!$B$40*2,0)</f>
        <v>0</v>
      </c>
      <c r="V503">
        <f>INDEX([1]Parameters!$A$3:$C$5,MATCH('[1]Pizza Sales Calculations'!D503,[1]Parameters!$A$3:$A$5,0),2)</f>
        <v>10</v>
      </c>
      <c r="W503">
        <f>INDEX([1]Parameters!$A$3:$C$5,MATCH('[1]Pizza Sales Calculations'!E503,[1]Parameters!$A$3:$A$5,0),2)</f>
        <v>14</v>
      </c>
      <c r="X503" t="e">
        <f>INDEX([1]Parameters!$A$3:$C$5,MATCH('[1]Pizza Sales Calculations'!F503,[1]Parameters!$A$3:$A$5,0),2)</f>
        <v>#N/A</v>
      </c>
    </row>
    <row r="504" spans="1:24" x14ac:dyDescent="0.3">
      <c r="A504">
        <v>503</v>
      </c>
      <c r="B504" s="14">
        <v>42375.553761574076</v>
      </c>
      <c r="C504" s="14">
        <v>42375.564166666663</v>
      </c>
      <c r="D504" t="s">
        <v>5</v>
      </c>
      <c r="G504" t="b">
        <v>1</v>
      </c>
      <c r="H504">
        <v>70805</v>
      </c>
      <c r="I504" s="5">
        <v>3.0744507061157602</v>
      </c>
      <c r="J504" s="14">
        <v>42375.574837962966</v>
      </c>
      <c r="K504">
        <v>15.35</v>
      </c>
      <c r="L504" s="5">
        <f>('[1]Pizza Sales Calculations'!$J504-'[1]Pizza Sales Calculations'!$C504)*24*60</f>
        <v>15.366666675545275</v>
      </c>
      <c r="M504">
        <f>COUNTA('[1]Pizza Sales Calculations'!$D504:$F504)</f>
        <v>1</v>
      </c>
      <c r="N504">
        <f>IFERROR(VLOOKUP(D504,[1]Parameters!$A$3:$C$5,3,FALSE),0)</f>
        <v>2.2999999999999998</v>
      </c>
      <c r="O504">
        <f>IFERROR(VLOOKUP(E504,[1]Parameters!$A$3:$C$5,3,FALSE),0)</f>
        <v>0</v>
      </c>
      <c r="P504">
        <f>IFERROR(VLOOKUP(F504,[1]Parameters!$A$3:$C$5,3,FALSE),0)</f>
        <v>0</v>
      </c>
      <c r="Q504">
        <f t="shared" si="7"/>
        <v>2.2999999999999998</v>
      </c>
      <c r="R504" s="10">
        <f>IF('[1]Pizza Sales Calculations'!$G504=TRUE, [1]Parameters!$B$17*'[1]Pizza Sales Calculations'!$L504*2, 0)</f>
        <v>4.3538888914044946</v>
      </c>
      <c r="S504" t="str">
        <f>IF(I504&lt;[1]Parameters!$B$21,"TRUE","FALSE")</f>
        <v>TRUE</v>
      </c>
      <c r="T504" s="5">
        <f>(I504/[1]Parameters!$B$25)*60</f>
        <v>6.1489014122315204</v>
      </c>
      <c r="U504" s="10">
        <f>IF(AND('[1]Pizza Sales Calculations'!G504=TRUE,'[1]Pizza Sales Calculations'!S504="TRUE"),T504*[1]Parameters!$B$40*2,0)</f>
        <v>0.38383058612577636</v>
      </c>
      <c r="V504">
        <f>INDEX([1]Parameters!$A$3:$C$5,MATCH('[1]Pizza Sales Calculations'!D504,[1]Parameters!$A$3:$A$5,0),2)</f>
        <v>14</v>
      </c>
      <c r="W504" t="e">
        <f>INDEX([1]Parameters!$A$3:$C$5,MATCH('[1]Pizza Sales Calculations'!E504,[1]Parameters!$A$3:$A$5,0),2)</f>
        <v>#N/A</v>
      </c>
      <c r="X504" t="e">
        <f>INDEX([1]Parameters!$A$3:$C$5,MATCH('[1]Pizza Sales Calculations'!F504,[1]Parameters!$A$3:$A$5,0),2)</f>
        <v>#N/A</v>
      </c>
    </row>
    <row r="505" spans="1:24" x14ac:dyDescent="0.3">
      <c r="A505">
        <v>504</v>
      </c>
      <c r="B505" s="14">
        <v>42375.466493055559</v>
      </c>
      <c r="C505" s="14">
        <v>42375.476921296293</v>
      </c>
      <c r="D505" t="s">
        <v>4</v>
      </c>
      <c r="G505" t="b">
        <v>0</v>
      </c>
      <c r="H505">
        <v>70803</v>
      </c>
      <c r="I505" s="5">
        <v>0</v>
      </c>
      <c r="J505" s="14">
        <v>42375.479004629633</v>
      </c>
      <c r="K505">
        <v>11.59</v>
      </c>
      <c r="L505" s="5">
        <f>('[1]Pizza Sales Calculations'!$J505-'[1]Pizza Sales Calculations'!$C505)*24*60</f>
        <v>3.000000009778887</v>
      </c>
      <c r="M505">
        <f>COUNTA('[1]Pizza Sales Calculations'!$D505:$F505)</f>
        <v>1</v>
      </c>
      <c r="N505">
        <f>IFERROR(VLOOKUP(D505,[1]Parameters!$A$3:$C$5,3,FALSE),0)</f>
        <v>1.7</v>
      </c>
      <c r="O505">
        <f>IFERROR(VLOOKUP(E505,[1]Parameters!$A$3:$C$5,3,FALSE),0)</f>
        <v>0</v>
      </c>
      <c r="P505">
        <f>IFERROR(VLOOKUP(F505,[1]Parameters!$A$3:$C$5,3,FALSE),0)</f>
        <v>0</v>
      </c>
      <c r="Q505">
        <f t="shared" si="7"/>
        <v>1.7</v>
      </c>
      <c r="R505" s="10">
        <f>IF('[1]Pizza Sales Calculations'!$G505=TRUE, [1]Parameters!$B$17*'[1]Pizza Sales Calculations'!$L505*2, 0)</f>
        <v>0</v>
      </c>
      <c r="S505" t="str">
        <f>IF(I505&lt;[1]Parameters!$B$21,"TRUE","FALSE")</f>
        <v>TRUE</v>
      </c>
      <c r="T505" s="5">
        <f>(I505/[1]Parameters!$B$25)*60</f>
        <v>0</v>
      </c>
      <c r="U505" s="10">
        <f>IF(AND('[1]Pizza Sales Calculations'!G505=TRUE,'[1]Pizza Sales Calculations'!S505="TRUE"),T505*[1]Parameters!$B$40*2,0)</f>
        <v>0</v>
      </c>
      <c r="V505">
        <f>INDEX([1]Parameters!$A$3:$C$5,MATCH('[1]Pizza Sales Calculations'!D505,[1]Parameters!$A$3:$A$5,0),2)</f>
        <v>10</v>
      </c>
      <c r="W505" t="e">
        <f>INDEX([1]Parameters!$A$3:$C$5,MATCH('[1]Pizza Sales Calculations'!E505,[1]Parameters!$A$3:$A$5,0),2)</f>
        <v>#N/A</v>
      </c>
      <c r="X505" t="e">
        <f>INDEX([1]Parameters!$A$3:$C$5,MATCH('[1]Pizza Sales Calculations'!F505,[1]Parameters!$A$3:$A$5,0),2)</f>
        <v>#N/A</v>
      </c>
    </row>
    <row r="506" spans="1:24" x14ac:dyDescent="0.3">
      <c r="A506">
        <v>505</v>
      </c>
      <c r="B506" s="14">
        <v>42375.615081018521</v>
      </c>
      <c r="C506" s="14">
        <v>42375.625486111108</v>
      </c>
      <c r="D506" t="s">
        <v>5</v>
      </c>
      <c r="G506" t="b">
        <v>1</v>
      </c>
      <c r="H506">
        <v>70804</v>
      </c>
      <c r="I506" s="5">
        <v>1.58916268178105</v>
      </c>
      <c r="J506" s="14">
        <v>42375.630995370368</v>
      </c>
      <c r="K506">
        <v>15.35</v>
      </c>
      <c r="L506" s="5">
        <f>('[1]Pizza Sales Calculations'!$J506-'[1]Pizza Sales Calculations'!$C506)*24*60</f>
        <v>7.9333333333488554</v>
      </c>
      <c r="M506">
        <f>COUNTA('[1]Pizza Sales Calculations'!$D506:$F506)</f>
        <v>1</v>
      </c>
      <c r="N506">
        <f>IFERROR(VLOOKUP(D506,[1]Parameters!$A$3:$C$5,3,FALSE),0)</f>
        <v>2.2999999999999998</v>
      </c>
      <c r="O506">
        <f>IFERROR(VLOOKUP(E506,[1]Parameters!$A$3:$C$5,3,FALSE),0)</f>
        <v>0</v>
      </c>
      <c r="P506">
        <f>IFERROR(VLOOKUP(F506,[1]Parameters!$A$3:$C$5,3,FALSE),0)</f>
        <v>0</v>
      </c>
      <c r="Q506">
        <f t="shared" si="7"/>
        <v>2.2999999999999998</v>
      </c>
      <c r="R506" s="10">
        <f>IF('[1]Pizza Sales Calculations'!$G506=TRUE, [1]Parameters!$B$17*'[1]Pizza Sales Calculations'!$L506*2, 0)</f>
        <v>2.2477777777821757</v>
      </c>
      <c r="S506" t="str">
        <f>IF(I506&lt;[1]Parameters!$B$21,"TRUE","FALSE")</f>
        <v>TRUE</v>
      </c>
      <c r="T506" s="5">
        <f>(I506/[1]Parameters!$B$25)*60</f>
        <v>3.1783253635621</v>
      </c>
      <c r="U506" s="10">
        <f>IF(AND('[1]Pizza Sales Calculations'!G506=TRUE,'[1]Pizza Sales Calculations'!S506="TRUE"),T506*[1]Parameters!$B$40*2,0)</f>
        <v>0.19839942217446119</v>
      </c>
      <c r="V506">
        <f>INDEX([1]Parameters!$A$3:$C$5,MATCH('[1]Pizza Sales Calculations'!D506,[1]Parameters!$A$3:$A$5,0),2)</f>
        <v>14</v>
      </c>
      <c r="W506" t="e">
        <f>INDEX([1]Parameters!$A$3:$C$5,MATCH('[1]Pizza Sales Calculations'!E506,[1]Parameters!$A$3:$A$5,0),2)</f>
        <v>#N/A</v>
      </c>
      <c r="X506" t="e">
        <f>INDEX([1]Parameters!$A$3:$C$5,MATCH('[1]Pizza Sales Calculations'!F506,[1]Parameters!$A$3:$A$5,0),2)</f>
        <v>#N/A</v>
      </c>
    </row>
    <row r="507" spans="1:24" x14ac:dyDescent="0.3">
      <c r="A507">
        <v>506</v>
      </c>
      <c r="B507" s="14">
        <v>42375.458773148152</v>
      </c>
      <c r="C507" s="14">
        <v>42375.469178240739</v>
      </c>
      <c r="D507" t="s">
        <v>5</v>
      </c>
      <c r="G507" t="b">
        <v>0</v>
      </c>
      <c r="H507">
        <v>70804</v>
      </c>
      <c r="I507" s="5">
        <v>0</v>
      </c>
      <c r="J507" s="14">
        <v>42375.471261574072</v>
      </c>
      <c r="K507">
        <v>15.35</v>
      </c>
      <c r="L507" s="5">
        <f>('[1]Pizza Sales Calculations'!$J507-'[1]Pizza Sales Calculations'!$C507)*24*60</f>
        <v>2.9999999993015081</v>
      </c>
      <c r="M507">
        <f>COUNTA('[1]Pizza Sales Calculations'!$D507:$F507)</f>
        <v>1</v>
      </c>
      <c r="N507">
        <f>IFERROR(VLOOKUP(D507,[1]Parameters!$A$3:$C$5,3,FALSE),0)</f>
        <v>2.2999999999999998</v>
      </c>
      <c r="O507">
        <f>IFERROR(VLOOKUP(E507,[1]Parameters!$A$3:$C$5,3,FALSE),0)</f>
        <v>0</v>
      </c>
      <c r="P507">
        <f>IFERROR(VLOOKUP(F507,[1]Parameters!$A$3:$C$5,3,FALSE),0)</f>
        <v>0</v>
      </c>
      <c r="Q507">
        <f t="shared" si="7"/>
        <v>2.2999999999999998</v>
      </c>
      <c r="R507" s="10">
        <f>IF('[1]Pizza Sales Calculations'!$G507=TRUE, [1]Parameters!$B$17*'[1]Pizza Sales Calculations'!$L507*2, 0)</f>
        <v>0</v>
      </c>
      <c r="S507" t="str">
        <f>IF(I507&lt;[1]Parameters!$B$21,"TRUE","FALSE")</f>
        <v>TRUE</v>
      </c>
      <c r="T507" s="5">
        <f>(I507/[1]Parameters!$B$25)*60</f>
        <v>0</v>
      </c>
      <c r="U507" s="10">
        <f>IF(AND('[1]Pizza Sales Calculations'!G507=TRUE,'[1]Pizza Sales Calculations'!S507="TRUE"),T507*[1]Parameters!$B$40*2,0)</f>
        <v>0</v>
      </c>
      <c r="V507">
        <f>INDEX([1]Parameters!$A$3:$C$5,MATCH('[1]Pizza Sales Calculations'!D507,[1]Parameters!$A$3:$A$5,0),2)</f>
        <v>14</v>
      </c>
      <c r="W507" t="e">
        <f>INDEX([1]Parameters!$A$3:$C$5,MATCH('[1]Pizza Sales Calculations'!E507,[1]Parameters!$A$3:$A$5,0),2)</f>
        <v>#N/A</v>
      </c>
      <c r="X507" t="e">
        <f>INDEX([1]Parameters!$A$3:$C$5,MATCH('[1]Pizza Sales Calculations'!F507,[1]Parameters!$A$3:$A$5,0),2)</f>
        <v>#N/A</v>
      </c>
    </row>
    <row r="508" spans="1:24" x14ac:dyDescent="0.3">
      <c r="A508">
        <v>507</v>
      </c>
      <c r="B508" s="14">
        <v>42375.52684027778</v>
      </c>
      <c r="C508" s="14">
        <v>42375.537245370368</v>
      </c>
      <c r="D508" t="s">
        <v>3</v>
      </c>
      <c r="E508" t="s">
        <v>4</v>
      </c>
      <c r="G508" t="b">
        <v>0</v>
      </c>
      <c r="H508">
        <v>70808</v>
      </c>
      <c r="I508" s="5">
        <v>0</v>
      </c>
      <c r="J508" s="14">
        <v>42375.539351851854</v>
      </c>
      <c r="K508">
        <v>19.579999999999998</v>
      </c>
      <c r="L508" s="5">
        <f>('[1]Pizza Sales Calculations'!$J508-'[1]Pizza Sales Calculations'!$C508)*24*60</f>
        <v>3.0333333404269069</v>
      </c>
      <c r="M508">
        <f>COUNTA('[1]Pizza Sales Calculations'!$D508:$F508)</f>
        <v>2</v>
      </c>
      <c r="N508">
        <f>IFERROR(VLOOKUP(D508,[1]Parameters!$A$3:$C$5,3,FALSE),0)</f>
        <v>1</v>
      </c>
      <c r="O508">
        <f>IFERROR(VLOOKUP(E508,[1]Parameters!$A$3:$C$5,3,FALSE),0)</f>
        <v>1.7</v>
      </c>
      <c r="P508">
        <f>IFERROR(VLOOKUP(F508,[1]Parameters!$A$3:$C$5,3,FALSE),0)</f>
        <v>0</v>
      </c>
      <c r="Q508">
        <f t="shared" si="7"/>
        <v>2.7</v>
      </c>
      <c r="R508" s="10">
        <f>IF('[1]Pizza Sales Calculations'!$G508=TRUE, [1]Parameters!$B$17*'[1]Pizza Sales Calculations'!$L508*2, 0)</f>
        <v>0</v>
      </c>
      <c r="S508" t="str">
        <f>IF(I508&lt;[1]Parameters!$B$21,"TRUE","FALSE")</f>
        <v>TRUE</v>
      </c>
      <c r="T508" s="5">
        <f>(I508/[1]Parameters!$B$25)*60</f>
        <v>0</v>
      </c>
      <c r="U508" s="10">
        <f>IF(AND('[1]Pizza Sales Calculations'!G508=TRUE,'[1]Pizza Sales Calculations'!S508="TRUE"),T508*[1]Parameters!$B$40*2,0)</f>
        <v>0</v>
      </c>
      <c r="V508">
        <f>INDEX([1]Parameters!$A$3:$C$5,MATCH('[1]Pizza Sales Calculations'!D508,[1]Parameters!$A$3:$A$5,0),2)</f>
        <v>7</v>
      </c>
      <c r="W508">
        <f>INDEX([1]Parameters!$A$3:$C$5,MATCH('[1]Pizza Sales Calculations'!E508,[1]Parameters!$A$3:$A$5,0),2)</f>
        <v>10</v>
      </c>
      <c r="X508" t="e">
        <f>INDEX([1]Parameters!$A$3:$C$5,MATCH('[1]Pizza Sales Calculations'!F508,[1]Parameters!$A$3:$A$5,0),2)</f>
        <v>#N/A</v>
      </c>
    </row>
    <row r="509" spans="1:24" x14ac:dyDescent="0.3">
      <c r="A509">
        <v>508</v>
      </c>
      <c r="B509" s="14">
        <v>42375.45952546296</v>
      </c>
      <c r="C509" s="14">
        <v>42375.469953703701</v>
      </c>
      <c r="D509" t="s">
        <v>3</v>
      </c>
      <c r="G509" t="b">
        <v>1</v>
      </c>
      <c r="H509">
        <v>70806</v>
      </c>
      <c r="I509" s="5">
        <v>3.0684120558375398</v>
      </c>
      <c r="J509" s="14">
        <v>42375.48060185185</v>
      </c>
      <c r="K509">
        <v>7.99</v>
      </c>
      <c r="L509" s="5">
        <f>('[1]Pizza Sales Calculations'!$J509-'[1]Pizza Sales Calculations'!$C509)*24*60</f>
        <v>15.333333334419876</v>
      </c>
      <c r="M509">
        <f>COUNTA('[1]Pizza Sales Calculations'!$D509:$F509)</f>
        <v>1</v>
      </c>
      <c r="N509">
        <f>IFERROR(VLOOKUP(D509,[1]Parameters!$A$3:$C$5,3,FALSE),0)</f>
        <v>1</v>
      </c>
      <c r="O509">
        <f>IFERROR(VLOOKUP(E509,[1]Parameters!$A$3:$C$5,3,FALSE),0)</f>
        <v>0</v>
      </c>
      <c r="P509">
        <f>IFERROR(VLOOKUP(F509,[1]Parameters!$A$3:$C$5,3,FALSE),0)</f>
        <v>0</v>
      </c>
      <c r="Q509">
        <f t="shared" si="7"/>
        <v>1</v>
      </c>
      <c r="R509" s="10">
        <f>IF('[1]Pizza Sales Calculations'!$G509=TRUE, [1]Parameters!$B$17*'[1]Pizza Sales Calculations'!$L509*2, 0)</f>
        <v>4.3444444447522983</v>
      </c>
      <c r="S509" t="str">
        <f>IF(I509&lt;[1]Parameters!$B$21,"TRUE","FALSE")</f>
        <v>TRUE</v>
      </c>
      <c r="T509" s="5">
        <f>(I509/[1]Parameters!$B$25)*60</f>
        <v>6.1368241116750797</v>
      </c>
      <c r="U509" s="10">
        <f>IF(AND('[1]Pizza Sales Calculations'!G509=TRUE,'[1]Pizza Sales Calculations'!S509="TRUE"),T509*[1]Parameters!$B$40*2,0)</f>
        <v>0.38307668928459843</v>
      </c>
      <c r="V509">
        <f>INDEX([1]Parameters!$A$3:$C$5,MATCH('[1]Pizza Sales Calculations'!D509,[1]Parameters!$A$3:$A$5,0),2)</f>
        <v>7</v>
      </c>
      <c r="W509" t="e">
        <f>INDEX([1]Parameters!$A$3:$C$5,MATCH('[1]Pizza Sales Calculations'!E509,[1]Parameters!$A$3:$A$5,0),2)</f>
        <v>#N/A</v>
      </c>
      <c r="X509" t="e">
        <f>INDEX([1]Parameters!$A$3:$C$5,MATCH('[1]Pizza Sales Calculations'!F509,[1]Parameters!$A$3:$A$5,0),2)</f>
        <v>#N/A</v>
      </c>
    </row>
    <row r="510" spans="1:24" x14ac:dyDescent="0.3">
      <c r="A510">
        <v>509</v>
      </c>
      <c r="B510" s="14">
        <v>42375.498449074075</v>
      </c>
      <c r="C510" s="14">
        <v>42375.50885416667</v>
      </c>
      <c r="D510" t="s">
        <v>5</v>
      </c>
      <c r="G510" t="b">
        <v>1</v>
      </c>
      <c r="H510">
        <v>70805</v>
      </c>
      <c r="I510" s="5">
        <v>4.9325445097095404</v>
      </c>
      <c r="J510" s="14">
        <v>42375.525972222225</v>
      </c>
      <c r="K510">
        <v>15.35</v>
      </c>
      <c r="L510" s="5">
        <f>('[1]Pizza Sales Calculations'!$J510-'[1]Pizza Sales Calculations'!$C510)*24*60</f>
        <v>24.649999999674037</v>
      </c>
      <c r="M510">
        <f>COUNTA('[1]Pizza Sales Calculations'!$D510:$F510)</f>
        <v>1</v>
      </c>
      <c r="N510">
        <f>IFERROR(VLOOKUP(D510,[1]Parameters!$A$3:$C$5,3,FALSE),0)</f>
        <v>2.2999999999999998</v>
      </c>
      <c r="O510">
        <f>IFERROR(VLOOKUP(E510,[1]Parameters!$A$3:$C$5,3,FALSE),0)</f>
        <v>0</v>
      </c>
      <c r="P510">
        <f>IFERROR(VLOOKUP(F510,[1]Parameters!$A$3:$C$5,3,FALSE),0)</f>
        <v>0</v>
      </c>
      <c r="Q510">
        <f t="shared" si="7"/>
        <v>2.2999999999999998</v>
      </c>
      <c r="R510" s="10">
        <f>IF('[1]Pizza Sales Calculations'!$G510=TRUE, [1]Parameters!$B$17*'[1]Pizza Sales Calculations'!$L510*2, 0)</f>
        <v>6.9841666665743105</v>
      </c>
      <c r="S510" t="str">
        <f>IF(I510&lt;[1]Parameters!$B$21,"TRUE","FALSE")</f>
        <v>FALSE</v>
      </c>
      <c r="T510" s="5">
        <f>(I510/[1]Parameters!$B$25)*60</f>
        <v>9.8650890194190808</v>
      </c>
      <c r="U510" s="10">
        <f>IF(AND('[1]Pizza Sales Calculations'!G510=TRUE,'[1]Pizza Sales Calculations'!S510="TRUE"),T510*[1]Parameters!$B$40*2,0)</f>
        <v>0</v>
      </c>
      <c r="V510">
        <f>INDEX([1]Parameters!$A$3:$C$5,MATCH('[1]Pizza Sales Calculations'!D510,[1]Parameters!$A$3:$A$5,0),2)</f>
        <v>14</v>
      </c>
      <c r="W510" t="e">
        <f>INDEX([1]Parameters!$A$3:$C$5,MATCH('[1]Pizza Sales Calculations'!E510,[1]Parameters!$A$3:$A$5,0),2)</f>
        <v>#N/A</v>
      </c>
      <c r="X510" t="e">
        <f>INDEX([1]Parameters!$A$3:$C$5,MATCH('[1]Pizza Sales Calculations'!F510,[1]Parameters!$A$3:$A$5,0),2)</f>
        <v>#N/A</v>
      </c>
    </row>
    <row r="511" spans="1:24" x14ac:dyDescent="0.3">
      <c r="A511">
        <v>510</v>
      </c>
      <c r="B511" s="14">
        <v>42375.467789351853</v>
      </c>
      <c r="C511" s="14">
        <v>42375.478194444448</v>
      </c>
      <c r="D511" t="s">
        <v>5</v>
      </c>
      <c r="G511" t="b">
        <v>0</v>
      </c>
      <c r="H511">
        <v>70805</v>
      </c>
      <c r="I511" s="5">
        <v>0</v>
      </c>
      <c r="J511" s="14">
        <v>42375.48027777778</v>
      </c>
      <c r="K511">
        <v>15.35</v>
      </c>
      <c r="L511" s="5">
        <f>('[1]Pizza Sales Calculations'!$J511-'[1]Pizza Sales Calculations'!$C511)*24*60</f>
        <v>2.9999999993015081</v>
      </c>
      <c r="M511">
        <f>COUNTA('[1]Pizza Sales Calculations'!$D511:$F511)</f>
        <v>1</v>
      </c>
      <c r="N511">
        <f>IFERROR(VLOOKUP(D511,[1]Parameters!$A$3:$C$5,3,FALSE),0)</f>
        <v>2.2999999999999998</v>
      </c>
      <c r="O511">
        <f>IFERROR(VLOOKUP(E511,[1]Parameters!$A$3:$C$5,3,FALSE),0)</f>
        <v>0</v>
      </c>
      <c r="P511">
        <f>IFERROR(VLOOKUP(F511,[1]Parameters!$A$3:$C$5,3,FALSE),0)</f>
        <v>0</v>
      </c>
      <c r="Q511">
        <f t="shared" si="7"/>
        <v>2.2999999999999998</v>
      </c>
      <c r="R511" s="10">
        <f>IF('[1]Pizza Sales Calculations'!$G511=TRUE, [1]Parameters!$B$17*'[1]Pizza Sales Calculations'!$L511*2, 0)</f>
        <v>0</v>
      </c>
      <c r="S511" t="str">
        <f>IF(I511&lt;[1]Parameters!$B$21,"TRUE","FALSE")</f>
        <v>TRUE</v>
      </c>
      <c r="T511" s="5">
        <f>(I511/[1]Parameters!$B$25)*60</f>
        <v>0</v>
      </c>
      <c r="U511" s="10">
        <f>IF(AND('[1]Pizza Sales Calculations'!G511=TRUE,'[1]Pizza Sales Calculations'!S511="TRUE"),T511*[1]Parameters!$B$40*2,0)</f>
        <v>0</v>
      </c>
      <c r="V511">
        <f>INDEX([1]Parameters!$A$3:$C$5,MATCH('[1]Pizza Sales Calculations'!D511,[1]Parameters!$A$3:$A$5,0),2)</f>
        <v>14</v>
      </c>
      <c r="W511" t="e">
        <f>INDEX([1]Parameters!$A$3:$C$5,MATCH('[1]Pizza Sales Calculations'!E511,[1]Parameters!$A$3:$A$5,0),2)</f>
        <v>#N/A</v>
      </c>
      <c r="X511" t="e">
        <f>INDEX([1]Parameters!$A$3:$C$5,MATCH('[1]Pizza Sales Calculations'!F511,[1]Parameters!$A$3:$A$5,0),2)</f>
        <v>#N/A</v>
      </c>
    </row>
    <row r="512" spans="1:24" x14ac:dyDescent="0.3">
      <c r="A512">
        <v>511</v>
      </c>
      <c r="B512" s="14">
        <v>42375.469155092593</v>
      </c>
      <c r="C512" s="14">
        <v>42375.479571759257</v>
      </c>
      <c r="D512" t="s">
        <v>5</v>
      </c>
      <c r="G512" t="b">
        <v>1</v>
      </c>
      <c r="H512">
        <v>70807</v>
      </c>
      <c r="I512" s="5">
        <v>2.9120059805513399</v>
      </c>
      <c r="J512" s="14">
        <v>42375.489675925928</v>
      </c>
      <c r="K512">
        <v>15.35</v>
      </c>
      <c r="L512" s="5">
        <f>('[1]Pizza Sales Calculations'!$J512-'[1]Pizza Sales Calculations'!$C512)*24*60</f>
        <v>14.550000006565824</v>
      </c>
      <c r="M512">
        <f>COUNTA('[1]Pizza Sales Calculations'!$D512:$F512)</f>
        <v>1</v>
      </c>
      <c r="N512">
        <f>IFERROR(VLOOKUP(D512,[1]Parameters!$A$3:$C$5,3,FALSE),0)</f>
        <v>2.2999999999999998</v>
      </c>
      <c r="O512">
        <f>IFERROR(VLOOKUP(E512,[1]Parameters!$A$3:$C$5,3,FALSE),0)</f>
        <v>0</v>
      </c>
      <c r="P512">
        <f>IFERROR(VLOOKUP(F512,[1]Parameters!$A$3:$C$5,3,FALSE),0)</f>
        <v>0</v>
      </c>
      <c r="Q512">
        <f t="shared" si="7"/>
        <v>2.2999999999999998</v>
      </c>
      <c r="R512" s="10">
        <f>IF('[1]Pizza Sales Calculations'!$G512=TRUE, [1]Parameters!$B$17*'[1]Pizza Sales Calculations'!$L512*2, 0)</f>
        <v>4.1225000018603168</v>
      </c>
      <c r="S512" t="str">
        <f>IF(I512&lt;[1]Parameters!$B$21,"TRUE","FALSE")</f>
        <v>TRUE</v>
      </c>
      <c r="T512" s="5">
        <f>(I512/[1]Parameters!$B$25)*60</f>
        <v>5.8240119611026797</v>
      </c>
      <c r="U512" s="10">
        <f>IF(AND('[1]Pizza Sales Calculations'!G512=TRUE,'[1]Pizza Sales Calculations'!S512="TRUE"),T512*[1]Parameters!$B$40*2,0)</f>
        <v>0.36355013274189157</v>
      </c>
      <c r="V512">
        <f>INDEX([1]Parameters!$A$3:$C$5,MATCH('[1]Pizza Sales Calculations'!D512,[1]Parameters!$A$3:$A$5,0),2)</f>
        <v>14</v>
      </c>
      <c r="W512" t="e">
        <f>INDEX([1]Parameters!$A$3:$C$5,MATCH('[1]Pizza Sales Calculations'!E512,[1]Parameters!$A$3:$A$5,0),2)</f>
        <v>#N/A</v>
      </c>
      <c r="X512" t="e">
        <f>INDEX([1]Parameters!$A$3:$C$5,MATCH('[1]Pizza Sales Calculations'!F512,[1]Parameters!$A$3:$A$5,0),2)</f>
        <v>#N/A</v>
      </c>
    </row>
    <row r="513" spans="1:24" x14ac:dyDescent="0.3">
      <c r="A513">
        <v>512</v>
      </c>
      <c r="B513" s="14">
        <v>42375.522499999999</v>
      </c>
      <c r="C513" s="14">
        <v>42375.53292824074</v>
      </c>
      <c r="D513" t="s">
        <v>4</v>
      </c>
      <c r="G513" t="b">
        <v>1</v>
      </c>
      <c r="H513">
        <v>70805</v>
      </c>
      <c r="I513" s="5">
        <v>3.1925932998036299</v>
      </c>
      <c r="J513" s="14">
        <v>42375.544004629628</v>
      </c>
      <c r="K513">
        <v>11.59</v>
      </c>
      <c r="L513" s="5">
        <f>('[1]Pizza Sales Calculations'!$J513-'[1]Pizza Sales Calculations'!$C513)*24*60</f>
        <v>15.94999999855645</v>
      </c>
      <c r="M513">
        <f>COUNTA('[1]Pizza Sales Calculations'!$D513:$F513)</f>
        <v>1</v>
      </c>
      <c r="N513">
        <f>IFERROR(VLOOKUP(D513,[1]Parameters!$A$3:$C$5,3,FALSE),0)</f>
        <v>1.7</v>
      </c>
      <c r="O513">
        <f>IFERROR(VLOOKUP(E513,[1]Parameters!$A$3:$C$5,3,FALSE),0)</f>
        <v>0</v>
      </c>
      <c r="P513">
        <f>IFERROR(VLOOKUP(F513,[1]Parameters!$A$3:$C$5,3,FALSE),0)</f>
        <v>0</v>
      </c>
      <c r="Q513">
        <f t="shared" si="7"/>
        <v>1.7</v>
      </c>
      <c r="R513" s="10">
        <f>IF('[1]Pizza Sales Calculations'!$G513=TRUE, [1]Parameters!$B$17*'[1]Pizza Sales Calculations'!$L513*2, 0)</f>
        <v>4.5191666662576608</v>
      </c>
      <c r="S513" t="str">
        <f>IF(I513&lt;[1]Parameters!$B$21,"TRUE","FALSE")</f>
        <v>TRUE</v>
      </c>
      <c r="T513" s="5">
        <f>(I513/[1]Parameters!$B$25)*60</f>
        <v>6.3851865996072599</v>
      </c>
      <c r="U513" s="10">
        <f>IF(AND('[1]Pizza Sales Calculations'!G513=TRUE,'[1]Pizza Sales Calculations'!S513="TRUE"),T513*[1]Parameters!$B$40*2,0)</f>
        <v>0.39858012850465718</v>
      </c>
      <c r="V513">
        <f>INDEX([1]Parameters!$A$3:$C$5,MATCH('[1]Pizza Sales Calculations'!D513,[1]Parameters!$A$3:$A$5,0),2)</f>
        <v>10</v>
      </c>
      <c r="W513" t="e">
        <f>INDEX([1]Parameters!$A$3:$C$5,MATCH('[1]Pizza Sales Calculations'!E513,[1]Parameters!$A$3:$A$5,0),2)</f>
        <v>#N/A</v>
      </c>
      <c r="X513" t="e">
        <f>INDEX([1]Parameters!$A$3:$C$5,MATCH('[1]Pizza Sales Calculations'!F513,[1]Parameters!$A$3:$A$5,0),2)</f>
        <v>#N/A</v>
      </c>
    </row>
    <row r="514" spans="1:24" x14ac:dyDescent="0.3">
      <c r="A514">
        <v>513</v>
      </c>
      <c r="B514" s="14">
        <v>42375.514976851853</v>
      </c>
      <c r="C514" s="14">
        <v>42375.525393518517</v>
      </c>
      <c r="D514" t="s">
        <v>5</v>
      </c>
      <c r="G514" t="b">
        <v>0</v>
      </c>
      <c r="H514">
        <v>70806</v>
      </c>
      <c r="I514" s="5">
        <v>0</v>
      </c>
      <c r="J514" s="14">
        <v>42375.527453703704</v>
      </c>
      <c r="K514">
        <v>15.35</v>
      </c>
      <c r="L514" s="5">
        <f>('[1]Pizza Sales Calculations'!$J514-'[1]Pizza Sales Calculations'!$C514)*24*60</f>
        <v>2.9666666686534882</v>
      </c>
      <c r="M514">
        <f>COUNTA('[1]Pizza Sales Calculations'!$D514:$F514)</f>
        <v>1</v>
      </c>
      <c r="N514">
        <f>IFERROR(VLOOKUP(D514,[1]Parameters!$A$3:$C$5,3,FALSE),0)</f>
        <v>2.2999999999999998</v>
      </c>
      <c r="O514">
        <f>IFERROR(VLOOKUP(E514,[1]Parameters!$A$3:$C$5,3,FALSE),0)</f>
        <v>0</v>
      </c>
      <c r="P514">
        <f>IFERROR(VLOOKUP(F514,[1]Parameters!$A$3:$C$5,3,FALSE),0)</f>
        <v>0</v>
      </c>
      <c r="Q514">
        <f t="shared" si="7"/>
        <v>2.2999999999999998</v>
      </c>
      <c r="R514" s="10">
        <f>IF('[1]Pizza Sales Calculations'!$G514=TRUE, [1]Parameters!$B$17*'[1]Pizza Sales Calculations'!$L514*2, 0)</f>
        <v>0</v>
      </c>
      <c r="S514" t="str">
        <f>IF(I514&lt;[1]Parameters!$B$21,"TRUE","FALSE")</f>
        <v>TRUE</v>
      </c>
      <c r="T514" s="5">
        <f>(I514/[1]Parameters!$B$25)*60</f>
        <v>0</v>
      </c>
      <c r="U514" s="10">
        <f>IF(AND('[1]Pizza Sales Calculations'!G514=TRUE,'[1]Pizza Sales Calculations'!S514="TRUE"),T514*[1]Parameters!$B$40*2,0)</f>
        <v>0</v>
      </c>
      <c r="V514">
        <f>INDEX([1]Parameters!$A$3:$C$5,MATCH('[1]Pizza Sales Calculations'!D514,[1]Parameters!$A$3:$A$5,0),2)</f>
        <v>14</v>
      </c>
      <c r="W514" t="e">
        <f>INDEX([1]Parameters!$A$3:$C$5,MATCH('[1]Pizza Sales Calculations'!E514,[1]Parameters!$A$3:$A$5,0),2)</f>
        <v>#N/A</v>
      </c>
      <c r="X514" t="e">
        <f>INDEX([1]Parameters!$A$3:$C$5,MATCH('[1]Pizza Sales Calculations'!F514,[1]Parameters!$A$3:$A$5,0),2)</f>
        <v>#N/A</v>
      </c>
    </row>
    <row r="515" spans="1:24" x14ac:dyDescent="0.3">
      <c r="A515">
        <v>514</v>
      </c>
      <c r="B515" s="14">
        <v>42375.427557870367</v>
      </c>
      <c r="C515" s="14">
        <v>42375.437974537039</v>
      </c>
      <c r="D515" t="s">
        <v>3</v>
      </c>
      <c r="G515" t="b">
        <v>1</v>
      </c>
      <c r="H515">
        <v>70805</v>
      </c>
      <c r="I515" s="5">
        <v>3.1130364495294498</v>
      </c>
      <c r="J515" s="14">
        <v>42375.448773148149</v>
      </c>
      <c r="K515">
        <v>7.99</v>
      </c>
      <c r="L515" s="5">
        <f>('[1]Pizza Sales Calculations'!$J515-'[1]Pizza Sales Calculations'!$C515)*24*60</f>
        <v>15.549999999348074</v>
      </c>
      <c r="M515">
        <f>COUNTA('[1]Pizza Sales Calculations'!$D515:$F515)</f>
        <v>1</v>
      </c>
      <c r="N515">
        <f>IFERROR(VLOOKUP(D515,[1]Parameters!$A$3:$C$5,3,FALSE),0)</f>
        <v>1</v>
      </c>
      <c r="O515">
        <f>IFERROR(VLOOKUP(E515,[1]Parameters!$A$3:$C$5,3,FALSE),0)</f>
        <v>0</v>
      </c>
      <c r="P515">
        <f>IFERROR(VLOOKUP(F515,[1]Parameters!$A$3:$C$5,3,FALSE),0)</f>
        <v>0</v>
      </c>
      <c r="Q515">
        <f t="shared" ref="Q515:Q578" si="8">SUM(N515:P515)</f>
        <v>1</v>
      </c>
      <c r="R515" s="10">
        <f>IF('[1]Pizza Sales Calculations'!$G515=TRUE, [1]Parameters!$B$17*'[1]Pizza Sales Calculations'!$L515*2, 0)</f>
        <v>4.405833333148621</v>
      </c>
      <c r="S515" t="str">
        <f>IF(I515&lt;[1]Parameters!$B$21,"TRUE","FALSE")</f>
        <v>TRUE</v>
      </c>
      <c r="T515" s="5">
        <f>(I515/[1]Parameters!$B$25)*60</f>
        <v>6.2260728990588996</v>
      </c>
      <c r="U515" s="10">
        <f>IF(AND('[1]Pizza Sales Calculations'!G515=TRUE,'[1]Pizza Sales Calculations'!S515="TRUE"),T515*[1]Parameters!$B$40*2,0)</f>
        <v>0.38864783314850926</v>
      </c>
      <c r="V515">
        <f>INDEX([1]Parameters!$A$3:$C$5,MATCH('[1]Pizza Sales Calculations'!D515,[1]Parameters!$A$3:$A$5,0),2)</f>
        <v>7</v>
      </c>
      <c r="W515" t="e">
        <f>INDEX([1]Parameters!$A$3:$C$5,MATCH('[1]Pizza Sales Calculations'!E515,[1]Parameters!$A$3:$A$5,0),2)</f>
        <v>#N/A</v>
      </c>
      <c r="X515" t="e">
        <f>INDEX([1]Parameters!$A$3:$C$5,MATCH('[1]Pizza Sales Calculations'!F515,[1]Parameters!$A$3:$A$5,0),2)</f>
        <v>#N/A</v>
      </c>
    </row>
    <row r="516" spans="1:24" x14ac:dyDescent="0.3">
      <c r="A516">
        <v>515</v>
      </c>
      <c r="B516" s="14">
        <v>42375.477708333332</v>
      </c>
      <c r="C516" s="14">
        <v>42375.488125000003</v>
      </c>
      <c r="D516" t="s">
        <v>3</v>
      </c>
      <c r="E516" t="s">
        <v>4</v>
      </c>
      <c r="G516" t="b">
        <v>0</v>
      </c>
      <c r="H516">
        <v>70803</v>
      </c>
      <c r="I516" s="5">
        <v>0</v>
      </c>
      <c r="J516" s="14">
        <v>42375.49019675926</v>
      </c>
      <c r="K516">
        <v>19.579999999999998</v>
      </c>
      <c r="L516" s="5">
        <f>('[1]Pizza Sales Calculations'!$J516-'[1]Pizza Sales Calculations'!$C516)*24*60</f>
        <v>2.9833333287388086</v>
      </c>
      <c r="M516">
        <f>COUNTA('[1]Pizza Sales Calculations'!$D516:$F516)</f>
        <v>2</v>
      </c>
      <c r="N516">
        <f>IFERROR(VLOOKUP(D516,[1]Parameters!$A$3:$C$5,3,FALSE),0)</f>
        <v>1</v>
      </c>
      <c r="O516">
        <f>IFERROR(VLOOKUP(E516,[1]Parameters!$A$3:$C$5,3,FALSE),0)</f>
        <v>1.7</v>
      </c>
      <c r="P516">
        <f>IFERROR(VLOOKUP(F516,[1]Parameters!$A$3:$C$5,3,FALSE),0)</f>
        <v>0</v>
      </c>
      <c r="Q516">
        <f t="shared" si="8"/>
        <v>2.7</v>
      </c>
      <c r="R516" s="10">
        <f>IF('[1]Pizza Sales Calculations'!$G516=TRUE, [1]Parameters!$B$17*'[1]Pizza Sales Calculations'!$L516*2, 0)</f>
        <v>0</v>
      </c>
      <c r="S516" t="str">
        <f>IF(I516&lt;[1]Parameters!$B$21,"TRUE","FALSE")</f>
        <v>TRUE</v>
      </c>
      <c r="T516" s="5">
        <f>(I516/[1]Parameters!$B$25)*60</f>
        <v>0</v>
      </c>
      <c r="U516" s="10">
        <f>IF(AND('[1]Pizza Sales Calculations'!G516=TRUE,'[1]Pizza Sales Calculations'!S516="TRUE"),T516*[1]Parameters!$B$40*2,0)</f>
        <v>0</v>
      </c>
      <c r="V516">
        <f>INDEX([1]Parameters!$A$3:$C$5,MATCH('[1]Pizza Sales Calculations'!D516,[1]Parameters!$A$3:$A$5,0),2)</f>
        <v>7</v>
      </c>
      <c r="W516">
        <f>INDEX([1]Parameters!$A$3:$C$5,MATCH('[1]Pizza Sales Calculations'!E516,[1]Parameters!$A$3:$A$5,0),2)</f>
        <v>10</v>
      </c>
      <c r="X516" t="e">
        <f>INDEX([1]Parameters!$A$3:$C$5,MATCH('[1]Pizza Sales Calculations'!F516,[1]Parameters!$A$3:$A$5,0),2)</f>
        <v>#N/A</v>
      </c>
    </row>
    <row r="517" spans="1:24" x14ac:dyDescent="0.3">
      <c r="A517">
        <v>516</v>
      </c>
      <c r="B517" s="14">
        <v>42375.599942129629</v>
      </c>
      <c r="C517" s="14">
        <v>42375.610347222224</v>
      </c>
      <c r="D517" t="s">
        <v>3</v>
      </c>
      <c r="E517" t="s">
        <v>4</v>
      </c>
      <c r="G517" t="b">
        <v>0</v>
      </c>
      <c r="H517">
        <v>70805</v>
      </c>
      <c r="I517" s="5">
        <v>0</v>
      </c>
      <c r="J517" s="14">
        <v>42375.61241898148</v>
      </c>
      <c r="K517">
        <v>19.579999999999998</v>
      </c>
      <c r="L517" s="5">
        <f>('[1]Pizza Sales Calculations'!$J517-'[1]Pizza Sales Calculations'!$C517)*24*60</f>
        <v>2.9833333287388086</v>
      </c>
      <c r="M517">
        <f>COUNTA('[1]Pizza Sales Calculations'!$D517:$F517)</f>
        <v>2</v>
      </c>
      <c r="N517">
        <f>IFERROR(VLOOKUP(D517,[1]Parameters!$A$3:$C$5,3,FALSE),0)</f>
        <v>1</v>
      </c>
      <c r="O517">
        <f>IFERROR(VLOOKUP(E517,[1]Parameters!$A$3:$C$5,3,FALSE),0)</f>
        <v>1.7</v>
      </c>
      <c r="P517">
        <f>IFERROR(VLOOKUP(F517,[1]Parameters!$A$3:$C$5,3,FALSE),0)</f>
        <v>0</v>
      </c>
      <c r="Q517">
        <f t="shared" si="8"/>
        <v>2.7</v>
      </c>
      <c r="R517" s="10">
        <f>IF('[1]Pizza Sales Calculations'!$G517=TRUE, [1]Parameters!$B$17*'[1]Pizza Sales Calculations'!$L517*2, 0)</f>
        <v>0</v>
      </c>
      <c r="S517" t="str">
        <f>IF(I517&lt;[1]Parameters!$B$21,"TRUE","FALSE")</f>
        <v>TRUE</v>
      </c>
      <c r="T517" s="5">
        <f>(I517/[1]Parameters!$B$25)*60</f>
        <v>0</v>
      </c>
      <c r="U517" s="10">
        <f>IF(AND('[1]Pizza Sales Calculations'!G517=TRUE,'[1]Pizza Sales Calculations'!S517="TRUE"),T517*[1]Parameters!$B$40*2,0)</f>
        <v>0</v>
      </c>
      <c r="V517">
        <f>INDEX([1]Parameters!$A$3:$C$5,MATCH('[1]Pizza Sales Calculations'!D517,[1]Parameters!$A$3:$A$5,0),2)</f>
        <v>7</v>
      </c>
      <c r="W517">
        <f>INDEX([1]Parameters!$A$3:$C$5,MATCH('[1]Pizza Sales Calculations'!E517,[1]Parameters!$A$3:$A$5,0),2)</f>
        <v>10</v>
      </c>
      <c r="X517" t="e">
        <f>INDEX([1]Parameters!$A$3:$C$5,MATCH('[1]Pizza Sales Calculations'!F517,[1]Parameters!$A$3:$A$5,0),2)</f>
        <v>#N/A</v>
      </c>
    </row>
    <row r="518" spans="1:24" x14ac:dyDescent="0.3">
      <c r="A518">
        <v>517</v>
      </c>
      <c r="B518" s="14">
        <v>42375.511597222219</v>
      </c>
      <c r="C518" s="14">
        <v>42375.522002314814</v>
      </c>
      <c r="D518" t="s">
        <v>4</v>
      </c>
      <c r="G518" t="b">
        <v>0</v>
      </c>
      <c r="H518">
        <v>70804</v>
      </c>
      <c r="I518" s="5">
        <v>0</v>
      </c>
      <c r="J518" s="14">
        <v>42375.524074074077</v>
      </c>
      <c r="K518">
        <v>11.59</v>
      </c>
      <c r="L518" s="5">
        <f>('[1]Pizza Sales Calculations'!$J518-'[1]Pizza Sales Calculations'!$C518)*24*60</f>
        <v>2.9833333392161876</v>
      </c>
      <c r="M518">
        <f>COUNTA('[1]Pizza Sales Calculations'!$D518:$F518)</f>
        <v>1</v>
      </c>
      <c r="N518">
        <f>IFERROR(VLOOKUP(D518,[1]Parameters!$A$3:$C$5,3,FALSE),0)</f>
        <v>1.7</v>
      </c>
      <c r="O518">
        <f>IFERROR(VLOOKUP(E518,[1]Parameters!$A$3:$C$5,3,FALSE),0)</f>
        <v>0</v>
      </c>
      <c r="P518">
        <f>IFERROR(VLOOKUP(F518,[1]Parameters!$A$3:$C$5,3,FALSE),0)</f>
        <v>0</v>
      </c>
      <c r="Q518">
        <f t="shared" si="8"/>
        <v>1.7</v>
      </c>
      <c r="R518" s="10">
        <f>IF('[1]Pizza Sales Calculations'!$G518=TRUE, [1]Parameters!$B$17*'[1]Pizza Sales Calculations'!$L518*2, 0)</f>
        <v>0</v>
      </c>
      <c r="S518" t="str">
        <f>IF(I518&lt;[1]Parameters!$B$21,"TRUE","FALSE")</f>
        <v>TRUE</v>
      </c>
      <c r="T518" s="5">
        <f>(I518/[1]Parameters!$B$25)*60</f>
        <v>0</v>
      </c>
      <c r="U518" s="10">
        <f>IF(AND('[1]Pizza Sales Calculations'!G518=TRUE,'[1]Pizza Sales Calculations'!S518="TRUE"),T518*[1]Parameters!$B$40*2,0)</f>
        <v>0</v>
      </c>
      <c r="V518">
        <f>INDEX([1]Parameters!$A$3:$C$5,MATCH('[1]Pizza Sales Calculations'!D518,[1]Parameters!$A$3:$A$5,0),2)</f>
        <v>10</v>
      </c>
      <c r="W518" t="e">
        <f>INDEX([1]Parameters!$A$3:$C$5,MATCH('[1]Pizza Sales Calculations'!E518,[1]Parameters!$A$3:$A$5,0),2)</f>
        <v>#N/A</v>
      </c>
      <c r="X518" t="e">
        <f>INDEX([1]Parameters!$A$3:$C$5,MATCH('[1]Pizza Sales Calculations'!F518,[1]Parameters!$A$3:$A$5,0),2)</f>
        <v>#N/A</v>
      </c>
    </row>
    <row r="519" spans="1:24" x14ac:dyDescent="0.3">
      <c r="A519">
        <v>518</v>
      </c>
      <c r="B519" s="14">
        <v>42375.482037037036</v>
      </c>
      <c r="C519" s="14">
        <v>42375.4924537037</v>
      </c>
      <c r="D519" t="s">
        <v>4</v>
      </c>
      <c r="G519" t="b">
        <v>0</v>
      </c>
      <c r="H519">
        <v>70803</v>
      </c>
      <c r="I519" s="5">
        <v>0</v>
      </c>
      <c r="J519" s="14">
        <v>42375.494525462964</v>
      </c>
      <c r="K519">
        <v>11.59</v>
      </c>
      <c r="L519" s="5">
        <f>('[1]Pizza Sales Calculations'!$J519-'[1]Pizza Sales Calculations'!$C519)*24*60</f>
        <v>2.9833333392161876</v>
      </c>
      <c r="M519">
        <f>COUNTA('[1]Pizza Sales Calculations'!$D519:$F519)</f>
        <v>1</v>
      </c>
      <c r="N519">
        <f>IFERROR(VLOOKUP(D519,[1]Parameters!$A$3:$C$5,3,FALSE),0)</f>
        <v>1.7</v>
      </c>
      <c r="O519">
        <f>IFERROR(VLOOKUP(E519,[1]Parameters!$A$3:$C$5,3,FALSE),0)</f>
        <v>0</v>
      </c>
      <c r="P519">
        <f>IFERROR(VLOOKUP(F519,[1]Parameters!$A$3:$C$5,3,FALSE),0)</f>
        <v>0</v>
      </c>
      <c r="Q519">
        <f t="shared" si="8"/>
        <v>1.7</v>
      </c>
      <c r="R519" s="10">
        <f>IF('[1]Pizza Sales Calculations'!$G519=TRUE, [1]Parameters!$B$17*'[1]Pizza Sales Calculations'!$L519*2, 0)</f>
        <v>0</v>
      </c>
      <c r="S519" t="str">
        <f>IF(I519&lt;[1]Parameters!$B$21,"TRUE","FALSE")</f>
        <v>TRUE</v>
      </c>
      <c r="T519" s="5">
        <f>(I519/[1]Parameters!$B$25)*60</f>
        <v>0</v>
      </c>
      <c r="U519" s="10">
        <f>IF(AND('[1]Pizza Sales Calculations'!G519=TRUE,'[1]Pizza Sales Calculations'!S519="TRUE"),T519*[1]Parameters!$B$40*2,0)</f>
        <v>0</v>
      </c>
      <c r="V519">
        <f>INDEX([1]Parameters!$A$3:$C$5,MATCH('[1]Pizza Sales Calculations'!D519,[1]Parameters!$A$3:$A$5,0),2)</f>
        <v>10</v>
      </c>
      <c r="W519" t="e">
        <f>INDEX([1]Parameters!$A$3:$C$5,MATCH('[1]Pizza Sales Calculations'!E519,[1]Parameters!$A$3:$A$5,0),2)</f>
        <v>#N/A</v>
      </c>
      <c r="X519" t="e">
        <f>INDEX([1]Parameters!$A$3:$C$5,MATCH('[1]Pizza Sales Calculations'!F519,[1]Parameters!$A$3:$A$5,0),2)</f>
        <v>#N/A</v>
      </c>
    </row>
    <row r="520" spans="1:24" x14ac:dyDescent="0.3">
      <c r="A520">
        <v>519</v>
      </c>
      <c r="B520" s="14">
        <v>42375.467777777776</v>
      </c>
      <c r="C520" s="14">
        <v>42375.478171296294</v>
      </c>
      <c r="D520" t="s">
        <v>3</v>
      </c>
      <c r="G520" t="b">
        <v>0</v>
      </c>
      <c r="H520">
        <v>70804</v>
      </c>
      <c r="I520" s="5">
        <v>0</v>
      </c>
      <c r="J520" s="14">
        <v>42375.480243055557</v>
      </c>
      <c r="K520">
        <v>7.99</v>
      </c>
      <c r="L520" s="5">
        <f>('[1]Pizza Sales Calculations'!$J520-'[1]Pizza Sales Calculations'!$C520)*24*60</f>
        <v>2.9833333392161876</v>
      </c>
      <c r="M520">
        <f>COUNTA('[1]Pizza Sales Calculations'!$D520:$F520)</f>
        <v>1</v>
      </c>
      <c r="N520">
        <f>IFERROR(VLOOKUP(D520,[1]Parameters!$A$3:$C$5,3,FALSE),0)</f>
        <v>1</v>
      </c>
      <c r="O520">
        <f>IFERROR(VLOOKUP(E520,[1]Parameters!$A$3:$C$5,3,FALSE),0)</f>
        <v>0</v>
      </c>
      <c r="P520">
        <f>IFERROR(VLOOKUP(F520,[1]Parameters!$A$3:$C$5,3,FALSE),0)</f>
        <v>0</v>
      </c>
      <c r="Q520">
        <f t="shared" si="8"/>
        <v>1</v>
      </c>
      <c r="R520" s="10">
        <f>IF('[1]Pizza Sales Calculations'!$G520=TRUE, [1]Parameters!$B$17*'[1]Pizza Sales Calculations'!$L520*2, 0)</f>
        <v>0</v>
      </c>
      <c r="S520" t="str">
        <f>IF(I520&lt;[1]Parameters!$B$21,"TRUE","FALSE")</f>
        <v>TRUE</v>
      </c>
      <c r="T520" s="5">
        <f>(I520/[1]Parameters!$B$25)*60</f>
        <v>0</v>
      </c>
      <c r="U520" s="10">
        <f>IF(AND('[1]Pizza Sales Calculations'!G520=TRUE,'[1]Pizza Sales Calculations'!S520="TRUE"),T520*[1]Parameters!$B$40*2,0)</f>
        <v>0</v>
      </c>
      <c r="V520">
        <f>INDEX([1]Parameters!$A$3:$C$5,MATCH('[1]Pizza Sales Calculations'!D520,[1]Parameters!$A$3:$A$5,0),2)</f>
        <v>7</v>
      </c>
      <c r="W520" t="e">
        <f>INDEX([1]Parameters!$A$3:$C$5,MATCH('[1]Pizza Sales Calculations'!E520,[1]Parameters!$A$3:$A$5,0),2)</f>
        <v>#N/A</v>
      </c>
      <c r="X520" t="e">
        <f>INDEX([1]Parameters!$A$3:$C$5,MATCH('[1]Pizza Sales Calculations'!F520,[1]Parameters!$A$3:$A$5,0),2)</f>
        <v>#N/A</v>
      </c>
    </row>
    <row r="521" spans="1:24" x14ac:dyDescent="0.3">
      <c r="A521">
        <v>520</v>
      </c>
      <c r="B521" s="14">
        <v>42375.535231481481</v>
      </c>
      <c r="C521" s="14">
        <v>42375.545624999999</v>
      </c>
      <c r="D521" t="s">
        <v>5</v>
      </c>
      <c r="G521" t="b">
        <v>0</v>
      </c>
      <c r="H521">
        <v>70804</v>
      </c>
      <c r="I521" s="5">
        <v>0</v>
      </c>
      <c r="J521" s="14">
        <v>42375.547685185185</v>
      </c>
      <c r="K521">
        <v>15.35</v>
      </c>
      <c r="L521" s="5">
        <f>('[1]Pizza Sales Calculations'!$J521-'[1]Pizza Sales Calculations'!$C521)*24*60</f>
        <v>2.9666666686534882</v>
      </c>
      <c r="M521">
        <f>COUNTA('[1]Pizza Sales Calculations'!$D521:$F521)</f>
        <v>1</v>
      </c>
      <c r="N521">
        <f>IFERROR(VLOOKUP(D521,[1]Parameters!$A$3:$C$5,3,FALSE),0)</f>
        <v>2.2999999999999998</v>
      </c>
      <c r="O521">
        <f>IFERROR(VLOOKUP(E521,[1]Parameters!$A$3:$C$5,3,FALSE),0)</f>
        <v>0</v>
      </c>
      <c r="P521">
        <f>IFERROR(VLOOKUP(F521,[1]Parameters!$A$3:$C$5,3,FALSE),0)</f>
        <v>0</v>
      </c>
      <c r="Q521">
        <f t="shared" si="8"/>
        <v>2.2999999999999998</v>
      </c>
      <c r="R521" s="10">
        <f>IF('[1]Pizza Sales Calculations'!$G521=TRUE, [1]Parameters!$B$17*'[1]Pizza Sales Calculations'!$L521*2, 0)</f>
        <v>0</v>
      </c>
      <c r="S521" t="str">
        <f>IF(I521&lt;[1]Parameters!$B$21,"TRUE","FALSE")</f>
        <v>TRUE</v>
      </c>
      <c r="T521" s="5">
        <f>(I521/[1]Parameters!$B$25)*60</f>
        <v>0</v>
      </c>
      <c r="U521" s="10">
        <f>IF(AND('[1]Pizza Sales Calculations'!G521=TRUE,'[1]Pizza Sales Calculations'!S521="TRUE"),T521*[1]Parameters!$B$40*2,0)</f>
        <v>0</v>
      </c>
      <c r="V521">
        <f>INDEX([1]Parameters!$A$3:$C$5,MATCH('[1]Pizza Sales Calculations'!D521,[1]Parameters!$A$3:$A$5,0),2)</f>
        <v>14</v>
      </c>
      <c r="W521" t="e">
        <f>INDEX([1]Parameters!$A$3:$C$5,MATCH('[1]Pizza Sales Calculations'!E521,[1]Parameters!$A$3:$A$5,0),2)</f>
        <v>#N/A</v>
      </c>
      <c r="X521" t="e">
        <f>INDEX([1]Parameters!$A$3:$C$5,MATCH('[1]Pizza Sales Calculations'!F521,[1]Parameters!$A$3:$A$5,0),2)</f>
        <v>#N/A</v>
      </c>
    </row>
    <row r="522" spans="1:24" x14ac:dyDescent="0.3">
      <c r="A522">
        <v>521</v>
      </c>
      <c r="B522" s="14">
        <v>42375.465613425928</v>
      </c>
      <c r="C522" s="14">
        <v>42375.476018518515</v>
      </c>
      <c r="D522" t="s">
        <v>5</v>
      </c>
      <c r="G522" t="b">
        <v>1</v>
      </c>
      <c r="H522">
        <v>70804</v>
      </c>
      <c r="I522" s="5">
        <v>3.1766215214015801</v>
      </c>
      <c r="J522" s="14">
        <v>42375.487037037034</v>
      </c>
      <c r="K522">
        <v>15.35</v>
      </c>
      <c r="L522" s="5">
        <f>('[1]Pizza Sales Calculations'!$J522-'[1]Pizza Sales Calculations'!$C522)*24*60</f>
        <v>15.866666666697711</v>
      </c>
      <c r="M522">
        <f>COUNTA('[1]Pizza Sales Calculations'!$D522:$F522)</f>
        <v>1</v>
      </c>
      <c r="N522">
        <f>IFERROR(VLOOKUP(D522,[1]Parameters!$A$3:$C$5,3,FALSE),0)</f>
        <v>2.2999999999999998</v>
      </c>
      <c r="O522">
        <f>IFERROR(VLOOKUP(E522,[1]Parameters!$A$3:$C$5,3,FALSE),0)</f>
        <v>0</v>
      </c>
      <c r="P522">
        <f>IFERROR(VLOOKUP(F522,[1]Parameters!$A$3:$C$5,3,FALSE),0)</f>
        <v>0</v>
      </c>
      <c r="Q522">
        <f t="shared" si="8"/>
        <v>2.2999999999999998</v>
      </c>
      <c r="R522" s="10">
        <f>IF('[1]Pizza Sales Calculations'!$G522=TRUE, [1]Parameters!$B$17*'[1]Pizza Sales Calculations'!$L522*2, 0)</f>
        <v>4.4955555555643514</v>
      </c>
      <c r="S522" t="str">
        <f>IF(I522&lt;[1]Parameters!$B$21,"TRUE","FALSE")</f>
        <v>TRUE</v>
      </c>
      <c r="T522" s="5">
        <f>(I522/[1]Parameters!$B$25)*60</f>
        <v>6.3532430428031601</v>
      </c>
      <c r="U522" s="10">
        <f>IF(AND('[1]Pizza Sales Calculations'!G522=TRUE,'[1]Pizza Sales Calculations'!S522="TRUE"),T522*[1]Parameters!$B$40*2,0)</f>
        <v>0.39658612773784213</v>
      </c>
      <c r="V522">
        <f>INDEX([1]Parameters!$A$3:$C$5,MATCH('[1]Pizza Sales Calculations'!D522,[1]Parameters!$A$3:$A$5,0),2)</f>
        <v>14</v>
      </c>
      <c r="W522" t="e">
        <f>INDEX([1]Parameters!$A$3:$C$5,MATCH('[1]Pizza Sales Calculations'!E522,[1]Parameters!$A$3:$A$5,0),2)</f>
        <v>#N/A</v>
      </c>
      <c r="X522" t="e">
        <f>INDEX([1]Parameters!$A$3:$C$5,MATCH('[1]Pizza Sales Calculations'!F522,[1]Parameters!$A$3:$A$5,0),2)</f>
        <v>#N/A</v>
      </c>
    </row>
    <row r="523" spans="1:24" x14ac:dyDescent="0.3">
      <c r="A523">
        <v>522</v>
      </c>
      <c r="B523" s="14">
        <v>42375.607349537036</v>
      </c>
      <c r="C523" s="14">
        <v>42375.617777777778</v>
      </c>
      <c r="D523" t="s">
        <v>3</v>
      </c>
      <c r="E523" t="s">
        <v>4</v>
      </c>
      <c r="G523" t="b">
        <v>0</v>
      </c>
      <c r="H523">
        <v>70804</v>
      </c>
      <c r="I523" s="5">
        <v>0</v>
      </c>
      <c r="J523" s="14">
        <v>42375.619849537034</v>
      </c>
      <c r="K523">
        <v>19.579999999999998</v>
      </c>
      <c r="L523" s="5">
        <f>('[1]Pizza Sales Calculations'!$J523-'[1]Pizza Sales Calculations'!$C523)*24*60</f>
        <v>2.9833333287388086</v>
      </c>
      <c r="M523">
        <f>COUNTA('[1]Pizza Sales Calculations'!$D523:$F523)</f>
        <v>2</v>
      </c>
      <c r="N523">
        <f>IFERROR(VLOOKUP(D523,[1]Parameters!$A$3:$C$5,3,FALSE),0)</f>
        <v>1</v>
      </c>
      <c r="O523">
        <f>IFERROR(VLOOKUP(E523,[1]Parameters!$A$3:$C$5,3,FALSE),0)</f>
        <v>1.7</v>
      </c>
      <c r="P523">
        <f>IFERROR(VLOOKUP(F523,[1]Parameters!$A$3:$C$5,3,FALSE),0)</f>
        <v>0</v>
      </c>
      <c r="Q523">
        <f t="shared" si="8"/>
        <v>2.7</v>
      </c>
      <c r="R523" s="10">
        <f>IF('[1]Pizza Sales Calculations'!$G523=TRUE, [1]Parameters!$B$17*'[1]Pizza Sales Calculations'!$L523*2, 0)</f>
        <v>0</v>
      </c>
      <c r="S523" t="str">
        <f>IF(I523&lt;[1]Parameters!$B$21,"TRUE","FALSE")</f>
        <v>TRUE</v>
      </c>
      <c r="T523" s="5">
        <f>(I523/[1]Parameters!$B$25)*60</f>
        <v>0</v>
      </c>
      <c r="U523" s="10">
        <f>IF(AND('[1]Pizza Sales Calculations'!G523=TRUE,'[1]Pizza Sales Calculations'!S523="TRUE"),T523*[1]Parameters!$B$40*2,0)</f>
        <v>0</v>
      </c>
      <c r="V523">
        <f>INDEX([1]Parameters!$A$3:$C$5,MATCH('[1]Pizza Sales Calculations'!D523,[1]Parameters!$A$3:$A$5,0),2)</f>
        <v>7</v>
      </c>
      <c r="W523">
        <f>INDEX([1]Parameters!$A$3:$C$5,MATCH('[1]Pizza Sales Calculations'!E523,[1]Parameters!$A$3:$A$5,0),2)</f>
        <v>10</v>
      </c>
      <c r="X523" t="e">
        <f>INDEX([1]Parameters!$A$3:$C$5,MATCH('[1]Pizza Sales Calculations'!F523,[1]Parameters!$A$3:$A$5,0),2)</f>
        <v>#N/A</v>
      </c>
    </row>
    <row r="524" spans="1:24" x14ac:dyDescent="0.3">
      <c r="A524">
        <v>523</v>
      </c>
      <c r="B524" s="14">
        <v>42375.518101851849</v>
      </c>
      <c r="C524" s="14">
        <v>42375.528483796297</v>
      </c>
      <c r="D524" t="s">
        <v>4</v>
      </c>
      <c r="G524" t="b">
        <v>1</v>
      </c>
      <c r="H524">
        <v>70807</v>
      </c>
      <c r="I524" s="5">
        <v>0.30878531502079998</v>
      </c>
      <c r="J524" s="14">
        <v>42375.529548611114</v>
      </c>
      <c r="K524">
        <v>11.59</v>
      </c>
      <c r="L524" s="5">
        <f>('[1]Pizza Sales Calculations'!$J524-'[1]Pizza Sales Calculations'!$C524)*24*60</f>
        <v>1.5333333355374634</v>
      </c>
      <c r="M524">
        <f>COUNTA('[1]Pizza Sales Calculations'!$D524:$F524)</f>
        <v>1</v>
      </c>
      <c r="N524">
        <f>IFERROR(VLOOKUP(D524,[1]Parameters!$A$3:$C$5,3,FALSE),0)</f>
        <v>1.7</v>
      </c>
      <c r="O524">
        <f>IFERROR(VLOOKUP(E524,[1]Parameters!$A$3:$C$5,3,FALSE),0)</f>
        <v>0</v>
      </c>
      <c r="P524">
        <f>IFERROR(VLOOKUP(F524,[1]Parameters!$A$3:$C$5,3,FALSE),0)</f>
        <v>0</v>
      </c>
      <c r="Q524">
        <f t="shared" si="8"/>
        <v>1.7</v>
      </c>
      <c r="R524" s="10">
        <f>IF('[1]Pizza Sales Calculations'!$G524=TRUE, [1]Parameters!$B$17*'[1]Pizza Sales Calculations'!$L524*2, 0)</f>
        <v>0.43444444506894797</v>
      </c>
      <c r="S524" t="str">
        <f>IF(I524&lt;[1]Parameters!$B$21,"TRUE","FALSE")</f>
        <v>TRUE</v>
      </c>
      <c r="T524" s="5">
        <f>(I524/[1]Parameters!$B$25)*60</f>
        <v>0.61757063004159996</v>
      </c>
      <c r="U524" s="10">
        <f>IF(AND('[1]Pizza Sales Calculations'!G524=TRUE,'[1]Pizza Sales Calculations'!S524="TRUE"),T524*[1]Parameters!$B$40*2,0)</f>
        <v>3.8550381769238085E-2</v>
      </c>
      <c r="V524">
        <f>INDEX([1]Parameters!$A$3:$C$5,MATCH('[1]Pizza Sales Calculations'!D524,[1]Parameters!$A$3:$A$5,0),2)</f>
        <v>10</v>
      </c>
      <c r="W524" t="e">
        <f>INDEX([1]Parameters!$A$3:$C$5,MATCH('[1]Pizza Sales Calculations'!E524,[1]Parameters!$A$3:$A$5,0),2)</f>
        <v>#N/A</v>
      </c>
      <c r="X524" t="e">
        <f>INDEX([1]Parameters!$A$3:$C$5,MATCH('[1]Pizza Sales Calculations'!F524,[1]Parameters!$A$3:$A$5,0),2)</f>
        <v>#N/A</v>
      </c>
    </row>
    <row r="525" spans="1:24" x14ac:dyDescent="0.3">
      <c r="A525">
        <v>524</v>
      </c>
      <c r="B525" s="14">
        <v>42375.504606481481</v>
      </c>
      <c r="C525" s="14">
        <v>42375.515023148146</v>
      </c>
      <c r="D525" t="s">
        <v>3</v>
      </c>
      <c r="G525" t="b">
        <v>1</v>
      </c>
      <c r="H525">
        <v>70808</v>
      </c>
      <c r="I525" s="5">
        <v>4.4676293234715301</v>
      </c>
      <c r="J525" s="14">
        <v>42375.530532407407</v>
      </c>
      <c r="K525">
        <v>7.99</v>
      </c>
      <c r="L525" s="5">
        <f>('[1]Pizza Sales Calculations'!$J525-'[1]Pizza Sales Calculations'!$C525)*24*60</f>
        <v>22.333333336282521</v>
      </c>
      <c r="M525">
        <f>COUNTA('[1]Pizza Sales Calculations'!$D525:$F525)</f>
        <v>1</v>
      </c>
      <c r="N525">
        <f>IFERROR(VLOOKUP(D525,[1]Parameters!$A$3:$C$5,3,FALSE),0)</f>
        <v>1</v>
      </c>
      <c r="O525">
        <f>IFERROR(VLOOKUP(E525,[1]Parameters!$A$3:$C$5,3,FALSE),0)</f>
        <v>0</v>
      </c>
      <c r="P525">
        <f>IFERROR(VLOOKUP(F525,[1]Parameters!$A$3:$C$5,3,FALSE),0)</f>
        <v>0</v>
      </c>
      <c r="Q525">
        <f t="shared" si="8"/>
        <v>1</v>
      </c>
      <c r="R525" s="10">
        <f>IF('[1]Pizza Sales Calculations'!$G525=TRUE, [1]Parameters!$B$17*'[1]Pizza Sales Calculations'!$L525*2, 0)</f>
        <v>6.3277777786133811</v>
      </c>
      <c r="S525" t="str">
        <f>IF(I525&lt;[1]Parameters!$B$21,"TRUE","FALSE")</f>
        <v>FALSE</v>
      </c>
      <c r="T525" s="5">
        <f>(I525/[1]Parameters!$B$25)*60</f>
        <v>8.9352586469430602</v>
      </c>
      <c r="U525" s="10">
        <f>IF(AND('[1]Pizza Sales Calculations'!G525=TRUE,'[1]Pizza Sales Calculations'!S525="TRUE"),T525*[1]Parameters!$B$40*2,0)</f>
        <v>0</v>
      </c>
      <c r="V525">
        <f>INDEX([1]Parameters!$A$3:$C$5,MATCH('[1]Pizza Sales Calculations'!D525,[1]Parameters!$A$3:$A$5,0),2)</f>
        <v>7</v>
      </c>
      <c r="W525" t="e">
        <f>INDEX([1]Parameters!$A$3:$C$5,MATCH('[1]Pizza Sales Calculations'!E525,[1]Parameters!$A$3:$A$5,0),2)</f>
        <v>#N/A</v>
      </c>
      <c r="X525" t="e">
        <f>INDEX([1]Parameters!$A$3:$C$5,MATCH('[1]Pizza Sales Calculations'!F525,[1]Parameters!$A$3:$A$5,0),2)</f>
        <v>#N/A</v>
      </c>
    </row>
    <row r="526" spans="1:24" x14ac:dyDescent="0.3">
      <c r="A526">
        <v>525</v>
      </c>
      <c r="B526" s="14">
        <v>42375.526331018518</v>
      </c>
      <c r="C526" s="14">
        <v>42375.536759259259</v>
      </c>
      <c r="D526" t="s">
        <v>3</v>
      </c>
      <c r="G526" t="b">
        <v>0</v>
      </c>
      <c r="H526">
        <v>70804</v>
      </c>
      <c r="I526" s="5">
        <v>0</v>
      </c>
      <c r="J526" s="14">
        <v>42375.538831018515</v>
      </c>
      <c r="K526">
        <v>7.99</v>
      </c>
      <c r="L526" s="5">
        <f>('[1]Pizza Sales Calculations'!$J526-'[1]Pizza Sales Calculations'!$C526)*24*60</f>
        <v>2.9833333287388086</v>
      </c>
      <c r="M526">
        <f>COUNTA('[1]Pizza Sales Calculations'!$D526:$F526)</f>
        <v>1</v>
      </c>
      <c r="N526">
        <f>IFERROR(VLOOKUP(D526,[1]Parameters!$A$3:$C$5,3,FALSE),0)</f>
        <v>1</v>
      </c>
      <c r="O526">
        <f>IFERROR(VLOOKUP(E526,[1]Parameters!$A$3:$C$5,3,FALSE),0)</f>
        <v>0</v>
      </c>
      <c r="P526">
        <f>IFERROR(VLOOKUP(F526,[1]Parameters!$A$3:$C$5,3,FALSE),0)</f>
        <v>0</v>
      </c>
      <c r="Q526">
        <f t="shared" si="8"/>
        <v>1</v>
      </c>
      <c r="R526" s="10">
        <f>IF('[1]Pizza Sales Calculations'!$G526=TRUE, [1]Parameters!$B$17*'[1]Pizza Sales Calculations'!$L526*2, 0)</f>
        <v>0</v>
      </c>
      <c r="S526" t="str">
        <f>IF(I526&lt;[1]Parameters!$B$21,"TRUE","FALSE")</f>
        <v>TRUE</v>
      </c>
      <c r="T526" s="5">
        <f>(I526/[1]Parameters!$B$25)*60</f>
        <v>0</v>
      </c>
      <c r="U526" s="10">
        <f>IF(AND('[1]Pizza Sales Calculations'!G526=TRUE,'[1]Pizza Sales Calculations'!S526="TRUE"),T526*[1]Parameters!$B$40*2,0)</f>
        <v>0</v>
      </c>
      <c r="V526">
        <f>INDEX([1]Parameters!$A$3:$C$5,MATCH('[1]Pizza Sales Calculations'!D526,[1]Parameters!$A$3:$A$5,0),2)</f>
        <v>7</v>
      </c>
      <c r="W526" t="e">
        <f>INDEX([1]Parameters!$A$3:$C$5,MATCH('[1]Pizza Sales Calculations'!E526,[1]Parameters!$A$3:$A$5,0),2)</f>
        <v>#N/A</v>
      </c>
      <c r="X526" t="e">
        <f>INDEX([1]Parameters!$A$3:$C$5,MATCH('[1]Pizza Sales Calculations'!F526,[1]Parameters!$A$3:$A$5,0),2)</f>
        <v>#N/A</v>
      </c>
    </row>
    <row r="527" spans="1:24" x14ac:dyDescent="0.3">
      <c r="A527">
        <v>526</v>
      </c>
      <c r="B527" s="14">
        <v>42375.516886574071</v>
      </c>
      <c r="C527" s="14">
        <v>42375.527291666665</v>
      </c>
      <c r="D527" t="s">
        <v>5</v>
      </c>
      <c r="G527" t="b">
        <v>0</v>
      </c>
      <c r="H527">
        <v>70803</v>
      </c>
      <c r="I527" s="5">
        <v>0</v>
      </c>
      <c r="J527" s="14">
        <v>42375.529374999998</v>
      </c>
      <c r="K527">
        <v>15.35</v>
      </c>
      <c r="L527" s="5">
        <f>('[1]Pizza Sales Calculations'!$J527-'[1]Pizza Sales Calculations'!$C527)*24*60</f>
        <v>2.9999999993015081</v>
      </c>
      <c r="M527">
        <f>COUNTA('[1]Pizza Sales Calculations'!$D527:$F527)</f>
        <v>1</v>
      </c>
      <c r="N527">
        <f>IFERROR(VLOOKUP(D527,[1]Parameters!$A$3:$C$5,3,FALSE),0)</f>
        <v>2.2999999999999998</v>
      </c>
      <c r="O527">
        <f>IFERROR(VLOOKUP(E527,[1]Parameters!$A$3:$C$5,3,FALSE),0)</f>
        <v>0</v>
      </c>
      <c r="P527">
        <f>IFERROR(VLOOKUP(F527,[1]Parameters!$A$3:$C$5,3,FALSE),0)</f>
        <v>0</v>
      </c>
      <c r="Q527">
        <f t="shared" si="8"/>
        <v>2.2999999999999998</v>
      </c>
      <c r="R527" s="10">
        <f>IF('[1]Pizza Sales Calculations'!$G527=TRUE, [1]Parameters!$B$17*'[1]Pizza Sales Calculations'!$L527*2, 0)</f>
        <v>0</v>
      </c>
      <c r="S527" t="str">
        <f>IF(I527&lt;[1]Parameters!$B$21,"TRUE","FALSE")</f>
        <v>TRUE</v>
      </c>
      <c r="T527" s="5">
        <f>(I527/[1]Parameters!$B$25)*60</f>
        <v>0</v>
      </c>
      <c r="U527" s="10">
        <f>IF(AND('[1]Pizza Sales Calculations'!G527=TRUE,'[1]Pizza Sales Calculations'!S527="TRUE"),T527*[1]Parameters!$B$40*2,0)</f>
        <v>0</v>
      </c>
      <c r="V527">
        <f>INDEX([1]Parameters!$A$3:$C$5,MATCH('[1]Pizza Sales Calculations'!D527,[1]Parameters!$A$3:$A$5,0),2)</f>
        <v>14</v>
      </c>
      <c r="W527" t="e">
        <f>INDEX([1]Parameters!$A$3:$C$5,MATCH('[1]Pizza Sales Calculations'!E527,[1]Parameters!$A$3:$A$5,0),2)</f>
        <v>#N/A</v>
      </c>
      <c r="X527" t="e">
        <f>INDEX([1]Parameters!$A$3:$C$5,MATCH('[1]Pizza Sales Calculations'!F527,[1]Parameters!$A$3:$A$5,0),2)</f>
        <v>#N/A</v>
      </c>
    </row>
    <row r="528" spans="1:24" x14ac:dyDescent="0.3">
      <c r="A528">
        <v>527</v>
      </c>
      <c r="B528" s="14">
        <v>42375.493414351855</v>
      </c>
      <c r="C528" s="14">
        <v>42375.503819444442</v>
      </c>
      <c r="D528" t="s">
        <v>5</v>
      </c>
      <c r="G528" t="b">
        <v>1</v>
      </c>
      <c r="H528">
        <v>70805</v>
      </c>
      <c r="I528" s="5">
        <v>2.2894741354066199</v>
      </c>
      <c r="J528" s="14">
        <v>42375.511759259258</v>
      </c>
      <c r="K528">
        <v>15.35</v>
      </c>
      <c r="L528" s="5">
        <f>('[1]Pizza Sales Calculations'!$J528-'[1]Pizza Sales Calculations'!$C528)*24*60</f>
        <v>11.433333334280178</v>
      </c>
      <c r="M528">
        <f>COUNTA('[1]Pizza Sales Calculations'!$D528:$F528)</f>
        <v>1</v>
      </c>
      <c r="N528">
        <f>IFERROR(VLOOKUP(D528,[1]Parameters!$A$3:$C$5,3,FALSE),0)</f>
        <v>2.2999999999999998</v>
      </c>
      <c r="O528">
        <f>IFERROR(VLOOKUP(E528,[1]Parameters!$A$3:$C$5,3,FALSE),0)</f>
        <v>0</v>
      </c>
      <c r="P528">
        <f>IFERROR(VLOOKUP(F528,[1]Parameters!$A$3:$C$5,3,FALSE),0)</f>
        <v>0</v>
      </c>
      <c r="Q528">
        <f t="shared" si="8"/>
        <v>2.2999999999999998</v>
      </c>
      <c r="R528" s="10">
        <f>IF('[1]Pizza Sales Calculations'!$G528=TRUE, [1]Parameters!$B$17*'[1]Pizza Sales Calculations'!$L528*2, 0)</f>
        <v>3.2394444447127171</v>
      </c>
      <c r="S528" t="str">
        <f>IF(I528&lt;[1]Parameters!$B$21,"TRUE","FALSE")</f>
        <v>TRUE</v>
      </c>
      <c r="T528" s="5">
        <f>(I528/[1]Parameters!$B$25)*60</f>
        <v>4.5789482708132399</v>
      </c>
      <c r="U528" s="10">
        <f>IF(AND('[1]Pizza Sales Calculations'!G528=TRUE,'[1]Pizza Sales Calculations'!S528="TRUE"),T528*[1]Parameters!$B$40*2,0)</f>
        <v>0.28582998503272805</v>
      </c>
      <c r="V528">
        <f>INDEX([1]Parameters!$A$3:$C$5,MATCH('[1]Pizza Sales Calculations'!D528,[1]Parameters!$A$3:$A$5,0),2)</f>
        <v>14</v>
      </c>
      <c r="W528" t="e">
        <f>INDEX([1]Parameters!$A$3:$C$5,MATCH('[1]Pizza Sales Calculations'!E528,[1]Parameters!$A$3:$A$5,0),2)</f>
        <v>#N/A</v>
      </c>
      <c r="X528" t="e">
        <f>INDEX([1]Parameters!$A$3:$C$5,MATCH('[1]Pizza Sales Calculations'!F528,[1]Parameters!$A$3:$A$5,0),2)</f>
        <v>#N/A</v>
      </c>
    </row>
    <row r="529" spans="1:24" x14ac:dyDescent="0.3">
      <c r="A529">
        <v>528</v>
      </c>
      <c r="B529" s="14">
        <v>42375.579791666663</v>
      </c>
      <c r="C529" s="14">
        <v>42375.590196759258</v>
      </c>
      <c r="D529" t="s">
        <v>3</v>
      </c>
      <c r="E529" t="s">
        <v>4</v>
      </c>
      <c r="G529" t="b">
        <v>0</v>
      </c>
      <c r="H529">
        <v>70804</v>
      </c>
      <c r="I529" s="5">
        <v>0</v>
      </c>
      <c r="J529" s="14">
        <v>42375.592280092591</v>
      </c>
      <c r="K529">
        <v>19.579999999999998</v>
      </c>
      <c r="L529" s="5">
        <f>('[1]Pizza Sales Calculations'!$J529-'[1]Pizza Sales Calculations'!$C529)*24*60</f>
        <v>2.9999999993015081</v>
      </c>
      <c r="M529">
        <f>COUNTA('[1]Pizza Sales Calculations'!$D529:$F529)</f>
        <v>2</v>
      </c>
      <c r="N529">
        <f>IFERROR(VLOOKUP(D529,[1]Parameters!$A$3:$C$5,3,FALSE),0)</f>
        <v>1</v>
      </c>
      <c r="O529">
        <f>IFERROR(VLOOKUP(E529,[1]Parameters!$A$3:$C$5,3,FALSE),0)</f>
        <v>1.7</v>
      </c>
      <c r="P529">
        <f>IFERROR(VLOOKUP(F529,[1]Parameters!$A$3:$C$5,3,FALSE),0)</f>
        <v>0</v>
      </c>
      <c r="Q529">
        <f t="shared" si="8"/>
        <v>2.7</v>
      </c>
      <c r="R529" s="10">
        <f>IF('[1]Pizza Sales Calculations'!$G529=TRUE, [1]Parameters!$B$17*'[1]Pizza Sales Calculations'!$L529*2, 0)</f>
        <v>0</v>
      </c>
      <c r="S529" t="str">
        <f>IF(I529&lt;[1]Parameters!$B$21,"TRUE","FALSE")</f>
        <v>TRUE</v>
      </c>
      <c r="T529" s="5">
        <f>(I529/[1]Parameters!$B$25)*60</f>
        <v>0</v>
      </c>
      <c r="U529" s="10">
        <f>IF(AND('[1]Pizza Sales Calculations'!G529=TRUE,'[1]Pizza Sales Calculations'!S529="TRUE"),T529*[1]Parameters!$B$40*2,0)</f>
        <v>0</v>
      </c>
      <c r="V529">
        <f>INDEX([1]Parameters!$A$3:$C$5,MATCH('[1]Pizza Sales Calculations'!D529,[1]Parameters!$A$3:$A$5,0),2)</f>
        <v>7</v>
      </c>
      <c r="W529">
        <f>INDEX([1]Parameters!$A$3:$C$5,MATCH('[1]Pizza Sales Calculations'!E529,[1]Parameters!$A$3:$A$5,0),2)</f>
        <v>10</v>
      </c>
      <c r="X529" t="e">
        <f>INDEX([1]Parameters!$A$3:$C$5,MATCH('[1]Pizza Sales Calculations'!F529,[1]Parameters!$A$3:$A$5,0),2)</f>
        <v>#N/A</v>
      </c>
    </row>
    <row r="530" spans="1:24" x14ac:dyDescent="0.3">
      <c r="A530">
        <v>529</v>
      </c>
      <c r="B530" s="14">
        <v>42375.511666666665</v>
      </c>
      <c r="C530" s="14">
        <v>42375.522060185183</v>
      </c>
      <c r="D530" t="s">
        <v>3</v>
      </c>
      <c r="G530" t="b">
        <v>0</v>
      </c>
      <c r="H530">
        <v>70806</v>
      </c>
      <c r="I530" s="5">
        <v>0</v>
      </c>
      <c r="J530" s="14">
        <v>42375.524131944447</v>
      </c>
      <c r="K530">
        <v>7.99</v>
      </c>
      <c r="L530" s="5">
        <f>('[1]Pizza Sales Calculations'!$J530-'[1]Pizza Sales Calculations'!$C530)*24*60</f>
        <v>2.9833333392161876</v>
      </c>
      <c r="M530">
        <f>COUNTA('[1]Pizza Sales Calculations'!$D530:$F530)</f>
        <v>1</v>
      </c>
      <c r="N530">
        <f>IFERROR(VLOOKUP(D530,[1]Parameters!$A$3:$C$5,3,FALSE),0)</f>
        <v>1</v>
      </c>
      <c r="O530">
        <f>IFERROR(VLOOKUP(E530,[1]Parameters!$A$3:$C$5,3,FALSE),0)</f>
        <v>0</v>
      </c>
      <c r="P530">
        <f>IFERROR(VLOOKUP(F530,[1]Parameters!$A$3:$C$5,3,FALSE),0)</f>
        <v>0</v>
      </c>
      <c r="Q530">
        <f t="shared" si="8"/>
        <v>1</v>
      </c>
      <c r="R530" s="10">
        <f>IF('[1]Pizza Sales Calculations'!$G530=TRUE, [1]Parameters!$B$17*'[1]Pizza Sales Calculations'!$L530*2, 0)</f>
        <v>0</v>
      </c>
      <c r="S530" t="str">
        <f>IF(I530&lt;[1]Parameters!$B$21,"TRUE","FALSE")</f>
        <v>TRUE</v>
      </c>
      <c r="T530" s="5">
        <f>(I530/[1]Parameters!$B$25)*60</f>
        <v>0</v>
      </c>
      <c r="U530" s="10">
        <f>IF(AND('[1]Pizza Sales Calculations'!G530=TRUE,'[1]Pizza Sales Calculations'!S530="TRUE"),T530*[1]Parameters!$B$40*2,0)</f>
        <v>0</v>
      </c>
      <c r="V530">
        <f>INDEX([1]Parameters!$A$3:$C$5,MATCH('[1]Pizza Sales Calculations'!D530,[1]Parameters!$A$3:$A$5,0),2)</f>
        <v>7</v>
      </c>
      <c r="W530" t="e">
        <f>INDEX([1]Parameters!$A$3:$C$5,MATCH('[1]Pizza Sales Calculations'!E530,[1]Parameters!$A$3:$A$5,0),2)</f>
        <v>#N/A</v>
      </c>
      <c r="X530" t="e">
        <f>INDEX([1]Parameters!$A$3:$C$5,MATCH('[1]Pizza Sales Calculations'!F530,[1]Parameters!$A$3:$A$5,0),2)</f>
        <v>#N/A</v>
      </c>
    </row>
    <row r="531" spans="1:24" x14ac:dyDescent="0.3">
      <c r="A531">
        <v>530</v>
      </c>
      <c r="B531" s="14">
        <v>42375.51766203704</v>
      </c>
      <c r="C531" s="14">
        <v>42375.528067129628</v>
      </c>
      <c r="D531" t="s">
        <v>3</v>
      </c>
      <c r="G531" t="b">
        <v>1</v>
      </c>
      <c r="H531">
        <v>70805</v>
      </c>
      <c r="I531" s="5">
        <v>4.0022482740898297</v>
      </c>
      <c r="J531" s="14">
        <v>42375.541956018518</v>
      </c>
      <c r="K531">
        <v>7.99</v>
      </c>
      <c r="L531" s="5">
        <f>('[1]Pizza Sales Calculations'!$J531-'[1]Pizza Sales Calculations'!$C531)*24*60</f>
        <v>20.000000002328306</v>
      </c>
      <c r="M531">
        <f>COUNTA('[1]Pizza Sales Calculations'!$D531:$F531)</f>
        <v>1</v>
      </c>
      <c r="N531">
        <f>IFERROR(VLOOKUP(D531,[1]Parameters!$A$3:$C$5,3,FALSE),0)</f>
        <v>1</v>
      </c>
      <c r="O531">
        <f>IFERROR(VLOOKUP(E531,[1]Parameters!$A$3:$C$5,3,FALSE),0)</f>
        <v>0</v>
      </c>
      <c r="P531">
        <f>IFERROR(VLOOKUP(F531,[1]Parameters!$A$3:$C$5,3,FALSE),0)</f>
        <v>0</v>
      </c>
      <c r="Q531">
        <f t="shared" si="8"/>
        <v>1</v>
      </c>
      <c r="R531" s="10">
        <f>IF('[1]Pizza Sales Calculations'!$G531=TRUE, [1]Parameters!$B$17*'[1]Pizza Sales Calculations'!$L531*2, 0)</f>
        <v>5.6666666673263535</v>
      </c>
      <c r="S531" t="str">
        <f>IF(I531&lt;[1]Parameters!$B$21,"TRUE","FALSE")</f>
        <v>FALSE</v>
      </c>
      <c r="T531" s="5">
        <f>(I531/[1]Parameters!$B$25)*60</f>
        <v>8.0044965481796595</v>
      </c>
      <c r="U531" s="10">
        <f>IF(AND('[1]Pizza Sales Calculations'!G531=TRUE,'[1]Pizza Sales Calculations'!S531="TRUE"),T531*[1]Parameters!$B$40*2,0)</f>
        <v>0</v>
      </c>
      <c r="V531">
        <f>INDEX([1]Parameters!$A$3:$C$5,MATCH('[1]Pizza Sales Calculations'!D531,[1]Parameters!$A$3:$A$5,0),2)</f>
        <v>7</v>
      </c>
      <c r="W531" t="e">
        <f>INDEX([1]Parameters!$A$3:$C$5,MATCH('[1]Pizza Sales Calculations'!E531,[1]Parameters!$A$3:$A$5,0),2)</f>
        <v>#N/A</v>
      </c>
      <c r="X531" t="e">
        <f>INDEX([1]Parameters!$A$3:$C$5,MATCH('[1]Pizza Sales Calculations'!F531,[1]Parameters!$A$3:$A$5,0),2)</f>
        <v>#N/A</v>
      </c>
    </row>
    <row r="532" spans="1:24" x14ac:dyDescent="0.3">
      <c r="A532">
        <v>531</v>
      </c>
      <c r="B532" s="14">
        <v>42375.495428240742</v>
      </c>
      <c r="C532" s="14">
        <v>42375.505810185183</v>
      </c>
      <c r="D532" t="s">
        <v>5</v>
      </c>
      <c r="G532" t="b">
        <v>1</v>
      </c>
      <c r="H532">
        <v>70806</v>
      </c>
      <c r="I532" s="5">
        <v>1.1505133682673201</v>
      </c>
      <c r="J532" s="14">
        <v>42375.50980324074</v>
      </c>
      <c r="K532">
        <v>15.35</v>
      </c>
      <c r="L532" s="5">
        <f>('[1]Pizza Sales Calculations'!$J532-'[1]Pizza Sales Calculations'!$C532)*24*60</f>
        <v>5.7500000030267984</v>
      </c>
      <c r="M532">
        <f>COUNTA('[1]Pizza Sales Calculations'!$D532:$F532)</f>
        <v>1</v>
      </c>
      <c r="N532">
        <f>IFERROR(VLOOKUP(D532,[1]Parameters!$A$3:$C$5,3,FALSE),0)</f>
        <v>2.2999999999999998</v>
      </c>
      <c r="O532">
        <f>IFERROR(VLOOKUP(E532,[1]Parameters!$A$3:$C$5,3,FALSE),0)</f>
        <v>0</v>
      </c>
      <c r="P532">
        <f>IFERROR(VLOOKUP(F532,[1]Parameters!$A$3:$C$5,3,FALSE),0)</f>
        <v>0</v>
      </c>
      <c r="Q532">
        <f t="shared" si="8"/>
        <v>2.2999999999999998</v>
      </c>
      <c r="R532" s="10">
        <f>IF('[1]Pizza Sales Calculations'!$G532=TRUE, [1]Parameters!$B$17*'[1]Pizza Sales Calculations'!$L532*2, 0)</f>
        <v>1.6291666675242595</v>
      </c>
      <c r="S532" t="str">
        <f>IF(I532&lt;[1]Parameters!$B$21,"TRUE","FALSE")</f>
        <v>TRUE</v>
      </c>
      <c r="T532" s="5">
        <f>(I532/[1]Parameters!$B$25)*60</f>
        <v>2.3010267365346402</v>
      </c>
      <c r="U532" s="10">
        <f>IF(AND('[1]Pizza Sales Calculations'!G532=TRUE,'[1]Pizza Sales Calculations'!S532="TRUE"),T532*[1]Parameters!$B$40*2,0)</f>
        <v>0.14363613624025343</v>
      </c>
      <c r="V532">
        <f>INDEX([1]Parameters!$A$3:$C$5,MATCH('[1]Pizza Sales Calculations'!D532,[1]Parameters!$A$3:$A$5,0),2)</f>
        <v>14</v>
      </c>
      <c r="W532" t="e">
        <f>INDEX([1]Parameters!$A$3:$C$5,MATCH('[1]Pizza Sales Calculations'!E532,[1]Parameters!$A$3:$A$5,0),2)</f>
        <v>#N/A</v>
      </c>
      <c r="X532" t="e">
        <f>INDEX([1]Parameters!$A$3:$C$5,MATCH('[1]Pizza Sales Calculations'!F532,[1]Parameters!$A$3:$A$5,0),2)</f>
        <v>#N/A</v>
      </c>
    </row>
    <row r="533" spans="1:24" x14ac:dyDescent="0.3">
      <c r="A533">
        <v>532</v>
      </c>
      <c r="B533" s="14">
        <v>42375.439699074072</v>
      </c>
      <c r="C533" s="14">
        <v>42375.450115740743</v>
      </c>
      <c r="D533" t="s">
        <v>3</v>
      </c>
      <c r="G533" t="b">
        <v>1</v>
      </c>
      <c r="H533">
        <v>70806</v>
      </c>
      <c r="I533" s="5">
        <v>2.7672782129229598</v>
      </c>
      <c r="J533" s="14">
        <v>42375.459722222222</v>
      </c>
      <c r="K533">
        <v>7.99</v>
      </c>
      <c r="L533" s="5">
        <f>('[1]Pizza Sales Calculations'!$J533-'[1]Pizza Sales Calculations'!$C533)*24*60</f>
        <v>13.833333329530433</v>
      </c>
      <c r="M533">
        <f>COUNTA('[1]Pizza Sales Calculations'!$D533:$F533)</f>
        <v>1</v>
      </c>
      <c r="N533">
        <f>IFERROR(VLOOKUP(D533,[1]Parameters!$A$3:$C$5,3,FALSE),0)</f>
        <v>1</v>
      </c>
      <c r="O533">
        <f>IFERROR(VLOOKUP(E533,[1]Parameters!$A$3:$C$5,3,FALSE),0)</f>
        <v>0</v>
      </c>
      <c r="P533">
        <f>IFERROR(VLOOKUP(F533,[1]Parameters!$A$3:$C$5,3,FALSE),0)</f>
        <v>0</v>
      </c>
      <c r="Q533">
        <f t="shared" si="8"/>
        <v>1</v>
      </c>
      <c r="R533" s="10">
        <f>IF('[1]Pizza Sales Calculations'!$G533=TRUE, [1]Parameters!$B$17*'[1]Pizza Sales Calculations'!$L533*2, 0)</f>
        <v>3.919444443366956</v>
      </c>
      <c r="S533" t="str">
        <f>IF(I533&lt;[1]Parameters!$B$21,"TRUE","FALSE")</f>
        <v>TRUE</v>
      </c>
      <c r="T533" s="5">
        <f>(I533/[1]Parameters!$B$25)*60</f>
        <v>5.5345564258459197</v>
      </c>
      <c r="U533" s="10">
        <f>IF(AND('[1]Pizza Sales Calculations'!G533=TRUE,'[1]Pizza Sales Calculations'!S533="TRUE"),T533*[1]Parameters!$B$40*2,0)</f>
        <v>0.34548155751088422</v>
      </c>
      <c r="V533">
        <f>INDEX([1]Parameters!$A$3:$C$5,MATCH('[1]Pizza Sales Calculations'!D533,[1]Parameters!$A$3:$A$5,0),2)</f>
        <v>7</v>
      </c>
      <c r="W533" t="e">
        <f>INDEX([1]Parameters!$A$3:$C$5,MATCH('[1]Pizza Sales Calculations'!E533,[1]Parameters!$A$3:$A$5,0),2)</f>
        <v>#N/A</v>
      </c>
      <c r="X533" t="e">
        <f>INDEX([1]Parameters!$A$3:$C$5,MATCH('[1]Pizza Sales Calculations'!F533,[1]Parameters!$A$3:$A$5,0),2)</f>
        <v>#N/A</v>
      </c>
    </row>
    <row r="534" spans="1:24" x14ac:dyDescent="0.3">
      <c r="A534">
        <v>533</v>
      </c>
      <c r="B534" s="14">
        <v>42375.469907407409</v>
      </c>
      <c r="C534" s="14">
        <v>42375.480312500003</v>
      </c>
      <c r="D534" t="s">
        <v>3</v>
      </c>
      <c r="G534" t="b">
        <v>0</v>
      </c>
      <c r="H534">
        <v>70803</v>
      </c>
      <c r="I534" s="5">
        <v>0</v>
      </c>
      <c r="J534" s="14">
        <v>42375.482395833336</v>
      </c>
      <c r="K534">
        <v>7.99</v>
      </c>
      <c r="L534" s="5">
        <f>('[1]Pizza Sales Calculations'!$J534-'[1]Pizza Sales Calculations'!$C534)*24*60</f>
        <v>2.9999999993015081</v>
      </c>
      <c r="M534">
        <f>COUNTA('[1]Pizza Sales Calculations'!$D534:$F534)</f>
        <v>1</v>
      </c>
      <c r="N534">
        <f>IFERROR(VLOOKUP(D534,[1]Parameters!$A$3:$C$5,3,FALSE),0)</f>
        <v>1</v>
      </c>
      <c r="O534">
        <f>IFERROR(VLOOKUP(E534,[1]Parameters!$A$3:$C$5,3,FALSE),0)</f>
        <v>0</v>
      </c>
      <c r="P534">
        <f>IFERROR(VLOOKUP(F534,[1]Parameters!$A$3:$C$5,3,FALSE),0)</f>
        <v>0</v>
      </c>
      <c r="Q534">
        <f t="shared" si="8"/>
        <v>1</v>
      </c>
      <c r="R534" s="10">
        <f>IF('[1]Pizza Sales Calculations'!$G534=TRUE, [1]Parameters!$B$17*'[1]Pizza Sales Calculations'!$L534*2, 0)</f>
        <v>0</v>
      </c>
      <c r="S534" t="str">
        <f>IF(I534&lt;[1]Parameters!$B$21,"TRUE","FALSE")</f>
        <v>TRUE</v>
      </c>
      <c r="T534" s="5">
        <f>(I534/[1]Parameters!$B$25)*60</f>
        <v>0</v>
      </c>
      <c r="U534" s="10">
        <f>IF(AND('[1]Pizza Sales Calculations'!G534=TRUE,'[1]Pizza Sales Calculations'!S534="TRUE"),T534*[1]Parameters!$B$40*2,0)</f>
        <v>0</v>
      </c>
      <c r="V534">
        <f>INDEX([1]Parameters!$A$3:$C$5,MATCH('[1]Pizza Sales Calculations'!D534,[1]Parameters!$A$3:$A$5,0),2)</f>
        <v>7</v>
      </c>
      <c r="W534" t="e">
        <f>INDEX([1]Parameters!$A$3:$C$5,MATCH('[1]Pizza Sales Calculations'!E534,[1]Parameters!$A$3:$A$5,0),2)</f>
        <v>#N/A</v>
      </c>
      <c r="X534" t="e">
        <f>INDEX([1]Parameters!$A$3:$C$5,MATCH('[1]Pizza Sales Calculations'!F534,[1]Parameters!$A$3:$A$5,0),2)</f>
        <v>#N/A</v>
      </c>
    </row>
    <row r="535" spans="1:24" x14ac:dyDescent="0.3">
      <c r="A535">
        <v>534</v>
      </c>
      <c r="B535" s="14">
        <v>42376.531481481485</v>
      </c>
      <c r="C535" s="14">
        <v>42376.541898148149</v>
      </c>
      <c r="D535" t="s">
        <v>5</v>
      </c>
      <c r="G535" t="b">
        <v>0</v>
      </c>
      <c r="H535">
        <v>70808</v>
      </c>
      <c r="I535" s="5">
        <v>0</v>
      </c>
      <c r="J535" s="14">
        <v>42376.543993055559</v>
      </c>
      <c r="K535">
        <v>15.35</v>
      </c>
      <c r="L535" s="5">
        <f>('[1]Pizza Sales Calculations'!$J535-'[1]Pizza Sales Calculations'!$C535)*24*60</f>
        <v>3.0166666698642075</v>
      </c>
      <c r="M535">
        <f>COUNTA('[1]Pizza Sales Calculations'!$D535:$F535)</f>
        <v>1</v>
      </c>
      <c r="N535">
        <f>IFERROR(VLOOKUP(D535,[1]Parameters!$A$3:$C$5,3,FALSE),0)</f>
        <v>2.2999999999999998</v>
      </c>
      <c r="O535">
        <f>IFERROR(VLOOKUP(E535,[1]Parameters!$A$3:$C$5,3,FALSE),0)</f>
        <v>0</v>
      </c>
      <c r="P535">
        <f>IFERROR(VLOOKUP(F535,[1]Parameters!$A$3:$C$5,3,FALSE),0)</f>
        <v>0</v>
      </c>
      <c r="Q535">
        <f t="shared" si="8"/>
        <v>2.2999999999999998</v>
      </c>
      <c r="R535" s="10">
        <f>IF('[1]Pizza Sales Calculations'!$G535=TRUE, [1]Parameters!$B$17*'[1]Pizza Sales Calculations'!$L535*2, 0)</f>
        <v>0</v>
      </c>
      <c r="S535" t="str">
        <f>IF(I535&lt;[1]Parameters!$B$21,"TRUE","FALSE")</f>
        <v>TRUE</v>
      </c>
      <c r="T535" s="5">
        <f>(I535/[1]Parameters!$B$25)*60</f>
        <v>0</v>
      </c>
      <c r="U535" s="10">
        <f>IF(AND('[1]Pizza Sales Calculations'!G535=TRUE,'[1]Pizza Sales Calculations'!S535="TRUE"),T535*[1]Parameters!$B$40*2,0)</f>
        <v>0</v>
      </c>
      <c r="V535">
        <f>INDEX([1]Parameters!$A$3:$C$5,MATCH('[1]Pizza Sales Calculations'!D535,[1]Parameters!$A$3:$A$5,0),2)</f>
        <v>14</v>
      </c>
      <c r="W535" t="e">
        <f>INDEX([1]Parameters!$A$3:$C$5,MATCH('[1]Pizza Sales Calculations'!E535,[1]Parameters!$A$3:$A$5,0),2)</f>
        <v>#N/A</v>
      </c>
      <c r="X535" t="e">
        <f>INDEX([1]Parameters!$A$3:$C$5,MATCH('[1]Pizza Sales Calculations'!F535,[1]Parameters!$A$3:$A$5,0),2)</f>
        <v>#N/A</v>
      </c>
    </row>
    <row r="536" spans="1:24" x14ac:dyDescent="0.3">
      <c r="A536">
        <v>535</v>
      </c>
      <c r="B536" s="14">
        <v>42376.484965277778</v>
      </c>
      <c r="C536" s="14">
        <v>42376.495393518519</v>
      </c>
      <c r="D536" t="s">
        <v>3</v>
      </c>
      <c r="E536" t="s">
        <v>4</v>
      </c>
      <c r="G536" t="b">
        <v>1</v>
      </c>
      <c r="H536">
        <v>70806</v>
      </c>
      <c r="I536" s="5">
        <v>4.1655603537007098</v>
      </c>
      <c r="J536" s="14">
        <v>42376.50984953704</v>
      </c>
      <c r="K536">
        <v>19.579999999999998</v>
      </c>
      <c r="L536" s="5">
        <f>('[1]Pizza Sales Calculations'!$J536-'[1]Pizza Sales Calculations'!$C536)*24*60</f>
        <v>20.816666671307757</v>
      </c>
      <c r="M536">
        <f>COUNTA('[1]Pizza Sales Calculations'!$D536:$F536)</f>
        <v>2</v>
      </c>
      <c r="N536">
        <f>IFERROR(VLOOKUP(D536,[1]Parameters!$A$3:$C$5,3,FALSE),0)</f>
        <v>1</v>
      </c>
      <c r="O536">
        <f>IFERROR(VLOOKUP(E536,[1]Parameters!$A$3:$C$5,3,FALSE),0)</f>
        <v>1.7</v>
      </c>
      <c r="P536">
        <f>IFERROR(VLOOKUP(F536,[1]Parameters!$A$3:$C$5,3,FALSE),0)</f>
        <v>0</v>
      </c>
      <c r="Q536">
        <f t="shared" si="8"/>
        <v>2.7</v>
      </c>
      <c r="R536" s="10">
        <f>IF('[1]Pizza Sales Calculations'!$G536=TRUE, [1]Parameters!$B$17*'[1]Pizza Sales Calculations'!$L536*2, 0)</f>
        <v>5.8980555568705313</v>
      </c>
      <c r="S536" t="str">
        <f>IF(I536&lt;[1]Parameters!$B$21,"TRUE","FALSE")</f>
        <v>FALSE</v>
      </c>
      <c r="T536" s="5">
        <f>(I536/[1]Parameters!$B$25)*60</f>
        <v>8.3311207074014195</v>
      </c>
      <c r="U536" s="10">
        <f>IF(AND('[1]Pizza Sales Calculations'!G536=TRUE,'[1]Pizza Sales Calculations'!S536="TRUE"),T536*[1]Parameters!$B$40*2,0)</f>
        <v>0</v>
      </c>
      <c r="V536">
        <f>INDEX([1]Parameters!$A$3:$C$5,MATCH('[1]Pizza Sales Calculations'!D536,[1]Parameters!$A$3:$A$5,0),2)</f>
        <v>7</v>
      </c>
      <c r="W536">
        <f>INDEX([1]Parameters!$A$3:$C$5,MATCH('[1]Pizza Sales Calculations'!E536,[1]Parameters!$A$3:$A$5,0),2)</f>
        <v>10</v>
      </c>
      <c r="X536" t="e">
        <f>INDEX([1]Parameters!$A$3:$C$5,MATCH('[1]Pizza Sales Calculations'!F536,[1]Parameters!$A$3:$A$5,0),2)</f>
        <v>#N/A</v>
      </c>
    </row>
    <row r="537" spans="1:24" x14ac:dyDescent="0.3">
      <c r="A537">
        <v>536</v>
      </c>
      <c r="B537" s="14">
        <v>42376.483912037038</v>
      </c>
      <c r="C537" s="14">
        <v>42376.494340277779</v>
      </c>
      <c r="D537" t="s">
        <v>3</v>
      </c>
      <c r="E537" t="s">
        <v>4</v>
      </c>
      <c r="G537" t="b">
        <v>0</v>
      </c>
      <c r="H537">
        <v>70806</v>
      </c>
      <c r="I537" s="5">
        <v>0</v>
      </c>
      <c r="J537" s="14">
        <v>42376.496400462966</v>
      </c>
      <c r="K537">
        <v>19.579999999999998</v>
      </c>
      <c r="L537" s="5">
        <f>('[1]Pizza Sales Calculations'!$J537-'[1]Pizza Sales Calculations'!$C537)*24*60</f>
        <v>2.9666666686534882</v>
      </c>
      <c r="M537">
        <f>COUNTA('[1]Pizza Sales Calculations'!$D537:$F537)</f>
        <v>2</v>
      </c>
      <c r="N537">
        <f>IFERROR(VLOOKUP(D537,[1]Parameters!$A$3:$C$5,3,FALSE),0)</f>
        <v>1</v>
      </c>
      <c r="O537">
        <f>IFERROR(VLOOKUP(E537,[1]Parameters!$A$3:$C$5,3,FALSE),0)</f>
        <v>1.7</v>
      </c>
      <c r="P537">
        <f>IFERROR(VLOOKUP(F537,[1]Parameters!$A$3:$C$5,3,FALSE),0)</f>
        <v>0</v>
      </c>
      <c r="Q537">
        <f t="shared" si="8"/>
        <v>2.7</v>
      </c>
      <c r="R537" s="10">
        <f>IF('[1]Pizza Sales Calculations'!$G537=TRUE, [1]Parameters!$B$17*'[1]Pizza Sales Calculations'!$L537*2, 0)</f>
        <v>0</v>
      </c>
      <c r="S537" t="str">
        <f>IF(I537&lt;[1]Parameters!$B$21,"TRUE","FALSE")</f>
        <v>TRUE</v>
      </c>
      <c r="T537" s="5">
        <f>(I537/[1]Parameters!$B$25)*60</f>
        <v>0</v>
      </c>
      <c r="U537" s="10">
        <f>IF(AND('[1]Pizza Sales Calculations'!G537=TRUE,'[1]Pizza Sales Calculations'!S537="TRUE"),T537*[1]Parameters!$B$40*2,0)</f>
        <v>0</v>
      </c>
      <c r="V537">
        <f>INDEX([1]Parameters!$A$3:$C$5,MATCH('[1]Pizza Sales Calculations'!D537,[1]Parameters!$A$3:$A$5,0),2)</f>
        <v>7</v>
      </c>
      <c r="W537">
        <f>INDEX([1]Parameters!$A$3:$C$5,MATCH('[1]Pizza Sales Calculations'!E537,[1]Parameters!$A$3:$A$5,0),2)</f>
        <v>10</v>
      </c>
      <c r="X537" t="e">
        <f>INDEX([1]Parameters!$A$3:$C$5,MATCH('[1]Pizza Sales Calculations'!F537,[1]Parameters!$A$3:$A$5,0),2)</f>
        <v>#N/A</v>
      </c>
    </row>
    <row r="538" spans="1:24" x14ac:dyDescent="0.3">
      <c r="A538">
        <v>537</v>
      </c>
      <c r="B538" s="14">
        <v>42376.477939814817</v>
      </c>
      <c r="C538" s="14">
        <v>42376.488379629627</v>
      </c>
      <c r="D538" t="s">
        <v>4</v>
      </c>
      <c r="G538" t="b">
        <v>0</v>
      </c>
      <c r="H538">
        <v>70804</v>
      </c>
      <c r="I538" s="5">
        <v>0</v>
      </c>
      <c r="J538" s="14">
        <v>42376.490451388891</v>
      </c>
      <c r="K538">
        <v>11.59</v>
      </c>
      <c r="L538" s="5">
        <f>('[1]Pizza Sales Calculations'!$J538-'[1]Pizza Sales Calculations'!$C538)*24*60</f>
        <v>2.9833333392161876</v>
      </c>
      <c r="M538">
        <f>COUNTA('[1]Pizza Sales Calculations'!$D538:$F538)</f>
        <v>1</v>
      </c>
      <c r="N538">
        <f>IFERROR(VLOOKUP(D538,[1]Parameters!$A$3:$C$5,3,FALSE),0)</f>
        <v>1.7</v>
      </c>
      <c r="O538">
        <f>IFERROR(VLOOKUP(E538,[1]Parameters!$A$3:$C$5,3,FALSE),0)</f>
        <v>0</v>
      </c>
      <c r="P538">
        <f>IFERROR(VLOOKUP(F538,[1]Parameters!$A$3:$C$5,3,FALSE),0)</f>
        <v>0</v>
      </c>
      <c r="Q538">
        <f t="shared" si="8"/>
        <v>1.7</v>
      </c>
      <c r="R538" s="10">
        <f>IF('[1]Pizza Sales Calculations'!$G538=TRUE, [1]Parameters!$B$17*'[1]Pizza Sales Calculations'!$L538*2, 0)</f>
        <v>0</v>
      </c>
      <c r="S538" t="str">
        <f>IF(I538&lt;[1]Parameters!$B$21,"TRUE","FALSE")</f>
        <v>TRUE</v>
      </c>
      <c r="T538" s="5">
        <f>(I538/[1]Parameters!$B$25)*60</f>
        <v>0</v>
      </c>
      <c r="U538" s="10">
        <f>IF(AND('[1]Pizza Sales Calculations'!G538=TRUE,'[1]Pizza Sales Calculations'!S538="TRUE"),T538*[1]Parameters!$B$40*2,0)</f>
        <v>0</v>
      </c>
      <c r="V538">
        <f>INDEX([1]Parameters!$A$3:$C$5,MATCH('[1]Pizza Sales Calculations'!D538,[1]Parameters!$A$3:$A$5,0),2)</f>
        <v>10</v>
      </c>
      <c r="W538" t="e">
        <f>INDEX([1]Parameters!$A$3:$C$5,MATCH('[1]Pizza Sales Calculations'!E538,[1]Parameters!$A$3:$A$5,0),2)</f>
        <v>#N/A</v>
      </c>
      <c r="X538" t="e">
        <f>INDEX([1]Parameters!$A$3:$C$5,MATCH('[1]Pizza Sales Calculations'!F538,[1]Parameters!$A$3:$A$5,0),2)</f>
        <v>#N/A</v>
      </c>
    </row>
    <row r="539" spans="1:24" x14ac:dyDescent="0.3">
      <c r="A539">
        <v>538</v>
      </c>
      <c r="B539" s="14">
        <v>42376.477407407408</v>
      </c>
      <c r="C539" s="14">
        <v>42376.487824074073</v>
      </c>
      <c r="D539" t="s">
        <v>4</v>
      </c>
      <c r="G539" t="b">
        <v>1</v>
      </c>
      <c r="H539">
        <v>70806</v>
      </c>
      <c r="I539" s="5">
        <v>2.3944716524816001</v>
      </c>
      <c r="J539" s="14">
        <v>42376.496134259258</v>
      </c>
      <c r="K539">
        <v>11.59</v>
      </c>
      <c r="L539" s="5">
        <f>('[1]Pizza Sales Calculations'!$J539-'[1]Pizza Sales Calculations'!$C539)*24*60</f>
        <v>11.966666666558012</v>
      </c>
      <c r="M539">
        <f>COUNTA('[1]Pizza Sales Calculations'!$D539:$F539)</f>
        <v>1</v>
      </c>
      <c r="N539">
        <f>IFERROR(VLOOKUP(D539,[1]Parameters!$A$3:$C$5,3,FALSE),0)</f>
        <v>1.7</v>
      </c>
      <c r="O539">
        <f>IFERROR(VLOOKUP(E539,[1]Parameters!$A$3:$C$5,3,FALSE),0)</f>
        <v>0</v>
      </c>
      <c r="P539">
        <f>IFERROR(VLOOKUP(F539,[1]Parameters!$A$3:$C$5,3,FALSE),0)</f>
        <v>0</v>
      </c>
      <c r="Q539">
        <f t="shared" si="8"/>
        <v>1.7</v>
      </c>
      <c r="R539" s="10">
        <f>IF('[1]Pizza Sales Calculations'!$G539=TRUE, [1]Parameters!$B$17*'[1]Pizza Sales Calculations'!$L539*2, 0)</f>
        <v>3.3905555555247702</v>
      </c>
      <c r="S539" t="str">
        <f>IF(I539&lt;[1]Parameters!$B$21,"TRUE","FALSE")</f>
        <v>TRUE</v>
      </c>
      <c r="T539" s="5">
        <f>(I539/[1]Parameters!$B$25)*60</f>
        <v>4.7889433049632002</v>
      </c>
      <c r="U539" s="10">
        <f>IF(AND('[1]Pizza Sales Calculations'!G539=TRUE,'[1]Pizza Sales Calculations'!S539="TRUE"),T539*[1]Parameters!$B$40*2,0)</f>
        <v>0.29893842695390532</v>
      </c>
      <c r="V539">
        <f>INDEX([1]Parameters!$A$3:$C$5,MATCH('[1]Pizza Sales Calculations'!D539,[1]Parameters!$A$3:$A$5,0),2)</f>
        <v>10</v>
      </c>
      <c r="W539" t="e">
        <f>INDEX([1]Parameters!$A$3:$C$5,MATCH('[1]Pizza Sales Calculations'!E539,[1]Parameters!$A$3:$A$5,0),2)</f>
        <v>#N/A</v>
      </c>
      <c r="X539" t="e">
        <f>INDEX([1]Parameters!$A$3:$C$5,MATCH('[1]Pizza Sales Calculations'!F539,[1]Parameters!$A$3:$A$5,0),2)</f>
        <v>#N/A</v>
      </c>
    </row>
    <row r="540" spans="1:24" x14ac:dyDescent="0.3">
      <c r="A540">
        <v>539</v>
      </c>
      <c r="B540" s="14">
        <v>42376.487743055557</v>
      </c>
      <c r="C540" s="14">
        <v>42376.498136574075</v>
      </c>
      <c r="D540" t="s">
        <v>4</v>
      </c>
      <c r="G540" t="b">
        <v>1</v>
      </c>
      <c r="H540">
        <v>70803</v>
      </c>
      <c r="I540" s="5">
        <v>4.4457821307449104</v>
      </c>
      <c r="J540" s="14">
        <v>42376.513564814813</v>
      </c>
      <c r="K540">
        <v>11.59</v>
      </c>
      <c r="L540" s="5">
        <f>('[1]Pizza Sales Calculations'!$J540-'[1]Pizza Sales Calculations'!$C540)*24*60</f>
        <v>22.216666663298383</v>
      </c>
      <c r="M540">
        <f>COUNTA('[1]Pizza Sales Calculations'!$D540:$F540)</f>
        <v>1</v>
      </c>
      <c r="N540">
        <f>IFERROR(VLOOKUP(D540,[1]Parameters!$A$3:$C$5,3,FALSE),0)</f>
        <v>1.7</v>
      </c>
      <c r="O540">
        <f>IFERROR(VLOOKUP(E540,[1]Parameters!$A$3:$C$5,3,FALSE),0)</f>
        <v>0</v>
      </c>
      <c r="P540">
        <f>IFERROR(VLOOKUP(F540,[1]Parameters!$A$3:$C$5,3,FALSE),0)</f>
        <v>0</v>
      </c>
      <c r="Q540">
        <f t="shared" si="8"/>
        <v>1.7</v>
      </c>
      <c r="R540" s="10">
        <f>IF('[1]Pizza Sales Calculations'!$G540=TRUE, [1]Parameters!$B$17*'[1]Pizza Sales Calculations'!$L540*2, 0)</f>
        <v>6.2947222212678753</v>
      </c>
      <c r="S540" t="str">
        <f>IF(I540&lt;[1]Parameters!$B$21,"TRUE","FALSE")</f>
        <v>FALSE</v>
      </c>
      <c r="T540" s="5">
        <f>(I540/[1]Parameters!$B$25)*60</f>
        <v>8.8915642614898207</v>
      </c>
      <c r="U540" s="10">
        <f>IF(AND('[1]Pizza Sales Calculations'!G540=TRUE,'[1]Pizza Sales Calculations'!S540="TRUE"),T540*[1]Parameters!$B$40*2,0)</f>
        <v>0</v>
      </c>
      <c r="V540">
        <f>INDEX([1]Parameters!$A$3:$C$5,MATCH('[1]Pizza Sales Calculations'!D540,[1]Parameters!$A$3:$A$5,0),2)</f>
        <v>10</v>
      </c>
      <c r="W540" t="e">
        <f>INDEX([1]Parameters!$A$3:$C$5,MATCH('[1]Pizza Sales Calculations'!E540,[1]Parameters!$A$3:$A$5,0),2)</f>
        <v>#N/A</v>
      </c>
      <c r="X540" t="e">
        <f>INDEX([1]Parameters!$A$3:$C$5,MATCH('[1]Pizza Sales Calculations'!F540,[1]Parameters!$A$3:$A$5,0),2)</f>
        <v>#N/A</v>
      </c>
    </row>
    <row r="541" spans="1:24" x14ac:dyDescent="0.3">
      <c r="A541">
        <v>540</v>
      </c>
      <c r="B541" s="14">
        <v>42376.465497685182</v>
      </c>
      <c r="C541" s="14">
        <v>42376.475902777776</v>
      </c>
      <c r="D541" t="s">
        <v>3</v>
      </c>
      <c r="E541" t="s">
        <v>4</v>
      </c>
      <c r="G541" t="b">
        <v>1</v>
      </c>
      <c r="H541">
        <v>70805</v>
      </c>
      <c r="I541" s="5">
        <v>4.4264384598615596</v>
      </c>
      <c r="J541" s="14">
        <v>42376.491261574076</v>
      </c>
      <c r="K541">
        <v>19.579999999999998</v>
      </c>
      <c r="L541" s="5">
        <f>('[1]Pizza Sales Calculations'!$J541-'[1]Pizza Sales Calculations'!$C541)*24*60</f>
        <v>22.116666671354324</v>
      </c>
      <c r="M541">
        <f>COUNTA('[1]Pizza Sales Calculations'!$D541:$F541)</f>
        <v>2</v>
      </c>
      <c r="N541">
        <f>IFERROR(VLOOKUP(D541,[1]Parameters!$A$3:$C$5,3,FALSE),0)</f>
        <v>1</v>
      </c>
      <c r="O541">
        <f>IFERROR(VLOOKUP(E541,[1]Parameters!$A$3:$C$5,3,FALSE),0)</f>
        <v>1.7</v>
      </c>
      <c r="P541">
        <f>IFERROR(VLOOKUP(F541,[1]Parameters!$A$3:$C$5,3,FALSE),0)</f>
        <v>0</v>
      </c>
      <c r="Q541">
        <f t="shared" si="8"/>
        <v>2.7</v>
      </c>
      <c r="R541" s="10">
        <f>IF('[1]Pizza Sales Calculations'!$G541=TRUE, [1]Parameters!$B$17*'[1]Pizza Sales Calculations'!$L541*2, 0)</f>
        <v>6.2663888902170584</v>
      </c>
      <c r="S541" t="str">
        <f>IF(I541&lt;[1]Parameters!$B$21,"TRUE","FALSE")</f>
        <v>FALSE</v>
      </c>
      <c r="T541" s="5">
        <f>(I541/[1]Parameters!$B$25)*60</f>
        <v>8.8528769197231192</v>
      </c>
      <c r="U541" s="10">
        <f>IF(AND('[1]Pizza Sales Calculations'!G541=TRUE,'[1]Pizza Sales Calculations'!S541="TRUE"),T541*[1]Parameters!$B$40*2,0)</f>
        <v>0</v>
      </c>
      <c r="V541">
        <f>INDEX([1]Parameters!$A$3:$C$5,MATCH('[1]Pizza Sales Calculations'!D541,[1]Parameters!$A$3:$A$5,0),2)</f>
        <v>7</v>
      </c>
      <c r="W541">
        <f>INDEX([1]Parameters!$A$3:$C$5,MATCH('[1]Pizza Sales Calculations'!E541,[1]Parameters!$A$3:$A$5,0),2)</f>
        <v>10</v>
      </c>
      <c r="X541" t="e">
        <f>INDEX([1]Parameters!$A$3:$C$5,MATCH('[1]Pizza Sales Calculations'!F541,[1]Parameters!$A$3:$A$5,0),2)</f>
        <v>#N/A</v>
      </c>
    </row>
    <row r="542" spans="1:24" x14ac:dyDescent="0.3">
      <c r="A542">
        <v>541</v>
      </c>
      <c r="B542" s="14">
        <v>42376.507280092592</v>
      </c>
      <c r="C542" s="14">
        <v>42376.51767361111</v>
      </c>
      <c r="D542" t="s">
        <v>3</v>
      </c>
      <c r="E542" t="s">
        <v>4</v>
      </c>
      <c r="G542" t="b">
        <v>1</v>
      </c>
      <c r="H542">
        <v>70808</v>
      </c>
      <c r="I542" s="5">
        <v>4.7976884329612703</v>
      </c>
      <c r="J542" s="14">
        <v>42376.534328703703</v>
      </c>
      <c r="K542">
        <v>19.579999999999998</v>
      </c>
      <c r="L542" s="5">
        <f>('[1]Pizza Sales Calculations'!$J542-'[1]Pizza Sales Calculations'!$C542)*24*60</f>
        <v>23.983333334326744</v>
      </c>
      <c r="M542">
        <f>COUNTA('[1]Pizza Sales Calculations'!$D542:$F542)</f>
        <v>2</v>
      </c>
      <c r="N542">
        <f>IFERROR(VLOOKUP(D542,[1]Parameters!$A$3:$C$5,3,FALSE),0)</f>
        <v>1</v>
      </c>
      <c r="O542">
        <f>IFERROR(VLOOKUP(E542,[1]Parameters!$A$3:$C$5,3,FALSE),0)</f>
        <v>1.7</v>
      </c>
      <c r="P542">
        <f>IFERROR(VLOOKUP(F542,[1]Parameters!$A$3:$C$5,3,FALSE),0)</f>
        <v>0</v>
      </c>
      <c r="Q542">
        <f t="shared" si="8"/>
        <v>2.7</v>
      </c>
      <c r="R542" s="10">
        <f>IF('[1]Pizza Sales Calculations'!$G542=TRUE, [1]Parameters!$B$17*'[1]Pizza Sales Calculations'!$L542*2, 0)</f>
        <v>6.7952777780592442</v>
      </c>
      <c r="S542" t="str">
        <f>IF(I542&lt;[1]Parameters!$B$21,"TRUE","FALSE")</f>
        <v>FALSE</v>
      </c>
      <c r="T542" s="5">
        <f>(I542/[1]Parameters!$B$25)*60</f>
        <v>9.5953768659225407</v>
      </c>
      <c r="U542" s="10">
        <f>IF(AND('[1]Pizza Sales Calculations'!G542=TRUE,'[1]Pizza Sales Calculations'!S542="TRUE"),T542*[1]Parameters!$B$40*2,0)</f>
        <v>0</v>
      </c>
      <c r="V542">
        <f>INDEX([1]Parameters!$A$3:$C$5,MATCH('[1]Pizza Sales Calculations'!D542,[1]Parameters!$A$3:$A$5,0),2)</f>
        <v>7</v>
      </c>
      <c r="W542">
        <f>INDEX([1]Parameters!$A$3:$C$5,MATCH('[1]Pizza Sales Calculations'!E542,[1]Parameters!$A$3:$A$5,0),2)</f>
        <v>10</v>
      </c>
      <c r="X542" t="e">
        <f>INDEX([1]Parameters!$A$3:$C$5,MATCH('[1]Pizza Sales Calculations'!F542,[1]Parameters!$A$3:$A$5,0),2)</f>
        <v>#N/A</v>
      </c>
    </row>
    <row r="543" spans="1:24" x14ac:dyDescent="0.3">
      <c r="A543">
        <v>542</v>
      </c>
      <c r="B543" s="14">
        <v>42376.443148148152</v>
      </c>
      <c r="C543" s="14">
        <v>42376.453564814816</v>
      </c>
      <c r="D543" t="s">
        <v>3</v>
      </c>
      <c r="E543" t="s">
        <v>5</v>
      </c>
      <c r="G543" t="b">
        <v>0</v>
      </c>
      <c r="H543">
        <v>70803</v>
      </c>
      <c r="I543" s="5">
        <v>0</v>
      </c>
      <c r="J543" s="14">
        <v>42376.455636574072</v>
      </c>
      <c r="K543">
        <v>23.34</v>
      </c>
      <c r="L543" s="5">
        <f>('[1]Pizza Sales Calculations'!$J543-'[1]Pizza Sales Calculations'!$C543)*24*60</f>
        <v>2.9833333287388086</v>
      </c>
      <c r="M543">
        <f>COUNTA('[1]Pizza Sales Calculations'!$D543:$F543)</f>
        <v>2</v>
      </c>
      <c r="N543">
        <f>IFERROR(VLOOKUP(D543,[1]Parameters!$A$3:$C$5,3,FALSE),0)</f>
        <v>1</v>
      </c>
      <c r="O543">
        <f>IFERROR(VLOOKUP(E543,[1]Parameters!$A$3:$C$5,3,FALSE),0)</f>
        <v>2.2999999999999998</v>
      </c>
      <c r="P543">
        <f>IFERROR(VLOOKUP(F543,[1]Parameters!$A$3:$C$5,3,FALSE),0)</f>
        <v>0</v>
      </c>
      <c r="Q543">
        <f t="shared" si="8"/>
        <v>3.3</v>
      </c>
      <c r="R543" s="10">
        <f>IF('[1]Pizza Sales Calculations'!$G543=TRUE, [1]Parameters!$B$17*'[1]Pizza Sales Calculations'!$L543*2, 0)</f>
        <v>0</v>
      </c>
      <c r="S543" t="str">
        <f>IF(I543&lt;[1]Parameters!$B$21,"TRUE","FALSE")</f>
        <v>TRUE</v>
      </c>
      <c r="T543" s="5">
        <f>(I543/[1]Parameters!$B$25)*60</f>
        <v>0</v>
      </c>
      <c r="U543" s="10">
        <f>IF(AND('[1]Pizza Sales Calculations'!G543=TRUE,'[1]Pizza Sales Calculations'!S543="TRUE"),T543*[1]Parameters!$B$40*2,0)</f>
        <v>0</v>
      </c>
      <c r="V543">
        <f>INDEX([1]Parameters!$A$3:$C$5,MATCH('[1]Pizza Sales Calculations'!D543,[1]Parameters!$A$3:$A$5,0),2)</f>
        <v>7</v>
      </c>
      <c r="W543">
        <f>INDEX([1]Parameters!$A$3:$C$5,MATCH('[1]Pizza Sales Calculations'!E543,[1]Parameters!$A$3:$A$5,0),2)</f>
        <v>14</v>
      </c>
      <c r="X543" t="e">
        <f>INDEX([1]Parameters!$A$3:$C$5,MATCH('[1]Pizza Sales Calculations'!F543,[1]Parameters!$A$3:$A$5,0),2)</f>
        <v>#N/A</v>
      </c>
    </row>
    <row r="544" spans="1:24" x14ac:dyDescent="0.3">
      <c r="A544">
        <v>543</v>
      </c>
      <c r="B544" s="14">
        <v>42376.43377314815</v>
      </c>
      <c r="C544" s="14">
        <v>42376.444178240738</v>
      </c>
      <c r="D544" t="s">
        <v>3</v>
      </c>
      <c r="E544" t="s">
        <v>4</v>
      </c>
      <c r="G544" t="b">
        <v>0</v>
      </c>
      <c r="H544">
        <v>70804</v>
      </c>
      <c r="I544" s="5">
        <v>0</v>
      </c>
      <c r="J544" s="14">
        <v>42376.446261574078</v>
      </c>
      <c r="K544">
        <v>19.579999999999998</v>
      </c>
      <c r="L544" s="5">
        <f>('[1]Pizza Sales Calculations'!$J544-'[1]Pizza Sales Calculations'!$C544)*24*60</f>
        <v>3.000000009778887</v>
      </c>
      <c r="M544">
        <f>COUNTA('[1]Pizza Sales Calculations'!$D544:$F544)</f>
        <v>2</v>
      </c>
      <c r="N544">
        <f>IFERROR(VLOOKUP(D544,[1]Parameters!$A$3:$C$5,3,FALSE),0)</f>
        <v>1</v>
      </c>
      <c r="O544">
        <f>IFERROR(VLOOKUP(E544,[1]Parameters!$A$3:$C$5,3,FALSE),0)</f>
        <v>1.7</v>
      </c>
      <c r="P544">
        <f>IFERROR(VLOOKUP(F544,[1]Parameters!$A$3:$C$5,3,FALSE),0)</f>
        <v>0</v>
      </c>
      <c r="Q544">
        <f t="shared" si="8"/>
        <v>2.7</v>
      </c>
      <c r="R544" s="10">
        <f>IF('[1]Pizza Sales Calculations'!$G544=TRUE, [1]Parameters!$B$17*'[1]Pizza Sales Calculations'!$L544*2, 0)</f>
        <v>0</v>
      </c>
      <c r="S544" t="str">
        <f>IF(I544&lt;[1]Parameters!$B$21,"TRUE","FALSE")</f>
        <v>TRUE</v>
      </c>
      <c r="T544" s="5">
        <f>(I544/[1]Parameters!$B$25)*60</f>
        <v>0</v>
      </c>
      <c r="U544" s="10">
        <f>IF(AND('[1]Pizza Sales Calculations'!G544=TRUE,'[1]Pizza Sales Calculations'!S544="TRUE"),T544*[1]Parameters!$B$40*2,0)</f>
        <v>0</v>
      </c>
      <c r="V544">
        <f>INDEX([1]Parameters!$A$3:$C$5,MATCH('[1]Pizza Sales Calculations'!D544,[1]Parameters!$A$3:$A$5,0),2)</f>
        <v>7</v>
      </c>
      <c r="W544">
        <f>INDEX([1]Parameters!$A$3:$C$5,MATCH('[1]Pizza Sales Calculations'!E544,[1]Parameters!$A$3:$A$5,0),2)</f>
        <v>10</v>
      </c>
      <c r="X544" t="e">
        <f>INDEX([1]Parameters!$A$3:$C$5,MATCH('[1]Pizza Sales Calculations'!F544,[1]Parameters!$A$3:$A$5,0),2)</f>
        <v>#N/A</v>
      </c>
    </row>
    <row r="545" spans="1:24" x14ac:dyDescent="0.3">
      <c r="A545">
        <v>544</v>
      </c>
      <c r="B545" s="14">
        <v>42376.490011574075</v>
      </c>
      <c r="C545" s="14">
        <v>42376.500428240739</v>
      </c>
      <c r="D545" t="s">
        <v>3</v>
      </c>
      <c r="G545" t="b">
        <v>1</v>
      </c>
      <c r="H545">
        <v>70807</v>
      </c>
      <c r="I545" s="5">
        <v>3.1875056084573599</v>
      </c>
      <c r="J545" s="14">
        <v>42376.511493055557</v>
      </c>
      <c r="K545">
        <v>7.99</v>
      </c>
      <c r="L545" s="5">
        <f>('[1]Pizza Sales Calculations'!$J545-'[1]Pizza Sales Calculations'!$C545)*24*60</f>
        <v>15.93333333847113</v>
      </c>
      <c r="M545">
        <f>COUNTA('[1]Pizza Sales Calculations'!$D545:$F545)</f>
        <v>1</v>
      </c>
      <c r="N545">
        <f>IFERROR(VLOOKUP(D545,[1]Parameters!$A$3:$C$5,3,FALSE),0)</f>
        <v>1</v>
      </c>
      <c r="O545">
        <f>IFERROR(VLOOKUP(E545,[1]Parameters!$A$3:$C$5,3,FALSE),0)</f>
        <v>0</v>
      </c>
      <c r="P545">
        <f>IFERROR(VLOOKUP(F545,[1]Parameters!$A$3:$C$5,3,FALSE),0)</f>
        <v>0</v>
      </c>
      <c r="Q545">
        <f t="shared" si="8"/>
        <v>1</v>
      </c>
      <c r="R545" s="10">
        <f>IF('[1]Pizza Sales Calculations'!$G545=TRUE, [1]Parameters!$B$17*'[1]Pizza Sales Calculations'!$L545*2, 0)</f>
        <v>4.5144444459001534</v>
      </c>
      <c r="S545" t="str">
        <f>IF(I545&lt;[1]Parameters!$B$21,"TRUE","FALSE")</f>
        <v>TRUE</v>
      </c>
      <c r="T545" s="5">
        <f>(I545/[1]Parameters!$B$25)*60</f>
        <v>6.3750112169147197</v>
      </c>
      <c r="U545" s="10">
        <f>IF(AND('[1]Pizza Sales Calculations'!G545=TRUE,'[1]Pizza Sales Calculations'!S545="TRUE"),T545*[1]Parameters!$B$40*2,0)</f>
        <v>0.39794495437498867</v>
      </c>
      <c r="V545">
        <f>INDEX([1]Parameters!$A$3:$C$5,MATCH('[1]Pizza Sales Calculations'!D545,[1]Parameters!$A$3:$A$5,0),2)</f>
        <v>7</v>
      </c>
      <c r="W545" t="e">
        <f>INDEX([1]Parameters!$A$3:$C$5,MATCH('[1]Pizza Sales Calculations'!E545,[1]Parameters!$A$3:$A$5,0),2)</f>
        <v>#N/A</v>
      </c>
      <c r="X545" t="e">
        <f>INDEX([1]Parameters!$A$3:$C$5,MATCH('[1]Pizza Sales Calculations'!F545,[1]Parameters!$A$3:$A$5,0),2)</f>
        <v>#N/A</v>
      </c>
    </row>
    <row r="546" spans="1:24" x14ac:dyDescent="0.3">
      <c r="A546">
        <v>545</v>
      </c>
      <c r="B546" s="14">
        <v>42376.54828703704</v>
      </c>
      <c r="C546" s="14">
        <v>42376.558692129627</v>
      </c>
      <c r="D546" t="s">
        <v>5</v>
      </c>
      <c r="G546" t="b">
        <v>1</v>
      </c>
      <c r="H546">
        <v>70803</v>
      </c>
      <c r="I546" s="5">
        <v>3.5973431109853999</v>
      </c>
      <c r="J546" s="14">
        <v>42376.571180555555</v>
      </c>
      <c r="K546">
        <v>15.35</v>
      </c>
      <c r="L546" s="5">
        <f>('[1]Pizza Sales Calculations'!$J546-'[1]Pizza Sales Calculations'!$C546)*24*60</f>
        <v>17.983333335723728</v>
      </c>
      <c r="M546">
        <f>COUNTA('[1]Pizza Sales Calculations'!$D546:$F546)</f>
        <v>1</v>
      </c>
      <c r="N546">
        <f>IFERROR(VLOOKUP(D546,[1]Parameters!$A$3:$C$5,3,FALSE),0)</f>
        <v>2.2999999999999998</v>
      </c>
      <c r="O546">
        <f>IFERROR(VLOOKUP(E546,[1]Parameters!$A$3:$C$5,3,FALSE),0)</f>
        <v>0</v>
      </c>
      <c r="P546">
        <f>IFERROR(VLOOKUP(F546,[1]Parameters!$A$3:$C$5,3,FALSE),0)</f>
        <v>0</v>
      </c>
      <c r="Q546">
        <f t="shared" si="8"/>
        <v>2.2999999999999998</v>
      </c>
      <c r="R546" s="10">
        <f>IF('[1]Pizza Sales Calculations'!$G546=TRUE, [1]Parameters!$B$17*'[1]Pizza Sales Calculations'!$L546*2, 0)</f>
        <v>5.0952777784550563</v>
      </c>
      <c r="S546" t="str">
        <f>IF(I546&lt;[1]Parameters!$B$21,"TRUE","FALSE")</f>
        <v>FALSE</v>
      </c>
      <c r="T546" s="5">
        <f>(I546/[1]Parameters!$B$25)*60</f>
        <v>7.1946862219707999</v>
      </c>
      <c r="U546" s="10">
        <f>IF(AND('[1]Pizza Sales Calculations'!G546=TRUE,'[1]Pizza Sales Calculations'!S546="TRUE"),T546*[1]Parameters!$B$40*2,0)</f>
        <v>0</v>
      </c>
      <c r="V546">
        <f>INDEX([1]Parameters!$A$3:$C$5,MATCH('[1]Pizza Sales Calculations'!D546,[1]Parameters!$A$3:$A$5,0),2)</f>
        <v>14</v>
      </c>
      <c r="W546" t="e">
        <f>INDEX([1]Parameters!$A$3:$C$5,MATCH('[1]Pizza Sales Calculations'!E546,[1]Parameters!$A$3:$A$5,0),2)</f>
        <v>#N/A</v>
      </c>
      <c r="X546" t="e">
        <f>INDEX([1]Parameters!$A$3:$C$5,MATCH('[1]Pizza Sales Calculations'!F546,[1]Parameters!$A$3:$A$5,0),2)</f>
        <v>#N/A</v>
      </c>
    </row>
    <row r="547" spans="1:24" x14ac:dyDescent="0.3">
      <c r="A547">
        <v>546</v>
      </c>
      <c r="B547" s="14">
        <v>42376.52721064815</v>
      </c>
      <c r="C547" s="14">
        <v>42376.537627314814</v>
      </c>
      <c r="D547" t="s">
        <v>3</v>
      </c>
      <c r="G547" t="b">
        <v>0</v>
      </c>
      <c r="H547">
        <v>70805</v>
      </c>
      <c r="I547" s="5">
        <v>0</v>
      </c>
      <c r="J547" s="14">
        <v>42376.539710648147</v>
      </c>
      <c r="K547">
        <v>7.99</v>
      </c>
      <c r="L547" s="5">
        <f>('[1]Pizza Sales Calculations'!$J547-'[1]Pizza Sales Calculations'!$C547)*24*60</f>
        <v>2.9999999993015081</v>
      </c>
      <c r="M547">
        <f>COUNTA('[1]Pizza Sales Calculations'!$D547:$F547)</f>
        <v>1</v>
      </c>
      <c r="N547">
        <f>IFERROR(VLOOKUP(D547,[1]Parameters!$A$3:$C$5,3,FALSE),0)</f>
        <v>1</v>
      </c>
      <c r="O547">
        <f>IFERROR(VLOOKUP(E547,[1]Parameters!$A$3:$C$5,3,FALSE),0)</f>
        <v>0</v>
      </c>
      <c r="P547">
        <f>IFERROR(VLOOKUP(F547,[1]Parameters!$A$3:$C$5,3,FALSE),0)</f>
        <v>0</v>
      </c>
      <c r="Q547">
        <f t="shared" si="8"/>
        <v>1</v>
      </c>
      <c r="R547" s="10">
        <f>IF('[1]Pizza Sales Calculations'!$G547=TRUE, [1]Parameters!$B$17*'[1]Pizza Sales Calculations'!$L547*2, 0)</f>
        <v>0</v>
      </c>
      <c r="S547" t="str">
        <f>IF(I547&lt;[1]Parameters!$B$21,"TRUE","FALSE")</f>
        <v>TRUE</v>
      </c>
      <c r="T547" s="5">
        <f>(I547/[1]Parameters!$B$25)*60</f>
        <v>0</v>
      </c>
      <c r="U547" s="10">
        <f>IF(AND('[1]Pizza Sales Calculations'!G547=TRUE,'[1]Pizza Sales Calculations'!S547="TRUE"),T547*[1]Parameters!$B$40*2,0)</f>
        <v>0</v>
      </c>
      <c r="V547">
        <f>INDEX([1]Parameters!$A$3:$C$5,MATCH('[1]Pizza Sales Calculations'!D547,[1]Parameters!$A$3:$A$5,0),2)</f>
        <v>7</v>
      </c>
      <c r="W547" t="e">
        <f>INDEX([1]Parameters!$A$3:$C$5,MATCH('[1]Pizza Sales Calculations'!E547,[1]Parameters!$A$3:$A$5,0),2)</f>
        <v>#N/A</v>
      </c>
      <c r="X547" t="e">
        <f>INDEX([1]Parameters!$A$3:$C$5,MATCH('[1]Pizza Sales Calculations'!F547,[1]Parameters!$A$3:$A$5,0),2)</f>
        <v>#N/A</v>
      </c>
    </row>
    <row r="548" spans="1:24" x14ac:dyDescent="0.3">
      <c r="A548">
        <v>547</v>
      </c>
      <c r="B548" s="14">
        <v>42376.490729166668</v>
      </c>
      <c r="C548" s="14">
        <v>42376.501145833332</v>
      </c>
      <c r="D548" t="s">
        <v>4</v>
      </c>
      <c r="G548" t="b">
        <v>1</v>
      </c>
      <c r="H548">
        <v>70804</v>
      </c>
      <c r="I548" s="5">
        <v>2.4789711440100701</v>
      </c>
      <c r="J548" s="14">
        <v>42376.509745370371</v>
      </c>
      <c r="K548">
        <v>11.59</v>
      </c>
      <c r="L548" s="5">
        <f>('[1]Pizza Sales Calculations'!$J548-'[1]Pizza Sales Calculations'!$C548)*24*60</f>
        <v>12.383333336329088</v>
      </c>
      <c r="M548">
        <f>COUNTA('[1]Pizza Sales Calculations'!$D548:$F548)</f>
        <v>1</v>
      </c>
      <c r="N548">
        <f>IFERROR(VLOOKUP(D548,[1]Parameters!$A$3:$C$5,3,FALSE),0)</f>
        <v>1.7</v>
      </c>
      <c r="O548">
        <f>IFERROR(VLOOKUP(E548,[1]Parameters!$A$3:$C$5,3,FALSE),0)</f>
        <v>0</v>
      </c>
      <c r="P548">
        <f>IFERROR(VLOOKUP(F548,[1]Parameters!$A$3:$C$5,3,FALSE),0)</f>
        <v>0</v>
      </c>
      <c r="Q548">
        <f t="shared" si="8"/>
        <v>1.7</v>
      </c>
      <c r="R548" s="10">
        <f>IF('[1]Pizza Sales Calculations'!$G548=TRUE, [1]Parameters!$B$17*'[1]Pizza Sales Calculations'!$L548*2, 0)</f>
        <v>3.5086111119599082</v>
      </c>
      <c r="S548" t="str">
        <f>IF(I548&lt;[1]Parameters!$B$21,"TRUE","FALSE")</f>
        <v>TRUE</v>
      </c>
      <c r="T548" s="5">
        <f>(I548/[1]Parameters!$B$25)*60</f>
        <v>4.9579422880201403</v>
      </c>
      <c r="U548" s="10">
        <f>IF(AND('[1]Pizza Sales Calculations'!G548=TRUE,'[1]Pizza Sales Calculations'!S548="TRUE"),T548*[1]Parameters!$B$40*2,0)</f>
        <v>0.30948778762382445</v>
      </c>
      <c r="V548">
        <f>INDEX([1]Parameters!$A$3:$C$5,MATCH('[1]Pizza Sales Calculations'!D548,[1]Parameters!$A$3:$A$5,0),2)</f>
        <v>10</v>
      </c>
      <c r="W548" t="e">
        <f>INDEX([1]Parameters!$A$3:$C$5,MATCH('[1]Pizza Sales Calculations'!E548,[1]Parameters!$A$3:$A$5,0),2)</f>
        <v>#N/A</v>
      </c>
      <c r="X548" t="e">
        <f>INDEX([1]Parameters!$A$3:$C$5,MATCH('[1]Pizza Sales Calculations'!F548,[1]Parameters!$A$3:$A$5,0),2)</f>
        <v>#N/A</v>
      </c>
    </row>
    <row r="549" spans="1:24" x14ac:dyDescent="0.3">
      <c r="A549">
        <v>548</v>
      </c>
      <c r="B549" s="14">
        <v>42376.489664351851</v>
      </c>
      <c r="C549" s="14">
        <v>42376.500069444446</v>
      </c>
      <c r="D549" t="s">
        <v>5</v>
      </c>
      <c r="G549" t="b">
        <v>1</v>
      </c>
      <c r="H549">
        <v>70804</v>
      </c>
      <c r="I549" s="5">
        <v>2.3347111642103799</v>
      </c>
      <c r="J549" s="14">
        <v>42376.508171296293</v>
      </c>
      <c r="K549">
        <v>15.35</v>
      </c>
      <c r="L549" s="5">
        <f>('[1]Pizza Sales Calculations'!$J549-'[1]Pizza Sales Calculations'!$C549)*24*60</f>
        <v>11.666666659293696</v>
      </c>
      <c r="M549">
        <f>COUNTA('[1]Pizza Sales Calculations'!$D549:$F549)</f>
        <v>1</v>
      </c>
      <c r="N549">
        <f>IFERROR(VLOOKUP(D549,[1]Parameters!$A$3:$C$5,3,FALSE),0)</f>
        <v>2.2999999999999998</v>
      </c>
      <c r="O549">
        <f>IFERROR(VLOOKUP(E549,[1]Parameters!$A$3:$C$5,3,FALSE),0)</f>
        <v>0</v>
      </c>
      <c r="P549">
        <f>IFERROR(VLOOKUP(F549,[1]Parameters!$A$3:$C$5,3,FALSE),0)</f>
        <v>0</v>
      </c>
      <c r="Q549">
        <f t="shared" si="8"/>
        <v>2.2999999999999998</v>
      </c>
      <c r="R549" s="10">
        <f>IF('[1]Pizza Sales Calculations'!$G549=TRUE, [1]Parameters!$B$17*'[1]Pizza Sales Calculations'!$L549*2, 0)</f>
        <v>3.3055555534665473</v>
      </c>
      <c r="S549" t="str">
        <f>IF(I549&lt;[1]Parameters!$B$21,"TRUE","FALSE")</f>
        <v>TRUE</v>
      </c>
      <c r="T549" s="5">
        <f>(I549/[1]Parameters!$B$25)*60</f>
        <v>4.6694223284207599</v>
      </c>
      <c r="U549" s="10">
        <f>IF(AND('[1]Pizza Sales Calculations'!G549=TRUE,'[1]Pizza Sales Calculations'!S549="TRUE"),T549*[1]Parameters!$B$40*2,0)</f>
        <v>0.29147761348414419</v>
      </c>
      <c r="V549">
        <f>INDEX([1]Parameters!$A$3:$C$5,MATCH('[1]Pizza Sales Calculations'!D549,[1]Parameters!$A$3:$A$5,0),2)</f>
        <v>14</v>
      </c>
      <c r="W549" t="e">
        <f>INDEX([1]Parameters!$A$3:$C$5,MATCH('[1]Pizza Sales Calculations'!E549,[1]Parameters!$A$3:$A$5,0),2)</f>
        <v>#N/A</v>
      </c>
      <c r="X549" t="e">
        <f>INDEX([1]Parameters!$A$3:$C$5,MATCH('[1]Pizza Sales Calculations'!F549,[1]Parameters!$A$3:$A$5,0),2)</f>
        <v>#N/A</v>
      </c>
    </row>
    <row r="550" spans="1:24" x14ac:dyDescent="0.3">
      <c r="A550">
        <v>549</v>
      </c>
      <c r="B550" s="14">
        <v>42376.510150462964</v>
      </c>
      <c r="C550" s="14">
        <v>42376.520555555559</v>
      </c>
      <c r="D550" t="s">
        <v>3</v>
      </c>
      <c r="E550" t="s">
        <v>4</v>
      </c>
      <c r="G550" t="b">
        <v>1</v>
      </c>
      <c r="H550">
        <v>70804</v>
      </c>
      <c r="I550" s="5">
        <v>2.7853917164435802</v>
      </c>
      <c r="J550" s="14">
        <v>42376.530219907407</v>
      </c>
      <c r="K550">
        <v>19.579999999999998</v>
      </c>
      <c r="L550" s="5">
        <f>('[1]Pizza Sales Calculations'!$J550-'[1]Pizza Sales Calculations'!$C550)*24*60</f>
        <v>13.916666661389172</v>
      </c>
      <c r="M550">
        <f>COUNTA('[1]Pizza Sales Calculations'!$D550:$F550)</f>
        <v>2</v>
      </c>
      <c r="N550">
        <f>IFERROR(VLOOKUP(D550,[1]Parameters!$A$3:$C$5,3,FALSE),0)</f>
        <v>1</v>
      </c>
      <c r="O550">
        <f>IFERROR(VLOOKUP(E550,[1]Parameters!$A$3:$C$5,3,FALSE),0)</f>
        <v>1.7</v>
      </c>
      <c r="P550">
        <f>IFERROR(VLOOKUP(F550,[1]Parameters!$A$3:$C$5,3,FALSE),0)</f>
        <v>0</v>
      </c>
      <c r="Q550">
        <f t="shared" si="8"/>
        <v>2.7</v>
      </c>
      <c r="R550" s="10">
        <f>IF('[1]Pizza Sales Calculations'!$G550=TRUE, [1]Parameters!$B$17*'[1]Pizza Sales Calculations'!$L550*2, 0)</f>
        <v>3.9430555540602654</v>
      </c>
      <c r="S550" t="str">
        <f>IF(I550&lt;[1]Parameters!$B$21,"TRUE","FALSE")</f>
        <v>TRUE</v>
      </c>
      <c r="T550" s="5">
        <f>(I550/[1]Parameters!$B$25)*60</f>
        <v>5.5707834328871604</v>
      </c>
      <c r="U550" s="10">
        <f>IF(AND('[1]Pizza Sales Calculations'!G550=TRUE,'[1]Pizza Sales Calculations'!S550="TRUE"),T550*[1]Parameters!$B$40*2,0)</f>
        <v>0.34774294249886956</v>
      </c>
      <c r="V550">
        <f>INDEX([1]Parameters!$A$3:$C$5,MATCH('[1]Pizza Sales Calculations'!D550,[1]Parameters!$A$3:$A$5,0),2)</f>
        <v>7</v>
      </c>
      <c r="W550">
        <f>INDEX([1]Parameters!$A$3:$C$5,MATCH('[1]Pizza Sales Calculations'!E550,[1]Parameters!$A$3:$A$5,0),2)</f>
        <v>10</v>
      </c>
      <c r="X550" t="e">
        <f>INDEX([1]Parameters!$A$3:$C$5,MATCH('[1]Pizza Sales Calculations'!F550,[1]Parameters!$A$3:$A$5,0),2)</f>
        <v>#N/A</v>
      </c>
    </row>
    <row r="551" spans="1:24" x14ac:dyDescent="0.3">
      <c r="A551">
        <v>550</v>
      </c>
      <c r="B551" s="14">
        <v>42376.540671296294</v>
      </c>
      <c r="C551" s="14">
        <v>42376.551076388889</v>
      </c>
      <c r="D551" t="s">
        <v>3</v>
      </c>
      <c r="E551" t="s">
        <v>5</v>
      </c>
      <c r="G551" t="b">
        <v>1</v>
      </c>
      <c r="H551">
        <v>70804</v>
      </c>
      <c r="I551" s="5">
        <v>3.0738359975184801</v>
      </c>
      <c r="J551" s="14">
        <v>42376.561747685184</v>
      </c>
      <c r="K551">
        <v>23.34</v>
      </c>
      <c r="L551" s="5">
        <f>('[1]Pizza Sales Calculations'!$J551-'[1]Pizza Sales Calculations'!$C551)*24*60</f>
        <v>15.366666665067896</v>
      </c>
      <c r="M551">
        <f>COUNTA('[1]Pizza Sales Calculations'!$D551:$F551)</f>
        <v>2</v>
      </c>
      <c r="N551">
        <f>IFERROR(VLOOKUP(D551,[1]Parameters!$A$3:$C$5,3,FALSE),0)</f>
        <v>1</v>
      </c>
      <c r="O551">
        <f>IFERROR(VLOOKUP(E551,[1]Parameters!$A$3:$C$5,3,FALSE),0)</f>
        <v>2.2999999999999998</v>
      </c>
      <c r="P551">
        <f>IFERROR(VLOOKUP(F551,[1]Parameters!$A$3:$C$5,3,FALSE),0)</f>
        <v>0</v>
      </c>
      <c r="Q551">
        <f t="shared" si="8"/>
        <v>3.3</v>
      </c>
      <c r="R551" s="10">
        <f>IF('[1]Pizza Sales Calculations'!$G551=TRUE, [1]Parameters!$B$17*'[1]Pizza Sales Calculations'!$L551*2, 0)</f>
        <v>4.3538888884359039</v>
      </c>
      <c r="S551" t="str">
        <f>IF(I551&lt;[1]Parameters!$B$21,"TRUE","FALSE")</f>
        <v>TRUE</v>
      </c>
      <c r="T551" s="5">
        <f>(I551/[1]Parameters!$B$25)*60</f>
        <v>6.1476719950369603</v>
      </c>
      <c r="U551" s="10">
        <f>IF(AND('[1]Pizza Sales Calculations'!G551=TRUE,'[1]Pizza Sales Calculations'!S551="TRUE"),T551*[1]Parameters!$B$40*2,0)</f>
        <v>0.38375384267345131</v>
      </c>
      <c r="V551">
        <f>INDEX([1]Parameters!$A$3:$C$5,MATCH('[1]Pizza Sales Calculations'!D551,[1]Parameters!$A$3:$A$5,0),2)</f>
        <v>7</v>
      </c>
      <c r="W551">
        <f>INDEX([1]Parameters!$A$3:$C$5,MATCH('[1]Pizza Sales Calculations'!E551,[1]Parameters!$A$3:$A$5,0),2)</f>
        <v>14</v>
      </c>
      <c r="X551" t="e">
        <f>INDEX([1]Parameters!$A$3:$C$5,MATCH('[1]Pizza Sales Calculations'!F551,[1]Parameters!$A$3:$A$5,0),2)</f>
        <v>#N/A</v>
      </c>
    </row>
    <row r="552" spans="1:24" x14ac:dyDescent="0.3">
      <c r="A552">
        <v>551</v>
      </c>
      <c r="B552" s="14">
        <v>42376.613391203704</v>
      </c>
      <c r="C552" s="14">
        <v>42376.623807870368</v>
      </c>
      <c r="D552" t="s">
        <v>4</v>
      </c>
      <c r="G552" t="b">
        <v>1</v>
      </c>
      <c r="H552">
        <v>70805</v>
      </c>
      <c r="I552" s="5">
        <v>1.6424466737293999</v>
      </c>
      <c r="J552" s="14">
        <v>42376.629502314812</v>
      </c>
      <c r="K552">
        <v>11.59</v>
      </c>
      <c r="L552" s="5">
        <f>('[1]Pizza Sales Calculations'!$J552-'[1]Pizza Sales Calculations'!$C552)*24*60</f>
        <v>8.1999999994877726</v>
      </c>
      <c r="M552">
        <f>COUNTA('[1]Pizza Sales Calculations'!$D552:$F552)</f>
        <v>1</v>
      </c>
      <c r="N552">
        <f>IFERROR(VLOOKUP(D552,[1]Parameters!$A$3:$C$5,3,FALSE),0)</f>
        <v>1.7</v>
      </c>
      <c r="O552">
        <f>IFERROR(VLOOKUP(E552,[1]Parameters!$A$3:$C$5,3,FALSE),0)</f>
        <v>0</v>
      </c>
      <c r="P552">
        <f>IFERROR(VLOOKUP(F552,[1]Parameters!$A$3:$C$5,3,FALSE),0)</f>
        <v>0</v>
      </c>
      <c r="Q552">
        <f t="shared" si="8"/>
        <v>1.7</v>
      </c>
      <c r="R552" s="10">
        <f>IF('[1]Pizza Sales Calculations'!$G552=TRUE, [1]Parameters!$B$17*'[1]Pizza Sales Calculations'!$L552*2, 0)</f>
        <v>2.3233333331882022</v>
      </c>
      <c r="S552" t="str">
        <f>IF(I552&lt;[1]Parameters!$B$21,"TRUE","FALSE")</f>
        <v>TRUE</v>
      </c>
      <c r="T552" s="5">
        <f>(I552/[1]Parameters!$B$25)*60</f>
        <v>3.2848933474587998</v>
      </c>
      <c r="U552" s="10">
        <f>IF(AND('[1]Pizza Sales Calculations'!G552=TRUE,'[1]Pizza Sales Calculations'!S552="TRUE"),T552*[1]Parameters!$B$40*2,0)</f>
        <v>0.20505167580141728</v>
      </c>
      <c r="V552">
        <f>INDEX([1]Parameters!$A$3:$C$5,MATCH('[1]Pizza Sales Calculations'!D552,[1]Parameters!$A$3:$A$5,0),2)</f>
        <v>10</v>
      </c>
      <c r="W552" t="e">
        <f>INDEX([1]Parameters!$A$3:$C$5,MATCH('[1]Pizza Sales Calculations'!E552,[1]Parameters!$A$3:$A$5,0),2)</f>
        <v>#N/A</v>
      </c>
      <c r="X552" t="e">
        <f>INDEX([1]Parameters!$A$3:$C$5,MATCH('[1]Pizza Sales Calculations'!F552,[1]Parameters!$A$3:$A$5,0),2)</f>
        <v>#N/A</v>
      </c>
    </row>
    <row r="553" spans="1:24" x14ac:dyDescent="0.3">
      <c r="A553">
        <v>552</v>
      </c>
      <c r="B553" s="14">
        <v>42376.521863425929</v>
      </c>
      <c r="C553" s="14">
        <v>42376.532280092593</v>
      </c>
      <c r="D553" t="s">
        <v>5</v>
      </c>
      <c r="G553" t="b">
        <v>0</v>
      </c>
      <c r="H553">
        <v>70804</v>
      </c>
      <c r="I553" s="5">
        <v>0</v>
      </c>
      <c r="J553" s="14">
        <v>42376.534351851849</v>
      </c>
      <c r="K553">
        <v>15.35</v>
      </c>
      <c r="L553" s="5">
        <f>('[1]Pizza Sales Calculations'!$J553-'[1]Pizza Sales Calculations'!$C553)*24*60</f>
        <v>2.9833333287388086</v>
      </c>
      <c r="M553">
        <f>COUNTA('[1]Pizza Sales Calculations'!$D553:$F553)</f>
        <v>1</v>
      </c>
      <c r="N553">
        <f>IFERROR(VLOOKUP(D553,[1]Parameters!$A$3:$C$5,3,FALSE),0)</f>
        <v>2.2999999999999998</v>
      </c>
      <c r="O553">
        <f>IFERROR(VLOOKUP(E553,[1]Parameters!$A$3:$C$5,3,FALSE),0)</f>
        <v>0</v>
      </c>
      <c r="P553">
        <f>IFERROR(VLOOKUP(F553,[1]Parameters!$A$3:$C$5,3,FALSE),0)</f>
        <v>0</v>
      </c>
      <c r="Q553">
        <f t="shared" si="8"/>
        <v>2.2999999999999998</v>
      </c>
      <c r="R553" s="10">
        <f>IF('[1]Pizza Sales Calculations'!$G553=TRUE, [1]Parameters!$B$17*'[1]Pizza Sales Calculations'!$L553*2, 0)</f>
        <v>0</v>
      </c>
      <c r="S553" t="str">
        <f>IF(I553&lt;[1]Parameters!$B$21,"TRUE","FALSE")</f>
        <v>TRUE</v>
      </c>
      <c r="T553" s="5">
        <f>(I553/[1]Parameters!$B$25)*60</f>
        <v>0</v>
      </c>
      <c r="U553" s="10">
        <f>IF(AND('[1]Pizza Sales Calculations'!G553=TRUE,'[1]Pizza Sales Calculations'!S553="TRUE"),T553*[1]Parameters!$B$40*2,0)</f>
        <v>0</v>
      </c>
      <c r="V553">
        <f>INDEX([1]Parameters!$A$3:$C$5,MATCH('[1]Pizza Sales Calculations'!D553,[1]Parameters!$A$3:$A$5,0),2)</f>
        <v>14</v>
      </c>
      <c r="W553" t="e">
        <f>INDEX([1]Parameters!$A$3:$C$5,MATCH('[1]Pizza Sales Calculations'!E553,[1]Parameters!$A$3:$A$5,0),2)</f>
        <v>#N/A</v>
      </c>
      <c r="X553" t="e">
        <f>INDEX([1]Parameters!$A$3:$C$5,MATCH('[1]Pizza Sales Calculations'!F553,[1]Parameters!$A$3:$A$5,0),2)</f>
        <v>#N/A</v>
      </c>
    </row>
    <row r="554" spans="1:24" x14ac:dyDescent="0.3">
      <c r="A554">
        <v>553</v>
      </c>
      <c r="B554" s="14">
        <v>42376.553101851852</v>
      </c>
      <c r="C554" s="14">
        <v>42376.563506944447</v>
      </c>
      <c r="D554" t="s">
        <v>5</v>
      </c>
      <c r="G554" t="b">
        <v>1</v>
      </c>
      <c r="H554">
        <v>70805</v>
      </c>
      <c r="I554" s="5">
        <v>4.8100359129845698</v>
      </c>
      <c r="J554" s="14">
        <v>42376.580208333333</v>
      </c>
      <c r="K554">
        <v>15.35</v>
      </c>
      <c r="L554" s="5">
        <f>('[1]Pizza Sales Calculations'!$J554-'[1]Pizza Sales Calculations'!$C554)*24*60</f>
        <v>24.049999995622784</v>
      </c>
      <c r="M554">
        <f>COUNTA('[1]Pizza Sales Calculations'!$D554:$F554)</f>
        <v>1</v>
      </c>
      <c r="N554">
        <f>IFERROR(VLOOKUP(D554,[1]Parameters!$A$3:$C$5,3,FALSE),0)</f>
        <v>2.2999999999999998</v>
      </c>
      <c r="O554">
        <f>IFERROR(VLOOKUP(E554,[1]Parameters!$A$3:$C$5,3,FALSE),0)</f>
        <v>0</v>
      </c>
      <c r="P554">
        <f>IFERROR(VLOOKUP(F554,[1]Parameters!$A$3:$C$5,3,FALSE),0)</f>
        <v>0</v>
      </c>
      <c r="Q554">
        <f t="shared" si="8"/>
        <v>2.2999999999999998</v>
      </c>
      <c r="R554" s="10">
        <f>IF('[1]Pizza Sales Calculations'!$G554=TRUE, [1]Parameters!$B$17*'[1]Pizza Sales Calculations'!$L554*2, 0)</f>
        <v>6.8141666654264554</v>
      </c>
      <c r="S554" t="str">
        <f>IF(I554&lt;[1]Parameters!$B$21,"TRUE","FALSE")</f>
        <v>FALSE</v>
      </c>
      <c r="T554" s="5">
        <f>(I554/[1]Parameters!$B$25)*60</f>
        <v>9.6200718259691396</v>
      </c>
      <c r="U554" s="10">
        <f>IF(AND('[1]Pizza Sales Calculations'!G554=TRUE,'[1]Pizza Sales Calculations'!S554="TRUE"),T554*[1]Parameters!$B$40*2,0)</f>
        <v>0</v>
      </c>
      <c r="V554">
        <f>INDEX([1]Parameters!$A$3:$C$5,MATCH('[1]Pizza Sales Calculations'!D554,[1]Parameters!$A$3:$A$5,0),2)</f>
        <v>14</v>
      </c>
      <c r="W554" t="e">
        <f>INDEX([1]Parameters!$A$3:$C$5,MATCH('[1]Pizza Sales Calculations'!E554,[1]Parameters!$A$3:$A$5,0),2)</f>
        <v>#N/A</v>
      </c>
      <c r="X554" t="e">
        <f>INDEX([1]Parameters!$A$3:$C$5,MATCH('[1]Pizza Sales Calculations'!F554,[1]Parameters!$A$3:$A$5,0),2)</f>
        <v>#N/A</v>
      </c>
    </row>
    <row r="555" spans="1:24" x14ac:dyDescent="0.3">
      <c r="A555">
        <v>554</v>
      </c>
      <c r="B555" s="14">
        <v>42376.525277777779</v>
      </c>
      <c r="C555" s="14">
        <v>42376.535694444443</v>
      </c>
      <c r="D555" t="s">
        <v>4</v>
      </c>
      <c r="E555" t="s">
        <v>5</v>
      </c>
      <c r="G555" t="b">
        <v>1</v>
      </c>
      <c r="H555">
        <v>70803</v>
      </c>
      <c r="I555" s="5">
        <v>3.6745060176722699</v>
      </c>
      <c r="J555" s="14">
        <v>42376.548449074071</v>
      </c>
      <c r="K555">
        <v>25.94</v>
      </c>
      <c r="L555" s="5">
        <f>('[1]Pizza Sales Calculations'!$J555-'[1]Pizza Sales Calculations'!$C555)*24*60</f>
        <v>18.366666664369404</v>
      </c>
      <c r="M555">
        <f>COUNTA('[1]Pizza Sales Calculations'!$D555:$F555)</f>
        <v>2</v>
      </c>
      <c r="N555">
        <f>IFERROR(VLOOKUP(D555,[1]Parameters!$A$3:$C$5,3,FALSE),0)</f>
        <v>1.7</v>
      </c>
      <c r="O555">
        <f>IFERROR(VLOOKUP(E555,[1]Parameters!$A$3:$C$5,3,FALSE),0)</f>
        <v>2.2999999999999998</v>
      </c>
      <c r="P555">
        <f>IFERROR(VLOOKUP(F555,[1]Parameters!$A$3:$C$5,3,FALSE),0)</f>
        <v>0</v>
      </c>
      <c r="Q555">
        <f t="shared" si="8"/>
        <v>4</v>
      </c>
      <c r="R555" s="10">
        <f>IF('[1]Pizza Sales Calculations'!$G555=TRUE, [1]Parameters!$B$17*'[1]Pizza Sales Calculations'!$L555*2, 0)</f>
        <v>5.2038888882379979</v>
      </c>
      <c r="S555" t="str">
        <f>IF(I555&lt;[1]Parameters!$B$21,"TRUE","FALSE")</f>
        <v>FALSE</v>
      </c>
      <c r="T555" s="5">
        <f>(I555/[1]Parameters!$B$25)*60</f>
        <v>7.3490120353445398</v>
      </c>
      <c r="U555" s="10">
        <f>IF(AND('[1]Pizza Sales Calculations'!G555=TRUE,'[1]Pizza Sales Calculations'!S555="TRUE"),T555*[1]Parameters!$B$40*2,0)</f>
        <v>0</v>
      </c>
      <c r="V555">
        <f>INDEX([1]Parameters!$A$3:$C$5,MATCH('[1]Pizza Sales Calculations'!D555,[1]Parameters!$A$3:$A$5,0),2)</f>
        <v>10</v>
      </c>
      <c r="W555">
        <f>INDEX([1]Parameters!$A$3:$C$5,MATCH('[1]Pizza Sales Calculations'!E555,[1]Parameters!$A$3:$A$5,0),2)</f>
        <v>14</v>
      </c>
      <c r="X555" t="e">
        <f>INDEX([1]Parameters!$A$3:$C$5,MATCH('[1]Pizza Sales Calculations'!F555,[1]Parameters!$A$3:$A$5,0),2)</f>
        <v>#N/A</v>
      </c>
    </row>
    <row r="556" spans="1:24" x14ac:dyDescent="0.3">
      <c r="A556">
        <v>555</v>
      </c>
      <c r="B556" s="14">
        <v>42376.481539351851</v>
      </c>
      <c r="C556" s="14">
        <v>42376.491944444446</v>
      </c>
      <c r="D556" t="s">
        <v>4</v>
      </c>
      <c r="G556" t="b">
        <v>1</v>
      </c>
      <c r="H556">
        <v>70806</v>
      </c>
      <c r="I556" s="5">
        <v>1.81464063878398</v>
      </c>
      <c r="J556" s="14">
        <v>42376.498240740744</v>
      </c>
      <c r="K556">
        <v>11.59</v>
      </c>
      <c r="L556" s="5">
        <f>('[1]Pizza Sales Calculations'!$J556-'[1]Pizza Sales Calculations'!$C556)*24*60</f>
        <v>9.066666669677943</v>
      </c>
      <c r="M556">
        <f>COUNTA('[1]Pizza Sales Calculations'!$D556:$F556)</f>
        <v>1</v>
      </c>
      <c r="N556">
        <f>IFERROR(VLOOKUP(D556,[1]Parameters!$A$3:$C$5,3,FALSE),0)</f>
        <v>1.7</v>
      </c>
      <c r="O556">
        <f>IFERROR(VLOOKUP(E556,[1]Parameters!$A$3:$C$5,3,FALSE),0)</f>
        <v>0</v>
      </c>
      <c r="P556">
        <f>IFERROR(VLOOKUP(F556,[1]Parameters!$A$3:$C$5,3,FALSE),0)</f>
        <v>0</v>
      </c>
      <c r="Q556">
        <f t="shared" si="8"/>
        <v>1.7</v>
      </c>
      <c r="R556" s="10">
        <f>IF('[1]Pizza Sales Calculations'!$G556=TRUE, [1]Parameters!$B$17*'[1]Pizza Sales Calculations'!$L556*2, 0)</f>
        <v>2.5688888897420838</v>
      </c>
      <c r="S556" t="str">
        <f>IF(I556&lt;[1]Parameters!$B$21,"TRUE","FALSE")</f>
        <v>TRUE</v>
      </c>
      <c r="T556" s="5">
        <f>(I556/[1]Parameters!$B$25)*60</f>
        <v>3.6292812775679599</v>
      </c>
      <c r="U556" s="10">
        <f>IF(AND('[1]Pizza Sales Calculations'!G556=TRUE,'[1]Pizza Sales Calculations'!S556="TRUE"),T556*[1]Parameters!$B$40*2,0)</f>
        <v>0.22654927548735362</v>
      </c>
      <c r="V556">
        <f>INDEX([1]Parameters!$A$3:$C$5,MATCH('[1]Pizza Sales Calculations'!D556,[1]Parameters!$A$3:$A$5,0),2)</f>
        <v>10</v>
      </c>
      <c r="W556" t="e">
        <f>INDEX([1]Parameters!$A$3:$C$5,MATCH('[1]Pizza Sales Calculations'!E556,[1]Parameters!$A$3:$A$5,0),2)</f>
        <v>#N/A</v>
      </c>
      <c r="X556" t="e">
        <f>INDEX([1]Parameters!$A$3:$C$5,MATCH('[1]Pizza Sales Calculations'!F556,[1]Parameters!$A$3:$A$5,0),2)</f>
        <v>#N/A</v>
      </c>
    </row>
    <row r="557" spans="1:24" x14ac:dyDescent="0.3">
      <c r="A557">
        <v>556</v>
      </c>
      <c r="B557" s="14">
        <v>42376.475902777776</v>
      </c>
      <c r="C557" s="14">
        <v>42376.486307870371</v>
      </c>
      <c r="D557" t="s">
        <v>5</v>
      </c>
      <c r="G557" t="b">
        <v>0</v>
      </c>
      <c r="H557">
        <v>70806</v>
      </c>
      <c r="I557" s="5">
        <v>0</v>
      </c>
      <c r="J557" s="14">
        <v>42376.488391203704</v>
      </c>
      <c r="K557">
        <v>15.35</v>
      </c>
      <c r="L557" s="5">
        <f>('[1]Pizza Sales Calculations'!$J557-'[1]Pizza Sales Calculations'!$C557)*24*60</f>
        <v>2.9999999993015081</v>
      </c>
      <c r="M557">
        <f>COUNTA('[1]Pizza Sales Calculations'!$D557:$F557)</f>
        <v>1</v>
      </c>
      <c r="N557">
        <f>IFERROR(VLOOKUP(D557,[1]Parameters!$A$3:$C$5,3,FALSE),0)</f>
        <v>2.2999999999999998</v>
      </c>
      <c r="O557">
        <f>IFERROR(VLOOKUP(E557,[1]Parameters!$A$3:$C$5,3,FALSE),0)</f>
        <v>0</v>
      </c>
      <c r="P557">
        <f>IFERROR(VLOOKUP(F557,[1]Parameters!$A$3:$C$5,3,FALSE),0)</f>
        <v>0</v>
      </c>
      <c r="Q557">
        <f t="shared" si="8"/>
        <v>2.2999999999999998</v>
      </c>
      <c r="R557" s="10">
        <f>IF('[1]Pizza Sales Calculations'!$G557=TRUE, [1]Parameters!$B$17*'[1]Pizza Sales Calculations'!$L557*2, 0)</f>
        <v>0</v>
      </c>
      <c r="S557" t="str">
        <f>IF(I557&lt;[1]Parameters!$B$21,"TRUE","FALSE")</f>
        <v>TRUE</v>
      </c>
      <c r="T557" s="5">
        <f>(I557/[1]Parameters!$B$25)*60</f>
        <v>0</v>
      </c>
      <c r="U557" s="10">
        <f>IF(AND('[1]Pizza Sales Calculations'!G557=TRUE,'[1]Pizza Sales Calculations'!S557="TRUE"),T557*[1]Parameters!$B$40*2,0)</f>
        <v>0</v>
      </c>
      <c r="V557">
        <f>INDEX([1]Parameters!$A$3:$C$5,MATCH('[1]Pizza Sales Calculations'!D557,[1]Parameters!$A$3:$A$5,0),2)</f>
        <v>14</v>
      </c>
      <c r="W557" t="e">
        <f>INDEX([1]Parameters!$A$3:$C$5,MATCH('[1]Pizza Sales Calculations'!E557,[1]Parameters!$A$3:$A$5,0),2)</f>
        <v>#N/A</v>
      </c>
      <c r="X557" t="e">
        <f>INDEX([1]Parameters!$A$3:$C$5,MATCH('[1]Pizza Sales Calculations'!F557,[1]Parameters!$A$3:$A$5,0),2)</f>
        <v>#N/A</v>
      </c>
    </row>
    <row r="558" spans="1:24" x14ac:dyDescent="0.3">
      <c r="A558">
        <v>557</v>
      </c>
      <c r="B558" s="14">
        <v>42376.473946759259</v>
      </c>
      <c r="C558" s="14">
        <v>42376.484363425923</v>
      </c>
      <c r="D558" t="s">
        <v>4</v>
      </c>
      <c r="G558" t="b">
        <v>1</v>
      </c>
      <c r="H558">
        <v>70806</v>
      </c>
      <c r="I558" s="5">
        <v>6.3533926179699698</v>
      </c>
      <c r="J558" s="14">
        <v>42376.506423611114</v>
      </c>
      <c r="K558">
        <v>11.59</v>
      </c>
      <c r="L558" s="5">
        <f>('[1]Pizza Sales Calculations'!$J558-'[1]Pizza Sales Calculations'!$C558)*24*60</f>
        <v>31.76666667452082</v>
      </c>
      <c r="M558">
        <f>COUNTA('[1]Pizza Sales Calculations'!$D558:$F558)</f>
        <v>1</v>
      </c>
      <c r="N558">
        <f>IFERROR(VLOOKUP(D558,[1]Parameters!$A$3:$C$5,3,FALSE),0)</f>
        <v>1.7</v>
      </c>
      <c r="O558">
        <f>IFERROR(VLOOKUP(E558,[1]Parameters!$A$3:$C$5,3,FALSE),0)</f>
        <v>0</v>
      </c>
      <c r="P558">
        <f>IFERROR(VLOOKUP(F558,[1]Parameters!$A$3:$C$5,3,FALSE),0)</f>
        <v>0</v>
      </c>
      <c r="Q558">
        <f t="shared" si="8"/>
        <v>1.7</v>
      </c>
      <c r="R558" s="10">
        <f>IF('[1]Pizza Sales Calculations'!$G558=TRUE, [1]Parameters!$B$17*'[1]Pizza Sales Calculations'!$L558*2, 0)</f>
        <v>9.0005555577808991</v>
      </c>
      <c r="S558" t="str">
        <f>IF(I558&lt;[1]Parameters!$B$21,"TRUE","FALSE")</f>
        <v>FALSE</v>
      </c>
      <c r="T558" s="5">
        <f>(I558/[1]Parameters!$B$25)*60</f>
        <v>12.70678523593994</v>
      </c>
      <c r="U558" s="10">
        <f>IF(AND('[1]Pizza Sales Calculations'!G558=TRUE,'[1]Pizza Sales Calculations'!S558="TRUE"),T558*[1]Parameters!$B$40*2,0)</f>
        <v>0</v>
      </c>
      <c r="V558">
        <f>INDEX([1]Parameters!$A$3:$C$5,MATCH('[1]Pizza Sales Calculations'!D558,[1]Parameters!$A$3:$A$5,0),2)</f>
        <v>10</v>
      </c>
      <c r="W558" t="e">
        <f>INDEX([1]Parameters!$A$3:$C$5,MATCH('[1]Pizza Sales Calculations'!E558,[1]Parameters!$A$3:$A$5,0),2)</f>
        <v>#N/A</v>
      </c>
      <c r="X558" t="e">
        <f>INDEX([1]Parameters!$A$3:$C$5,MATCH('[1]Pizza Sales Calculations'!F558,[1]Parameters!$A$3:$A$5,0),2)</f>
        <v>#N/A</v>
      </c>
    </row>
    <row r="559" spans="1:24" x14ac:dyDescent="0.3">
      <c r="A559">
        <v>558</v>
      </c>
      <c r="B559" s="14">
        <v>42376.561435185184</v>
      </c>
      <c r="C559" s="14">
        <v>42376.571851851855</v>
      </c>
      <c r="D559" t="s">
        <v>4</v>
      </c>
      <c r="G559" t="b">
        <v>0</v>
      </c>
      <c r="H559">
        <v>70805</v>
      </c>
      <c r="I559" s="5">
        <v>0</v>
      </c>
      <c r="J559" s="14">
        <v>42376.573935185188</v>
      </c>
      <c r="K559">
        <v>11.59</v>
      </c>
      <c r="L559" s="5">
        <f>('[1]Pizza Sales Calculations'!$J559-'[1]Pizza Sales Calculations'!$C559)*24*60</f>
        <v>2.9999999993015081</v>
      </c>
      <c r="M559">
        <f>COUNTA('[1]Pizza Sales Calculations'!$D559:$F559)</f>
        <v>1</v>
      </c>
      <c r="N559">
        <f>IFERROR(VLOOKUP(D559,[1]Parameters!$A$3:$C$5,3,FALSE),0)</f>
        <v>1.7</v>
      </c>
      <c r="O559">
        <f>IFERROR(VLOOKUP(E559,[1]Parameters!$A$3:$C$5,3,FALSE),0)</f>
        <v>0</v>
      </c>
      <c r="P559">
        <f>IFERROR(VLOOKUP(F559,[1]Parameters!$A$3:$C$5,3,FALSE),0)</f>
        <v>0</v>
      </c>
      <c r="Q559">
        <f t="shared" si="8"/>
        <v>1.7</v>
      </c>
      <c r="R559" s="10">
        <f>IF('[1]Pizza Sales Calculations'!$G559=TRUE, [1]Parameters!$B$17*'[1]Pizza Sales Calculations'!$L559*2, 0)</f>
        <v>0</v>
      </c>
      <c r="S559" t="str">
        <f>IF(I559&lt;[1]Parameters!$B$21,"TRUE","FALSE")</f>
        <v>TRUE</v>
      </c>
      <c r="T559" s="5">
        <f>(I559/[1]Parameters!$B$25)*60</f>
        <v>0</v>
      </c>
      <c r="U559" s="10">
        <f>IF(AND('[1]Pizza Sales Calculations'!G559=TRUE,'[1]Pizza Sales Calculations'!S559="TRUE"),T559*[1]Parameters!$B$40*2,0)</f>
        <v>0</v>
      </c>
      <c r="V559">
        <f>INDEX([1]Parameters!$A$3:$C$5,MATCH('[1]Pizza Sales Calculations'!D559,[1]Parameters!$A$3:$A$5,0),2)</f>
        <v>10</v>
      </c>
      <c r="W559" t="e">
        <f>INDEX([1]Parameters!$A$3:$C$5,MATCH('[1]Pizza Sales Calculations'!E559,[1]Parameters!$A$3:$A$5,0),2)</f>
        <v>#N/A</v>
      </c>
      <c r="X559" t="e">
        <f>INDEX([1]Parameters!$A$3:$C$5,MATCH('[1]Pizza Sales Calculations'!F559,[1]Parameters!$A$3:$A$5,0),2)</f>
        <v>#N/A</v>
      </c>
    </row>
    <row r="560" spans="1:24" x14ac:dyDescent="0.3">
      <c r="A560">
        <v>559</v>
      </c>
      <c r="B560" s="14">
        <v>42376.603692129633</v>
      </c>
      <c r="C560" s="14">
        <v>42376.61409722222</v>
      </c>
      <c r="D560" t="s">
        <v>3</v>
      </c>
      <c r="E560" t="s">
        <v>4</v>
      </c>
      <c r="G560" t="b">
        <v>0</v>
      </c>
      <c r="H560">
        <v>70803</v>
      </c>
      <c r="I560" s="5">
        <v>0</v>
      </c>
      <c r="J560" s="14">
        <v>42376.616180555553</v>
      </c>
      <c r="K560">
        <v>19.579999999999998</v>
      </c>
      <c r="L560" s="5">
        <f>('[1]Pizza Sales Calculations'!$J560-'[1]Pizza Sales Calculations'!$C560)*24*60</f>
        <v>2.9999999993015081</v>
      </c>
      <c r="M560">
        <f>COUNTA('[1]Pizza Sales Calculations'!$D560:$F560)</f>
        <v>2</v>
      </c>
      <c r="N560">
        <f>IFERROR(VLOOKUP(D560,[1]Parameters!$A$3:$C$5,3,FALSE),0)</f>
        <v>1</v>
      </c>
      <c r="O560">
        <f>IFERROR(VLOOKUP(E560,[1]Parameters!$A$3:$C$5,3,FALSE),0)</f>
        <v>1.7</v>
      </c>
      <c r="P560">
        <f>IFERROR(VLOOKUP(F560,[1]Parameters!$A$3:$C$5,3,FALSE),0)</f>
        <v>0</v>
      </c>
      <c r="Q560">
        <f t="shared" si="8"/>
        <v>2.7</v>
      </c>
      <c r="R560" s="10">
        <f>IF('[1]Pizza Sales Calculations'!$G560=TRUE, [1]Parameters!$B$17*'[1]Pizza Sales Calculations'!$L560*2, 0)</f>
        <v>0</v>
      </c>
      <c r="S560" t="str">
        <f>IF(I560&lt;[1]Parameters!$B$21,"TRUE","FALSE")</f>
        <v>TRUE</v>
      </c>
      <c r="T560" s="5">
        <f>(I560/[1]Parameters!$B$25)*60</f>
        <v>0</v>
      </c>
      <c r="U560" s="10">
        <f>IF(AND('[1]Pizza Sales Calculations'!G560=TRUE,'[1]Pizza Sales Calculations'!S560="TRUE"),T560*[1]Parameters!$B$40*2,0)</f>
        <v>0</v>
      </c>
      <c r="V560">
        <f>INDEX([1]Parameters!$A$3:$C$5,MATCH('[1]Pizza Sales Calculations'!D560,[1]Parameters!$A$3:$A$5,0),2)</f>
        <v>7</v>
      </c>
      <c r="W560">
        <f>INDEX([1]Parameters!$A$3:$C$5,MATCH('[1]Pizza Sales Calculations'!E560,[1]Parameters!$A$3:$A$5,0),2)</f>
        <v>10</v>
      </c>
      <c r="X560" t="e">
        <f>INDEX([1]Parameters!$A$3:$C$5,MATCH('[1]Pizza Sales Calculations'!F560,[1]Parameters!$A$3:$A$5,0),2)</f>
        <v>#N/A</v>
      </c>
    </row>
    <row r="561" spans="1:24" x14ac:dyDescent="0.3">
      <c r="A561">
        <v>560</v>
      </c>
      <c r="B561" s="14">
        <v>42376.467870370368</v>
      </c>
      <c r="C561" s="14">
        <v>42376.478275462963</v>
      </c>
      <c r="D561" t="s">
        <v>3</v>
      </c>
      <c r="G561" t="b">
        <v>1</v>
      </c>
      <c r="H561">
        <v>70806</v>
      </c>
      <c r="I561" s="5">
        <v>3.14893748712747</v>
      </c>
      <c r="J561" s="14">
        <v>42376.489201388889</v>
      </c>
      <c r="K561">
        <v>7.99</v>
      </c>
      <c r="L561" s="5">
        <f>('[1]Pizza Sales Calculations'!$J561-'[1]Pizza Sales Calculations'!$C561)*24*60</f>
        <v>15.733333333628252</v>
      </c>
      <c r="M561">
        <f>COUNTA('[1]Pizza Sales Calculations'!$D561:$F561)</f>
        <v>1</v>
      </c>
      <c r="N561">
        <f>IFERROR(VLOOKUP(D561,[1]Parameters!$A$3:$C$5,3,FALSE),0)</f>
        <v>1</v>
      </c>
      <c r="O561">
        <f>IFERROR(VLOOKUP(E561,[1]Parameters!$A$3:$C$5,3,FALSE),0)</f>
        <v>0</v>
      </c>
      <c r="P561">
        <f>IFERROR(VLOOKUP(F561,[1]Parameters!$A$3:$C$5,3,FALSE),0)</f>
        <v>0</v>
      </c>
      <c r="Q561">
        <f t="shared" si="8"/>
        <v>1</v>
      </c>
      <c r="R561" s="10">
        <f>IF('[1]Pizza Sales Calculations'!$G561=TRUE, [1]Parameters!$B$17*'[1]Pizza Sales Calculations'!$L561*2, 0)</f>
        <v>4.4577777778613381</v>
      </c>
      <c r="S561" t="str">
        <f>IF(I561&lt;[1]Parameters!$B$21,"TRUE","FALSE")</f>
        <v>TRUE</v>
      </c>
      <c r="T561" s="5">
        <f>(I561/[1]Parameters!$B$25)*60</f>
        <v>6.29787497425494</v>
      </c>
      <c r="U561" s="10">
        <f>IF(AND('[1]Pizza Sales Calculations'!G561=TRUE,'[1]Pizza Sales Calculations'!S561="TRUE"),T561*[1]Parameters!$B$40*2,0)</f>
        <v>0.39312990738582276</v>
      </c>
      <c r="V561">
        <f>INDEX([1]Parameters!$A$3:$C$5,MATCH('[1]Pizza Sales Calculations'!D561,[1]Parameters!$A$3:$A$5,0),2)</f>
        <v>7</v>
      </c>
      <c r="W561" t="e">
        <f>INDEX([1]Parameters!$A$3:$C$5,MATCH('[1]Pizza Sales Calculations'!E561,[1]Parameters!$A$3:$A$5,0),2)</f>
        <v>#N/A</v>
      </c>
      <c r="X561" t="e">
        <f>INDEX([1]Parameters!$A$3:$C$5,MATCH('[1]Pizza Sales Calculations'!F561,[1]Parameters!$A$3:$A$5,0),2)</f>
        <v>#N/A</v>
      </c>
    </row>
    <row r="562" spans="1:24" x14ac:dyDescent="0.3">
      <c r="A562">
        <v>561</v>
      </c>
      <c r="B562" s="14">
        <v>42376.548020833332</v>
      </c>
      <c r="C562" s="14">
        <v>42376.558425925927</v>
      </c>
      <c r="D562" t="s">
        <v>3</v>
      </c>
      <c r="G562" t="b">
        <v>0</v>
      </c>
      <c r="H562">
        <v>70805</v>
      </c>
      <c r="I562" s="5">
        <v>0</v>
      </c>
      <c r="J562" s="14">
        <v>42376.56050925926</v>
      </c>
      <c r="K562">
        <v>7.99</v>
      </c>
      <c r="L562" s="5">
        <f>('[1]Pizza Sales Calculations'!$J562-'[1]Pizza Sales Calculations'!$C562)*24*60</f>
        <v>2.9999999993015081</v>
      </c>
      <c r="M562">
        <f>COUNTA('[1]Pizza Sales Calculations'!$D562:$F562)</f>
        <v>1</v>
      </c>
      <c r="N562">
        <f>IFERROR(VLOOKUP(D562,[1]Parameters!$A$3:$C$5,3,FALSE),0)</f>
        <v>1</v>
      </c>
      <c r="O562">
        <f>IFERROR(VLOOKUP(E562,[1]Parameters!$A$3:$C$5,3,FALSE),0)</f>
        <v>0</v>
      </c>
      <c r="P562">
        <f>IFERROR(VLOOKUP(F562,[1]Parameters!$A$3:$C$5,3,FALSE),0)</f>
        <v>0</v>
      </c>
      <c r="Q562">
        <f t="shared" si="8"/>
        <v>1</v>
      </c>
      <c r="R562" s="10">
        <f>IF('[1]Pizza Sales Calculations'!$G562=TRUE, [1]Parameters!$B$17*'[1]Pizza Sales Calculations'!$L562*2, 0)</f>
        <v>0</v>
      </c>
      <c r="S562" t="str">
        <f>IF(I562&lt;[1]Parameters!$B$21,"TRUE","FALSE")</f>
        <v>TRUE</v>
      </c>
      <c r="T562" s="5">
        <f>(I562/[1]Parameters!$B$25)*60</f>
        <v>0</v>
      </c>
      <c r="U562" s="10">
        <f>IF(AND('[1]Pizza Sales Calculations'!G562=TRUE,'[1]Pizza Sales Calculations'!S562="TRUE"),T562*[1]Parameters!$B$40*2,0)</f>
        <v>0</v>
      </c>
      <c r="V562">
        <f>INDEX([1]Parameters!$A$3:$C$5,MATCH('[1]Pizza Sales Calculations'!D562,[1]Parameters!$A$3:$A$5,0),2)</f>
        <v>7</v>
      </c>
      <c r="W562" t="e">
        <f>INDEX([1]Parameters!$A$3:$C$5,MATCH('[1]Pizza Sales Calculations'!E562,[1]Parameters!$A$3:$A$5,0),2)</f>
        <v>#N/A</v>
      </c>
      <c r="X562" t="e">
        <f>INDEX([1]Parameters!$A$3:$C$5,MATCH('[1]Pizza Sales Calculations'!F562,[1]Parameters!$A$3:$A$5,0),2)</f>
        <v>#N/A</v>
      </c>
    </row>
    <row r="563" spans="1:24" x14ac:dyDescent="0.3">
      <c r="A563">
        <v>562</v>
      </c>
      <c r="B563" s="14">
        <v>42376.573657407411</v>
      </c>
      <c r="C563" s="14">
        <v>42376.584062499998</v>
      </c>
      <c r="D563" t="s">
        <v>5</v>
      </c>
      <c r="G563" t="b">
        <v>0</v>
      </c>
      <c r="H563">
        <v>70805</v>
      </c>
      <c r="I563" s="5">
        <v>0</v>
      </c>
      <c r="J563" s="14">
        <v>42376.586157407408</v>
      </c>
      <c r="K563">
        <v>15.35</v>
      </c>
      <c r="L563" s="5">
        <f>('[1]Pizza Sales Calculations'!$J563-'[1]Pizza Sales Calculations'!$C563)*24*60</f>
        <v>3.0166666698642075</v>
      </c>
      <c r="M563">
        <f>COUNTA('[1]Pizza Sales Calculations'!$D563:$F563)</f>
        <v>1</v>
      </c>
      <c r="N563">
        <f>IFERROR(VLOOKUP(D563,[1]Parameters!$A$3:$C$5,3,FALSE),0)</f>
        <v>2.2999999999999998</v>
      </c>
      <c r="O563">
        <f>IFERROR(VLOOKUP(E563,[1]Parameters!$A$3:$C$5,3,FALSE),0)</f>
        <v>0</v>
      </c>
      <c r="P563">
        <f>IFERROR(VLOOKUP(F563,[1]Parameters!$A$3:$C$5,3,FALSE),0)</f>
        <v>0</v>
      </c>
      <c r="Q563">
        <f t="shared" si="8"/>
        <v>2.2999999999999998</v>
      </c>
      <c r="R563" s="10">
        <f>IF('[1]Pizza Sales Calculations'!$G563=TRUE, [1]Parameters!$B$17*'[1]Pizza Sales Calculations'!$L563*2, 0)</f>
        <v>0</v>
      </c>
      <c r="S563" t="str">
        <f>IF(I563&lt;[1]Parameters!$B$21,"TRUE","FALSE")</f>
        <v>TRUE</v>
      </c>
      <c r="T563" s="5">
        <f>(I563/[1]Parameters!$B$25)*60</f>
        <v>0</v>
      </c>
      <c r="U563" s="10">
        <f>IF(AND('[1]Pizza Sales Calculations'!G563=TRUE,'[1]Pizza Sales Calculations'!S563="TRUE"),T563*[1]Parameters!$B$40*2,0)</f>
        <v>0</v>
      </c>
      <c r="V563">
        <f>INDEX([1]Parameters!$A$3:$C$5,MATCH('[1]Pizza Sales Calculations'!D563,[1]Parameters!$A$3:$A$5,0),2)</f>
        <v>14</v>
      </c>
      <c r="W563" t="e">
        <f>INDEX([1]Parameters!$A$3:$C$5,MATCH('[1]Pizza Sales Calculations'!E563,[1]Parameters!$A$3:$A$5,0),2)</f>
        <v>#N/A</v>
      </c>
      <c r="X563" t="e">
        <f>INDEX([1]Parameters!$A$3:$C$5,MATCH('[1]Pizza Sales Calculations'!F563,[1]Parameters!$A$3:$A$5,0),2)</f>
        <v>#N/A</v>
      </c>
    </row>
    <row r="564" spans="1:24" x14ac:dyDescent="0.3">
      <c r="A564">
        <v>563</v>
      </c>
      <c r="B564" s="14">
        <v>42376.482835648145</v>
      </c>
      <c r="C564" s="14">
        <v>42376.49322916667</v>
      </c>
      <c r="D564" t="s">
        <v>3</v>
      </c>
      <c r="G564" t="b">
        <v>1</v>
      </c>
      <c r="H564">
        <v>70805</v>
      </c>
      <c r="I564" s="5">
        <v>3.0764376785993002</v>
      </c>
      <c r="J564" s="14">
        <v>42376.503900462965</v>
      </c>
      <c r="K564">
        <v>7.99</v>
      </c>
      <c r="L564" s="5">
        <f>('[1]Pizza Sales Calculations'!$J564-'[1]Pizza Sales Calculations'!$C564)*24*60</f>
        <v>15.366666665067896</v>
      </c>
      <c r="M564">
        <f>COUNTA('[1]Pizza Sales Calculations'!$D564:$F564)</f>
        <v>1</v>
      </c>
      <c r="N564">
        <f>IFERROR(VLOOKUP(D564,[1]Parameters!$A$3:$C$5,3,FALSE),0)</f>
        <v>1</v>
      </c>
      <c r="O564">
        <f>IFERROR(VLOOKUP(E564,[1]Parameters!$A$3:$C$5,3,FALSE),0)</f>
        <v>0</v>
      </c>
      <c r="P564">
        <f>IFERROR(VLOOKUP(F564,[1]Parameters!$A$3:$C$5,3,FALSE),0)</f>
        <v>0</v>
      </c>
      <c r="Q564">
        <f t="shared" si="8"/>
        <v>1</v>
      </c>
      <c r="R564" s="10">
        <f>IF('[1]Pizza Sales Calculations'!$G564=TRUE, [1]Parameters!$B$17*'[1]Pizza Sales Calculations'!$L564*2, 0)</f>
        <v>4.3538888884359039</v>
      </c>
      <c r="S564" t="str">
        <f>IF(I564&lt;[1]Parameters!$B$21,"TRUE","FALSE")</f>
        <v>TRUE</v>
      </c>
      <c r="T564" s="5">
        <f>(I564/[1]Parameters!$B$25)*60</f>
        <v>6.1528753571986003</v>
      </c>
      <c r="U564" s="10">
        <f>IF(AND('[1]Pizza Sales Calculations'!G564=TRUE,'[1]Pizza Sales Calculations'!S564="TRUE"),T564*[1]Parameters!$B$40*2,0)</f>
        <v>0.38407865021457632</v>
      </c>
      <c r="V564">
        <f>INDEX([1]Parameters!$A$3:$C$5,MATCH('[1]Pizza Sales Calculations'!D564,[1]Parameters!$A$3:$A$5,0),2)</f>
        <v>7</v>
      </c>
      <c r="W564" t="e">
        <f>INDEX([1]Parameters!$A$3:$C$5,MATCH('[1]Pizza Sales Calculations'!E564,[1]Parameters!$A$3:$A$5,0),2)</f>
        <v>#N/A</v>
      </c>
      <c r="X564" t="e">
        <f>INDEX([1]Parameters!$A$3:$C$5,MATCH('[1]Pizza Sales Calculations'!F564,[1]Parameters!$A$3:$A$5,0),2)</f>
        <v>#N/A</v>
      </c>
    </row>
    <row r="565" spans="1:24" x14ac:dyDescent="0.3">
      <c r="A565">
        <v>564</v>
      </c>
      <c r="B565" s="14">
        <v>42376.453067129631</v>
      </c>
      <c r="C565" s="14">
        <v>42376.463483796295</v>
      </c>
      <c r="D565" t="s">
        <v>5</v>
      </c>
      <c r="G565" t="b">
        <v>1</v>
      </c>
      <c r="H565">
        <v>70805</v>
      </c>
      <c r="I565" s="5">
        <v>1.65559189284466</v>
      </c>
      <c r="J565" s="14">
        <v>42376.469224537039</v>
      </c>
      <c r="K565">
        <v>15.35</v>
      </c>
      <c r="L565" s="5">
        <f>('[1]Pizza Sales Calculations'!$J565-'[1]Pizza Sales Calculations'!$C565)*24*60</f>
        <v>8.2666666712611914</v>
      </c>
      <c r="M565">
        <f>COUNTA('[1]Pizza Sales Calculations'!$D565:$F565)</f>
        <v>1</v>
      </c>
      <c r="N565">
        <f>IFERROR(VLOOKUP(D565,[1]Parameters!$A$3:$C$5,3,FALSE),0)</f>
        <v>2.2999999999999998</v>
      </c>
      <c r="O565">
        <f>IFERROR(VLOOKUP(E565,[1]Parameters!$A$3:$C$5,3,FALSE),0)</f>
        <v>0</v>
      </c>
      <c r="P565">
        <f>IFERROR(VLOOKUP(F565,[1]Parameters!$A$3:$C$5,3,FALSE),0)</f>
        <v>0</v>
      </c>
      <c r="Q565">
        <f t="shared" si="8"/>
        <v>2.2999999999999998</v>
      </c>
      <c r="R565" s="10">
        <f>IF('[1]Pizza Sales Calculations'!$G565=TRUE, [1]Parameters!$B$17*'[1]Pizza Sales Calculations'!$L565*2, 0)</f>
        <v>2.3422222235240042</v>
      </c>
      <c r="S565" t="str">
        <f>IF(I565&lt;[1]Parameters!$B$21,"TRUE","FALSE")</f>
        <v>TRUE</v>
      </c>
      <c r="T565" s="5">
        <f>(I565/[1]Parameters!$B$25)*60</f>
        <v>3.31118378568932</v>
      </c>
      <c r="U565" s="10">
        <f>IF(AND('[1]Pizza Sales Calculations'!G565=TRUE,'[1]Pizza Sales Calculations'!S565="TRUE"),T565*[1]Parameters!$B$40*2,0)</f>
        <v>0.20669279404986582</v>
      </c>
      <c r="V565">
        <f>INDEX([1]Parameters!$A$3:$C$5,MATCH('[1]Pizza Sales Calculations'!D565,[1]Parameters!$A$3:$A$5,0),2)</f>
        <v>14</v>
      </c>
      <c r="W565" t="e">
        <f>INDEX([1]Parameters!$A$3:$C$5,MATCH('[1]Pizza Sales Calculations'!E565,[1]Parameters!$A$3:$A$5,0),2)</f>
        <v>#N/A</v>
      </c>
      <c r="X565" t="e">
        <f>INDEX([1]Parameters!$A$3:$C$5,MATCH('[1]Pizza Sales Calculations'!F565,[1]Parameters!$A$3:$A$5,0),2)</f>
        <v>#N/A</v>
      </c>
    </row>
    <row r="566" spans="1:24" x14ac:dyDescent="0.3">
      <c r="A566">
        <v>565</v>
      </c>
      <c r="B566" s="14">
        <v>42376.553819444445</v>
      </c>
      <c r="C566" s="14">
        <v>42376.564247685186</v>
      </c>
      <c r="D566" t="s">
        <v>4</v>
      </c>
      <c r="G566" t="b">
        <v>0</v>
      </c>
      <c r="H566">
        <v>70805</v>
      </c>
      <c r="I566" s="5">
        <v>0</v>
      </c>
      <c r="J566" s="14">
        <v>42376.566342592596</v>
      </c>
      <c r="K566">
        <v>11.59</v>
      </c>
      <c r="L566" s="5">
        <f>('[1]Pizza Sales Calculations'!$J566-'[1]Pizza Sales Calculations'!$C566)*24*60</f>
        <v>3.0166666698642075</v>
      </c>
      <c r="M566">
        <f>COUNTA('[1]Pizza Sales Calculations'!$D566:$F566)</f>
        <v>1</v>
      </c>
      <c r="N566">
        <f>IFERROR(VLOOKUP(D566,[1]Parameters!$A$3:$C$5,3,FALSE),0)</f>
        <v>1.7</v>
      </c>
      <c r="O566">
        <f>IFERROR(VLOOKUP(E566,[1]Parameters!$A$3:$C$5,3,FALSE),0)</f>
        <v>0</v>
      </c>
      <c r="P566">
        <f>IFERROR(VLOOKUP(F566,[1]Parameters!$A$3:$C$5,3,FALSE),0)</f>
        <v>0</v>
      </c>
      <c r="Q566">
        <f t="shared" si="8"/>
        <v>1.7</v>
      </c>
      <c r="R566" s="10">
        <f>IF('[1]Pizza Sales Calculations'!$G566=TRUE, [1]Parameters!$B$17*'[1]Pizza Sales Calculations'!$L566*2, 0)</f>
        <v>0</v>
      </c>
      <c r="S566" t="str">
        <f>IF(I566&lt;[1]Parameters!$B$21,"TRUE","FALSE")</f>
        <v>TRUE</v>
      </c>
      <c r="T566" s="5">
        <f>(I566/[1]Parameters!$B$25)*60</f>
        <v>0</v>
      </c>
      <c r="U566" s="10">
        <f>IF(AND('[1]Pizza Sales Calculations'!G566=TRUE,'[1]Pizza Sales Calculations'!S566="TRUE"),T566*[1]Parameters!$B$40*2,0)</f>
        <v>0</v>
      </c>
      <c r="V566">
        <f>INDEX([1]Parameters!$A$3:$C$5,MATCH('[1]Pizza Sales Calculations'!D566,[1]Parameters!$A$3:$A$5,0),2)</f>
        <v>10</v>
      </c>
      <c r="W566" t="e">
        <f>INDEX([1]Parameters!$A$3:$C$5,MATCH('[1]Pizza Sales Calculations'!E566,[1]Parameters!$A$3:$A$5,0),2)</f>
        <v>#N/A</v>
      </c>
      <c r="X566" t="e">
        <f>INDEX([1]Parameters!$A$3:$C$5,MATCH('[1]Pizza Sales Calculations'!F566,[1]Parameters!$A$3:$A$5,0),2)</f>
        <v>#N/A</v>
      </c>
    </row>
    <row r="567" spans="1:24" x14ac:dyDescent="0.3">
      <c r="A567">
        <v>566</v>
      </c>
      <c r="B567" s="14">
        <v>42376.555115740739</v>
      </c>
      <c r="C567" s="14">
        <v>42376.565520833334</v>
      </c>
      <c r="D567" t="s">
        <v>3</v>
      </c>
      <c r="E567" t="s">
        <v>5</v>
      </c>
      <c r="G567" t="b">
        <v>0</v>
      </c>
      <c r="H567">
        <v>70805</v>
      </c>
      <c r="I567" s="5">
        <v>0</v>
      </c>
      <c r="J567" s="14">
        <v>42376.56759259259</v>
      </c>
      <c r="K567">
        <v>23.34</v>
      </c>
      <c r="L567" s="5">
        <f>('[1]Pizza Sales Calculations'!$J567-'[1]Pizza Sales Calculations'!$C567)*24*60</f>
        <v>2.9833333287388086</v>
      </c>
      <c r="M567">
        <f>COUNTA('[1]Pizza Sales Calculations'!$D567:$F567)</f>
        <v>2</v>
      </c>
      <c r="N567">
        <f>IFERROR(VLOOKUP(D567,[1]Parameters!$A$3:$C$5,3,FALSE),0)</f>
        <v>1</v>
      </c>
      <c r="O567">
        <f>IFERROR(VLOOKUP(E567,[1]Parameters!$A$3:$C$5,3,FALSE),0)</f>
        <v>2.2999999999999998</v>
      </c>
      <c r="P567">
        <f>IFERROR(VLOOKUP(F567,[1]Parameters!$A$3:$C$5,3,FALSE),0)</f>
        <v>0</v>
      </c>
      <c r="Q567">
        <f t="shared" si="8"/>
        <v>3.3</v>
      </c>
      <c r="R567" s="10">
        <f>IF('[1]Pizza Sales Calculations'!$G567=TRUE, [1]Parameters!$B$17*'[1]Pizza Sales Calculations'!$L567*2, 0)</f>
        <v>0</v>
      </c>
      <c r="S567" t="str">
        <f>IF(I567&lt;[1]Parameters!$B$21,"TRUE","FALSE")</f>
        <v>TRUE</v>
      </c>
      <c r="T567" s="5">
        <f>(I567/[1]Parameters!$B$25)*60</f>
        <v>0</v>
      </c>
      <c r="U567" s="10">
        <f>IF(AND('[1]Pizza Sales Calculations'!G567=TRUE,'[1]Pizza Sales Calculations'!S567="TRUE"),T567*[1]Parameters!$B$40*2,0)</f>
        <v>0</v>
      </c>
      <c r="V567">
        <f>INDEX([1]Parameters!$A$3:$C$5,MATCH('[1]Pizza Sales Calculations'!D567,[1]Parameters!$A$3:$A$5,0),2)</f>
        <v>7</v>
      </c>
      <c r="W567">
        <f>INDEX([1]Parameters!$A$3:$C$5,MATCH('[1]Pizza Sales Calculations'!E567,[1]Parameters!$A$3:$A$5,0),2)</f>
        <v>14</v>
      </c>
      <c r="X567" t="e">
        <f>INDEX([1]Parameters!$A$3:$C$5,MATCH('[1]Pizza Sales Calculations'!F567,[1]Parameters!$A$3:$A$5,0),2)</f>
        <v>#N/A</v>
      </c>
    </row>
    <row r="568" spans="1:24" x14ac:dyDescent="0.3">
      <c r="A568">
        <v>567</v>
      </c>
      <c r="B568" s="14">
        <v>42376.552800925929</v>
      </c>
      <c r="C568" s="14">
        <v>42376.563194444447</v>
      </c>
      <c r="D568" t="s">
        <v>4</v>
      </c>
      <c r="G568" t="b">
        <v>1</v>
      </c>
      <c r="H568">
        <v>70805</v>
      </c>
      <c r="I568" s="5">
        <v>2.4283185133620799</v>
      </c>
      <c r="J568" s="14">
        <v>42376.571620370371</v>
      </c>
      <c r="K568">
        <v>11.59</v>
      </c>
      <c r="L568" s="5">
        <f>('[1]Pizza Sales Calculations'!$J568-'[1]Pizza Sales Calculations'!$C568)*24*60</f>
        <v>12.133333330275491</v>
      </c>
      <c r="M568">
        <f>COUNTA('[1]Pizza Sales Calculations'!$D568:$F568)</f>
        <v>1</v>
      </c>
      <c r="N568">
        <f>IFERROR(VLOOKUP(D568,[1]Parameters!$A$3:$C$5,3,FALSE),0)</f>
        <v>1.7</v>
      </c>
      <c r="O568">
        <f>IFERROR(VLOOKUP(E568,[1]Parameters!$A$3:$C$5,3,FALSE),0)</f>
        <v>0</v>
      </c>
      <c r="P568">
        <f>IFERROR(VLOOKUP(F568,[1]Parameters!$A$3:$C$5,3,FALSE),0)</f>
        <v>0</v>
      </c>
      <c r="Q568">
        <f t="shared" si="8"/>
        <v>1.7</v>
      </c>
      <c r="R568" s="10">
        <f>IF('[1]Pizza Sales Calculations'!$G568=TRUE, [1]Parameters!$B$17*'[1]Pizza Sales Calculations'!$L568*2, 0)</f>
        <v>3.4377777769113891</v>
      </c>
      <c r="S568" t="str">
        <f>IF(I568&lt;[1]Parameters!$B$21,"TRUE","FALSE")</f>
        <v>TRUE</v>
      </c>
      <c r="T568" s="5">
        <f>(I568/[1]Parameters!$B$25)*60</f>
        <v>4.8566370267241599</v>
      </c>
      <c r="U568" s="10">
        <f>IF(AND('[1]Pizza Sales Calculations'!G568=TRUE,'[1]Pizza Sales Calculations'!S568="TRUE"),T568*[1]Parameters!$B$40*2,0)</f>
        <v>0.30316404697260635</v>
      </c>
      <c r="V568">
        <f>INDEX([1]Parameters!$A$3:$C$5,MATCH('[1]Pizza Sales Calculations'!D568,[1]Parameters!$A$3:$A$5,0),2)</f>
        <v>10</v>
      </c>
      <c r="W568" t="e">
        <f>INDEX([1]Parameters!$A$3:$C$5,MATCH('[1]Pizza Sales Calculations'!E568,[1]Parameters!$A$3:$A$5,0),2)</f>
        <v>#N/A</v>
      </c>
      <c r="X568" t="e">
        <f>INDEX([1]Parameters!$A$3:$C$5,MATCH('[1]Pizza Sales Calculations'!F568,[1]Parameters!$A$3:$A$5,0),2)</f>
        <v>#N/A</v>
      </c>
    </row>
    <row r="569" spans="1:24" x14ac:dyDescent="0.3">
      <c r="A569">
        <v>568</v>
      </c>
      <c r="B569" s="14">
        <v>42376.432384259257</v>
      </c>
      <c r="C569" s="14">
        <v>42376.442800925928</v>
      </c>
      <c r="D569" t="s">
        <v>3</v>
      </c>
      <c r="G569" t="b">
        <v>1</v>
      </c>
      <c r="H569">
        <v>70804</v>
      </c>
      <c r="I569" s="5">
        <v>2.35083562456412</v>
      </c>
      <c r="J569" s="14">
        <v>42376.450960648152</v>
      </c>
      <c r="K569">
        <v>7.99</v>
      </c>
      <c r="L569" s="5">
        <f>('[1]Pizza Sales Calculations'!$J569-'[1]Pizza Sales Calculations'!$C569)*24*60</f>
        <v>11.750000001629815</v>
      </c>
      <c r="M569">
        <f>COUNTA('[1]Pizza Sales Calculations'!$D569:$F569)</f>
        <v>1</v>
      </c>
      <c r="N569">
        <f>IFERROR(VLOOKUP(D569,[1]Parameters!$A$3:$C$5,3,FALSE),0)</f>
        <v>1</v>
      </c>
      <c r="O569">
        <f>IFERROR(VLOOKUP(E569,[1]Parameters!$A$3:$C$5,3,FALSE),0)</f>
        <v>0</v>
      </c>
      <c r="P569">
        <f>IFERROR(VLOOKUP(F569,[1]Parameters!$A$3:$C$5,3,FALSE),0)</f>
        <v>0</v>
      </c>
      <c r="Q569">
        <f t="shared" si="8"/>
        <v>1</v>
      </c>
      <c r="R569" s="10">
        <f>IF('[1]Pizza Sales Calculations'!$G569=TRUE, [1]Parameters!$B$17*'[1]Pizza Sales Calculations'!$L569*2, 0)</f>
        <v>3.3291666671284474</v>
      </c>
      <c r="S569" t="str">
        <f>IF(I569&lt;[1]Parameters!$B$21,"TRUE","FALSE")</f>
        <v>TRUE</v>
      </c>
      <c r="T569" s="5">
        <f>(I569/[1]Parameters!$B$25)*60</f>
        <v>4.70167124912824</v>
      </c>
      <c r="U569" s="10">
        <f>IF(AND('[1]Pizza Sales Calculations'!G569=TRUE,'[1]Pizza Sales Calculations'!S569="TRUE"),T569*[1]Parameters!$B$40*2,0)</f>
        <v>0.29349067586833744</v>
      </c>
      <c r="V569">
        <f>INDEX([1]Parameters!$A$3:$C$5,MATCH('[1]Pizza Sales Calculations'!D569,[1]Parameters!$A$3:$A$5,0),2)</f>
        <v>7</v>
      </c>
      <c r="W569" t="e">
        <f>INDEX([1]Parameters!$A$3:$C$5,MATCH('[1]Pizza Sales Calculations'!E569,[1]Parameters!$A$3:$A$5,0),2)</f>
        <v>#N/A</v>
      </c>
      <c r="X569" t="e">
        <f>INDEX([1]Parameters!$A$3:$C$5,MATCH('[1]Pizza Sales Calculations'!F569,[1]Parameters!$A$3:$A$5,0),2)</f>
        <v>#N/A</v>
      </c>
    </row>
    <row r="570" spans="1:24" x14ac:dyDescent="0.3">
      <c r="A570">
        <v>569</v>
      </c>
      <c r="B570" s="14">
        <v>42376.562962962962</v>
      </c>
      <c r="C570" s="14">
        <v>42376.573368055557</v>
      </c>
      <c r="D570" t="s">
        <v>4</v>
      </c>
      <c r="G570" t="b">
        <v>0</v>
      </c>
      <c r="H570">
        <v>70805</v>
      </c>
      <c r="I570" s="5">
        <v>0</v>
      </c>
      <c r="J570" s="14">
        <v>42376.575439814813</v>
      </c>
      <c r="K570">
        <v>11.59</v>
      </c>
      <c r="L570" s="5">
        <f>('[1]Pizza Sales Calculations'!$J570-'[1]Pizza Sales Calculations'!$C570)*24*60</f>
        <v>2.9833333287388086</v>
      </c>
      <c r="M570">
        <f>COUNTA('[1]Pizza Sales Calculations'!$D570:$F570)</f>
        <v>1</v>
      </c>
      <c r="N570">
        <f>IFERROR(VLOOKUP(D570,[1]Parameters!$A$3:$C$5,3,FALSE),0)</f>
        <v>1.7</v>
      </c>
      <c r="O570">
        <f>IFERROR(VLOOKUP(E570,[1]Parameters!$A$3:$C$5,3,FALSE),0)</f>
        <v>0</v>
      </c>
      <c r="P570">
        <f>IFERROR(VLOOKUP(F570,[1]Parameters!$A$3:$C$5,3,FALSE),0)</f>
        <v>0</v>
      </c>
      <c r="Q570">
        <f t="shared" si="8"/>
        <v>1.7</v>
      </c>
      <c r="R570" s="10">
        <f>IF('[1]Pizza Sales Calculations'!$G570=TRUE, [1]Parameters!$B$17*'[1]Pizza Sales Calculations'!$L570*2, 0)</f>
        <v>0</v>
      </c>
      <c r="S570" t="str">
        <f>IF(I570&lt;[1]Parameters!$B$21,"TRUE","FALSE")</f>
        <v>TRUE</v>
      </c>
      <c r="T570" s="5">
        <f>(I570/[1]Parameters!$B$25)*60</f>
        <v>0</v>
      </c>
      <c r="U570" s="10">
        <f>IF(AND('[1]Pizza Sales Calculations'!G570=TRUE,'[1]Pizza Sales Calculations'!S570="TRUE"),T570*[1]Parameters!$B$40*2,0)</f>
        <v>0</v>
      </c>
      <c r="V570">
        <f>INDEX([1]Parameters!$A$3:$C$5,MATCH('[1]Pizza Sales Calculations'!D570,[1]Parameters!$A$3:$A$5,0),2)</f>
        <v>10</v>
      </c>
      <c r="W570" t="e">
        <f>INDEX([1]Parameters!$A$3:$C$5,MATCH('[1]Pizza Sales Calculations'!E570,[1]Parameters!$A$3:$A$5,0),2)</f>
        <v>#N/A</v>
      </c>
      <c r="X570" t="e">
        <f>INDEX([1]Parameters!$A$3:$C$5,MATCH('[1]Pizza Sales Calculations'!F570,[1]Parameters!$A$3:$A$5,0),2)</f>
        <v>#N/A</v>
      </c>
    </row>
    <row r="571" spans="1:24" x14ac:dyDescent="0.3">
      <c r="A571">
        <v>570</v>
      </c>
      <c r="B571" s="14">
        <v>42376.518101851849</v>
      </c>
      <c r="C571" s="14">
        <v>42376.528506944444</v>
      </c>
      <c r="D571" t="s">
        <v>3</v>
      </c>
      <c r="G571" t="b">
        <v>0</v>
      </c>
      <c r="H571">
        <v>70804</v>
      </c>
      <c r="I571" s="5">
        <v>0</v>
      </c>
      <c r="J571" s="14">
        <v>42376.530590277776</v>
      </c>
      <c r="K571">
        <v>7.99</v>
      </c>
      <c r="L571" s="5">
        <f>('[1]Pizza Sales Calculations'!$J571-'[1]Pizza Sales Calculations'!$C571)*24*60</f>
        <v>2.9999999993015081</v>
      </c>
      <c r="M571">
        <f>COUNTA('[1]Pizza Sales Calculations'!$D571:$F571)</f>
        <v>1</v>
      </c>
      <c r="N571">
        <f>IFERROR(VLOOKUP(D571,[1]Parameters!$A$3:$C$5,3,FALSE),0)</f>
        <v>1</v>
      </c>
      <c r="O571">
        <f>IFERROR(VLOOKUP(E571,[1]Parameters!$A$3:$C$5,3,FALSE),0)</f>
        <v>0</v>
      </c>
      <c r="P571">
        <f>IFERROR(VLOOKUP(F571,[1]Parameters!$A$3:$C$5,3,FALSE),0)</f>
        <v>0</v>
      </c>
      <c r="Q571">
        <f t="shared" si="8"/>
        <v>1</v>
      </c>
      <c r="R571" s="10">
        <f>IF('[1]Pizza Sales Calculations'!$G571=TRUE, [1]Parameters!$B$17*'[1]Pizza Sales Calculations'!$L571*2, 0)</f>
        <v>0</v>
      </c>
      <c r="S571" t="str">
        <f>IF(I571&lt;[1]Parameters!$B$21,"TRUE","FALSE")</f>
        <v>TRUE</v>
      </c>
      <c r="T571" s="5">
        <f>(I571/[1]Parameters!$B$25)*60</f>
        <v>0</v>
      </c>
      <c r="U571" s="10">
        <f>IF(AND('[1]Pizza Sales Calculations'!G571=TRUE,'[1]Pizza Sales Calculations'!S571="TRUE"),T571*[1]Parameters!$B$40*2,0)</f>
        <v>0</v>
      </c>
      <c r="V571">
        <f>INDEX([1]Parameters!$A$3:$C$5,MATCH('[1]Pizza Sales Calculations'!D571,[1]Parameters!$A$3:$A$5,0),2)</f>
        <v>7</v>
      </c>
      <c r="W571" t="e">
        <f>INDEX([1]Parameters!$A$3:$C$5,MATCH('[1]Pizza Sales Calculations'!E571,[1]Parameters!$A$3:$A$5,0),2)</f>
        <v>#N/A</v>
      </c>
      <c r="X571" t="e">
        <f>INDEX([1]Parameters!$A$3:$C$5,MATCH('[1]Pizza Sales Calculations'!F571,[1]Parameters!$A$3:$A$5,0),2)</f>
        <v>#N/A</v>
      </c>
    </row>
    <row r="572" spans="1:24" x14ac:dyDescent="0.3">
      <c r="A572">
        <v>571</v>
      </c>
      <c r="B572" s="14">
        <v>42376.527025462965</v>
      </c>
      <c r="C572" s="14">
        <v>42376.537442129629</v>
      </c>
      <c r="D572" t="s">
        <v>3</v>
      </c>
      <c r="G572" t="b">
        <v>1</v>
      </c>
      <c r="H572">
        <v>70806</v>
      </c>
      <c r="I572" s="5">
        <v>2.6980497931490599</v>
      </c>
      <c r="J572" s="14">
        <v>42376.546805555554</v>
      </c>
      <c r="K572">
        <v>7.99</v>
      </c>
      <c r="L572" s="5">
        <f>('[1]Pizza Sales Calculations'!$J572-'[1]Pizza Sales Calculations'!$C572)*24*60</f>
        <v>13.483333331532776</v>
      </c>
      <c r="M572">
        <f>COUNTA('[1]Pizza Sales Calculations'!$D572:$F572)</f>
        <v>1</v>
      </c>
      <c r="N572">
        <f>IFERROR(VLOOKUP(D572,[1]Parameters!$A$3:$C$5,3,FALSE),0)</f>
        <v>1</v>
      </c>
      <c r="O572">
        <f>IFERROR(VLOOKUP(E572,[1]Parameters!$A$3:$C$5,3,FALSE),0)</f>
        <v>0</v>
      </c>
      <c r="P572">
        <f>IFERROR(VLOOKUP(F572,[1]Parameters!$A$3:$C$5,3,FALSE),0)</f>
        <v>0</v>
      </c>
      <c r="Q572">
        <f t="shared" si="8"/>
        <v>1</v>
      </c>
      <c r="R572" s="10">
        <f>IF('[1]Pizza Sales Calculations'!$G572=TRUE, [1]Parameters!$B$17*'[1]Pizza Sales Calculations'!$L572*2, 0)</f>
        <v>3.82027777726762</v>
      </c>
      <c r="S572" t="str">
        <f>IF(I572&lt;[1]Parameters!$B$21,"TRUE","FALSE")</f>
        <v>TRUE</v>
      </c>
      <c r="T572" s="5">
        <f>(I572/[1]Parameters!$B$25)*60</f>
        <v>5.3960995862981198</v>
      </c>
      <c r="U572" s="10">
        <f>IF(AND('[1]Pizza Sales Calculations'!G572=TRUE,'[1]Pizza Sales Calculations'!S572="TRUE"),T572*[1]Parameters!$B$40*2,0)</f>
        <v>0.33683871770684387</v>
      </c>
      <c r="V572">
        <f>INDEX([1]Parameters!$A$3:$C$5,MATCH('[1]Pizza Sales Calculations'!D572,[1]Parameters!$A$3:$A$5,0),2)</f>
        <v>7</v>
      </c>
      <c r="W572" t="e">
        <f>INDEX([1]Parameters!$A$3:$C$5,MATCH('[1]Pizza Sales Calculations'!E572,[1]Parameters!$A$3:$A$5,0),2)</f>
        <v>#N/A</v>
      </c>
      <c r="X572" t="e">
        <f>INDEX([1]Parameters!$A$3:$C$5,MATCH('[1]Pizza Sales Calculations'!F572,[1]Parameters!$A$3:$A$5,0),2)</f>
        <v>#N/A</v>
      </c>
    </row>
    <row r="573" spans="1:24" x14ac:dyDescent="0.3">
      <c r="A573">
        <v>572</v>
      </c>
      <c r="B573" s="14">
        <v>42376.57949074074</v>
      </c>
      <c r="C573" s="14">
        <v>42376.589895833335</v>
      </c>
      <c r="D573" t="s">
        <v>3</v>
      </c>
      <c r="E573" t="s">
        <v>4</v>
      </c>
      <c r="G573" t="b">
        <v>0</v>
      </c>
      <c r="H573">
        <v>70804</v>
      </c>
      <c r="I573" s="5">
        <v>0</v>
      </c>
      <c r="J573" s="14">
        <v>42376.591979166667</v>
      </c>
      <c r="K573">
        <v>19.579999999999998</v>
      </c>
      <c r="L573" s="5">
        <f>('[1]Pizza Sales Calculations'!$J573-'[1]Pizza Sales Calculations'!$C573)*24*60</f>
        <v>2.9999999993015081</v>
      </c>
      <c r="M573">
        <f>COUNTA('[1]Pizza Sales Calculations'!$D573:$F573)</f>
        <v>2</v>
      </c>
      <c r="N573">
        <f>IFERROR(VLOOKUP(D573,[1]Parameters!$A$3:$C$5,3,FALSE),0)</f>
        <v>1</v>
      </c>
      <c r="O573">
        <f>IFERROR(VLOOKUP(E573,[1]Parameters!$A$3:$C$5,3,FALSE),0)</f>
        <v>1.7</v>
      </c>
      <c r="P573">
        <f>IFERROR(VLOOKUP(F573,[1]Parameters!$A$3:$C$5,3,FALSE),0)</f>
        <v>0</v>
      </c>
      <c r="Q573">
        <f t="shared" si="8"/>
        <v>2.7</v>
      </c>
      <c r="R573" s="10">
        <f>IF('[1]Pizza Sales Calculations'!$G573=TRUE, [1]Parameters!$B$17*'[1]Pizza Sales Calculations'!$L573*2, 0)</f>
        <v>0</v>
      </c>
      <c r="S573" t="str">
        <f>IF(I573&lt;[1]Parameters!$B$21,"TRUE","FALSE")</f>
        <v>TRUE</v>
      </c>
      <c r="T573" s="5">
        <f>(I573/[1]Parameters!$B$25)*60</f>
        <v>0</v>
      </c>
      <c r="U573" s="10">
        <f>IF(AND('[1]Pizza Sales Calculations'!G573=TRUE,'[1]Pizza Sales Calculations'!S573="TRUE"),T573*[1]Parameters!$B$40*2,0)</f>
        <v>0</v>
      </c>
      <c r="V573">
        <f>INDEX([1]Parameters!$A$3:$C$5,MATCH('[1]Pizza Sales Calculations'!D573,[1]Parameters!$A$3:$A$5,0),2)</f>
        <v>7</v>
      </c>
      <c r="W573">
        <f>INDEX([1]Parameters!$A$3:$C$5,MATCH('[1]Pizza Sales Calculations'!E573,[1]Parameters!$A$3:$A$5,0),2)</f>
        <v>10</v>
      </c>
      <c r="X573" t="e">
        <f>INDEX([1]Parameters!$A$3:$C$5,MATCH('[1]Pizza Sales Calculations'!F573,[1]Parameters!$A$3:$A$5,0),2)</f>
        <v>#N/A</v>
      </c>
    </row>
    <row r="574" spans="1:24" x14ac:dyDescent="0.3">
      <c r="A574">
        <v>573</v>
      </c>
      <c r="B574" s="14">
        <v>42376.51122685185</v>
      </c>
      <c r="C574" s="14">
        <v>42376.521631944444</v>
      </c>
      <c r="D574" t="s">
        <v>4</v>
      </c>
      <c r="G574" t="b">
        <v>1</v>
      </c>
      <c r="H574">
        <v>70806</v>
      </c>
      <c r="I574" s="5">
        <v>2.3941929257393899</v>
      </c>
      <c r="J574" s="14">
        <v>42376.529942129629</v>
      </c>
      <c r="K574">
        <v>11.59</v>
      </c>
      <c r="L574" s="5">
        <f>('[1]Pizza Sales Calculations'!$J574-'[1]Pizza Sales Calculations'!$C574)*24*60</f>
        <v>11.966666666558012</v>
      </c>
      <c r="M574">
        <f>COUNTA('[1]Pizza Sales Calculations'!$D574:$F574)</f>
        <v>1</v>
      </c>
      <c r="N574">
        <f>IFERROR(VLOOKUP(D574,[1]Parameters!$A$3:$C$5,3,FALSE),0)</f>
        <v>1.7</v>
      </c>
      <c r="O574">
        <f>IFERROR(VLOOKUP(E574,[1]Parameters!$A$3:$C$5,3,FALSE),0)</f>
        <v>0</v>
      </c>
      <c r="P574">
        <f>IFERROR(VLOOKUP(F574,[1]Parameters!$A$3:$C$5,3,FALSE),0)</f>
        <v>0</v>
      </c>
      <c r="Q574">
        <f t="shared" si="8"/>
        <v>1.7</v>
      </c>
      <c r="R574" s="10">
        <f>IF('[1]Pizza Sales Calculations'!$G574=TRUE, [1]Parameters!$B$17*'[1]Pizza Sales Calculations'!$L574*2, 0)</f>
        <v>3.3905555555247702</v>
      </c>
      <c r="S574" t="str">
        <f>IF(I574&lt;[1]Parameters!$B$21,"TRUE","FALSE")</f>
        <v>TRUE</v>
      </c>
      <c r="T574" s="5">
        <f>(I574/[1]Parameters!$B$25)*60</f>
        <v>4.7883858514787798</v>
      </c>
      <c r="U574" s="10">
        <f>IF(AND('[1]Pizza Sales Calculations'!G574=TRUE,'[1]Pizza Sales Calculations'!S574="TRUE"),T574*[1]Parameters!$B$40*2,0)</f>
        <v>0.29890362924236008</v>
      </c>
      <c r="V574">
        <f>INDEX([1]Parameters!$A$3:$C$5,MATCH('[1]Pizza Sales Calculations'!D574,[1]Parameters!$A$3:$A$5,0),2)</f>
        <v>10</v>
      </c>
      <c r="W574" t="e">
        <f>INDEX([1]Parameters!$A$3:$C$5,MATCH('[1]Pizza Sales Calculations'!E574,[1]Parameters!$A$3:$A$5,0),2)</f>
        <v>#N/A</v>
      </c>
      <c r="X574" t="e">
        <f>INDEX([1]Parameters!$A$3:$C$5,MATCH('[1]Pizza Sales Calculations'!F574,[1]Parameters!$A$3:$A$5,0),2)</f>
        <v>#N/A</v>
      </c>
    </row>
    <row r="575" spans="1:24" x14ac:dyDescent="0.3">
      <c r="A575">
        <v>574</v>
      </c>
      <c r="B575" s="14">
        <v>42376.613252314812</v>
      </c>
      <c r="C575" s="14">
        <v>42376.623657407406</v>
      </c>
      <c r="D575" t="s">
        <v>4</v>
      </c>
      <c r="G575" t="b">
        <v>1</v>
      </c>
      <c r="H575">
        <v>70803</v>
      </c>
      <c r="I575" s="5">
        <v>3.3401097517535399</v>
      </c>
      <c r="J575" s="14">
        <v>42376.635254629633</v>
      </c>
      <c r="K575">
        <v>11.59</v>
      </c>
      <c r="L575" s="5">
        <f>('[1]Pizza Sales Calculations'!$J575-'[1]Pizza Sales Calculations'!$C575)*24*60</f>
        <v>16.700000006239861</v>
      </c>
      <c r="M575">
        <f>COUNTA('[1]Pizza Sales Calculations'!$D575:$F575)</f>
        <v>1</v>
      </c>
      <c r="N575">
        <f>IFERROR(VLOOKUP(D575,[1]Parameters!$A$3:$C$5,3,FALSE),0)</f>
        <v>1.7</v>
      </c>
      <c r="O575">
        <f>IFERROR(VLOOKUP(E575,[1]Parameters!$A$3:$C$5,3,FALSE),0)</f>
        <v>0</v>
      </c>
      <c r="P575">
        <f>IFERROR(VLOOKUP(F575,[1]Parameters!$A$3:$C$5,3,FALSE),0)</f>
        <v>0</v>
      </c>
      <c r="Q575">
        <f t="shared" si="8"/>
        <v>1.7</v>
      </c>
      <c r="R575" s="10">
        <f>IF('[1]Pizza Sales Calculations'!$G575=TRUE, [1]Parameters!$B$17*'[1]Pizza Sales Calculations'!$L575*2, 0)</f>
        <v>4.7316666684346274</v>
      </c>
      <c r="S575" t="str">
        <f>IF(I575&lt;[1]Parameters!$B$21,"TRUE","FALSE")</f>
        <v>FALSE</v>
      </c>
      <c r="T575" s="5">
        <f>(I575/[1]Parameters!$B$25)*60</f>
        <v>6.6802195035070797</v>
      </c>
      <c r="U575" s="10">
        <f>IF(AND('[1]Pizza Sales Calculations'!G575=TRUE,'[1]Pizza Sales Calculations'!S575="TRUE"),T575*[1]Parameters!$B$40*2,0)</f>
        <v>0</v>
      </c>
      <c r="V575">
        <f>INDEX([1]Parameters!$A$3:$C$5,MATCH('[1]Pizza Sales Calculations'!D575,[1]Parameters!$A$3:$A$5,0),2)</f>
        <v>10</v>
      </c>
      <c r="W575" t="e">
        <f>INDEX([1]Parameters!$A$3:$C$5,MATCH('[1]Pizza Sales Calculations'!E575,[1]Parameters!$A$3:$A$5,0),2)</f>
        <v>#N/A</v>
      </c>
      <c r="X575" t="e">
        <f>INDEX([1]Parameters!$A$3:$C$5,MATCH('[1]Pizza Sales Calculations'!F575,[1]Parameters!$A$3:$A$5,0),2)</f>
        <v>#N/A</v>
      </c>
    </row>
    <row r="576" spans="1:24" x14ac:dyDescent="0.3">
      <c r="A576">
        <v>575</v>
      </c>
      <c r="B576" s="14">
        <v>42376.521782407406</v>
      </c>
      <c r="C576" s="14">
        <v>42376.532222222224</v>
      </c>
      <c r="D576" t="s">
        <v>3</v>
      </c>
      <c r="E576" t="s">
        <v>4</v>
      </c>
      <c r="G576" t="b">
        <v>0</v>
      </c>
      <c r="H576">
        <v>70803</v>
      </c>
      <c r="I576" s="5">
        <v>0</v>
      </c>
      <c r="J576" s="14">
        <v>42376.53429398148</v>
      </c>
      <c r="K576">
        <v>19.579999999999998</v>
      </c>
      <c r="L576" s="5">
        <f>('[1]Pizza Sales Calculations'!$J576-'[1]Pizza Sales Calculations'!$C576)*24*60</f>
        <v>2.9833333287388086</v>
      </c>
      <c r="M576">
        <f>COUNTA('[1]Pizza Sales Calculations'!$D576:$F576)</f>
        <v>2</v>
      </c>
      <c r="N576">
        <f>IFERROR(VLOOKUP(D576,[1]Parameters!$A$3:$C$5,3,FALSE),0)</f>
        <v>1</v>
      </c>
      <c r="O576">
        <f>IFERROR(VLOOKUP(E576,[1]Parameters!$A$3:$C$5,3,FALSE),0)</f>
        <v>1.7</v>
      </c>
      <c r="P576">
        <f>IFERROR(VLOOKUP(F576,[1]Parameters!$A$3:$C$5,3,FALSE),0)</f>
        <v>0</v>
      </c>
      <c r="Q576">
        <f t="shared" si="8"/>
        <v>2.7</v>
      </c>
      <c r="R576" s="10">
        <f>IF('[1]Pizza Sales Calculations'!$G576=TRUE, [1]Parameters!$B$17*'[1]Pizza Sales Calculations'!$L576*2, 0)</f>
        <v>0</v>
      </c>
      <c r="S576" t="str">
        <f>IF(I576&lt;[1]Parameters!$B$21,"TRUE","FALSE")</f>
        <v>TRUE</v>
      </c>
      <c r="T576" s="5">
        <f>(I576/[1]Parameters!$B$25)*60</f>
        <v>0</v>
      </c>
      <c r="U576" s="10">
        <f>IF(AND('[1]Pizza Sales Calculations'!G576=TRUE,'[1]Pizza Sales Calculations'!S576="TRUE"),T576*[1]Parameters!$B$40*2,0)</f>
        <v>0</v>
      </c>
      <c r="V576">
        <f>INDEX([1]Parameters!$A$3:$C$5,MATCH('[1]Pizza Sales Calculations'!D576,[1]Parameters!$A$3:$A$5,0),2)</f>
        <v>7</v>
      </c>
      <c r="W576">
        <f>INDEX([1]Parameters!$A$3:$C$5,MATCH('[1]Pizza Sales Calculations'!E576,[1]Parameters!$A$3:$A$5,0),2)</f>
        <v>10</v>
      </c>
      <c r="X576" t="e">
        <f>INDEX([1]Parameters!$A$3:$C$5,MATCH('[1]Pizza Sales Calculations'!F576,[1]Parameters!$A$3:$A$5,0),2)</f>
        <v>#N/A</v>
      </c>
    </row>
    <row r="577" spans="1:24" x14ac:dyDescent="0.3">
      <c r="A577">
        <v>576</v>
      </c>
      <c r="B577" s="14">
        <v>42376.51153935185</v>
      </c>
      <c r="C577" s="14">
        <v>42376.521967592591</v>
      </c>
      <c r="D577" t="s">
        <v>3</v>
      </c>
      <c r="G577" t="b">
        <v>0</v>
      </c>
      <c r="H577">
        <v>70804</v>
      </c>
      <c r="I577" s="5">
        <v>0</v>
      </c>
      <c r="J577" s="14">
        <v>42376.524050925924</v>
      </c>
      <c r="K577">
        <v>7.99</v>
      </c>
      <c r="L577" s="5">
        <f>('[1]Pizza Sales Calculations'!$J577-'[1]Pizza Sales Calculations'!$C577)*24*60</f>
        <v>2.9999999993015081</v>
      </c>
      <c r="M577">
        <f>COUNTA('[1]Pizza Sales Calculations'!$D577:$F577)</f>
        <v>1</v>
      </c>
      <c r="N577">
        <f>IFERROR(VLOOKUP(D577,[1]Parameters!$A$3:$C$5,3,FALSE),0)</f>
        <v>1</v>
      </c>
      <c r="O577">
        <f>IFERROR(VLOOKUP(E577,[1]Parameters!$A$3:$C$5,3,FALSE),0)</f>
        <v>0</v>
      </c>
      <c r="P577">
        <f>IFERROR(VLOOKUP(F577,[1]Parameters!$A$3:$C$5,3,FALSE),0)</f>
        <v>0</v>
      </c>
      <c r="Q577">
        <f t="shared" si="8"/>
        <v>1</v>
      </c>
      <c r="R577" s="10">
        <f>IF('[1]Pizza Sales Calculations'!$G577=TRUE, [1]Parameters!$B$17*'[1]Pizza Sales Calculations'!$L577*2, 0)</f>
        <v>0</v>
      </c>
      <c r="S577" t="str">
        <f>IF(I577&lt;[1]Parameters!$B$21,"TRUE","FALSE")</f>
        <v>TRUE</v>
      </c>
      <c r="T577" s="5">
        <f>(I577/[1]Parameters!$B$25)*60</f>
        <v>0</v>
      </c>
      <c r="U577" s="10">
        <f>IF(AND('[1]Pizza Sales Calculations'!G577=TRUE,'[1]Pizza Sales Calculations'!S577="TRUE"),T577*[1]Parameters!$B$40*2,0)</f>
        <v>0</v>
      </c>
      <c r="V577">
        <f>INDEX([1]Parameters!$A$3:$C$5,MATCH('[1]Pizza Sales Calculations'!D577,[1]Parameters!$A$3:$A$5,0),2)</f>
        <v>7</v>
      </c>
      <c r="W577" t="e">
        <f>INDEX([1]Parameters!$A$3:$C$5,MATCH('[1]Pizza Sales Calculations'!E577,[1]Parameters!$A$3:$A$5,0),2)</f>
        <v>#N/A</v>
      </c>
      <c r="X577" t="e">
        <f>INDEX([1]Parameters!$A$3:$C$5,MATCH('[1]Pizza Sales Calculations'!F577,[1]Parameters!$A$3:$A$5,0),2)</f>
        <v>#N/A</v>
      </c>
    </row>
    <row r="578" spans="1:24" x14ac:dyDescent="0.3">
      <c r="A578">
        <v>577</v>
      </c>
      <c r="B578" s="14">
        <v>42376.5153587963</v>
      </c>
      <c r="C578" s="14">
        <v>42376.525775462964</v>
      </c>
      <c r="D578" t="s">
        <v>3</v>
      </c>
      <c r="E578" t="s">
        <v>5</v>
      </c>
      <c r="G578" t="b">
        <v>1</v>
      </c>
      <c r="H578">
        <v>70807</v>
      </c>
      <c r="I578" s="5">
        <v>1.3100958338570601</v>
      </c>
      <c r="J578" s="14">
        <v>42376.530324074076</v>
      </c>
      <c r="K578">
        <v>23.34</v>
      </c>
      <c r="L578" s="5">
        <f>('[1]Pizza Sales Calculations'!$J578-'[1]Pizza Sales Calculations'!$C578)*24*60</f>
        <v>6.55000000144355</v>
      </c>
      <c r="M578">
        <f>COUNTA('[1]Pizza Sales Calculations'!$D578:$F578)</f>
        <v>2</v>
      </c>
      <c r="N578">
        <f>IFERROR(VLOOKUP(D578,[1]Parameters!$A$3:$C$5,3,FALSE),0)</f>
        <v>1</v>
      </c>
      <c r="O578">
        <f>IFERROR(VLOOKUP(E578,[1]Parameters!$A$3:$C$5,3,FALSE),0)</f>
        <v>2.2999999999999998</v>
      </c>
      <c r="P578">
        <f>IFERROR(VLOOKUP(F578,[1]Parameters!$A$3:$C$5,3,FALSE),0)</f>
        <v>0</v>
      </c>
      <c r="Q578">
        <f t="shared" si="8"/>
        <v>3.3</v>
      </c>
      <c r="R578" s="10">
        <f>IF('[1]Pizza Sales Calculations'!$G578=TRUE, [1]Parameters!$B$17*'[1]Pizza Sales Calculations'!$L578*2, 0)</f>
        <v>1.8558333337423392</v>
      </c>
      <c r="S578" t="str">
        <f>IF(I578&lt;[1]Parameters!$B$21,"TRUE","FALSE")</f>
        <v>TRUE</v>
      </c>
      <c r="T578" s="5">
        <f>(I578/[1]Parameters!$B$25)*60</f>
        <v>2.6201916677141202</v>
      </c>
      <c r="U578" s="10">
        <f>IF(AND('[1]Pizza Sales Calculations'!G578=TRUE,'[1]Pizza Sales Calculations'!S578="TRUE"),T578*[1]Parameters!$B$40*2,0)</f>
        <v>0.16355925004424496</v>
      </c>
      <c r="V578">
        <f>INDEX([1]Parameters!$A$3:$C$5,MATCH('[1]Pizza Sales Calculations'!D578,[1]Parameters!$A$3:$A$5,0),2)</f>
        <v>7</v>
      </c>
      <c r="W578">
        <f>INDEX([1]Parameters!$A$3:$C$5,MATCH('[1]Pizza Sales Calculations'!E578,[1]Parameters!$A$3:$A$5,0),2)</f>
        <v>14</v>
      </c>
      <c r="X578" t="e">
        <f>INDEX([1]Parameters!$A$3:$C$5,MATCH('[1]Pizza Sales Calculations'!F578,[1]Parameters!$A$3:$A$5,0),2)</f>
        <v>#N/A</v>
      </c>
    </row>
    <row r="579" spans="1:24" x14ac:dyDescent="0.3">
      <c r="A579">
        <v>578</v>
      </c>
      <c r="B579" s="14">
        <v>42376.420347222222</v>
      </c>
      <c r="C579" s="14">
        <v>42376.430763888886</v>
      </c>
      <c r="D579" t="s">
        <v>3</v>
      </c>
      <c r="G579" t="b">
        <v>1</v>
      </c>
      <c r="H579">
        <v>70803</v>
      </c>
      <c r="I579" s="5">
        <v>2.1225663988479599</v>
      </c>
      <c r="J579" s="14">
        <v>42376.438125000001</v>
      </c>
      <c r="K579">
        <v>7.99</v>
      </c>
      <c r="L579" s="5">
        <f>('[1]Pizza Sales Calculations'!$J579-'[1]Pizza Sales Calculations'!$C579)*24*60</f>
        <v>10.600000005215406</v>
      </c>
      <c r="M579">
        <f>COUNTA('[1]Pizza Sales Calculations'!$D579:$F579)</f>
        <v>1</v>
      </c>
      <c r="N579">
        <f>IFERROR(VLOOKUP(D579,[1]Parameters!$A$3:$C$5,3,FALSE),0)</f>
        <v>1</v>
      </c>
      <c r="O579">
        <f>IFERROR(VLOOKUP(E579,[1]Parameters!$A$3:$C$5,3,FALSE),0)</f>
        <v>0</v>
      </c>
      <c r="P579">
        <f>IFERROR(VLOOKUP(F579,[1]Parameters!$A$3:$C$5,3,FALSE),0)</f>
        <v>0</v>
      </c>
      <c r="Q579">
        <f t="shared" ref="Q579:Q642" si="9">SUM(N579:P579)</f>
        <v>1</v>
      </c>
      <c r="R579" s="10">
        <f>IF('[1]Pizza Sales Calculations'!$G579=TRUE, [1]Parameters!$B$17*'[1]Pizza Sales Calculations'!$L579*2, 0)</f>
        <v>3.0033333348110318</v>
      </c>
      <c r="S579" t="str">
        <f>IF(I579&lt;[1]Parameters!$B$21,"TRUE","FALSE")</f>
        <v>TRUE</v>
      </c>
      <c r="T579" s="5">
        <f>(I579/[1]Parameters!$B$25)*60</f>
        <v>4.2451327976959199</v>
      </c>
      <c r="U579" s="10">
        <f>IF(AND('[1]Pizza Sales Calculations'!G579=TRUE,'[1]Pizza Sales Calculations'!S579="TRUE"),T579*[1]Parameters!$B$40*2,0)</f>
        <v>0.26499234589777654</v>
      </c>
      <c r="V579">
        <f>INDEX([1]Parameters!$A$3:$C$5,MATCH('[1]Pizza Sales Calculations'!D579,[1]Parameters!$A$3:$A$5,0),2)</f>
        <v>7</v>
      </c>
      <c r="W579" t="e">
        <f>INDEX([1]Parameters!$A$3:$C$5,MATCH('[1]Pizza Sales Calculations'!E579,[1]Parameters!$A$3:$A$5,0),2)</f>
        <v>#N/A</v>
      </c>
      <c r="X579" t="e">
        <f>INDEX([1]Parameters!$A$3:$C$5,MATCH('[1]Pizza Sales Calculations'!F579,[1]Parameters!$A$3:$A$5,0),2)</f>
        <v>#N/A</v>
      </c>
    </row>
    <row r="580" spans="1:24" x14ac:dyDescent="0.3">
      <c r="A580">
        <v>579</v>
      </c>
      <c r="B580" s="14">
        <v>42376.520254629628</v>
      </c>
      <c r="C580" s="14">
        <v>42376.530671296299</v>
      </c>
      <c r="D580" t="s">
        <v>5</v>
      </c>
      <c r="G580" t="b">
        <v>0</v>
      </c>
      <c r="H580">
        <v>70804</v>
      </c>
      <c r="I580" s="5">
        <v>0</v>
      </c>
      <c r="J580" s="14">
        <v>42376.532754629632</v>
      </c>
      <c r="K580">
        <v>15.35</v>
      </c>
      <c r="L580" s="5">
        <f>('[1]Pizza Sales Calculations'!$J580-'[1]Pizza Sales Calculations'!$C580)*24*60</f>
        <v>2.9999999993015081</v>
      </c>
      <c r="M580">
        <f>COUNTA('[1]Pizza Sales Calculations'!$D580:$F580)</f>
        <v>1</v>
      </c>
      <c r="N580">
        <f>IFERROR(VLOOKUP(D580,[1]Parameters!$A$3:$C$5,3,FALSE),0)</f>
        <v>2.2999999999999998</v>
      </c>
      <c r="O580">
        <f>IFERROR(VLOOKUP(E580,[1]Parameters!$A$3:$C$5,3,FALSE),0)</f>
        <v>0</v>
      </c>
      <c r="P580">
        <f>IFERROR(VLOOKUP(F580,[1]Parameters!$A$3:$C$5,3,FALSE),0)</f>
        <v>0</v>
      </c>
      <c r="Q580">
        <f t="shared" si="9"/>
        <v>2.2999999999999998</v>
      </c>
      <c r="R580" s="10">
        <f>IF('[1]Pizza Sales Calculations'!$G580=TRUE, [1]Parameters!$B$17*'[1]Pizza Sales Calculations'!$L580*2, 0)</f>
        <v>0</v>
      </c>
      <c r="S580" t="str">
        <f>IF(I580&lt;[1]Parameters!$B$21,"TRUE","FALSE")</f>
        <v>TRUE</v>
      </c>
      <c r="T580" s="5">
        <f>(I580/[1]Parameters!$B$25)*60</f>
        <v>0</v>
      </c>
      <c r="U580" s="10">
        <f>IF(AND('[1]Pizza Sales Calculations'!G580=TRUE,'[1]Pizza Sales Calculations'!S580="TRUE"),T580*[1]Parameters!$B$40*2,0)</f>
        <v>0</v>
      </c>
      <c r="V580">
        <f>INDEX([1]Parameters!$A$3:$C$5,MATCH('[1]Pizza Sales Calculations'!D580,[1]Parameters!$A$3:$A$5,0),2)</f>
        <v>14</v>
      </c>
      <c r="W580" t="e">
        <f>INDEX([1]Parameters!$A$3:$C$5,MATCH('[1]Pizza Sales Calculations'!E580,[1]Parameters!$A$3:$A$5,0),2)</f>
        <v>#N/A</v>
      </c>
      <c r="X580" t="e">
        <f>INDEX([1]Parameters!$A$3:$C$5,MATCH('[1]Pizza Sales Calculations'!F580,[1]Parameters!$A$3:$A$5,0),2)</f>
        <v>#N/A</v>
      </c>
    </row>
    <row r="581" spans="1:24" x14ac:dyDescent="0.3">
      <c r="A581">
        <v>580</v>
      </c>
      <c r="B581" s="14">
        <v>42376.574583333335</v>
      </c>
      <c r="C581" s="14">
        <v>42376.584988425922</v>
      </c>
      <c r="D581" t="s">
        <v>3</v>
      </c>
      <c r="G581" t="b">
        <v>1</v>
      </c>
      <c r="H581">
        <v>70804</v>
      </c>
      <c r="I581" s="5">
        <v>3.0021880096525901</v>
      </c>
      <c r="J581" s="14">
        <v>42376.595405092594</v>
      </c>
      <c r="K581">
        <v>7.99</v>
      </c>
      <c r="L581" s="5">
        <f>('[1]Pizza Sales Calculations'!$J581-'[1]Pizza Sales Calculations'!$C581)*24*60</f>
        <v>15.000000006984919</v>
      </c>
      <c r="M581">
        <f>COUNTA('[1]Pizza Sales Calculations'!$D581:$F581)</f>
        <v>1</v>
      </c>
      <c r="N581">
        <f>IFERROR(VLOOKUP(D581,[1]Parameters!$A$3:$C$5,3,FALSE),0)</f>
        <v>1</v>
      </c>
      <c r="O581">
        <f>IFERROR(VLOOKUP(E581,[1]Parameters!$A$3:$C$5,3,FALSE),0)</f>
        <v>0</v>
      </c>
      <c r="P581">
        <f>IFERROR(VLOOKUP(F581,[1]Parameters!$A$3:$C$5,3,FALSE),0)</f>
        <v>0</v>
      </c>
      <c r="Q581">
        <f t="shared" si="9"/>
        <v>1</v>
      </c>
      <c r="R581" s="10">
        <f>IF('[1]Pizza Sales Calculations'!$G581=TRUE, [1]Parameters!$B$17*'[1]Pizza Sales Calculations'!$L581*2, 0)</f>
        <v>4.2500000019790605</v>
      </c>
      <c r="S581" t="str">
        <f>IF(I581&lt;[1]Parameters!$B$21,"TRUE","FALSE")</f>
        <v>TRUE</v>
      </c>
      <c r="T581" s="5">
        <f>(I581/[1]Parameters!$B$25)*60</f>
        <v>6.0043760193051803</v>
      </c>
      <c r="U581" s="10">
        <f>IF(AND('[1]Pizza Sales Calculations'!G581=TRUE,'[1]Pizza Sales Calculations'!S581="TRUE"),T581*[1]Parameters!$B$40*2,0)</f>
        <v>0.37480893127103648</v>
      </c>
      <c r="V581">
        <f>INDEX([1]Parameters!$A$3:$C$5,MATCH('[1]Pizza Sales Calculations'!D581,[1]Parameters!$A$3:$A$5,0),2)</f>
        <v>7</v>
      </c>
      <c r="W581" t="e">
        <f>INDEX([1]Parameters!$A$3:$C$5,MATCH('[1]Pizza Sales Calculations'!E581,[1]Parameters!$A$3:$A$5,0),2)</f>
        <v>#N/A</v>
      </c>
      <c r="X581" t="e">
        <f>INDEX([1]Parameters!$A$3:$C$5,MATCH('[1]Pizza Sales Calculations'!F581,[1]Parameters!$A$3:$A$5,0),2)</f>
        <v>#N/A</v>
      </c>
    </row>
    <row r="582" spans="1:24" x14ac:dyDescent="0.3">
      <c r="A582">
        <v>581</v>
      </c>
      <c r="B582" s="14">
        <v>42376.542870370373</v>
      </c>
      <c r="C582" s="14">
        <v>42376.553298611114</v>
      </c>
      <c r="D582" t="s">
        <v>4</v>
      </c>
      <c r="G582" t="b">
        <v>0</v>
      </c>
      <c r="H582">
        <v>70804</v>
      </c>
      <c r="I582" s="5">
        <v>0</v>
      </c>
      <c r="J582" s="14">
        <v>42376.55537037037</v>
      </c>
      <c r="K582">
        <v>11.59</v>
      </c>
      <c r="L582" s="5">
        <f>('[1]Pizza Sales Calculations'!$J582-'[1]Pizza Sales Calculations'!$C582)*24*60</f>
        <v>2.9833333287388086</v>
      </c>
      <c r="M582">
        <f>COUNTA('[1]Pizza Sales Calculations'!$D582:$F582)</f>
        <v>1</v>
      </c>
      <c r="N582">
        <f>IFERROR(VLOOKUP(D582,[1]Parameters!$A$3:$C$5,3,FALSE),0)</f>
        <v>1.7</v>
      </c>
      <c r="O582">
        <f>IFERROR(VLOOKUP(E582,[1]Parameters!$A$3:$C$5,3,FALSE),0)</f>
        <v>0</v>
      </c>
      <c r="P582">
        <f>IFERROR(VLOOKUP(F582,[1]Parameters!$A$3:$C$5,3,FALSE),0)</f>
        <v>0</v>
      </c>
      <c r="Q582">
        <f t="shared" si="9"/>
        <v>1.7</v>
      </c>
      <c r="R582" s="10">
        <f>IF('[1]Pizza Sales Calculations'!$G582=TRUE, [1]Parameters!$B$17*'[1]Pizza Sales Calculations'!$L582*2, 0)</f>
        <v>0</v>
      </c>
      <c r="S582" t="str">
        <f>IF(I582&lt;[1]Parameters!$B$21,"TRUE","FALSE")</f>
        <v>TRUE</v>
      </c>
      <c r="T582" s="5">
        <f>(I582/[1]Parameters!$B$25)*60</f>
        <v>0</v>
      </c>
      <c r="U582" s="10">
        <f>IF(AND('[1]Pizza Sales Calculations'!G582=TRUE,'[1]Pizza Sales Calculations'!S582="TRUE"),T582*[1]Parameters!$B$40*2,0)</f>
        <v>0</v>
      </c>
      <c r="V582">
        <f>INDEX([1]Parameters!$A$3:$C$5,MATCH('[1]Pizza Sales Calculations'!D582,[1]Parameters!$A$3:$A$5,0),2)</f>
        <v>10</v>
      </c>
      <c r="W582" t="e">
        <f>INDEX([1]Parameters!$A$3:$C$5,MATCH('[1]Pizza Sales Calculations'!E582,[1]Parameters!$A$3:$A$5,0),2)</f>
        <v>#N/A</v>
      </c>
      <c r="X582" t="e">
        <f>INDEX([1]Parameters!$A$3:$C$5,MATCH('[1]Pizza Sales Calculations'!F582,[1]Parameters!$A$3:$A$5,0),2)</f>
        <v>#N/A</v>
      </c>
    </row>
    <row r="583" spans="1:24" x14ac:dyDescent="0.3">
      <c r="A583">
        <v>582</v>
      </c>
      <c r="B583" s="14">
        <v>42376.559340277781</v>
      </c>
      <c r="C583" s="14">
        <v>42376.569768518515</v>
      </c>
      <c r="D583" t="s">
        <v>3</v>
      </c>
      <c r="E583" t="s">
        <v>4</v>
      </c>
      <c r="G583" t="b">
        <v>0</v>
      </c>
      <c r="H583">
        <v>70804</v>
      </c>
      <c r="I583" s="5">
        <v>0</v>
      </c>
      <c r="J583" s="14">
        <v>42376.571817129632</v>
      </c>
      <c r="K583">
        <v>19.579999999999998</v>
      </c>
      <c r="L583" s="5">
        <f>('[1]Pizza Sales Calculations'!$J583-'[1]Pizza Sales Calculations'!$C583)*24*60</f>
        <v>2.9500000085681677</v>
      </c>
      <c r="M583">
        <f>COUNTA('[1]Pizza Sales Calculations'!$D583:$F583)</f>
        <v>2</v>
      </c>
      <c r="N583">
        <f>IFERROR(VLOOKUP(D583,[1]Parameters!$A$3:$C$5,3,FALSE),0)</f>
        <v>1</v>
      </c>
      <c r="O583">
        <f>IFERROR(VLOOKUP(E583,[1]Parameters!$A$3:$C$5,3,FALSE),0)</f>
        <v>1.7</v>
      </c>
      <c r="P583">
        <f>IFERROR(VLOOKUP(F583,[1]Parameters!$A$3:$C$5,3,FALSE),0)</f>
        <v>0</v>
      </c>
      <c r="Q583">
        <f t="shared" si="9"/>
        <v>2.7</v>
      </c>
      <c r="R583" s="10">
        <f>IF('[1]Pizza Sales Calculations'!$G583=TRUE, [1]Parameters!$B$17*'[1]Pizza Sales Calculations'!$L583*2, 0)</f>
        <v>0</v>
      </c>
      <c r="S583" t="str">
        <f>IF(I583&lt;[1]Parameters!$B$21,"TRUE","FALSE")</f>
        <v>TRUE</v>
      </c>
      <c r="T583" s="5">
        <f>(I583/[1]Parameters!$B$25)*60</f>
        <v>0</v>
      </c>
      <c r="U583" s="10">
        <f>IF(AND('[1]Pizza Sales Calculations'!G583=TRUE,'[1]Pizza Sales Calculations'!S583="TRUE"),T583*[1]Parameters!$B$40*2,0)</f>
        <v>0</v>
      </c>
      <c r="V583">
        <f>INDEX([1]Parameters!$A$3:$C$5,MATCH('[1]Pizza Sales Calculations'!D583,[1]Parameters!$A$3:$A$5,0),2)</f>
        <v>7</v>
      </c>
      <c r="W583">
        <f>INDEX([1]Parameters!$A$3:$C$5,MATCH('[1]Pizza Sales Calculations'!E583,[1]Parameters!$A$3:$A$5,0),2)</f>
        <v>10</v>
      </c>
      <c r="X583" t="e">
        <f>INDEX([1]Parameters!$A$3:$C$5,MATCH('[1]Pizza Sales Calculations'!F583,[1]Parameters!$A$3:$A$5,0),2)</f>
        <v>#N/A</v>
      </c>
    </row>
    <row r="584" spans="1:24" x14ac:dyDescent="0.3">
      <c r="A584">
        <v>583</v>
      </c>
      <c r="B584" s="14">
        <v>42376.491307870368</v>
      </c>
      <c r="C584" s="14">
        <v>42376.501736111109</v>
      </c>
      <c r="D584" t="s">
        <v>5</v>
      </c>
      <c r="G584" t="b">
        <v>1</v>
      </c>
      <c r="H584">
        <v>70806</v>
      </c>
      <c r="I584" s="5">
        <v>2.7086685899958298</v>
      </c>
      <c r="J584" s="14">
        <v>42376.511134259257</v>
      </c>
      <c r="K584">
        <v>15.35</v>
      </c>
      <c r="L584" s="5">
        <f>('[1]Pizza Sales Calculations'!$J584-'[1]Pizza Sales Calculations'!$C584)*24*60</f>
        <v>13.533333332743496</v>
      </c>
      <c r="M584">
        <f>COUNTA('[1]Pizza Sales Calculations'!$D584:$F584)</f>
        <v>1</v>
      </c>
      <c r="N584">
        <f>IFERROR(VLOOKUP(D584,[1]Parameters!$A$3:$C$5,3,FALSE),0)</f>
        <v>2.2999999999999998</v>
      </c>
      <c r="O584">
        <f>IFERROR(VLOOKUP(E584,[1]Parameters!$A$3:$C$5,3,FALSE),0)</f>
        <v>0</v>
      </c>
      <c r="P584">
        <f>IFERROR(VLOOKUP(F584,[1]Parameters!$A$3:$C$5,3,FALSE),0)</f>
        <v>0</v>
      </c>
      <c r="Q584">
        <f t="shared" si="9"/>
        <v>2.2999999999999998</v>
      </c>
      <c r="R584" s="10">
        <f>IF('[1]Pizza Sales Calculations'!$G584=TRUE, [1]Parameters!$B$17*'[1]Pizza Sales Calculations'!$L584*2, 0)</f>
        <v>3.8344444442773238</v>
      </c>
      <c r="S584" t="str">
        <f>IF(I584&lt;[1]Parameters!$B$21,"TRUE","FALSE")</f>
        <v>TRUE</v>
      </c>
      <c r="T584" s="5">
        <f>(I584/[1]Parameters!$B$25)*60</f>
        <v>5.4173371799916596</v>
      </c>
      <c r="U584" s="10">
        <f>IF(AND('[1]Pizza Sales Calculations'!G584=TRUE,'[1]Pizza Sales Calculations'!S584="TRUE"),T584*[1]Parameters!$B$40*2,0)</f>
        <v>0.33816442411987513</v>
      </c>
      <c r="V584">
        <f>INDEX([1]Parameters!$A$3:$C$5,MATCH('[1]Pizza Sales Calculations'!D584,[1]Parameters!$A$3:$A$5,0),2)</f>
        <v>14</v>
      </c>
      <c r="W584" t="e">
        <f>INDEX([1]Parameters!$A$3:$C$5,MATCH('[1]Pizza Sales Calculations'!E584,[1]Parameters!$A$3:$A$5,0),2)</f>
        <v>#N/A</v>
      </c>
      <c r="X584" t="e">
        <f>INDEX([1]Parameters!$A$3:$C$5,MATCH('[1]Pizza Sales Calculations'!F584,[1]Parameters!$A$3:$A$5,0),2)</f>
        <v>#N/A</v>
      </c>
    </row>
    <row r="585" spans="1:24" x14ac:dyDescent="0.3">
      <c r="A585">
        <v>584</v>
      </c>
      <c r="B585" s="14">
        <v>42376.425474537034</v>
      </c>
      <c r="C585" s="14">
        <v>42376.435902777775</v>
      </c>
      <c r="D585" t="s">
        <v>3</v>
      </c>
      <c r="G585" t="b">
        <v>1</v>
      </c>
      <c r="H585">
        <v>70806</v>
      </c>
      <c r="I585" s="5">
        <v>3.1901666718068702</v>
      </c>
      <c r="J585" s="14">
        <v>42376.446979166663</v>
      </c>
      <c r="K585">
        <v>7.99</v>
      </c>
      <c r="L585" s="5">
        <f>('[1]Pizza Sales Calculations'!$J585-'[1]Pizza Sales Calculations'!$C585)*24*60</f>
        <v>15.94999999855645</v>
      </c>
      <c r="M585">
        <f>COUNTA('[1]Pizza Sales Calculations'!$D585:$F585)</f>
        <v>1</v>
      </c>
      <c r="N585">
        <f>IFERROR(VLOOKUP(D585,[1]Parameters!$A$3:$C$5,3,FALSE),0)</f>
        <v>1</v>
      </c>
      <c r="O585">
        <f>IFERROR(VLOOKUP(E585,[1]Parameters!$A$3:$C$5,3,FALSE),0)</f>
        <v>0</v>
      </c>
      <c r="P585">
        <f>IFERROR(VLOOKUP(F585,[1]Parameters!$A$3:$C$5,3,FALSE),0)</f>
        <v>0</v>
      </c>
      <c r="Q585">
        <f t="shared" si="9"/>
        <v>1</v>
      </c>
      <c r="R585" s="10">
        <f>IF('[1]Pizza Sales Calculations'!$G585=TRUE, [1]Parameters!$B$17*'[1]Pizza Sales Calculations'!$L585*2, 0)</f>
        <v>4.5191666662576608</v>
      </c>
      <c r="S585" t="str">
        <f>IF(I585&lt;[1]Parameters!$B$21,"TRUE","FALSE")</f>
        <v>TRUE</v>
      </c>
      <c r="T585" s="5">
        <f>(I585/[1]Parameters!$B$25)*60</f>
        <v>6.3803333436137404</v>
      </c>
      <c r="U585" s="10">
        <f>IF(AND('[1]Pizza Sales Calculations'!G585=TRUE,'[1]Pizza Sales Calculations'!S585="TRUE"),T585*[1]Parameters!$B$40*2,0)</f>
        <v>0.39827717551066294</v>
      </c>
      <c r="V585">
        <f>INDEX([1]Parameters!$A$3:$C$5,MATCH('[1]Pizza Sales Calculations'!D585,[1]Parameters!$A$3:$A$5,0),2)</f>
        <v>7</v>
      </c>
      <c r="W585" t="e">
        <f>INDEX([1]Parameters!$A$3:$C$5,MATCH('[1]Pizza Sales Calculations'!E585,[1]Parameters!$A$3:$A$5,0),2)</f>
        <v>#N/A</v>
      </c>
      <c r="X585" t="e">
        <f>INDEX([1]Parameters!$A$3:$C$5,MATCH('[1]Pizza Sales Calculations'!F585,[1]Parameters!$A$3:$A$5,0),2)</f>
        <v>#N/A</v>
      </c>
    </row>
    <row r="586" spans="1:24" x14ac:dyDescent="0.3">
      <c r="A586">
        <v>585</v>
      </c>
      <c r="B586" s="14">
        <v>42376.523958333331</v>
      </c>
      <c r="C586" s="14">
        <v>42376.534363425926</v>
      </c>
      <c r="D586" t="s">
        <v>5</v>
      </c>
      <c r="G586" t="b">
        <v>0</v>
      </c>
      <c r="H586">
        <v>70803</v>
      </c>
      <c r="I586" s="5">
        <v>0</v>
      </c>
      <c r="J586" s="14">
        <v>42376.536446759259</v>
      </c>
      <c r="K586">
        <v>15.35</v>
      </c>
      <c r="L586" s="5">
        <f>('[1]Pizza Sales Calculations'!$J586-'[1]Pizza Sales Calculations'!$C586)*24*60</f>
        <v>2.9999999993015081</v>
      </c>
      <c r="M586">
        <f>COUNTA('[1]Pizza Sales Calculations'!$D586:$F586)</f>
        <v>1</v>
      </c>
      <c r="N586">
        <f>IFERROR(VLOOKUP(D586,[1]Parameters!$A$3:$C$5,3,FALSE),0)</f>
        <v>2.2999999999999998</v>
      </c>
      <c r="O586">
        <f>IFERROR(VLOOKUP(E586,[1]Parameters!$A$3:$C$5,3,FALSE),0)</f>
        <v>0</v>
      </c>
      <c r="P586">
        <f>IFERROR(VLOOKUP(F586,[1]Parameters!$A$3:$C$5,3,FALSE),0)</f>
        <v>0</v>
      </c>
      <c r="Q586">
        <f t="shared" si="9"/>
        <v>2.2999999999999998</v>
      </c>
      <c r="R586" s="10">
        <f>IF('[1]Pizza Sales Calculations'!$G586=TRUE, [1]Parameters!$B$17*'[1]Pizza Sales Calculations'!$L586*2, 0)</f>
        <v>0</v>
      </c>
      <c r="S586" t="str">
        <f>IF(I586&lt;[1]Parameters!$B$21,"TRUE","FALSE")</f>
        <v>TRUE</v>
      </c>
      <c r="T586" s="5">
        <f>(I586/[1]Parameters!$B$25)*60</f>
        <v>0</v>
      </c>
      <c r="U586" s="10">
        <f>IF(AND('[1]Pizza Sales Calculations'!G586=TRUE,'[1]Pizza Sales Calculations'!S586="TRUE"),T586*[1]Parameters!$B$40*2,0)</f>
        <v>0</v>
      </c>
      <c r="V586">
        <f>INDEX([1]Parameters!$A$3:$C$5,MATCH('[1]Pizza Sales Calculations'!D586,[1]Parameters!$A$3:$A$5,0),2)</f>
        <v>14</v>
      </c>
      <c r="W586" t="e">
        <f>INDEX([1]Parameters!$A$3:$C$5,MATCH('[1]Pizza Sales Calculations'!E586,[1]Parameters!$A$3:$A$5,0),2)</f>
        <v>#N/A</v>
      </c>
      <c r="X586" t="e">
        <f>INDEX([1]Parameters!$A$3:$C$5,MATCH('[1]Pizza Sales Calculations'!F586,[1]Parameters!$A$3:$A$5,0),2)</f>
        <v>#N/A</v>
      </c>
    </row>
    <row r="587" spans="1:24" x14ac:dyDescent="0.3">
      <c r="A587">
        <v>586</v>
      </c>
      <c r="B587" s="14">
        <v>42376.44290509259</v>
      </c>
      <c r="C587" s="14">
        <v>42376.453310185185</v>
      </c>
      <c r="D587" t="s">
        <v>3</v>
      </c>
      <c r="G587" t="b">
        <v>1</v>
      </c>
      <c r="H587">
        <v>70806</v>
      </c>
      <c r="I587" s="5">
        <v>4.2064099832056003</v>
      </c>
      <c r="J587" s="14">
        <v>42376.467905092592</v>
      </c>
      <c r="K587">
        <v>7.99</v>
      </c>
      <c r="L587" s="5">
        <f>('[1]Pizza Sales Calculations'!$J587-'[1]Pizza Sales Calculations'!$C587)*24*60</f>
        <v>21.016666665673256</v>
      </c>
      <c r="M587">
        <f>COUNTA('[1]Pizza Sales Calculations'!$D587:$F587)</f>
        <v>1</v>
      </c>
      <c r="N587">
        <f>IFERROR(VLOOKUP(D587,[1]Parameters!$A$3:$C$5,3,FALSE),0)</f>
        <v>1</v>
      </c>
      <c r="O587">
        <f>IFERROR(VLOOKUP(E587,[1]Parameters!$A$3:$C$5,3,FALSE),0)</f>
        <v>0</v>
      </c>
      <c r="P587">
        <f>IFERROR(VLOOKUP(F587,[1]Parameters!$A$3:$C$5,3,FALSE),0)</f>
        <v>0</v>
      </c>
      <c r="Q587">
        <f t="shared" si="9"/>
        <v>1</v>
      </c>
      <c r="R587" s="10">
        <f>IF('[1]Pizza Sales Calculations'!$G587=TRUE, [1]Parameters!$B$17*'[1]Pizza Sales Calculations'!$L587*2, 0)</f>
        <v>5.9547222219407558</v>
      </c>
      <c r="S587" t="str">
        <f>IF(I587&lt;[1]Parameters!$B$21,"TRUE","FALSE")</f>
        <v>FALSE</v>
      </c>
      <c r="T587" s="5">
        <f>(I587/[1]Parameters!$B$25)*60</f>
        <v>8.4128199664112007</v>
      </c>
      <c r="U587" s="10">
        <f>IF(AND('[1]Pizza Sales Calculations'!G587=TRUE,'[1]Pizza Sales Calculations'!S587="TRUE"),T587*[1]Parameters!$B$40*2,0)</f>
        <v>0</v>
      </c>
      <c r="V587">
        <f>INDEX([1]Parameters!$A$3:$C$5,MATCH('[1]Pizza Sales Calculations'!D587,[1]Parameters!$A$3:$A$5,0),2)</f>
        <v>7</v>
      </c>
      <c r="W587" t="e">
        <f>INDEX([1]Parameters!$A$3:$C$5,MATCH('[1]Pizza Sales Calculations'!E587,[1]Parameters!$A$3:$A$5,0),2)</f>
        <v>#N/A</v>
      </c>
      <c r="X587" t="e">
        <f>INDEX([1]Parameters!$A$3:$C$5,MATCH('[1]Pizza Sales Calculations'!F587,[1]Parameters!$A$3:$A$5,0),2)</f>
        <v>#N/A</v>
      </c>
    </row>
    <row r="588" spans="1:24" x14ac:dyDescent="0.3">
      <c r="A588">
        <v>587</v>
      </c>
      <c r="B588" s="14">
        <v>42376.504490740743</v>
      </c>
      <c r="C588" s="14">
        <v>42376.51489583333</v>
      </c>
      <c r="D588" t="s">
        <v>4</v>
      </c>
      <c r="G588" t="b">
        <v>1</v>
      </c>
      <c r="H588">
        <v>70804</v>
      </c>
      <c r="I588" s="5">
        <v>2.8625133300160202</v>
      </c>
      <c r="J588" s="14">
        <v>42376.524826388886</v>
      </c>
      <c r="K588">
        <v>11.59</v>
      </c>
      <c r="L588" s="5">
        <f>('[1]Pizza Sales Calculations'!$J588-'[1]Pizza Sales Calculations'!$C588)*24*60</f>
        <v>14.300000000512227</v>
      </c>
      <c r="M588">
        <f>COUNTA('[1]Pizza Sales Calculations'!$D588:$F588)</f>
        <v>1</v>
      </c>
      <c r="N588">
        <f>IFERROR(VLOOKUP(D588,[1]Parameters!$A$3:$C$5,3,FALSE),0)</f>
        <v>1.7</v>
      </c>
      <c r="O588">
        <f>IFERROR(VLOOKUP(E588,[1]Parameters!$A$3:$C$5,3,FALSE),0)</f>
        <v>0</v>
      </c>
      <c r="P588">
        <f>IFERROR(VLOOKUP(F588,[1]Parameters!$A$3:$C$5,3,FALSE),0)</f>
        <v>0</v>
      </c>
      <c r="Q588">
        <f t="shared" si="9"/>
        <v>1.7</v>
      </c>
      <c r="R588" s="10">
        <f>IF('[1]Pizza Sales Calculations'!$G588=TRUE, [1]Parameters!$B$17*'[1]Pizza Sales Calculations'!$L588*2, 0)</f>
        <v>4.0516666668117978</v>
      </c>
      <c r="S588" t="str">
        <f>IF(I588&lt;[1]Parameters!$B$21,"TRUE","FALSE")</f>
        <v>TRUE</v>
      </c>
      <c r="T588" s="5">
        <f>(I588/[1]Parameters!$B$25)*60</f>
        <v>5.7250266600320403</v>
      </c>
      <c r="U588" s="10">
        <f>IF(AND('[1]Pizza Sales Calculations'!G588=TRUE,'[1]Pizza Sales Calculations'!S588="TRUE"),T588*[1]Parameters!$B$40*2,0)</f>
        <v>0.35737121010504425</v>
      </c>
      <c r="V588">
        <f>INDEX([1]Parameters!$A$3:$C$5,MATCH('[1]Pizza Sales Calculations'!D588,[1]Parameters!$A$3:$A$5,0),2)</f>
        <v>10</v>
      </c>
      <c r="W588" t="e">
        <f>INDEX([1]Parameters!$A$3:$C$5,MATCH('[1]Pizza Sales Calculations'!E588,[1]Parameters!$A$3:$A$5,0),2)</f>
        <v>#N/A</v>
      </c>
      <c r="X588" t="e">
        <f>INDEX([1]Parameters!$A$3:$C$5,MATCH('[1]Pizza Sales Calculations'!F588,[1]Parameters!$A$3:$A$5,0),2)</f>
        <v>#N/A</v>
      </c>
    </row>
    <row r="589" spans="1:24" x14ac:dyDescent="0.3">
      <c r="A589">
        <v>588</v>
      </c>
      <c r="B589" s="14">
        <v>42376.430011574077</v>
      </c>
      <c r="C589" s="14">
        <v>42376.440416666665</v>
      </c>
      <c r="D589" t="s">
        <v>4</v>
      </c>
      <c r="E589" t="s">
        <v>5</v>
      </c>
      <c r="G589" t="b">
        <v>0</v>
      </c>
      <c r="H589">
        <v>70805</v>
      </c>
      <c r="I589" s="5">
        <v>0</v>
      </c>
      <c r="J589" s="14">
        <v>42376.442511574074</v>
      </c>
      <c r="K589">
        <v>25.94</v>
      </c>
      <c r="L589" s="5">
        <f>('[1]Pizza Sales Calculations'!$J589-'[1]Pizza Sales Calculations'!$C589)*24*60</f>
        <v>3.0166666698642075</v>
      </c>
      <c r="M589">
        <f>COUNTA('[1]Pizza Sales Calculations'!$D589:$F589)</f>
        <v>2</v>
      </c>
      <c r="N589">
        <f>IFERROR(VLOOKUP(D589,[1]Parameters!$A$3:$C$5,3,FALSE),0)</f>
        <v>1.7</v>
      </c>
      <c r="O589">
        <f>IFERROR(VLOOKUP(E589,[1]Parameters!$A$3:$C$5,3,FALSE),0)</f>
        <v>2.2999999999999998</v>
      </c>
      <c r="P589">
        <f>IFERROR(VLOOKUP(F589,[1]Parameters!$A$3:$C$5,3,FALSE),0)</f>
        <v>0</v>
      </c>
      <c r="Q589">
        <f t="shared" si="9"/>
        <v>4</v>
      </c>
      <c r="R589" s="10">
        <f>IF('[1]Pizza Sales Calculations'!$G589=TRUE, [1]Parameters!$B$17*'[1]Pizza Sales Calculations'!$L589*2, 0)</f>
        <v>0</v>
      </c>
      <c r="S589" t="str">
        <f>IF(I589&lt;[1]Parameters!$B$21,"TRUE","FALSE")</f>
        <v>TRUE</v>
      </c>
      <c r="T589" s="5">
        <f>(I589/[1]Parameters!$B$25)*60</f>
        <v>0</v>
      </c>
      <c r="U589" s="10">
        <f>IF(AND('[1]Pizza Sales Calculations'!G589=TRUE,'[1]Pizza Sales Calculations'!S589="TRUE"),T589*[1]Parameters!$B$40*2,0)</f>
        <v>0</v>
      </c>
      <c r="V589">
        <f>INDEX([1]Parameters!$A$3:$C$5,MATCH('[1]Pizza Sales Calculations'!D589,[1]Parameters!$A$3:$A$5,0),2)</f>
        <v>10</v>
      </c>
      <c r="W589">
        <f>INDEX([1]Parameters!$A$3:$C$5,MATCH('[1]Pizza Sales Calculations'!E589,[1]Parameters!$A$3:$A$5,0),2)</f>
        <v>14</v>
      </c>
      <c r="X589" t="e">
        <f>INDEX([1]Parameters!$A$3:$C$5,MATCH('[1]Pizza Sales Calculations'!F589,[1]Parameters!$A$3:$A$5,0),2)</f>
        <v>#N/A</v>
      </c>
    </row>
    <row r="590" spans="1:24" x14ac:dyDescent="0.3">
      <c r="A590">
        <v>589</v>
      </c>
      <c r="B590" s="14">
        <v>42376.463634259257</v>
      </c>
      <c r="C590" s="14">
        <v>42376.474027777775</v>
      </c>
      <c r="D590" t="s">
        <v>3</v>
      </c>
      <c r="G590" t="b">
        <v>1</v>
      </c>
      <c r="H590">
        <v>70806</v>
      </c>
      <c r="I590" s="5">
        <v>3.2350213256633902</v>
      </c>
      <c r="J590" s="14">
        <v>42376.485254629632</v>
      </c>
      <c r="K590">
        <v>7.99</v>
      </c>
      <c r="L590" s="5">
        <f>('[1]Pizza Sales Calculations'!$J590-'[1]Pizza Sales Calculations'!$C590)*24*60</f>
        <v>16.166666673962027</v>
      </c>
      <c r="M590">
        <f>COUNTA('[1]Pizza Sales Calculations'!$D590:$F590)</f>
        <v>1</v>
      </c>
      <c r="N590">
        <f>IFERROR(VLOOKUP(D590,[1]Parameters!$A$3:$C$5,3,FALSE),0)</f>
        <v>1</v>
      </c>
      <c r="O590">
        <f>IFERROR(VLOOKUP(E590,[1]Parameters!$A$3:$C$5,3,FALSE),0)</f>
        <v>0</v>
      </c>
      <c r="P590">
        <f>IFERROR(VLOOKUP(F590,[1]Parameters!$A$3:$C$5,3,FALSE),0)</f>
        <v>0</v>
      </c>
      <c r="Q590">
        <f t="shared" si="9"/>
        <v>1</v>
      </c>
      <c r="R590" s="10">
        <f>IF('[1]Pizza Sales Calculations'!$G590=TRUE, [1]Parameters!$B$17*'[1]Pizza Sales Calculations'!$L590*2, 0)</f>
        <v>4.5805555576225743</v>
      </c>
      <c r="S590" t="str">
        <f>IF(I590&lt;[1]Parameters!$B$21,"TRUE","FALSE")</f>
        <v>FALSE</v>
      </c>
      <c r="T590" s="5">
        <f>(I590/[1]Parameters!$B$25)*60</f>
        <v>6.4700426513267804</v>
      </c>
      <c r="U590" s="10">
        <f>IF(AND('[1]Pizza Sales Calculations'!G590=TRUE,'[1]Pizza Sales Calculations'!S590="TRUE"),T590*[1]Parameters!$B$40*2,0)</f>
        <v>0</v>
      </c>
      <c r="V590">
        <f>INDEX([1]Parameters!$A$3:$C$5,MATCH('[1]Pizza Sales Calculations'!D590,[1]Parameters!$A$3:$A$5,0),2)</f>
        <v>7</v>
      </c>
      <c r="W590" t="e">
        <f>INDEX([1]Parameters!$A$3:$C$5,MATCH('[1]Pizza Sales Calculations'!E590,[1]Parameters!$A$3:$A$5,0),2)</f>
        <v>#N/A</v>
      </c>
      <c r="X590" t="e">
        <f>INDEX([1]Parameters!$A$3:$C$5,MATCH('[1]Pizza Sales Calculations'!F590,[1]Parameters!$A$3:$A$5,0),2)</f>
        <v>#N/A</v>
      </c>
    </row>
    <row r="591" spans="1:24" x14ac:dyDescent="0.3">
      <c r="A591">
        <v>590</v>
      </c>
      <c r="B591" s="14">
        <v>42376.607928240737</v>
      </c>
      <c r="C591" s="14">
        <v>42376.618333333332</v>
      </c>
      <c r="D591" t="s">
        <v>5</v>
      </c>
      <c r="G591" t="b">
        <v>1</v>
      </c>
      <c r="H591">
        <v>70805</v>
      </c>
      <c r="I591" s="5">
        <v>2.2260598237032001</v>
      </c>
      <c r="J591" s="14">
        <v>42376.62605324074</v>
      </c>
      <c r="K591">
        <v>15.35</v>
      </c>
      <c r="L591" s="5">
        <f>('[1]Pizza Sales Calculations'!$J591-'[1]Pizza Sales Calculations'!$C591)*24*60</f>
        <v>11.116666666930541</v>
      </c>
      <c r="M591">
        <f>COUNTA('[1]Pizza Sales Calculations'!$D591:$F591)</f>
        <v>1</v>
      </c>
      <c r="N591">
        <f>IFERROR(VLOOKUP(D591,[1]Parameters!$A$3:$C$5,3,FALSE),0)</f>
        <v>2.2999999999999998</v>
      </c>
      <c r="O591">
        <f>IFERROR(VLOOKUP(E591,[1]Parameters!$A$3:$C$5,3,FALSE),0)</f>
        <v>0</v>
      </c>
      <c r="P591">
        <f>IFERROR(VLOOKUP(F591,[1]Parameters!$A$3:$C$5,3,FALSE),0)</f>
        <v>0</v>
      </c>
      <c r="Q591">
        <f t="shared" si="9"/>
        <v>2.2999999999999998</v>
      </c>
      <c r="R591" s="10">
        <f>IF('[1]Pizza Sales Calculations'!$G591=TRUE, [1]Parameters!$B$17*'[1]Pizza Sales Calculations'!$L591*2, 0)</f>
        <v>3.1497222222969867</v>
      </c>
      <c r="S591" t="str">
        <f>IF(I591&lt;[1]Parameters!$B$21,"TRUE","FALSE")</f>
        <v>TRUE</v>
      </c>
      <c r="T591" s="5">
        <f>(I591/[1]Parameters!$B$25)*60</f>
        <v>4.4521196474064002</v>
      </c>
      <c r="U591" s="10">
        <f>IF(AND('[1]Pizza Sales Calculations'!G591=TRUE,'[1]Pizza Sales Calculations'!S591="TRUE"),T591*[1]Parameters!$B$40*2,0)</f>
        <v>0.27791300904040916</v>
      </c>
      <c r="V591">
        <f>INDEX([1]Parameters!$A$3:$C$5,MATCH('[1]Pizza Sales Calculations'!D591,[1]Parameters!$A$3:$A$5,0),2)</f>
        <v>14</v>
      </c>
      <c r="W591" t="e">
        <f>INDEX([1]Parameters!$A$3:$C$5,MATCH('[1]Pizza Sales Calculations'!E591,[1]Parameters!$A$3:$A$5,0),2)</f>
        <v>#N/A</v>
      </c>
      <c r="X591" t="e">
        <f>INDEX([1]Parameters!$A$3:$C$5,MATCH('[1]Pizza Sales Calculations'!F591,[1]Parameters!$A$3:$A$5,0),2)</f>
        <v>#N/A</v>
      </c>
    </row>
    <row r="592" spans="1:24" x14ac:dyDescent="0.3">
      <c r="A592">
        <v>591</v>
      </c>
      <c r="B592" s="14">
        <v>42376.536249999997</v>
      </c>
      <c r="C592" s="14">
        <v>42376.546666666669</v>
      </c>
      <c r="D592" t="s">
        <v>3</v>
      </c>
      <c r="G592" t="b">
        <v>1</v>
      </c>
      <c r="H592">
        <v>70806</v>
      </c>
      <c r="I592" s="5">
        <v>2.8384240445694902</v>
      </c>
      <c r="J592" s="14">
        <v>42376.556516203702</v>
      </c>
      <c r="K592">
        <v>7.99</v>
      </c>
      <c r="L592" s="5">
        <f>('[1]Pizza Sales Calculations'!$J592-'[1]Pizza Sales Calculations'!$C592)*24*60</f>
        <v>14.183333327528089</v>
      </c>
      <c r="M592">
        <f>COUNTA('[1]Pizza Sales Calculations'!$D592:$F592)</f>
        <v>1</v>
      </c>
      <c r="N592">
        <f>IFERROR(VLOOKUP(D592,[1]Parameters!$A$3:$C$5,3,FALSE),0)</f>
        <v>1</v>
      </c>
      <c r="O592">
        <f>IFERROR(VLOOKUP(E592,[1]Parameters!$A$3:$C$5,3,FALSE),0)</f>
        <v>0</v>
      </c>
      <c r="P592">
        <f>IFERROR(VLOOKUP(F592,[1]Parameters!$A$3:$C$5,3,FALSE),0)</f>
        <v>0</v>
      </c>
      <c r="Q592">
        <f t="shared" si="9"/>
        <v>1</v>
      </c>
      <c r="R592" s="10">
        <f>IF('[1]Pizza Sales Calculations'!$G592=TRUE, [1]Parameters!$B$17*'[1]Pizza Sales Calculations'!$L592*2, 0)</f>
        <v>4.018611109466292</v>
      </c>
      <c r="S592" t="str">
        <f>IF(I592&lt;[1]Parameters!$B$21,"TRUE","FALSE")</f>
        <v>TRUE</v>
      </c>
      <c r="T592" s="5">
        <f>(I592/[1]Parameters!$B$25)*60</f>
        <v>5.6768480891389803</v>
      </c>
      <c r="U592" s="10">
        <f>IF(AND('[1]Pizza Sales Calculations'!G592=TRUE,'[1]Pizza Sales Calculations'!S592="TRUE"),T592*[1]Parameters!$B$40*2,0)</f>
        <v>0.35436377709143302</v>
      </c>
      <c r="V592">
        <f>INDEX([1]Parameters!$A$3:$C$5,MATCH('[1]Pizza Sales Calculations'!D592,[1]Parameters!$A$3:$A$5,0),2)</f>
        <v>7</v>
      </c>
      <c r="W592" t="e">
        <f>INDEX([1]Parameters!$A$3:$C$5,MATCH('[1]Pizza Sales Calculations'!E592,[1]Parameters!$A$3:$A$5,0),2)</f>
        <v>#N/A</v>
      </c>
      <c r="X592" t="e">
        <f>INDEX([1]Parameters!$A$3:$C$5,MATCH('[1]Pizza Sales Calculations'!F592,[1]Parameters!$A$3:$A$5,0),2)</f>
        <v>#N/A</v>
      </c>
    </row>
    <row r="593" spans="1:24" x14ac:dyDescent="0.3">
      <c r="A593">
        <v>592</v>
      </c>
      <c r="B593" s="14">
        <v>42376.474930555552</v>
      </c>
      <c r="C593" s="14">
        <v>42376.485347222224</v>
      </c>
      <c r="D593" t="s">
        <v>3</v>
      </c>
      <c r="G593" t="b">
        <v>0</v>
      </c>
      <c r="H593">
        <v>70807</v>
      </c>
      <c r="I593" s="5">
        <v>0</v>
      </c>
      <c r="J593" s="14">
        <v>42376.487442129626</v>
      </c>
      <c r="K593">
        <v>7.99</v>
      </c>
      <c r="L593" s="5">
        <f>('[1]Pizza Sales Calculations'!$J593-'[1]Pizza Sales Calculations'!$C593)*24*60</f>
        <v>3.0166666593868285</v>
      </c>
      <c r="M593">
        <f>COUNTA('[1]Pizza Sales Calculations'!$D593:$F593)</f>
        <v>1</v>
      </c>
      <c r="N593">
        <f>IFERROR(VLOOKUP(D593,[1]Parameters!$A$3:$C$5,3,FALSE),0)</f>
        <v>1</v>
      </c>
      <c r="O593">
        <f>IFERROR(VLOOKUP(E593,[1]Parameters!$A$3:$C$5,3,FALSE),0)</f>
        <v>0</v>
      </c>
      <c r="P593">
        <f>IFERROR(VLOOKUP(F593,[1]Parameters!$A$3:$C$5,3,FALSE),0)</f>
        <v>0</v>
      </c>
      <c r="Q593">
        <f t="shared" si="9"/>
        <v>1</v>
      </c>
      <c r="R593" s="10">
        <f>IF('[1]Pizza Sales Calculations'!$G593=TRUE, [1]Parameters!$B$17*'[1]Pizza Sales Calculations'!$L593*2, 0)</f>
        <v>0</v>
      </c>
      <c r="S593" t="str">
        <f>IF(I593&lt;[1]Parameters!$B$21,"TRUE","FALSE")</f>
        <v>TRUE</v>
      </c>
      <c r="T593" s="5">
        <f>(I593/[1]Parameters!$B$25)*60</f>
        <v>0</v>
      </c>
      <c r="U593" s="10">
        <f>IF(AND('[1]Pizza Sales Calculations'!G593=TRUE,'[1]Pizza Sales Calculations'!S593="TRUE"),T593*[1]Parameters!$B$40*2,0)</f>
        <v>0</v>
      </c>
      <c r="V593">
        <f>INDEX([1]Parameters!$A$3:$C$5,MATCH('[1]Pizza Sales Calculations'!D593,[1]Parameters!$A$3:$A$5,0),2)</f>
        <v>7</v>
      </c>
      <c r="W593" t="e">
        <f>INDEX([1]Parameters!$A$3:$C$5,MATCH('[1]Pizza Sales Calculations'!E593,[1]Parameters!$A$3:$A$5,0),2)</f>
        <v>#N/A</v>
      </c>
      <c r="X593" t="e">
        <f>INDEX([1]Parameters!$A$3:$C$5,MATCH('[1]Pizza Sales Calculations'!F593,[1]Parameters!$A$3:$A$5,0),2)</f>
        <v>#N/A</v>
      </c>
    </row>
    <row r="594" spans="1:24" x14ac:dyDescent="0.3">
      <c r="A594">
        <v>593</v>
      </c>
      <c r="B594" s="14">
        <v>42376.56931712963</v>
      </c>
      <c r="C594" s="14">
        <v>42376.579710648148</v>
      </c>
      <c r="D594" t="s">
        <v>3</v>
      </c>
      <c r="E594" t="s">
        <v>4</v>
      </c>
      <c r="G594" t="b">
        <v>1</v>
      </c>
      <c r="H594">
        <v>70804</v>
      </c>
      <c r="I594" s="5">
        <v>3.44802807332321</v>
      </c>
      <c r="J594" s="14">
        <v>42376.591678240744</v>
      </c>
      <c r="K594">
        <v>19.579999999999998</v>
      </c>
      <c r="L594" s="5">
        <f>('[1]Pizza Sales Calculations'!$J594-'[1]Pizza Sales Calculations'!$C594)*24*60</f>
        <v>17.233333338517696</v>
      </c>
      <c r="M594">
        <f>COUNTA('[1]Pizza Sales Calculations'!$D594:$F594)</f>
        <v>2</v>
      </c>
      <c r="N594">
        <f>IFERROR(VLOOKUP(D594,[1]Parameters!$A$3:$C$5,3,FALSE),0)</f>
        <v>1</v>
      </c>
      <c r="O594">
        <f>IFERROR(VLOOKUP(E594,[1]Parameters!$A$3:$C$5,3,FALSE),0)</f>
        <v>1.7</v>
      </c>
      <c r="P594">
        <f>IFERROR(VLOOKUP(F594,[1]Parameters!$A$3:$C$5,3,FALSE),0)</f>
        <v>0</v>
      </c>
      <c r="Q594">
        <f t="shared" si="9"/>
        <v>2.7</v>
      </c>
      <c r="R594" s="10">
        <f>IF('[1]Pizza Sales Calculations'!$G594=TRUE, [1]Parameters!$B$17*'[1]Pizza Sales Calculations'!$L594*2, 0)</f>
        <v>4.8827777792466804</v>
      </c>
      <c r="S594" t="str">
        <f>IF(I594&lt;[1]Parameters!$B$21,"TRUE","FALSE")</f>
        <v>FALSE</v>
      </c>
      <c r="T594" s="5">
        <f>(I594/[1]Parameters!$B$25)*60</f>
        <v>6.8960561466464201</v>
      </c>
      <c r="U594" s="10">
        <f>IF(AND('[1]Pizza Sales Calculations'!G594=TRUE,'[1]Pizza Sales Calculations'!S594="TRUE"),T594*[1]Parameters!$B$40*2,0)</f>
        <v>0</v>
      </c>
      <c r="V594">
        <f>INDEX([1]Parameters!$A$3:$C$5,MATCH('[1]Pizza Sales Calculations'!D594,[1]Parameters!$A$3:$A$5,0),2)</f>
        <v>7</v>
      </c>
      <c r="W594">
        <f>INDEX([1]Parameters!$A$3:$C$5,MATCH('[1]Pizza Sales Calculations'!E594,[1]Parameters!$A$3:$A$5,0),2)</f>
        <v>10</v>
      </c>
      <c r="X594" t="e">
        <f>INDEX([1]Parameters!$A$3:$C$5,MATCH('[1]Pizza Sales Calculations'!F594,[1]Parameters!$A$3:$A$5,0),2)</f>
        <v>#N/A</v>
      </c>
    </row>
    <row r="595" spans="1:24" x14ac:dyDescent="0.3">
      <c r="A595">
        <v>594</v>
      </c>
      <c r="B595" s="14">
        <v>42376.476689814815</v>
      </c>
      <c r="C595" s="14">
        <v>42376.487083333333</v>
      </c>
      <c r="D595" t="s">
        <v>3</v>
      </c>
      <c r="G595" t="b">
        <v>1</v>
      </c>
      <c r="H595">
        <v>70806</v>
      </c>
      <c r="I595" s="5">
        <v>3.9514576216497601</v>
      </c>
      <c r="J595" s="14">
        <v>42376.500798611109</v>
      </c>
      <c r="K595">
        <v>7.99</v>
      </c>
      <c r="L595" s="5">
        <f>('[1]Pizza Sales Calculations'!$J595-'[1]Pizza Sales Calculations'!$C595)*24*60</f>
        <v>19.74999999627471</v>
      </c>
      <c r="M595">
        <f>COUNTA('[1]Pizza Sales Calculations'!$D595:$F595)</f>
        <v>1</v>
      </c>
      <c r="N595">
        <f>IFERROR(VLOOKUP(D595,[1]Parameters!$A$3:$C$5,3,FALSE),0)</f>
        <v>1</v>
      </c>
      <c r="O595">
        <f>IFERROR(VLOOKUP(E595,[1]Parameters!$A$3:$C$5,3,FALSE),0)</f>
        <v>0</v>
      </c>
      <c r="P595">
        <f>IFERROR(VLOOKUP(F595,[1]Parameters!$A$3:$C$5,3,FALSE),0)</f>
        <v>0</v>
      </c>
      <c r="Q595">
        <f t="shared" si="9"/>
        <v>1</v>
      </c>
      <c r="R595" s="10">
        <f>IF('[1]Pizza Sales Calculations'!$G595=TRUE, [1]Parameters!$B$17*'[1]Pizza Sales Calculations'!$L595*2, 0)</f>
        <v>5.5958333322778344</v>
      </c>
      <c r="S595" t="str">
        <f>IF(I595&lt;[1]Parameters!$B$21,"TRUE","FALSE")</f>
        <v>FALSE</v>
      </c>
      <c r="T595" s="5">
        <f>(I595/[1]Parameters!$B$25)*60</f>
        <v>7.9029152432995211</v>
      </c>
      <c r="U595" s="10">
        <f>IF(AND('[1]Pizza Sales Calculations'!G595=TRUE,'[1]Pizza Sales Calculations'!S595="TRUE"),T595*[1]Parameters!$B$40*2,0)</f>
        <v>0</v>
      </c>
      <c r="V595">
        <f>INDEX([1]Parameters!$A$3:$C$5,MATCH('[1]Pizza Sales Calculations'!D595,[1]Parameters!$A$3:$A$5,0),2)</f>
        <v>7</v>
      </c>
      <c r="W595" t="e">
        <f>INDEX([1]Parameters!$A$3:$C$5,MATCH('[1]Pizza Sales Calculations'!E595,[1]Parameters!$A$3:$A$5,0),2)</f>
        <v>#N/A</v>
      </c>
      <c r="X595" t="e">
        <f>INDEX([1]Parameters!$A$3:$C$5,MATCH('[1]Pizza Sales Calculations'!F595,[1]Parameters!$A$3:$A$5,0),2)</f>
        <v>#N/A</v>
      </c>
    </row>
    <row r="596" spans="1:24" x14ac:dyDescent="0.3">
      <c r="A596">
        <v>595</v>
      </c>
      <c r="B596" s="14">
        <v>42376.430995370371</v>
      </c>
      <c r="C596" s="14">
        <v>42376.441400462965</v>
      </c>
      <c r="D596" t="s">
        <v>3</v>
      </c>
      <c r="E596" t="s">
        <v>5</v>
      </c>
      <c r="G596" t="b">
        <v>1</v>
      </c>
      <c r="H596">
        <v>70804</v>
      </c>
      <c r="I596" s="5">
        <v>1.92570916956966</v>
      </c>
      <c r="J596" s="14">
        <v>42376.448078703703</v>
      </c>
      <c r="K596">
        <v>23.34</v>
      </c>
      <c r="L596" s="5">
        <f>('[1]Pizza Sales Calculations'!$J596-'[1]Pizza Sales Calculations'!$C596)*24*60</f>
        <v>9.6166666620410979</v>
      </c>
      <c r="M596">
        <f>COUNTA('[1]Pizza Sales Calculations'!$D596:$F596)</f>
        <v>2</v>
      </c>
      <c r="N596">
        <f>IFERROR(VLOOKUP(D596,[1]Parameters!$A$3:$C$5,3,FALSE),0)</f>
        <v>1</v>
      </c>
      <c r="O596">
        <f>IFERROR(VLOOKUP(E596,[1]Parameters!$A$3:$C$5,3,FALSE),0)</f>
        <v>2.2999999999999998</v>
      </c>
      <c r="P596">
        <f>IFERROR(VLOOKUP(F596,[1]Parameters!$A$3:$C$5,3,FALSE),0)</f>
        <v>0</v>
      </c>
      <c r="Q596">
        <f t="shared" si="9"/>
        <v>3.3</v>
      </c>
      <c r="R596" s="10">
        <f>IF('[1]Pizza Sales Calculations'!$G596=TRUE, [1]Parameters!$B$17*'[1]Pizza Sales Calculations'!$L596*2, 0)</f>
        <v>2.7247222209116444</v>
      </c>
      <c r="S596" t="str">
        <f>IF(I596&lt;[1]Parameters!$B$21,"TRUE","FALSE")</f>
        <v>TRUE</v>
      </c>
      <c r="T596" s="5">
        <f>(I596/[1]Parameters!$B$25)*60</f>
        <v>3.8514183391393204</v>
      </c>
      <c r="U596" s="10">
        <f>IF(AND('[1]Pizza Sales Calculations'!G596=TRUE,'[1]Pizza Sales Calculations'!S596="TRUE"),T596*[1]Parameters!$B$40*2,0)</f>
        <v>0.24041565467072873</v>
      </c>
      <c r="V596">
        <f>INDEX([1]Parameters!$A$3:$C$5,MATCH('[1]Pizza Sales Calculations'!D596,[1]Parameters!$A$3:$A$5,0),2)</f>
        <v>7</v>
      </c>
      <c r="W596">
        <f>INDEX([1]Parameters!$A$3:$C$5,MATCH('[1]Pizza Sales Calculations'!E596,[1]Parameters!$A$3:$A$5,0),2)</f>
        <v>14</v>
      </c>
      <c r="X596" t="e">
        <f>INDEX([1]Parameters!$A$3:$C$5,MATCH('[1]Pizza Sales Calculations'!F596,[1]Parameters!$A$3:$A$5,0),2)</f>
        <v>#N/A</v>
      </c>
    </row>
    <row r="597" spans="1:24" x14ac:dyDescent="0.3">
      <c r="A597">
        <v>596</v>
      </c>
      <c r="B597" s="14">
        <v>42376.538645833331</v>
      </c>
      <c r="C597" s="14">
        <v>42376.549050925925</v>
      </c>
      <c r="D597" t="s">
        <v>5</v>
      </c>
      <c r="G597" t="b">
        <v>0</v>
      </c>
      <c r="H597">
        <v>70804</v>
      </c>
      <c r="I597" s="5">
        <v>0</v>
      </c>
      <c r="J597" s="14">
        <v>42376.551134259258</v>
      </c>
      <c r="K597">
        <v>15.35</v>
      </c>
      <c r="L597" s="5">
        <f>('[1]Pizza Sales Calculations'!$J597-'[1]Pizza Sales Calculations'!$C597)*24*60</f>
        <v>2.9999999993015081</v>
      </c>
      <c r="M597">
        <f>COUNTA('[1]Pizza Sales Calculations'!$D597:$F597)</f>
        <v>1</v>
      </c>
      <c r="N597">
        <f>IFERROR(VLOOKUP(D597,[1]Parameters!$A$3:$C$5,3,FALSE),0)</f>
        <v>2.2999999999999998</v>
      </c>
      <c r="O597">
        <f>IFERROR(VLOOKUP(E597,[1]Parameters!$A$3:$C$5,3,FALSE),0)</f>
        <v>0</v>
      </c>
      <c r="P597">
        <f>IFERROR(VLOOKUP(F597,[1]Parameters!$A$3:$C$5,3,FALSE),0)</f>
        <v>0</v>
      </c>
      <c r="Q597">
        <f t="shared" si="9"/>
        <v>2.2999999999999998</v>
      </c>
      <c r="R597" s="10">
        <f>IF('[1]Pizza Sales Calculations'!$G597=TRUE, [1]Parameters!$B$17*'[1]Pizza Sales Calculations'!$L597*2, 0)</f>
        <v>0</v>
      </c>
      <c r="S597" t="str">
        <f>IF(I597&lt;[1]Parameters!$B$21,"TRUE","FALSE")</f>
        <v>TRUE</v>
      </c>
      <c r="T597" s="5">
        <f>(I597/[1]Parameters!$B$25)*60</f>
        <v>0</v>
      </c>
      <c r="U597" s="10">
        <f>IF(AND('[1]Pizza Sales Calculations'!G597=TRUE,'[1]Pizza Sales Calculations'!S597="TRUE"),T597*[1]Parameters!$B$40*2,0)</f>
        <v>0</v>
      </c>
      <c r="V597">
        <f>INDEX([1]Parameters!$A$3:$C$5,MATCH('[1]Pizza Sales Calculations'!D597,[1]Parameters!$A$3:$A$5,0),2)</f>
        <v>14</v>
      </c>
      <c r="W597" t="e">
        <f>INDEX([1]Parameters!$A$3:$C$5,MATCH('[1]Pizza Sales Calculations'!E597,[1]Parameters!$A$3:$A$5,0),2)</f>
        <v>#N/A</v>
      </c>
      <c r="X597" t="e">
        <f>INDEX([1]Parameters!$A$3:$C$5,MATCH('[1]Pizza Sales Calculations'!F597,[1]Parameters!$A$3:$A$5,0),2)</f>
        <v>#N/A</v>
      </c>
    </row>
    <row r="598" spans="1:24" x14ac:dyDescent="0.3">
      <c r="A598">
        <v>597</v>
      </c>
      <c r="B598" s="14">
        <v>42376.438634259262</v>
      </c>
      <c r="C598" s="14">
        <v>42376.44903935185</v>
      </c>
      <c r="D598" t="s">
        <v>3</v>
      </c>
      <c r="E598" t="s">
        <v>5</v>
      </c>
      <c r="G598" t="b">
        <v>1</v>
      </c>
      <c r="H598">
        <v>70806</v>
      </c>
      <c r="I598" s="5">
        <v>2.4177342596368598</v>
      </c>
      <c r="J598" s="14">
        <v>42376.457430555558</v>
      </c>
      <c r="K598">
        <v>23.34</v>
      </c>
      <c r="L598" s="5">
        <f>('[1]Pizza Sales Calculations'!$J598-'[1]Pizza Sales Calculations'!$C598)*24*60</f>
        <v>12.08333333954215</v>
      </c>
      <c r="M598">
        <f>COUNTA('[1]Pizza Sales Calculations'!$D598:$F598)</f>
        <v>2</v>
      </c>
      <c r="N598">
        <f>IFERROR(VLOOKUP(D598,[1]Parameters!$A$3:$C$5,3,FALSE),0)</f>
        <v>1</v>
      </c>
      <c r="O598">
        <f>IFERROR(VLOOKUP(E598,[1]Parameters!$A$3:$C$5,3,FALSE),0)</f>
        <v>2.2999999999999998</v>
      </c>
      <c r="P598">
        <f>IFERROR(VLOOKUP(F598,[1]Parameters!$A$3:$C$5,3,FALSE),0)</f>
        <v>0</v>
      </c>
      <c r="Q598">
        <f t="shared" si="9"/>
        <v>3.3</v>
      </c>
      <c r="R598" s="10">
        <f>IF('[1]Pizza Sales Calculations'!$G598=TRUE, [1]Parameters!$B$17*'[1]Pizza Sales Calculations'!$L598*2, 0)</f>
        <v>3.423611112870276</v>
      </c>
      <c r="S598" t="str">
        <f>IF(I598&lt;[1]Parameters!$B$21,"TRUE","FALSE")</f>
        <v>TRUE</v>
      </c>
      <c r="T598" s="5">
        <f>(I598/[1]Parameters!$B$25)*60</f>
        <v>4.8354685192737197</v>
      </c>
      <c r="U598" s="10">
        <f>IF(AND('[1]Pizza Sales Calculations'!G598=TRUE,'[1]Pizza Sales Calculations'!S598="TRUE"),T598*[1]Parameters!$B$40*2,0)</f>
        <v>0.30184265310443542</v>
      </c>
      <c r="V598">
        <f>INDEX([1]Parameters!$A$3:$C$5,MATCH('[1]Pizza Sales Calculations'!D598,[1]Parameters!$A$3:$A$5,0),2)</f>
        <v>7</v>
      </c>
      <c r="W598">
        <f>INDEX([1]Parameters!$A$3:$C$5,MATCH('[1]Pizza Sales Calculations'!E598,[1]Parameters!$A$3:$A$5,0),2)</f>
        <v>14</v>
      </c>
      <c r="X598" t="e">
        <f>INDEX([1]Parameters!$A$3:$C$5,MATCH('[1]Pizza Sales Calculations'!F598,[1]Parameters!$A$3:$A$5,0),2)</f>
        <v>#N/A</v>
      </c>
    </row>
    <row r="599" spans="1:24" x14ac:dyDescent="0.3">
      <c r="A599">
        <v>598</v>
      </c>
      <c r="B599" s="14">
        <v>42376.503530092596</v>
      </c>
      <c r="C599" s="14">
        <v>42376.51394675926</v>
      </c>
      <c r="D599" t="s">
        <v>5</v>
      </c>
      <c r="G599" t="b">
        <v>0</v>
      </c>
      <c r="H599">
        <v>70805</v>
      </c>
      <c r="I599" s="5">
        <v>0</v>
      </c>
      <c r="J599" s="14">
        <v>42376.516018518516</v>
      </c>
      <c r="K599">
        <v>15.35</v>
      </c>
      <c r="L599" s="5">
        <f>('[1]Pizza Sales Calculations'!$J599-'[1]Pizza Sales Calculations'!$C599)*24*60</f>
        <v>2.9833333287388086</v>
      </c>
      <c r="M599">
        <f>COUNTA('[1]Pizza Sales Calculations'!$D599:$F599)</f>
        <v>1</v>
      </c>
      <c r="N599">
        <f>IFERROR(VLOOKUP(D599,[1]Parameters!$A$3:$C$5,3,FALSE),0)</f>
        <v>2.2999999999999998</v>
      </c>
      <c r="O599">
        <f>IFERROR(VLOOKUP(E599,[1]Parameters!$A$3:$C$5,3,FALSE),0)</f>
        <v>0</v>
      </c>
      <c r="P599">
        <f>IFERROR(VLOOKUP(F599,[1]Parameters!$A$3:$C$5,3,FALSE),0)</f>
        <v>0</v>
      </c>
      <c r="Q599">
        <f t="shared" si="9"/>
        <v>2.2999999999999998</v>
      </c>
      <c r="R599" s="10">
        <f>IF('[1]Pizza Sales Calculations'!$G599=TRUE, [1]Parameters!$B$17*'[1]Pizza Sales Calculations'!$L599*2, 0)</f>
        <v>0</v>
      </c>
      <c r="S599" t="str">
        <f>IF(I599&lt;[1]Parameters!$B$21,"TRUE","FALSE")</f>
        <v>TRUE</v>
      </c>
      <c r="T599" s="5">
        <f>(I599/[1]Parameters!$B$25)*60</f>
        <v>0</v>
      </c>
      <c r="U599" s="10">
        <f>IF(AND('[1]Pizza Sales Calculations'!G599=TRUE,'[1]Pizza Sales Calculations'!S599="TRUE"),T599*[1]Parameters!$B$40*2,0)</f>
        <v>0</v>
      </c>
      <c r="V599">
        <f>INDEX([1]Parameters!$A$3:$C$5,MATCH('[1]Pizza Sales Calculations'!D599,[1]Parameters!$A$3:$A$5,0),2)</f>
        <v>14</v>
      </c>
      <c r="W599" t="e">
        <f>INDEX([1]Parameters!$A$3:$C$5,MATCH('[1]Pizza Sales Calculations'!E599,[1]Parameters!$A$3:$A$5,0),2)</f>
        <v>#N/A</v>
      </c>
      <c r="X599" t="e">
        <f>INDEX([1]Parameters!$A$3:$C$5,MATCH('[1]Pizza Sales Calculations'!F599,[1]Parameters!$A$3:$A$5,0),2)</f>
        <v>#N/A</v>
      </c>
    </row>
    <row r="600" spans="1:24" x14ac:dyDescent="0.3">
      <c r="A600">
        <v>599</v>
      </c>
      <c r="B600" s="14">
        <v>42376.541817129626</v>
      </c>
      <c r="C600" s="14">
        <v>42376.552210648151</v>
      </c>
      <c r="D600" t="s">
        <v>3</v>
      </c>
      <c r="G600" t="b">
        <v>0</v>
      </c>
      <c r="H600">
        <v>70806</v>
      </c>
      <c r="I600" s="5">
        <v>0</v>
      </c>
      <c r="J600" s="14">
        <v>42376.554293981484</v>
      </c>
      <c r="K600">
        <v>7.99</v>
      </c>
      <c r="L600" s="5">
        <f>('[1]Pizza Sales Calculations'!$J600-'[1]Pizza Sales Calculations'!$C600)*24*60</f>
        <v>2.9999999993015081</v>
      </c>
      <c r="M600">
        <f>COUNTA('[1]Pizza Sales Calculations'!$D600:$F600)</f>
        <v>1</v>
      </c>
      <c r="N600">
        <f>IFERROR(VLOOKUP(D600,[1]Parameters!$A$3:$C$5,3,FALSE),0)</f>
        <v>1</v>
      </c>
      <c r="O600">
        <f>IFERROR(VLOOKUP(E600,[1]Parameters!$A$3:$C$5,3,FALSE),0)</f>
        <v>0</v>
      </c>
      <c r="P600">
        <f>IFERROR(VLOOKUP(F600,[1]Parameters!$A$3:$C$5,3,FALSE),0)</f>
        <v>0</v>
      </c>
      <c r="Q600">
        <f t="shared" si="9"/>
        <v>1</v>
      </c>
      <c r="R600" s="10">
        <f>IF('[1]Pizza Sales Calculations'!$G600=TRUE, [1]Parameters!$B$17*'[1]Pizza Sales Calculations'!$L600*2, 0)</f>
        <v>0</v>
      </c>
      <c r="S600" t="str">
        <f>IF(I600&lt;[1]Parameters!$B$21,"TRUE","FALSE")</f>
        <v>TRUE</v>
      </c>
      <c r="T600" s="5">
        <f>(I600/[1]Parameters!$B$25)*60</f>
        <v>0</v>
      </c>
      <c r="U600" s="10">
        <f>IF(AND('[1]Pizza Sales Calculations'!G600=TRUE,'[1]Pizza Sales Calculations'!S600="TRUE"),T600*[1]Parameters!$B$40*2,0)</f>
        <v>0</v>
      </c>
      <c r="V600">
        <f>INDEX([1]Parameters!$A$3:$C$5,MATCH('[1]Pizza Sales Calculations'!D600,[1]Parameters!$A$3:$A$5,0),2)</f>
        <v>7</v>
      </c>
      <c r="W600" t="e">
        <f>INDEX([1]Parameters!$A$3:$C$5,MATCH('[1]Pizza Sales Calculations'!E600,[1]Parameters!$A$3:$A$5,0),2)</f>
        <v>#N/A</v>
      </c>
      <c r="X600" t="e">
        <f>INDEX([1]Parameters!$A$3:$C$5,MATCH('[1]Pizza Sales Calculations'!F600,[1]Parameters!$A$3:$A$5,0),2)</f>
        <v>#N/A</v>
      </c>
    </row>
    <row r="601" spans="1:24" x14ac:dyDescent="0.3">
      <c r="A601">
        <v>600</v>
      </c>
      <c r="B601" s="14">
        <v>42376.525868055556</v>
      </c>
      <c r="C601" s="14">
        <v>42376.53628472222</v>
      </c>
      <c r="D601" t="s">
        <v>4</v>
      </c>
      <c r="G601" t="b">
        <v>1</v>
      </c>
      <c r="H601">
        <v>70803</v>
      </c>
      <c r="I601" s="5">
        <v>4.5117973954144697</v>
      </c>
      <c r="J601" s="14">
        <v>42376.551944444444</v>
      </c>
      <c r="K601">
        <v>11.59</v>
      </c>
      <c r="L601" s="5">
        <f>('[1]Pizza Sales Calculations'!$J601-'[1]Pizza Sales Calculations'!$C601)*24*60</f>
        <v>22.550000001210719</v>
      </c>
      <c r="M601">
        <f>COUNTA('[1]Pizza Sales Calculations'!$D601:$F601)</f>
        <v>1</v>
      </c>
      <c r="N601">
        <f>IFERROR(VLOOKUP(D601,[1]Parameters!$A$3:$C$5,3,FALSE),0)</f>
        <v>1.7</v>
      </c>
      <c r="O601">
        <f>IFERROR(VLOOKUP(E601,[1]Parameters!$A$3:$C$5,3,FALSE),0)</f>
        <v>0</v>
      </c>
      <c r="P601">
        <f>IFERROR(VLOOKUP(F601,[1]Parameters!$A$3:$C$5,3,FALSE),0)</f>
        <v>0</v>
      </c>
      <c r="Q601">
        <f t="shared" si="9"/>
        <v>1.7</v>
      </c>
      <c r="R601" s="10">
        <f>IF('[1]Pizza Sales Calculations'!$G601=TRUE, [1]Parameters!$B$17*'[1]Pizza Sales Calculations'!$L601*2, 0)</f>
        <v>6.3891666670097038</v>
      </c>
      <c r="S601" t="str">
        <f>IF(I601&lt;[1]Parameters!$B$21,"TRUE","FALSE")</f>
        <v>FALSE</v>
      </c>
      <c r="T601" s="5">
        <f>(I601/[1]Parameters!$B$25)*60</f>
        <v>9.0235947908289393</v>
      </c>
      <c r="U601" s="10">
        <f>IF(AND('[1]Pizza Sales Calculations'!G601=TRUE,'[1]Pizza Sales Calculations'!S601="TRUE"),T601*[1]Parameters!$B$40*2,0)</f>
        <v>0</v>
      </c>
      <c r="V601">
        <f>INDEX([1]Parameters!$A$3:$C$5,MATCH('[1]Pizza Sales Calculations'!D601,[1]Parameters!$A$3:$A$5,0),2)</f>
        <v>10</v>
      </c>
      <c r="W601" t="e">
        <f>INDEX([1]Parameters!$A$3:$C$5,MATCH('[1]Pizza Sales Calculations'!E601,[1]Parameters!$A$3:$A$5,0),2)</f>
        <v>#N/A</v>
      </c>
      <c r="X601" t="e">
        <f>INDEX([1]Parameters!$A$3:$C$5,MATCH('[1]Pizza Sales Calculations'!F601,[1]Parameters!$A$3:$A$5,0),2)</f>
        <v>#N/A</v>
      </c>
    </row>
    <row r="602" spans="1:24" x14ac:dyDescent="0.3">
      <c r="A602">
        <v>601</v>
      </c>
      <c r="B602" s="14">
        <v>42376.470567129632</v>
      </c>
      <c r="C602" s="14">
        <v>42376.48096064815</v>
      </c>
      <c r="D602" t="s">
        <v>3</v>
      </c>
      <c r="E602" t="s">
        <v>5</v>
      </c>
      <c r="G602" t="b">
        <v>0</v>
      </c>
      <c r="H602">
        <v>70803</v>
      </c>
      <c r="I602" s="5">
        <v>0</v>
      </c>
      <c r="J602" s="14">
        <v>42376.483055555553</v>
      </c>
      <c r="K602">
        <v>23.34</v>
      </c>
      <c r="L602" s="5">
        <f>('[1]Pizza Sales Calculations'!$J602-'[1]Pizza Sales Calculations'!$C602)*24*60</f>
        <v>3.0166666593868285</v>
      </c>
      <c r="M602">
        <f>COUNTA('[1]Pizza Sales Calculations'!$D602:$F602)</f>
        <v>2</v>
      </c>
      <c r="N602">
        <f>IFERROR(VLOOKUP(D602,[1]Parameters!$A$3:$C$5,3,FALSE),0)</f>
        <v>1</v>
      </c>
      <c r="O602">
        <f>IFERROR(VLOOKUP(E602,[1]Parameters!$A$3:$C$5,3,FALSE),0)</f>
        <v>2.2999999999999998</v>
      </c>
      <c r="P602">
        <f>IFERROR(VLOOKUP(F602,[1]Parameters!$A$3:$C$5,3,FALSE),0)</f>
        <v>0</v>
      </c>
      <c r="Q602">
        <f t="shared" si="9"/>
        <v>3.3</v>
      </c>
      <c r="R602" s="10">
        <f>IF('[1]Pizza Sales Calculations'!$G602=TRUE, [1]Parameters!$B$17*'[1]Pizza Sales Calculations'!$L602*2, 0)</f>
        <v>0</v>
      </c>
      <c r="S602" t="str">
        <f>IF(I602&lt;[1]Parameters!$B$21,"TRUE","FALSE")</f>
        <v>TRUE</v>
      </c>
      <c r="T602" s="5">
        <f>(I602/[1]Parameters!$B$25)*60</f>
        <v>0</v>
      </c>
      <c r="U602" s="10">
        <f>IF(AND('[1]Pizza Sales Calculations'!G602=TRUE,'[1]Pizza Sales Calculations'!S602="TRUE"),T602*[1]Parameters!$B$40*2,0)</f>
        <v>0</v>
      </c>
      <c r="V602">
        <f>INDEX([1]Parameters!$A$3:$C$5,MATCH('[1]Pizza Sales Calculations'!D602,[1]Parameters!$A$3:$A$5,0),2)</f>
        <v>7</v>
      </c>
      <c r="W602">
        <f>INDEX([1]Parameters!$A$3:$C$5,MATCH('[1]Pizza Sales Calculations'!E602,[1]Parameters!$A$3:$A$5,0),2)</f>
        <v>14</v>
      </c>
      <c r="X602" t="e">
        <f>INDEX([1]Parameters!$A$3:$C$5,MATCH('[1]Pizza Sales Calculations'!F602,[1]Parameters!$A$3:$A$5,0),2)</f>
        <v>#N/A</v>
      </c>
    </row>
    <row r="603" spans="1:24" x14ac:dyDescent="0.3">
      <c r="A603">
        <v>602</v>
      </c>
      <c r="B603" s="14">
        <v>42376.570555555554</v>
      </c>
      <c r="C603" s="14">
        <v>42376.580949074072</v>
      </c>
      <c r="D603" t="s">
        <v>5</v>
      </c>
      <c r="G603" t="b">
        <v>1</v>
      </c>
      <c r="H603">
        <v>70806</v>
      </c>
      <c r="I603" s="5">
        <v>3.3807049296453799</v>
      </c>
      <c r="J603" s="14">
        <v>42376.592685185184</v>
      </c>
      <c r="K603">
        <v>15.35</v>
      </c>
      <c r="L603" s="5">
        <f>('[1]Pizza Sales Calculations'!$J603-'[1]Pizza Sales Calculations'!$C603)*24*60</f>
        <v>16.90000000060536</v>
      </c>
      <c r="M603">
        <f>COUNTA('[1]Pizza Sales Calculations'!$D603:$F603)</f>
        <v>1</v>
      </c>
      <c r="N603">
        <f>IFERROR(VLOOKUP(D603,[1]Parameters!$A$3:$C$5,3,FALSE),0)</f>
        <v>2.2999999999999998</v>
      </c>
      <c r="O603">
        <f>IFERROR(VLOOKUP(E603,[1]Parameters!$A$3:$C$5,3,FALSE),0)</f>
        <v>0</v>
      </c>
      <c r="P603">
        <f>IFERROR(VLOOKUP(F603,[1]Parameters!$A$3:$C$5,3,FALSE),0)</f>
        <v>0</v>
      </c>
      <c r="Q603">
        <f t="shared" si="9"/>
        <v>2.2999999999999998</v>
      </c>
      <c r="R603" s="10">
        <f>IF('[1]Pizza Sales Calculations'!$G603=TRUE, [1]Parameters!$B$17*'[1]Pizza Sales Calculations'!$L603*2, 0)</f>
        <v>4.7883333335048519</v>
      </c>
      <c r="S603" t="str">
        <f>IF(I603&lt;[1]Parameters!$B$21,"TRUE","FALSE")</f>
        <v>FALSE</v>
      </c>
      <c r="T603" s="5">
        <f>(I603/[1]Parameters!$B$25)*60</f>
        <v>6.7614098592907599</v>
      </c>
      <c r="U603" s="10">
        <f>IF(AND('[1]Pizza Sales Calculations'!G603=TRUE,'[1]Pizza Sales Calculations'!S603="TRUE"),T603*[1]Parameters!$B$40*2,0)</f>
        <v>0</v>
      </c>
      <c r="V603">
        <f>INDEX([1]Parameters!$A$3:$C$5,MATCH('[1]Pizza Sales Calculations'!D603,[1]Parameters!$A$3:$A$5,0),2)</f>
        <v>14</v>
      </c>
      <c r="W603" t="e">
        <f>INDEX([1]Parameters!$A$3:$C$5,MATCH('[1]Pizza Sales Calculations'!E603,[1]Parameters!$A$3:$A$5,0),2)</f>
        <v>#N/A</v>
      </c>
      <c r="X603" t="e">
        <f>INDEX([1]Parameters!$A$3:$C$5,MATCH('[1]Pizza Sales Calculations'!F603,[1]Parameters!$A$3:$A$5,0),2)</f>
        <v>#N/A</v>
      </c>
    </row>
    <row r="604" spans="1:24" x14ac:dyDescent="0.3">
      <c r="A604">
        <v>603</v>
      </c>
      <c r="B604" s="14">
        <v>42376.51734953704</v>
      </c>
      <c r="C604" s="14">
        <v>42376.527754629627</v>
      </c>
      <c r="D604" t="s">
        <v>3</v>
      </c>
      <c r="G604" t="b">
        <v>1</v>
      </c>
      <c r="H604">
        <v>70806</v>
      </c>
      <c r="I604" s="5">
        <v>1.2229216070422799</v>
      </c>
      <c r="J604" s="14">
        <v>42376.531990740739</v>
      </c>
      <c r="K604">
        <v>7.99</v>
      </c>
      <c r="L604" s="5">
        <f>('[1]Pizza Sales Calculations'!$J604-'[1]Pizza Sales Calculations'!$C604)*24*60</f>
        <v>6.1000000010244548</v>
      </c>
      <c r="M604">
        <f>COUNTA('[1]Pizza Sales Calculations'!$D604:$F604)</f>
        <v>1</v>
      </c>
      <c r="N604">
        <f>IFERROR(VLOOKUP(D604,[1]Parameters!$A$3:$C$5,3,FALSE),0)</f>
        <v>1</v>
      </c>
      <c r="O604">
        <f>IFERROR(VLOOKUP(E604,[1]Parameters!$A$3:$C$5,3,FALSE),0)</f>
        <v>0</v>
      </c>
      <c r="P604">
        <f>IFERROR(VLOOKUP(F604,[1]Parameters!$A$3:$C$5,3,FALSE),0)</f>
        <v>0</v>
      </c>
      <c r="Q604">
        <f t="shared" si="9"/>
        <v>1</v>
      </c>
      <c r="R604" s="10">
        <f>IF('[1]Pizza Sales Calculations'!$G604=TRUE, [1]Parameters!$B$17*'[1]Pizza Sales Calculations'!$L604*2, 0)</f>
        <v>1.7283333336235955</v>
      </c>
      <c r="S604" t="str">
        <f>IF(I604&lt;[1]Parameters!$B$21,"TRUE","FALSE")</f>
        <v>TRUE</v>
      </c>
      <c r="T604" s="5">
        <f>(I604/[1]Parameters!$B$25)*60</f>
        <v>2.4458432140845598</v>
      </c>
      <c r="U604" s="10">
        <f>IF(AND('[1]Pizza Sales Calculations'!G604=TRUE,'[1]Pizza Sales Calculations'!S604="TRUE"),T604*[1]Parameters!$B$40*2,0)</f>
        <v>0.1526759613621988</v>
      </c>
      <c r="V604">
        <f>INDEX([1]Parameters!$A$3:$C$5,MATCH('[1]Pizza Sales Calculations'!D604,[1]Parameters!$A$3:$A$5,0),2)</f>
        <v>7</v>
      </c>
      <c r="W604" t="e">
        <f>INDEX([1]Parameters!$A$3:$C$5,MATCH('[1]Pizza Sales Calculations'!E604,[1]Parameters!$A$3:$A$5,0),2)</f>
        <v>#N/A</v>
      </c>
      <c r="X604" t="e">
        <f>INDEX([1]Parameters!$A$3:$C$5,MATCH('[1]Pizza Sales Calculations'!F604,[1]Parameters!$A$3:$A$5,0),2)</f>
        <v>#N/A</v>
      </c>
    </row>
    <row r="605" spans="1:24" x14ac:dyDescent="0.3">
      <c r="A605">
        <v>604</v>
      </c>
      <c r="B605" s="14">
        <v>42376.478900462964</v>
      </c>
      <c r="C605" s="14">
        <v>42376.489305555559</v>
      </c>
      <c r="D605" t="s">
        <v>5</v>
      </c>
      <c r="G605" t="b">
        <v>0</v>
      </c>
      <c r="H605">
        <v>70803</v>
      </c>
      <c r="I605" s="5">
        <v>0</v>
      </c>
      <c r="J605" s="14">
        <v>42376.491388888891</v>
      </c>
      <c r="K605">
        <v>15.35</v>
      </c>
      <c r="L605" s="5">
        <f>('[1]Pizza Sales Calculations'!$J605-'[1]Pizza Sales Calculations'!$C605)*24*60</f>
        <v>2.9999999993015081</v>
      </c>
      <c r="M605">
        <f>COUNTA('[1]Pizza Sales Calculations'!$D605:$F605)</f>
        <v>1</v>
      </c>
      <c r="N605">
        <f>IFERROR(VLOOKUP(D605,[1]Parameters!$A$3:$C$5,3,FALSE),0)</f>
        <v>2.2999999999999998</v>
      </c>
      <c r="O605">
        <f>IFERROR(VLOOKUP(E605,[1]Parameters!$A$3:$C$5,3,FALSE),0)</f>
        <v>0</v>
      </c>
      <c r="P605">
        <f>IFERROR(VLOOKUP(F605,[1]Parameters!$A$3:$C$5,3,FALSE),0)</f>
        <v>0</v>
      </c>
      <c r="Q605">
        <f t="shared" si="9"/>
        <v>2.2999999999999998</v>
      </c>
      <c r="R605" s="10">
        <f>IF('[1]Pizza Sales Calculations'!$G605=TRUE, [1]Parameters!$B$17*'[1]Pizza Sales Calculations'!$L605*2, 0)</f>
        <v>0</v>
      </c>
      <c r="S605" t="str">
        <f>IF(I605&lt;[1]Parameters!$B$21,"TRUE","FALSE")</f>
        <v>TRUE</v>
      </c>
      <c r="T605" s="5">
        <f>(I605/[1]Parameters!$B$25)*60</f>
        <v>0</v>
      </c>
      <c r="U605" s="10">
        <f>IF(AND('[1]Pizza Sales Calculations'!G605=TRUE,'[1]Pizza Sales Calculations'!S605="TRUE"),T605*[1]Parameters!$B$40*2,0)</f>
        <v>0</v>
      </c>
      <c r="V605">
        <f>INDEX([1]Parameters!$A$3:$C$5,MATCH('[1]Pizza Sales Calculations'!D605,[1]Parameters!$A$3:$A$5,0),2)</f>
        <v>14</v>
      </c>
      <c r="W605" t="e">
        <f>INDEX([1]Parameters!$A$3:$C$5,MATCH('[1]Pizza Sales Calculations'!E605,[1]Parameters!$A$3:$A$5,0),2)</f>
        <v>#N/A</v>
      </c>
      <c r="X605" t="e">
        <f>INDEX([1]Parameters!$A$3:$C$5,MATCH('[1]Pizza Sales Calculations'!F605,[1]Parameters!$A$3:$A$5,0),2)</f>
        <v>#N/A</v>
      </c>
    </row>
    <row r="606" spans="1:24" x14ac:dyDescent="0.3">
      <c r="A606">
        <v>605</v>
      </c>
      <c r="B606" s="14">
        <v>42376.518796296295</v>
      </c>
      <c r="C606" s="14">
        <v>42376.52921296296</v>
      </c>
      <c r="D606" t="s">
        <v>3</v>
      </c>
      <c r="G606" t="b">
        <v>1</v>
      </c>
      <c r="H606">
        <v>70803</v>
      </c>
      <c r="I606" s="5">
        <v>3.30015027788252</v>
      </c>
      <c r="J606" s="14">
        <v>42376.540671296294</v>
      </c>
      <c r="K606">
        <v>7.99</v>
      </c>
      <c r="L606" s="5">
        <f>('[1]Pizza Sales Calculations'!$J606-'[1]Pizza Sales Calculations'!$C606)*24*60</f>
        <v>16.500000001396984</v>
      </c>
      <c r="M606">
        <f>COUNTA('[1]Pizza Sales Calculations'!$D606:$F606)</f>
        <v>1</v>
      </c>
      <c r="N606">
        <f>IFERROR(VLOOKUP(D606,[1]Parameters!$A$3:$C$5,3,FALSE),0)</f>
        <v>1</v>
      </c>
      <c r="O606">
        <f>IFERROR(VLOOKUP(E606,[1]Parameters!$A$3:$C$5,3,FALSE),0)</f>
        <v>0</v>
      </c>
      <c r="P606">
        <f>IFERROR(VLOOKUP(F606,[1]Parameters!$A$3:$C$5,3,FALSE),0)</f>
        <v>0</v>
      </c>
      <c r="Q606">
        <f t="shared" si="9"/>
        <v>1</v>
      </c>
      <c r="R606" s="10">
        <f>IF('[1]Pizza Sales Calculations'!$G606=TRUE, [1]Parameters!$B$17*'[1]Pizza Sales Calculations'!$L606*2, 0)</f>
        <v>4.6750000003958121</v>
      </c>
      <c r="S606" t="str">
        <f>IF(I606&lt;[1]Parameters!$B$21,"TRUE","FALSE")</f>
        <v>FALSE</v>
      </c>
      <c r="T606" s="5">
        <f>(I606/[1]Parameters!$B$25)*60</f>
        <v>6.60030055576504</v>
      </c>
      <c r="U606" s="10">
        <f>IF(AND('[1]Pizza Sales Calculations'!G606=TRUE,'[1]Pizza Sales Calculations'!S606="TRUE"),T606*[1]Parameters!$B$40*2,0)</f>
        <v>0</v>
      </c>
      <c r="V606">
        <f>INDEX([1]Parameters!$A$3:$C$5,MATCH('[1]Pizza Sales Calculations'!D606,[1]Parameters!$A$3:$A$5,0),2)</f>
        <v>7</v>
      </c>
      <c r="W606" t="e">
        <f>INDEX([1]Parameters!$A$3:$C$5,MATCH('[1]Pizza Sales Calculations'!E606,[1]Parameters!$A$3:$A$5,0),2)</f>
        <v>#N/A</v>
      </c>
      <c r="X606" t="e">
        <f>INDEX([1]Parameters!$A$3:$C$5,MATCH('[1]Pizza Sales Calculations'!F606,[1]Parameters!$A$3:$A$5,0),2)</f>
        <v>#N/A</v>
      </c>
    </row>
    <row r="607" spans="1:24" x14ac:dyDescent="0.3">
      <c r="A607">
        <v>606</v>
      </c>
      <c r="B607" s="14">
        <v>42376.530763888892</v>
      </c>
      <c r="C607" s="14">
        <v>42376.541192129633</v>
      </c>
      <c r="D607" t="s">
        <v>4</v>
      </c>
      <c r="G607" t="b">
        <v>0</v>
      </c>
      <c r="H607">
        <v>70805</v>
      </c>
      <c r="I607" s="5">
        <v>0</v>
      </c>
      <c r="J607" s="14">
        <v>42376.543252314812</v>
      </c>
      <c r="K607">
        <v>11.59</v>
      </c>
      <c r="L607" s="5">
        <f>('[1]Pizza Sales Calculations'!$J607-'[1]Pizza Sales Calculations'!$C607)*24*60</f>
        <v>2.9666666581761092</v>
      </c>
      <c r="M607">
        <f>COUNTA('[1]Pizza Sales Calculations'!$D607:$F607)</f>
        <v>1</v>
      </c>
      <c r="N607">
        <f>IFERROR(VLOOKUP(D607,[1]Parameters!$A$3:$C$5,3,FALSE),0)</f>
        <v>1.7</v>
      </c>
      <c r="O607">
        <f>IFERROR(VLOOKUP(E607,[1]Parameters!$A$3:$C$5,3,FALSE),0)</f>
        <v>0</v>
      </c>
      <c r="P607">
        <f>IFERROR(VLOOKUP(F607,[1]Parameters!$A$3:$C$5,3,FALSE),0)</f>
        <v>0</v>
      </c>
      <c r="Q607">
        <f t="shared" si="9"/>
        <v>1.7</v>
      </c>
      <c r="R607" s="10">
        <f>IF('[1]Pizza Sales Calculations'!$G607=TRUE, [1]Parameters!$B$17*'[1]Pizza Sales Calculations'!$L607*2, 0)</f>
        <v>0</v>
      </c>
      <c r="S607" t="str">
        <f>IF(I607&lt;[1]Parameters!$B$21,"TRUE","FALSE")</f>
        <v>TRUE</v>
      </c>
      <c r="T607" s="5">
        <f>(I607/[1]Parameters!$B$25)*60</f>
        <v>0</v>
      </c>
      <c r="U607" s="10">
        <f>IF(AND('[1]Pizza Sales Calculations'!G607=TRUE,'[1]Pizza Sales Calculations'!S607="TRUE"),T607*[1]Parameters!$B$40*2,0)</f>
        <v>0</v>
      </c>
      <c r="V607">
        <f>INDEX([1]Parameters!$A$3:$C$5,MATCH('[1]Pizza Sales Calculations'!D607,[1]Parameters!$A$3:$A$5,0),2)</f>
        <v>10</v>
      </c>
      <c r="W607" t="e">
        <f>INDEX([1]Parameters!$A$3:$C$5,MATCH('[1]Pizza Sales Calculations'!E607,[1]Parameters!$A$3:$A$5,0),2)</f>
        <v>#N/A</v>
      </c>
      <c r="X607" t="e">
        <f>INDEX([1]Parameters!$A$3:$C$5,MATCH('[1]Pizza Sales Calculations'!F607,[1]Parameters!$A$3:$A$5,0),2)</f>
        <v>#N/A</v>
      </c>
    </row>
    <row r="608" spans="1:24" x14ac:dyDescent="0.3">
      <c r="A608">
        <v>607</v>
      </c>
      <c r="B608" s="14">
        <v>42376.473009259258</v>
      </c>
      <c r="C608" s="14">
        <v>42376.483402777776</v>
      </c>
      <c r="D608" t="s">
        <v>3</v>
      </c>
      <c r="G608" t="b">
        <v>1</v>
      </c>
      <c r="H608">
        <v>70804</v>
      </c>
      <c r="I608" s="5">
        <v>2.2931565657548401</v>
      </c>
      <c r="J608" s="14">
        <v>42376.491354166668</v>
      </c>
      <c r="K608">
        <v>7.99</v>
      </c>
      <c r="L608" s="5">
        <f>('[1]Pizza Sales Calculations'!$J608-'[1]Pizza Sales Calculations'!$C608)*24*60</f>
        <v>11.450000004842877</v>
      </c>
      <c r="M608">
        <f>COUNTA('[1]Pizza Sales Calculations'!$D608:$F608)</f>
        <v>1</v>
      </c>
      <c r="N608">
        <f>IFERROR(VLOOKUP(D608,[1]Parameters!$A$3:$C$5,3,FALSE),0)</f>
        <v>1</v>
      </c>
      <c r="O608">
        <f>IFERROR(VLOOKUP(E608,[1]Parameters!$A$3:$C$5,3,FALSE),0)</f>
        <v>0</v>
      </c>
      <c r="P608">
        <f>IFERROR(VLOOKUP(F608,[1]Parameters!$A$3:$C$5,3,FALSE),0)</f>
        <v>0</v>
      </c>
      <c r="Q608">
        <f t="shared" si="9"/>
        <v>1</v>
      </c>
      <c r="R608" s="10">
        <f>IF('[1]Pizza Sales Calculations'!$G608=TRUE, [1]Parameters!$B$17*'[1]Pizza Sales Calculations'!$L608*2, 0)</f>
        <v>3.2441666680388153</v>
      </c>
      <c r="S608" t="str">
        <f>IF(I608&lt;[1]Parameters!$B$21,"TRUE","FALSE")</f>
        <v>TRUE</v>
      </c>
      <c r="T608" s="5">
        <f>(I608/[1]Parameters!$B$25)*60</f>
        <v>4.5863131315096801</v>
      </c>
      <c r="U608" s="10">
        <f>IF(AND('[1]Pizza Sales Calculations'!G608=TRUE,'[1]Pizza Sales Calculations'!S608="TRUE"),T608*[1]Parameters!$B$40*2,0)</f>
        <v>0.28628971899304595</v>
      </c>
      <c r="V608">
        <f>INDEX([1]Parameters!$A$3:$C$5,MATCH('[1]Pizza Sales Calculations'!D608,[1]Parameters!$A$3:$A$5,0),2)</f>
        <v>7</v>
      </c>
      <c r="W608" t="e">
        <f>INDEX([1]Parameters!$A$3:$C$5,MATCH('[1]Pizza Sales Calculations'!E608,[1]Parameters!$A$3:$A$5,0),2)</f>
        <v>#N/A</v>
      </c>
      <c r="X608" t="e">
        <f>INDEX([1]Parameters!$A$3:$C$5,MATCH('[1]Pizza Sales Calculations'!F608,[1]Parameters!$A$3:$A$5,0),2)</f>
        <v>#N/A</v>
      </c>
    </row>
    <row r="609" spans="1:24" x14ac:dyDescent="0.3">
      <c r="A609">
        <v>608</v>
      </c>
      <c r="B609" s="14">
        <v>42376.506643518522</v>
      </c>
      <c r="C609" s="14">
        <v>42376.51703703704</v>
      </c>
      <c r="D609" t="s">
        <v>3</v>
      </c>
      <c r="G609" t="b">
        <v>0</v>
      </c>
      <c r="H609">
        <v>70804</v>
      </c>
      <c r="I609" s="5">
        <v>0</v>
      </c>
      <c r="J609" s="14">
        <v>42376.519108796296</v>
      </c>
      <c r="K609">
        <v>7.99</v>
      </c>
      <c r="L609" s="5">
        <f>('[1]Pizza Sales Calculations'!$J609-'[1]Pizza Sales Calculations'!$C609)*24*60</f>
        <v>2.9833333287388086</v>
      </c>
      <c r="M609">
        <f>COUNTA('[1]Pizza Sales Calculations'!$D609:$F609)</f>
        <v>1</v>
      </c>
      <c r="N609">
        <f>IFERROR(VLOOKUP(D609,[1]Parameters!$A$3:$C$5,3,FALSE),0)</f>
        <v>1</v>
      </c>
      <c r="O609">
        <f>IFERROR(VLOOKUP(E609,[1]Parameters!$A$3:$C$5,3,FALSE),0)</f>
        <v>0</v>
      </c>
      <c r="P609">
        <f>IFERROR(VLOOKUP(F609,[1]Parameters!$A$3:$C$5,3,FALSE),0)</f>
        <v>0</v>
      </c>
      <c r="Q609">
        <f t="shared" si="9"/>
        <v>1</v>
      </c>
      <c r="R609" s="10">
        <f>IF('[1]Pizza Sales Calculations'!$G609=TRUE, [1]Parameters!$B$17*'[1]Pizza Sales Calculations'!$L609*2, 0)</f>
        <v>0</v>
      </c>
      <c r="S609" t="str">
        <f>IF(I609&lt;[1]Parameters!$B$21,"TRUE","FALSE")</f>
        <v>TRUE</v>
      </c>
      <c r="T609" s="5">
        <f>(I609/[1]Parameters!$B$25)*60</f>
        <v>0</v>
      </c>
      <c r="U609" s="10">
        <f>IF(AND('[1]Pizza Sales Calculations'!G609=TRUE,'[1]Pizza Sales Calculations'!S609="TRUE"),T609*[1]Parameters!$B$40*2,0)</f>
        <v>0</v>
      </c>
      <c r="V609">
        <f>INDEX([1]Parameters!$A$3:$C$5,MATCH('[1]Pizza Sales Calculations'!D609,[1]Parameters!$A$3:$A$5,0),2)</f>
        <v>7</v>
      </c>
      <c r="W609" t="e">
        <f>INDEX([1]Parameters!$A$3:$C$5,MATCH('[1]Pizza Sales Calculations'!E609,[1]Parameters!$A$3:$A$5,0),2)</f>
        <v>#N/A</v>
      </c>
      <c r="X609" t="e">
        <f>INDEX([1]Parameters!$A$3:$C$5,MATCH('[1]Pizza Sales Calculations'!F609,[1]Parameters!$A$3:$A$5,0),2)</f>
        <v>#N/A</v>
      </c>
    </row>
    <row r="610" spans="1:24" x14ac:dyDescent="0.3">
      <c r="A610">
        <v>609</v>
      </c>
      <c r="B610" s="14">
        <v>42376.489872685182</v>
      </c>
      <c r="C610" s="14">
        <v>42376.500254629631</v>
      </c>
      <c r="D610" t="s">
        <v>4</v>
      </c>
      <c r="G610" t="b">
        <v>0</v>
      </c>
      <c r="H610">
        <v>70806</v>
      </c>
      <c r="I610" s="5">
        <v>0</v>
      </c>
      <c r="J610" s="14">
        <v>42376.502337962964</v>
      </c>
      <c r="K610">
        <v>11.59</v>
      </c>
      <c r="L610" s="5">
        <f>('[1]Pizza Sales Calculations'!$J610-'[1]Pizza Sales Calculations'!$C610)*24*60</f>
        <v>2.9999999993015081</v>
      </c>
      <c r="M610">
        <f>COUNTA('[1]Pizza Sales Calculations'!$D610:$F610)</f>
        <v>1</v>
      </c>
      <c r="N610">
        <f>IFERROR(VLOOKUP(D610,[1]Parameters!$A$3:$C$5,3,FALSE),0)</f>
        <v>1.7</v>
      </c>
      <c r="O610">
        <f>IFERROR(VLOOKUP(E610,[1]Parameters!$A$3:$C$5,3,FALSE),0)</f>
        <v>0</v>
      </c>
      <c r="P610">
        <f>IFERROR(VLOOKUP(F610,[1]Parameters!$A$3:$C$5,3,FALSE),0)</f>
        <v>0</v>
      </c>
      <c r="Q610">
        <f t="shared" si="9"/>
        <v>1.7</v>
      </c>
      <c r="R610" s="10">
        <f>IF('[1]Pizza Sales Calculations'!$G610=TRUE, [1]Parameters!$B$17*'[1]Pizza Sales Calculations'!$L610*2, 0)</f>
        <v>0</v>
      </c>
      <c r="S610" t="str">
        <f>IF(I610&lt;[1]Parameters!$B$21,"TRUE","FALSE")</f>
        <v>TRUE</v>
      </c>
      <c r="T610" s="5">
        <f>(I610/[1]Parameters!$B$25)*60</f>
        <v>0</v>
      </c>
      <c r="U610" s="10">
        <f>IF(AND('[1]Pizza Sales Calculations'!G610=TRUE,'[1]Pizza Sales Calculations'!S610="TRUE"),T610*[1]Parameters!$B$40*2,0)</f>
        <v>0</v>
      </c>
      <c r="V610">
        <f>INDEX([1]Parameters!$A$3:$C$5,MATCH('[1]Pizza Sales Calculations'!D610,[1]Parameters!$A$3:$A$5,0),2)</f>
        <v>10</v>
      </c>
      <c r="W610" t="e">
        <f>INDEX([1]Parameters!$A$3:$C$5,MATCH('[1]Pizza Sales Calculations'!E610,[1]Parameters!$A$3:$A$5,0),2)</f>
        <v>#N/A</v>
      </c>
      <c r="X610" t="e">
        <f>INDEX([1]Parameters!$A$3:$C$5,MATCH('[1]Pizza Sales Calculations'!F610,[1]Parameters!$A$3:$A$5,0),2)</f>
        <v>#N/A</v>
      </c>
    </row>
    <row r="611" spans="1:24" x14ac:dyDescent="0.3">
      <c r="A611">
        <v>610</v>
      </c>
      <c r="B611" s="14">
        <v>42376.502453703702</v>
      </c>
      <c r="C611" s="14">
        <v>42376.51284722222</v>
      </c>
      <c r="D611" t="s">
        <v>5</v>
      </c>
      <c r="G611" t="b">
        <v>0</v>
      </c>
      <c r="H611">
        <v>70804</v>
      </c>
      <c r="I611" s="5">
        <v>0</v>
      </c>
      <c r="J611" s="14">
        <v>42376.514907407407</v>
      </c>
      <c r="K611">
        <v>15.35</v>
      </c>
      <c r="L611" s="5">
        <f>('[1]Pizza Sales Calculations'!$J611-'[1]Pizza Sales Calculations'!$C611)*24*60</f>
        <v>2.9666666686534882</v>
      </c>
      <c r="M611">
        <f>COUNTA('[1]Pizza Sales Calculations'!$D611:$F611)</f>
        <v>1</v>
      </c>
      <c r="N611">
        <f>IFERROR(VLOOKUP(D611,[1]Parameters!$A$3:$C$5,3,FALSE),0)</f>
        <v>2.2999999999999998</v>
      </c>
      <c r="O611">
        <f>IFERROR(VLOOKUP(E611,[1]Parameters!$A$3:$C$5,3,FALSE),0)</f>
        <v>0</v>
      </c>
      <c r="P611">
        <f>IFERROR(VLOOKUP(F611,[1]Parameters!$A$3:$C$5,3,FALSE),0)</f>
        <v>0</v>
      </c>
      <c r="Q611">
        <f t="shared" si="9"/>
        <v>2.2999999999999998</v>
      </c>
      <c r="R611" s="10">
        <f>IF('[1]Pizza Sales Calculations'!$G611=TRUE, [1]Parameters!$B$17*'[1]Pizza Sales Calculations'!$L611*2, 0)</f>
        <v>0</v>
      </c>
      <c r="S611" t="str">
        <f>IF(I611&lt;[1]Parameters!$B$21,"TRUE","FALSE")</f>
        <v>TRUE</v>
      </c>
      <c r="T611" s="5">
        <f>(I611/[1]Parameters!$B$25)*60</f>
        <v>0</v>
      </c>
      <c r="U611" s="10">
        <f>IF(AND('[1]Pizza Sales Calculations'!G611=TRUE,'[1]Pizza Sales Calculations'!S611="TRUE"),T611*[1]Parameters!$B$40*2,0)</f>
        <v>0</v>
      </c>
      <c r="V611">
        <f>INDEX([1]Parameters!$A$3:$C$5,MATCH('[1]Pizza Sales Calculations'!D611,[1]Parameters!$A$3:$A$5,0),2)</f>
        <v>14</v>
      </c>
      <c r="W611" t="e">
        <f>INDEX([1]Parameters!$A$3:$C$5,MATCH('[1]Pizza Sales Calculations'!E611,[1]Parameters!$A$3:$A$5,0),2)</f>
        <v>#N/A</v>
      </c>
      <c r="X611" t="e">
        <f>INDEX([1]Parameters!$A$3:$C$5,MATCH('[1]Pizza Sales Calculations'!F611,[1]Parameters!$A$3:$A$5,0),2)</f>
        <v>#N/A</v>
      </c>
    </row>
    <row r="612" spans="1:24" x14ac:dyDescent="0.3">
      <c r="A612">
        <v>611</v>
      </c>
      <c r="B612" s="14">
        <v>42376.486168981479</v>
      </c>
      <c r="C612" s="14">
        <v>42376.496574074074</v>
      </c>
      <c r="D612" t="s">
        <v>4</v>
      </c>
      <c r="G612" t="b">
        <v>1</v>
      </c>
      <c r="H612">
        <v>70805</v>
      </c>
      <c r="I612" s="5">
        <v>4.7213025208025101</v>
      </c>
      <c r="J612" s="14">
        <v>42376.512962962966</v>
      </c>
      <c r="K612">
        <v>11.59</v>
      </c>
      <c r="L612" s="5">
        <f>('[1]Pizza Sales Calculations'!$J612-'[1]Pizza Sales Calculations'!$C612)*24*60</f>
        <v>23.600000005681068</v>
      </c>
      <c r="M612">
        <f>COUNTA('[1]Pizza Sales Calculations'!$D612:$F612)</f>
        <v>1</v>
      </c>
      <c r="N612">
        <f>IFERROR(VLOOKUP(D612,[1]Parameters!$A$3:$C$5,3,FALSE),0)</f>
        <v>1.7</v>
      </c>
      <c r="O612">
        <f>IFERROR(VLOOKUP(E612,[1]Parameters!$A$3:$C$5,3,FALSE),0)</f>
        <v>0</v>
      </c>
      <c r="P612">
        <f>IFERROR(VLOOKUP(F612,[1]Parameters!$A$3:$C$5,3,FALSE),0)</f>
        <v>0</v>
      </c>
      <c r="Q612">
        <f t="shared" si="9"/>
        <v>1.7</v>
      </c>
      <c r="R612" s="10">
        <f>IF('[1]Pizza Sales Calculations'!$G612=TRUE, [1]Parameters!$B$17*'[1]Pizza Sales Calculations'!$L612*2, 0)</f>
        <v>6.6866666682763025</v>
      </c>
      <c r="S612" t="str">
        <f>IF(I612&lt;[1]Parameters!$B$21,"TRUE","FALSE")</f>
        <v>FALSE</v>
      </c>
      <c r="T612" s="5">
        <f>(I612/[1]Parameters!$B$25)*60</f>
        <v>9.4426050416050202</v>
      </c>
      <c r="U612" s="10">
        <f>IF(AND('[1]Pizza Sales Calculations'!G612=TRUE,'[1]Pizza Sales Calculations'!S612="TRUE"),T612*[1]Parameters!$B$40*2,0)</f>
        <v>0</v>
      </c>
      <c r="V612">
        <f>INDEX([1]Parameters!$A$3:$C$5,MATCH('[1]Pizza Sales Calculations'!D612,[1]Parameters!$A$3:$A$5,0),2)</f>
        <v>10</v>
      </c>
      <c r="W612" t="e">
        <f>INDEX([1]Parameters!$A$3:$C$5,MATCH('[1]Pizza Sales Calculations'!E612,[1]Parameters!$A$3:$A$5,0),2)</f>
        <v>#N/A</v>
      </c>
      <c r="X612" t="e">
        <f>INDEX([1]Parameters!$A$3:$C$5,MATCH('[1]Pizza Sales Calculations'!F612,[1]Parameters!$A$3:$A$5,0),2)</f>
        <v>#N/A</v>
      </c>
    </row>
    <row r="613" spans="1:24" x14ac:dyDescent="0.3">
      <c r="A613">
        <v>612</v>
      </c>
      <c r="B613" s="14">
        <v>42376.475115740737</v>
      </c>
      <c r="C613" s="14">
        <v>42376.485520833332</v>
      </c>
      <c r="D613" t="s">
        <v>4</v>
      </c>
      <c r="G613" t="b">
        <v>1</v>
      </c>
      <c r="H613">
        <v>70805</v>
      </c>
      <c r="I613" s="5">
        <v>4.7615233443341598</v>
      </c>
      <c r="J613" s="14">
        <v>42376.50204861111</v>
      </c>
      <c r="K613">
        <v>11.59</v>
      </c>
      <c r="L613" s="5">
        <f>('[1]Pizza Sales Calculations'!$J613-'[1]Pizza Sales Calculations'!$C613)*24*60</f>
        <v>23.800000000046566</v>
      </c>
      <c r="M613">
        <f>COUNTA('[1]Pizza Sales Calculations'!$D613:$F613)</f>
        <v>1</v>
      </c>
      <c r="N613">
        <f>IFERROR(VLOOKUP(D613,[1]Parameters!$A$3:$C$5,3,FALSE),0)</f>
        <v>1.7</v>
      </c>
      <c r="O613">
        <f>IFERROR(VLOOKUP(E613,[1]Parameters!$A$3:$C$5,3,FALSE),0)</f>
        <v>0</v>
      </c>
      <c r="P613">
        <f>IFERROR(VLOOKUP(F613,[1]Parameters!$A$3:$C$5,3,FALSE),0)</f>
        <v>0</v>
      </c>
      <c r="Q613">
        <f t="shared" si="9"/>
        <v>1.7</v>
      </c>
      <c r="R613" s="10">
        <f>IF('[1]Pizza Sales Calculations'!$G613=TRUE, [1]Parameters!$B$17*'[1]Pizza Sales Calculations'!$L613*2, 0)</f>
        <v>6.7433333333465271</v>
      </c>
      <c r="S613" t="str">
        <f>IF(I613&lt;[1]Parameters!$B$21,"TRUE","FALSE")</f>
        <v>FALSE</v>
      </c>
      <c r="T613" s="5">
        <f>(I613/[1]Parameters!$B$25)*60</f>
        <v>9.5230466886683196</v>
      </c>
      <c r="U613" s="10">
        <f>IF(AND('[1]Pizza Sales Calculations'!G613=TRUE,'[1]Pizza Sales Calculations'!S613="TRUE"),T613*[1]Parameters!$B$40*2,0)</f>
        <v>0</v>
      </c>
      <c r="V613">
        <f>INDEX([1]Parameters!$A$3:$C$5,MATCH('[1]Pizza Sales Calculations'!D613,[1]Parameters!$A$3:$A$5,0),2)</f>
        <v>10</v>
      </c>
      <c r="W613" t="e">
        <f>INDEX([1]Parameters!$A$3:$C$5,MATCH('[1]Pizza Sales Calculations'!E613,[1]Parameters!$A$3:$A$5,0),2)</f>
        <v>#N/A</v>
      </c>
      <c r="X613" t="e">
        <f>INDEX([1]Parameters!$A$3:$C$5,MATCH('[1]Pizza Sales Calculations'!F613,[1]Parameters!$A$3:$A$5,0),2)</f>
        <v>#N/A</v>
      </c>
    </row>
    <row r="614" spans="1:24" x14ac:dyDescent="0.3">
      <c r="A614">
        <v>613</v>
      </c>
      <c r="B614" s="14">
        <v>42376.469155092593</v>
      </c>
      <c r="C614" s="14">
        <v>42376.479560185187</v>
      </c>
      <c r="D614" t="s">
        <v>5</v>
      </c>
      <c r="G614" t="b">
        <v>1</v>
      </c>
      <c r="H614">
        <v>70806</v>
      </c>
      <c r="I614" s="5">
        <v>2.2958843559059399</v>
      </c>
      <c r="J614" s="14">
        <v>42376.487523148149</v>
      </c>
      <c r="K614">
        <v>15.35</v>
      </c>
      <c r="L614" s="5">
        <f>('[1]Pizza Sales Calculations'!$J614-'[1]Pizza Sales Calculations'!$C614)*24*60</f>
        <v>11.466666664928198</v>
      </c>
      <c r="M614">
        <f>COUNTA('[1]Pizza Sales Calculations'!$D614:$F614)</f>
        <v>1</v>
      </c>
      <c r="N614">
        <f>IFERROR(VLOOKUP(D614,[1]Parameters!$A$3:$C$5,3,FALSE),0)</f>
        <v>2.2999999999999998</v>
      </c>
      <c r="O614">
        <f>IFERROR(VLOOKUP(E614,[1]Parameters!$A$3:$C$5,3,FALSE),0)</f>
        <v>0</v>
      </c>
      <c r="P614">
        <f>IFERROR(VLOOKUP(F614,[1]Parameters!$A$3:$C$5,3,FALSE),0)</f>
        <v>0</v>
      </c>
      <c r="Q614">
        <f t="shared" si="9"/>
        <v>2.2999999999999998</v>
      </c>
      <c r="R614" s="10">
        <f>IF('[1]Pizza Sales Calculations'!$G614=TRUE, [1]Parameters!$B$17*'[1]Pizza Sales Calculations'!$L614*2, 0)</f>
        <v>3.2488888883963227</v>
      </c>
      <c r="S614" t="str">
        <f>IF(I614&lt;[1]Parameters!$B$21,"TRUE","FALSE")</f>
        <v>TRUE</v>
      </c>
      <c r="T614" s="5">
        <f>(I614/[1]Parameters!$B$25)*60</f>
        <v>4.5917687118118797</v>
      </c>
      <c r="U614" s="10">
        <f>IF(AND('[1]Pizza Sales Calculations'!G614=TRUE,'[1]Pizza Sales Calculations'!S614="TRUE"),T614*[1]Parameters!$B$40*2,0)</f>
        <v>0.28663027065336111</v>
      </c>
      <c r="V614">
        <f>INDEX([1]Parameters!$A$3:$C$5,MATCH('[1]Pizza Sales Calculations'!D614,[1]Parameters!$A$3:$A$5,0),2)</f>
        <v>14</v>
      </c>
      <c r="W614" t="e">
        <f>INDEX([1]Parameters!$A$3:$C$5,MATCH('[1]Pizza Sales Calculations'!E614,[1]Parameters!$A$3:$A$5,0),2)</f>
        <v>#N/A</v>
      </c>
      <c r="X614" t="e">
        <f>INDEX([1]Parameters!$A$3:$C$5,MATCH('[1]Pizza Sales Calculations'!F614,[1]Parameters!$A$3:$A$5,0),2)</f>
        <v>#N/A</v>
      </c>
    </row>
    <row r="615" spans="1:24" x14ac:dyDescent="0.3">
      <c r="A615">
        <v>614</v>
      </c>
      <c r="B615" s="14">
        <v>42376.52443287037</v>
      </c>
      <c r="C615" s="14">
        <v>42376.534837962965</v>
      </c>
      <c r="D615" t="s">
        <v>5</v>
      </c>
      <c r="G615" t="b">
        <v>1</v>
      </c>
      <c r="H615">
        <v>70805</v>
      </c>
      <c r="I615" s="5">
        <v>3.6674708284778701</v>
      </c>
      <c r="J615" s="14">
        <v>42376.547569444447</v>
      </c>
      <c r="K615">
        <v>15.35</v>
      </c>
      <c r="L615" s="5">
        <f>('[1]Pizza Sales Calculations'!$J615-'[1]Pizza Sales Calculations'!$C615)*24*60</f>
        <v>18.333333333721384</v>
      </c>
      <c r="M615">
        <f>COUNTA('[1]Pizza Sales Calculations'!$D615:$F615)</f>
        <v>1</v>
      </c>
      <c r="N615">
        <f>IFERROR(VLOOKUP(D615,[1]Parameters!$A$3:$C$5,3,FALSE),0)</f>
        <v>2.2999999999999998</v>
      </c>
      <c r="O615">
        <f>IFERROR(VLOOKUP(E615,[1]Parameters!$A$3:$C$5,3,FALSE),0)</f>
        <v>0</v>
      </c>
      <c r="P615">
        <f>IFERROR(VLOOKUP(F615,[1]Parameters!$A$3:$C$5,3,FALSE),0)</f>
        <v>0</v>
      </c>
      <c r="Q615">
        <f t="shared" si="9"/>
        <v>2.2999999999999998</v>
      </c>
      <c r="R615" s="10">
        <f>IF('[1]Pizza Sales Calculations'!$G615=TRUE, [1]Parameters!$B$17*'[1]Pizza Sales Calculations'!$L615*2, 0)</f>
        <v>5.1944444445543922</v>
      </c>
      <c r="S615" t="str">
        <f>IF(I615&lt;[1]Parameters!$B$21,"TRUE","FALSE")</f>
        <v>FALSE</v>
      </c>
      <c r="T615" s="5">
        <f>(I615/[1]Parameters!$B$25)*60</f>
        <v>7.3349416569557402</v>
      </c>
      <c r="U615" s="10">
        <f>IF(AND('[1]Pizza Sales Calculations'!G615=TRUE,'[1]Pizza Sales Calculations'!S615="TRUE"),T615*[1]Parameters!$B$40*2,0)</f>
        <v>0</v>
      </c>
      <c r="V615">
        <f>INDEX([1]Parameters!$A$3:$C$5,MATCH('[1]Pizza Sales Calculations'!D615,[1]Parameters!$A$3:$A$5,0),2)</f>
        <v>14</v>
      </c>
      <c r="W615" t="e">
        <f>INDEX([1]Parameters!$A$3:$C$5,MATCH('[1]Pizza Sales Calculations'!E615,[1]Parameters!$A$3:$A$5,0),2)</f>
        <v>#N/A</v>
      </c>
      <c r="X615" t="e">
        <f>INDEX([1]Parameters!$A$3:$C$5,MATCH('[1]Pizza Sales Calculations'!F615,[1]Parameters!$A$3:$A$5,0),2)</f>
        <v>#N/A</v>
      </c>
    </row>
    <row r="616" spans="1:24" x14ac:dyDescent="0.3">
      <c r="A616">
        <v>615</v>
      </c>
      <c r="B616" s="14">
        <v>42376.478587962964</v>
      </c>
      <c r="C616" s="14">
        <v>42376.488981481481</v>
      </c>
      <c r="D616" t="s">
        <v>3</v>
      </c>
      <c r="E616" t="s">
        <v>5</v>
      </c>
      <c r="G616" t="b">
        <v>0</v>
      </c>
      <c r="H616">
        <v>70805</v>
      </c>
      <c r="I616" s="5">
        <v>0</v>
      </c>
      <c r="J616" s="14">
        <v>42376.491053240738</v>
      </c>
      <c r="K616">
        <v>23.34</v>
      </c>
      <c r="L616" s="5">
        <f>('[1]Pizza Sales Calculations'!$J616-'[1]Pizza Sales Calculations'!$C616)*24*60</f>
        <v>2.9833333287388086</v>
      </c>
      <c r="M616">
        <f>COUNTA('[1]Pizza Sales Calculations'!$D616:$F616)</f>
        <v>2</v>
      </c>
      <c r="N616">
        <f>IFERROR(VLOOKUP(D616,[1]Parameters!$A$3:$C$5,3,FALSE),0)</f>
        <v>1</v>
      </c>
      <c r="O616">
        <f>IFERROR(VLOOKUP(E616,[1]Parameters!$A$3:$C$5,3,FALSE),0)</f>
        <v>2.2999999999999998</v>
      </c>
      <c r="P616">
        <f>IFERROR(VLOOKUP(F616,[1]Parameters!$A$3:$C$5,3,FALSE),0)</f>
        <v>0</v>
      </c>
      <c r="Q616">
        <f t="shared" si="9"/>
        <v>3.3</v>
      </c>
      <c r="R616" s="10">
        <f>IF('[1]Pizza Sales Calculations'!$G616=TRUE, [1]Parameters!$B$17*'[1]Pizza Sales Calculations'!$L616*2, 0)</f>
        <v>0</v>
      </c>
      <c r="S616" t="str">
        <f>IF(I616&lt;[1]Parameters!$B$21,"TRUE","FALSE")</f>
        <v>TRUE</v>
      </c>
      <c r="T616" s="5">
        <f>(I616/[1]Parameters!$B$25)*60</f>
        <v>0</v>
      </c>
      <c r="U616" s="10">
        <f>IF(AND('[1]Pizza Sales Calculations'!G616=TRUE,'[1]Pizza Sales Calculations'!S616="TRUE"),T616*[1]Parameters!$B$40*2,0)</f>
        <v>0</v>
      </c>
      <c r="V616">
        <f>INDEX([1]Parameters!$A$3:$C$5,MATCH('[1]Pizza Sales Calculations'!D616,[1]Parameters!$A$3:$A$5,0),2)</f>
        <v>7</v>
      </c>
      <c r="W616">
        <f>INDEX([1]Parameters!$A$3:$C$5,MATCH('[1]Pizza Sales Calculations'!E616,[1]Parameters!$A$3:$A$5,0),2)</f>
        <v>14</v>
      </c>
      <c r="X616" t="e">
        <f>INDEX([1]Parameters!$A$3:$C$5,MATCH('[1]Pizza Sales Calculations'!F616,[1]Parameters!$A$3:$A$5,0),2)</f>
        <v>#N/A</v>
      </c>
    </row>
    <row r="617" spans="1:24" x14ac:dyDescent="0.3">
      <c r="A617">
        <v>616</v>
      </c>
      <c r="B617" s="14">
        <v>42376.522731481484</v>
      </c>
      <c r="C617" s="14">
        <v>42376.533148148148</v>
      </c>
      <c r="D617" t="s">
        <v>5</v>
      </c>
      <c r="G617" t="b">
        <v>0</v>
      </c>
      <c r="H617">
        <v>70803</v>
      </c>
      <c r="I617" s="5">
        <v>0</v>
      </c>
      <c r="J617" s="14">
        <v>42376.535231481481</v>
      </c>
      <c r="K617">
        <v>15.35</v>
      </c>
      <c r="L617" s="5">
        <f>('[1]Pizza Sales Calculations'!$J617-'[1]Pizza Sales Calculations'!$C617)*24*60</f>
        <v>2.9999999993015081</v>
      </c>
      <c r="M617">
        <f>COUNTA('[1]Pizza Sales Calculations'!$D617:$F617)</f>
        <v>1</v>
      </c>
      <c r="N617">
        <f>IFERROR(VLOOKUP(D617,[1]Parameters!$A$3:$C$5,3,FALSE),0)</f>
        <v>2.2999999999999998</v>
      </c>
      <c r="O617">
        <f>IFERROR(VLOOKUP(E617,[1]Parameters!$A$3:$C$5,3,FALSE),0)</f>
        <v>0</v>
      </c>
      <c r="P617">
        <f>IFERROR(VLOOKUP(F617,[1]Parameters!$A$3:$C$5,3,FALSE),0)</f>
        <v>0</v>
      </c>
      <c r="Q617">
        <f t="shared" si="9"/>
        <v>2.2999999999999998</v>
      </c>
      <c r="R617" s="10">
        <f>IF('[1]Pizza Sales Calculations'!$G617=TRUE, [1]Parameters!$B$17*'[1]Pizza Sales Calculations'!$L617*2, 0)</f>
        <v>0</v>
      </c>
      <c r="S617" t="str">
        <f>IF(I617&lt;[1]Parameters!$B$21,"TRUE","FALSE")</f>
        <v>TRUE</v>
      </c>
      <c r="T617" s="5">
        <f>(I617/[1]Parameters!$B$25)*60</f>
        <v>0</v>
      </c>
      <c r="U617" s="10">
        <f>IF(AND('[1]Pizza Sales Calculations'!G617=TRUE,'[1]Pizza Sales Calculations'!S617="TRUE"),T617*[1]Parameters!$B$40*2,0)</f>
        <v>0</v>
      </c>
      <c r="V617">
        <f>INDEX([1]Parameters!$A$3:$C$5,MATCH('[1]Pizza Sales Calculations'!D617,[1]Parameters!$A$3:$A$5,0),2)</f>
        <v>14</v>
      </c>
      <c r="W617" t="e">
        <f>INDEX([1]Parameters!$A$3:$C$5,MATCH('[1]Pizza Sales Calculations'!E617,[1]Parameters!$A$3:$A$5,0),2)</f>
        <v>#N/A</v>
      </c>
      <c r="X617" t="e">
        <f>INDEX([1]Parameters!$A$3:$C$5,MATCH('[1]Pizza Sales Calculations'!F617,[1]Parameters!$A$3:$A$5,0),2)</f>
        <v>#N/A</v>
      </c>
    </row>
    <row r="618" spans="1:24" x14ac:dyDescent="0.3">
      <c r="A618">
        <v>617</v>
      </c>
      <c r="B618" s="14">
        <v>42376.471377314818</v>
      </c>
      <c r="C618" s="14">
        <v>42376.481793981482</v>
      </c>
      <c r="D618" t="s">
        <v>5</v>
      </c>
      <c r="G618" t="b">
        <v>1</v>
      </c>
      <c r="H618">
        <v>70804</v>
      </c>
      <c r="I618" s="5">
        <v>1.2363971204416599</v>
      </c>
      <c r="J618" s="14">
        <v>42376.486076388886</v>
      </c>
      <c r="K618">
        <v>15.35</v>
      </c>
      <c r="L618" s="5">
        <f>('[1]Pizza Sales Calculations'!$J618-'[1]Pizza Sales Calculations'!$C618)*24*60</f>
        <v>6.1666666623204947</v>
      </c>
      <c r="M618">
        <f>COUNTA('[1]Pizza Sales Calculations'!$D618:$F618)</f>
        <v>1</v>
      </c>
      <c r="N618">
        <f>IFERROR(VLOOKUP(D618,[1]Parameters!$A$3:$C$5,3,FALSE),0)</f>
        <v>2.2999999999999998</v>
      </c>
      <c r="O618">
        <f>IFERROR(VLOOKUP(E618,[1]Parameters!$A$3:$C$5,3,FALSE),0)</f>
        <v>0</v>
      </c>
      <c r="P618">
        <f>IFERROR(VLOOKUP(F618,[1]Parameters!$A$3:$C$5,3,FALSE),0)</f>
        <v>0</v>
      </c>
      <c r="Q618">
        <f t="shared" si="9"/>
        <v>2.2999999999999998</v>
      </c>
      <c r="R618" s="10">
        <f>IF('[1]Pizza Sales Calculations'!$G618=TRUE, [1]Parameters!$B$17*'[1]Pizza Sales Calculations'!$L618*2, 0)</f>
        <v>1.7472222209908068</v>
      </c>
      <c r="S618" t="str">
        <f>IF(I618&lt;[1]Parameters!$B$21,"TRUE","FALSE")</f>
        <v>TRUE</v>
      </c>
      <c r="T618" s="5">
        <f>(I618/[1]Parameters!$B$25)*60</f>
        <v>2.4727942408833199</v>
      </c>
      <c r="U618" s="10">
        <f>IF(AND('[1]Pizza Sales Calculations'!G618=TRUE,'[1]Pizza Sales Calculations'!S618="TRUE"),T618*[1]Parameters!$B$40*2,0)</f>
        <v>0.15435831528517469</v>
      </c>
      <c r="V618">
        <f>INDEX([1]Parameters!$A$3:$C$5,MATCH('[1]Pizza Sales Calculations'!D618,[1]Parameters!$A$3:$A$5,0),2)</f>
        <v>14</v>
      </c>
      <c r="W618" t="e">
        <f>INDEX([1]Parameters!$A$3:$C$5,MATCH('[1]Pizza Sales Calculations'!E618,[1]Parameters!$A$3:$A$5,0),2)</f>
        <v>#N/A</v>
      </c>
      <c r="X618" t="e">
        <f>INDEX([1]Parameters!$A$3:$C$5,MATCH('[1]Pizza Sales Calculations'!F618,[1]Parameters!$A$3:$A$5,0),2)</f>
        <v>#N/A</v>
      </c>
    </row>
    <row r="619" spans="1:24" x14ac:dyDescent="0.3">
      <c r="A619">
        <v>618</v>
      </c>
      <c r="B619" s="14">
        <v>42376.472581018519</v>
      </c>
      <c r="C619" s="14">
        <v>42376.482974537037</v>
      </c>
      <c r="D619" t="s">
        <v>3</v>
      </c>
      <c r="E619" t="s">
        <v>4</v>
      </c>
      <c r="G619" t="b">
        <v>0</v>
      </c>
      <c r="H619">
        <v>70804</v>
      </c>
      <c r="I619" s="5">
        <v>0</v>
      </c>
      <c r="J619" s="14">
        <v>42376.485023148147</v>
      </c>
      <c r="K619">
        <v>19.579999999999998</v>
      </c>
      <c r="L619" s="5">
        <f>('[1]Pizza Sales Calculations'!$J619-'[1]Pizza Sales Calculations'!$C619)*24*60</f>
        <v>2.9499999980907887</v>
      </c>
      <c r="M619">
        <f>COUNTA('[1]Pizza Sales Calculations'!$D619:$F619)</f>
        <v>2</v>
      </c>
      <c r="N619">
        <f>IFERROR(VLOOKUP(D619,[1]Parameters!$A$3:$C$5,3,FALSE),0)</f>
        <v>1</v>
      </c>
      <c r="O619">
        <f>IFERROR(VLOOKUP(E619,[1]Parameters!$A$3:$C$5,3,FALSE),0)</f>
        <v>1.7</v>
      </c>
      <c r="P619">
        <f>IFERROR(VLOOKUP(F619,[1]Parameters!$A$3:$C$5,3,FALSE),0)</f>
        <v>0</v>
      </c>
      <c r="Q619">
        <f t="shared" si="9"/>
        <v>2.7</v>
      </c>
      <c r="R619" s="10">
        <f>IF('[1]Pizza Sales Calculations'!$G619=TRUE, [1]Parameters!$B$17*'[1]Pizza Sales Calculations'!$L619*2, 0)</f>
        <v>0</v>
      </c>
      <c r="S619" t="str">
        <f>IF(I619&lt;[1]Parameters!$B$21,"TRUE","FALSE")</f>
        <v>TRUE</v>
      </c>
      <c r="T619" s="5">
        <f>(I619/[1]Parameters!$B$25)*60</f>
        <v>0</v>
      </c>
      <c r="U619" s="10">
        <f>IF(AND('[1]Pizza Sales Calculations'!G619=TRUE,'[1]Pizza Sales Calculations'!S619="TRUE"),T619*[1]Parameters!$B$40*2,0)</f>
        <v>0</v>
      </c>
      <c r="V619">
        <f>INDEX([1]Parameters!$A$3:$C$5,MATCH('[1]Pizza Sales Calculations'!D619,[1]Parameters!$A$3:$A$5,0),2)</f>
        <v>7</v>
      </c>
      <c r="W619">
        <f>INDEX([1]Parameters!$A$3:$C$5,MATCH('[1]Pizza Sales Calculations'!E619,[1]Parameters!$A$3:$A$5,0),2)</f>
        <v>10</v>
      </c>
      <c r="X619" t="e">
        <f>INDEX([1]Parameters!$A$3:$C$5,MATCH('[1]Pizza Sales Calculations'!F619,[1]Parameters!$A$3:$A$5,0),2)</f>
        <v>#N/A</v>
      </c>
    </row>
    <row r="620" spans="1:24" x14ac:dyDescent="0.3">
      <c r="A620">
        <v>619</v>
      </c>
      <c r="B620" s="14">
        <v>42376.521041666667</v>
      </c>
      <c r="C620" s="14">
        <v>42376.531469907408</v>
      </c>
      <c r="D620" t="s">
        <v>3</v>
      </c>
      <c r="G620" t="b">
        <v>1</v>
      </c>
      <c r="H620">
        <v>70805</v>
      </c>
      <c r="I620" s="5">
        <v>2.9758578382551999</v>
      </c>
      <c r="J620" s="14">
        <v>42376.54179398148</v>
      </c>
      <c r="K620">
        <v>7.99</v>
      </c>
      <c r="L620" s="5">
        <f>('[1]Pizza Sales Calculations'!$J620-'[1]Pizza Sales Calculations'!$C620)*24*60</f>
        <v>14.866666663438082</v>
      </c>
      <c r="M620">
        <f>COUNTA('[1]Pizza Sales Calculations'!$D620:$F620)</f>
        <v>1</v>
      </c>
      <c r="N620">
        <f>IFERROR(VLOOKUP(D620,[1]Parameters!$A$3:$C$5,3,FALSE),0)</f>
        <v>1</v>
      </c>
      <c r="O620">
        <f>IFERROR(VLOOKUP(E620,[1]Parameters!$A$3:$C$5,3,FALSE),0)</f>
        <v>0</v>
      </c>
      <c r="P620">
        <f>IFERROR(VLOOKUP(F620,[1]Parameters!$A$3:$C$5,3,FALSE),0)</f>
        <v>0</v>
      </c>
      <c r="Q620">
        <f t="shared" si="9"/>
        <v>1</v>
      </c>
      <c r="R620" s="10">
        <f>IF('[1]Pizza Sales Calculations'!$G620=TRUE, [1]Parameters!$B$17*'[1]Pizza Sales Calculations'!$L620*2, 0)</f>
        <v>4.2122222213074565</v>
      </c>
      <c r="S620" t="str">
        <f>IF(I620&lt;[1]Parameters!$B$21,"TRUE","FALSE")</f>
        <v>TRUE</v>
      </c>
      <c r="T620" s="5">
        <f>(I620/[1]Parameters!$B$25)*60</f>
        <v>5.9517156765103998</v>
      </c>
      <c r="U620" s="10">
        <f>IF(AND('[1]Pizza Sales Calculations'!G620=TRUE,'[1]Pizza Sales Calculations'!S620="TRUE"),T620*[1]Parameters!$B$40*2,0)</f>
        <v>0.37152173427674129</v>
      </c>
      <c r="V620">
        <f>INDEX([1]Parameters!$A$3:$C$5,MATCH('[1]Pizza Sales Calculations'!D620,[1]Parameters!$A$3:$A$5,0),2)</f>
        <v>7</v>
      </c>
      <c r="W620" t="e">
        <f>INDEX([1]Parameters!$A$3:$C$5,MATCH('[1]Pizza Sales Calculations'!E620,[1]Parameters!$A$3:$A$5,0),2)</f>
        <v>#N/A</v>
      </c>
      <c r="X620" t="e">
        <f>INDEX([1]Parameters!$A$3:$C$5,MATCH('[1]Pizza Sales Calculations'!F620,[1]Parameters!$A$3:$A$5,0),2)</f>
        <v>#N/A</v>
      </c>
    </row>
    <row r="621" spans="1:24" x14ac:dyDescent="0.3">
      <c r="A621">
        <v>620</v>
      </c>
      <c r="B621" s="14">
        <v>42376.561493055553</v>
      </c>
      <c r="C621" s="14">
        <v>42376.571898148148</v>
      </c>
      <c r="D621" t="s">
        <v>5</v>
      </c>
      <c r="G621" t="b">
        <v>0</v>
      </c>
      <c r="H621">
        <v>70805</v>
      </c>
      <c r="I621" s="5">
        <v>0</v>
      </c>
      <c r="J621" s="14">
        <v>42376.573958333334</v>
      </c>
      <c r="K621">
        <v>15.35</v>
      </c>
      <c r="L621" s="5">
        <f>('[1]Pizza Sales Calculations'!$J621-'[1]Pizza Sales Calculations'!$C621)*24*60</f>
        <v>2.9666666686534882</v>
      </c>
      <c r="M621">
        <f>COUNTA('[1]Pizza Sales Calculations'!$D621:$F621)</f>
        <v>1</v>
      </c>
      <c r="N621">
        <f>IFERROR(VLOOKUP(D621,[1]Parameters!$A$3:$C$5,3,FALSE),0)</f>
        <v>2.2999999999999998</v>
      </c>
      <c r="O621">
        <f>IFERROR(VLOOKUP(E621,[1]Parameters!$A$3:$C$5,3,FALSE),0)</f>
        <v>0</v>
      </c>
      <c r="P621">
        <f>IFERROR(VLOOKUP(F621,[1]Parameters!$A$3:$C$5,3,FALSE),0)</f>
        <v>0</v>
      </c>
      <c r="Q621">
        <f t="shared" si="9"/>
        <v>2.2999999999999998</v>
      </c>
      <c r="R621" s="10">
        <f>IF('[1]Pizza Sales Calculations'!$G621=TRUE, [1]Parameters!$B$17*'[1]Pizza Sales Calculations'!$L621*2, 0)</f>
        <v>0</v>
      </c>
      <c r="S621" t="str">
        <f>IF(I621&lt;[1]Parameters!$B$21,"TRUE","FALSE")</f>
        <v>TRUE</v>
      </c>
      <c r="T621" s="5">
        <f>(I621/[1]Parameters!$B$25)*60</f>
        <v>0</v>
      </c>
      <c r="U621" s="10">
        <f>IF(AND('[1]Pizza Sales Calculations'!G621=TRUE,'[1]Pizza Sales Calculations'!S621="TRUE"),T621*[1]Parameters!$B$40*2,0)</f>
        <v>0</v>
      </c>
      <c r="V621">
        <f>INDEX([1]Parameters!$A$3:$C$5,MATCH('[1]Pizza Sales Calculations'!D621,[1]Parameters!$A$3:$A$5,0),2)</f>
        <v>14</v>
      </c>
      <c r="W621" t="e">
        <f>INDEX([1]Parameters!$A$3:$C$5,MATCH('[1]Pizza Sales Calculations'!E621,[1]Parameters!$A$3:$A$5,0),2)</f>
        <v>#N/A</v>
      </c>
      <c r="X621" t="e">
        <f>INDEX([1]Parameters!$A$3:$C$5,MATCH('[1]Pizza Sales Calculations'!F621,[1]Parameters!$A$3:$A$5,0),2)</f>
        <v>#N/A</v>
      </c>
    </row>
    <row r="622" spans="1:24" x14ac:dyDescent="0.3">
      <c r="A622">
        <v>621</v>
      </c>
      <c r="B622" s="14">
        <v>42376.460578703707</v>
      </c>
      <c r="C622" s="14">
        <v>42376.470983796295</v>
      </c>
      <c r="D622" t="s">
        <v>5</v>
      </c>
      <c r="G622" t="b">
        <v>0</v>
      </c>
      <c r="H622">
        <v>70805</v>
      </c>
      <c r="I622" s="5">
        <v>0</v>
      </c>
      <c r="J622" s="14">
        <v>42376.473078703704</v>
      </c>
      <c r="K622">
        <v>15.35</v>
      </c>
      <c r="L622" s="5">
        <f>('[1]Pizza Sales Calculations'!$J622-'[1]Pizza Sales Calculations'!$C622)*24*60</f>
        <v>3.0166666698642075</v>
      </c>
      <c r="M622">
        <f>COUNTA('[1]Pizza Sales Calculations'!$D622:$F622)</f>
        <v>1</v>
      </c>
      <c r="N622">
        <f>IFERROR(VLOOKUP(D622,[1]Parameters!$A$3:$C$5,3,FALSE),0)</f>
        <v>2.2999999999999998</v>
      </c>
      <c r="O622">
        <f>IFERROR(VLOOKUP(E622,[1]Parameters!$A$3:$C$5,3,FALSE),0)</f>
        <v>0</v>
      </c>
      <c r="P622">
        <f>IFERROR(VLOOKUP(F622,[1]Parameters!$A$3:$C$5,3,FALSE),0)</f>
        <v>0</v>
      </c>
      <c r="Q622">
        <f t="shared" si="9"/>
        <v>2.2999999999999998</v>
      </c>
      <c r="R622" s="10">
        <f>IF('[1]Pizza Sales Calculations'!$G622=TRUE, [1]Parameters!$B$17*'[1]Pizza Sales Calculations'!$L622*2, 0)</f>
        <v>0</v>
      </c>
      <c r="S622" t="str">
        <f>IF(I622&lt;[1]Parameters!$B$21,"TRUE","FALSE")</f>
        <v>TRUE</v>
      </c>
      <c r="T622" s="5">
        <f>(I622/[1]Parameters!$B$25)*60</f>
        <v>0</v>
      </c>
      <c r="U622" s="10">
        <f>IF(AND('[1]Pizza Sales Calculations'!G622=TRUE,'[1]Pizza Sales Calculations'!S622="TRUE"),T622*[1]Parameters!$B$40*2,0)</f>
        <v>0</v>
      </c>
      <c r="V622">
        <f>INDEX([1]Parameters!$A$3:$C$5,MATCH('[1]Pizza Sales Calculations'!D622,[1]Parameters!$A$3:$A$5,0),2)</f>
        <v>14</v>
      </c>
      <c r="W622" t="e">
        <f>INDEX([1]Parameters!$A$3:$C$5,MATCH('[1]Pizza Sales Calculations'!E622,[1]Parameters!$A$3:$A$5,0),2)</f>
        <v>#N/A</v>
      </c>
      <c r="X622" t="e">
        <f>INDEX([1]Parameters!$A$3:$C$5,MATCH('[1]Pizza Sales Calculations'!F622,[1]Parameters!$A$3:$A$5,0),2)</f>
        <v>#N/A</v>
      </c>
    </row>
    <row r="623" spans="1:24" x14ac:dyDescent="0.3">
      <c r="A623">
        <v>622</v>
      </c>
      <c r="B623" s="14">
        <v>42376.52548611111</v>
      </c>
      <c r="C623" s="14">
        <v>42376.535891203705</v>
      </c>
      <c r="D623" t="s">
        <v>4</v>
      </c>
      <c r="G623" t="b">
        <v>0</v>
      </c>
      <c r="H623">
        <v>70805</v>
      </c>
      <c r="I623" s="5">
        <v>0</v>
      </c>
      <c r="J623" s="14">
        <v>42376.537974537037</v>
      </c>
      <c r="K623">
        <v>11.59</v>
      </c>
      <c r="L623" s="5">
        <f>('[1]Pizza Sales Calculations'!$J623-'[1]Pizza Sales Calculations'!$C623)*24*60</f>
        <v>2.9999999993015081</v>
      </c>
      <c r="M623">
        <f>COUNTA('[1]Pizza Sales Calculations'!$D623:$F623)</f>
        <v>1</v>
      </c>
      <c r="N623">
        <f>IFERROR(VLOOKUP(D623,[1]Parameters!$A$3:$C$5,3,FALSE),0)</f>
        <v>1.7</v>
      </c>
      <c r="O623">
        <f>IFERROR(VLOOKUP(E623,[1]Parameters!$A$3:$C$5,3,FALSE),0)</f>
        <v>0</v>
      </c>
      <c r="P623">
        <f>IFERROR(VLOOKUP(F623,[1]Parameters!$A$3:$C$5,3,FALSE),0)</f>
        <v>0</v>
      </c>
      <c r="Q623">
        <f t="shared" si="9"/>
        <v>1.7</v>
      </c>
      <c r="R623" s="10">
        <f>IF('[1]Pizza Sales Calculations'!$G623=TRUE, [1]Parameters!$B$17*'[1]Pizza Sales Calculations'!$L623*2, 0)</f>
        <v>0</v>
      </c>
      <c r="S623" t="str">
        <f>IF(I623&lt;[1]Parameters!$B$21,"TRUE","FALSE")</f>
        <v>TRUE</v>
      </c>
      <c r="T623" s="5">
        <f>(I623/[1]Parameters!$B$25)*60</f>
        <v>0</v>
      </c>
      <c r="U623" s="10">
        <f>IF(AND('[1]Pizza Sales Calculations'!G623=TRUE,'[1]Pizza Sales Calculations'!S623="TRUE"),T623*[1]Parameters!$B$40*2,0)</f>
        <v>0</v>
      </c>
      <c r="V623">
        <f>INDEX([1]Parameters!$A$3:$C$5,MATCH('[1]Pizza Sales Calculations'!D623,[1]Parameters!$A$3:$A$5,0),2)</f>
        <v>10</v>
      </c>
      <c r="W623" t="e">
        <f>INDEX([1]Parameters!$A$3:$C$5,MATCH('[1]Pizza Sales Calculations'!E623,[1]Parameters!$A$3:$A$5,0),2)</f>
        <v>#N/A</v>
      </c>
      <c r="X623" t="e">
        <f>INDEX([1]Parameters!$A$3:$C$5,MATCH('[1]Pizza Sales Calculations'!F623,[1]Parameters!$A$3:$A$5,0),2)</f>
        <v>#N/A</v>
      </c>
    </row>
    <row r="624" spans="1:24" x14ac:dyDescent="0.3">
      <c r="A624">
        <v>623</v>
      </c>
      <c r="B624" s="14">
        <v>42376.547268518516</v>
      </c>
      <c r="C624" s="14">
        <v>42376.557685185187</v>
      </c>
      <c r="D624" t="s">
        <v>3</v>
      </c>
      <c r="G624" t="b">
        <v>0</v>
      </c>
      <c r="H624">
        <v>70808</v>
      </c>
      <c r="I624" s="5">
        <v>0</v>
      </c>
      <c r="J624" s="14">
        <v>42376.55978009259</v>
      </c>
      <c r="K624">
        <v>7.99</v>
      </c>
      <c r="L624" s="5">
        <f>('[1]Pizza Sales Calculations'!$J624-'[1]Pizza Sales Calculations'!$C624)*24*60</f>
        <v>3.0166666593868285</v>
      </c>
      <c r="M624">
        <f>COUNTA('[1]Pizza Sales Calculations'!$D624:$F624)</f>
        <v>1</v>
      </c>
      <c r="N624">
        <f>IFERROR(VLOOKUP(D624,[1]Parameters!$A$3:$C$5,3,FALSE),0)</f>
        <v>1</v>
      </c>
      <c r="O624">
        <f>IFERROR(VLOOKUP(E624,[1]Parameters!$A$3:$C$5,3,FALSE),0)</f>
        <v>0</v>
      </c>
      <c r="P624">
        <f>IFERROR(VLOOKUP(F624,[1]Parameters!$A$3:$C$5,3,FALSE),0)</f>
        <v>0</v>
      </c>
      <c r="Q624">
        <f t="shared" si="9"/>
        <v>1</v>
      </c>
      <c r="R624" s="10">
        <f>IF('[1]Pizza Sales Calculations'!$G624=TRUE, [1]Parameters!$B$17*'[1]Pizza Sales Calculations'!$L624*2, 0)</f>
        <v>0</v>
      </c>
      <c r="S624" t="str">
        <f>IF(I624&lt;[1]Parameters!$B$21,"TRUE","FALSE")</f>
        <v>TRUE</v>
      </c>
      <c r="T624" s="5">
        <f>(I624/[1]Parameters!$B$25)*60</f>
        <v>0</v>
      </c>
      <c r="U624" s="10">
        <f>IF(AND('[1]Pizza Sales Calculations'!G624=TRUE,'[1]Pizza Sales Calculations'!S624="TRUE"),T624*[1]Parameters!$B$40*2,0)</f>
        <v>0</v>
      </c>
      <c r="V624">
        <f>INDEX([1]Parameters!$A$3:$C$5,MATCH('[1]Pizza Sales Calculations'!D624,[1]Parameters!$A$3:$A$5,0),2)</f>
        <v>7</v>
      </c>
      <c r="W624" t="e">
        <f>INDEX([1]Parameters!$A$3:$C$5,MATCH('[1]Pizza Sales Calculations'!E624,[1]Parameters!$A$3:$A$5,0),2)</f>
        <v>#N/A</v>
      </c>
      <c r="X624" t="e">
        <f>INDEX([1]Parameters!$A$3:$C$5,MATCH('[1]Pizza Sales Calculations'!F624,[1]Parameters!$A$3:$A$5,0),2)</f>
        <v>#N/A</v>
      </c>
    </row>
    <row r="625" spans="1:24" x14ac:dyDescent="0.3">
      <c r="A625">
        <v>624</v>
      </c>
      <c r="B625" s="14">
        <v>42376.41978009259</v>
      </c>
      <c r="C625" s="14">
        <v>42376.430185185185</v>
      </c>
      <c r="D625" t="s">
        <v>3</v>
      </c>
      <c r="E625" t="s">
        <v>4</v>
      </c>
      <c r="G625" t="b">
        <v>1</v>
      </c>
      <c r="H625">
        <v>70803</v>
      </c>
      <c r="I625" s="5">
        <v>3.7700568161349599</v>
      </c>
      <c r="J625" s="14">
        <v>42376.44327546296</v>
      </c>
      <c r="K625">
        <v>19.579999999999998</v>
      </c>
      <c r="L625" s="5">
        <f>('[1]Pizza Sales Calculations'!$J625-'[1]Pizza Sales Calculations'!$C625)*24*60</f>
        <v>18.849999995436519</v>
      </c>
      <c r="M625">
        <f>COUNTA('[1]Pizza Sales Calculations'!$D625:$F625)</f>
        <v>2</v>
      </c>
      <c r="N625">
        <f>IFERROR(VLOOKUP(D625,[1]Parameters!$A$3:$C$5,3,FALSE),0)</f>
        <v>1</v>
      </c>
      <c r="O625">
        <f>IFERROR(VLOOKUP(E625,[1]Parameters!$A$3:$C$5,3,FALSE),0)</f>
        <v>1.7</v>
      </c>
      <c r="P625">
        <f>IFERROR(VLOOKUP(F625,[1]Parameters!$A$3:$C$5,3,FALSE),0)</f>
        <v>0</v>
      </c>
      <c r="Q625">
        <f t="shared" si="9"/>
        <v>2.7</v>
      </c>
      <c r="R625" s="10">
        <f>IF('[1]Pizza Sales Calculations'!$G625=TRUE, [1]Parameters!$B$17*'[1]Pizza Sales Calculations'!$L625*2, 0)</f>
        <v>5.3408333320403472</v>
      </c>
      <c r="S625" t="str">
        <f>IF(I625&lt;[1]Parameters!$B$21,"TRUE","FALSE")</f>
        <v>FALSE</v>
      </c>
      <c r="T625" s="5">
        <f>(I625/[1]Parameters!$B$25)*60</f>
        <v>7.5401136322699189</v>
      </c>
      <c r="U625" s="10">
        <f>IF(AND('[1]Pizza Sales Calculations'!G625=TRUE,'[1]Pizza Sales Calculations'!S625="TRUE"),T625*[1]Parameters!$B$40*2,0)</f>
        <v>0</v>
      </c>
      <c r="V625">
        <f>INDEX([1]Parameters!$A$3:$C$5,MATCH('[1]Pizza Sales Calculations'!D625,[1]Parameters!$A$3:$A$5,0),2)</f>
        <v>7</v>
      </c>
      <c r="W625">
        <f>INDEX([1]Parameters!$A$3:$C$5,MATCH('[1]Pizza Sales Calculations'!E625,[1]Parameters!$A$3:$A$5,0),2)</f>
        <v>10</v>
      </c>
      <c r="X625" t="e">
        <f>INDEX([1]Parameters!$A$3:$C$5,MATCH('[1]Pizza Sales Calculations'!F625,[1]Parameters!$A$3:$A$5,0),2)</f>
        <v>#N/A</v>
      </c>
    </row>
    <row r="626" spans="1:24" x14ac:dyDescent="0.3">
      <c r="A626">
        <v>625</v>
      </c>
      <c r="B626" s="14">
        <v>42376.514027777775</v>
      </c>
      <c r="C626" s="14">
        <v>42376.524421296293</v>
      </c>
      <c r="D626" t="s">
        <v>5</v>
      </c>
      <c r="G626" t="b">
        <v>0</v>
      </c>
      <c r="H626">
        <v>70805</v>
      </c>
      <c r="I626" s="5">
        <v>0</v>
      </c>
      <c r="J626" s="14">
        <v>42376.526504629626</v>
      </c>
      <c r="K626">
        <v>15.35</v>
      </c>
      <c r="L626" s="5">
        <f>('[1]Pizza Sales Calculations'!$J626-'[1]Pizza Sales Calculations'!$C626)*24*60</f>
        <v>2.9999999993015081</v>
      </c>
      <c r="M626">
        <f>COUNTA('[1]Pizza Sales Calculations'!$D626:$F626)</f>
        <v>1</v>
      </c>
      <c r="N626">
        <f>IFERROR(VLOOKUP(D626,[1]Parameters!$A$3:$C$5,3,FALSE),0)</f>
        <v>2.2999999999999998</v>
      </c>
      <c r="O626">
        <f>IFERROR(VLOOKUP(E626,[1]Parameters!$A$3:$C$5,3,FALSE),0)</f>
        <v>0</v>
      </c>
      <c r="P626">
        <f>IFERROR(VLOOKUP(F626,[1]Parameters!$A$3:$C$5,3,FALSE),0)</f>
        <v>0</v>
      </c>
      <c r="Q626">
        <f t="shared" si="9"/>
        <v>2.2999999999999998</v>
      </c>
      <c r="R626" s="10">
        <f>IF('[1]Pizza Sales Calculations'!$G626=TRUE, [1]Parameters!$B$17*'[1]Pizza Sales Calculations'!$L626*2, 0)</f>
        <v>0</v>
      </c>
      <c r="S626" t="str">
        <f>IF(I626&lt;[1]Parameters!$B$21,"TRUE","FALSE")</f>
        <v>TRUE</v>
      </c>
      <c r="T626" s="5">
        <f>(I626/[1]Parameters!$B$25)*60</f>
        <v>0</v>
      </c>
      <c r="U626" s="10">
        <f>IF(AND('[1]Pizza Sales Calculations'!G626=TRUE,'[1]Pizza Sales Calculations'!S626="TRUE"),T626*[1]Parameters!$B$40*2,0)</f>
        <v>0</v>
      </c>
      <c r="V626">
        <f>INDEX([1]Parameters!$A$3:$C$5,MATCH('[1]Pizza Sales Calculations'!D626,[1]Parameters!$A$3:$A$5,0),2)</f>
        <v>14</v>
      </c>
      <c r="W626" t="e">
        <f>INDEX([1]Parameters!$A$3:$C$5,MATCH('[1]Pizza Sales Calculations'!E626,[1]Parameters!$A$3:$A$5,0),2)</f>
        <v>#N/A</v>
      </c>
      <c r="X626" t="e">
        <f>INDEX([1]Parameters!$A$3:$C$5,MATCH('[1]Pizza Sales Calculations'!F626,[1]Parameters!$A$3:$A$5,0),2)</f>
        <v>#N/A</v>
      </c>
    </row>
    <row r="627" spans="1:24" x14ac:dyDescent="0.3">
      <c r="A627">
        <v>626</v>
      </c>
      <c r="B627" s="14">
        <v>42376.515879629631</v>
      </c>
      <c r="C627" s="14">
        <v>42376.526273148149</v>
      </c>
      <c r="D627" t="s">
        <v>3</v>
      </c>
      <c r="G627" t="b">
        <v>1</v>
      </c>
      <c r="H627">
        <v>70804</v>
      </c>
      <c r="I627" s="5">
        <v>2.9194801774035501</v>
      </c>
      <c r="J627" s="14">
        <v>42376.536400462966</v>
      </c>
      <c r="K627">
        <v>7.99</v>
      </c>
      <c r="L627" s="5">
        <f>('[1]Pizza Sales Calculations'!$J627-'[1]Pizza Sales Calculations'!$C627)*24*60</f>
        <v>14.583333337213844</v>
      </c>
      <c r="M627">
        <f>COUNTA('[1]Pizza Sales Calculations'!$D627:$F627)</f>
        <v>1</v>
      </c>
      <c r="N627">
        <f>IFERROR(VLOOKUP(D627,[1]Parameters!$A$3:$C$5,3,FALSE),0)</f>
        <v>1</v>
      </c>
      <c r="O627">
        <f>IFERROR(VLOOKUP(E627,[1]Parameters!$A$3:$C$5,3,FALSE),0)</f>
        <v>0</v>
      </c>
      <c r="P627">
        <f>IFERROR(VLOOKUP(F627,[1]Parameters!$A$3:$C$5,3,FALSE),0)</f>
        <v>0</v>
      </c>
      <c r="Q627">
        <f t="shared" si="9"/>
        <v>1</v>
      </c>
      <c r="R627" s="10">
        <f>IF('[1]Pizza Sales Calculations'!$G627=TRUE, [1]Parameters!$B$17*'[1]Pizza Sales Calculations'!$L627*2, 0)</f>
        <v>4.1319444455439225</v>
      </c>
      <c r="S627" t="str">
        <f>IF(I627&lt;[1]Parameters!$B$21,"TRUE","FALSE")</f>
        <v>TRUE</v>
      </c>
      <c r="T627" s="5">
        <f>(I627/[1]Parameters!$B$25)*60</f>
        <v>5.8389603548071003</v>
      </c>
      <c r="U627" s="10">
        <f>IF(AND('[1]Pizza Sales Calculations'!G627=TRUE,'[1]Pizza Sales Calculations'!S627="TRUE"),T627*[1]Parameters!$B$40*2,0)</f>
        <v>0.364483250762908</v>
      </c>
      <c r="V627">
        <f>INDEX([1]Parameters!$A$3:$C$5,MATCH('[1]Pizza Sales Calculations'!D627,[1]Parameters!$A$3:$A$5,0),2)</f>
        <v>7</v>
      </c>
      <c r="W627" t="e">
        <f>INDEX([1]Parameters!$A$3:$C$5,MATCH('[1]Pizza Sales Calculations'!E627,[1]Parameters!$A$3:$A$5,0),2)</f>
        <v>#N/A</v>
      </c>
      <c r="X627" t="e">
        <f>INDEX([1]Parameters!$A$3:$C$5,MATCH('[1]Pizza Sales Calculations'!F627,[1]Parameters!$A$3:$A$5,0),2)</f>
        <v>#N/A</v>
      </c>
    </row>
    <row r="628" spans="1:24" x14ac:dyDescent="0.3">
      <c r="A628">
        <v>627</v>
      </c>
      <c r="B628" s="14">
        <v>42376.503009259257</v>
      </c>
      <c r="C628" s="14">
        <v>42376.513425925928</v>
      </c>
      <c r="D628" t="s">
        <v>4</v>
      </c>
      <c r="G628" t="b">
        <v>0</v>
      </c>
      <c r="H628">
        <v>70804</v>
      </c>
      <c r="I628" s="5">
        <v>0</v>
      </c>
      <c r="J628" s="14">
        <v>42376.515497685185</v>
      </c>
      <c r="K628">
        <v>11.59</v>
      </c>
      <c r="L628" s="5">
        <f>('[1]Pizza Sales Calculations'!$J628-'[1]Pizza Sales Calculations'!$C628)*24*60</f>
        <v>2.9833333287388086</v>
      </c>
      <c r="M628">
        <f>COUNTA('[1]Pizza Sales Calculations'!$D628:$F628)</f>
        <v>1</v>
      </c>
      <c r="N628">
        <f>IFERROR(VLOOKUP(D628,[1]Parameters!$A$3:$C$5,3,FALSE),0)</f>
        <v>1.7</v>
      </c>
      <c r="O628">
        <f>IFERROR(VLOOKUP(E628,[1]Parameters!$A$3:$C$5,3,FALSE),0)</f>
        <v>0</v>
      </c>
      <c r="P628">
        <f>IFERROR(VLOOKUP(F628,[1]Parameters!$A$3:$C$5,3,FALSE),0)</f>
        <v>0</v>
      </c>
      <c r="Q628">
        <f t="shared" si="9"/>
        <v>1.7</v>
      </c>
      <c r="R628" s="10">
        <f>IF('[1]Pizza Sales Calculations'!$G628=TRUE, [1]Parameters!$B$17*'[1]Pizza Sales Calculations'!$L628*2, 0)</f>
        <v>0</v>
      </c>
      <c r="S628" t="str">
        <f>IF(I628&lt;[1]Parameters!$B$21,"TRUE","FALSE")</f>
        <v>TRUE</v>
      </c>
      <c r="T628" s="5">
        <f>(I628/[1]Parameters!$B$25)*60</f>
        <v>0</v>
      </c>
      <c r="U628" s="10">
        <f>IF(AND('[1]Pizza Sales Calculations'!G628=TRUE,'[1]Pizza Sales Calculations'!S628="TRUE"),T628*[1]Parameters!$B$40*2,0)</f>
        <v>0</v>
      </c>
      <c r="V628">
        <f>INDEX([1]Parameters!$A$3:$C$5,MATCH('[1]Pizza Sales Calculations'!D628,[1]Parameters!$A$3:$A$5,0),2)</f>
        <v>10</v>
      </c>
      <c r="W628" t="e">
        <f>INDEX([1]Parameters!$A$3:$C$5,MATCH('[1]Pizza Sales Calculations'!E628,[1]Parameters!$A$3:$A$5,0),2)</f>
        <v>#N/A</v>
      </c>
      <c r="X628" t="e">
        <f>INDEX([1]Parameters!$A$3:$C$5,MATCH('[1]Pizza Sales Calculations'!F628,[1]Parameters!$A$3:$A$5,0),2)</f>
        <v>#N/A</v>
      </c>
    </row>
    <row r="629" spans="1:24" x14ac:dyDescent="0.3">
      <c r="A629">
        <v>628</v>
      </c>
      <c r="B629" s="14">
        <v>42376.436643518522</v>
      </c>
      <c r="C629" s="14">
        <v>42376.447060185186</v>
      </c>
      <c r="D629" t="s">
        <v>5</v>
      </c>
      <c r="G629" t="b">
        <v>1</v>
      </c>
      <c r="H629">
        <v>70805</v>
      </c>
      <c r="I629" s="5">
        <v>3.9204766128383102</v>
      </c>
      <c r="J629" s="14">
        <v>42376.4606712963</v>
      </c>
      <c r="K629">
        <v>15.35</v>
      </c>
      <c r="L629" s="5">
        <f>('[1]Pizza Sales Calculations'!$J629-'[1]Pizza Sales Calculations'!$C629)*24*60</f>
        <v>19.600000003119931</v>
      </c>
      <c r="M629">
        <f>COUNTA('[1]Pizza Sales Calculations'!$D629:$F629)</f>
        <v>1</v>
      </c>
      <c r="N629">
        <f>IFERROR(VLOOKUP(D629,[1]Parameters!$A$3:$C$5,3,FALSE),0)</f>
        <v>2.2999999999999998</v>
      </c>
      <c r="O629">
        <f>IFERROR(VLOOKUP(E629,[1]Parameters!$A$3:$C$5,3,FALSE),0)</f>
        <v>0</v>
      </c>
      <c r="P629">
        <f>IFERROR(VLOOKUP(F629,[1]Parameters!$A$3:$C$5,3,FALSE),0)</f>
        <v>0</v>
      </c>
      <c r="Q629">
        <f t="shared" si="9"/>
        <v>2.2999999999999998</v>
      </c>
      <c r="R629" s="10">
        <f>IF('[1]Pizza Sales Calculations'!$G629=TRUE, [1]Parameters!$B$17*'[1]Pizza Sales Calculations'!$L629*2, 0)</f>
        <v>5.5533333342173137</v>
      </c>
      <c r="S629" t="str">
        <f>IF(I629&lt;[1]Parameters!$B$21,"TRUE","FALSE")</f>
        <v>FALSE</v>
      </c>
      <c r="T629" s="5">
        <f>(I629/[1]Parameters!$B$25)*60</f>
        <v>7.8409532256766195</v>
      </c>
      <c r="U629" s="10">
        <f>IF(AND('[1]Pizza Sales Calculations'!G629=TRUE,'[1]Pizza Sales Calculations'!S629="TRUE"),T629*[1]Parameters!$B$40*2,0)</f>
        <v>0</v>
      </c>
      <c r="V629">
        <f>INDEX([1]Parameters!$A$3:$C$5,MATCH('[1]Pizza Sales Calculations'!D629,[1]Parameters!$A$3:$A$5,0),2)</f>
        <v>14</v>
      </c>
      <c r="W629" t="e">
        <f>INDEX([1]Parameters!$A$3:$C$5,MATCH('[1]Pizza Sales Calculations'!E629,[1]Parameters!$A$3:$A$5,0),2)</f>
        <v>#N/A</v>
      </c>
      <c r="X629" t="e">
        <f>INDEX([1]Parameters!$A$3:$C$5,MATCH('[1]Pizza Sales Calculations'!F629,[1]Parameters!$A$3:$A$5,0),2)</f>
        <v>#N/A</v>
      </c>
    </row>
    <row r="630" spans="1:24" x14ac:dyDescent="0.3">
      <c r="A630">
        <v>629</v>
      </c>
      <c r="B630" s="14">
        <v>42376.473923611113</v>
      </c>
      <c r="C630" s="14">
        <v>42376.484351851854</v>
      </c>
      <c r="D630" t="s">
        <v>3</v>
      </c>
      <c r="E630" t="s">
        <v>4</v>
      </c>
      <c r="G630" t="b">
        <v>1</v>
      </c>
      <c r="H630">
        <v>70805</v>
      </c>
      <c r="I630" s="5">
        <v>1.42119172116083</v>
      </c>
      <c r="J630" s="14">
        <v>42376.489282407405</v>
      </c>
      <c r="K630">
        <v>19.579999999999998</v>
      </c>
      <c r="L630" s="5">
        <f>('[1]Pizza Sales Calculations'!$J630-'[1]Pizza Sales Calculations'!$C630)*24*60</f>
        <v>7.0999999938067049</v>
      </c>
      <c r="M630">
        <f>COUNTA('[1]Pizza Sales Calculations'!$D630:$F630)</f>
        <v>2</v>
      </c>
      <c r="N630">
        <f>IFERROR(VLOOKUP(D630,[1]Parameters!$A$3:$C$5,3,FALSE),0)</f>
        <v>1</v>
      </c>
      <c r="O630">
        <f>IFERROR(VLOOKUP(E630,[1]Parameters!$A$3:$C$5,3,FALSE),0)</f>
        <v>1.7</v>
      </c>
      <c r="P630">
        <f>IFERROR(VLOOKUP(F630,[1]Parameters!$A$3:$C$5,3,FALSE),0)</f>
        <v>0</v>
      </c>
      <c r="Q630">
        <f t="shared" si="9"/>
        <v>2.7</v>
      </c>
      <c r="R630" s="10">
        <f>IF('[1]Pizza Sales Calculations'!$G630=TRUE, [1]Parameters!$B$17*'[1]Pizza Sales Calculations'!$L630*2, 0)</f>
        <v>2.0116666649118997</v>
      </c>
      <c r="S630" t="str">
        <f>IF(I630&lt;[1]Parameters!$B$21,"TRUE","FALSE")</f>
        <v>TRUE</v>
      </c>
      <c r="T630" s="5">
        <f>(I630/[1]Parameters!$B$25)*60</f>
        <v>2.8423834423216601</v>
      </c>
      <c r="U630" s="10">
        <f>IF(AND('[1]Pizza Sales Calculations'!G630=TRUE,'[1]Pizza Sales Calculations'!S630="TRUE"),T630*[1]Parameters!$B$40*2,0)</f>
        <v>0.17742904455913014</v>
      </c>
      <c r="V630">
        <f>INDEX([1]Parameters!$A$3:$C$5,MATCH('[1]Pizza Sales Calculations'!D630,[1]Parameters!$A$3:$A$5,0),2)</f>
        <v>7</v>
      </c>
      <c r="W630">
        <f>INDEX([1]Parameters!$A$3:$C$5,MATCH('[1]Pizza Sales Calculations'!E630,[1]Parameters!$A$3:$A$5,0),2)</f>
        <v>10</v>
      </c>
      <c r="X630" t="e">
        <f>INDEX([1]Parameters!$A$3:$C$5,MATCH('[1]Pizza Sales Calculations'!F630,[1]Parameters!$A$3:$A$5,0),2)</f>
        <v>#N/A</v>
      </c>
    </row>
    <row r="631" spans="1:24" x14ac:dyDescent="0.3">
      <c r="A631">
        <v>630</v>
      </c>
      <c r="B631" s="14">
        <v>42376.485231481478</v>
      </c>
      <c r="C631" s="14">
        <v>42376.495659722219</v>
      </c>
      <c r="D631" t="s">
        <v>3</v>
      </c>
      <c r="G631" t="b">
        <v>1</v>
      </c>
      <c r="H631">
        <v>70805</v>
      </c>
      <c r="I631" s="5">
        <v>1.80010120918989</v>
      </c>
      <c r="J631" s="14">
        <v>42376.501909722225</v>
      </c>
      <c r="K631">
        <v>7.99</v>
      </c>
      <c r="L631" s="5">
        <f>('[1]Pizza Sales Calculations'!$J631-'[1]Pizza Sales Calculations'!$C631)*24*60</f>
        <v>9.0000000083819032</v>
      </c>
      <c r="M631">
        <f>COUNTA('[1]Pizza Sales Calculations'!$D631:$F631)</f>
        <v>1</v>
      </c>
      <c r="N631">
        <f>IFERROR(VLOOKUP(D631,[1]Parameters!$A$3:$C$5,3,FALSE),0)</f>
        <v>1</v>
      </c>
      <c r="O631">
        <f>IFERROR(VLOOKUP(E631,[1]Parameters!$A$3:$C$5,3,FALSE),0)</f>
        <v>0</v>
      </c>
      <c r="P631">
        <f>IFERROR(VLOOKUP(F631,[1]Parameters!$A$3:$C$5,3,FALSE),0)</f>
        <v>0</v>
      </c>
      <c r="Q631">
        <f t="shared" si="9"/>
        <v>1</v>
      </c>
      <c r="R631" s="10">
        <f>IF('[1]Pizza Sales Calculations'!$G631=TRUE, [1]Parameters!$B$17*'[1]Pizza Sales Calculations'!$L631*2, 0)</f>
        <v>2.5500000023748726</v>
      </c>
      <c r="S631" t="str">
        <f>IF(I631&lt;[1]Parameters!$B$21,"TRUE","FALSE")</f>
        <v>TRUE</v>
      </c>
      <c r="T631" s="5">
        <f>(I631/[1]Parameters!$B$25)*60</f>
        <v>3.6002024183797801</v>
      </c>
      <c r="U631" s="10">
        <f>IF(AND('[1]Pizza Sales Calculations'!G631=TRUE,'[1]Pizza Sales Calculations'!S631="TRUE"),T631*[1]Parameters!$B$40*2,0)</f>
        <v>0.22473409667445779</v>
      </c>
      <c r="V631">
        <f>INDEX([1]Parameters!$A$3:$C$5,MATCH('[1]Pizza Sales Calculations'!D631,[1]Parameters!$A$3:$A$5,0),2)</f>
        <v>7</v>
      </c>
      <c r="W631" t="e">
        <f>INDEX([1]Parameters!$A$3:$C$5,MATCH('[1]Pizza Sales Calculations'!E631,[1]Parameters!$A$3:$A$5,0),2)</f>
        <v>#N/A</v>
      </c>
      <c r="X631" t="e">
        <f>INDEX([1]Parameters!$A$3:$C$5,MATCH('[1]Pizza Sales Calculations'!F631,[1]Parameters!$A$3:$A$5,0),2)</f>
        <v>#N/A</v>
      </c>
    </row>
    <row r="632" spans="1:24" x14ac:dyDescent="0.3">
      <c r="A632">
        <v>631</v>
      </c>
      <c r="B632" s="14">
        <v>42376.445775462962</v>
      </c>
      <c r="C632" s="14">
        <v>42376.456192129626</v>
      </c>
      <c r="D632" t="s">
        <v>4</v>
      </c>
      <c r="G632" t="b">
        <v>1</v>
      </c>
      <c r="H632">
        <v>70805</v>
      </c>
      <c r="I632" s="5">
        <v>3.08713380086781</v>
      </c>
      <c r="J632" s="14">
        <v>42376.466909722221</v>
      </c>
      <c r="K632">
        <v>11.59</v>
      </c>
      <c r="L632" s="5">
        <f>('[1]Pizza Sales Calculations'!$J632-'[1]Pizza Sales Calculations'!$C632)*24*60</f>
        <v>15.433333336841315</v>
      </c>
      <c r="M632">
        <f>COUNTA('[1]Pizza Sales Calculations'!$D632:$F632)</f>
        <v>1</v>
      </c>
      <c r="N632">
        <f>IFERROR(VLOOKUP(D632,[1]Parameters!$A$3:$C$5,3,FALSE),0)</f>
        <v>1.7</v>
      </c>
      <c r="O632">
        <f>IFERROR(VLOOKUP(E632,[1]Parameters!$A$3:$C$5,3,FALSE),0)</f>
        <v>0</v>
      </c>
      <c r="P632">
        <f>IFERROR(VLOOKUP(F632,[1]Parameters!$A$3:$C$5,3,FALSE),0)</f>
        <v>0</v>
      </c>
      <c r="Q632">
        <f t="shared" si="9"/>
        <v>1.7</v>
      </c>
      <c r="R632" s="10">
        <f>IF('[1]Pizza Sales Calculations'!$G632=TRUE, [1]Parameters!$B$17*'[1]Pizza Sales Calculations'!$L632*2, 0)</f>
        <v>4.3727777787717059</v>
      </c>
      <c r="S632" t="str">
        <f>IF(I632&lt;[1]Parameters!$B$21,"TRUE","FALSE")</f>
        <v>TRUE</v>
      </c>
      <c r="T632" s="5">
        <f>(I632/[1]Parameters!$B$25)*60</f>
        <v>6.1742676017356199</v>
      </c>
      <c r="U632" s="10">
        <f>IF(AND('[1]Pizza Sales Calculations'!G632=TRUE,'[1]Pizza Sales Calculations'!S632="TRUE"),T632*[1]Parameters!$B$40*2,0)</f>
        <v>0.38541401033969663</v>
      </c>
      <c r="V632">
        <f>INDEX([1]Parameters!$A$3:$C$5,MATCH('[1]Pizza Sales Calculations'!D632,[1]Parameters!$A$3:$A$5,0),2)</f>
        <v>10</v>
      </c>
      <c r="W632" t="e">
        <f>INDEX([1]Parameters!$A$3:$C$5,MATCH('[1]Pizza Sales Calculations'!E632,[1]Parameters!$A$3:$A$5,0),2)</f>
        <v>#N/A</v>
      </c>
      <c r="X632" t="e">
        <f>INDEX([1]Parameters!$A$3:$C$5,MATCH('[1]Pizza Sales Calculations'!F632,[1]Parameters!$A$3:$A$5,0),2)</f>
        <v>#N/A</v>
      </c>
    </row>
    <row r="633" spans="1:24" x14ac:dyDescent="0.3">
      <c r="A633">
        <v>632</v>
      </c>
      <c r="B633" s="14">
        <v>42376.507106481484</v>
      </c>
      <c r="C633" s="14">
        <v>42376.517534722225</v>
      </c>
      <c r="D633" t="s">
        <v>3</v>
      </c>
      <c r="G633" t="b">
        <v>0</v>
      </c>
      <c r="H633">
        <v>70805</v>
      </c>
      <c r="I633" s="5">
        <v>0</v>
      </c>
      <c r="J633" s="14">
        <v>42376.519618055558</v>
      </c>
      <c r="K633">
        <v>7.99</v>
      </c>
      <c r="L633" s="5">
        <f>('[1]Pizza Sales Calculations'!$J633-'[1]Pizza Sales Calculations'!$C633)*24*60</f>
        <v>2.9999999993015081</v>
      </c>
      <c r="M633">
        <f>COUNTA('[1]Pizza Sales Calculations'!$D633:$F633)</f>
        <v>1</v>
      </c>
      <c r="N633">
        <f>IFERROR(VLOOKUP(D633,[1]Parameters!$A$3:$C$5,3,FALSE),0)</f>
        <v>1</v>
      </c>
      <c r="O633">
        <f>IFERROR(VLOOKUP(E633,[1]Parameters!$A$3:$C$5,3,FALSE),0)</f>
        <v>0</v>
      </c>
      <c r="P633">
        <f>IFERROR(VLOOKUP(F633,[1]Parameters!$A$3:$C$5,3,FALSE),0)</f>
        <v>0</v>
      </c>
      <c r="Q633">
        <f t="shared" si="9"/>
        <v>1</v>
      </c>
      <c r="R633" s="10">
        <f>IF('[1]Pizza Sales Calculations'!$G633=TRUE, [1]Parameters!$B$17*'[1]Pizza Sales Calculations'!$L633*2, 0)</f>
        <v>0</v>
      </c>
      <c r="S633" t="str">
        <f>IF(I633&lt;[1]Parameters!$B$21,"TRUE","FALSE")</f>
        <v>TRUE</v>
      </c>
      <c r="T633" s="5">
        <f>(I633/[1]Parameters!$B$25)*60</f>
        <v>0</v>
      </c>
      <c r="U633" s="10">
        <f>IF(AND('[1]Pizza Sales Calculations'!G633=TRUE,'[1]Pizza Sales Calculations'!S633="TRUE"),T633*[1]Parameters!$B$40*2,0)</f>
        <v>0</v>
      </c>
      <c r="V633">
        <f>INDEX([1]Parameters!$A$3:$C$5,MATCH('[1]Pizza Sales Calculations'!D633,[1]Parameters!$A$3:$A$5,0),2)</f>
        <v>7</v>
      </c>
      <c r="W633" t="e">
        <f>INDEX([1]Parameters!$A$3:$C$5,MATCH('[1]Pizza Sales Calculations'!E633,[1]Parameters!$A$3:$A$5,0),2)</f>
        <v>#N/A</v>
      </c>
      <c r="X633" t="e">
        <f>INDEX([1]Parameters!$A$3:$C$5,MATCH('[1]Pizza Sales Calculations'!F633,[1]Parameters!$A$3:$A$5,0),2)</f>
        <v>#N/A</v>
      </c>
    </row>
    <row r="634" spans="1:24" x14ac:dyDescent="0.3">
      <c r="A634">
        <v>633</v>
      </c>
      <c r="B634" s="14">
        <v>42376.453043981484</v>
      </c>
      <c r="C634" s="14">
        <v>42376.463449074072</v>
      </c>
      <c r="D634" t="s">
        <v>4</v>
      </c>
      <c r="G634" t="b">
        <v>1</v>
      </c>
      <c r="H634">
        <v>70806</v>
      </c>
      <c r="I634" s="5">
        <v>3.9383939185621699</v>
      </c>
      <c r="J634" s="14">
        <v>42376.477118055554</v>
      </c>
      <c r="K634">
        <v>11.59</v>
      </c>
      <c r="L634" s="5">
        <f>('[1]Pizza Sales Calculations'!$J634-'[1]Pizza Sales Calculations'!$C634)*24*60</f>
        <v>19.68333333497867</v>
      </c>
      <c r="M634">
        <f>COUNTA('[1]Pizza Sales Calculations'!$D634:$F634)</f>
        <v>1</v>
      </c>
      <c r="N634">
        <f>IFERROR(VLOOKUP(D634,[1]Parameters!$A$3:$C$5,3,FALSE),0)</f>
        <v>1.7</v>
      </c>
      <c r="O634">
        <f>IFERROR(VLOOKUP(E634,[1]Parameters!$A$3:$C$5,3,FALSE),0)</f>
        <v>0</v>
      </c>
      <c r="P634">
        <f>IFERROR(VLOOKUP(F634,[1]Parameters!$A$3:$C$5,3,FALSE),0)</f>
        <v>0</v>
      </c>
      <c r="Q634">
        <f t="shared" si="9"/>
        <v>1.7</v>
      </c>
      <c r="R634" s="10">
        <f>IF('[1]Pizza Sales Calculations'!$G634=TRUE, [1]Parameters!$B$17*'[1]Pizza Sales Calculations'!$L634*2, 0)</f>
        <v>5.5769444449106231</v>
      </c>
      <c r="S634" t="str">
        <f>IF(I634&lt;[1]Parameters!$B$21,"TRUE","FALSE")</f>
        <v>FALSE</v>
      </c>
      <c r="T634" s="5">
        <f>(I634/[1]Parameters!$B$25)*60</f>
        <v>7.8767878371243407</v>
      </c>
      <c r="U634" s="10">
        <f>IF(AND('[1]Pizza Sales Calculations'!G634=TRUE,'[1]Pizza Sales Calculations'!S634="TRUE"),T634*[1]Parameters!$B$40*2,0)</f>
        <v>0</v>
      </c>
      <c r="V634">
        <f>INDEX([1]Parameters!$A$3:$C$5,MATCH('[1]Pizza Sales Calculations'!D634,[1]Parameters!$A$3:$A$5,0),2)</f>
        <v>10</v>
      </c>
      <c r="W634" t="e">
        <f>INDEX([1]Parameters!$A$3:$C$5,MATCH('[1]Pizza Sales Calculations'!E634,[1]Parameters!$A$3:$A$5,0),2)</f>
        <v>#N/A</v>
      </c>
      <c r="X634" t="e">
        <f>INDEX([1]Parameters!$A$3:$C$5,MATCH('[1]Pizza Sales Calculations'!F634,[1]Parameters!$A$3:$A$5,0),2)</f>
        <v>#N/A</v>
      </c>
    </row>
    <row r="635" spans="1:24" x14ac:dyDescent="0.3">
      <c r="A635">
        <v>634</v>
      </c>
      <c r="B635" s="14">
        <v>42376.592175925929</v>
      </c>
      <c r="C635" s="14">
        <v>42376.602581018517</v>
      </c>
      <c r="D635" t="s">
        <v>4</v>
      </c>
      <c r="G635" t="b">
        <v>0</v>
      </c>
      <c r="H635">
        <v>70805</v>
      </c>
      <c r="I635" s="5">
        <v>0</v>
      </c>
      <c r="J635" s="14">
        <v>42376.604675925926</v>
      </c>
      <c r="K635">
        <v>11.59</v>
      </c>
      <c r="L635" s="5">
        <f>('[1]Pizza Sales Calculations'!$J635-'[1]Pizza Sales Calculations'!$C635)*24*60</f>
        <v>3.0166666698642075</v>
      </c>
      <c r="M635">
        <f>COUNTA('[1]Pizza Sales Calculations'!$D635:$F635)</f>
        <v>1</v>
      </c>
      <c r="N635">
        <f>IFERROR(VLOOKUP(D635,[1]Parameters!$A$3:$C$5,3,FALSE),0)</f>
        <v>1.7</v>
      </c>
      <c r="O635">
        <f>IFERROR(VLOOKUP(E635,[1]Parameters!$A$3:$C$5,3,FALSE),0)</f>
        <v>0</v>
      </c>
      <c r="P635">
        <f>IFERROR(VLOOKUP(F635,[1]Parameters!$A$3:$C$5,3,FALSE),0)</f>
        <v>0</v>
      </c>
      <c r="Q635">
        <f t="shared" si="9"/>
        <v>1.7</v>
      </c>
      <c r="R635" s="10">
        <f>IF('[1]Pizza Sales Calculations'!$G635=TRUE, [1]Parameters!$B$17*'[1]Pizza Sales Calculations'!$L635*2, 0)</f>
        <v>0</v>
      </c>
      <c r="S635" t="str">
        <f>IF(I635&lt;[1]Parameters!$B$21,"TRUE","FALSE")</f>
        <v>TRUE</v>
      </c>
      <c r="T635" s="5">
        <f>(I635/[1]Parameters!$B$25)*60</f>
        <v>0</v>
      </c>
      <c r="U635" s="10">
        <f>IF(AND('[1]Pizza Sales Calculations'!G635=TRUE,'[1]Pizza Sales Calculations'!S635="TRUE"),T635*[1]Parameters!$B$40*2,0)</f>
        <v>0</v>
      </c>
      <c r="V635">
        <f>INDEX([1]Parameters!$A$3:$C$5,MATCH('[1]Pizza Sales Calculations'!D635,[1]Parameters!$A$3:$A$5,0),2)</f>
        <v>10</v>
      </c>
      <c r="W635" t="e">
        <f>INDEX([1]Parameters!$A$3:$C$5,MATCH('[1]Pizza Sales Calculations'!E635,[1]Parameters!$A$3:$A$5,0),2)</f>
        <v>#N/A</v>
      </c>
      <c r="X635" t="e">
        <f>INDEX([1]Parameters!$A$3:$C$5,MATCH('[1]Pizza Sales Calculations'!F635,[1]Parameters!$A$3:$A$5,0),2)</f>
        <v>#N/A</v>
      </c>
    </row>
    <row r="636" spans="1:24" x14ac:dyDescent="0.3">
      <c r="A636">
        <v>635</v>
      </c>
      <c r="B636" s="14">
        <v>42376.490162037036</v>
      </c>
      <c r="C636" s="14">
        <v>42376.500567129631</v>
      </c>
      <c r="D636" t="s">
        <v>3</v>
      </c>
      <c r="G636" t="b">
        <v>0</v>
      </c>
      <c r="H636">
        <v>70805</v>
      </c>
      <c r="I636" s="5">
        <v>0</v>
      </c>
      <c r="J636" s="14">
        <v>42376.502650462964</v>
      </c>
      <c r="K636">
        <v>7.99</v>
      </c>
      <c r="L636" s="5">
        <f>('[1]Pizza Sales Calculations'!$J636-'[1]Pizza Sales Calculations'!$C636)*24*60</f>
        <v>2.9999999993015081</v>
      </c>
      <c r="M636">
        <f>COUNTA('[1]Pizza Sales Calculations'!$D636:$F636)</f>
        <v>1</v>
      </c>
      <c r="N636">
        <f>IFERROR(VLOOKUP(D636,[1]Parameters!$A$3:$C$5,3,FALSE),0)</f>
        <v>1</v>
      </c>
      <c r="O636">
        <f>IFERROR(VLOOKUP(E636,[1]Parameters!$A$3:$C$5,3,FALSE),0)</f>
        <v>0</v>
      </c>
      <c r="P636">
        <f>IFERROR(VLOOKUP(F636,[1]Parameters!$A$3:$C$5,3,FALSE),0)</f>
        <v>0</v>
      </c>
      <c r="Q636">
        <f t="shared" si="9"/>
        <v>1</v>
      </c>
      <c r="R636" s="10">
        <f>IF('[1]Pizza Sales Calculations'!$G636=TRUE, [1]Parameters!$B$17*'[1]Pizza Sales Calculations'!$L636*2, 0)</f>
        <v>0</v>
      </c>
      <c r="S636" t="str">
        <f>IF(I636&lt;[1]Parameters!$B$21,"TRUE","FALSE")</f>
        <v>TRUE</v>
      </c>
      <c r="T636" s="5">
        <f>(I636/[1]Parameters!$B$25)*60</f>
        <v>0</v>
      </c>
      <c r="U636" s="10">
        <f>IF(AND('[1]Pizza Sales Calculations'!G636=TRUE,'[1]Pizza Sales Calculations'!S636="TRUE"),T636*[1]Parameters!$B$40*2,0)</f>
        <v>0</v>
      </c>
      <c r="V636">
        <f>INDEX([1]Parameters!$A$3:$C$5,MATCH('[1]Pizza Sales Calculations'!D636,[1]Parameters!$A$3:$A$5,0),2)</f>
        <v>7</v>
      </c>
      <c r="W636" t="e">
        <f>INDEX([1]Parameters!$A$3:$C$5,MATCH('[1]Pizza Sales Calculations'!E636,[1]Parameters!$A$3:$A$5,0),2)</f>
        <v>#N/A</v>
      </c>
      <c r="X636" t="e">
        <f>INDEX([1]Parameters!$A$3:$C$5,MATCH('[1]Pizza Sales Calculations'!F636,[1]Parameters!$A$3:$A$5,0),2)</f>
        <v>#N/A</v>
      </c>
    </row>
    <row r="637" spans="1:24" x14ac:dyDescent="0.3">
      <c r="A637">
        <v>636</v>
      </c>
      <c r="B637" s="14">
        <v>42376.456805555557</v>
      </c>
      <c r="C637" s="14">
        <v>42376.467210648145</v>
      </c>
      <c r="D637" t="s">
        <v>4</v>
      </c>
      <c r="G637" t="b">
        <v>0</v>
      </c>
      <c r="H637">
        <v>70806</v>
      </c>
      <c r="I637" s="5">
        <v>0</v>
      </c>
      <c r="J637" s="14">
        <v>42376.469282407408</v>
      </c>
      <c r="K637">
        <v>11.59</v>
      </c>
      <c r="L637" s="5">
        <f>('[1]Pizza Sales Calculations'!$J637-'[1]Pizza Sales Calculations'!$C637)*24*60</f>
        <v>2.9833333392161876</v>
      </c>
      <c r="M637">
        <f>COUNTA('[1]Pizza Sales Calculations'!$D637:$F637)</f>
        <v>1</v>
      </c>
      <c r="N637">
        <f>IFERROR(VLOOKUP(D637,[1]Parameters!$A$3:$C$5,3,FALSE),0)</f>
        <v>1.7</v>
      </c>
      <c r="O637">
        <f>IFERROR(VLOOKUP(E637,[1]Parameters!$A$3:$C$5,3,FALSE),0)</f>
        <v>0</v>
      </c>
      <c r="P637">
        <f>IFERROR(VLOOKUP(F637,[1]Parameters!$A$3:$C$5,3,FALSE),0)</f>
        <v>0</v>
      </c>
      <c r="Q637">
        <f t="shared" si="9"/>
        <v>1.7</v>
      </c>
      <c r="R637" s="10">
        <f>IF('[1]Pizza Sales Calculations'!$G637=TRUE, [1]Parameters!$B$17*'[1]Pizza Sales Calculations'!$L637*2, 0)</f>
        <v>0</v>
      </c>
      <c r="S637" t="str">
        <f>IF(I637&lt;[1]Parameters!$B$21,"TRUE","FALSE")</f>
        <v>TRUE</v>
      </c>
      <c r="T637" s="5">
        <f>(I637/[1]Parameters!$B$25)*60</f>
        <v>0</v>
      </c>
      <c r="U637" s="10">
        <f>IF(AND('[1]Pizza Sales Calculations'!G637=TRUE,'[1]Pizza Sales Calculations'!S637="TRUE"),T637*[1]Parameters!$B$40*2,0)</f>
        <v>0</v>
      </c>
      <c r="V637">
        <f>INDEX([1]Parameters!$A$3:$C$5,MATCH('[1]Pizza Sales Calculations'!D637,[1]Parameters!$A$3:$A$5,0),2)</f>
        <v>10</v>
      </c>
      <c r="W637" t="e">
        <f>INDEX([1]Parameters!$A$3:$C$5,MATCH('[1]Pizza Sales Calculations'!E637,[1]Parameters!$A$3:$A$5,0),2)</f>
        <v>#N/A</v>
      </c>
      <c r="X637" t="e">
        <f>INDEX([1]Parameters!$A$3:$C$5,MATCH('[1]Pizza Sales Calculations'!F637,[1]Parameters!$A$3:$A$5,0),2)</f>
        <v>#N/A</v>
      </c>
    </row>
    <row r="638" spans="1:24" x14ac:dyDescent="0.3">
      <c r="A638">
        <v>637</v>
      </c>
      <c r="B638" s="14">
        <v>42376.437384259261</v>
      </c>
      <c r="C638" s="14">
        <v>42376.447789351849</v>
      </c>
      <c r="D638" t="s">
        <v>4</v>
      </c>
      <c r="G638" t="b">
        <v>0</v>
      </c>
      <c r="H638">
        <v>70804</v>
      </c>
      <c r="I638" s="5">
        <v>0</v>
      </c>
      <c r="J638" s="14">
        <v>42376.449884259258</v>
      </c>
      <c r="K638">
        <v>11.59</v>
      </c>
      <c r="L638" s="5">
        <f>('[1]Pizza Sales Calculations'!$J638-'[1]Pizza Sales Calculations'!$C638)*24*60</f>
        <v>3.0166666698642075</v>
      </c>
      <c r="M638">
        <f>COUNTA('[1]Pizza Sales Calculations'!$D638:$F638)</f>
        <v>1</v>
      </c>
      <c r="N638">
        <f>IFERROR(VLOOKUP(D638,[1]Parameters!$A$3:$C$5,3,FALSE),0)</f>
        <v>1.7</v>
      </c>
      <c r="O638">
        <f>IFERROR(VLOOKUP(E638,[1]Parameters!$A$3:$C$5,3,FALSE),0)</f>
        <v>0</v>
      </c>
      <c r="P638">
        <f>IFERROR(VLOOKUP(F638,[1]Parameters!$A$3:$C$5,3,FALSE),0)</f>
        <v>0</v>
      </c>
      <c r="Q638">
        <f t="shared" si="9"/>
        <v>1.7</v>
      </c>
      <c r="R638" s="10">
        <f>IF('[1]Pizza Sales Calculations'!$G638=TRUE, [1]Parameters!$B$17*'[1]Pizza Sales Calculations'!$L638*2, 0)</f>
        <v>0</v>
      </c>
      <c r="S638" t="str">
        <f>IF(I638&lt;[1]Parameters!$B$21,"TRUE","FALSE")</f>
        <v>TRUE</v>
      </c>
      <c r="T638" s="5">
        <f>(I638/[1]Parameters!$B$25)*60</f>
        <v>0</v>
      </c>
      <c r="U638" s="10">
        <f>IF(AND('[1]Pizza Sales Calculations'!G638=TRUE,'[1]Pizza Sales Calculations'!S638="TRUE"),T638*[1]Parameters!$B$40*2,0)</f>
        <v>0</v>
      </c>
      <c r="V638">
        <f>INDEX([1]Parameters!$A$3:$C$5,MATCH('[1]Pizza Sales Calculations'!D638,[1]Parameters!$A$3:$A$5,0),2)</f>
        <v>10</v>
      </c>
      <c r="W638" t="e">
        <f>INDEX([1]Parameters!$A$3:$C$5,MATCH('[1]Pizza Sales Calculations'!E638,[1]Parameters!$A$3:$A$5,0),2)</f>
        <v>#N/A</v>
      </c>
      <c r="X638" t="e">
        <f>INDEX([1]Parameters!$A$3:$C$5,MATCH('[1]Pizza Sales Calculations'!F638,[1]Parameters!$A$3:$A$5,0),2)</f>
        <v>#N/A</v>
      </c>
    </row>
    <row r="639" spans="1:24" x14ac:dyDescent="0.3">
      <c r="A639">
        <v>638</v>
      </c>
      <c r="B639" s="14">
        <v>42377.484722222223</v>
      </c>
      <c r="C639" s="14">
        <v>42377.495138888888</v>
      </c>
      <c r="D639" t="s">
        <v>5</v>
      </c>
      <c r="G639" t="b">
        <v>0</v>
      </c>
      <c r="H639">
        <v>70803</v>
      </c>
      <c r="I639" s="5">
        <v>0</v>
      </c>
      <c r="J639" s="14">
        <v>42377.497233796297</v>
      </c>
      <c r="K639">
        <v>15.35</v>
      </c>
      <c r="L639" s="5">
        <f>('[1]Pizza Sales Calculations'!$J639-'[1]Pizza Sales Calculations'!$C639)*24*60</f>
        <v>3.0166666698642075</v>
      </c>
      <c r="M639">
        <f>COUNTA('[1]Pizza Sales Calculations'!$D639:$F639)</f>
        <v>1</v>
      </c>
      <c r="N639">
        <f>IFERROR(VLOOKUP(D639,[1]Parameters!$A$3:$C$5,3,FALSE),0)</f>
        <v>2.2999999999999998</v>
      </c>
      <c r="O639">
        <f>IFERROR(VLOOKUP(E639,[1]Parameters!$A$3:$C$5,3,FALSE),0)</f>
        <v>0</v>
      </c>
      <c r="P639">
        <f>IFERROR(VLOOKUP(F639,[1]Parameters!$A$3:$C$5,3,FALSE),0)</f>
        <v>0</v>
      </c>
      <c r="Q639">
        <f t="shared" si="9"/>
        <v>2.2999999999999998</v>
      </c>
      <c r="R639" s="10">
        <f>IF('[1]Pizza Sales Calculations'!$G639=TRUE, [1]Parameters!$B$17*'[1]Pizza Sales Calculations'!$L639*2, 0)</f>
        <v>0</v>
      </c>
      <c r="S639" t="str">
        <f>IF(I639&lt;[1]Parameters!$B$21,"TRUE","FALSE")</f>
        <v>TRUE</v>
      </c>
      <c r="T639" s="5">
        <f>(I639/[1]Parameters!$B$25)*60</f>
        <v>0</v>
      </c>
      <c r="U639" s="10">
        <f>IF(AND('[1]Pizza Sales Calculations'!G639=TRUE,'[1]Pizza Sales Calculations'!S639="TRUE"),T639*[1]Parameters!$B$40*2,0)</f>
        <v>0</v>
      </c>
      <c r="V639">
        <f>INDEX([1]Parameters!$A$3:$C$5,MATCH('[1]Pizza Sales Calculations'!D639,[1]Parameters!$A$3:$A$5,0),2)</f>
        <v>14</v>
      </c>
      <c r="W639" t="e">
        <f>INDEX([1]Parameters!$A$3:$C$5,MATCH('[1]Pizza Sales Calculations'!E639,[1]Parameters!$A$3:$A$5,0),2)</f>
        <v>#N/A</v>
      </c>
      <c r="X639" t="e">
        <f>INDEX([1]Parameters!$A$3:$C$5,MATCH('[1]Pizza Sales Calculations'!F639,[1]Parameters!$A$3:$A$5,0),2)</f>
        <v>#N/A</v>
      </c>
    </row>
    <row r="640" spans="1:24" x14ac:dyDescent="0.3">
      <c r="A640">
        <v>639</v>
      </c>
      <c r="B640" s="14">
        <v>42377.531006944446</v>
      </c>
      <c r="C640" s="14">
        <v>42377.54142361111</v>
      </c>
      <c r="D640" t="s">
        <v>3</v>
      </c>
      <c r="E640" t="s">
        <v>5</v>
      </c>
      <c r="G640" t="b">
        <v>0</v>
      </c>
      <c r="H640">
        <v>70803</v>
      </c>
      <c r="I640" s="5">
        <v>0</v>
      </c>
      <c r="J640" s="14">
        <v>42377.543495370373</v>
      </c>
      <c r="K640">
        <v>23.34</v>
      </c>
      <c r="L640" s="5">
        <f>('[1]Pizza Sales Calculations'!$J640-'[1]Pizza Sales Calculations'!$C640)*24*60</f>
        <v>2.9833333392161876</v>
      </c>
      <c r="M640">
        <f>COUNTA('[1]Pizza Sales Calculations'!$D640:$F640)</f>
        <v>2</v>
      </c>
      <c r="N640">
        <f>IFERROR(VLOOKUP(D640,[1]Parameters!$A$3:$C$5,3,FALSE),0)</f>
        <v>1</v>
      </c>
      <c r="O640">
        <f>IFERROR(VLOOKUP(E640,[1]Parameters!$A$3:$C$5,3,FALSE),0)</f>
        <v>2.2999999999999998</v>
      </c>
      <c r="P640">
        <f>IFERROR(VLOOKUP(F640,[1]Parameters!$A$3:$C$5,3,FALSE),0)</f>
        <v>0</v>
      </c>
      <c r="Q640">
        <f t="shared" si="9"/>
        <v>3.3</v>
      </c>
      <c r="R640" s="10">
        <f>IF('[1]Pizza Sales Calculations'!$G640=TRUE, [1]Parameters!$B$17*'[1]Pizza Sales Calculations'!$L640*2, 0)</f>
        <v>0</v>
      </c>
      <c r="S640" t="str">
        <f>IF(I640&lt;[1]Parameters!$B$21,"TRUE","FALSE")</f>
        <v>TRUE</v>
      </c>
      <c r="T640" s="5">
        <f>(I640/[1]Parameters!$B$25)*60</f>
        <v>0</v>
      </c>
      <c r="U640" s="10">
        <f>IF(AND('[1]Pizza Sales Calculations'!G640=TRUE,'[1]Pizza Sales Calculations'!S640="TRUE"),T640*[1]Parameters!$B$40*2,0)</f>
        <v>0</v>
      </c>
      <c r="V640">
        <f>INDEX([1]Parameters!$A$3:$C$5,MATCH('[1]Pizza Sales Calculations'!D640,[1]Parameters!$A$3:$A$5,0),2)</f>
        <v>7</v>
      </c>
      <c r="W640">
        <f>INDEX([1]Parameters!$A$3:$C$5,MATCH('[1]Pizza Sales Calculations'!E640,[1]Parameters!$A$3:$A$5,0),2)</f>
        <v>14</v>
      </c>
      <c r="X640" t="e">
        <f>INDEX([1]Parameters!$A$3:$C$5,MATCH('[1]Pizza Sales Calculations'!F640,[1]Parameters!$A$3:$A$5,0),2)</f>
        <v>#N/A</v>
      </c>
    </row>
    <row r="641" spans="1:24" x14ac:dyDescent="0.3">
      <c r="A641">
        <v>640</v>
      </c>
      <c r="B641" s="14">
        <v>42377.442546296297</v>
      </c>
      <c r="C641" s="14">
        <v>42377.452951388892</v>
      </c>
      <c r="D641" t="s">
        <v>5</v>
      </c>
      <c r="G641" t="b">
        <v>0</v>
      </c>
      <c r="H641">
        <v>70805</v>
      </c>
      <c r="I641" s="5">
        <v>0</v>
      </c>
      <c r="J641" s="14">
        <v>42377.455023148148</v>
      </c>
      <c r="K641">
        <v>15.35</v>
      </c>
      <c r="L641" s="5">
        <f>('[1]Pizza Sales Calculations'!$J641-'[1]Pizza Sales Calculations'!$C641)*24*60</f>
        <v>2.9833333287388086</v>
      </c>
      <c r="M641">
        <f>COUNTA('[1]Pizza Sales Calculations'!$D641:$F641)</f>
        <v>1</v>
      </c>
      <c r="N641">
        <f>IFERROR(VLOOKUP(D641,[1]Parameters!$A$3:$C$5,3,FALSE),0)</f>
        <v>2.2999999999999998</v>
      </c>
      <c r="O641">
        <f>IFERROR(VLOOKUP(E641,[1]Parameters!$A$3:$C$5,3,FALSE),0)</f>
        <v>0</v>
      </c>
      <c r="P641">
        <f>IFERROR(VLOOKUP(F641,[1]Parameters!$A$3:$C$5,3,FALSE),0)</f>
        <v>0</v>
      </c>
      <c r="Q641">
        <f t="shared" si="9"/>
        <v>2.2999999999999998</v>
      </c>
      <c r="R641" s="10">
        <f>IF('[1]Pizza Sales Calculations'!$G641=TRUE, [1]Parameters!$B$17*'[1]Pizza Sales Calculations'!$L641*2, 0)</f>
        <v>0</v>
      </c>
      <c r="S641" t="str">
        <f>IF(I641&lt;[1]Parameters!$B$21,"TRUE","FALSE")</f>
        <v>TRUE</v>
      </c>
      <c r="T641" s="5">
        <f>(I641/[1]Parameters!$B$25)*60</f>
        <v>0</v>
      </c>
      <c r="U641" s="10">
        <f>IF(AND('[1]Pizza Sales Calculations'!G641=TRUE,'[1]Pizza Sales Calculations'!S641="TRUE"),T641*[1]Parameters!$B$40*2,0)</f>
        <v>0</v>
      </c>
      <c r="V641">
        <f>INDEX([1]Parameters!$A$3:$C$5,MATCH('[1]Pizza Sales Calculations'!D641,[1]Parameters!$A$3:$A$5,0),2)</f>
        <v>14</v>
      </c>
      <c r="W641" t="e">
        <f>INDEX([1]Parameters!$A$3:$C$5,MATCH('[1]Pizza Sales Calculations'!E641,[1]Parameters!$A$3:$A$5,0),2)</f>
        <v>#N/A</v>
      </c>
      <c r="X641" t="e">
        <f>INDEX([1]Parameters!$A$3:$C$5,MATCH('[1]Pizza Sales Calculations'!F641,[1]Parameters!$A$3:$A$5,0),2)</f>
        <v>#N/A</v>
      </c>
    </row>
    <row r="642" spans="1:24" x14ac:dyDescent="0.3">
      <c r="A642">
        <v>641</v>
      </c>
      <c r="B642" s="14">
        <v>42377.502708333333</v>
      </c>
      <c r="C642" s="14">
        <v>42377.513124999998</v>
      </c>
      <c r="D642" t="s">
        <v>4</v>
      </c>
      <c r="G642" t="b">
        <v>0</v>
      </c>
      <c r="H642">
        <v>70806</v>
      </c>
      <c r="I642" s="5">
        <v>0</v>
      </c>
      <c r="J642" s="14">
        <v>42377.515219907407</v>
      </c>
      <c r="K642">
        <v>11.59</v>
      </c>
      <c r="L642" s="5">
        <f>('[1]Pizza Sales Calculations'!$J642-'[1]Pizza Sales Calculations'!$C642)*24*60</f>
        <v>3.0166666698642075</v>
      </c>
      <c r="M642">
        <f>COUNTA('[1]Pizza Sales Calculations'!$D642:$F642)</f>
        <v>1</v>
      </c>
      <c r="N642">
        <f>IFERROR(VLOOKUP(D642,[1]Parameters!$A$3:$C$5,3,FALSE),0)</f>
        <v>1.7</v>
      </c>
      <c r="O642">
        <f>IFERROR(VLOOKUP(E642,[1]Parameters!$A$3:$C$5,3,FALSE),0)</f>
        <v>0</v>
      </c>
      <c r="P642">
        <f>IFERROR(VLOOKUP(F642,[1]Parameters!$A$3:$C$5,3,FALSE),0)</f>
        <v>0</v>
      </c>
      <c r="Q642">
        <f t="shared" si="9"/>
        <v>1.7</v>
      </c>
      <c r="R642" s="10">
        <f>IF('[1]Pizza Sales Calculations'!$G642=TRUE, [1]Parameters!$B$17*'[1]Pizza Sales Calculations'!$L642*2, 0)</f>
        <v>0</v>
      </c>
      <c r="S642" t="str">
        <f>IF(I642&lt;[1]Parameters!$B$21,"TRUE","FALSE")</f>
        <v>TRUE</v>
      </c>
      <c r="T642" s="5">
        <f>(I642/[1]Parameters!$B$25)*60</f>
        <v>0</v>
      </c>
      <c r="U642" s="10">
        <f>IF(AND('[1]Pizza Sales Calculations'!G642=TRUE,'[1]Pizza Sales Calculations'!S642="TRUE"),T642*[1]Parameters!$B$40*2,0)</f>
        <v>0</v>
      </c>
      <c r="V642">
        <f>INDEX([1]Parameters!$A$3:$C$5,MATCH('[1]Pizza Sales Calculations'!D642,[1]Parameters!$A$3:$A$5,0),2)</f>
        <v>10</v>
      </c>
      <c r="W642" t="e">
        <f>INDEX([1]Parameters!$A$3:$C$5,MATCH('[1]Pizza Sales Calculations'!E642,[1]Parameters!$A$3:$A$5,0),2)</f>
        <v>#N/A</v>
      </c>
      <c r="X642" t="e">
        <f>INDEX([1]Parameters!$A$3:$C$5,MATCH('[1]Pizza Sales Calculations'!F642,[1]Parameters!$A$3:$A$5,0),2)</f>
        <v>#N/A</v>
      </c>
    </row>
    <row r="643" spans="1:24" x14ac:dyDescent="0.3">
      <c r="A643">
        <v>642</v>
      </c>
      <c r="B643" s="14">
        <v>42377.437615740739</v>
      </c>
      <c r="C643" s="14">
        <v>42377.448055555556</v>
      </c>
      <c r="D643" t="s">
        <v>4</v>
      </c>
      <c r="G643" t="b">
        <v>1</v>
      </c>
      <c r="H643">
        <v>70803</v>
      </c>
      <c r="I643" s="5">
        <v>3.3810439627102302</v>
      </c>
      <c r="J643" s="14">
        <v>42377.459791666668</v>
      </c>
      <c r="K643">
        <v>11.59</v>
      </c>
      <c r="L643" s="5">
        <f>('[1]Pizza Sales Calculations'!$J643-'[1]Pizza Sales Calculations'!$C643)*24*60</f>
        <v>16.90000000060536</v>
      </c>
      <c r="M643">
        <f>COUNTA('[1]Pizza Sales Calculations'!$D643:$F643)</f>
        <v>1</v>
      </c>
      <c r="N643">
        <f>IFERROR(VLOOKUP(D643,[1]Parameters!$A$3:$C$5,3,FALSE),0)</f>
        <v>1.7</v>
      </c>
      <c r="O643">
        <f>IFERROR(VLOOKUP(E643,[1]Parameters!$A$3:$C$5,3,FALSE),0)</f>
        <v>0</v>
      </c>
      <c r="P643">
        <f>IFERROR(VLOOKUP(F643,[1]Parameters!$A$3:$C$5,3,FALSE),0)</f>
        <v>0</v>
      </c>
      <c r="Q643">
        <f t="shared" ref="Q643:Q706" si="10">SUM(N643:P643)</f>
        <v>1.7</v>
      </c>
      <c r="R643" s="10">
        <f>IF('[1]Pizza Sales Calculations'!$G643=TRUE, [1]Parameters!$B$17*'[1]Pizza Sales Calculations'!$L643*2, 0)</f>
        <v>4.7883333335048519</v>
      </c>
      <c r="S643" t="str">
        <f>IF(I643&lt;[1]Parameters!$B$21,"TRUE","FALSE")</f>
        <v>FALSE</v>
      </c>
      <c r="T643" s="5">
        <f>(I643/[1]Parameters!$B$25)*60</f>
        <v>6.7620879254204604</v>
      </c>
      <c r="U643" s="10">
        <f>IF(AND('[1]Pizza Sales Calculations'!G643=TRUE,'[1]Pizza Sales Calculations'!S643="TRUE"),T643*[1]Parameters!$B$40*2,0)</f>
        <v>0</v>
      </c>
      <c r="V643">
        <f>INDEX([1]Parameters!$A$3:$C$5,MATCH('[1]Pizza Sales Calculations'!D643,[1]Parameters!$A$3:$A$5,0),2)</f>
        <v>10</v>
      </c>
      <c r="W643" t="e">
        <f>INDEX([1]Parameters!$A$3:$C$5,MATCH('[1]Pizza Sales Calculations'!E643,[1]Parameters!$A$3:$A$5,0),2)</f>
        <v>#N/A</v>
      </c>
      <c r="X643" t="e">
        <f>INDEX([1]Parameters!$A$3:$C$5,MATCH('[1]Pizza Sales Calculations'!F643,[1]Parameters!$A$3:$A$5,0),2)</f>
        <v>#N/A</v>
      </c>
    </row>
    <row r="644" spans="1:24" x14ac:dyDescent="0.3">
      <c r="A644">
        <v>643</v>
      </c>
      <c r="B644" s="14">
        <v>42377.530798611115</v>
      </c>
      <c r="C644" s="14">
        <v>42377.541203703702</v>
      </c>
      <c r="D644" t="s">
        <v>3</v>
      </c>
      <c r="E644" t="s">
        <v>5</v>
      </c>
      <c r="G644" t="b">
        <v>1</v>
      </c>
      <c r="H644">
        <v>70804</v>
      </c>
      <c r="I644" s="5">
        <v>2.1765173413154</v>
      </c>
      <c r="J644" s="14">
        <v>42377.548750000002</v>
      </c>
      <c r="K644">
        <v>23.34</v>
      </c>
      <c r="L644" s="5">
        <f>('[1]Pizza Sales Calculations'!$J644-'[1]Pizza Sales Calculations'!$C644)*24*60</f>
        <v>10.866666671354324</v>
      </c>
      <c r="M644">
        <f>COUNTA('[1]Pizza Sales Calculations'!$D644:$F644)</f>
        <v>2</v>
      </c>
      <c r="N644">
        <f>IFERROR(VLOOKUP(D644,[1]Parameters!$A$3:$C$5,3,FALSE),0)</f>
        <v>1</v>
      </c>
      <c r="O644">
        <f>IFERROR(VLOOKUP(E644,[1]Parameters!$A$3:$C$5,3,FALSE),0)</f>
        <v>2.2999999999999998</v>
      </c>
      <c r="P644">
        <f>IFERROR(VLOOKUP(F644,[1]Parameters!$A$3:$C$5,3,FALSE),0)</f>
        <v>0</v>
      </c>
      <c r="Q644">
        <f t="shared" si="10"/>
        <v>3.3</v>
      </c>
      <c r="R644" s="10">
        <f>IF('[1]Pizza Sales Calculations'!$G644=TRUE, [1]Parameters!$B$17*'[1]Pizza Sales Calculations'!$L644*2, 0)</f>
        <v>3.0788888902170584</v>
      </c>
      <c r="S644" t="str">
        <f>IF(I644&lt;[1]Parameters!$B$21,"TRUE","FALSE")</f>
        <v>TRUE</v>
      </c>
      <c r="T644" s="5">
        <f>(I644/[1]Parameters!$B$25)*60</f>
        <v>4.3530346826308</v>
      </c>
      <c r="U644" s="10">
        <f>IF(AND('[1]Pizza Sales Calculations'!G644=TRUE,'[1]Pizza Sales Calculations'!S644="TRUE"),T644*[1]Parameters!$B$40*2,0)</f>
        <v>0.27172786513317126</v>
      </c>
      <c r="V644">
        <f>INDEX([1]Parameters!$A$3:$C$5,MATCH('[1]Pizza Sales Calculations'!D644,[1]Parameters!$A$3:$A$5,0),2)</f>
        <v>7</v>
      </c>
      <c r="W644">
        <f>INDEX([1]Parameters!$A$3:$C$5,MATCH('[1]Pizza Sales Calculations'!E644,[1]Parameters!$A$3:$A$5,0),2)</f>
        <v>14</v>
      </c>
      <c r="X644" t="e">
        <f>INDEX([1]Parameters!$A$3:$C$5,MATCH('[1]Pizza Sales Calculations'!F644,[1]Parameters!$A$3:$A$5,0),2)</f>
        <v>#N/A</v>
      </c>
    </row>
    <row r="645" spans="1:24" x14ac:dyDescent="0.3">
      <c r="A645">
        <v>644</v>
      </c>
      <c r="B645" s="14">
        <v>42377.46979166667</v>
      </c>
      <c r="C645" s="14">
        <v>42377.480185185188</v>
      </c>
      <c r="D645" t="s">
        <v>4</v>
      </c>
      <c r="G645" t="b">
        <v>1</v>
      </c>
      <c r="H645">
        <v>70807</v>
      </c>
      <c r="I645" s="5">
        <v>2.1494199560095599</v>
      </c>
      <c r="J645" s="14">
        <v>42377.487638888888</v>
      </c>
      <c r="K645">
        <v>11.59</v>
      </c>
      <c r="L645" s="5">
        <f>('[1]Pizza Sales Calculations'!$J645-'[1]Pizza Sales Calculations'!$C645)*24*60</f>
        <v>10.733333327807486</v>
      </c>
      <c r="M645">
        <f>COUNTA('[1]Pizza Sales Calculations'!$D645:$F645)</f>
        <v>1</v>
      </c>
      <c r="N645">
        <f>IFERROR(VLOOKUP(D645,[1]Parameters!$A$3:$C$5,3,FALSE),0)</f>
        <v>1.7</v>
      </c>
      <c r="O645">
        <f>IFERROR(VLOOKUP(E645,[1]Parameters!$A$3:$C$5,3,FALSE),0)</f>
        <v>0</v>
      </c>
      <c r="P645">
        <f>IFERROR(VLOOKUP(F645,[1]Parameters!$A$3:$C$5,3,FALSE),0)</f>
        <v>0</v>
      </c>
      <c r="Q645">
        <f t="shared" si="10"/>
        <v>1.7</v>
      </c>
      <c r="R645" s="10">
        <f>IF('[1]Pizza Sales Calculations'!$G645=TRUE, [1]Parameters!$B$17*'[1]Pizza Sales Calculations'!$L645*2, 0)</f>
        <v>3.0411111095454544</v>
      </c>
      <c r="S645" t="str">
        <f>IF(I645&lt;[1]Parameters!$B$21,"TRUE","FALSE")</f>
        <v>TRUE</v>
      </c>
      <c r="T645" s="5">
        <f>(I645/[1]Parameters!$B$25)*60</f>
        <v>4.2988399120191199</v>
      </c>
      <c r="U645" s="10">
        <f>IF(AND('[1]Pizza Sales Calculations'!G645=TRUE,'[1]Pizza Sales Calculations'!S645="TRUE"),T645*[1]Parameters!$B$40*2,0)</f>
        <v>0.26834488512190385</v>
      </c>
      <c r="V645">
        <f>INDEX([1]Parameters!$A$3:$C$5,MATCH('[1]Pizza Sales Calculations'!D645,[1]Parameters!$A$3:$A$5,0),2)</f>
        <v>10</v>
      </c>
      <c r="W645" t="e">
        <f>INDEX([1]Parameters!$A$3:$C$5,MATCH('[1]Pizza Sales Calculations'!E645,[1]Parameters!$A$3:$A$5,0),2)</f>
        <v>#N/A</v>
      </c>
      <c r="X645" t="e">
        <f>INDEX([1]Parameters!$A$3:$C$5,MATCH('[1]Pizza Sales Calculations'!F645,[1]Parameters!$A$3:$A$5,0),2)</f>
        <v>#N/A</v>
      </c>
    </row>
    <row r="646" spans="1:24" x14ac:dyDescent="0.3">
      <c r="A646">
        <v>645</v>
      </c>
      <c r="B646" s="14">
        <v>42377.491469907407</v>
      </c>
      <c r="C646" s="14">
        <v>42377.501886574071</v>
      </c>
      <c r="D646" t="s">
        <v>5</v>
      </c>
      <c r="G646" t="b">
        <v>0</v>
      </c>
      <c r="H646">
        <v>70805</v>
      </c>
      <c r="I646" s="5">
        <v>0</v>
      </c>
      <c r="J646" s="14">
        <v>42377.503981481481</v>
      </c>
      <c r="K646">
        <v>15.35</v>
      </c>
      <c r="L646" s="5">
        <f>('[1]Pizza Sales Calculations'!$J646-'[1]Pizza Sales Calculations'!$C646)*24*60</f>
        <v>3.0166666698642075</v>
      </c>
      <c r="M646">
        <f>COUNTA('[1]Pizza Sales Calculations'!$D646:$F646)</f>
        <v>1</v>
      </c>
      <c r="N646">
        <f>IFERROR(VLOOKUP(D646,[1]Parameters!$A$3:$C$5,3,FALSE),0)</f>
        <v>2.2999999999999998</v>
      </c>
      <c r="O646">
        <f>IFERROR(VLOOKUP(E646,[1]Parameters!$A$3:$C$5,3,FALSE),0)</f>
        <v>0</v>
      </c>
      <c r="P646">
        <f>IFERROR(VLOOKUP(F646,[1]Parameters!$A$3:$C$5,3,FALSE),0)</f>
        <v>0</v>
      </c>
      <c r="Q646">
        <f t="shared" si="10"/>
        <v>2.2999999999999998</v>
      </c>
      <c r="R646" s="10">
        <f>IF('[1]Pizza Sales Calculations'!$G646=TRUE, [1]Parameters!$B$17*'[1]Pizza Sales Calculations'!$L646*2, 0)</f>
        <v>0</v>
      </c>
      <c r="S646" t="str">
        <f>IF(I646&lt;[1]Parameters!$B$21,"TRUE","FALSE")</f>
        <v>TRUE</v>
      </c>
      <c r="T646" s="5">
        <f>(I646/[1]Parameters!$B$25)*60</f>
        <v>0</v>
      </c>
      <c r="U646" s="10">
        <f>IF(AND('[1]Pizza Sales Calculations'!G646=TRUE,'[1]Pizza Sales Calculations'!S646="TRUE"),T646*[1]Parameters!$B$40*2,0)</f>
        <v>0</v>
      </c>
      <c r="V646">
        <f>INDEX([1]Parameters!$A$3:$C$5,MATCH('[1]Pizza Sales Calculations'!D646,[1]Parameters!$A$3:$A$5,0),2)</f>
        <v>14</v>
      </c>
      <c r="W646" t="e">
        <f>INDEX([1]Parameters!$A$3:$C$5,MATCH('[1]Pizza Sales Calculations'!E646,[1]Parameters!$A$3:$A$5,0),2)</f>
        <v>#N/A</v>
      </c>
      <c r="X646" t="e">
        <f>INDEX([1]Parameters!$A$3:$C$5,MATCH('[1]Pizza Sales Calculations'!F646,[1]Parameters!$A$3:$A$5,0),2)</f>
        <v>#N/A</v>
      </c>
    </row>
    <row r="647" spans="1:24" x14ac:dyDescent="0.3">
      <c r="A647">
        <v>646</v>
      </c>
      <c r="B647" s="14">
        <v>42377.471064814818</v>
      </c>
      <c r="C647" s="14">
        <v>42377.481481481482</v>
      </c>
      <c r="D647" t="s">
        <v>3</v>
      </c>
      <c r="E647" t="s">
        <v>4</v>
      </c>
      <c r="G647" t="b">
        <v>0</v>
      </c>
      <c r="H647">
        <v>70803</v>
      </c>
      <c r="I647" s="5">
        <v>0</v>
      </c>
      <c r="J647" s="14">
        <v>42377.483576388891</v>
      </c>
      <c r="K647">
        <v>19.579999999999998</v>
      </c>
      <c r="L647" s="5">
        <f>('[1]Pizza Sales Calculations'!$J647-'[1]Pizza Sales Calculations'!$C647)*24*60</f>
        <v>3.0166666698642075</v>
      </c>
      <c r="M647">
        <f>COUNTA('[1]Pizza Sales Calculations'!$D647:$F647)</f>
        <v>2</v>
      </c>
      <c r="N647">
        <f>IFERROR(VLOOKUP(D647,[1]Parameters!$A$3:$C$5,3,FALSE),0)</f>
        <v>1</v>
      </c>
      <c r="O647">
        <f>IFERROR(VLOOKUP(E647,[1]Parameters!$A$3:$C$5,3,FALSE),0)</f>
        <v>1.7</v>
      </c>
      <c r="P647">
        <f>IFERROR(VLOOKUP(F647,[1]Parameters!$A$3:$C$5,3,FALSE),0)</f>
        <v>0</v>
      </c>
      <c r="Q647">
        <f t="shared" si="10"/>
        <v>2.7</v>
      </c>
      <c r="R647" s="10">
        <f>IF('[1]Pizza Sales Calculations'!$G647=TRUE, [1]Parameters!$B$17*'[1]Pizza Sales Calculations'!$L647*2, 0)</f>
        <v>0</v>
      </c>
      <c r="S647" t="str">
        <f>IF(I647&lt;[1]Parameters!$B$21,"TRUE","FALSE")</f>
        <v>TRUE</v>
      </c>
      <c r="T647" s="5">
        <f>(I647/[1]Parameters!$B$25)*60</f>
        <v>0</v>
      </c>
      <c r="U647" s="10">
        <f>IF(AND('[1]Pizza Sales Calculations'!G647=TRUE,'[1]Pizza Sales Calculations'!S647="TRUE"),T647*[1]Parameters!$B$40*2,0)</f>
        <v>0</v>
      </c>
      <c r="V647">
        <f>INDEX([1]Parameters!$A$3:$C$5,MATCH('[1]Pizza Sales Calculations'!D647,[1]Parameters!$A$3:$A$5,0),2)</f>
        <v>7</v>
      </c>
      <c r="W647">
        <f>INDEX([1]Parameters!$A$3:$C$5,MATCH('[1]Pizza Sales Calculations'!E647,[1]Parameters!$A$3:$A$5,0),2)</f>
        <v>10</v>
      </c>
      <c r="X647" t="e">
        <f>INDEX([1]Parameters!$A$3:$C$5,MATCH('[1]Pizza Sales Calculations'!F647,[1]Parameters!$A$3:$A$5,0),2)</f>
        <v>#N/A</v>
      </c>
    </row>
    <row r="648" spans="1:24" x14ac:dyDescent="0.3">
      <c r="A648">
        <v>647</v>
      </c>
      <c r="B648" s="14">
        <v>42377.466446759259</v>
      </c>
      <c r="C648" s="14">
        <v>42377.476863425924</v>
      </c>
      <c r="D648" t="s">
        <v>4</v>
      </c>
      <c r="G648" t="b">
        <v>1</v>
      </c>
      <c r="H648">
        <v>70804</v>
      </c>
      <c r="I648" s="5">
        <v>0.85370511812690597</v>
      </c>
      <c r="J648" s="14">
        <v>42377.479826388888</v>
      </c>
      <c r="K648">
        <v>11.59</v>
      </c>
      <c r="L648" s="5">
        <f>('[1]Pizza Sales Calculations'!$J648-'[1]Pizza Sales Calculations'!$C648)*24*60</f>
        <v>4.2666666687000543</v>
      </c>
      <c r="M648">
        <f>COUNTA('[1]Pizza Sales Calculations'!$D648:$F648)</f>
        <v>1</v>
      </c>
      <c r="N648">
        <f>IFERROR(VLOOKUP(D648,[1]Parameters!$A$3:$C$5,3,FALSE),0)</f>
        <v>1.7</v>
      </c>
      <c r="O648">
        <f>IFERROR(VLOOKUP(E648,[1]Parameters!$A$3:$C$5,3,FALSE),0)</f>
        <v>0</v>
      </c>
      <c r="P648">
        <f>IFERROR(VLOOKUP(F648,[1]Parameters!$A$3:$C$5,3,FALSE),0)</f>
        <v>0</v>
      </c>
      <c r="Q648">
        <f t="shared" si="10"/>
        <v>1.7</v>
      </c>
      <c r="R648" s="10">
        <f>IF('[1]Pizza Sales Calculations'!$G648=TRUE, [1]Parameters!$B$17*'[1]Pizza Sales Calculations'!$L648*2, 0)</f>
        <v>1.2088888894650154</v>
      </c>
      <c r="S648" t="str">
        <f>IF(I648&lt;[1]Parameters!$B$21,"TRUE","FALSE")</f>
        <v>TRUE</v>
      </c>
      <c r="T648" s="5">
        <f>(I648/[1]Parameters!$B$25)*60</f>
        <v>1.7074102362538119</v>
      </c>
      <c r="U648" s="10">
        <f>IF(AND('[1]Pizza Sales Calculations'!G648=TRUE,'[1]Pizza Sales Calculations'!S648="TRUE"),T648*[1]Parameters!$B$40*2,0)</f>
        <v>0.10658103420471221</v>
      </c>
      <c r="V648">
        <f>INDEX([1]Parameters!$A$3:$C$5,MATCH('[1]Pizza Sales Calculations'!D648,[1]Parameters!$A$3:$A$5,0),2)</f>
        <v>10</v>
      </c>
      <c r="W648" t="e">
        <f>INDEX([1]Parameters!$A$3:$C$5,MATCH('[1]Pizza Sales Calculations'!E648,[1]Parameters!$A$3:$A$5,0),2)</f>
        <v>#N/A</v>
      </c>
      <c r="X648" t="e">
        <f>INDEX([1]Parameters!$A$3:$C$5,MATCH('[1]Pizza Sales Calculations'!F648,[1]Parameters!$A$3:$A$5,0),2)</f>
        <v>#N/A</v>
      </c>
    </row>
    <row r="649" spans="1:24" x14ac:dyDescent="0.3">
      <c r="A649">
        <v>648</v>
      </c>
      <c r="B649" s="14">
        <v>42377.527569444443</v>
      </c>
      <c r="C649" s="14">
        <v>42377.537986111114</v>
      </c>
      <c r="D649" t="s">
        <v>3</v>
      </c>
      <c r="G649" t="b">
        <v>0</v>
      </c>
      <c r="H649">
        <v>70803</v>
      </c>
      <c r="I649" s="5">
        <v>0</v>
      </c>
      <c r="J649" s="14">
        <v>42377.540081018517</v>
      </c>
      <c r="K649">
        <v>7.99</v>
      </c>
      <c r="L649" s="5">
        <f>('[1]Pizza Sales Calculations'!$J649-'[1]Pizza Sales Calculations'!$C649)*24*60</f>
        <v>3.0166666593868285</v>
      </c>
      <c r="M649">
        <f>COUNTA('[1]Pizza Sales Calculations'!$D649:$F649)</f>
        <v>1</v>
      </c>
      <c r="N649">
        <f>IFERROR(VLOOKUP(D649,[1]Parameters!$A$3:$C$5,3,FALSE),0)</f>
        <v>1</v>
      </c>
      <c r="O649">
        <f>IFERROR(VLOOKUP(E649,[1]Parameters!$A$3:$C$5,3,FALSE),0)</f>
        <v>0</v>
      </c>
      <c r="P649">
        <f>IFERROR(VLOOKUP(F649,[1]Parameters!$A$3:$C$5,3,FALSE),0)</f>
        <v>0</v>
      </c>
      <c r="Q649">
        <f t="shared" si="10"/>
        <v>1</v>
      </c>
      <c r="R649" s="10">
        <f>IF('[1]Pizza Sales Calculations'!$G649=TRUE, [1]Parameters!$B$17*'[1]Pizza Sales Calculations'!$L649*2, 0)</f>
        <v>0</v>
      </c>
      <c r="S649" t="str">
        <f>IF(I649&lt;[1]Parameters!$B$21,"TRUE","FALSE")</f>
        <v>TRUE</v>
      </c>
      <c r="T649" s="5">
        <f>(I649/[1]Parameters!$B$25)*60</f>
        <v>0</v>
      </c>
      <c r="U649" s="10">
        <f>IF(AND('[1]Pizza Sales Calculations'!G649=TRUE,'[1]Pizza Sales Calculations'!S649="TRUE"),T649*[1]Parameters!$B$40*2,0)</f>
        <v>0</v>
      </c>
      <c r="V649">
        <f>INDEX([1]Parameters!$A$3:$C$5,MATCH('[1]Pizza Sales Calculations'!D649,[1]Parameters!$A$3:$A$5,0),2)</f>
        <v>7</v>
      </c>
      <c r="W649" t="e">
        <f>INDEX([1]Parameters!$A$3:$C$5,MATCH('[1]Pizza Sales Calculations'!E649,[1]Parameters!$A$3:$A$5,0),2)</f>
        <v>#N/A</v>
      </c>
      <c r="X649" t="e">
        <f>INDEX([1]Parameters!$A$3:$C$5,MATCH('[1]Pizza Sales Calculations'!F649,[1]Parameters!$A$3:$A$5,0),2)</f>
        <v>#N/A</v>
      </c>
    </row>
    <row r="650" spans="1:24" x14ac:dyDescent="0.3">
      <c r="A650">
        <v>649</v>
      </c>
      <c r="B650" s="14">
        <v>42377.509583333333</v>
      </c>
      <c r="C650" s="14">
        <v>42377.519976851851</v>
      </c>
      <c r="D650" t="s">
        <v>3</v>
      </c>
      <c r="E650" t="s">
        <v>4</v>
      </c>
      <c r="G650" t="b">
        <v>1</v>
      </c>
      <c r="H650">
        <v>70803</v>
      </c>
      <c r="I650" s="5">
        <v>3.5338306024518702</v>
      </c>
      <c r="J650" s="14">
        <v>42377.53224537037</v>
      </c>
      <c r="K650">
        <v>19.579999999999998</v>
      </c>
      <c r="L650" s="5">
        <f>('[1]Pizza Sales Calculations'!$J650-'[1]Pizza Sales Calculations'!$C650)*24*60</f>
        <v>17.666666668374091</v>
      </c>
      <c r="M650">
        <f>COUNTA('[1]Pizza Sales Calculations'!$D650:$F650)</f>
        <v>2</v>
      </c>
      <c r="N650">
        <f>IFERROR(VLOOKUP(D650,[1]Parameters!$A$3:$C$5,3,FALSE),0)</f>
        <v>1</v>
      </c>
      <c r="O650">
        <f>IFERROR(VLOOKUP(E650,[1]Parameters!$A$3:$C$5,3,FALSE),0)</f>
        <v>1.7</v>
      </c>
      <c r="P650">
        <f>IFERROR(VLOOKUP(F650,[1]Parameters!$A$3:$C$5,3,FALSE),0)</f>
        <v>0</v>
      </c>
      <c r="Q650">
        <f t="shared" si="10"/>
        <v>2.7</v>
      </c>
      <c r="R650" s="10">
        <f>IF('[1]Pizza Sales Calculations'!$G650=TRUE, [1]Parameters!$B$17*'[1]Pizza Sales Calculations'!$L650*2, 0)</f>
        <v>5.0055555560393259</v>
      </c>
      <c r="S650" t="str">
        <f>IF(I650&lt;[1]Parameters!$B$21,"TRUE","FALSE")</f>
        <v>FALSE</v>
      </c>
      <c r="T650" s="5">
        <f>(I650/[1]Parameters!$B$25)*60</f>
        <v>7.0676612049037404</v>
      </c>
      <c r="U650" s="10">
        <f>IF(AND('[1]Pizza Sales Calculations'!G650=TRUE,'[1]Pizza Sales Calculations'!S650="TRUE"),T650*[1]Parameters!$B$40*2,0)</f>
        <v>0</v>
      </c>
      <c r="V650">
        <f>INDEX([1]Parameters!$A$3:$C$5,MATCH('[1]Pizza Sales Calculations'!D650,[1]Parameters!$A$3:$A$5,0),2)</f>
        <v>7</v>
      </c>
      <c r="W650">
        <f>INDEX([1]Parameters!$A$3:$C$5,MATCH('[1]Pizza Sales Calculations'!E650,[1]Parameters!$A$3:$A$5,0),2)</f>
        <v>10</v>
      </c>
      <c r="X650" t="e">
        <f>INDEX([1]Parameters!$A$3:$C$5,MATCH('[1]Pizza Sales Calculations'!F650,[1]Parameters!$A$3:$A$5,0),2)</f>
        <v>#N/A</v>
      </c>
    </row>
    <row r="651" spans="1:24" x14ac:dyDescent="0.3">
      <c r="A651">
        <v>650</v>
      </c>
      <c r="B651" s="14">
        <v>42377.507222222222</v>
      </c>
      <c r="C651" s="14">
        <v>42377.517638888887</v>
      </c>
      <c r="D651" t="s">
        <v>5</v>
      </c>
      <c r="G651" t="b">
        <v>0</v>
      </c>
      <c r="H651">
        <v>70805</v>
      </c>
      <c r="I651" s="5">
        <v>0</v>
      </c>
      <c r="J651" s="14">
        <v>42377.51972222222</v>
      </c>
      <c r="K651">
        <v>15.35</v>
      </c>
      <c r="L651" s="5">
        <f>('[1]Pizza Sales Calculations'!$J651-'[1]Pizza Sales Calculations'!$C651)*24*60</f>
        <v>2.9999999993015081</v>
      </c>
      <c r="M651">
        <f>COUNTA('[1]Pizza Sales Calculations'!$D651:$F651)</f>
        <v>1</v>
      </c>
      <c r="N651">
        <f>IFERROR(VLOOKUP(D651,[1]Parameters!$A$3:$C$5,3,FALSE),0)</f>
        <v>2.2999999999999998</v>
      </c>
      <c r="O651">
        <f>IFERROR(VLOOKUP(E651,[1]Parameters!$A$3:$C$5,3,FALSE),0)</f>
        <v>0</v>
      </c>
      <c r="P651">
        <f>IFERROR(VLOOKUP(F651,[1]Parameters!$A$3:$C$5,3,FALSE),0)</f>
        <v>0</v>
      </c>
      <c r="Q651">
        <f t="shared" si="10"/>
        <v>2.2999999999999998</v>
      </c>
      <c r="R651" s="10">
        <f>IF('[1]Pizza Sales Calculations'!$G651=TRUE, [1]Parameters!$B$17*'[1]Pizza Sales Calculations'!$L651*2, 0)</f>
        <v>0</v>
      </c>
      <c r="S651" t="str">
        <f>IF(I651&lt;[1]Parameters!$B$21,"TRUE","FALSE")</f>
        <v>TRUE</v>
      </c>
      <c r="T651" s="5">
        <f>(I651/[1]Parameters!$B$25)*60</f>
        <v>0</v>
      </c>
      <c r="U651" s="10">
        <f>IF(AND('[1]Pizza Sales Calculations'!G651=TRUE,'[1]Pizza Sales Calculations'!S651="TRUE"),T651*[1]Parameters!$B$40*2,0)</f>
        <v>0</v>
      </c>
      <c r="V651">
        <f>INDEX([1]Parameters!$A$3:$C$5,MATCH('[1]Pizza Sales Calculations'!D651,[1]Parameters!$A$3:$A$5,0),2)</f>
        <v>14</v>
      </c>
      <c r="W651" t="e">
        <f>INDEX([1]Parameters!$A$3:$C$5,MATCH('[1]Pizza Sales Calculations'!E651,[1]Parameters!$A$3:$A$5,0),2)</f>
        <v>#N/A</v>
      </c>
      <c r="X651" t="e">
        <f>INDEX([1]Parameters!$A$3:$C$5,MATCH('[1]Pizza Sales Calculations'!F651,[1]Parameters!$A$3:$A$5,0),2)</f>
        <v>#N/A</v>
      </c>
    </row>
    <row r="652" spans="1:24" x14ac:dyDescent="0.3">
      <c r="A652">
        <v>651</v>
      </c>
      <c r="B652" s="14">
        <v>42377.521469907406</v>
      </c>
      <c r="C652" s="14">
        <v>42377.531886574077</v>
      </c>
      <c r="D652" t="s">
        <v>5</v>
      </c>
      <c r="G652" t="b">
        <v>1</v>
      </c>
      <c r="H652">
        <v>70805</v>
      </c>
      <c r="I652" s="5">
        <v>4.9388832193403198</v>
      </c>
      <c r="J652" s="14">
        <v>42377.549027777779</v>
      </c>
      <c r="K652">
        <v>15.35</v>
      </c>
      <c r="L652" s="5">
        <f>('[1]Pizza Sales Calculations'!$J652-'[1]Pizza Sales Calculations'!$C652)*24*60</f>
        <v>24.683333330322057</v>
      </c>
      <c r="M652">
        <f>COUNTA('[1]Pizza Sales Calculations'!$D652:$F652)</f>
        <v>1</v>
      </c>
      <c r="N652">
        <f>IFERROR(VLOOKUP(D652,[1]Parameters!$A$3:$C$5,3,FALSE),0)</f>
        <v>2.2999999999999998</v>
      </c>
      <c r="O652">
        <f>IFERROR(VLOOKUP(E652,[1]Parameters!$A$3:$C$5,3,FALSE),0)</f>
        <v>0</v>
      </c>
      <c r="P652">
        <f>IFERROR(VLOOKUP(F652,[1]Parameters!$A$3:$C$5,3,FALSE),0)</f>
        <v>0</v>
      </c>
      <c r="Q652">
        <f t="shared" si="10"/>
        <v>2.2999999999999998</v>
      </c>
      <c r="R652" s="10">
        <f>IF('[1]Pizza Sales Calculations'!$G652=TRUE, [1]Parameters!$B$17*'[1]Pizza Sales Calculations'!$L652*2, 0)</f>
        <v>6.9936111102579162</v>
      </c>
      <c r="S652" t="str">
        <f>IF(I652&lt;[1]Parameters!$B$21,"TRUE","FALSE")</f>
        <v>FALSE</v>
      </c>
      <c r="T652" s="5">
        <f>(I652/[1]Parameters!$B$25)*60</f>
        <v>9.8777664386806396</v>
      </c>
      <c r="U652" s="10">
        <f>IF(AND('[1]Pizza Sales Calculations'!G652=TRUE,'[1]Pizza Sales Calculations'!S652="TRUE"),T652*[1]Parameters!$B$40*2,0)</f>
        <v>0</v>
      </c>
      <c r="V652">
        <f>INDEX([1]Parameters!$A$3:$C$5,MATCH('[1]Pizza Sales Calculations'!D652,[1]Parameters!$A$3:$A$5,0),2)</f>
        <v>14</v>
      </c>
      <c r="W652" t="e">
        <f>INDEX([1]Parameters!$A$3:$C$5,MATCH('[1]Pizza Sales Calculations'!E652,[1]Parameters!$A$3:$A$5,0),2)</f>
        <v>#N/A</v>
      </c>
      <c r="X652" t="e">
        <f>INDEX([1]Parameters!$A$3:$C$5,MATCH('[1]Pizza Sales Calculations'!F652,[1]Parameters!$A$3:$A$5,0),2)</f>
        <v>#N/A</v>
      </c>
    </row>
    <row r="653" spans="1:24" x14ac:dyDescent="0.3">
      <c r="A653">
        <v>652</v>
      </c>
      <c r="B653" s="14">
        <v>42377.483553240738</v>
      </c>
      <c r="C653" s="14">
        <v>42377.493981481479</v>
      </c>
      <c r="D653" t="s">
        <v>5</v>
      </c>
      <c r="G653" t="b">
        <v>0</v>
      </c>
      <c r="H653">
        <v>70805</v>
      </c>
      <c r="I653" s="5">
        <v>0</v>
      </c>
      <c r="J653" s="14">
        <v>42377.496064814812</v>
      </c>
      <c r="K653">
        <v>15.35</v>
      </c>
      <c r="L653" s="5">
        <f>('[1]Pizza Sales Calculations'!$J653-'[1]Pizza Sales Calculations'!$C653)*24*60</f>
        <v>2.9999999993015081</v>
      </c>
      <c r="M653">
        <f>COUNTA('[1]Pizza Sales Calculations'!$D653:$F653)</f>
        <v>1</v>
      </c>
      <c r="N653">
        <f>IFERROR(VLOOKUP(D653,[1]Parameters!$A$3:$C$5,3,FALSE),0)</f>
        <v>2.2999999999999998</v>
      </c>
      <c r="O653">
        <f>IFERROR(VLOOKUP(E653,[1]Parameters!$A$3:$C$5,3,FALSE),0)</f>
        <v>0</v>
      </c>
      <c r="P653">
        <f>IFERROR(VLOOKUP(F653,[1]Parameters!$A$3:$C$5,3,FALSE),0)</f>
        <v>0</v>
      </c>
      <c r="Q653">
        <f t="shared" si="10"/>
        <v>2.2999999999999998</v>
      </c>
      <c r="R653" s="10">
        <f>IF('[1]Pizza Sales Calculations'!$G653=TRUE, [1]Parameters!$B$17*'[1]Pizza Sales Calculations'!$L653*2, 0)</f>
        <v>0</v>
      </c>
      <c r="S653" t="str">
        <f>IF(I653&lt;[1]Parameters!$B$21,"TRUE","FALSE")</f>
        <v>TRUE</v>
      </c>
      <c r="T653" s="5">
        <f>(I653/[1]Parameters!$B$25)*60</f>
        <v>0</v>
      </c>
      <c r="U653" s="10">
        <f>IF(AND('[1]Pizza Sales Calculations'!G653=TRUE,'[1]Pizza Sales Calculations'!S653="TRUE"),T653*[1]Parameters!$B$40*2,0)</f>
        <v>0</v>
      </c>
      <c r="V653">
        <f>INDEX([1]Parameters!$A$3:$C$5,MATCH('[1]Pizza Sales Calculations'!D653,[1]Parameters!$A$3:$A$5,0),2)</f>
        <v>14</v>
      </c>
      <c r="W653" t="e">
        <f>INDEX([1]Parameters!$A$3:$C$5,MATCH('[1]Pizza Sales Calculations'!E653,[1]Parameters!$A$3:$A$5,0),2)</f>
        <v>#N/A</v>
      </c>
      <c r="X653" t="e">
        <f>INDEX([1]Parameters!$A$3:$C$5,MATCH('[1]Pizza Sales Calculations'!F653,[1]Parameters!$A$3:$A$5,0),2)</f>
        <v>#N/A</v>
      </c>
    </row>
    <row r="654" spans="1:24" x14ac:dyDescent="0.3">
      <c r="A654">
        <v>653</v>
      </c>
      <c r="B654" s="14">
        <v>42377.521967592591</v>
      </c>
      <c r="C654" s="14">
        <v>42377.532372685186</v>
      </c>
      <c r="D654" t="s">
        <v>3</v>
      </c>
      <c r="E654" t="s">
        <v>5</v>
      </c>
      <c r="G654" t="b">
        <v>1</v>
      </c>
      <c r="H654">
        <v>70807</v>
      </c>
      <c r="I654" s="5">
        <v>4.7018617162618197</v>
      </c>
      <c r="J654" s="14">
        <v>42377.548692129632</v>
      </c>
      <c r="K654">
        <v>23.34</v>
      </c>
      <c r="L654" s="5">
        <f>('[1]Pizza Sales Calculations'!$J654-'[1]Pizza Sales Calculations'!$C654)*24*60</f>
        <v>23.500000003259629</v>
      </c>
      <c r="M654">
        <f>COUNTA('[1]Pizza Sales Calculations'!$D654:$F654)</f>
        <v>2</v>
      </c>
      <c r="N654">
        <f>IFERROR(VLOOKUP(D654,[1]Parameters!$A$3:$C$5,3,FALSE),0)</f>
        <v>1</v>
      </c>
      <c r="O654">
        <f>IFERROR(VLOOKUP(E654,[1]Parameters!$A$3:$C$5,3,FALSE),0)</f>
        <v>2.2999999999999998</v>
      </c>
      <c r="P654">
        <f>IFERROR(VLOOKUP(F654,[1]Parameters!$A$3:$C$5,3,FALSE),0)</f>
        <v>0</v>
      </c>
      <c r="Q654">
        <f t="shared" si="10"/>
        <v>3.3</v>
      </c>
      <c r="R654" s="10">
        <f>IF('[1]Pizza Sales Calculations'!$G654=TRUE, [1]Parameters!$B$17*'[1]Pizza Sales Calculations'!$L654*2, 0)</f>
        <v>6.6583333342568949</v>
      </c>
      <c r="S654" t="str">
        <f>IF(I654&lt;[1]Parameters!$B$21,"TRUE","FALSE")</f>
        <v>FALSE</v>
      </c>
      <c r="T654" s="5">
        <f>(I654/[1]Parameters!$B$25)*60</f>
        <v>9.4037234325236394</v>
      </c>
      <c r="U654" s="10">
        <f>IF(AND('[1]Pizza Sales Calculations'!G654=TRUE,'[1]Pizza Sales Calculations'!S654="TRUE"),T654*[1]Parameters!$B$40*2,0)</f>
        <v>0</v>
      </c>
      <c r="V654">
        <f>INDEX([1]Parameters!$A$3:$C$5,MATCH('[1]Pizza Sales Calculations'!D654,[1]Parameters!$A$3:$A$5,0),2)</f>
        <v>7</v>
      </c>
      <c r="W654">
        <f>INDEX([1]Parameters!$A$3:$C$5,MATCH('[1]Pizza Sales Calculations'!E654,[1]Parameters!$A$3:$A$5,0),2)</f>
        <v>14</v>
      </c>
      <c r="X654" t="e">
        <f>INDEX([1]Parameters!$A$3:$C$5,MATCH('[1]Pizza Sales Calculations'!F654,[1]Parameters!$A$3:$A$5,0),2)</f>
        <v>#N/A</v>
      </c>
    </row>
    <row r="655" spans="1:24" x14ac:dyDescent="0.3">
      <c r="A655">
        <v>654</v>
      </c>
      <c r="B655" s="14">
        <v>42377.465520833335</v>
      </c>
      <c r="C655" s="14">
        <v>42377.475949074076</v>
      </c>
      <c r="D655" t="s">
        <v>5</v>
      </c>
      <c r="G655" t="b">
        <v>0</v>
      </c>
      <c r="H655">
        <v>70804</v>
      </c>
      <c r="I655" s="5">
        <v>0</v>
      </c>
      <c r="J655" s="14">
        <v>42377.478020833332</v>
      </c>
      <c r="K655">
        <v>15.35</v>
      </c>
      <c r="L655" s="5">
        <f>('[1]Pizza Sales Calculations'!$J655-'[1]Pizza Sales Calculations'!$C655)*24*60</f>
        <v>2.9833333287388086</v>
      </c>
      <c r="M655">
        <f>COUNTA('[1]Pizza Sales Calculations'!$D655:$F655)</f>
        <v>1</v>
      </c>
      <c r="N655">
        <f>IFERROR(VLOOKUP(D655,[1]Parameters!$A$3:$C$5,3,FALSE),0)</f>
        <v>2.2999999999999998</v>
      </c>
      <c r="O655">
        <f>IFERROR(VLOOKUP(E655,[1]Parameters!$A$3:$C$5,3,FALSE),0)</f>
        <v>0</v>
      </c>
      <c r="P655">
        <f>IFERROR(VLOOKUP(F655,[1]Parameters!$A$3:$C$5,3,FALSE),0)</f>
        <v>0</v>
      </c>
      <c r="Q655">
        <f t="shared" si="10"/>
        <v>2.2999999999999998</v>
      </c>
      <c r="R655" s="10">
        <f>IF('[1]Pizza Sales Calculations'!$G655=TRUE, [1]Parameters!$B$17*'[1]Pizza Sales Calculations'!$L655*2, 0)</f>
        <v>0</v>
      </c>
      <c r="S655" t="str">
        <f>IF(I655&lt;[1]Parameters!$B$21,"TRUE","FALSE")</f>
        <v>TRUE</v>
      </c>
      <c r="T655" s="5">
        <f>(I655/[1]Parameters!$B$25)*60</f>
        <v>0</v>
      </c>
      <c r="U655" s="10">
        <f>IF(AND('[1]Pizza Sales Calculations'!G655=TRUE,'[1]Pizza Sales Calculations'!S655="TRUE"),T655*[1]Parameters!$B$40*2,0)</f>
        <v>0</v>
      </c>
      <c r="V655">
        <f>INDEX([1]Parameters!$A$3:$C$5,MATCH('[1]Pizza Sales Calculations'!D655,[1]Parameters!$A$3:$A$5,0),2)</f>
        <v>14</v>
      </c>
      <c r="W655" t="e">
        <f>INDEX([1]Parameters!$A$3:$C$5,MATCH('[1]Pizza Sales Calculations'!E655,[1]Parameters!$A$3:$A$5,0),2)</f>
        <v>#N/A</v>
      </c>
      <c r="X655" t="e">
        <f>INDEX([1]Parameters!$A$3:$C$5,MATCH('[1]Pizza Sales Calculations'!F655,[1]Parameters!$A$3:$A$5,0),2)</f>
        <v>#N/A</v>
      </c>
    </row>
    <row r="656" spans="1:24" x14ac:dyDescent="0.3">
      <c r="A656">
        <v>655</v>
      </c>
      <c r="B656" s="14">
        <v>42377.537962962961</v>
      </c>
      <c r="C656" s="14">
        <v>42377.548368055555</v>
      </c>
      <c r="D656" t="s">
        <v>5</v>
      </c>
      <c r="G656" t="b">
        <v>0</v>
      </c>
      <c r="H656">
        <v>70805</v>
      </c>
      <c r="I656" s="5">
        <v>0</v>
      </c>
      <c r="J656" s="14">
        <v>42377.550428240742</v>
      </c>
      <c r="K656">
        <v>15.35</v>
      </c>
      <c r="L656" s="5">
        <f>('[1]Pizza Sales Calculations'!$J656-'[1]Pizza Sales Calculations'!$C656)*24*60</f>
        <v>2.9666666686534882</v>
      </c>
      <c r="M656">
        <f>COUNTA('[1]Pizza Sales Calculations'!$D656:$F656)</f>
        <v>1</v>
      </c>
      <c r="N656">
        <f>IFERROR(VLOOKUP(D656,[1]Parameters!$A$3:$C$5,3,FALSE),0)</f>
        <v>2.2999999999999998</v>
      </c>
      <c r="O656">
        <f>IFERROR(VLOOKUP(E656,[1]Parameters!$A$3:$C$5,3,FALSE),0)</f>
        <v>0</v>
      </c>
      <c r="P656">
        <f>IFERROR(VLOOKUP(F656,[1]Parameters!$A$3:$C$5,3,FALSE),0)</f>
        <v>0</v>
      </c>
      <c r="Q656">
        <f t="shared" si="10"/>
        <v>2.2999999999999998</v>
      </c>
      <c r="R656" s="10">
        <f>IF('[1]Pizza Sales Calculations'!$G656=TRUE, [1]Parameters!$B$17*'[1]Pizza Sales Calculations'!$L656*2, 0)</f>
        <v>0</v>
      </c>
      <c r="S656" t="str">
        <f>IF(I656&lt;[1]Parameters!$B$21,"TRUE","FALSE")</f>
        <v>TRUE</v>
      </c>
      <c r="T656" s="5">
        <f>(I656/[1]Parameters!$B$25)*60</f>
        <v>0</v>
      </c>
      <c r="U656" s="10">
        <f>IF(AND('[1]Pizza Sales Calculations'!G656=TRUE,'[1]Pizza Sales Calculations'!S656="TRUE"),T656*[1]Parameters!$B$40*2,0)</f>
        <v>0</v>
      </c>
      <c r="V656">
        <f>INDEX([1]Parameters!$A$3:$C$5,MATCH('[1]Pizza Sales Calculations'!D656,[1]Parameters!$A$3:$A$5,0),2)</f>
        <v>14</v>
      </c>
      <c r="W656" t="e">
        <f>INDEX([1]Parameters!$A$3:$C$5,MATCH('[1]Pizza Sales Calculations'!E656,[1]Parameters!$A$3:$A$5,0),2)</f>
        <v>#N/A</v>
      </c>
      <c r="X656" t="e">
        <f>INDEX([1]Parameters!$A$3:$C$5,MATCH('[1]Pizza Sales Calculations'!F656,[1]Parameters!$A$3:$A$5,0),2)</f>
        <v>#N/A</v>
      </c>
    </row>
    <row r="657" spans="1:24" x14ac:dyDescent="0.3">
      <c r="A657">
        <v>656</v>
      </c>
      <c r="B657" s="14">
        <v>42377.486250000002</v>
      </c>
      <c r="C657" s="14">
        <v>42377.496666666666</v>
      </c>
      <c r="D657" t="s">
        <v>3</v>
      </c>
      <c r="E657" t="s">
        <v>4</v>
      </c>
      <c r="G657" t="b">
        <v>0</v>
      </c>
      <c r="H657">
        <v>70805</v>
      </c>
      <c r="I657" s="5">
        <v>0</v>
      </c>
      <c r="J657" s="14">
        <v>42377.498738425929</v>
      </c>
      <c r="K657">
        <v>19.579999999999998</v>
      </c>
      <c r="L657" s="5">
        <f>('[1]Pizza Sales Calculations'!$J657-'[1]Pizza Sales Calculations'!$C657)*24*60</f>
        <v>2.9833333392161876</v>
      </c>
      <c r="M657">
        <f>COUNTA('[1]Pizza Sales Calculations'!$D657:$F657)</f>
        <v>2</v>
      </c>
      <c r="N657">
        <f>IFERROR(VLOOKUP(D657,[1]Parameters!$A$3:$C$5,3,FALSE),0)</f>
        <v>1</v>
      </c>
      <c r="O657">
        <f>IFERROR(VLOOKUP(E657,[1]Parameters!$A$3:$C$5,3,FALSE),0)</f>
        <v>1.7</v>
      </c>
      <c r="P657">
        <f>IFERROR(VLOOKUP(F657,[1]Parameters!$A$3:$C$5,3,FALSE),0)</f>
        <v>0</v>
      </c>
      <c r="Q657">
        <f t="shared" si="10"/>
        <v>2.7</v>
      </c>
      <c r="R657" s="10">
        <f>IF('[1]Pizza Sales Calculations'!$G657=TRUE, [1]Parameters!$B$17*'[1]Pizza Sales Calculations'!$L657*2, 0)</f>
        <v>0</v>
      </c>
      <c r="S657" t="str">
        <f>IF(I657&lt;[1]Parameters!$B$21,"TRUE","FALSE")</f>
        <v>TRUE</v>
      </c>
      <c r="T657" s="5">
        <f>(I657/[1]Parameters!$B$25)*60</f>
        <v>0</v>
      </c>
      <c r="U657" s="10">
        <f>IF(AND('[1]Pizza Sales Calculations'!G657=TRUE,'[1]Pizza Sales Calculations'!S657="TRUE"),T657*[1]Parameters!$B$40*2,0)</f>
        <v>0</v>
      </c>
      <c r="V657">
        <f>INDEX([1]Parameters!$A$3:$C$5,MATCH('[1]Pizza Sales Calculations'!D657,[1]Parameters!$A$3:$A$5,0),2)</f>
        <v>7</v>
      </c>
      <c r="W657">
        <f>INDEX([1]Parameters!$A$3:$C$5,MATCH('[1]Pizza Sales Calculations'!E657,[1]Parameters!$A$3:$A$5,0),2)</f>
        <v>10</v>
      </c>
      <c r="X657" t="e">
        <f>INDEX([1]Parameters!$A$3:$C$5,MATCH('[1]Pizza Sales Calculations'!F657,[1]Parameters!$A$3:$A$5,0),2)</f>
        <v>#N/A</v>
      </c>
    </row>
    <row r="658" spans="1:24" x14ac:dyDescent="0.3">
      <c r="A658">
        <v>657</v>
      </c>
      <c r="B658" s="14">
        <v>42377.441423611112</v>
      </c>
      <c r="C658" s="14">
        <v>42377.451828703706</v>
      </c>
      <c r="D658" t="s">
        <v>4</v>
      </c>
      <c r="G658" t="b">
        <v>0</v>
      </c>
      <c r="H658">
        <v>70805</v>
      </c>
      <c r="I658" s="5">
        <v>0</v>
      </c>
      <c r="J658" s="14">
        <v>42377.453900462962</v>
      </c>
      <c r="K658">
        <v>11.59</v>
      </c>
      <c r="L658" s="5">
        <f>('[1]Pizza Sales Calculations'!$J658-'[1]Pizza Sales Calculations'!$C658)*24*60</f>
        <v>2.9833333287388086</v>
      </c>
      <c r="M658">
        <f>COUNTA('[1]Pizza Sales Calculations'!$D658:$F658)</f>
        <v>1</v>
      </c>
      <c r="N658">
        <f>IFERROR(VLOOKUP(D658,[1]Parameters!$A$3:$C$5,3,FALSE),0)</f>
        <v>1.7</v>
      </c>
      <c r="O658">
        <f>IFERROR(VLOOKUP(E658,[1]Parameters!$A$3:$C$5,3,FALSE),0)</f>
        <v>0</v>
      </c>
      <c r="P658">
        <f>IFERROR(VLOOKUP(F658,[1]Parameters!$A$3:$C$5,3,FALSE),0)</f>
        <v>0</v>
      </c>
      <c r="Q658">
        <f t="shared" si="10"/>
        <v>1.7</v>
      </c>
      <c r="R658" s="10">
        <f>IF('[1]Pizza Sales Calculations'!$G658=TRUE, [1]Parameters!$B$17*'[1]Pizza Sales Calculations'!$L658*2, 0)</f>
        <v>0</v>
      </c>
      <c r="S658" t="str">
        <f>IF(I658&lt;[1]Parameters!$B$21,"TRUE","FALSE")</f>
        <v>TRUE</v>
      </c>
      <c r="T658" s="5">
        <f>(I658/[1]Parameters!$B$25)*60</f>
        <v>0</v>
      </c>
      <c r="U658" s="10">
        <f>IF(AND('[1]Pizza Sales Calculations'!G658=TRUE,'[1]Pizza Sales Calculations'!S658="TRUE"),T658*[1]Parameters!$B$40*2,0)</f>
        <v>0</v>
      </c>
      <c r="V658">
        <f>INDEX([1]Parameters!$A$3:$C$5,MATCH('[1]Pizza Sales Calculations'!D658,[1]Parameters!$A$3:$A$5,0),2)</f>
        <v>10</v>
      </c>
      <c r="W658" t="e">
        <f>INDEX([1]Parameters!$A$3:$C$5,MATCH('[1]Pizza Sales Calculations'!E658,[1]Parameters!$A$3:$A$5,0),2)</f>
        <v>#N/A</v>
      </c>
      <c r="X658" t="e">
        <f>INDEX([1]Parameters!$A$3:$C$5,MATCH('[1]Pizza Sales Calculations'!F658,[1]Parameters!$A$3:$A$5,0),2)</f>
        <v>#N/A</v>
      </c>
    </row>
    <row r="659" spans="1:24" x14ac:dyDescent="0.3">
      <c r="A659">
        <v>658</v>
      </c>
      <c r="B659" s="14">
        <v>42377.416932870372</v>
      </c>
      <c r="C659" s="14">
        <v>42377.427337962959</v>
      </c>
      <c r="D659" t="s">
        <v>3</v>
      </c>
      <c r="G659" t="b">
        <v>0</v>
      </c>
      <c r="H659">
        <v>70804</v>
      </c>
      <c r="I659" s="5">
        <v>0</v>
      </c>
      <c r="J659" s="14">
        <v>42377.429409722223</v>
      </c>
      <c r="K659">
        <v>7.99</v>
      </c>
      <c r="L659" s="5">
        <f>('[1]Pizza Sales Calculations'!$J659-'[1]Pizza Sales Calculations'!$C659)*24*60</f>
        <v>2.9833333392161876</v>
      </c>
      <c r="M659">
        <f>COUNTA('[1]Pizza Sales Calculations'!$D659:$F659)</f>
        <v>1</v>
      </c>
      <c r="N659">
        <f>IFERROR(VLOOKUP(D659,[1]Parameters!$A$3:$C$5,3,FALSE),0)</f>
        <v>1</v>
      </c>
      <c r="O659">
        <f>IFERROR(VLOOKUP(E659,[1]Parameters!$A$3:$C$5,3,FALSE),0)</f>
        <v>0</v>
      </c>
      <c r="P659">
        <f>IFERROR(VLOOKUP(F659,[1]Parameters!$A$3:$C$5,3,FALSE),0)</f>
        <v>0</v>
      </c>
      <c r="Q659">
        <f t="shared" si="10"/>
        <v>1</v>
      </c>
      <c r="R659" s="10">
        <f>IF('[1]Pizza Sales Calculations'!$G659=TRUE, [1]Parameters!$B$17*'[1]Pizza Sales Calculations'!$L659*2, 0)</f>
        <v>0</v>
      </c>
      <c r="S659" t="str">
        <f>IF(I659&lt;[1]Parameters!$B$21,"TRUE","FALSE")</f>
        <v>TRUE</v>
      </c>
      <c r="T659" s="5">
        <f>(I659/[1]Parameters!$B$25)*60</f>
        <v>0</v>
      </c>
      <c r="U659" s="10">
        <f>IF(AND('[1]Pizza Sales Calculations'!G659=TRUE,'[1]Pizza Sales Calculations'!S659="TRUE"),T659*[1]Parameters!$B$40*2,0)</f>
        <v>0</v>
      </c>
      <c r="V659">
        <f>INDEX([1]Parameters!$A$3:$C$5,MATCH('[1]Pizza Sales Calculations'!D659,[1]Parameters!$A$3:$A$5,0),2)</f>
        <v>7</v>
      </c>
      <c r="W659" t="e">
        <f>INDEX([1]Parameters!$A$3:$C$5,MATCH('[1]Pizza Sales Calculations'!E659,[1]Parameters!$A$3:$A$5,0),2)</f>
        <v>#N/A</v>
      </c>
      <c r="X659" t="e">
        <f>INDEX([1]Parameters!$A$3:$C$5,MATCH('[1]Pizza Sales Calculations'!F659,[1]Parameters!$A$3:$A$5,0),2)</f>
        <v>#N/A</v>
      </c>
    </row>
    <row r="660" spans="1:24" x14ac:dyDescent="0.3">
      <c r="A660">
        <v>659</v>
      </c>
      <c r="B660" s="14">
        <v>42377.533136574071</v>
      </c>
      <c r="C660" s="14">
        <v>42377.543564814812</v>
      </c>
      <c r="D660" t="s">
        <v>3</v>
      </c>
      <c r="E660" t="s">
        <v>4</v>
      </c>
      <c r="G660" t="b">
        <v>1</v>
      </c>
      <c r="H660">
        <v>70803</v>
      </c>
      <c r="I660" s="5">
        <v>2.4397165881351901</v>
      </c>
      <c r="J660" s="14">
        <v>42377.552025462966</v>
      </c>
      <c r="K660">
        <v>19.579999999999998</v>
      </c>
      <c r="L660" s="5">
        <f>('[1]Pizza Sales Calculations'!$J660-'[1]Pizza Sales Calculations'!$C660)*24*60</f>
        <v>12.183333341963589</v>
      </c>
      <c r="M660">
        <f>COUNTA('[1]Pizza Sales Calculations'!$D660:$F660)</f>
        <v>2</v>
      </c>
      <c r="N660">
        <f>IFERROR(VLOOKUP(D660,[1]Parameters!$A$3:$C$5,3,FALSE),0)</f>
        <v>1</v>
      </c>
      <c r="O660">
        <f>IFERROR(VLOOKUP(E660,[1]Parameters!$A$3:$C$5,3,FALSE),0)</f>
        <v>1.7</v>
      </c>
      <c r="P660">
        <f>IFERROR(VLOOKUP(F660,[1]Parameters!$A$3:$C$5,3,FALSE),0)</f>
        <v>0</v>
      </c>
      <c r="Q660">
        <f t="shared" si="10"/>
        <v>2.7</v>
      </c>
      <c r="R660" s="10">
        <f>IF('[1]Pizza Sales Calculations'!$G660=TRUE, [1]Parameters!$B$17*'[1]Pizza Sales Calculations'!$L660*2, 0)</f>
        <v>3.4519444468896836</v>
      </c>
      <c r="S660" t="str">
        <f>IF(I660&lt;[1]Parameters!$B$21,"TRUE","FALSE")</f>
        <v>TRUE</v>
      </c>
      <c r="T660" s="5">
        <f>(I660/[1]Parameters!$B$25)*60</f>
        <v>4.8794331762703802</v>
      </c>
      <c r="U660" s="10">
        <f>IF(AND('[1]Pizza Sales Calculations'!G660=TRUE,'[1]Pizza Sales Calculations'!S660="TRUE"),T660*[1]Parameters!$B$40*2,0)</f>
        <v>0.30458704253801439</v>
      </c>
      <c r="V660">
        <f>INDEX([1]Parameters!$A$3:$C$5,MATCH('[1]Pizza Sales Calculations'!D660,[1]Parameters!$A$3:$A$5,0),2)</f>
        <v>7</v>
      </c>
      <c r="W660">
        <f>INDEX([1]Parameters!$A$3:$C$5,MATCH('[1]Pizza Sales Calculations'!E660,[1]Parameters!$A$3:$A$5,0),2)</f>
        <v>10</v>
      </c>
      <c r="X660" t="e">
        <f>INDEX([1]Parameters!$A$3:$C$5,MATCH('[1]Pizza Sales Calculations'!F660,[1]Parameters!$A$3:$A$5,0),2)</f>
        <v>#N/A</v>
      </c>
    </row>
    <row r="661" spans="1:24" x14ac:dyDescent="0.3">
      <c r="A661">
        <v>660</v>
      </c>
      <c r="B661" s="14">
        <v>42377.418981481482</v>
      </c>
      <c r="C661" s="14">
        <v>42377.429398148146</v>
      </c>
      <c r="D661" t="s">
        <v>3</v>
      </c>
      <c r="E661" t="s">
        <v>4</v>
      </c>
      <c r="G661" t="b">
        <v>1</v>
      </c>
      <c r="H661">
        <v>70804</v>
      </c>
      <c r="I661" s="5">
        <v>3.1687123017615502</v>
      </c>
      <c r="J661" s="14">
        <v>42377.440393518518</v>
      </c>
      <c r="K661">
        <v>19.579999999999998</v>
      </c>
      <c r="L661" s="5">
        <f>('[1]Pizza Sales Calculations'!$J661-'[1]Pizza Sales Calculations'!$C661)*24*60</f>
        <v>15.833333336049691</v>
      </c>
      <c r="M661">
        <f>COUNTA('[1]Pizza Sales Calculations'!$D661:$F661)</f>
        <v>2</v>
      </c>
      <c r="N661">
        <f>IFERROR(VLOOKUP(D661,[1]Parameters!$A$3:$C$5,3,FALSE),0)</f>
        <v>1</v>
      </c>
      <c r="O661">
        <f>IFERROR(VLOOKUP(E661,[1]Parameters!$A$3:$C$5,3,FALSE),0)</f>
        <v>1.7</v>
      </c>
      <c r="P661">
        <f>IFERROR(VLOOKUP(F661,[1]Parameters!$A$3:$C$5,3,FALSE),0)</f>
        <v>0</v>
      </c>
      <c r="Q661">
        <f t="shared" si="10"/>
        <v>2.7</v>
      </c>
      <c r="R661" s="10">
        <f>IF('[1]Pizza Sales Calculations'!$G661=TRUE, [1]Parameters!$B$17*'[1]Pizza Sales Calculations'!$L661*2, 0)</f>
        <v>4.4861111118807457</v>
      </c>
      <c r="S661" t="str">
        <f>IF(I661&lt;[1]Parameters!$B$21,"TRUE","FALSE")</f>
        <v>TRUE</v>
      </c>
      <c r="T661" s="5">
        <f>(I661/[1]Parameters!$B$25)*60</f>
        <v>6.3374246035231003</v>
      </c>
      <c r="U661" s="10">
        <f>IF(AND('[1]Pizza Sales Calculations'!G661=TRUE,'[1]Pizza Sales Calculations'!S661="TRUE"),T661*[1]Parameters!$B$40*2,0)</f>
        <v>0.39559869918542095</v>
      </c>
      <c r="V661">
        <f>INDEX([1]Parameters!$A$3:$C$5,MATCH('[1]Pizza Sales Calculations'!D661,[1]Parameters!$A$3:$A$5,0),2)</f>
        <v>7</v>
      </c>
      <c r="W661">
        <f>INDEX([1]Parameters!$A$3:$C$5,MATCH('[1]Pizza Sales Calculations'!E661,[1]Parameters!$A$3:$A$5,0),2)</f>
        <v>10</v>
      </c>
      <c r="X661" t="e">
        <f>INDEX([1]Parameters!$A$3:$C$5,MATCH('[1]Pizza Sales Calculations'!F661,[1]Parameters!$A$3:$A$5,0),2)</f>
        <v>#N/A</v>
      </c>
    </row>
    <row r="662" spans="1:24" x14ac:dyDescent="0.3">
      <c r="A662">
        <v>661</v>
      </c>
      <c r="B662" s="14">
        <v>42377.52884259259</v>
      </c>
      <c r="C662" s="14">
        <v>42377.539236111108</v>
      </c>
      <c r="D662" t="s">
        <v>4</v>
      </c>
      <c r="G662" t="b">
        <v>0</v>
      </c>
      <c r="H662">
        <v>70803</v>
      </c>
      <c r="I662" s="5">
        <v>0</v>
      </c>
      <c r="J662" s="14">
        <v>42377.541307870371</v>
      </c>
      <c r="K662">
        <v>11.59</v>
      </c>
      <c r="L662" s="5">
        <f>('[1]Pizza Sales Calculations'!$J662-'[1]Pizza Sales Calculations'!$C662)*24*60</f>
        <v>2.9833333392161876</v>
      </c>
      <c r="M662">
        <f>COUNTA('[1]Pizza Sales Calculations'!$D662:$F662)</f>
        <v>1</v>
      </c>
      <c r="N662">
        <f>IFERROR(VLOOKUP(D662,[1]Parameters!$A$3:$C$5,3,FALSE),0)</f>
        <v>1.7</v>
      </c>
      <c r="O662">
        <f>IFERROR(VLOOKUP(E662,[1]Parameters!$A$3:$C$5,3,FALSE),0)</f>
        <v>0</v>
      </c>
      <c r="P662">
        <f>IFERROR(VLOOKUP(F662,[1]Parameters!$A$3:$C$5,3,FALSE),0)</f>
        <v>0</v>
      </c>
      <c r="Q662">
        <f t="shared" si="10"/>
        <v>1.7</v>
      </c>
      <c r="R662" s="10">
        <f>IF('[1]Pizza Sales Calculations'!$G662=TRUE, [1]Parameters!$B$17*'[1]Pizza Sales Calculations'!$L662*2, 0)</f>
        <v>0</v>
      </c>
      <c r="S662" t="str">
        <f>IF(I662&lt;[1]Parameters!$B$21,"TRUE","FALSE")</f>
        <v>TRUE</v>
      </c>
      <c r="T662" s="5">
        <f>(I662/[1]Parameters!$B$25)*60</f>
        <v>0</v>
      </c>
      <c r="U662" s="10">
        <f>IF(AND('[1]Pizza Sales Calculations'!G662=TRUE,'[1]Pizza Sales Calculations'!S662="TRUE"),T662*[1]Parameters!$B$40*2,0)</f>
        <v>0</v>
      </c>
      <c r="V662">
        <f>INDEX([1]Parameters!$A$3:$C$5,MATCH('[1]Pizza Sales Calculations'!D662,[1]Parameters!$A$3:$A$5,0),2)</f>
        <v>10</v>
      </c>
      <c r="W662" t="e">
        <f>INDEX([1]Parameters!$A$3:$C$5,MATCH('[1]Pizza Sales Calculations'!E662,[1]Parameters!$A$3:$A$5,0),2)</f>
        <v>#N/A</v>
      </c>
      <c r="X662" t="e">
        <f>INDEX([1]Parameters!$A$3:$C$5,MATCH('[1]Pizza Sales Calculations'!F662,[1]Parameters!$A$3:$A$5,0),2)</f>
        <v>#N/A</v>
      </c>
    </row>
    <row r="663" spans="1:24" x14ac:dyDescent="0.3">
      <c r="A663">
        <v>662</v>
      </c>
      <c r="B663" s="14">
        <v>42377.523587962962</v>
      </c>
      <c r="C663" s="14">
        <v>42377.534004629626</v>
      </c>
      <c r="D663" t="s">
        <v>5</v>
      </c>
      <c r="G663" t="b">
        <v>1</v>
      </c>
      <c r="H663">
        <v>70804</v>
      </c>
      <c r="I663" s="5">
        <v>2.6617874638323298</v>
      </c>
      <c r="J663" s="14">
        <v>42377.543240740742</v>
      </c>
      <c r="K663">
        <v>15.35</v>
      </c>
      <c r="L663" s="5">
        <f>('[1]Pizza Sales Calculations'!$J663-'[1]Pizza Sales Calculations'!$C663)*24*60</f>
        <v>13.300000007729977</v>
      </c>
      <c r="M663">
        <f>COUNTA('[1]Pizza Sales Calculations'!$D663:$F663)</f>
        <v>1</v>
      </c>
      <c r="N663">
        <f>IFERROR(VLOOKUP(D663,[1]Parameters!$A$3:$C$5,3,FALSE),0)</f>
        <v>2.2999999999999998</v>
      </c>
      <c r="O663">
        <f>IFERROR(VLOOKUP(E663,[1]Parameters!$A$3:$C$5,3,FALSE),0)</f>
        <v>0</v>
      </c>
      <c r="P663">
        <f>IFERROR(VLOOKUP(F663,[1]Parameters!$A$3:$C$5,3,FALSE),0)</f>
        <v>0</v>
      </c>
      <c r="Q663">
        <f t="shared" si="10"/>
        <v>2.2999999999999998</v>
      </c>
      <c r="R663" s="10">
        <f>IF('[1]Pizza Sales Calculations'!$G663=TRUE, [1]Parameters!$B$17*'[1]Pizza Sales Calculations'!$L663*2, 0)</f>
        <v>3.7683333355234936</v>
      </c>
      <c r="S663" t="str">
        <f>IF(I663&lt;[1]Parameters!$B$21,"TRUE","FALSE")</f>
        <v>TRUE</v>
      </c>
      <c r="T663" s="5">
        <f>(I663/[1]Parameters!$B$25)*60</f>
        <v>5.3235749276646596</v>
      </c>
      <c r="U663" s="10">
        <f>IF(AND('[1]Pizza Sales Calculations'!G663=TRUE,'[1]Pizza Sales Calculations'!S663="TRUE"),T663*[1]Parameters!$B$40*2,0)</f>
        <v>0.33231153791233964</v>
      </c>
      <c r="V663">
        <f>INDEX([1]Parameters!$A$3:$C$5,MATCH('[1]Pizza Sales Calculations'!D663,[1]Parameters!$A$3:$A$5,0),2)</f>
        <v>14</v>
      </c>
      <c r="W663" t="e">
        <f>INDEX([1]Parameters!$A$3:$C$5,MATCH('[1]Pizza Sales Calculations'!E663,[1]Parameters!$A$3:$A$5,0),2)</f>
        <v>#N/A</v>
      </c>
      <c r="X663" t="e">
        <f>INDEX([1]Parameters!$A$3:$C$5,MATCH('[1]Pizza Sales Calculations'!F663,[1]Parameters!$A$3:$A$5,0),2)</f>
        <v>#N/A</v>
      </c>
    </row>
    <row r="664" spans="1:24" x14ac:dyDescent="0.3">
      <c r="A664">
        <v>663</v>
      </c>
      <c r="B664" s="14">
        <v>42377.493321759262</v>
      </c>
      <c r="C664" s="14">
        <v>42377.50372685185</v>
      </c>
      <c r="D664" t="s">
        <v>5</v>
      </c>
      <c r="G664" t="b">
        <v>1</v>
      </c>
      <c r="H664">
        <v>70803</v>
      </c>
      <c r="I664" s="5">
        <v>2.0847031999460501</v>
      </c>
      <c r="J664" s="14">
        <v>42377.510960648149</v>
      </c>
      <c r="K664">
        <v>15.35</v>
      </c>
      <c r="L664" s="5">
        <f>('[1]Pizza Sales Calculations'!$J664-'[1]Pizza Sales Calculations'!$C664)*24*60</f>
        <v>10.416666670935228</v>
      </c>
      <c r="M664">
        <f>COUNTA('[1]Pizza Sales Calculations'!$D664:$F664)</f>
        <v>1</v>
      </c>
      <c r="N664">
        <f>IFERROR(VLOOKUP(D664,[1]Parameters!$A$3:$C$5,3,FALSE),0)</f>
        <v>2.2999999999999998</v>
      </c>
      <c r="O664">
        <f>IFERROR(VLOOKUP(E664,[1]Parameters!$A$3:$C$5,3,FALSE),0)</f>
        <v>0</v>
      </c>
      <c r="P664">
        <f>IFERROR(VLOOKUP(F664,[1]Parameters!$A$3:$C$5,3,FALSE),0)</f>
        <v>0</v>
      </c>
      <c r="Q664">
        <f t="shared" si="10"/>
        <v>2.2999999999999998</v>
      </c>
      <c r="R664" s="10">
        <f>IF('[1]Pizza Sales Calculations'!$G664=TRUE, [1]Parameters!$B$17*'[1]Pizza Sales Calculations'!$L664*2, 0)</f>
        <v>2.9513888900983147</v>
      </c>
      <c r="S664" t="str">
        <f>IF(I664&lt;[1]Parameters!$B$21,"TRUE","FALSE")</f>
        <v>TRUE</v>
      </c>
      <c r="T664" s="5">
        <f>(I664/[1]Parameters!$B$25)*60</f>
        <v>4.1694063998921003</v>
      </c>
      <c r="U664" s="10">
        <f>IF(AND('[1]Pizza Sales Calculations'!G664=TRUE,'[1]Pizza Sales Calculations'!S664="TRUE"),T664*[1]Parameters!$B$40*2,0)</f>
        <v>0.26026530512974361</v>
      </c>
      <c r="V664">
        <f>INDEX([1]Parameters!$A$3:$C$5,MATCH('[1]Pizza Sales Calculations'!D664,[1]Parameters!$A$3:$A$5,0),2)</f>
        <v>14</v>
      </c>
      <c r="W664" t="e">
        <f>INDEX([1]Parameters!$A$3:$C$5,MATCH('[1]Pizza Sales Calculations'!E664,[1]Parameters!$A$3:$A$5,0),2)</f>
        <v>#N/A</v>
      </c>
      <c r="X664" t="e">
        <f>INDEX([1]Parameters!$A$3:$C$5,MATCH('[1]Pizza Sales Calculations'!F664,[1]Parameters!$A$3:$A$5,0),2)</f>
        <v>#N/A</v>
      </c>
    </row>
    <row r="665" spans="1:24" x14ac:dyDescent="0.3">
      <c r="A665">
        <v>664</v>
      </c>
      <c r="B665" s="14">
        <v>42377.564641203702</v>
      </c>
      <c r="C665" s="14">
        <v>42377.575057870374</v>
      </c>
      <c r="D665" t="s">
        <v>5</v>
      </c>
      <c r="G665" t="b">
        <v>1</v>
      </c>
      <c r="H665">
        <v>70803</v>
      </c>
      <c r="I665" s="5">
        <v>4.9240935034459703</v>
      </c>
      <c r="J665" s="14">
        <v>42377.592152777775</v>
      </c>
      <c r="K665">
        <v>15.35</v>
      </c>
      <c r="L665" s="5">
        <f>('[1]Pizza Sales Calculations'!$J665-'[1]Pizza Sales Calculations'!$C665)*24*60</f>
        <v>24.616666658548638</v>
      </c>
      <c r="M665">
        <f>COUNTA('[1]Pizza Sales Calculations'!$D665:$F665)</f>
        <v>1</v>
      </c>
      <c r="N665">
        <f>IFERROR(VLOOKUP(D665,[1]Parameters!$A$3:$C$5,3,FALSE),0)</f>
        <v>2.2999999999999998</v>
      </c>
      <c r="O665">
        <f>IFERROR(VLOOKUP(E665,[1]Parameters!$A$3:$C$5,3,FALSE),0)</f>
        <v>0</v>
      </c>
      <c r="P665">
        <f>IFERROR(VLOOKUP(F665,[1]Parameters!$A$3:$C$5,3,FALSE),0)</f>
        <v>0</v>
      </c>
      <c r="Q665">
        <f t="shared" si="10"/>
        <v>2.2999999999999998</v>
      </c>
      <c r="R665" s="10">
        <f>IF('[1]Pizza Sales Calculations'!$G665=TRUE, [1]Parameters!$B$17*'[1]Pizza Sales Calculations'!$L665*2, 0)</f>
        <v>6.9747222199221142</v>
      </c>
      <c r="S665" t="str">
        <f>IF(I665&lt;[1]Parameters!$B$21,"TRUE","FALSE")</f>
        <v>FALSE</v>
      </c>
      <c r="T665" s="5">
        <f>(I665/[1]Parameters!$B$25)*60</f>
        <v>9.8481870068919406</v>
      </c>
      <c r="U665" s="10">
        <f>IF(AND('[1]Pizza Sales Calculations'!G665=TRUE,'[1]Pizza Sales Calculations'!S665="TRUE"),T665*[1]Parameters!$B$40*2,0)</f>
        <v>0</v>
      </c>
      <c r="V665">
        <f>INDEX([1]Parameters!$A$3:$C$5,MATCH('[1]Pizza Sales Calculations'!D665,[1]Parameters!$A$3:$A$5,0),2)</f>
        <v>14</v>
      </c>
      <c r="W665" t="e">
        <f>INDEX([1]Parameters!$A$3:$C$5,MATCH('[1]Pizza Sales Calculations'!E665,[1]Parameters!$A$3:$A$5,0),2)</f>
        <v>#N/A</v>
      </c>
      <c r="X665" t="e">
        <f>INDEX([1]Parameters!$A$3:$C$5,MATCH('[1]Pizza Sales Calculations'!F665,[1]Parameters!$A$3:$A$5,0),2)</f>
        <v>#N/A</v>
      </c>
    </row>
    <row r="666" spans="1:24" x14ac:dyDescent="0.3">
      <c r="A666">
        <v>665</v>
      </c>
      <c r="B666" s="14">
        <v>42377.529467592591</v>
      </c>
      <c r="C666" s="14">
        <v>42377.539884259262</v>
      </c>
      <c r="D666" t="s">
        <v>3</v>
      </c>
      <c r="E666" t="s">
        <v>4</v>
      </c>
      <c r="G666" t="b">
        <v>1</v>
      </c>
      <c r="H666">
        <v>70805</v>
      </c>
      <c r="I666" s="5">
        <v>3.3488583063850799</v>
      </c>
      <c r="J666" s="14">
        <v>42377.551504629628</v>
      </c>
      <c r="K666">
        <v>19.579999999999998</v>
      </c>
      <c r="L666" s="5">
        <f>('[1]Pizza Sales Calculations'!$J666-'[1]Pizza Sales Calculations'!$C666)*24*60</f>
        <v>16.733333326410502</v>
      </c>
      <c r="M666">
        <f>COUNTA('[1]Pizza Sales Calculations'!$D666:$F666)</f>
        <v>2</v>
      </c>
      <c r="N666">
        <f>IFERROR(VLOOKUP(D666,[1]Parameters!$A$3:$C$5,3,FALSE),0)</f>
        <v>1</v>
      </c>
      <c r="O666">
        <f>IFERROR(VLOOKUP(E666,[1]Parameters!$A$3:$C$5,3,FALSE),0)</f>
        <v>1.7</v>
      </c>
      <c r="P666">
        <f>IFERROR(VLOOKUP(F666,[1]Parameters!$A$3:$C$5,3,FALSE),0)</f>
        <v>0</v>
      </c>
      <c r="Q666">
        <f t="shared" si="10"/>
        <v>2.7</v>
      </c>
      <c r="R666" s="10">
        <f>IF('[1]Pizza Sales Calculations'!$G666=TRUE, [1]Parameters!$B$17*'[1]Pizza Sales Calculations'!$L666*2, 0)</f>
        <v>4.7411111091496423</v>
      </c>
      <c r="S666" t="str">
        <f>IF(I666&lt;[1]Parameters!$B$21,"TRUE","FALSE")</f>
        <v>FALSE</v>
      </c>
      <c r="T666" s="5">
        <f>(I666/[1]Parameters!$B$25)*60</f>
        <v>6.6977166127701597</v>
      </c>
      <c r="U666" s="10">
        <f>IF(AND('[1]Pizza Sales Calculations'!G666=TRUE,'[1]Pizza Sales Calculations'!S666="TRUE"),T666*[1]Parameters!$B$40*2,0)</f>
        <v>0</v>
      </c>
      <c r="V666">
        <f>INDEX([1]Parameters!$A$3:$C$5,MATCH('[1]Pizza Sales Calculations'!D666,[1]Parameters!$A$3:$A$5,0),2)</f>
        <v>7</v>
      </c>
      <c r="W666">
        <f>INDEX([1]Parameters!$A$3:$C$5,MATCH('[1]Pizza Sales Calculations'!E666,[1]Parameters!$A$3:$A$5,0),2)</f>
        <v>10</v>
      </c>
      <c r="X666" t="e">
        <f>INDEX([1]Parameters!$A$3:$C$5,MATCH('[1]Pizza Sales Calculations'!F666,[1]Parameters!$A$3:$A$5,0),2)</f>
        <v>#N/A</v>
      </c>
    </row>
    <row r="667" spans="1:24" x14ac:dyDescent="0.3">
      <c r="A667">
        <v>666</v>
      </c>
      <c r="B667" s="14">
        <v>42377.461701388886</v>
      </c>
      <c r="C667" s="14">
        <v>42377.472118055557</v>
      </c>
      <c r="D667" t="s">
        <v>3</v>
      </c>
      <c r="G667" t="b">
        <v>1</v>
      </c>
      <c r="H667">
        <v>70804</v>
      </c>
      <c r="I667" s="5">
        <v>2.1807876955176502</v>
      </c>
      <c r="J667" s="14">
        <v>42377.479687500003</v>
      </c>
      <c r="K667">
        <v>7.99</v>
      </c>
      <c r="L667" s="5">
        <f>('[1]Pizza Sales Calculations'!$J667-'[1]Pizza Sales Calculations'!$C667)*24*60</f>
        <v>10.900000002002344</v>
      </c>
      <c r="M667">
        <f>COUNTA('[1]Pizza Sales Calculations'!$D667:$F667)</f>
        <v>1</v>
      </c>
      <c r="N667">
        <f>IFERROR(VLOOKUP(D667,[1]Parameters!$A$3:$C$5,3,FALSE),0)</f>
        <v>1</v>
      </c>
      <c r="O667">
        <f>IFERROR(VLOOKUP(E667,[1]Parameters!$A$3:$C$5,3,FALSE),0)</f>
        <v>0</v>
      </c>
      <c r="P667">
        <f>IFERROR(VLOOKUP(F667,[1]Parameters!$A$3:$C$5,3,FALSE),0)</f>
        <v>0</v>
      </c>
      <c r="Q667">
        <f t="shared" si="10"/>
        <v>1</v>
      </c>
      <c r="R667" s="10">
        <f>IF('[1]Pizza Sales Calculations'!$G667=TRUE, [1]Parameters!$B$17*'[1]Pizza Sales Calculations'!$L667*2, 0)</f>
        <v>3.088333333900664</v>
      </c>
      <c r="S667" t="str">
        <f>IF(I667&lt;[1]Parameters!$B$21,"TRUE","FALSE")</f>
        <v>TRUE</v>
      </c>
      <c r="T667" s="5">
        <f>(I667/[1]Parameters!$B$25)*60</f>
        <v>4.3615753910353003</v>
      </c>
      <c r="U667" s="10">
        <f>IF(AND('[1]Pizza Sales Calculations'!G667=TRUE,'[1]Pizza Sales Calculations'!S667="TRUE"),T667*[1]Parameters!$B$40*2,0)</f>
        <v>0.27226099859768049</v>
      </c>
      <c r="V667">
        <f>INDEX([1]Parameters!$A$3:$C$5,MATCH('[1]Pizza Sales Calculations'!D667,[1]Parameters!$A$3:$A$5,0),2)</f>
        <v>7</v>
      </c>
      <c r="W667" t="e">
        <f>INDEX([1]Parameters!$A$3:$C$5,MATCH('[1]Pizza Sales Calculations'!E667,[1]Parameters!$A$3:$A$5,0),2)</f>
        <v>#N/A</v>
      </c>
      <c r="X667" t="e">
        <f>INDEX([1]Parameters!$A$3:$C$5,MATCH('[1]Pizza Sales Calculations'!F667,[1]Parameters!$A$3:$A$5,0),2)</f>
        <v>#N/A</v>
      </c>
    </row>
    <row r="668" spans="1:24" x14ac:dyDescent="0.3">
      <c r="A668">
        <v>667</v>
      </c>
      <c r="B668" s="14">
        <v>42377.471192129633</v>
      </c>
      <c r="C668" s="14">
        <v>42377.48159722222</v>
      </c>
      <c r="D668" t="s">
        <v>5</v>
      </c>
      <c r="G668" t="b">
        <v>1</v>
      </c>
      <c r="H668">
        <v>70805</v>
      </c>
      <c r="I668" s="5">
        <v>3.9976815906206502</v>
      </c>
      <c r="J668" s="14">
        <v>42377.495474537034</v>
      </c>
      <c r="K668">
        <v>15.35</v>
      </c>
      <c r="L668" s="5">
        <f>('[1]Pizza Sales Calculations'!$J668-'[1]Pizza Sales Calculations'!$C668)*24*60</f>
        <v>19.983333331765607</v>
      </c>
      <c r="M668">
        <f>COUNTA('[1]Pizza Sales Calculations'!$D668:$F668)</f>
        <v>1</v>
      </c>
      <c r="N668">
        <f>IFERROR(VLOOKUP(D668,[1]Parameters!$A$3:$C$5,3,FALSE),0)</f>
        <v>2.2999999999999998</v>
      </c>
      <c r="O668">
        <f>IFERROR(VLOOKUP(E668,[1]Parameters!$A$3:$C$5,3,FALSE),0)</f>
        <v>0</v>
      </c>
      <c r="P668">
        <f>IFERROR(VLOOKUP(F668,[1]Parameters!$A$3:$C$5,3,FALSE),0)</f>
        <v>0</v>
      </c>
      <c r="Q668">
        <f t="shared" si="10"/>
        <v>2.2999999999999998</v>
      </c>
      <c r="R668" s="10">
        <f>IF('[1]Pizza Sales Calculations'!$G668=TRUE, [1]Parameters!$B$17*'[1]Pizza Sales Calculations'!$L668*2, 0)</f>
        <v>5.6619444440002553</v>
      </c>
      <c r="S668" t="str">
        <f>IF(I668&lt;[1]Parameters!$B$21,"TRUE","FALSE")</f>
        <v>FALSE</v>
      </c>
      <c r="T668" s="5">
        <f>(I668/[1]Parameters!$B$25)*60</f>
        <v>7.9953631812413013</v>
      </c>
      <c r="U668" s="10">
        <f>IF(AND('[1]Pizza Sales Calculations'!G668=TRUE,'[1]Pizza Sales Calculations'!S668="TRUE"),T668*[1]Parameters!$B$40*2,0)</f>
        <v>0</v>
      </c>
      <c r="V668">
        <f>INDEX([1]Parameters!$A$3:$C$5,MATCH('[1]Pizza Sales Calculations'!D668,[1]Parameters!$A$3:$A$5,0),2)</f>
        <v>14</v>
      </c>
      <c r="W668" t="e">
        <f>INDEX([1]Parameters!$A$3:$C$5,MATCH('[1]Pizza Sales Calculations'!E668,[1]Parameters!$A$3:$A$5,0),2)</f>
        <v>#N/A</v>
      </c>
      <c r="X668" t="e">
        <f>INDEX([1]Parameters!$A$3:$C$5,MATCH('[1]Pizza Sales Calculations'!F668,[1]Parameters!$A$3:$A$5,0),2)</f>
        <v>#N/A</v>
      </c>
    </row>
    <row r="669" spans="1:24" x14ac:dyDescent="0.3">
      <c r="A669">
        <v>668</v>
      </c>
      <c r="B669" s="14">
        <v>42377.521168981482</v>
      </c>
      <c r="C669" s="14">
        <v>42377.531585648147</v>
      </c>
      <c r="D669" t="s">
        <v>3</v>
      </c>
      <c r="G669" t="b">
        <v>1</v>
      </c>
      <c r="H669">
        <v>70805</v>
      </c>
      <c r="I669" s="5">
        <v>0.64317300530696397</v>
      </c>
      <c r="J669" s="14">
        <v>42377.533807870372</v>
      </c>
      <c r="K669">
        <v>7.99</v>
      </c>
      <c r="L669" s="5">
        <f>('[1]Pizza Sales Calculations'!$J669-'[1]Pizza Sales Calculations'!$C669)*24*60</f>
        <v>3.2000000041443855</v>
      </c>
      <c r="M669">
        <f>COUNTA('[1]Pizza Sales Calculations'!$D669:$F669)</f>
        <v>1</v>
      </c>
      <c r="N669">
        <f>IFERROR(VLOOKUP(D669,[1]Parameters!$A$3:$C$5,3,FALSE),0)</f>
        <v>1</v>
      </c>
      <c r="O669">
        <f>IFERROR(VLOOKUP(E669,[1]Parameters!$A$3:$C$5,3,FALSE),0)</f>
        <v>0</v>
      </c>
      <c r="P669">
        <f>IFERROR(VLOOKUP(F669,[1]Parameters!$A$3:$C$5,3,FALSE),0)</f>
        <v>0</v>
      </c>
      <c r="Q669">
        <f t="shared" si="10"/>
        <v>1</v>
      </c>
      <c r="R669" s="10">
        <f>IF('[1]Pizza Sales Calculations'!$G669=TRUE, [1]Parameters!$B$17*'[1]Pizza Sales Calculations'!$L669*2, 0)</f>
        <v>0.90666666784090921</v>
      </c>
      <c r="S669" t="str">
        <f>IF(I669&lt;[1]Parameters!$B$21,"TRUE","FALSE")</f>
        <v>TRUE</v>
      </c>
      <c r="T669" s="5">
        <f>(I669/[1]Parameters!$B$25)*60</f>
        <v>1.2863460106139279</v>
      </c>
      <c r="U669" s="10">
        <f>IF(AND('[1]Pizza Sales Calculations'!G669=TRUE,'[1]Pizza Sales Calculations'!S669="TRUE"),T669*[1]Parameters!$B$40*2,0)</f>
        <v>8.029709863819616E-2</v>
      </c>
      <c r="V669">
        <f>INDEX([1]Parameters!$A$3:$C$5,MATCH('[1]Pizza Sales Calculations'!D669,[1]Parameters!$A$3:$A$5,0),2)</f>
        <v>7</v>
      </c>
      <c r="W669" t="e">
        <f>INDEX([1]Parameters!$A$3:$C$5,MATCH('[1]Pizza Sales Calculations'!E669,[1]Parameters!$A$3:$A$5,0),2)</f>
        <v>#N/A</v>
      </c>
      <c r="X669" t="e">
        <f>INDEX([1]Parameters!$A$3:$C$5,MATCH('[1]Pizza Sales Calculations'!F669,[1]Parameters!$A$3:$A$5,0),2)</f>
        <v>#N/A</v>
      </c>
    </row>
    <row r="670" spans="1:24" x14ac:dyDescent="0.3">
      <c r="A670">
        <v>669</v>
      </c>
      <c r="B670" s="14">
        <v>42377.525219907409</v>
      </c>
      <c r="C670" s="14">
        <v>42377.535624999997</v>
      </c>
      <c r="D670" t="s">
        <v>3</v>
      </c>
      <c r="E670" t="s">
        <v>4</v>
      </c>
      <c r="G670" t="b">
        <v>0</v>
      </c>
      <c r="H670">
        <v>70804</v>
      </c>
      <c r="I670" s="5">
        <v>0</v>
      </c>
      <c r="J670" s="14">
        <v>42377.537708333337</v>
      </c>
      <c r="K670">
        <v>19.579999999999998</v>
      </c>
      <c r="L670" s="5">
        <f>('[1]Pizza Sales Calculations'!$J670-'[1]Pizza Sales Calculations'!$C670)*24*60</f>
        <v>3.000000009778887</v>
      </c>
      <c r="M670">
        <f>COUNTA('[1]Pizza Sales Calculations'!$D670:$F670)</f>
        <v>2</v>
      </c>
      <c r="N670">
        <f>IFERROR(VLOOKUP(D670,[1]Parameters!$A$3:$C$5,3,FALSE),0)</f>
        <v>1</v>
      </c>
      <c r="O670">
        <f>IFERROR(VLOOKUP(E670,[1]Parameters!$A$3:$C$5,3,FALSE),0)</f>
        <v>1.7</v>
      </c>
      <c r="P670">
        <f>IFERROR(VLOOKUP(F670,[1]Parameters!$A$3:$C$5,3,FALSE),0)</f>
        <v>0</v>
      </c>
      <c r="Q670">
        <f t="shared" si="10"/>
        <v>2.7</v>
      </c>
      <c r="R670" s="10">
        <f>IF('[1]Pizza Sales Calculations'!$G670=TRUE, [1]Parameters!$B$17*'[1]Pizza Sales Calculations'!$L670*2, 0)</f>
        <v>0</v>
      </c>
      <c r="S670" t="str">
        <f>IF(I670&lt;[1]Parameters!$B$21,"TRUE","FALSE")</f>
        <v>TRUE</v>
      </c>
      <c r="T670" s="5">
        <f>(I670/[1]Parameters!$B$25)*60</f>
        <v>0</v>
      </c>
      <c r="U670" s="10">
        <f>IF(AND('[1]Pizza Sales Calculations'!G670=TRUE,'[1]Pizza Sales Calculations'!S670="TRUE"),T670*[1]Parameters!$B$40*2,0)</f>
        <v>0</v>
      </c>
      <c r="V670">
        <f>INDEX([1]Parameters!$A$3:$C$5,MATCH('[1]Pizza Sales Calculations'!D670,[1]Parameters!$A$3:$A$5,0),2)</f>
        <v>7</v>
      </c>
      <c r="W670">
        <f>INDEX([1]Parameters!$A$3:$C$5,MATCH('[1]Pizza Sales Calculations'!E670,[1]Parameters!$A$3:$A$5,0),2)</f>
        <v>10</v>
      </c>
      <c r="X670" t="e">
        <f>INDEX([1]Parameters!$A$3:$C$5,MATCH('[1]Pizza Sales Calculations'!F670,[1]Parameters!$A$3:$A$5,0),2)</f>
        <v>#N/A</v>
      </c>
    </row>
    <row r="671" spans="1:24" x14ac:dyDescent="0.3">
      <c r="A671">
        <v>670</v>
      </c>
      <c r="B671" s="14">
        <v>42377.523194444446</v>
      </c>
      <c r="C671" s="14">
        <v>42377.533599537041</v>
      </c>
      <c r="D671" t="s">
        <v>4</v>
      </c>
      <c r="G671" t="b">
        <v>0</v>
      </c>
      <c r="H671">
        <v>70806</v>
      </c>
      <c r="I671" s="5">
        <v>0</v>
      </c>
      <c r="J671" s="14">
        <v>42377.535671296297</v>
      </c>
      <c r="K671">
        <v>11.59</v>
      </c>
      <c r="L671" s="5">
        <f>('[1]Pizza Sales Calculations'!$J671-'[1]Pizza Sales Calculations'!$C671)*24*60</f>
        <v>2.9833333287388086</v>
      </c>
      <c r="M671">
        <f>COUNTA('[1]Pizza Sales Calculations'!$D671:$F671)</f>
        <v>1</v>
      </c>
      <c r="N671">
        <f>IFERROR(VLOOKUP(D671,[1]Parameters!$A$3:$C$5,3,FALSE),0)</f>
        <v>1.7</v>
      </c>
      <c r="O671">
        <f>IFERROR(VLOOKUP(E671,[1]Parameters!$A$3:$C$5,3,FALSE),0)</f>
        <v>0</v>
      </c>
      <c r="P671">
        <f>IFERROR(VLOOKUP(F671,[1]Parameters!$A$3:$C$5,3,FALSE),0)</f>
        <v>0</v>
      </c>
      <c r="Q671">
        <f t="shared" si="10"/>
        <v>1.7</v>
      </c>
      <c r="R671" s="10">
        <f>IF('[1]Pizza Sales Calculations'!$G671=TRUE, [1]Parameters!$B$17*'[1]Pizza Sales Calculations'!$L671*2, 0)</f>
        <v>0</v>
      </c>
      <c r="S671" t="str">
        <f>IF(I671&lt;[1]Parameters!$B$21,"TRUE","FALSE")</f>
        <v>TRUE</v>
      </c>
      <c r="T671" s="5">
        <f>(I671/[1]Parameters!$B$25)*60</f>
        <v>0</v>
      </c>
      <c r="U671" s="10">
        <f>IF(AND('[1]Pizza Sales Calculations'!G671=TRUE,'[1]Pizza Sales Calculations'!S671="TRUE"),T671*[1]Parameters!$B$40*2,0)</f>
        <v>0</v>
      </c>
      <c r="V671">
        <f>INDEX([1]Parameters!$A$3:$C$5,MATCH('[1]Pizza Sales Calculations'!D671,[1]Parameters!$A$3:$A$5,0),2)</f>
        <v>10</v>
      </c>
      <c r="W671" t="e">
        <f>INDEX([1]Parameters!$A$3:$C$5,MATCH('[1]Pizza Sales Calculations'!E671,[1]Parameters!$A$3:$A$5,0),2)</f>
        <v>#N/A</v>
      </c>
      <c r="X671" t="e">
        <f>INDEX([1]Parameters!$A$3:$C$5,MATCH('[1]Pizza Sales Calculations'!F671,[1]Parameters!$A$3:$A$5,0),2)</f>
        <v>#N/A</v>
      </c>
    </row>
    <row r="672" spans="1:24" x14ac:dyDescent="0.3">
      <c r="A672">
        <v>671</v>
      </c>
      <c r="B672" s="14">
        <v>42377.497835648152</v>
      </c>
      <c r="C672" s="14">
        <v>42377.508252314816</v>
      </c>
      <c r="D672" t="s">
        <v>4</v>
      </c>
      <c r="G672" t="b">
        <v>1</v>
      </c>
      <c r="H672">
        <v>70803</v>
      </c>
      <c r="I672" s="5">
        <v>2.92094942822464</v>
      </c>
      <c r="J672" s="14">
        <v>42377.518391203703</v>
      </c>
      <c r="K672">
        <v>11.59</v>
      </c>
      <c r="L672" s="5">
        <f>('[1]Pizza Sales Calculations'!$J672-'[1]Pizza Sales Calculations'!$C672)*24*60</f>
        <v>14.599999997299165</v>
      </c>
      <c r="M672">
        <f>COUNTA('[1]Pizza Sales Calculations'!$D672:$F672)</f>
        <v>1</v>
      </c>
      <c r="N672">
        <f>IFERROR(VLOOKUP(D672,[1]Parameters!$A$3:$C$5,3,FALSE),0)</f>
        <v>1.7</v>
      </c>
      <c r="O672">
        <f>IFERROR(VLOOKUP(E672,[1]Parameters!$A$3:$C$5,3,FALSE),0)</f>
        <v>0</v>
      </c>
      <c r="P672">
        <f>IFERROR(VLOOKUP(F672,[1]Parameters!$A$3:$C$5,3,FALSE),0)</f>
        <v>0</v>
      </c>
      <c r="Q672">
        <f t="shared" si="10"/>
        <v>1.7</v>
      </c>
      <c r="R672" s="10">
        <f>IF('[1]Pizza Sales Calculations'!$G672=TRUE, [1]Parameters!$B$17*'[1]Pizza Sales Calculations'!$L672*2, 0)</f>
        <v>4.13666666590143</v>
      </c>
      <c r="S672" t="str">
        <f>IF(I672&lt;[1]Parameters!$B$21,"TRUE","FALSE")</f>
        <v>TRUE</v>
      </c>
      <c r="T672" s="5">
        <f>(I672/[1]Parameters!$B$25)*60</f>
        <v>5.84189885644928</v>
      </c>
      <c r="U672" s="10">
        <f>IF(AND('[1]Pizza Sales Calculations'!G672=TRUE,'[1]Pizza Sales Calculations'!S672="TRUE"),T672*[1]Parameters!$B$40*2,0)</f>
        <v>0.36466667975811123</v>
      </c>
      <c r="V672">
        <f>INDEX([1]Parameters!$A$3:$C$5,MATCH('[1]Pizza Sales Calculations'!D672,[1]Parameters!$A$3:$A$5,0),2)</f>
        <v>10</v>
      </c>
      <c r="W672" t="e">
        <f>INDEX([1]Parameters!$A$3:$C$5,MATCH('[1]Pizza Sales Calculations'!E672,[1]Parameters!$A$3:$A$5,0),2)</f>
        <v>#N/A</v>
      </c>
      <c r="X672" t="e">
        <f>INDEX([1]Parameters!$A$3:$C$5,MATCH('[1]Pizza Sales Calculations'!F672,[1]Parameters!$A$3:$A$5,0),2)</f>
        <v>#N/A</v>
      </c>
    </row>
    <row r="673" spans="1:24" x14ac:dyDescent="0.3">
      <c r="A673">
        <v>672</v>
      </c>
      <c r="B673" s="14">
        <v>42377.478055555555</v>
      </c>
      <c r="C673" s="14">
        <v>42377.48846064815</v>
      </c>
      <c r="D673" t="s">
        <v>4</v>
      </c>
      <c r="G673" t="b">
        <v>0</v>
      </c>
      <c r="H673">
        <v>70805</v>
      </c>
      <c r="I673" s="5">
        <v>0</v>
      </c>
      <c r="J673" s="14">
        <v>42377.490532407406</v>
      </c>
      <c r="K673">
        <v>11.59</v>
      </c>
      <c r="L673" s="5">
        <f>('[1]Pizza Sales Calculations'!$J673-'[1]Pizza Sales Calculations'!$C673)*24*60</f>
        <v>2.9833333287388086</v>
      </c>
      <c r="M673">
        <f>COUNTA('[1]Pizza Sales Calculations'!$D673:$F673)</f>
        <v>1</v>
      </c>
      <c r="N673">
        <f>IFERROR(VLOOKUP(D673,[1]Parameters!$A$3:$C$5,3,FALSE),0)</f>
        <v>1.7</v>
      </c>
      <c r="O673">
        <f>IFERROR(VLOOKUP(E673,[1]Parameters!$A$3:$C$5,3,FALSE),0)</f>
        <v>0</v>
      </c>
      <c r="P673">
        <f>IFERROR(VLOOKUP(F673,[1]Parameters!$A$3:$C$5,3,FALSE),0)</f>
        <v>0</v>
      </c>
      <c r="Q673">
        <f t="shared" si="10"/>
        <v>1.7</v>
      </c>
      <c r="R673" s="10">
        <f>IF('[1]Pizza Sales Calculations'!$G673=TRUE, [1]Parameters!$B$17*'[1]Pizza Sales Calculations'!$L673*2, 0)</f>
        <v>0</v>
      </c>
      <c r="S673" t="str">
        <f>IF(I673&lt;[1]Parameters!$B$21,"TRUE","FALSE")</f>
        <v>TRUE</v>
      </c>
      <c r="T673" s="5">
        <f>(I673/[1]Parameters!$B$25)*60</f>
        <v>0</v>
      </c>
      <c r="U673" s="10">
        <f>IF(AND('[1]Pizza Sales Calculations'!G673=TRUE,'[1]Pizza Sales Calculations'!S673="TRUE"),T673*[1]Parameters!$B$40*2,0)</f>
        <v>0</v>
      </c>
      <c r="V673">
        <f>INDEX([1]Parameters!$A$3:$C$5,MATCH('[1]Pizza Sales Calculations'!D673,[1]Parameters!$A$3:$A$5,0),2)</f>
        <v>10</v>
      </c>
      <c r="W673" t="e">
        <f>INDEX([1]Parameters!$A$3:$C$5,MATCH('[1]Pizza Sales Calculations'!E673,[1]Parameters!$A$3:$A$5,0),2)</f>
        <v>#N/A</v>
      </c>
      <c r="X673" t="e">
        <f>INDEX([1]Parameters!$A$3:$C$5,MATCH('[1]Pizza Sales Calculations'!F673,[1]Parameters!$A$3:$A$5,0),2)</f>
        <v>#N/A</v>
      </c>
    </row>
    <row r="674" spans="1:24" x14ac:dyDescent="0.3">
      <c r="A674">
        <v>673</v>
      </c>
      <c r="B674" s="14">
        <v>42377.464120370372</v>
      </c>
      <c r="C674" s="14">
        <v>42377.474537037036</v>
      </c>
      <c r="D674" t="s">
        <v>3</v>
      </c>
      <c r="G674" t="b">
        <v>1</v>
      </c>
      <c r="H674">
        <v>70805</v>
      </c>
      <c r="I674" s="5">
        <v>2.90293801040217</v>
      </c>
      <c r="J674" s="14">
        <v>42377.484606481485</v>
      </c>
      <c r="K674">
        <v>7.99</v>
      </c>
      <c r="L674" s="5">
        <f>('[1]Pizza Sales Calculations'!$J674-'[1]Pizza Sales Calculations'!$C674)*24*60</f>
        <v>14.500000005355105</v>
      </c>
      <c r="M674">
        <f>COUNTA('[1]Pizza Sales Calculations'!$D674:$F674)</f>
        <v>1</v>
      </c>
      <c r="N674">
        <f>IFERROR(VLOOKUP(D674,[1]Parameters!$A$3:$C$5,3,FALSE),0)</f>
        <v>1</v>
      </c>
      <c r="O674">
        <f>IFERROR(VLOOKUP(E674,[1]Parameters!$A$3:$C$5,3,FALSE),0)</f>
        <v>0</v>
      </c>
      <c r="P674">
        <f>IFERROR(VLOOKUP(F674,[1]Parameters!$A$3:$C$5,3,FALSE),0)</f>
        <v>0</v>
      </c>
      <c r="Q674">
        <f t="shared" si="10"/>
        <v>1</v>
      </c>
      <c r="R674" s="10">
        <f>IF('[1]Pizza Sales Calculations'!$G674=TRUE, [1]Parameters!$B$17*'[1]Pizza Sales Calculations'!$L674*2, 0)</f>
        <v>4.108333334850613</v>
      </c>
      <c r="S674" t="str">
        <f>IF(I674&lt;[1]Parameters!$B$21,"TRUE","FALSE")</f>
        <v>TRUE</v>
      </c>
      <c r="T674" s="5">
        <f>(I674/[1]Parameters!$B$25)*60</f>
        <v>5.8058760208043401</v>
      </c>
      <c r="U674" s="10">
        <f>IF(AND('[1]Pizza Sales Calculations'!G674=TRUE,'[1]Pizza Sales Calculations'!S674="TRUE"),T674*[1]Parameters!$B$40*2,0)</f>
        <v>0.36241803968526742</v>
      </c>
      <c r="V674">
        <f>INDEX([1]Parameters!$A$3:$C$5,MATCH('[1]Pizza Sales Calculations'!D674,[1]Parameters!$A$3:$A$5,0),2)</f>
        <v>7</v>
      </c>
      <c r="W674" t="e">
        <f>INDEX([1]Parameters!$A$3:$C$5,MATCH('[1]Pizza Sales Calculations'!E674,[1]Parameters!$A$3:$A$5,0),2)</f>
        <v>#N/A</v>
      </c>
      <c r="X674" t="e">
        <f>INDEX([1]Parameters!$A$3:$C$5,MATCH('[1]Pizza Sales Calculations'!F674,[1]Parameters!$A$3:$A$5,0),2)</f>
        <v>#N/A</v>
      </c>
    </row>
    <row r="675" spans="1:24" x14ac:dyDescent="0.3">
      <c r="A675">
        <v>674</v>
      </c>
      <c r="B675" s="14">
        <v>42377.528148148151</v>
      </c>
      <c r="C675" s="14">
        <v>42377.538541666669</v>
      </c>
      <c r="D675" t="s">
        <v>5</v>
      </c>
      <c r="G675" t="b">
        <v>0</v>
      </c>
      <c r="H675">
        <v>70804</v>
      </c>
      <c r="I675" s="5">
        <v>0</v>
      </c>
      <c r="J675" s="14">
        <v>42377.540613425925</v>
      </c>
      <c r="K675">
        <v>15.35</v>
      </c>
      <c r="L675" s="5">
        <f>('[1]Pizza Sales Calculations'!$J675-'[1]Pizza Sales Calculations'!$C675)*24*60</f>
        <v>2.9833333287388086</v>
      </c>
      <c r="M675">
        <f>COUNTA('[1]Pizza Sales Calculations'!$D675:$F675)</f>
        <v>1</v>
      </c>
      <c r="N675">
        <f>IFERROR(VLOOKUP(D675,[1]Parameters!$A$3:$C$5,3,FALSE),0)</f>
        <v>2.2999999999999998</v>
      </c>
      <c r="O675">
        <f>IFERROR(VLOOKUP(E675,[1]Parameters!$A$3:$C$5,3,FALSE),0)</f>
        <v>0</v>
      </c>
      <c r="P675">
        <f>IFERROR(VLOOKUP(F675,[1]Parameters!$A$3:$C$5,3,FALSE),0)</f>
        <v>0</v>
      </c>
      <c r="Q675">
        <f t="shared" si="10"/>
        <v>2.2999999999999998</v>
      </c>
      <c r="R675" s="10">
        <f>IF('[1]Pizza Sales Calculations'!$G675=TRUE, [1]Parameters!$B$17*'[1]Pizza Sales Calculations'!$L675*2, 0)</f>
        <v>0</v>
      </c>
      <c r="S675" t="str">
        <f>IF(I675&lt;[1]Parameters!$B$21,"TRUE","FALSE")</f>
        <v>TRUE</v>
      </c>
      <c r="T675" s="5">
        <f>(I675/[1]Parameters!$B$25)*60</f>
        <v>0</v>
      </c>
      <c r="U675" s="10">
        <f>IF(AND('[1]Pizza Sales Calculations'!G675=TRUE,'[1]Pizza Sales Calculations'!S675="TRUE"),T675*[1]Parameters!$B$40*2,0)</f>
        <v>0</v>
      </c>
      <c r="V675">
        <f>INDEX([1]Parameters!$A$3:$C$5,MATCH('[1]Pizza Sales Calculations'!D675,[1]Parameters!$A$3:$A$5,0),2)</f>
        <v>14</v>
      </c>
      <c r="W675" t="e">
        <f>INDEX([1]Parameters!$A$3:$C$5,MATCH('[1]Pizza Sales Calculations'!E675,[1]Parameters!$A$3:$A$5,0),2)</f>
        <v>#N/A</v>
      </c>
      <c r="X675" t="e">
        <f>INDEX([1]Parameters!$A$3:$C$5,MATCH('[1]Pizza Sales Calculations'!F675,[1]Parameters!$A$3:$A$5,0),2)</f>
        <v>#N/A</v>
      </c>
    </row>
    <row r="676" spans="1:24" x14ac:dyDescent="0.3">
      <c r="A676">
        <v>675</v>
      </c>
      <c r="B676" s="14">
        <v>42377.485972222225</v>
      </c>
      <c r="C676" s="14">
        <v>42377.496377314812</v>
      </c>
      <c r="D676" t="s">
        <v>5</v>
      </c>
      <c r="G676" t="b">
        <v>1</v>
      </c>
      <c r="H676">
        <v>70804</v>
      </c>
      <c r="I676" s="5">
        <v>2.8320747293322701</v>
      </c>
      <c r="J676" s="14">
        <v>42377.506203703706</v>
      </c>
      <c r="K676">
        <v>15.35</v>
      </c>
      <c r="L676" s="5">
        <f>('[1]Pizza Sales Calculations'!$J676-'[1]Pizza Sales Calculations'!$C676)*24*60</f>
        <v>14.150000007357448</v>
      </c>
      <c r="M676">
        <f>COUNTA('[1]Pizza Sales Calculations'!$D676:$F676)</f>
        <v>1</v>
      </c>
      <c r="N676">
        <f>IFERROR(VLOOKUP(D676,[1]Parameters!$A$3:$C$5,3,FALSE),0)</f>
        <v>2.2999999999999998</v>
      </c>
      <c r="O676">
        <f>IFERROR(VLOOKUP(E676,[1]Parameters!$A$3:$C$5,3,FALSE),0)</f>
        <v>0</v>
      </c>
      <c r="P676">
        <f>IFERROR(VLOOKUP(F676,[1]Parameters!$A$3:$C$5,3,FALSE),0)</f>
        <v>0</v>
      </c>
      <c r="Q676">
        <f t="shared" si="10"/>
        <v>2.2999999999999998</v>
      </c>
      <c r="R676" s="10">
        <f>IF('[1]Pizza Sales Calculations'!$G676=TRUE, [1]Parameters!$B$17*'[1]Pizza Sales Calculations'!$L676*2, 0)</f>
        <v>4.009166668751277</v>
      </c>
      <c r="S676" t="str">
        <f>IF(I676&lt;[1]Parameters!$B$21,"TRUE","FALSE")</f>
        <v>TRUE</v>
      </c>
      <c r="T676" s="5">
        <f>(I676/[1]Parameters!$B$25)*60</f>
        <v>5.6641494586645402</v>
      </c>
      <c r="U676" s="10">
        <f>IF(AND('[1]Pizza Sales Calculations'!G676=TRUE,'[1]Pizza Sales Calculations'!S676="TRUE"),T676*[1]Parameters!$B$40*2,0)</f>
        <v>0.35357109520385177</v>
      </c>
      <c r="V676">
        <f>INDEX([1]Parameters!$A$3:$C$5,MATCH('[1]Pizza Sales Calculations'!D676,[1]Parameters!$A$3:$A$5,0),2)</f>
        <v>14</v>
      </c>
      <c r="W676" t="e">
        <f>INDEX([1]Parameters!$A$3:$C$5,MATCH('[1]Pizza Sales Calculations'!E676,[1]Parameters!$A$3:$A$5,0),2)</f>
        <v>#N/A</v>
      </c>
      <c r="X676" t="e">
        <f>INDEX([1]Parameters!$A$3:$C$5,MATCH('[1]Pizza Sales Calculations'!F676,[1]Parameters!$A$3:$A$5,0),2)</f>
        <v>#N/A</v>
      </c>
    </row>
    <row r="677" spans="1:24" x14ac:dyDescent="0.3">
      <c r="A677">
        <v>676</v>
      </c>
      <c r="B677" s="14">
        <v>42377.474444444444</v>
      </c>
      <c r="C677" s="14">
        <v>42377.484861111108</v>
      </c>
      <c r="D677" t="s">
        <v>3</v>
      </c>
      <c r="E677" t="s">
        <v>4</v>
      </c>
      <c r="G677" t="b">
        <v>0</v>
      </c>
      <c r="H677">
        <v>70806</v>
      </c>
      <c r="I677" s="5">
        <v>0</v>
      </c>
      <c r="J677" s="14">
        <v>42377.486944444441</v>
      </c>
      <c r="K677">
        <v>19.579999999999998</v>
      </c>
      <c r="L677" s="5">
        <f>('[1]Pizza Sales Calculations'!$J677-'[1]Pizza Sales Calculations'!$C677)*24*60</f>
        <v>2.9999999993015081</v>
      </c>
      <c r="M677">
        <f>COUNTA('[1]Pizza Sales Calculations'!$D677:$F677)</f>
        <v>2</v>
      </c>
      <c r="N677">
        <f>IFERROR(VLOOKUP(D677,[1]Parameters!$A$3:$C$5,3,FALSE),0)</f>
        <v>1</v>
      </c>
      <c r="O677">
        <f>IFERROR(VLOOKUP(E677,[1]Parameters!$A$3:$C$5,3,FALSE),0)</f>
        <v>1.7</v>
      </c>
      <c r="P677">
        <f>IFERROR(VLOOKUP(F677,[1]Parameters!$A$3:$C$5,3,FALSE),0)</f>
        <v>0</v>
      </c>
      <c r="Q677">
        <f t="shared" si="10"/>
        <v>2.7</v>
      </c>
      <c r="R677" s="10">
        <f>IF('[1]Pizza Sales Calculations'!$G677=TRUE, [1]Parameters!$B$17*'[1]Pizza Sales Calculations'!$L677*2, 0)</f>
        <v>0</v>
      </c>
      <c r="S677" t="str">
        <f>IF(I677&lt;[1]Parameters!$B$21,"TRUE","FALSE")</f>
        <v>TRUE</v>
      </c>
      <c r="T677" s="5">
        <f>(I677/[1]Parameters!$B$25)*60</f>
        <v>0</v>
      </c>
      <c r="U677" s="10">
        <f>IF(AND('[1]Pizza Sales Calculations'!G677=TRUE,'[1]Pizza Sales Calculations'!S677="TRUE"),T677*[1]Parameters!$B$40*2,0)</f>
        <v>0</v>
      </c>
      <c r="V677">
        <f>INDEX([1]Parameters!$A$3:$C$5,MATCH('[1]Pizza Sales Calculations'!D677,[1]Parameters!$A$3:$A$5,0),2)</f>
        <v>7</v>
      </c>
      <c r="W677">
        <f>INDEX([1]Parameters!$A$3:$C$5,MATCH('[1]Pizza Sales Calculations'!E677,[1]Parameters!$A$3:$A$5,0),2)</f>
        <v>10</v>
      </c>
      <c r="X677" t="e">
        <f>INDEX([1]Parameters!$A$3:$C$5,MATCH('[1]Pizza Sales Calculations'!F677,[1]Parameters!$A$3:$A$5,0),2)</f>
        <v>#N/A</v>
      </c>
    </row>
    <row r="678" spans="1:24" x14ac:dyDescent="0.3">
      <c r="A678">
        <v>677</v>
      </c>
      <c r="B678" s="14">
        <v>42377.470277777778</v>
      </c>
      <c r="C678" s="14">
        <v>42377.480682870373</v>
      </c>
      <c r="D678" t="s">
        <v>3</v>
      </c>
      <c r="G678" t="b">
        <v>1</v>
      </c>
      <c r="H678">
        <v>70806</v>
      </c>
      <c r="I678" s="5">
        <v>3.7400497149450298</v>
      </c>
      <c r="J678" s="14">
        <v>42377.493668981479</v>
      </c>
      <c r="K678">
        <v>7.99</v>
      </c>
      <c r="L678" s="5">
        <f>('[1]Pizza Sales Calculations'!$J678-'[1]Pizza Sales Calculations'!$C678)*24*60</f>
        <v>18.699999991804361</v>
      </c>
      <c r="M678">
        <f>COUNTA('[1]Pizza Sales Calculations'!$D678:$F678)</f>
        <v>1</v>
      </c>
      <c r="N678">
        <f>IFERROR(VLOOKUP(D678,[1]Parameters!$A$3:$C$5,3,FALSE),0)</f>
        <v>1</v>
      </c>
      <c r="O678">
        <f>IFERROR(VLOOKUP(E678,[1]Parameters!$A$3:$C$5,3,FALSE),0)</f>
        <v>0</v>
      </c>
      <c r="P678">
        <f>IFERROR(VLOOKUP(F678,[1]Parameters!$A$3:$C$5,3,FALSE),0)</f>
        <v>0</v>
      </c>
      <c r="Q678">
        <f t="shared" si="10"/>
        <v>1</v>
      </c>
      <c r="R678" s="10">
        <f>IF('[1]Pizza Sales Calculations'!$G678=TRUE, [1]Parameters!$B$17*'[1]Pizza Sales Calculations'!$L678*2, 0)</f>
        <v>5.2983333310112357</v>
      </c>
      <c r="S678" t="str">
        <f>IF(I678&lt;[1]Parameters!$B$21,"TRUE","FALSE")</f>
        <v>FALSE</v>
      </c>
      <c r="T678" s="5">
        <f>(I678/[1]Parameters!$B$25)*60</f>
        <v>7.4800994298900596</v>
      </c>
      <c r="U678" s="10">
        <f>IF(AND('[1]Pizza Sales Calculations'!G678=TRUE,'[1]Pizza Sales Calculations'!S678="TRUE"),T678*[1]Parameters!$B$40*2,0)</f>
        <v>0</v>
      </c>
      <c r="V678">
        <f>INDEX([1]Parameters!$A$3:$C$5,MATCH('[1]Pizza Sales Calculations'!D678,[1]Parameters!$A$3:$A$5,0),2)</f>
        <v>7</v>
      </c>
      <c r="W678" t="e">
        <f>INDEX([1]Parameters!$A$3:$C$5,MATCH('[1]Pizza Sales Calculations'!E678,[1]Parameters!$A$3:$A$5,0),2)</f>
        <v>#N/A</v>
      </c>
      <c r="X678" t="e">
        <f>INDEX([1]Parameters!$A$3:$C$5,MATCH('[1]Pizza Sales Calculations'!F678,[1]Parameters!$A$3:$A$5,0),2)</f>
        <v>#N/A</v>
      </c>
    </row>
    <row r="679" spans="1:24" x14ac:dyDescent="0.3">
      <c r="A679">
        <v>678</v>
      </c>
      <c r="B679" s="14">
        <v>42377.516018518516</v>
      </c>
      <c r="C679" s="14">
        <v>42377.526423611111</v>
      </c>
      <c r="D679" t="s">
        <v>4</v>
      </c>
      <c r="G679" t="b">
        <v>0</v>
      </c>
      <c r="H679">
        <v>70803</v>
      </c>
      <c r="I679" s="5">
        <v>0</v>
      </c>
      <c r="J679" s="14">
        <v>42377.528506944444</v>
      </c>
      <c r="K679">
        <v>11.59</v>
      </c>
      <c r="L679" s="5">
        <f>('[1]Pizza Sales Calculations'!$J679-'[1]Pizza Sales Calculations'!$C679)*24*60</f>
        <v>2.9999999993015081</v>
      </c>
      <c r="M679">
        <f>COUNTA('[1]Pizza Sales Calculations'!$D679:$F679)</f>
        <v>1</v>
      </c>
      <c r="N679">
        <f>IFERROR(VLOOKUP(D679,[1]Parameters!$A$3:$C$5,3,FALSE),0)</f>
        <v>1.7</v>
      </c>
      <c r="O679">
        <f>IFERROR(VLOOKUP(E679,[1]Parameters!$A$3:$C$5,3,FALSE),0)</f>
        <v>0</v>
      </c>
      <c r="P679">
        <f>IFERROR(VLOOKUP(F679,[1]Parameters!$A$3:$C$5,3,FALSE),0)</f>
        <v>0</v>
      </c>
      <c r="Q679">
        <f t="shared" si="10"/>
        <v>1.7</v>
      </c>
      <c r="R679" s="10">
        <f>IF('[1]Pizza Sales Calculations'!$G679=TRUE, [1]Parameters!$B$17*'[1]Pizza Sales Calculations'!$L679*2, 0)</f>
        <v>0</v>
      </c>
      <c r="S679" t="str">
        <f>IF(I679&lt;[1]Parameters!$B$21,"TRUE","FALSE")</f>
        <v>TRUE</v>
      </c>
      <c r="T679" s="5">
        <f>(I679/[1]Parameters!$B$25)*60</f>
        <v>0</v>
      </c>
      <c r="U679" s="10">
        <f>IF(AND('[1]Pizza Sales Calculations'!G679=TRUE,'[1]Pizza Sales Calculations'!S679="TRUE"),T679*[1]Parameters!$B$40*2,0)</f>
        <v>0</v>
      </c>
      <c r="V679">
        <f>INDEX([1]Parameters!$A$3:$C$5,MATCH('[1]Pizza Sales Calculations'!D679,[1]Parameters!$A$3:$A$5,0),2)</f>
        <v>10</v>
      </c>
      <c r="W679" t="e">
        <f>INDEX([1]Parameters!$A$3:$C$5,MATCH('[1]Pizza Sales Calculations'!E679,[1]Parameters!$A$3:$A$5,0),2)</f>
        <v>#N/A</v>
      </c>
      <c r="X679" t="e">
        <f>INDEX([1]Parameters!$A$3:$C$5,MATCH('[1]Pizza Sales Calculations'!F679,[1]Parameters!$A$3:$A$5,0),2)</f>
        <v>#N/A</v>
      </c>
    </row>
    <row r="680" spans="1:24" x14ac:dyDescent="0.3">
      <c r="A680">
        <v>679</v>
      </c>
      <c r="B680" s="14">
        <v>42377.508217592593</v>
      </c>
      <c r="C680" s="14">
        <v>42377.518611111111</v>
      </c>
      <c r="D680" t="s">
        <v>3</v>
      </c>
      <c r="G680" t="b">
        <v>0</v>
      </c>
      <c r="H680">
        <v>70806</v>
      </c>
      <c r="I680" s="5">
        <v>0</v>
      </c>
      <c r="J680" s="14">
        <v>42377.520694444444</v>
      </c>
      <c r="K680">
        <v>7.99</v>
      </c>
      <c r="L680" s="5">
        <f>('[1]Pizza Sales Calculations'!$J680-'[1]Pizza Sales Calculations'!$C680)*24*60</f>
        <v>2.9999999993015081</v>
      </c>
      <c r="M680">
        <f>COUNTA('[1]Pizza Sales Calculations'!$D680:$F680)</f>
        <v>1</v>
      </c>
      <c r="N680">
        <f>IFERROR(VLOOKUP(D680,[1]Parameters!$A$3:$C$5,3,FALSE),0)</f>
        <v>1</v>
      </c>
      <c r="O680">
        <f>IFERROR(VLOOKUP(E680,[1]Parameters!$A$3:$C$5,3,FALSE),0)</f>
        <v>0</v>
      </c>
      <c r="P680">
        <f>IFERROR(VLOOKUP(F680,[1]Parameters!$A$3:$C$5,3,FALSE),0)</f>
        <v>0</v>
      </c>
      <c r="Q680">
        <f t="shared" si="10"/>
        <v>1</v>
      </c>
      <c r="R680" s="10">
        <f>IF('[1]Pizza Sales Calculations'!$G680=TRUE, [1]Parameters!$B$17*'[1]Pizza Sales Calculations'!$L680*2, 0)</f>
        <v>0</v>
      </c>
      <c r="S680" t="str">
        <f>IF(I680&lt;[1]Parameters!$B$21,"TRUE","FALSE")</f>
        <v>TRUE</v>
      </c>
      <c r="T680" s="5">
        <f>(I680/[1]Parameters!$B$25)*60</f>
        <v>0</v>
      </c>
      <c r="U680" s="10">
        <f>IF(AND('[1]Pizza Sales Calculations'!G680=TRUE,'[1]Pizza Sales Calculations'!S680="TRUE"),T680*[1]Parameters!$B$40*2,0)</f>
        <v>0</v>
      </c>
      <c r="V680">
        <f>INDEX([1]Parameters!$A$3:$C$5,MATCH('[1]Pizza Sales Calculations'!D680,[1]Parameters!$A$3:$A$5,0),2)</f>
        <v>7</v>
      </c>
      <c r="W680" t="e">
        <f>INDEX([1]Parameters!$A$3:$C$5,MATCH('[1]Pizza Sales Calculations'!E680,[1]Parameters!$A$3:$A$5,0),2)</f>
        <v>#N/A</v>
      </c>
      <c r="X680" t="e">
        <f>INDEX([1]Parameters!$A$3:$C$5,MATCH('[1]Pizza Sales Calculations'!F680,[1]Parameters!$A$3:$A$5,0),2)</f>
        <v>#N/A</v>
      </c>
    </row>
    <row r="681" spans="1:24" x14ac:dyDescent="0.3">
      <c r="A681">
        <v>680</v>
      </c>
      <c r="B681" s="14">
        <v>42377.578310185185</v>
      </c>
      <c r="C681" s="14">
        <v>42377.588726851849</v>
      </c>
      <c r="D681" t="s">
        <v>4</v>
      </c>
      <c r="G681" t="b">
        <v>1</v>
      </c>
      <c r="H681">
        <v>70805</v>
      </c>
      <c r="I681" s="5">
        <v>1.7328184039232899</v>
      </c>
      <c r="J681" s="14">
        <v>42377.594733796293</v>
      </c>
      <c r="K681">
        <v>11.59</v>
      </c>
      <c r="L681" s="5">
        <f>('[1]Pizza Sales Calculations'!$J681-'[1]Pizza Sales Calculations'!$C681)*24*60</f>
        <v>8.6499999999068677</v>
      </c>
      <c r="M681">
        <f>COUNTA('[1]Pizza Sales Calculations'!$D681:$F681)</f>
        <v>1</v>
      </c>
      <c r="N681">
        <f>IFERROR(VLOOKUP(D681,[1]Parameters!$A$3:$C$5,3,FALSE),0)</f>
        <v>1.7</v>
      </c>
      <c r="O681">
        <f>IFERROR(VLOOKUP(E681,[1]Parameters!$A$3:$C$5,3,FALSE),0)</f>
        <v>0</v>
      </c>
      <c r="P681">
        <f>IFERROR(VLOOKUP(F681,[1]Parameters!$A$3:$C$5,3,FALSE),0)</f>
        <v>0</v>
      </c>
      <c r="Q681">
        <f t="shared" si="10"/>
        <v>1.7</v>
      </c>
      <c r="R681" s="10">
        <f>IF('[1]Pizza Sales Calculations'!$G681=TRUE, [1]Parameters!$B$17*'[1]Pizza Sales Calculations'!$L681*2, 0)</f>
        <v>2.4508333333069459</v>
      </c>
      <c r="S681" t="str">
        <f>IF(I681&lt;[1]Parameters!$B$21,"TRUE","FALSE")</f>
        <v>TRUE</v>
      </c>
      <c r="T681" s="5">
        <f>(I681/[1]Parameters!$B$25)*60</f>
        <v>3.4656368078465798</v>
      </c>
      <c r="U681" s="10">
        <f>IF(AND('[1]Pizza Sales Calculations'!G681=TRUE,'[1]Pizza Sales Calculations'!S681="TRUE"),T681*[1]Parameters!$B$40*2,0)</f>
        <v>0.21633415761207711</v>
      </c>
      <c r="V681">
        <f>INDEX([1]Parameters!$A$3:$C$5,MATCH('[1]Pizza Sales Calculations'!D681,[1]Parameters!$A$3:$A$5,0),2)</f>
        <v>10</v>
      </c>
      <c r="W681" t="e">
        <f>INDEX([1]Parameters!$A$3:$C$5,MATCH('[1]Pizza Sales Calculations'!E681,[1]Parameters!$A$3:$A$5,0),2)</f>
        <v>#N/A</v>
      </c>
      <c r="X681" t="e">
        <f>INDEX([1]Parameters!$A$3:$C$5,MATCH('[1]Pizza Sales Calculations'!F681,[1]Parameters!$A$3:$A$5,0),2)</f>
        <v>#N/A</v>
      </c>
    </row>
    <row r="682" spans="1:24" x14ac:dyDescent="0.3">
      <c r="A682">
        <v>681</v>
      </c>
      <c r="B682" s="14">
        <v>42377.509699074071</v>
      </c>
      <c r="C682" s="14">
        <v>42377.520092592589</v>
      </c>
      <c r="D682" t="s">
        <v>5</v>
      </c>
      <c r="G682" t="b">
        <v>0</v>
      </c>
      <c r="H682">
        <v>70804</v>
      </c>
      <c r="I682" s="5">
        <v>0</v>
      </c>
      <c r="J682" s="14">
        <v>42377.522187499999</v>
      </c>
      <c r="K682">
        <v>15.35</v>
      </c>
      <c r="L682" s="5">
        <f>('[1]Pizza Sales Calculations'!$J682-'[1]Pizza Sales Calculations'!$C682)*24*60</f>
        <v>3.0166666698642075</v>
      </c>
      <c r="M682">
        <f>COUNTA('[1]Pizza Sales Calculations'!$D682:$F682)</f>
        <v>1</v>
      </c>
      <c r="N682">
        <f>IFERROR(VLOOKUP(D682,[1]Parameters!$A$3:$C$5,3,FALSE),0)</f>
        <v>2.2999999999999998</v>
      </c>
      <c r="O682">
        <f>IFERROR(VLOOKUP(E682,[1]Parameters!$A$3:$C$5,3,FALSE),0)</f>
        <v>0</v>
      </c>
      <c r="P682">
        <f>IFERROR(VLOOKUP(F682,[1]Parameters!$A$3:$C$5,3,FALSE),0)</f>
        <v>0</v>
      </c>
      <c r="Q682">
        <f t="shared" si="10"/>
        <v>2.2999999999999998</v>
      </c>
      <c r="R682" s="10">
        <f>IF('[1]Pizza Sales Calculations'!$G682=TRUE, [1]Parameters!$B$17*'[1]Pizza Sales Calculations'!$L682*2, 0)</f>
        <v>0</v>
      </c>
      <c r="S682" t="str">
        <f>IF(I682&lt;[1]Parameters!$B$21,"TRUE","FALSE")</f>
        <v>TRUE</v>
      </c>
      <c r="T682" s="5">
        <f>(I682/[1]Parameters!$B$25)*60</f>
        <v>0</v>
      </c>
      <c r="U682" s="10">
        <f>IF(AND('[1]Pizza Sales Calculations'!G682=TRUE,'[1]Pizza Sales Calculations'!S682="TRUE"),T682*[1]Parameters!$B$40*2,0)</f>
        <v>0</v>
      </c>
      <c r="V682">
        <f>INDEX([1]Parameters!$A$3:$C$5,MATCH('[1]Pizza Sales Calculations'!D682,[1]Parameters!$A$3:$A$5,0),2)</f>
        <v>14</v>
      </c>
      <c r="W682" t="e">
        <f>INDEX([1]Parameters!$A$3:$C$5,MATCH('[1]Pizza Sales Calculations'!E682,[1]Parameters!$A$3:$A$5,0),2)</f>
        <v>#N/A</v>
      </c>
      <c r="X682" t="e">
        <f>INDEX([1]Parameters!$A$3:$C$5,MATCH('[1]Pizza Sales Calculations'!F682,[1]Parameters!$A$3:$A$5,0),2)</f>
        <v>#N/A</v>
      </c>
    </row>
    <row r="683" spans="1:24" x14ac:dyDescent="0.3">
      <c r="A683">
        <v>682</v>
      </c>
      <c r="B683" s="14">
        <v>42377.490578703706</v>
      </c>
      <c r="C683" s="14">
        <v>42377.500983796293</v>
      </c>
      <c r="D683" t="s">
        <v>4</v>
      </c>
      <c r="G683" t="b">
        <v>0</v>
      </c>
      <c r="H683">
        <v>70803</v>
      </c>
      <c r="I683" s="5">
        <v>0</v>
      </c>
      <c r="J683" s="14">
        <v>42377.503067129626</v>
      </c>
      <c r="K683">
        <v>11.59</v>
      </c>
      <c r="L683" s="5">
        <f>('[1]Pizza Sales Calculations'!$J683-'[1]Pizza Sales Calculations'!$C683)*24*60</f>
        <v>2.9999999993015081</v>
      </c>
      <c r="M683">
        <f>COUNTA('[1]Pizza Sales Calculations'!$D683:$F683)</f>
        <v>1</v>
      </c>
      <c r="N683">
        <f>IFERROR(VLOOKUP(D683,[1]Parameters!$A$3:$C$5,3,FALSE),0)</f>
        <v>1.7</v>
      </c>
      <c r="O683">
        <f>IFERROR(VLOOKUP(E683,[1]Parameters!$A$3:$C$5,3,FALSE),0)</f>
        <v>0</v>
      </c>
      <c r="P683">
        <f>IFERROR(VLOOKUP(F683,[1]Parameters!$A$3:$C$5,3,FALSE),0)</f>
        <v>0</v>
      </c>
      <c r="Q683">
        <f t="shared" si="10"/>
        <v>1.7</v>
      </c>
      <c r="R683" s="10">
        <f>IF('[1]Pizza Sales Calculations'!$G683=TRUE, [1]Parameters!$B$17*'[1]Pizza Sales Calculations'!$L683*2, 0)</f>
        <v>0</v>
      </c>
      <c r="S683" t="str">
        <f>IF(I683&lt;[1]Parameters!$B$21,"TRUE","FALSE")</f>
        <v>TRUE</v>
      </c>
      <c r="T683" s="5">
        <f>(I683/[1]Parameters!$B$25)*60</f>
        <v>0</v>
      </c>
      <c r="U683" s="10">
        <f>IF(AND('[1]Pizza Sales Calculations'!G683=TRUE,'[1]Pizza Sales Calculations'!S683="TRUE"),T683*[1]Parameters!$B$40*2,0)</f>
        <v>0</v>
      </c>
      <c r="V683">
        <f>INDEX([1]Parameters!$A$3:$C$5,MATCH('[1]Pizza Sales Calculations'!D683,[1]Parameters!$A$3:$A$5,0),2)</f>
        <v>10</v>
      </c>
      <c r="W683" t="e">
        <f>INDEX([1]Parameters!$A$3:$C$5,MATCH('[1]Pizza Sales Calculations'!E683,[1]Parameters!$A$3:$A$5,0),2)</f>
        <v>#N/A</v>
      </c>
      <c r="X683" t="e">
        <f>INDEX([1]Parameters!$A$3:$C$5,MATCH('[1]Pizza Sales Calculations'!F683,[1]Parameters!$A$3:$A$5,0),2)</f>
        <v>#N/A</v>
      </c>
    </row>
    <row r="684" spans="1:24" x14ac:dyDescent="0.3">
      <c r="A684">
        <v>683</v>
      </c>
      <c r="B684" s="14">
        <v>42377.51489583333</v>
      </c>
      <c r="C684" s="14">
        <v>42377.525312500002</v>
      </c>
      <c r="D684" t="s">
        <v>5</v>
      </c>
      <c r="G684" t="b">
        <v>1</v>
      </c>
      <c r="H684">
        <v>70804</v>
      </c>
      <c r="I684" s="5">
        <v>0.99663925964378997</v>
      </c>
      <c r="J684" s="14">
        <v>42377.528761574074</v>
      </c>
      <c r="K684">
        <v>15.35</v>
      </c>
      <c r="L684" s="5">
        <f>('[1]Pizza Sales Calculations'!$J684-'[1]Pizza Sales Calculations'!$C684)*24*60</f>
        <v>4.9666666646953672</v>
      </c>
      <c r="M684">
        <f>COUNTA('[1]Pizza Sales Calculations'!$D684:$F684)</f>
        <v>1</v>
      </c>
      <c r="N684">
        <f>IFERROR(VLOOKUP(D684,[1]Parameters!$A$3:$C$5,3,FALSE),0)</f>
        <v>2.2999999999999998</v>
      </c>
      <c r="O684">
        <f>IFERROR(VLOOKUP(E684,[1]Parameters!$A$3:$C$5,3,FALSE),0)</f>
        <v>0</v>
      </c>
      <c r="P684">
        <f>IFERROR(VLOOKUP(F684,[1]Parameters!$A$3:$C$5,3,FALSE),0)</f>
        <v>0</v>
      </c>
      <c r="Q684">
        <f t="shared" si="10"/>
        <v>2.2999999999999998</v>
      </c>
      <c r="R684" s="10">
        <f>IF('[1]Pizza Sales Calculations'!$G684=TRUE, [1]Parameters!$B$17*'[1]Pizza Sales Calculations'!$L684*2, 0)</f>
        <v>1.4072222216636874</v>
      </c>
      <c r="S684" t="str">
        <f>IF(I684&lt;[1]Parameters!$B$21,"TRUE","FALSE")</f>
        <v>TRUE</v>
      </c>
      <c r="T684" s="5">
        <f>(I684/[1]Parameters!$B$25)*60</f>
        <v>1.9932785192875797</v>
      </c>
      <c r="U684" s="10">
        <f>IF(AND('[1]Pizza Sales Calculations'!G684=TRUE,'[1]Pizza Sales Calculations'!S684="TRUE"),T684*[1]Parameters!$B$40*2,0)</f>
        <v>0.12442568372427569</v>
      </c>
      <c r="V684">
        <f>INDEX([1]Parameters!$A$3:$C$5,MATCH('[1]Pizza Sales Calculations'!D684,[1]Parameters!$A$3:$A$5,0),2)</f>
        <v>14</v>
      </c>
      <c r="W684" t="e">
        <f>INDEX([1]Parameters!$A$3:$C$5,MATCH('[1]Pizza Sales Calculations'!E684,[1]Parameters!$A$3:$A$5,0),2)</f>
        <v>#N/A</v>
      </c>
      <c r="X684" t="e">
        <f>INDEX([1]Parameters!$A$3:$C$5,MATCH('[1]Pizza Sales Calculations'!F684,[1]Parameters!$A$3:$A$5,0),2)</f>
        <v>#N/A</v>
      </c>
    </row>
    <row r="685" spans="1:24" x14ac:dyDescent="0.3">
      <c r="A685">
        <v>684</v>
      </c>
      <c r="B685" s="14">
        <v>42377.555474537039</v>
      </c>
      <c r="C685" s="14">
        <v>42377.565868055557</v>
      </c>
      <c r="D685" t="s">
        <v>3</v>
      </c>
      <c r="G685" t="b">
        <v>0</v>
      </c>
      <c r="H685">
        <v>70804</v>
      </c>
      <c r="I685" s="5">
        <v>0</v>
      </c>
      <c r="J685" s="14">
        <v>42377.567939814813</v>
      </c>
      <c r="K685">
        <v>7.99</v>
      </c>
      <c r="L685" s="5">
        <f>('[1]Pizza Sales Calculations'!$J685-'[1]Pizza Sales Calculations'!$C685)*24*60</f>
        <v>2.9833333287388086</v>
      </c>
      <c r="M685">
        <f>COUNTA('[1]Pizza Sales Calculations'!$D685:$F685)</f>
        <v>1</v>
      </c>
      <c r="N685">
        <f>IFERROR(VLOOKUP(D685,[1]Parameters!$A$3:$C$5,3,FALSE),0)</f>
        <v>1</v>
      </c>
      <c r="O685">
        <f>IFERROR(VLOOKUP(E685,[1]Parameters!$A$3:$C$5,3,FALSE),0)</f>
        <v>0</v>
      </c>
      <c r="P685">
        <f>IFERROR(VLOOKUP(F685,[1]Parameters!$A$3:$C$5,3,FALSE),0)</f>
        <v>0</v>
      </c>
      <c r="Q685">
        <f t="shared" si="10"/>
        <v>1</v>
      </c>
      <c r="R685" s="10">
        <f>IF('[1]Pizza Sales Calculations'!$G685=TRUE, [1]Parameters!$B$17*'[1]Pizza Sales Calculations'!$L685*2, 0)</f>
        <v>0</v>
      </c>
      <c r="S685" t="str">
        <f>IF(I685&lt;[1]Parameters!$B$21,"TRUE","FALSE")</f>
        <v>TRUE</v>
      </c>
      <c r="T685" s="5">
        <f>(I685/[1]Parameters!$B$25)*60</f>
        <v>0</v>
      </c>
      <c r="U685" s="10">
        <f>IF(AND('[1]Pizza Sales Calculations'!G685=TRUE,'[1]Pizza Sales Calculations'!S685="TRUE"),T685*[1]Parameters!$B$40*2,0)</f>
        <v>0</v>
      </c>
      <c r="V685">
        <f>INDEX([1]Parameters!$A$3:$C$5,MATCH('[1]Pizza Sales Calculations'!D685,[1]Parameters!$A$3:$A$5,0),2)</f>
        <v>7</v>
      </c>
      <c r="W685" t="e">
        <f>INDEX([1]Parameters!$A$3:$C$5,MATCH('[1]Pizza Sales Calculations'!E685,[1]Parameters!$A$3:$A$5,0),2)</f>
        <v>#N/A</v>
      </c>
      <c r="X685" t="e">
        <f>INDEX([1]Parameters!$A$3:$C$5,MATCH('[1]Pizza Sales Calculations'!F685,[1]Parameters!$A$3:$A$5,0),2)</f>
        <v>#N/A</v>
      </c>
    </row>
    <row r="686" spans="1:24" x14ac:dyDescent="0.3">
      <c r="A686">
        <v>685</v>
      </c>
      <c r="B686" s="14">
        <v>42377.510798611111</v>
      </c>
      <c r="C686" s="14">
        <v>42377.521215277775</v>
      </c>
      <c r="D686" t="s">
        <v>5</v>
      </c>
      <c r="G686" t="b">
        <v>1</v>
      </c>
      <c r="H686">
        <v>70804</v>
      </c>
      <c r="I686" s="5">
        <v>3.9721325825942699</v>
      </c>
      <c r="J686" s="14">
        <v>42377.535000000003</v>
      </c>
      <c r="K686">
        <v>15.35</v>
      </c>
      <c r="L686" s="5">
        <f>('[1]Pizza Sales Calculations'!$J686-'[1]Pizza Sales Calculations'!$C686)*24*60</f>
        <v>19.850000009173527</v>
      </c>
      <c r="M686">
        <f>COUNTA('[1]Pizza Sales Calculations'!$D686:$F686)</f>
        <v>1</v>
      </c>
      <c r="N686">
        <f>IFERROR(VLOOKUP(D686,[1]Parameters!$A$3:$C$5,3,FALSE),0)</f>
        <v>2.2999999999999998</v>
      </c>
      <c r="O686">
        <f>IFERROR(VLOOKUP(E686,[1]Parameters!$A$3:$C$5,3,FALSE),0)</f>
        <v>0</v>
      </c>
      <c r="P686">
        <f>IFERROR(VLOOKUP(F686,[1]Parameters!$A$3:$C$5,3,FALSE),0)</f>
        <v>0</v>
      </c>
      <c r="Q686">
        <f t="shared" si="10"/>
        <v>2.2999999999999998</v>
      </c>
      <c r="R686" s="10">
        <f>IF('[1]Pizza Sales Calculations'!$G686=TRUE, [1]Parameters!$B$17*'[1]Pizza Sales Calculations'!$L686*2, 0)</f>
        <v>5.6241666692658328</v>
      </c>
      <c r="S686" t="str">
        <f>IF(I686&lt;[1]Parameters!$B$21,"TRUE","FALSE")</f>
        <v>FALSE</v>
      </c>
      <c r="T686" s="5">
        <f>(I686/[1]Parameters!$B$25)*60</f>
        <v>7.944265165188539</v>
      </c>
      <c r="U686" s="10">
        <f>IF(AND('[1]Pizza Sales Calculations'!G686=TRUE,'[1]Pizza Sales Calculations'!S686="TRUE"),T686*[1]Parameters!$B$40*2,0)</f>
        <v>0</v>
      </c>
      <c r="V686">
        <f>INDEX([1]Parameters!$A$3:$C$5,MATCH('[1]Pizza Sales Calculations'!D686,[1]Parameters!$A$3:$A$5,0),2)</f>
        <v>14</v>
      </c>
      <c r="W686" t="e">
        <f>INDEX([1]Parameters!$A$3:$C$5,MATCH('[1]Pizza Sales Calculations'!E686,[1]Parameters!$A$3:$A$5,0),2)</f>
        <v>#N/A</v>
      </c>
      <c r="X686" t="e">
        <f>INDEX([1]Parameters!$A$3:$C$5,MATCH('[1]Pizza Sales Calculations'!F686,[1]Parameters!$A$3:$A$5,0),2)</f>
        <v>#N/A</v>
      </c>
    </row>
    <row r="687" spans="1:24" x14ac:dyDescent="0.3">
      <c r="A687">
        <v>686</v>
      </c>
      <c r="B687" s="14">
        <v>42377.487569444442</v>
      </c>
      <c r="C687" s="14">
        <v>42377.497974537036</v>
      </c>
      <c r="D687" t="s">
        <v>3</v>
      </c>
      <c r="E687" t="s">
        <v>4</v>
      </c>
      <c r="G687" t="b">
        <v>1</v>
      </c>
      <c r="H687">
        <v>70805</v>
      </c>
      <c r="I687" s="5">
        <v>0.93151085195254801</v>
      </c>
      <c r="J687" s="14">
        <v>42377.501203703701</v>
      </c>
      <c r="K687">
        <v>19.579999999999998</v>
      </c>
      <c r="L687" s="5">
        <f>('[1]Pizza Sales Calculations'!$J687-'[1]Pizza Sales Calculations'!$C687)*24*60</f>
        <v>4.6499999973457307</v>
      </c>
      <c r="M687">
        <f>COUNTA('[1]Pizza Sales Calculations'!$D687:$F687)</f>
        <v>2</v>
      </c>
      <c r="N687">
        <f>IFERROR(VLOOKUP(D687,[1]Parameters!$A$3:$C$5,3,FALSE),0)</f>
        <v>1</v>
      </c>
      <c r="O687">
        <f>IFERROR(VLOOKUP(E687,[1]Parameters!$A$3:$C$5,3,FALSE),0)</f>
        <v>1.7</v>
      </c>
      <c r="P687">
        <f>IFERROR(VLOOKUP(F687,[1]Parameters!$A$3:$C$5,3,FALSE),0)</f>
        <v>0</v>
      </c>
      <c r="Q687">
        <f t="shared" si="10"/>
        <v>2.7</v>
      </c>
      <c r="R687" s="10">
        <f>IF('[1]Pizza Sales Calculations'!$G687=TRUE, [1]Parameters!$B$17*'[1]Pizza Sales Calculations'!$L687*2, 0)</f>
        <v>1.317499999247957</v>
      </c>
      <c r="S687" t="str">
        <f>IF(I687&lt;[1]Parameters!$B$21,"TRUE","FALSE")</f>
        <v>TRUE</v>
      </c>
      <c r="T687" s="5">
        <f>(I687/[1]Parameters!$B$25)*60</f>
        <v>1.863021703905096</v>
      </c>
      <c r="U687" s="10">
        <f>IF(AND('[1]Pizza Sales Calculations'!G687=TRUE,'[1]Pizza Sales Calculations'!S687="TRUE"),T687*[1]Parameters!$B$40*2,0)</f>
        <v>0.11629471097917987</v>
      </c>
      <c r="V687">
        <f>INDEX([1]Parameters!$A$3:$C$5,MATCH('[1]Pizza Sales Calculations'!D687,[1]Parameters!$A$3:$A$5,0),2)</f>
        <v>7</v>
      </c>
      <c r="W687">
        <f>INDEX([1]Parameters!$A$3:$C$5,MATCH('[1]Pizza Sales Calculations'!E687,[1]Parameters!$A$3:$A$5,0),2)</f>
        <v>10</v>
      </c>
      <c r="X687" t="e">
        <f>INDEX([1]Parameters!$A$3:$C$5,MATCH('[1]Pizza Sales Calculations'!F687,[1]Parameters!$A$3:$A$5,0),2)</f>
        <v>#N/A</v>
      </c>
    </row>
    <row r="688" spans="1:24" x14ac:dyDescent="0.3">
      <c r="A688">
        <v>687</v>
      </c>
      <c r="B688" s="14">
        <v>42377.453796296293</v>
      </c>
      <c r="C688" s="14">
        <v>42377.464212962965</v>
      </c>
      <c r="D688" t="s">
        <v>4</v>
      </c>
      <c r="G688" t="b">
        <v>1</v>
      </c>
      <c r="H688">
        <v>70804</v>
      </c>
      <c r="I688" s="5">
        <v>4.5265690765360196</v>
      </c>
      <c r="J688" s="14">
        <v>42377.47991898148</v>
      </c>
      <c r="K688">
        <v>11.59</v>
      </c>
      <c r="L688" s="5">
        <f>('[1]Pizza Sales Calculations'!$J688-'[1]Pizza Sales Calculations'!$C688)*24*60</f>
        <v>22.616666662506759</v>
      </c>
      <c r="M688">
        <f>COUNTA('[1]Pizza Sales Calculations'!$D688:$F688)</f>
        <v>1</v>
      </c>
      <c r="N688">
        <f>IFERROR(VLOOKUP(D688,[1]Parameters!$A$3:$C$5,3,FALSE),0)</f>
        <v>1.7</v>
      </c>
      <c r="O688">
        <f>IFERROR(VLOOKUP(E688,[1]Parameters!$A$3:$C$5,3,FALSE),0)</f>
        <v>0</v>
      </c>
      <c r="P688">
        <f>IFERROR(VLOOKUP(F688,[1]Parameters!$A$3:$C$5,3,FALSE),0)</f>
        <v>0</v>
      </c>
      <c r="Q688">
        <f t="shared" si="10"/>
        <v>1.7</v>
      </c>
      <c r="R688" s="10">
        <f>IF('[1]Pizza Sales Calculations'!$G688=TRUE, [1]Parameters!$B$17*'[1]Pizza Sales Calculations'!$L688*2, 0)</f>
        <v>6.4080555543769151</v>
      </c>
      <c r="S688" t="str">
        <f>IF(I688&lt;[1]Parameters!$B$21,"TRUE","FALSE")</f>
        <v>FALSE</v>
      </c>
      <c r="T688" s="5">
        <f>(I688/[1]Parameters!$B$25)*60</f>
        <v>9.0531381530720392</v>
      </c>
      <c r="U688" s="10">
        <f>IF(AND('[1]Pizza Sales Calculations'!G688=TRUE,'[1]Pizza Sales Calculations'!S688="TRUE"),T688*[1]Parameters!$B$40*2,0)</f>
        <v>0</v>
      </c>
      <c r="V688">
        <f>INDEX([1]Parameters!$A$3:$C$5,MATCH('[1]Pizza Sales Calculations'!D688,[1]Parameters!$A$3:$A$5,0),2)</f>
        <v>10</v>
      </c>
      <c r="W688" t="e">
        <f>INDEX([1]Parameters!$A$3:$C$5,MATCH('[1]Pizza Sales Calculations'!E688,[1]Parameters!$A$3:$A$5,0),2)</f>
        <v>#N/A</v>
      </c>
      <c r="X688" t="e">
        <f>INDEX([1]Parameters!$A$3:$C$5,MATCH('[1]Pizza Sales Calculations'!F688,[1]Parameters!$A$3:$A$5,0),2)</f>
        <v>#N/A</v>
      </c>
    </row>
    <row r="689" spans="1:24" x14ac:dyDescent="0.3">
      <c r="A689">
        <v>688</v>
      </c>
      <c r="B689" s="14">
        <v>42377.45480324074</v>
      </c>
      <c r="C689" s="14">
        <v>42377.465196759258</v>
      </c>
      <c r="D689" t="s">
        <v>5</v>
      </c>
      <c r="G689" t="b">
        <v>1</v>
      </c>
      <c r="H689">
        <v>70805</v>
      </c>
      <c r="I689" s="5">
        <v>3.2021937838318202</v>
      </c>
      <c r="J689" s="14">
        <v>42377.476307870369</v>
      </c>
      <c r="K689">
        <v>15.35</v>
      </c>
      <c r="L689" s="5">
        <f>('[1]Pizza Sales Calculations'!$J689-'[1]Pizza Sales Calculations'!$C689)*24*60</f>
        <v>15.999999999767169</v>
      </c>
      <c r="M689">
        <f>COUNTA('[1]Pizza Sales Calculations'!$D689:$F689)</f>
        <v>1</v>
      </c>
      <c r="N689">
        <f>IFERROR(VLOOKUP(D689,[1]Parameters!$A$3:$C$5,3,FALSE),0)</f>
        <v>2.2999999999999998</v>
      </c>
      <c r="O689">
        <f>IFERROR(VLOOKUP(E689,[1]Parameters!$A$3:$C$5,3,FALSE),0)</f>
        <v>0</v>
      </c>
      <c r="P689">
        <f>IFERROR(VLOOKUP(F689,[1]Parameters!$A$3:$C$5,3,FALSE),0)</f>
        <v>0</v>
      </c>
      <c r="Q689">
        <f t="shared" si="10"/>
        <v>2.2999999999999998</v>
      </c>
      <c r="R689" s="10">
        <f>IF('[1]Pizza Sales Calculations'!$G689=TRUE, [1]Parameters!$B$17*'[1]Pizza Sales Calculations'!$L689*2, 0)</f>
        <v>4.5333333332673647</v>
      </c>
      <c r="S689" t="str">
        <f>IF(I689&lt;[1]Parameters!$B$21,"TRUE","FALSE")</f>
        <v>FALSE</v>
      </c>
      <c r="T689" s="5">
        <f>(I689/[1]Parameters!$B$25)*60</f>
        <v>6.4043875676636404</v>
      </c>
      <c r="U689" s="10">
        <f>IF(AND('[1]Pizza Sales Calculations'!G689=TRUE,'[1]Pizza Sales Calculations'!S689="TRUE"),T689*[1]Parameters!$B$40*2,0)</f>
        <v>0</v>
      </c>
      <c r="V689">
        <f>INDEX([1]Parameters!$A$3:$C$5,MATCH('[1]Pizza Sales Calculations'!D689,[1]Parameters!$A$3:$A$5,0),2)</f>
        <v>14</v>
      </c>
      <c r="W689" t="e">
        <f>INDEX([1]Parameters!$A$3:$C$5,MATCH('[1]Pizza Sales Calculations'!E689,[1]Parameters!$A$3:$A$5,0),2)</f>
        <v>#N/A</v>
      </c>
      <c r="X689" t="e">
        <f>INDEX([1]Parameters!$A$3:$C$5,MATCH('[1]Pizza Sales Calculations'!F689,[1]Parameters!$A$3:$A$5,0),2)</f>
        <v>#N/A</v>
      </c>
    </row>
    <row r="690" spans="1:24" x14ac:dyDescent="0.3">
      <c r="A690">
        <v>689</v>
      </c>
      <c r="B690" s="14">
        <v>42377.429247685184</v>
      </c>
      <c r="C690" s="14">
        <v>42377.439652777779</v>
      </c>
      <c r="D690" t="s">
        <v>4</v>
      </c>
      <c r="G690" t="b">
        <v>1</v>
      </c>
      <c r="H690">
        <v>70804</v>
      </c>
      <c r="I690" s="5">
        <v>3.4768872472238401</v>
      </c>
      <c r="J690" s="14">
        <v>42377.451724537037</v>
      </c>
      <c r="K690">
        <v>11.59</v>
      </c>
      <c r="L690" s="5">
        <f>('[1]Pizza Sales Calculations'!$J690-'[1]Pizza Sales Calculations'!$C690)*24*60</f>
        <v>17.383333331672475</v>
      </c>
      <c r="M690">
        <f>COUNTA('[1]Pizza Sales Calculations'!$D690:$F690)</f>
        <v>1</v>
      </c>
      <c r="N690">
        <f>IFERROR(VLOOKUP(D690,[1]Parameters!$A$3:$C$5,3,FALSE),0)</f>
        <v>1.7</v>
      </c>
      <c r="O690">
        <f>IFERROR(VLOOKUP(E690,[1]Parameters!$A$3:$C$5,3,FALSE),0)</f>
        <v>0</v>
      </c>
      <c r="P690">
        <f>IFERROR(VLOOKUP(F690,[1]Parameters!$A$3:$C$5,3,FALSE),0)</f>
        <v>0</v>
      </c>
      <c r="Q690">
        <f t="shared" si="10"/>
        <v>1.7</v>
      </c>
      <c r="R690" s="10">
        <f>IF('[1]Pizza Sales Calculations'!$G690=TRUE, [1]Parameters!$B$17*'[1]Pizza Sales Calculations'!$L690*2, 0)</f>
        <v>4.9252777773072012</v>
      </c>
      <c r="S690" t="str">
        <f>IF(I690&lt;[1]Parameters!$B$21,"TRUE","FALSE")</f>
        <v>FALSE</v>
      </c>
      <c r="T690" s="5">
        <f>(I690/[1]Parameters!$B$25)*60</f>
        <v>6.9537744944476803</v>
      </c>
      <c r="U690" s="10">
        <f>IF(AND('[1]Pizza Sales Calculations'!G690=TRUE,'[1]Pizza Sales Calculations'!S690="TRUE"),T690*[1]Parameters!$B$40*2,0)</f>
        <v>0</v>
      </c>
      <c r="V690">
        <f>INDEX([1]Parameters!$A$3:$C$5,MATCH('[1]Pizza Sales Calculations'!D690,[1]Parameters!$A$3:$A$5,0),2)</f>
        <v>10</v>
      </c>
      <c r="W690" t="e">
        <f>INDEX([1]Parameters!$A$3:$C$5,MATCH('[1]Pizza Sales Calculations'!E690,[1]Parameters!$A$3:$A$5,0),2)</f>
        <v>#N/A</v>
      </c>
      <c r="X690" t="e">
        <f>INDEX([1]Parameters!$A$3:$C$5,MATCH('[1]Pizza Sales Calculations'!F690,[1]Parameters!$A$3:$A$5,0),2)</f>
        <v>#N/A</v>
      </c>
    </row>
    <row r="691" spans="1:24" x14ac:dyDescent="0.3">
      <c r="A691">
        <v>690</v>
      </c>
      <c r="B691" s="14">
        <v>42377.482939814814</v>
      </c>
      <c r="C691" s="14">
        <v>42377.493344907409</v>
      </c>
      <c r="D691" t="s">
        <v>3</v>
      </c>
      <c r="G691" t="b">
        <v>0</v>
      </c>
      <c r="H691">
        <v>70805</v>
      </c>
      <c r="I691" s="5">
        <v>0</v>
      </c>
      <c r="J691" s="14">
        <v>42377.495416666665</v>
      </c>
      <c r="K691">
        <v>7.99</v>
      </c>
      <c r="L691" s="5">
        <f>('[1]Pizza Sales Calculations'!$J691-'[1]Pizza Sales Calculations'!$C691)*24*60</f>
        <v>2.9833333287388086</v>
      </c>
      <c r="M691">
        <f>COUNTA('[1]Pizza Sales Calculations'!$D691:$F691)</f>
        <v>1</v>
      </c>
      <c r="N691">
        <f>IFERROR(VLOOKUP(D691,[1]Parameters!$A$3:$C$5,3,FALSE),0)</f>
        <v>1</v>
      </c>
      <c r="O691">
        <f>IFERROR(VLOOKUP(E691,[1]Parameters!$A$3:$C$5,3,FALSE),0)</f>
        <v>0</v>
      </c>
      <c r="P691">
        <f>IFERROR(VLOOKUP(F691,[1]Parameters!$A$3:$C$5,3,FALSE),0)</f>
        <v>0</v>
      </c>
      <c r="Q691">
        <f t="shared" si="10"/>
        <v>1</v>
      </c>
      <c r="R691" s="10">
        <f>IF('[1]Pizza Sales Calculations'!$G691=TRUE, [1]Parameters!$B$17*'[1]Pizza Sales Calculations'!$L691*2, 0)</f>
        <v>0</v>
      </c>
      <c r="S691" t="str">
        <f>IF(I691&lt;[1]Parameters!$B$21,"TRUE","FALSE")</f>
        <v>TRUE</v>
      </c>
      <c r="T691" s="5">
        <f>(I691/[1]Parameters!$B$25)*60</f>
        <v>0</v>
      </c>
      <c r="U691" s="10">
        <f>IF(AND('[1]Pizza Sales Calculations'!G691=TRUE,'[1]Pizza Sales Calculations'!S691="TRUE"),T691*[1]Parameters!$B$40*2,0)</f>
        <v>0</v>
      </c>
      <c r="V691">
        <f>INDEX([1]Parameters!$A$3:$C$5,MATCH('[1]Pizza Sales Calculations'!D691,[1]Parameters!$A$3:$A$5,0),2)</f>
        <v>7</v>
      </c>
      <c r="W691" t="e">
        <f>INDEX([1]Parameters!$A$3:$C$5,MATCH('[1]Pizza Sales Calculations'!E691,[1]Parameters!$A$3:$A$5,0),2)</f>
        <v>#N/A</v>
      </c>
      <c r="X691" t="e">
        <f>INDEX([1]Parameters!$A$3:$C$5,MATCH('[1]Pizza Sales Calculations'!F691,[1]Parameters!$A$3:$A$5,0),2)</f>
        <v>#N/A</v>
      </c>
    </row>
    <row r="692" spans="1:24" x14ac:dyDescent="0.3">
      <c r="A692">
        <v>691</v>
      </c>
      <c r="B692" s="14">
        <v>42377.475462962961</v>
      </c>
      <c r="C692" s="14">
        <v>42377.485891203702</v>
      </c>
      <c r="D692" t="s">
        <v>5</v>
      </c>
      <c r="G692" t="b">
        <v>1</v>
      </c>
      <c r="H692">
        <v>70806</v>
      </c>
      <c r="I692" s="5">
        <v>1.8226504486347299</v>
      </c>
      <c r="J692" s="14">
        <v>42377.492210648146</v>
      </c>
      <c r="K692">
        <v>15.35</v>
      </c>
      <c r="L692" s="5">
        <f>('[1]Pizza Sales Calculations'!$J692-'[1]Pizza Sales Calculations'!$C692)*24*60</f>
        <v>9.1000000003259629</v>
      </c>
      <c r="M692">
        <f>COUNTA('[1]Pizza Sales Calculations'!$D692:$F692)</f>
        <v>1</v>
      </c>
      <c r="N692">
        <f>IFERROR(VLOOKUP(D692,[1]Parameters!$A$3:$C$5,3,FALSE),0)</f>
        <v>2.2999999999999998</v>
      </c>
      <c r="O692">
        <f>IFERROR(VLOOKUP(E692,[1]Parameters!$A$3:$C$5,3,FALSE),0)</f>
        <v>0</v>
      </c>
      <c r="P692">
        <f>IFERROR(VLOOKUP(F692,[1]Parameters!$A$3:$C$5,3,FALSE),0)</f>
        <v>0</v>
      </c>
      <c r="Q692">
        <f t="shared" si="10"/>
        <v>2.2999999999999998</v>
      </c>
      <c r="R692" s="10">
        <f>IF('[1]Pizza Sales Calculations'!$G692=TRUE, [1]Parameters!$B$17*'[1]Pizza Sales Calculations'!$L692*2, 0)</f>
        <v>2.5783333334256895</v>
      </c>
      <c r="S692" t="str">
        <f>IF(I692&lt;[1]Parameters!$B$21,"TRUE","FALSE")</f>
        <v>TRUE</v>
      </c>
      <c r="T692" s="5">
        <f>(I692/[1]Parameters!$B$25)*60</f>
        <v>3.6453008972694598</v>
      </c>
      <c r="U692" s="10">
        <f>IF(AND('[1]Pizza Sales Calculations'!G692=TRUE,'[1]Pizza Sales Calculations'!S692="TRUE"),T692*[1]Parameters!$B$40*2,0)</f>
        <v>0.22754926225040489</v>
      </c>
      <c r="V692">
        <f>INDEX([1]Parameters!$A$3:$C$5,MATCH('[1]Pizza Sales Calculations'!D692,[1]Parameters!$A$3:$A$5,0),2)</f>
        <v>14</v>
      </c>
      <c r="W692" t="e">
        <f>INDEX([1]Parameters!$A$3:$C$5,MATCH('[1]Pizza Sales Calculations'!E692,[1]Parameters!$A$3:$A$5,0),2)</f>
        <v>#N/A</v>
      </c>
      <c r="X692" t="e">
        <f>INDEX([1]Parameters!$A$3:$C$5,MATCH('[1]Pizza Sales Calculations'!F692,[1]Parameters!$A$3:$A$5,0),2)</f>
        <v>#N/A</v>
      </c>
    </row>
    <row r="693" spans="1:24" x14ac:dyDescent="0.3">
      <c r="A693">
        <v>692</v>
      </c>
      <c r="B693" s="14">
        <v>42377.504629629628</v>
      </c>
      <c r="C693" s="14">
        <v>42377.515046296299</v>
      </c>
      <c r="D693" t="s">
        <v>5</v>
      </c>
      <c r="G693" t="b">
        <v>1</v>
      </c>
      <c r="H693">
        <v>70804</v>
      </c>
      <c r="I693" s="5">
        <v>4.3292559322919804</v>
      </c>
      <c r="J693" s="14">
        <v>42377.530069444445</v>
      </c>
      <c r="K693">
        <v>15.35</v>
      </c>
      <c r="L693" s="5">
        <f>('[1]Pizza Sales Calculations'!$J693-'[1]Pizza Sales Calculations'!$C693)*24*60</f>
        <v>21.63333332980983</v>
      </c>
      <c r="M693">
        <f>COUNTA('[1]Pizza Sales Calculations'!$D693:$F693)</f>
        <v>1</v>
      </c>
      <c r="N693">
        <f>IFERROR(VLOOKUP(D693,[1]Parameters!$A$3:$C$5,3,FALSE),0)</f>
        <v>2.2999999999999998</v>
      </c>
      <c r="O693">
        <f>IFERROR(VLOOKUP(E693,[1]Parameters!$A$3:$C$5,3,FALSE),0)</f>
        <v>0</v>
      </c>
      <c r="P693">
        <f>IFERROR(VLOOKUP(F693,[1]Parameters!$A$3:$C$5,3,FALSE),0)</f>
        <v>0</v>
      </c>
      <c r="Q693">
        <f t="shared" si="10"/>
        <v>2.2999999999999998</v>
      </c>
      <c r="R693" s="10">
        <f>IF('[1]Pizza Sales Calculations'!$G693=TRUE, [1]Parameters!$B$17*'[1]Pizza Sales Calculations'!$L693*2, 0)</f>
        <v>6.1294444434461184</v>
      </c>
      <c r="S693" t="str">
        <f>IF(I693&lt;[1]Parameters!$B$21,"TRUE","FALSE")</f>
        <v>FALSE</v>
      </c>
      <c r="T693" s="5">
        <f>(I693/[1]Parameters!$B$25)*60</f>
        <v>8.6585118645839607</v>
      </c>
      <c r="U693" s="10">
        <f>IF(AND('[1]Pizza Sales Calculations'!G693=TRUE,'[1]Pizza Sales Calculations'!S693="TRUE"),T693*[1]Parameters!$B$40*2,0)</f>
        <v>0</v>
      </c>
      <c r="V693">
        <f>INDEX([1]Parameters!$A$3:$C$5,MATCH('[1]Pizza Sales Calculations'!D693,[1]Parameters!$A$3:$A$5,0),2)</f>
        <v>14</v>
      </c>
      <c r="W693" t="e">
        <f>INDEX([1]Parameters!$A$3:$C$5,MATCH('[1]Pizza Sales Calculations'!E693,[1]Parameters!$A$3:$A$5,0),2)</f>
        <v>#N/A</v>
      </c>
      <c r="X693" t="e">
        <f>INDEX([1]Parameters!$A$3:$C$5,MATCH('[1]Pizza Sales Calculations'!F693,[1]Parameters!$A$3:$A$5,0),2)</f>
        <v>#N/A</v>
      </c>
    </row>
    <row r="694" spans="1:24" x14ac:dyDescent="0.3">
      <c r="A694">
        <v>693</v>
      </c>
      <c r="B694" s="14">
        <v>42377.424085648148</v>
      </c>
      <c r="C694" s="14">
        <v>42377.434513888889</v>
      </c>
      <c r="D694" t="s">
        <v>3</v>
      </c>
      <c r="E694" t="s">
        <v>4</v>
      </c>
      <c r="G694" t="b">
        <v>1</v>
      </c>
      <c r="H694">
        <v>70805</v>
      </c>
      <c r="I694" s="5">
        <v>2.72849140783882</v>
      </c>
      <c r="J694" s="14">
        <v>42377.443981481483</v>
      </c>
      <c r="K694">
        <v>19.579999999999998</v>
      </c>
      <c r="L694" s="5">
        <f>('[1]Pizza Sales Calculations'!$J694-'[1]Pizza Sales Calculations'!$C694)*24*60</f>
        <v>13.633333335164934</v>
      </c>
      <c r="M694">
        <f>COUNTA('[1]Pizza Sales Calculations'!$D694:$F694)</f>
        <v>2</v>
      </c>
      <c r="N694">
        <f>IFERROR(VLOOKUP(D694,[1]Parameters!$A$3:$C$5,3,FALSE),0)</f>
        <v>1</v>
      </c>
      <c r="O694">
        <f>IFERROR(VLOOKUP(E694,[1]Parameters!$A$3:$C$5,3,FALSE),0)</f>
        <v>1.7</v>
      </c>
      <c r="P694">
        <f>IFERROR(VLOOKUP(F694,[1]Parameters!$A$3:$C$5,3,FALSE),0)</f>
        <v>0</v>
      </c>
      <c r="Q694">
        <f t="shared" si="10"/>
        <v>2.7</v>
      </c>
      <c r="R694" s="10">
        <f>IF('[1]Pizza Sales Calculations'!$G694=TRUE, [1]Parameters!$B$17*'[1]Pizza Sales Calculations'!$L694*2, 0)</f>
        <v>3.8627777782967314</v>
      </c>
      <c r="S694" t="str">
        <f>IF(I694&lt;[1]Parameters!$B$21,"TRUE","FALSE")</f>
        <v>TRUE</v>
      </c>
      <c r="T694" s="5">
        <f>(I694/[1]Parameters!$B$25)*60</f>
        <v>5.4569828156776401</v>
      </c>
      <c r="U694" s="10">
        <f>IF(AND('[1]Pizza Sales Calculations'!G694=TRUE,'[1]Pizza Sales Calculations'!S694="TRUE"),T694*[1]Parameters!$B$40*2,0)</f>
        <v>0.34063920889238891</v>
      </c>
      <c r="V694">
        <f>INDEX([1]Parameters!$A$3:$C$5,MATCH('[1]Pizza Sales Calculations'!D694,[1]Parameters!$A$3:$A$5,0),2)</f>
        <v>7</v>
      </c>
      <c r="W694">
        <f>INDEX([1]Parameters!$A$3:$C$5,MATCH('[1]Pizza Sales Calculations'!E694,[1]Parameters!$A$3:$A$5,0),2)</f>
        <v>10</v>
      </c>
      <c r="X694" t="e">
        <f>INDEX([1]Parameters!$A$3:$C$5,MATCH('[1]Pizza Sales Calculations'!F694,[1]Parameters!$A$3:$A$5,0),2)</f>
        <v>#N/A</v>
      </c>
    </row>
    <row r="695" spans="1:24" x14ac:dyDescent="0.3">
      <c r="A695">
        <v>694</v>
      </c>
      <c r="B695" s="14">
        <v>42377.528136574074</v>
      </c>
      <c r="C695" s="14">
        <v>42377.538541666669</v>
      </c>
      <c r="D695" t="s">
        <v>3</v>
      </c>
      <c r="G695" t="b">
        <v>1</v>
      </c>
      <c r="H695">
        <v>70806</v>
      </c>
      <c r="I695" s="5">
        <v>4.6970107492362203</v>
      </c>
      <c r="J695" s="14">
        <v>42377.554849537039</v>
      </c>
      <c r="K695">
        <v>7.99</v>
      </c>
      <c r="L695" s="5">
        <f>('[1]Pizza Sales Calculations'!$J695-'[1]Pizza Sales Calculations'!$C695)*24*60</f>
        <v>23.48333333269693</v>
      </c>
      <c r="M695">
        <f>COUNTA('[1]Pizza Sales Calculations'!$D695:$F695)</f>
        <v>1</v>
      </c>
      <c r="N695">
        <f>IFERROR(VLOOKUP(D695,[1]Parameters!$A$3:$C$5,3,FALSE),0)</f>
        <v>1</v>
      </c>
      <c r="O695">
        <f>IFERROR(VLOOKUP(E695,[1]Parameters!$A$3:$C$5,3,FALSE),0)</f>
        <v>0</v>
      </c>
      <c r="P695">
        <f>IFERROR(VLOOKUP(F695,[1]Parameters!$A$3:$C$5,3,FALSE),0)</f>
        <v>0</v>
      </c>
      <c r="Q695">
        <f t="shared" si="10"/>
        <v>1</v>
      </c>
      <c r="R695" s="10">
        <f>IF('[1]Pizza Sales Calculations'!$G695=TRUE, [1]Parameters!$B$17*'[1]Pizza Sales Calculations'!$L695*2, 0)</f>
        <v>6.6536111109307967</v>
      </c>
      <c r="S695" t="str">
        <f>IF(I695&lt;[1]Parameters!$B$21,"TRUE","FALSE")</f>
        <v>FALSE</v>
      </c>
      <c r="T695" s="5">
        <f>(I695/[1]Parameters!$B$25)*60</f>
        <v>9.3940214984724406</v>
      </c>
      <c r="U695" s="10">
        <f>IF(AND('[1]Pizza Sales Calculations'!G695=TRUE,'[1]Pizza Sales Calculations'!S695="TRUE"),T695*[1]Parameters!$B$40*2,0)</f>
        <v>0</v>
      </c>
      <c r="V695">
        <f>INDEX([1]Parameters!$A$3:$C$5,MATCH('[1]Pizza Sales Calculations'!D695,[1]Parameters!$A$3:$A$5,0),2)</f>
        <v>7</v>
      </c>
      <c r="W695" t="e">
        <f>INDEX([1]Parameters!$A$3:$C$5,MATCH('[1]Pizza Sales Calculations'!E695,[1]Parameters!$A$3:$A$5,0),2)</f>
        <v>#N/A</v>
      </c>
      <c r="X695" t="e">
        <f>INDEX([1]Parameters!$A$3:$C$5,MATCH('[1]Pizza Sales Calculations'!F695,[1]Parameters!$A$3:$A$5,0),2)</f>
        <v>#N/A</v>
      </c>
    </row>
    <row r="696" spans="1:24" x14ac:dyDescent="0.3">
      <c r="A696">
        <v>695</v>
      </c>
      <c r="B696" s="14">
        <v>42377.592245370368</v>
      </c>
      <c r="C696" s="14">
        <v>42377.602638888886</v>
      </c>
      <c r="D696" t="s">
        <v>5</v>
      </c>
      <c r="G696" t="b">
        <v>1</v>
      </c>
      <c r="H696">
        <v>70805</v>
      </c>
      <c r="I696" s="5">
        <v>2.1074883493307102</v>
      </c>
      <c r="J696" s="14">
        <v>42377.609953703701</v>
      </c>
      <c r="K696">
        <v>15.35</v>
      </c>
      <c r="L696" s="5">
        <f>('[1]Pizza Sales Calculations'!$J696-'[1]Pizza Sales Calculations'!$C696)*24*60</f>
        <v>10.533333333441988</v>
      </c>
      <c r="M696">
        <f>COUNTA('[1]Pizza Sales Calculations'!$D696:$F696)</f>
        <v>1</v>
      </c>
      <c r="N696">
        <f>IFERROR(VLOOKUP(D696,[1]Parameters!$A$3:$C$5,3,FALSE),0)</f>
        <v>2.2999999999999998</v>
      </c>
      <c r="O696">
        <f>IFERROR(VLOOKUP(E696,[1]Parameters!$A$3:$C$5,3,FALSE),0)</f>
        <v>0</v>
      </c>
      <c r="P696">
        <f>IFERROR(VLOOKUP(F696,[1]Parameters!$A$3:$C$5,3,FALSE),0)</f>
        <v>0</v>
      </c>
      <c r="Q696">
        <f t="shared" si="10"/>
        <v>2.2999999999999998</v>
      </c>
      <c r="R696" s="10">
        <f>IF('[1]Pizza Sales Calculations'!$G696=TRUE, [1]Parameters!$B$17*'[1]Pizza Sales Calculations'!$L696*2, 0)</f>
        <v>2.9844444444752298</v>
      </c>
      <c r="S696" t="str">
        <f>IF(I696&lt;[1]Parameters!$B$21,"TRUE","FALSE")</f>
        <v>TRUE</v>
      </c>
      <c r="T696" s="5">
        <f>(I696/[1]Parameters!$B$25)*60</f>
        <v>4.2149766986614203</v>
      </c>
      <c r="U696" s="10">
        <f>IF(AND('[1]Pizza Sales Calculations'!G696=TRUE,'[1]Pizza Sales Calculations'!S696="TRUE"),T696*[1]Parameters!$B$40*2,0)</f>
        <v>0.26310992294257124</v>
      </c>
      <c r="V696">
        <f>INDEX([1]Parameters!$A$3:$C$5,MATCH('[1]Pizza Sales Calculations'!D696,[1]Parameters!$A$3:$A$5,0),2)</f>
        <v>14</v>
      </c>
      <c r="W696" t="e">
        <f>INDEX([1]Parameters!$A$3:$C$5,MATCH('[1]Pizza Sales Calculations'!E696,[1]Parameters!$A$3:$A$5,0),2)</f>
        <v>#N/A</v>
      </c>
      <c r="X696" t="e">
        <f>INDEX([1]Parameters!$A$3:$C$5,MATCH('[1]Pizza Sales Calculations'!F696,[1]Parameters!$A$3:$A$5,0),2)</f>
        <v>#N/A</v>
      </c>
    </row>
    <row r="697" spans="1:24" x14ac:dyDescent="0.3">
      <c r="A697">
        <v>696</v>
      </c>
      <c r="B697" s="14">
        <v>42377.436261574076</v>
      </c>
      <c r="C697" s="14">
        <v>42377.446689814817</v>
      </c>
      <c r="D697" t="s">
        <v>3</v>
      </c>
      <c r="E697" t="s">
        <v>4</v>
      </c>
      <c r="G697" t="b">
        <v>0</v>
      </c>
      <c r="H697">
        <v>70806</v>
      </c>
      <c r="I697" s="5">
        <v>0</v>
      </c>
      <c r="J697" s="14">
        <v>42377.448773148149</v>
      </c>
      <c r="K697">
        <v>19.579999999999998</v>
      </c>
      <c r="L697" s="5">
        <f>('[1]Pizza Sales Calculations'!$J697-'[1]Pizza Sales Calculations'!$C697)*24*60</f>
        <v>2.9999999993015081</v>
      </c>
      <c r="M697">
        <f>COUNTA('[1]Pizza Sales Calculations'!$D697:$F697)</f>
        <v>2</v>
      </c>
      <c r="N697">
        <f>IFERROR(VLOOKUP(D697,[1]Parameters!$A$3:$C$5,3,FALSE),0)</f>
        <v>1</v>
      </c>
      <c r="O697">
        <f>IFERROR(VLOOKUP(E697,[1]Parameters!$A$3:$C$5,3,FALSE),0)</f>
        <v>1.7</v>
      </c>
      <c r="P697">
        <f>IFERROR(VLOOKUP(F697,[1]Parameters!$A$3:$C$5,3,FALSE),0)</f>
        <v>0</v>
      </c>
      <c r="Q697">
        <f t="shared" si="10"/>
        <v>2.7</v>
      </c>
      <c r="R697" s="10">
        <f>IF('[1]Pizza Sales Calculations'!$G697=TRUE, [1]Parameters!$B$17*'[1]Pizza Sales Calculations'!$L697*2, 0)</f>
        <v>0</v>
      </c>
      <c r="S697" t="str">
        <f>IF(I697&lt;[1]Parameters!$B$21,"TRUE","FALSE")</f>
        <v>TRUE</v>
      </c>
      <c r="T697" s="5">
        <f>(I697/[1]Parameters!$B$25)*60</f>
        <v>0</v>
      </c>
      <c r="U697" s="10">
        <f>IF(AND('[1]Pizza Sales Calculations'!G697=TRUE,'[1]Pizza Sales Calculations'!S697="TRUE"),T697*[1]Parameters!$B$40*2,0)</f>
        <v>0</v>
      </c>
      <c r="V697">
        <f>INDEX([1]Parameters!$A$3:$C$5,MATCH('[1]Pizza Sales Calculations'!D697,[1]Parameters!$A$3:$A$5,0),2)</f>
        <v>7</v>
      </c>
      <c r="W697">
        <f>INDEX([1]Parameters!$A$3:$C$5,MATCH('[1]Pizza Sales Calculations'!E697,[1]Parameters!$A$3:$A$5,0),2)</f>
        <v>10</v>
      </c>
      <c r="X697" t="e">
        <f>INDEX([1]Parameters!$A$3:$C$5,MATCH('[1]Pizza Sales Calculations'!F697,[1]Parameters!$A$3:$A$5,0),2)</f>
        <v>#N/A</v>
      </c>
    </row>
    <row r="698" spans="1:24" x14ac:dyDescent="0.3">
      <c r="A698">
        <v>697</v>
      </c>
      <c r="B698" s="14">
        <v>42377.507708333331</v>
      </c>
      <c r="C698" s="14">
        <v>42377.518113425926</v>
      </c>
      <c r="D698" t="s">
        <v>5</v>
      </c>
      <c r="G698" t="b">
        <v>1</v>
      </c>
      <c r="H698">
        <v>70807</v>
      </c>
      <c r="I698" s="5">
        <v>3.5619103394023801</v>
      </c>
      <c r="J698" s="14">
        <v>42377.530474537038</v>
      </c>
      <c r="K698">
        <v>15.35</v>
      </c>
      <c r="L698" s="5">
        <f>('[1]Pizza Sales Calculations'!$J698-'[1]Pizza Sales Calculations'!$C698)*24*60</f>
        <v>17.80000000144355</v>
      </c>
      <c r="M698">
        <f>COUNTA('[1]Pizza Sales Calculations'!$D698:$F698)</f>
        <v>1</v>
      </c>
      <c r="N698">
        <f>IFERROR(VLOOKUP(D698,[1]Parameters!$A$3:$C$5,3,FALSE),0)</f>
        <v>2.2999999999999998</v>
      </c>
      <c r="O698">
        <f>IFERROR(VLOOKUP(E698,[1]Parameters!$A$3:$C$5,3,FALSE),0)</f>
        <v>0</v>
      </c>
      <c r="P698">
        <f>IFERROR(VLOOKUP(F698,[1]Parameters!$A$3:$C$5,3,FALSE),0)</f>
        <v>0</v>
      </c>
      <c r="Q698">
        <f t="shared" si="10"/>
        <v>2.2999999999999998</v>
      </c>
      <c r="R698" s="10">
        <f>IF('[1]Pizza Sales Calculations'!$G698=TRUE, [1]Parameters!$B$17*'[1]Pizza Sales Calculations'!$L698*2, 0)</f>
        <v>5.0433333337423392</v>
      </c>
      <c r="S698" t="str">
        <f>IF(I698&lt;[1]Parameters!$B$21,"TRUE","FALSE")</f>
        <v>FALSE</v>
      </c>
      <c r="T698" s="5">
        <f>(I698/[1]Parameters!$B$25)*60</f>
        <v>7.1238206788047602</v>
      </c>
      <c r="U698" s="10">
        <f>IF(AND('[1]Pizza Sales Calculations'!G698=TRUE,'[1]Pizza Sales Calculations'!S698="TRUE"),T698*[1]Parameters!$B$40*2,0)</f>
        <v>0</v>
      </c>
      <c r="V698">
        <f>INDEX([1]Parameters!$A$3:$C$5,MATCH('[1]Pizza Sales Calculations'!D698,[1]Parameters!$A$3:$A$5,0),2)</f>
        <v>14</v>
      </c>
      <c r="W698" t="e">
        <f>INDEX([1]Parameters!$A$3:$C$5,MATCH('[1]Pizza Sales Calculations'!E698,[1]Parameters!$A$3:$A$5,0),2)</f>
        <v>#N/A</v>
      </c>
      <c r="X698" t="e">
        <f>INDEX([1]Parameters!$A$3:$C$5,MATCH('[1]Pizza Sales Calculations'!F698,[1]Parameters!$A$3:$A$5,0),2)</f>
        <v>#N/A</v>
      </c>
    </row>
    <row r="699" spans="1:24" x14ac:dyDescent="0.3">
      <c r="A699">
        <v>698</v>
      </c>
      <c r="B699" s="14">
        <v>42377.524143518516</v>
      </c>
      <c r="C699" s="14">
        <v>42377.534571759257</v>
      </c>
      <c r="D699" t="s">
        <v>5</v>
      </c>
      <c r="G699" t="b">
        <v>1</v>
      </c>
      <c r="H699">
        <v>70804</v>
      </c>
      <c r="I699" s="5">
        <v>2.1454603768800702</v>
      </c>
      <c r="J699" s="14">
        <v>42377.542013888888</v>
      </c>
      <c r="K699">
        <v>15.35</v>
      </c>
      <c r="L699" s="5">
        <f>('[1]Pizza Sales Calculations'!$J699-'[1]Pizza Sales Calculations'!$C699)*24*60</f>
        <v>10.716666667722166</v>
      </c>
      <c r="M699">
        <f>COUNTA('[1]Pizza Sales Calculations'!$D699:$F699)</f>
        <v>1</v>
      </c>
      <c r="N699">
        <f>IFERROR(VLOOKUP(D699,[1]Parameters!$A$3:$C$5,3,FALSE),0)</f>
        <v>2.2999999999999998</v>
      </c>
      <c r="O699">
        <f>IFERROR(VLOOKUP(E699,[1]Parameters!$A$3:$C$5,3,FALSE),0)</f>
        <v>0</v>
      </c>
      <c r="P699">
        <f>IFERROR(VLOOKUP(F699,[1]Parameters!$A$3:$C$5,3,FALSE),0)</f>
        <v>0</v>
      </c>
      <c r="Q699">
        <f t="shared" si="10"/>
        <v>2.2999999999999998</v>
      </c>
      <c r="R699" s="10">
        <f>IF('[1]Pizza Sales Calculations'!$G699=TRUE, [1]Parameters!$B$17*'[1]Pizza Sales Calculations'!$L699*2, 0)</f>
        <v>3.0363888891879469</v>
      </c>
      <c r="S699" t="str">
        <f>IF(I699&lt;[1]Parameters!$B$21,"TRUE","FALSE")</f>
        <v>TRUE</v>
      </c>
      <c r="T699" s="5">
        <f>(I699/[1]Parameters!$B$25)*60</f>
        <v>4.2909207537601404</v>
      </c>
      <c r="U699" s="10">
        <f>IF(AND('[1]Pizza Sales Calculations'!G699=TRUE,'[1]Pizza Sales Calculations'!S699="TRUE"),T699*[1]Parameters!$B$40*2,0)</f>
        <v>0.26785055045097866</v>
      </c>
      <c r="V699">
        <f>INDEX([1]Parameters!$A$3:$C$5,MATCH('[1]Pizza Sales Calculations'!D699,[1]Parameters!$A$3:$A$5,0),2)</f>
        <v>14</v>
      </c>
      <c r="W699" t="e">
        <f>INDEX([1]Parameters!$A$3:$C$5,MATCH('[1]Pizza Sales Calculations'!E699,[1]Parameters!$A$3:$A$5,0),2)</f>
        <v>#N/A</v>
      </c>
      <c r="X699" t="e">
        <f>INDEX([1]Parameters!$A$3:$C$5,MATCH('[1]Pizza Sales Calculations'!F699,[1]Parameters!$A$3:$A$5,0),2)</f>
        <v>#N/A</v>
      </c>
    </row>
    <row r="700" spans="1:24" x14ac:dyDescent="0.3">
      <c r="A700">
        <v>699</v>
      </c>
      <c r="B700" s="14">
        <v>42377.524050925924</v>
      </c>
      <c r="C700" s="14">
        <v>42377.534456018519</v>
      </c>
      <c r="D700" t="s">
        <v>3</v>
      </c>
      <c r="E700" t="s">
        <v>4</v>
      </c>
      <c r="G700" t="b">
        <v>1</v>
      </c>
      <c r="H700">
        <v>70804</v>
      </c>
      <c r="I700" s="5">
        <v>3.4404452126950602</v>
      </c>
      <c r="J700" s="14">
        <v>42377.546400462961</v>
      </c>
      <c r="K700">
        <v>19.579999999999998</v>
      </c>
      <c r="L700" s="5">
        <f>('[1]Pizza Sales Calculations'!$J700-'[1]Pizza Sales Calculations'!$C700)*24*60</f>
        <v>17.199999997392297</v>
      </c>
      <c r="M700">
        <f>COUNTA('[1]Pizza Sales Calculations'!$D700:$F700)</f>
        <v>2</v>
      </c>
      <c r="N700">
        <f>IFERROR(VLOOKUP(D700,[1]Parameters!$A$3:$C$5,3,FALSE),0)</f>
        <v>1</v>
      </c>
      <c r="O700">
        <f>IFERROR(VLOOKUP(E700,[1]Parameters!$A$3:$C$5,3,FALSE),0)</f>
        <v>1.7</v>
      </c>
      <c r="P700">
        <f>IFERROR(VLOOKUP(F700,[1]Parameters!$A$3:$C$5,3,FALSE),0)</f>
        <v>0</v>
      </c>
      <c r="Q700">
        <f t="shared" si="10"/>
        <v>2.7</v>
      </c>
      <c r="R700" s="10">
        <f>IF('[1]Pizza Sales Calculations'!$G700=TRUE, [1]Parameters!$B$17*'[1]Pizza Sales Calculations'!$L700*2, 0)</f>
        <v>4.8733333325944841</v>
      </c>
      <c r="S700" t="str">
        <f>IF(I700&lt;[1]Parameters!$B$21,"TRUE","FALSE")</f>
        <v>FALSE</v>
      </c>
      <c r="T700" s="5">
        <f>(I700/[1]Parameters!$B$25)*60</f>
        <v>6.8808904253901204</v>
      </c>
      <c r="U700" s="10">
        <f>IF(AND('[1]Pizza Sales Calculations'!G700=TRUE,'[1]Pizza Sales Calculations'!S700="TRUE"),T700*[1]Parameters!$B$40*2,0)</f>
        <v>0</v>
      </c>
      <c r="V700">
        <f>INDEX([1]Parameters!$A$3:$C$5,MATCH('[1]Pizza Sales Calculations'!D700,[1]Parameters!$A$3:$A$5,0),2)</f>
        <v>7</v>
      </c>
      <c r="W700">
        <f>INDEX([1]Parameters!$A$3:$C$5,MATCH('[1]Pizza Sales Calculations'!E700,[1]Parameters!$A$3:$A$5,0),2)</f>
        <v>10</v>
      </c>
      <c r="X700" t="e">
        <f>INDEX([1]Parameters!$A$3:$C$5,MATCH('[1]Pizza Sales Calculations'!F700,[1]Parameters!$A$3:$A$5,0),2)</f>
        <v>#N/A</v>
      </c>
    </row>
    <row r="701" spans="1:24" x14ac:dyDescent="0.3">
      <c r="A701">
        <v>700</v>
      </c>
      <c r="B701" s="14">
        <v>42377.487280092595</v>
      </c>
      <c r="C701" s="14">
        <v>42377.497685185182</v>
      </c>
      <c r="D701" t="s">
        <v>3</v>
      </c>
      <c r="E701" t="s">
        <v>5</v>
      </c>
      <c r="G701" t="b">
        <v>1</v>
      </c>
      <c r="H701">
        <v>70805</v>
      </c>
      <c r="I701" s="5">
        <v>2.9587613608334902</v>
      </c>
      <c r="J701" s="14">
        <v>42377.507951388892</v>
      </c>
      <c r="K701">
        <v>23.34</v>
      </c>
      <c r="L701" s="5">
        <f>('[1]Pizza Sales Calculations'!$J701-'[1]Pizza Sales Calculations'!$C701)*24*60</f>
        <v>14.783333342056721</v>
      </c>
      <c r="M701">
        <f>COUNTA('[1]Pizza Sales Calculations'!$D701:$F701)</f>
        <v>2</v>
      </c>
      <c r="N701">
        <f>IFERROR(VLOOKUP(D701,[1]Parameters!$A$3:$C$5,3,FALSE),0)</f>
        <v>1</v>
      </c>
      <c r="O701">
        <f>IFERROR(VLOOKUP(E701,[1]Parameters!$A$3:$C$5,3,FALSE),0)</f>
        <v>2.2999999999999998</v>
      </c>
      <c r="P701">
        <f>IFERROR(VLOOKUP(F701,[1]Parameters!$A$3:$C$5,3,FALSE),0)</f>
        <v>0</v>
      </c>
      <c r="Q701">
        <f t="shared" si="10"/>
        <v>3.3</v>
      </c>
      <c r="R701" s="10">
        <f>IF('[1]Pizza Sales Calculations'!$G701=TRUE, [1]Parameters!$B$17*'[1]Pizza Sales Calculations'!$L701*2, 0)</f>
        <v>4.1886111135827377</v>
      </c>
      <c r="S701" t="str">
        <f>IF(I701&lt;[1]Parameters!$B$21,"TRUE","FALSE")</f>
        <v>TRUE</v>
      </c>
      <c r="T701" s="5">
        <f>(I701/[1]Parameters!$B$25)*60</f>
        <v>5.9175227216669803</v>
      </c>
      <c r="U701" s="10">
        <f>IF(AND('[1]Pizza Sales Calculations'!G701=TRUE,'[1]Pizza Sales Calculations'!S701="TRUE"),T701*[1]Parameters!$B$40*2,0)</f>
        <v>0.36938732017265197</v>
      </c>
      <c r="V701">
        <f>INDEX([1]Parameters!$A$3:$C$5,MATCH('[1]Pizza Sales Calculations'!D701,[1]Parameters!$A$3:$A$5,0),2)</f>
        <v>7</v>
      </c>
      <c r="W701">
        <f>INDEX([1]Parameters!$A$3:$C$5,MATCH('[1]Pizza Sales Calculations'!E701,[1]Parameters!$A$3:$A$5,0),2)</f>
        <v>14</v>
      </c>
      <c r="X701" t="e">
        <f>INDEX([1]Parameters!$A$3:$C$5,MATCH('[1]Pizza Sales Calculations'!F701,[1]Parameters!$A$3:$A$5,0),2)</f>
        <v>#N/A</v>
      </c>
    </row>
    <row r="702" spans="1:24" x14ac:dyDescent="0.3">
      <c r="A702">
        <v>701</v>
      </c>
      <c r="B702" s="14">
        <v>42377.523101851853</v>
      </c>
      <c r="C702" s="14">
        <v>42377.533506944441</v>
      </c>
      <c r="D702" t="s">
        <v>3</v>
      </c>
      <c r="E702" t="s">
        <v>5</v>
      </c>
      <c r="G702" t="b">
        <v>0</v>
      </c>
      <c r="H702">
        <v>70804</v>
      </c>
      <c r="I702" s="5">
        <v>0</v>
      </c>
      <c r="J702" s="14">
        <v>42377.535578703704</v>
      </c>
      <c r="K702">
        <v>23.34</v>
      </c>
      <c r="L702" s="5">
        <f>('[1]Pizza Sales Calculations'!$J702-'[1]Pizza Sales Calculations'!$C702)*24*60</f>
        <v>2.9833333392161876</v>
      </c>
      <c r="M702">
        <f>COUNTA('[1]Pizza Sales Calculations'!$D702:$F702)</f>
        <v>2</v>
      </c>
      <c r="N702">
        <f>IFERROR(VLOOKUP(D702,[1]Parameters!$A$3:$C$5,3,FALSE),0)</f>
        <v>1</v>
      </c>
      <c r="O702">
        <f>IFERROR(VLOOKUP(E702,[1]Parameters!$A$3:$C$5,3,FALSE),0)</f>
        <v>2.2999999999999998</v>
      </c>
      <c r="P702">
        <f>IFERROR(VLOOKUP(F702,[1]Parameters!$A$3:$C$5,3,FALSE),0)</f>
        <v>0</v>
      </c>
      <c r="Q702">
        <f t="shared" si="10"/>
        <v>3.3</v>
      </c>
      <c r="R702" s="10">
        <f>IF('[1]Pizza Sales Calculations'!$G702=TRUE, [1]Parameters!$B$17*'[1]Pizza Sales Calculations'!$L702*2, 0)</f>
        <v>0</v>
      </c>
      <c r="S702" t="str">
        <f>IF(I702&lt;[1]Parameters!$B$21,"TRUE","FALSE")</f>
        <v>TRUE</v>
      </c>
      <c r="T702" s="5">
        <f>(I702/[1]Parameters!$B$25)*60</f>
        <v>0</v>
      </c>
      <c r="U702" s="10">
        <f>IF(AND('[1]Pizza Sales Calculations'!G702=TRUE,'[1]Pizza Sales Calculations'!S702="TRUE"),T702*[1]Parameters!$B$40*2,0)</f>
        <v>0</v>
      </c>
      <c r="V702">
        <f>INDEX([1]Parameters!$A$3:$C$5,MATCH('[1]Pizza Sales Calculations'!D702,[1]Parameters!$A$3:$A$5,0),2)</f>
        <v>7</v>
      </c>
      <c r="W702">
        <f>INDEX([1]Parameters!$A$3:$C$5,MATCH('[1]Pizza Sales Calculations'!E702,[1]Parameters!$A$3:$A$5,0),2)</f>
        <v>14</v>
      </c>
      <c r="X702" t="e">
        <f>INDEX([1]Parameters!$A$3:$C$5,MATCH('[1]Pizza Sales Calculations'!F702,[1]Parameters!$A$3:$A$5,0),2)</f>
        <v>#N/A</v>
      </c>
    </row>
    <row r="703" spans="1:24" x14ac:dyDescent="0.3">
      <c r="A703">
        <v>702</v>
      </c>
      <c r="B703" s="14">
        <v>42377.537916666668</v>
      </c>
      <c r="C703" s="14">
        <v>42377.548321759263</v>
      </c>
      <c r="D703" t="s">
        <v>3</v>
      </c>
      <c r="E703" t="s">
        <v>5</v>
      </c>
      <c r="G703" t="b">
        <v>0</v>
      </c>
      <c r="H703">
        <v>70805</v>
      </c>
      <c r="I703" s="5">
        <v>0</v>
      </c>
      <c r="J703" s="14">
        <v>42377.550393518519</v>
      </c>
      <c r="K703">
        <v>23.34</v>
      </c>
      <c r="L703" s="5">
        <f>('[1]Pizza Sales Calculations'!$J703-'[1]Pizza Sales Calculations'!$C703)*24*60</f>
        <v>2.9833333287388086</v>
      </c>
      <c r="M703">
        <f>COUNTA('[1]Pizza Sales Calculations'!$D703:$F703)</f>
        <v>2</v>
      </c>
      <c r="N703">
        <f>IFERROR(VLOOKUP(D703,[1]Parameters!$A$3:$C$5,3,FALSE),0)</f>
        <v>1</v>
      </c>
      <c r="O703">
        <f>IFERROR(VLOOKUP(E703,[1]Parameters!$A$3:$C$5,3,FALSE),0)</f>
        <v>2.2999999999999998</v>
      </c>
      <c r="P703">
        <f>IFERROR(VLOOKUP(F703,[1]Parameters!$A$3:$C$5,3,FALSE),0)</f>
        <v>0</v>
      </c>
      <c r="Q703">
        <f t="shared" si="10"/>
        <v>3.3</v>
      </c>
      <c r="R703" s="10">
        <f>IF('[1]Pizza Sales Calculations'!$G703=TRUE, [1]Parameters!$B$17*'[1]Pizza Sales Calculations'!$L703*2, 0)</f>
        <v>0</v>
      </c>
      <c r="S703" t="str">
        <f>IF(I703&lt;[1]Parameters!$B$21,"TRUE","FALSE")</f>
        <v>TRUE</v>
      </c>
      <c r="T703" s="5">
        <f>(I703/[1]Parameters!$B$25)*60</f>
        <v>0</v>
      </c>
      <c r="U703" s="10">
        <f>IF(AND('[1]Pizza Sales Calculations'!G703=TRUE,'[1]Pizza Sales Calculations'!S703="TRUE"),T703*[1]Parameters!$B$40*2,0)</f>
        <v>0</v>
      </c>
      <c r="V703">
        <f>INDEX([1]Parameters!$A$3:$C$5,MATCH('[1]Pizza Sales Calculations'!D703,[1]Parameters!$A$3:$A$5,0),2)</f>
        <v>7</v>
      </c>
      <c r="W703">
        <f>INDEX([1]Parameters!$A$3:$C$5,MATCH('[1]Pizza Sales Calculations'!E703,[1]Parameters!$A$3:$A$5,0),2)</f>
        <v>14</v>
      </c>
      <c r="X703" t="e">
        <f>INDEX([1]Parameters!$A$3:$C$5,MATCH('[1]Pizza Sales Calculations'!F703,[1]Parameters!$A$3:$A$5,0),2)</f>
        <v>#N/A</v>
      </c>
    </row>
    <row r="704" spans="1:24" x14ac:dyDescent="0.3">
      <c r="A704">
        <v>703</v>
      </c>
      <c r="B704" s="14">
        <v>42377.503229166665</v>
      </c>
      <c r="C704" s="14">
        <v>42377.51363425926</v>
      </c>
      <c r="D704" t="s">
        <v>4</v>
      </c>
      <c r="G704" t="b">
        <v>1</v>
      </c>
      <c r="H704">
        <v>70805</v>
      </c>
      <c r="I704" s="5">
        <v>3.9385955839323499</v>
      </c>
      <c r="J704" s="14">
        <v>42377.527303240742</v>
      </c>
      <c r="K704">
        <v>11.59</v>
      </c>
      <c r="L704" s="5">
        <f>('[1]Pizza Sales Calculations'!$J704-'[1]Pizza Sales Calculations'!$C704)*24*60</f>
        <v>19.68333333497867</v>
      </c>
      <c r="M704">
        <f>COUNTA('[1]Pizza Sales Calculations'!$D704:$F704)</f>
        <v>1</v>
      </c>
      <c r="N704">
        <f>IFERROR(VLOOKUP(D704,[1]Parameters!$A$3:$C$5,3,FALSE),0)</f>
        <v>1.7</v>
      </c>
      <c r="O704">
        <f>IFERROR(VLOOKUP(E704,[1]Parameters!$A$3:$C$5,3,FALSE),0)</f>
        <v>0</v>
      </c>
      <c r="P704">
        <f>IFERROR(VLOOKUP(F704,[1]Parameters!$A$3:$C$5,3,FALSE),0)</f>
        <v>0</v>
      </c>
      <c r="Q704">
        <f t="shared" si="10"/>
        <v>1.7</v>
      </c>
      <c r="R704" s="10">
        <f>IF('[1]Pizza Sales Calculations'!$G704=TRUE, [1]Parameters!$B$17*'[1]Pizza Sales Calculations'!$L704*2, 0)</f>
        <v>5.5769444449106231</v>
      </c>
      <c r="S704" t="str">
        <f>IF(I704&lt;[1]Parameters!$B$21,"TRUE","FALSE")</f>
        <v>FALSE</v>
      </c>
      <c r="T704" s="5">
        <f>(I704/[1]Parameters!$B$25)*60</f>
        <v>7.8771911678646998</v>
      </c>
      <c r="U704" s="10">
        <f>IF(AND('[1]Pizza Sales Calculations'!G704=TRUE,'[1]Pizza Sales Calculations'!S704="TRUE"),T704*[1]Parameters!$B$40*2,0)</f>
        <v>0</v>
      </c>
      <c r="V704">
        <f>INDEX([1]Parameters!$A$3:$C$5,MATCH('[1]Pizza Sales Calculations'!D704,[1]Parameters!$A$3:$A$5,0),2)</f>
        <v>10</v>
      </c>
      <c r="W704" t="e">
        <f>INDEX([1]Parameters!$A$3:$C$5,MATCH('[1]Pizza Sales Calculations'!E704,[1]Parameters!$A$3:$A$5,0),2)</f>
        <v>#N/A</v>
      </c>
      <c r="X704" t="e">
        <f>INDEX([1]Parameters!$A$3:$C$5,MATCH('[1]Pizza Sales Calculations'!F704,[1]Parameters!$A$3:$A$5,0),2)</f>
        <v>#N/A</v>
      </c>
    </row>
    <row r="705" spans="1:24" x14ac:dyDescent="0.3">
      <c r="A705">
        <v>704</v>
      </c>
      <c r="B705" s="14">
        <v>42377.477118055554</v>
      </c>
      <c r="C705" s="14">
        <v>42377.487534722219</v>
      </c>
      <c r="D705" t="s">
        <v>4</v>
      </c>
      <c r="G705" t="b">
        <v>0</v>
      </c>
      <c r="H705">
        <v>70804</v>
      </c>
      <c r="I705" s="5">
        <v>0</v>
      </c>
      <c r="J705" s="14">
        <v>42377.489618055559</v>
      </c>
      <c r="K705">
        <v>11.59</v>
      </c>
      <c r="L705" s="5">
        <f>('[1]Pizza Sales Calculations'!$J705-'[1]Pizza Sales Calculations'!$C705)*24*60</f>
        <v>3.000000009778887</v>
      </c>
      <c r="M705">
        <f>COUNTA('[1]Pizza Sales Calculations'!$D705:$F705)</f>
        <v>1</v>
      </c>
      <c r="N705">
        <f>IFERROR(VLOOKUP(D705,[1]Parameters!$A$3:$C$5,3,FALSE),0)</f>
        <v>1.7</v>
      </c>
      <c r="O705">
        <f>IFERROR(VLOOKUP(E705,[1]Parameters!$A$3:$C$5,3,FALSE),0)</f>
        <v>0</v>
      </c>
      <c r="P705">
        <f>IFERROR(VLOOKUP(F705,[1]Parameters!$A$3:$C$5,3,FALSE),0)</f>
        <v>0</v>
      </c>
      <c r="Q705">
        <f t="shared" si="10"/>
        <v>1.7</v>
      </c>
      <c r="R705" s="10">
        <f>IF('[1]Pizza Sales Calculations'!$G705=TRUE, [1]Parameters!$B$17*'[1]Pizza Sales Calculations'!$L705*2, 0)</f>
        <v>0</v>
      </c>
      <c r="S705" t="str">
        <f>IF(I705&lt;[1]Parameters!$B$21,"TRUE","FALSE")</f>
        <v>TRUE</v>
      </c>
      <c r="T705" s="5">
        <f>(I705/[1]Parameters!$B$25)*60</f>
        <v>0</v>
      </c>
      <c r="U705" s="10">
        <f>IF(AND('[1]Pizza Sales Calculations'!G705=TRUE,'[1]Pizza Sales Calculations'!S705="TRUE"),T705*[1]Parameters!$B$40*2,0)</f>
        <v>0</v>
      </c>
      <c r="V705">
        <f>INDEX([1]Parameters!$A$3:$C$5,MATCH('[1]Pizza Sales Calculations'!D705,[1]Parameters!$A$3:$A$5,0),2)</f>
        <v>10</v>
      </c>
      <c r="W705" t="e">
        <f>INDEX([1]Parameters!$A$3:$C$5,MATCH('[1]Pizza Sales Calculations'!E705,[1]Parameters!$A$3:$A$5,0),2)</f>
        <v>#N/A</v>
      </c>
      <c r="X705" t="e">
        <f>INDEX([1]Parameters!$A$3:$C$5,MATCH('[1]Pizza Sales Calculations'!F705,[1]Parameters!$A$3:$A$5,0),2)</f>
        <v>#N/A</v>
      </c>
    </row>
    <row r="706" spans="1:24" x14ac:dyDescent="0.3">
      <c r="A706">
        <v>705</v>
      </c>
      <c r="B706" s="14">
        <v>42377.432430555556</v>
      </c>
      <c r="C706" s="14">
        <v>42377.442870370367</v>
      </c>
      <c r="D706" t="s">
        <v>3</v>
      </c>
      <c r="E706" t="s">
        <v>4</v>
      </c>
      <c r="F706" t="s">
        <v>5</v>
      </c>
      <c r="G706" t="b">
        <v>0</v>
      </c>
      <c r="H706">
        <v>70805</v>
      </c>
      <c r="I706" s="5">
        <v>0</v>
      </c>
      <c r="J706" s="14">
        <v>42377.44494212963</v>
      </c>
      <c r="K706">
        <v>33.93</v>
      </c>
      <c r="L706" s="5">
        <f>('[1]Pizza Sales Calculations'!$J706-'[1]Pizza Sales Calculations'!$C706)*24*60</f>
        <v>2.9833333392161876</v>
      </c>
      <c r="M706">
        <f>COUNTA('[1]Pizza Sales Calculations'!$D706:$F706)</f>
        <v>3</v>
      </c>
      <c r="N706">
        <f>IFERROR(VLOOKUP(D706,[1]Parameters!$A$3:$C$5,3,FALSE),0)</f>
        <v>1</v>
      </c>
      <c r="O706">
        <f>IFERROR(VLOOKUP(E706,[1]Parameters!$A$3:$C$5,3,FALSE),0)</f>
        <v>1.7</v>
      </c>
      <c r="P706">
        <f>IFERROR(VLOOKUP(F706,[1]Parameters!$A$3:$C$5,3,FALSE),0)</f>
        <v>2.2999999999999998</v>
      </c>
      <c r="Q706">
        <f t="shared" si="10"/>
        <v>5</v>
      </c>
      <c r="R706" s="10">
        <f>IF('[1]Pizza Sales Calculations'!$G706=TRUE, [1]Parameters!$B$17*'[1]Pizza Sales Calculations'!$L706*2, 0)</f>
        <v>0</v>
      </c>
      <c r="S706" t="str">
        <f>IF(I706&lt;[1]Parameters!$B$21,"TRUE","FALSE")</f>
        <v>TRUE</v>
      </c>
      <c r="T706" s="5">
        <f>(I706/[1]Parameters!$B$25)*60</f>
        <v>0</v>
      </c>
      <c r="U706" s="10">
        <f>IF(AND('[1]Pizza Sales Calculations'!G706=TRUE,'[1]Pizza Sales Calculations'!S706="TRUE"),T706*[1]Parameters!$B$40*2,0)</f>
        <v>0</v>
      </c>
      <c r="V706">
        <f>INDEX([1]Parameters!$A$3:$C$5,MATCH('[1]Pizza Sales Calculations'!D706,[1]Parameters!$A$3:$A$5,0),2)</f>
        <v>7</v>
      </c>
      <c r="W706">
        <f>INDEX([1]Parameters!$A$3:$C$5,MATCH('[1]Pizza Sales Calculations'!E706,[1]Parameters!$A$3:$A$5,0),2)</f>
        <v>10</v>
      </c>
      <c r="X706">
        <f>INDEX([1]Parameters!$A$3:$C$5,MATCH('[1]Pizza Sales Calculations'!F706,[1]Parameters!$A$3:$A$5,0),2)</f>
        <v>14</v>
      </c>
    </row>
    <row r="707" spans="1:24" x14ac:dyDescent="0.3">
      <c r="A707">
        <v>706</v>
      </c>
      <c r="B707" s="14">
        <v>42377.508564814816</v>
      </c>
      <c r="C707" s="14">
        <v>42377.518969907411</v>
      </c>
      <c r="D707" t="s">
        <v>3</v>
      </c>
      <c r="E707" t="s">
        <v>4</v>
      </c>
      <c r="G707" t="b">
        <v>1</v>
      </c>
      <c r="H707">
        <v>70803</v>
      </c>
      <c r="I707" s="5">
        <v>3.4951320992434001</v>
      </c>
      <c r="J707" s="14">
        <v>42377.531099537038</v>
      </c>
      <c r="K707">
        <v>19.579999999999998</v>
      </c>
      <c r="L707" s="5">
        <f>('[1]Pizza Sales Calculations'!$J707-'[1]Pizza Sales Calculations'!$C707)*24*60</f>
        <v>17.466666663531214</v>
      </c>
      <c r="M707">
        <f>COUNTA('[1]Pizza Sales Calculations'!$D707:$F707)</f>
        <v>2</v>
      </c>
      <c r="N707">
        <f>IFERROR(VLOOKUP(D707,[1]Parameters!$A$3:$C$5,3,FALSE),0)</f>
        <v>1</v>
      </c>
      <c r="O707">
        <f>IFERROR(VLOOKUP(E707,[1]Parameters!$A$3:$C$5,3,FALSE),0)</f>
        <v>1.7</v>
      </c>
      <c r="P707">
        <f>IFERROR(VLOOKUP(F707,[1]Parameters!$A$3:$C$5,3,FALSE),0)</f>
        <v>0</v>
      </c>
      <c r="Q707">
        <f t="shared" ref="Q707:Q770" si="11">SUM(N707:P707)</f>
        <v>2.7</v>
      </c>
      <c r="R707" s="10">
        <f>IF('[1]Pizza Sales Calculations'!$G707=TRUE, [1]Parameters!$B$17*'[1]Pizza Sales Calculations'!$L707*2, 0)</f>
        <v>4.9488888880005106</v>
      </c>
      <c r="S707" t="str">
        <f>IF(I707&lt;[1]Parameters!$B$21,"TRUE","FALSE")</f>
        <v>FALSE</v>
      </c>
      <c r="T707" s="5">
        <f>(I707/[1]Parameters!$B$25)*60</f>
        <v>6.9902641984868001</v>
      </c>
      <c r="U707" s="10">
        <f>IF(AND('[1]Pizza Sales Calculations'!G707=TRUE,'[1]Pizza Sales Calculations'!S707="TRUE"),T707*[1]Parameters!$B$40*2,0)</f>
        <v>0</v>
      </c>
      <c r="V707">
        <f>INDEX([1]Parameters!$A$3:$C$5,MATCH('[1]Pizza Sales Calculations'!D707,[1]Parameters!$A$3:$A$5,0),2)</f>
        <v>7</v>
      </c>
      <c r="W707">
        <f>INDEX([1]Parameters!$A$3:$C$5,MATCH('[1]Pizza Sales Calculations'!E707,[1]Parameters!$A$3:$A$5,0),2)</f>
        <v>10</v>
      </c>
      <c r="X707" t="e">
        <f>INDEX([1]Parameters!$A$3:$C$5,MATCH('[1]Pizza Sales Calculations'!F707,[1]Parameters!$A$3:$A$5,0),2)</f>
        <v>#N/A</v>
      </c>
    </row>
    <row r="708" spans="1:24" x14ac:dyDescent="0.3">
      <c r="A708">
        <v>707</v>
      </c>
      <c r="B708" s="14">
        <v>42377.475289351853</v>
      </c>
      <c r="C708" s="14">
        <v>42377.485717592594</v>
      </c>
      <c r="D708" t="s">
        <v>3</v>
      </c>
      <c r="E708" t="s">
        <v>4</v>
      </c>
      <c r="G708" t="b">
        <v>0</v>
      </c>
      <c r="H708">
        <v>70805</v>
      </c>
      <c r="I708" s="5">
        <v>0</v>
      </c>
      <c r="J708" s="14">
        <v>42377.48778935185</v>
      </c>
      <c r="K708">
        <v>19.579999999999998</v>
      </c>
      <c r="L708" s="5">
        <f>('[1]Pizza Sales Calculations'!$J708-'[1]Pizza Sales Calculations'!$C708)*24*60</f>
        <v>2.9833333287388086</v>
      </c>
      <c r="M708">
        <f>COUNTA('[1]Pizza Sales Calculations'!$D708:$F708)</f>
        <v>2</v>
      </c>
      <c r="N708">
        <f>IFERROR(VLOOKUP(D708,[1]Parameters!$A$3:$C$5,3,FALSE),0)</f>
        <v>1</v>
      </c>
      <c r="O708">
        <f>IFERROR(VLOOKUP(E708,[1]Parameters!$A$3:$C$5,3,FALSE),0)</f>
        <v>1.7</v>
      </c>
      <c r="P708">
        <f>IFERROR(VLOOKUP(F708,[1]Parameters!$A$3:$C$5,3,FALSE),0)</f>
        <v>0</v>
      </c>
      <c r="Q708">
        <f t="shared" si="11"/>
        <v>2.7</v>
      </c>
      <c r="R708" s="10">
        <f>IF('[1]Pizza Sales Calculations'!$G708=TRUE, [1]Parameters!$B$17*'[1]Pizza Sales Calculations'!$L708*2, 0)</f>
        <v>0</v>
      </c>
      <c r="S708" t="str">
        <f>IF(I708&lt;[1]Parameters!$B$21,"TRUE","FALSE")</f>
        <v>TRUE</v>
      </c>
      <c r="T708" s="5">
        <f>(I708/[1]Parameters!$B$25)*60</f>
        <v>0</v>
      </c>
      <c r="U708" s="10">
        <f>IF(AND('[1]Pizza Sales Calculations'!G708=TRUE,'[1]Pizza Sales Calculations'!S708="TRUE"),T708*[1]Parameters!$B$40*2,0)</f>
        <v>0</v>
      </c>
      <c r="V708">
        <f>INDEX([1]Parameters!$A$3:$C$5,MATCH('[1]Pizza Sales Calculations'!D708,[1]Parameters!$A$3:$A$5,0),2)</f>
        <v>7</v>
      </c>
      <c r="W708">
        <f>INDEX([1]Parameters!$A$3:$C$5,MATCH('[1]Pizza Sales Calculations'!E708,[1]Parameters!$A$3:$A$5,0),2)</f>
        <v>10</v>
      </c>
      <c r="X708" t="e">
        <f>INDEX([1]Parameters!$A$3:$C$5,MATCH('[1]Pizza Sales Calculations'!F708,[1]Parameters!$A$3:$A$5,0),2)</f>
        <v>#N/A</v>
      </c>
    </row>
    <row r="709" spans="1:24" x14ac:dyDescent="0.3">
      <c r="A709">
        <v>708</v>
      </c>
      <c r="B709" s="14">
        <v>42377.521967592591</v>
      </c>
      <c r="C709" s="14">
        <v>42377.532372685186</v>
      </c>
      <c r="D709" t="s">
        <v>3</v>
      </c>
      <c r="E709" t="s">
        <v>5</v>
      </c>
      <c r="G709" t="b">
        <v>1</v>
      </c>
      <c r="H709">
        <v>70804</v>
      </c>
      <c r="I709" s="5">
        <v>1.70000024866352</v>
      </c>
      <c r="J709" s="14">
        <v>42377.538275462961</v>
      </c>
      <c r="K709">
        <v>23.34</v>
      </c>
      <c r="L709" s="5">
        <f>('[1]Pizza Sales Calculations'!$J709-'[1]Pizza Sales Calculations'!$C709)*24*60</f>
        <v>8.4999999962747097</v>
      </c>
      <c r="M709">
        <f>COUNTA('[1]Pizza Sales Calculations'!$D709:$F709)</f>
        <v>2</v>
      </c>
      <c r="N709">
        <f>IFERROR(VLOOKUP(D709,[1]Parameters!$A$3:$C$5,3,FALSE),0)</f>
        <v>1</v>
      </c>
      <c r="O709">
        <f>IFERROR(VLOOKUP(E709,[1]Parameters!$A$3:$C$5,3,FALSE),0)</f>
        <v>2.2999999999999998</v>
      </c>
      <c r="P709">
        <f>IFERROR(VLOOKUP(F709,[1]Parameters!$A$3:$C$5,3,FALSE),0)</f>
        <v>0</v>
      </c>
      <c r="Q709">
        <f t="shared" si="11"/>
        <v>3.3</v>
      </c>
      <c r="R709" s="10">
        <f>IF('[1]Pizza Sales Calculations'!$G709=TRUE, [1]Parameters!$B$17*'[1]Pizza Sales Calculations'!$L709*2, 0)</f>
        <v>2.4083333322778344</v>
      </c>
      <c r="S709" t="str">
        <f>IF(I709&lt;[1]Parameters!$B$21,"TRUE","FALSE")</f>
        <v>TRUE</v>
      </c>
      <c r="T709" s="5">
        <f>(I709/[1]Parameters!$B$25)*60</f>
        <v>3.4000004973270399</v>
      </c>
      <c r="U709" s="10">
        <f>IF(AND('[1]Pizza Sales Calculations'!G709=TRUE,'[1]Pizza Sales Calculations'!S709="TRUE"),T709*[1]Parameters!$B$40*2,0)</f>
        <v>0.21223696661016359</v>
      </c>
      <c r="V709">
        <f>INDEX([1]Parameters!$A$3:$C$5,MATCH('[1]Pizza Sales Calculations'!D709,[1]Parameters!$A$3:$A$5,0),2)</f>
        <v>7</v>
      </c>
      <c r="W709">
        <f>INDEX([1]Parameters!$A$3:$C$5,MATCH('[1]Pizza Sales Calculations'!E709,[1]Parameters!$A$3:$A$5,0),2)</f>
        <v>14</v>
      </c>
      <c r="X709" t="e">
        <f>INDEX([1]Parameters!$A$3:$C$5,MATCH('[1]Pizza Sales Calculations'!F709,[1]Parameters!$A$3:$A$5,0),2)</f>
        <v>#N/A</v>
      </c>
    </row>
    <row r="710" spans="1:24" x14ac:dyDescent="0.3">
      <c r="A710">
        <v>709</v>
      </c>
      <c r="B710" s="14">
        <v>42377.516412037039</v>
      </c>
      <c r="C710" s="14">
        <v>42377.526817129627</v>
      </c>
      <c r="D710" t="s">
        <v>4</v>
      </c>
      <c r="G710" t="b">
        <v>0</v>
      </c>
      <c r="H710">
        <v>70805</v>
      </c>
      <c r="I710" s="5">
        <v>0</v>
      </c>
      <c r="J710" s="14">
        <v>42377.528912037036</v>
      </c>
      <c r="K710">
        <v>11.59</v>
      </c>
      <c r="L710" s="5">
        <f>('[1]Pizza Sales Calculations'!$J710-'[1]Pizza Sales Calculations'!$C710)*24*60</f>
        <v>3.0166666698642075</v>
      </c>
      <c r="M710">
        <f>COUNTA('[1]Pizza Sales Calculations'!$D710:$F710)</f>
        <v>1</v>
      </c>
      <c r="N710">
        <f>IFERROR(VLOOKUP(D710,[1]Parameters!$A$3:$C$5,3,FALSE),0)</f>
        <v>1.7</v>
      </c>
      <c r="O710">
        <f>IFERROR(VLOOKUP(E710,[1]Parameters!$A$3:$C$5,3,FALSE),0)</f>
        <v>0</v>
      </c>
      <c r="P710">
        <f>IFERROR(VLOOKUP(F710,[1]Parameters!$A$3:$C$5,3,FALSE),0)</f>
        <v>0</v>
      </c>
      <c r="Q710">
        <f t="shared" si="11"/>
        <v>1.7</v>
      </c>
      <c r="R710" s="10">
        <f>IF('[1]Pizza Sales Calculations'!$G710=TRUE, [1]Parameters!$B$17*'[1]Pizza Sales Calculations'!$L710*2, 0)</f>
        <v>0</v>
      </c>
      <c r="S710" t="str">
        <f>IF(I710&lt;[1]Parameters!$B$21,"TRUE","FALSE")</f>
        <v>TRUE</v>
      </c>
      <c r="T710" s="5">
        <f>(I710/[1]Parameters!$B$25)*60</f>
        <v>0</v>
      </c>
      <c r="U710" s="10">
        <f>IF(AND('[1]Pizza Sales Calculations'!G710=TRUE,'[1]Pizza Sales Calculations'!S710="TRUE"),T710*[1]Parameters!$B$40*2,0)</f>
        <v>0</v>
      </c>
      <c r="V710">
        <f>INDEX([1]Parameters!$A$3:$C$5,MATCH('[1]Pizza Sales Calculations'!D710,[1]Parameters!$A$3:$A$5,0),2)</f>
        <v>10</v>
      </c>
      <c r="W710" t="e">
        <f>INDEX([1]Parameters!$A$3:$C$5,MATCH('[1]Pizza Sales Calculations'!E710,[1]Parameters!$A$3:$A$5,0),2)</f>
        <v>#N/A</v>
      </c>
      <c r="X710" t="e">
        <f>INDEX([1]Parameters!$A$3:$C$5,MATCH('[1]Pizza Sales Calculations'!F710,[1]Parameters!$A$3:$A$5,0),2)</f>
        <v>#N/A</v>
      </c>
    </row>
    <row r="711" spans="1:24" x14ac:dyDescent="0.3">
      <c r="A711">
        <v>710</v>
      </c>
      <c r="B711" s="14">
        <v>42377.482488425929</v>
      </c>
      <c r="C711" s="14">
        <v>42377.492905092593</v>
      </c>
      <c r="D711" t="s">
        <v>4</v>
      </c>
      <c r="G711" t="b">
        <v>1</v>
      </c>
      <c r="H711">
        <v>70804</v>
      </c>
      <c r="I711" s="5">
        <v>2.9515678471742901</v>
      </c>
      <c r="J711" s="14">
        <v>42377.503148148149</v>
      </c>
      <c r="K711">
        <v>11.59</v>
      </c>
      <c r="L711" s="5">
        <f>('[1]Pizza Sales Calculations'!$J711-'[1]Pizza Sales Calculations'!$C711)*24*60</f>
        <v>14.750000000931323</v>
      </c>
      <c r="M711">
        <f>COUNTA('[1]Pizza Sales Calculations'!$D711:$F711)</f>
        <v>1</v>
      </c>
      <c r="N711">
        <f>IFERROR(VLOOKUP(D711,[1]Parameters!$A$3:$C$5,3,FALSE),0)</f>
        <v>1.7</v>
      </c>
      <c r="O711">
        <f>IFERROR(VLOOKUP(E711,[1]Parameters!$A$3:$C$5,3,FALSE),0)</f>
        <v>0</v>
      </c>
      <c r="P711">
        <f>IFERROR(VLOOKUP(F711,[1]Parameters!$A$3:$C$5,3,FALSE),0)</f>
        <v>0</v>
      </c>
      <c r="Q711">
        <f t="shared" si="11"/>
        <v>1.7</v>
      </c>
      <c r="R711" s="10">
        <f>IF('[1]Pizza Sales Calculations'!$G711=TRUE, [1]Parameters!$B$17*'[1]Pizza Sales Calculations'!$L711*2, 0)</f>
        <v>4.1791666669305414</v>
      </c>
      <c r="S711" t="str">
        <f>IF(I711&lt;[1]Parameters!$B$21,"TRUE","FALSE")</f>
        <v>TRUE</v>
      </c>
      <c r="T711" s="5">
        <f>(I711/[1]Parameters!$B$25)*60</f>
        <v>5.9031356943485802</v>
      </c>
      <c r="U711" s="10">
        <f>IF(AND('[1]Pizza Sales Calculations'!G711=TRUE,'[1]Pizza Sales Calculations'!S711="TRUE"),T711*[1]Parameters!$B$40*2,0)</f>
        <v>0.36848924411678219</v>
      </c>
      <c r="V711">
        <f>INDEX([1]Parameters!$A$3:$C$5,MATCH('[1]Pizza Sales Calculations'!D711,[1]Parameters!$A$3:$A$5,0),2)</f>
        <v>10</v>
      </c>
      <c r="W711" t="e">
        <f>INDEX([1]Parameters!$A$3:$C$5,MATCH('[1]Pizza Sales Calculations'!E711,[1]Parameters!$A$3:$A$5,0),2)</f>
        <v>#N/A</v>
      </c>
      <c r="X711" t="e">
        <f>INDEX([1]Parameters!$A$3:$C$5,MATCH('[1]Pizza Sales Calculations'!F711,[1]Parameters!$A$3:$A$5,0),2)</f>
        <v>#N/A</v>
      </c>
    </row>
    <row r="712" spans="1:24" x14ac:dyDescent="0.3">
      <c r="A712">
        <v>711</v>
      </c>
      <c r="B712" s="14">
        <v>42377.499849537038</v>
      </c>
      <c r="C712" s="14">
        <v>42377.510254629633</v>
      </c>
      <c r="D712" t="s">
        <v>3</v>
      </c>
      <c r="E712" t="s">
        <v>4</v>
      </c>
      <c r="G712" t="b">
        <v>0</v>
      </c>
      <c r="H712">
        <v>70804</v>
      </c>
      <c r="I712" s="5">
        <v>0</v>
      </c>
      <c r="J712" s="14">
        <v>42377.512337962966</v>
      </c>
      <c r="K712">
        <v>19.579999999999998</v>
      </c>
      <c r="L712" s="5">
        <f>('[1]Pizza Sales Calculations'!$J712-'[1]Pizza Sales Calculations'!$C712)*24*60</f>
        <v>2.9999999993015081</v>
      </c>
      <c r="M712">
        <f>COUNTA('[1]Pizza Sales Calculations'!$D712:$F712)</f>
        <v>2</v>
      </c>
      <c r="N712">
        <f>IFERROR(VLOOKUP(D712,[1]Parameters!$A$3:$C$5,3,FALSE),0)</f>
        <v>1</v>
      </c>
      <c r="O712">
        <f>IFERROR(VLOOKUP(E712,[1]Parameters!$A$3:$C$5,3,FALSE),0)</f>
        <v>1.7</v>
      </c>
      <c r="P712">
        <f>IFERROR(VLOOKUP(F712,[1]Parameters!$A$3:$C$5,3,FALSE),0)</f>
        <v>0</v>
      </c>
      <c r="Q712">
        <f t="shared" si="11"/>
        <v>2.7</v>
      </c>
      <c r="R712" s="10">
        <f>IF('[1]Pizza Sales Calculations'!$G712=TRUE, [1]Parameters!$B$17*'[1]Pizza Sales Calculations'!$L712*2, 0)</f>
        <v>0</v>
      </c>
      <c r="S712" t="str">
        <f>IF(I712&lt;[1]Parameters!$B$21,"TRUE","FALSE")</f>
        <v>TRUE</v>
      </c>
      <c r="T712" s="5">
        <f>(I712/[1]Parameters!$B$25)*60</f>
        <v>0</v>
      </c>
      <c r="U712" s="10">
        <f>IF(AND('[1]Pizza Sales Calculations'!G712=TRUE,'[1]Pizza Sales Calculations'!S712="TRUE"),T712*[1]Parameters!$B$40*2,0)</f>
        <v>0</v>
      </c>
      <c r="V712">
        <f>INDEX([1]Parameters!$A$3:$C$5,MATCH('[1]Pizza Sales Calculations'!D712,[1]Parameters!$A$3:$A$5,0),2)</f>
        <v>7</v>
      </c>
      <c r="W712">
        <f>INDEX([1]Parameters!$A$3:$C$5,MATCH('[1]Pizza Sales Calculations'!E712,[1]Parameters!$A$3:$A$5,0),2)</f>
        <v>10</v>
      </c>
      <c r="X712" t="e">
        <f>INDEX([1]Parameters!$A$3:$C$5,MATCH('[1]Pizza Sales Calculations'!F712,[1]Parameters!$A$3:$A$5,0),2)</f>
        <v>#N/A</v>
      </c>
    </row>
    <row r="713" spans="1:24" x14ac:dyDescent="0.3">
      <c r="A713">
        <v>712</v>
      </c>
      <c r="B713" s="14">
        <v>42377.423067129632</v>
      </c>
      <c r="C713" s="14">
        <v>42377.43346064815</v>
      </c>
      <c r="D713" t="s">
        <v>3</v>
      </c>
      <c r="G713" t="b">
        <v>0</v>
      </c>
      <c r="H713">
        <v>70805</v>
      </c>
      <c r="I713" s="5">
        <v>0</v>
      </c>
      <c r="J713" s="14">
        <v>42377.435520833336</v>
      </c>
      <c r="K713">
        <v>7.99</v>
      </c>
      <c r="L713" s="5">
        <f>('[1]Pizza Sales Calculations'!$J713-'[1]Pizza Sales Calculations'!$C713)*24*60</f>
        <v>2.9666666686534882</v>
      </c>
      <c r="M713">
        <f>COUNTA('[1]Pizza Sales Calculations'!$D713:$F713)</f>
        <v>1</v>
      </c>
      <c r="N713">
        <f>IFERROR(VLOOKUP(D713,[1]Parameters!$A$3:$C$5,3,FALSE),0)</f>
        <v>1</v>
      </c>
      <c r="O713">
        <f>IFERROR(VLOOKUP(E713,[1]Parameters!$A$3:$C$5,3,FALSE),0)</f>
        <v>0</v>
      </c>
      <c r="P713">
        <f>IFERROR(VLOOKUP(F713,[1]Parameters!$A$3:$C$5,3,FALSE),0)</f>
        <v>0</v>
      </c>
      <c r="Q713">
        <f t="shared" si="11"/>
        <v>1</v>
      </c>
      <c r="R713" s="10">
        <f>IF('[1]Pizza Sales Calculations'!$G713=TRUE, [1]Parameters!$B$17*'[1]Pizza Sales Calculations'!$L713*2, 0)</f>
        <v>0</v>
      </c>
      <c r="S713" t="str">
        <f>IF(I713&lt;[1]Parameters!$B$21,"TRUE","FALSE")</f>
        <v>TRUE</v>
      </c>
      <c r="T713" s="5">
        <f>(I713/[1]Parameters!$B$25)*60</f>
        <v>0</v>
      </c>
      <c r="U713" s="10">
        <f>IF(AND('[1]Pizza Sales Calculations'!G713=TRUE,'[1]Pizza Sales Calculations'!S713="TRUE"),T713*[1]Parameters!$B$40*2,0)</f>
        <v>0</v>
      </c>
      <c r="V713">
        <f>INDEX([1]Parameters!$A$3:$C$5,MATCH('[1]Pizza Sales Calculations'!D713,[1]Parameters!$A$3:$A$5,0),2)</f>
        <v>7</v>
      </c>
      <c r="W713" t="e">
        <f>INDEX([1]Parameters!$A$3:$C$5,MATCH('[1]Pizza Sales Calculations'!E713,[1]Parameters!$A$3:$A$5,0),2)</f>
        <v>#N/A</v>
      </c>
      <c r="X713" t="e">
        <f>INDEX([1]Parameters!$A$3:$C$5,MATCH('[1]Pizza Sales Calculations'!F713,[1]Parameters!$A$3:$A$5,0),2)</f>
        <v>#N/A</v>
      </c>
    </row>
    <row r="714" spans="1:24" x14ac:dyDescent="0.3">
      <c r="A714">
        <v>713</v>
      </c>
      <c r="B714" s="14">
        <v>42377.475856481484</v>
      </c>
      <c r="C714" s="14">
        <v>42377.486250000002</v>
      </c>
      <c r="D714" t="s">
        <v>5</v>
      </c>
      <c r="G714" t="b">
        <v>0</v>
      </c>
      <c r="H714">
        <v>70805</v>
      </c>
      <c r="I714" s="5">
        <v>0</v>
      </c>
      <c r="J714" s="14">
        <v>42377.488321759258</v>
      </c>
      <c r="K714">
        <v>15.35</v>
      </c>
      <c r="L714" s="5">
        <f>('[1]Pizza Sales Calculations'!$J714-'[1]Pizza Sales Calculations'!$C714)*24*60</f>
        <v>2.9833333287388086</v>
      </c>
      <c r="M714">
        <f>COUNTA('[1]Pizza Sales Calculations'!$D714:$F714)</f>
        <v>1</v>
      </c>
      <c r="N714">
        <f>IFERROR(VLOOKUP(D714,[1]Parameters!$A$3:$C$5,3,FALSE),0)</f>
        <v>2.2999999999999998</v>
      </c>
      <c r="O714">
        <f>IFERROR(VLOOKUP(E714,[1]Parameters!$A$3:$C$5,3,FALSE),0)</f>
        <v>0</v>
      </c>
      <c r="P714">
        <f>IFERROR(VLOOKUP(F714,[1]Parameters!$A$3:$C$5,3,FALSE),0)</f>
        <v>0</v>
      </c>
      <c r="Q714">
        <f t="shared" si="11"/>
        <v>2.2999999999999998</v>
      </c>
      <c r="R714" s="10">
        <f>IF('[1]Pizza Sales Calculations'!$G714=TRUE, [1]Parameters!$B$17*'[1]Pizza Sales Calculations'!$L714*2, 0)</f>
        <v>0</v>
      </c>
      <c r="S714" t="str">
        <f>IF(I714&lt;[1]Parameters!$B$21,"TRUE","FALSE")</f>
        <v>TRUE</v>
      </c>
      <c r="T714" s="5">
        <f>(I714/[1]Parameters!$B$25)*60</f>
        <v>0</v>
      </c>
      <c r="U714" s="10">
        <f>IF(AND('[1]Pizza Sales Calculations'!G714=TRUE,'[1]Pizza Sales Calculations'!S714="TRUE"),T714*[1]Parameters!$B$40*2,0)</f>
        <v>0</v>
      </c>
      <c r="V714">
        <f>INDEX([1]Parameters!$A$3:$C$5,MATCH('[1]Pizza Sales Calculations'!D714,[1]Parameters!$A$3:$A$5,0),2)</f>
        <v>14</v>
      </c>
      <c r="W714" t="e">
        <f>INDEX([1]Parameters!$A$3:$C$5,MATCH('[1]Pizza Sales Calculations'!E714,[1]Parameters!$A$3:$A$5,0),2)</f>
        <v>#N/A</v>
      </c>
      <c r="X714" t="e">
        <f>INDEX([1]Parameters!$A$3:$C$5,MATCH('[1]Pizza Sales Calculations'!F714,[1]Parameters!$A$3:$A$5,0),2)</f>
        <v>#N/A</v>
      </c>
    </row>
    <row r="715" spans="1:24" x14ac:dyDescent="0.3">
      <c r="A715">
        <v>714</v>
      </c>
      <c r="B715" s="14">
        <v>42377.523240740738</v>
      </c>
      <c r="C715" s="14">
        <v>42377.533634259256</v>
      </c>
      <c r="D715" t="s">
        <v>4</v>
      </c>
      <c r="G715" t="b">
        <v>1</v>
      </c>
      <c r="H715">
        <v>70804</v>
      </c>
      <c r="I715" s="5">
        <v>2.0220840965049698</v>
      </c>
      <c r="J715" s="14">
        <v>42377.540648148148</v>
      </c>
      <c r="K715">
        <v>11.59</v>
      </c>
      <c r="L715" s="5">
        <f>('[1]Pizza Sales Calculations'!$J715-'[1]Pizza Sales Calculations'!$C715)*24*60</f>
        <v>10.100000003585592</v>
      </c>
      <c r="M715">
        <f>COUNTA('[1]Pizza Sales Calculations'!$D715:$F715)</f>
        <v>1</v>
      </c>
      <c r="N715">
        <f>IFERROR(VLOOKUP(D715,[1]Parameters!$A$3:$C$5,3,FALSE),0)</f>
        <v>1.7</v>
      </c>
      <c r="O715">
        <f>IFERROR(VLOOKUP(E715,[1]Parameters!$A$3:$C$5,3,FALSE),0)</f>
        <v>0</v>
      </c>
      <c r="P715">
        <f>IFERROR(VLOOKUP(F715,[1]Parameters!$A$3:$C$5,3,FALSE),0)</f>
        <v>0</v>
      </c>
      <c r="Q715">
        <f t="shared" si="11"/>
        <v>1.7</v>
      </c>
      <c r="R715" s="10">
        <f>IF('[1]Pizza Sales Calculations'!$G715=TRUE, [1]Parameters!$B$17*'[1]Pizza Sales Calculations'!$L715*2, 0)</f>
        <v>2.8616666676825844</v>
      </c>
      <c r="S715" t="str">
        <f>IF(I715&lt;[1]Parameters!$B$21,"TRUE","FALSE")</f>
        <v>TRUE</v>
      </c>
      <c r="T715" s="5">
        <f>(I715/[1]Parameters!$B$25)*60</f>
        <v>4.0441681930099396</v>
      </c>
      <c r="U715" s="10">
        <f>IF(AND('[1]Pizza Sales Calculations'!G715=TRUE,'[1]Pizza Sales Calculations'!S715="TRUE"),T715*[1]Parameters!$B$40*2,0)</f>
        <v>0.25244760711668085</v>
      </c>
      <c r="V715">
        <f>INDEX([1]Parameters!$A$3:$C$5,MATCH('[1]Pizza Sales Calculations'!D715,[1]Parameters!$A$3:$A$5,0),2)</f>
        <v>10</v>
      </c>
      <c r="W715" t="e">
        <f>INDEX([1]Parameters!$A$3:$C$5,MATCH('[1]Pizza Sales Calculations'!E715,[1]Parameters!$A$3:$A$5,0),2)</f>
        <v>#N/A</v>
      </c>
      <c r="X715" t="e">
        <f>INDEX([1]Parameters!$A$3:$C$5,MATCH('[1]Pizza Sales Calculations'!F715,[1]Parameters!$A$3:$A$5,0),2)</f>
        <v>#N/A</v>
      </c>
    </row>
    <row r="716" spans="1:24" x14ac:dyDescent="0.3">
      <c r="A716">
        <v>715</v>
      </c>
      <c r="B716" s="14">
        <v>42377.513356481482</v>
      </c>
      <c r="C716" s="14">
        <v>42377.523784722223</v>
      </c>
      <c r="D716" t="s">
        <v>4</v>
      </c>
      <c r="G716" t="b">
        <v>0</v>
      </c>
      <c r="H716">
        <v>70805</v>
      </c>
      <c r="I716" s="5">
        <v>0</v>
      </c>
      <c r="J716" s="14">
        <v>42377.525833333333</v>
      </c>
      <c r="K716">
        <v>11.59</v>
      </c>
      <c r="L716" s="5">
        <f>('[1]Pizza Sales Calculations'!$J716-'[1]Pizza Sales Calculations'!$C716)*24*60</f>
        <v>2.9499999980907887</v>
      </c>
      <c r="M716">
        <f>COUNTA('[1]Pizza Sales Calculations'!$D716:$F716)</f>
        <v>1</v>
      </c>
      <c r="N716">
        <f>IFERROR(VLOOKUP(D716,[1]Parameters!$A$3:$C$5,3,FALSE),0)</f>
        <v>1.7</v>
      </c>
      <c r="O716">
        <f>IFERROR(VLOOKUP(E716,[1]Parameters!$A$3:$C$5,3,FALSE),0)</f>
        <v>0</v>
      </c>
      <c r="P716">
        <f>IFERROR(VLOOKUP(F716,[1]Parameters!$A$3:$C$5,3,FALSE),0)</f>
        <v>0</v>
      </c>
      <c r="Q716">
        <f t="shared" si="11"/>
        <v>1.7</v>
      </c>
      <c r="R716" s="10">
        <f>IF('[1]Pizza Sales Calculations'!$G716=TRUE, [1]Parameters!$B$17*'[1]Pizza Sales Calculations'!$L716*2, 0)</f>
        <v>0</v>
      </c>
      <c r="S716" t="str">
        <f>IF(I716&lt;[1]Parameters!$B$21,"TRUE","FALSE")</f>
        <v>TRUE</v>
      </c>
      <c r="T716" s="5">
        <f>(I716/[1]Parameters!$B$25)*60</f>
        <v>0</v>
      </c>
      <c r="U716" s="10">
        <f>IF(AND('[1]Pizza Sales Calculations'!G716=TRUE,'[1]Pizza Sales Calculations'!S716="TRUE"),T716*[1]Parameters!$B$40*2,0)</f>
        <v>0</v>
      </c>
      <c r="V716">
        <f>INDEX([1]Parameters!$A$3:$C$5,MATCH('[1]Pizza Sales Calculations'!D716,[1]Parameters!$A$3:$A$5,0),2)</f>
        <v>10</v>
      </c>
      <c r="W716" t="e">
        <f>INDEX([1]Parameters!$A$3:$C$5,MATCH('[1]Pizza Sales Calculations'!E716,[1]Parameters!$A$3:$A$5,0),2)</f>
        <v>#N/A</v>
      </c>
      <c r="X716" t="e">
        <f>INDEX([1]Parameters!$A$3:$C$5,MATCH('[1]Pizza Sales Calculations'!F716,[1]Parameters!$A$3:$A$5,0),2)</f>
        <v>#N/A</v>
      </c>
    </row>
    <row r="717" spans="1:24" x14ac:dyDescent="0.3">
      <c r="A717">
        <v>716</v>
      </c>
      <c r="B717" s="14">
        <v>42377.53297453704</v>
      </c>
      <c r="C717" s="14">
        <v>42377.543402777781</v>
      </c>
      <c r="D717" t="s">
        <v>3</v>
      </c>
      <c r="E717" t="s">
        <v>4</v>
      </c>
      <c r="G717" t="b">
        <v>0</v>
      </c>
      <c r="H717">
        <v>70803</v>
      </c>
      <c r="I717" s="5">
        <v>0</v>
      </c>
      <c r="J717" s="14">
        <v>42377.545486111114</v>
      </c>
      <c r="K717">
        <v>19.579999999999998</v>
      </c>
      <c r="L717" s="5">
        <f>('[1]Pizza Sales Calculations'!$J717-'[1]Pizza Sales Calculations'!$C717)*24*60</f>
        <v>2.9999999993015081</v>
      </c>
      <c r="M717">
        <f>COUNTA('[1]Pizza Sales Calculations'!$D717:$F717)</f>
        <v>2</v>
      </c>
      <c r="N717">
        <f>IFERROR(VLOOKUP(D717,[1]Parameters!$A$3:$C$5,3,FALSE),0)</f>
        <v>1</v>
      </c>
      <c r="O717">
        <f>IFERROR(VLOOKUP(E717,[1]Parameters!$A$3:$C$5,3,FALSE),0)</f>
        <v>1.7</v>
      </c>
      <c r="P717">
        <f>IFERROR(VLOOKUP(F717,[1]Parameters!$A$3:$C$5,3,FALSE),0)</f>
        <v>0</v>
      </c>
      <c r="Q717">
        <f t="shared" si="11"/>
        <v>2.7</v>
      </c>
      <c r="R717" s="10">
        <f>IF('[1]Pizza Sales Calculations'!$G717=TRUE, [1]Parameters!$B$17*'[1]Pizza Sales Calculations'!$L717*2, 0)</f>
        <v>0</v>
      </c>
      <c r="S717" t="str">
        <f>IF(I717&lt;[1]Parameters!$B$21,"TRUE","FALSE")</f>
        <v>TRUE</v>
      </c>
      <c r="T717" s="5">
        <f>(I717/[1]Parameters!$B$25)*60</f>
        <v>0</v>
      </c>
      <c r="U717" s="10">
        <f>IF(AND('[1]Pizza Sales Calculations'!G717=TRUE,'[1]Pizza Sales Calculations'!S717="TRUE"),T717*[1]Parameters!$B$40*2,0)</f>
        <v>0</v>
      </c>
      <c r="V717">
        <f>INDEX([1]Parameters!$A$3:$C$5,MATCH('[1]Pizza Sales Calculations'!D717,[1]Parameters!$A$3:$A$5,0),2)</f>
        <v>7</v>
      </c>
      <c r="W717">
        <f>INDEX([1]Parameters!$A$3:$C$5,MATCH('[1]Pizza Sales Calculations'!E717,[1]Parameters!$A$3:$A$5,0),2)</f>
        <v>10</v>
      </c>
      <c r="X717" t="e">
        <f>INDEX([1]Parameters!$A$3:$C$5,MATCH('[1]Pizza Sales Calculations'!F717,[1]Parameters!$A$3:$A$5,0),2)</f>
        <v>#N/A</v>
      </c>
    </row>
    <row r="718" spans="1:24" x14ac:dyDescent="0.3">
      <c r="A718">
        <v>717</v>
      </c>
      <c r="B718" s="14">
        <v>42377.495092592595</v>
      </c>
      <c r="C718" s="14">
        <v>42377.505497685182</v>
      </c>
      <c r="D718" t="s">
        <v>5</v>
      </c>
      <c r="G718" t="b">
        <v>0</v>
      </c>
      <c r="H718">
        <v>70805</v>
      </c>
      <c r="I718" s="5">
        <v>0</v>
      </c>
      <c r="J718" s="14">
        <v>42377.507569444446</v>
      </c>
      <c r="K718">
        <v>15.35</v>
      </c>
      <c r="L718" s="5">
        <f>('[1]Pizza Sales Calculations'!$J718-'[1]Pizza Sales Calculations'!$C718)*24*60</f>
        <v>2.9833333392161876</v>
      </c>
      <c r="M718">
        <f>COUNTA('[1]Pizza Sales Calculations'!$D718:$F718)</f>
        <v>1</v>
      </c>
      <c r="N718">
        <f>IFERROR(VLOOKUP(D718,[1]Parameters!$A$3:$C$5,3,FALSE),0)</f>
        <v>2.2999999999999998</v>
      </c>
      <c r="O718">
        <f>IFERROR(VLOOKUP(E718,[1]Parameters!$A$3:$C$5,3,FALSE),0)</f>
        <v>0</v>
      </c>
      <c r="P718">
        <f>IFERROR(VLOOKUP(F718,[1]Parameters!$A$3:$C$5,3,FALSE),0)</f>
        <v>0</v>
      </c>
      <c r="Q718">
        <f t="shared" si="11"/>
        <v>2.2999999999999998</v>
      </c>
      <c r="R718" s="10">
        <f>IF('[1]Pizza Sales Calculations'!$G718=TRUE, [1]Parameters!$B$17*'[1]Pizza Sales Calculations'!$L718*2, 0)</f>
        <v>0</v>
      </c>
      <c r="S718" t="str">
        <f>IF(I718&lt;[1]Parameters!$B$21,"TRUE","FALSE")</f>
        <v>TRUE</v>
      </c>
      <c r="T718" s="5">
        <f>(I718/[1]Parameters!$B$25)*60</f>
        <v>0</v>
      </c>
      <c r="U718" s="10">
        <f>IF(AND('[1]Pizza Sales Calculations'!G718=TRUE,'[1]Pizza Sales Calculations'!S718="TRUE"),T718*[1]Parameters!$B$40*2,0)</f>
        <v>0</v>
      </c>
      <c r="V718">
        <f>INDEX([1]Parameters!$A$3:$C$5,MATCH('[1]Pizza Sales Calculations'!D718,[1]Parameters!$A$3:$A$5,0),2)</f>
        <v>14</v>
      </c>
      <c r="W718" t="e">
        <f>INDEX([1]Parameters!$A$3:$C$5,MATCH('[1]Pizza Sales Calculations'!E718,[1]Parameters!$A$3:$A$5,0),2)</f>
        <v>#N/A</v>
      </c>
      <c r="X718" t="e">
        <f>INDEX([1]Parameters!$A$3:$C$5,MATCH('[1]Pizza Sales Calculations'!F718,[1]Parameters!$A$3:$A$5,0),2)</f>
        <v>#N/A</v>
      </c>
    </row>
    <row r="719" spans="1:24" x14ac:dyDescent="0.3">
      <c r="A719">
        <v>718</v>
      </c>
      <c r="B719" s="14">
        <v>42377.501585648148</v>
      </c>
      <c r="C719" s="14">
        <v>42377.511990740742</v>
      </c>
      <c r="D719" t="s">
        <v>3</v>
      </c>
      <c r="G719" t="b">
        <v>0</v>
      </c>
      <c r="H719">
        <v>70806</v>
      </c>
      <c r="I719" s="5">
        <v>0</v>
      </c>
      <c r="J719" s="14">
        <v>42377.514062499999</v>
      </c>
      <c r="K719">
        <v>7.99</v>
      </c>
      <c r="L719" s="5">
        <f>('[1]Pizza Sales Calculations'!$J719-'[1]Pizza Sales Calculations'!$C719)*24*60</f>
        <v>2.9833333287388086</v>
      </c>
      <c r="M719">
        <f>COUNTA('[1]Pizza Sales Calculations'!$D719:$F719)</f>
        <v>1</v>
      </c>
      <c r="N719">
        <f>IFERROR(VLOOKUP(D719,[1]Parameters!$A$3:$C$5,3,FALSE),0)</f>
        <v>1</v>
      </c>
      <c r="O719">
        <f>IFERROR(VLOOKUP(E719,[1]Parameters!$A$3:$C$5,3,FALSE),0)</f>
        <v>0</v>
      </c>
      <c r="P719">
        <f>IFERROR(VLOOKUP(F719,[1]Parameters!$A$3:$C$5,3,FALSE),0)</f>
        <v>0</v>
      </c>
      <c r="Q719">
        <f t="shared" si="11"/>
        <v>1</v>
      </c>
      <c r="R719" s="10">
        <f>IF('[1]Pizza Sales Calculations'!$G719=TRUE, [1]Parameters!$B$17*'[1]Pizza Sales Calculations'!$L719*2, 0)</f>
        <v>0</v>
      </c>
      <c r="S719" t="str">
        <f>IF(I719&lt;[1]Parameters!$B$21,"TRUE","FALSE")</f>
        <v>TRUE</v>
      </c>
      <c r="T719" s="5">
        <f>(I719/[1]Parameters!$B$25)*60</f>
        <v>0</v>
      </c>
      <c r="U719" s="10">
        <f>IF(AND('[1]Pizza Sales Calculations'!G719=TRUE,'[1]Pizza Sales Calculations'!S719="TRUE"),T719*[1]Parameters!$B$40*2,0)</f>
        <v>0</v>
      </c>
      <c r="V719">
        <f>INDEX([1]Parameters!$A$3:$C$5,MATCH('[1]Pizza Sales Calculations'!D719,[1]Parameters!$A$3:$A$5,0),2)</f>
        <v>7</v>
      </c>
      <c r="W719" t="e">
        <f>INDEX([1]Parameters!$A$3:$C$5,MATCH('[1]Pizza Sales Calculations'!E719,[1]Parameters!$A$3:$A$5,0),2)</f>
        <v>#N/A</v>
      </c>
      <c r="X719" t="e">
        <f>INDEX([1]Parameters!$A$3:$C$5,MATCH('[1]Pizza Sales Calculations'!F719,[1]Parameters!$A$3:$A$5,0),2)</f>
        <v>#N/A</v>
      </c>
    </row>
    <row r="720" spans="1:24" x14ac:dyDescent="0.3">
      <c r="A720">
        <v>719</v>
      </c>
      <c r="B720" s="14">
        <v>42377.592175925929</v>
      </c>
      <c r="C720" s="14">
        <v>42377.60260416667</v>
      </c>
      <c r="D720" t="s">
        <v>4</v>
      </c>
      <c r="G720" t="b">
        <v>1</v>
      </c>
      <c r="H720">
        <v>70803</v>
      </c>
      <c r="I720" s="5">
        <v>5.4078377336776899</v>
      </c>
      <c r="J720" s="14">
        <v>42377.621377314812</v>
      </c>
      <c r="K720">
        <v>11.59</v>
      </c>
      <c r="L720" s="5">
        <f>('[1]Pizza Sales Calculations'!$J720-'[1]Pizza Sales Calculations'!$C720)*24*60</f>
        <v>27.033333324361593</v>
      </c>
      <c r="M720">
        <f>COUNTA('[1]Pizza Sales Calculations'!$D720:$F720)</f>
        <v>1</v>
      </c>
      <c r="N720">
        <f>IFERROR(VLOOKUP(D720,[1]Parameters!$A$3:$C$5,3,FALSE),0)</f>
        <v>1.7</v>
      </c>
      <c r="O720">
        <f>IFERROR(VLOOKUP(E720,[1]Parameters!$A$3:$C$5,3,FALSE),0)</f>
        <v>0</v>
      </c>
      <c r="P720">
        <f>IFERROR(VLOOKUP(F720,[1]Parameters!$A$3:$C$5,3,FALSE),0)</f>
        <v>0</v>
      </c>
      <c r="Q720">
        <f t="shared" si="11"/>
        <v>1.7</v>
      </c>
      <c r="R720" s="10">
        <f>IF('[1]Pizza Sales Calculations'!$G720=TRUE, [1]Parameters!$B$17*'[1]Pizza Sales Calculations'!$L720*2, 0)</f>
        <v>7.6594444419024512</v>
      </c>
      <c r="S720" t="str">
        <f>IF(I720&lt;[1]Parameters!$B$21,"TRUE","FALSE")</f>
        <v>FALSE</v>
      </c>
      <c r="T720" s="5">
        <f>(I720/[1]Parameters!$B$25)*60</f>
        <v>10.81567546735538</v>
      </c>
      <c r="U720" s="10">
        <f>IF(AND('[1]Pizza Sales Calculations'!G720=TRUE,'[1]Pizza Sales Calculations'!S720="TRUE"),T720*[1]Parameters!$B$40*2,0)</f>
        <v>0</v>
      </c>
      <c r="V720">
        <f>INDEX([1]Parameters!$A$3:$C$5,MATCH('[1]Pizza Sales Calculations'!D720,[1]Parameters!$A$3:$A$5,0),2)</f>
        <v>10</v>
      </c>
      <c r="W720" t="e">
        <f>INDEX([1]Parameters!$A$3:$C$5,MATCH('[1]Pizza Sales Calculations'!E720,[1]Parameters!$A$3:$A$5,0),2)</f>
        <v>#N/A</v>
      </c>
      <c r="X720" t="e">
        <f>INDEX([1]Parameters!$A$3:$C$5,MATCH('[1]Pizza Sales Calculations'!F720,[1]Parameters!$A$3:$A$5,0),2)</f>
        <v>#N/A</v>
      </c>
    </row>
    <row r="721" spans="1:24" x14ac:dyDescent="0.3">
      <c r="A721">
        <v>720</v>
      </c>
      <c r="B721" s="14">
        <v>42377.569363425922</v>
      </c>
      <c r="C721" s="14">
        <v>42377.579756944448</v>
      </c>
      <c r="D721" t="s">
        <v>3</v>
      </c>
      <c r="G721" t="b">
        <v>1</v>
      </c>
      <c r="H721">
        <v>70805</v>
      </c>
      <c r="I721" s="5">
        <v>3.3609764242120699</v>
      </c>
      <c r="J721" s="14">
        <v>42377.591423611113</v>
      </c>
      <c r="K721">
        <v>7.99</v>
      </c>
      <c r="L721" s="5">
        <f>('[1]Pizza Sales Calculations'!$J721-'[1]Pizza Sales Calculations'!$C721)*24*60</f>
        <v>16.799999998183921</v>
      </c>
      <c r="M721">
        <f>COUNTA('[1]Pizza Sales Calculations'!$D721:$F721)</f>
        <v>1</v>
      </c>
      <c r="N721">
        <f>IFERROR(VLOOKUP(D721,[1]Parameters!$A$3:$C$5,3,FALSE),0)</f>
        <v>1</v>
      </c>
      <c r="O721">
        <f>IFERROR(VLOOKUP(E721,[1]Parameters!$A$3:$C$5,3,FALSE),0)</f>
        <v>0</v>
      </c>
      <c r="P721">
        <f>IFERROR(VLOOKUP(F721,[1]Parameters!$A$3:$C$5,3,FALSE),0)</f>
        <v>0</v>
      </c>
      <c r="Q721">
        <f t="shared" si="11"/>
        <v>1</v>
      </c>
      <c r="R721" s="10">
        <f>IF('[1]Pizza Sales Calculations'!$G721=TRUE, [1]Parameters!$B$17*'[1]Pizza Sales Calculations'!$L721*2, 0)</f>
        <v>4.7599999994854443</v>
      </c>
      <c r="S721" t="str">
        <f>IF(I721&lt;[1]Parameters!$B$21,"TRUE","FALSE")</f>
        <v>FALSE</v>
      </c>
      <c r="T721" s="5">
        <f>(I721/[1]Parameters!$B$25)*60</f>
        <v>6.7219528484241398</v>
      </c>
      <c r="U721" s="10">
        <f>IF(AND('[1]Pizza Sales Calculations'!G721=TRUE,'[1]Pizza Sales Calculations'!S721="TRUE"),T721*[1]Parameters!$B$40*2,0)</f>
        <v>0</v>
      </c>
      <c r="V721">
        <f>INDEX([1]Parameters!$A$3:$C$5,MATCH('[1]Pizza Sales Calculations'!D721,[1]Parameters!$A$3:$A$5,0),2)</f>
        <v>7</v>
      </c>
      <c r="W721" t="e">
        <f>INDEX([1]Parameters!$A$3:$C$5,MATCH('[1]Pizza Sales Calculations'!E721,[1]Parameters!$A$3:$A$5,0),2)</f>
        <v>#N/A</v>
      </c>
      <c r="X721" t="e">
        <f>INDEX([1]Parameters!$A$3:$C$5,MATCH('[1]Pizza Sales Calculations'!F721,[1]Parameters!$A$3:$A$5,0),2)</f>
        <v>#N/A</v>
      </c>
    </row>
    <row r="722" spans="1:24" x14ac:dyDescent="0.3">
      <c r="A722">
        <v>721</v>
      </c>
      <c r="B722" s="14">
        <v>42377.518796296295</v>
      </c>
      <c r="C722" s="14">
        <v>42377.52920138889</v>
      </c>
      <c r="D722" t="s">
        <v>5</v>
      </c>
      <c r="G722" t="b">
        <v>0</v>
      </c>
      <c r="H722">
        <v>70805</v>
      </c>
      <c r="I722" s="5">
        <v>0</v>
      </c>
      <c r="J722" s="14">
        <v>42377.531273148146</v>
      </c>
      <c r="K722">
        <v>15.35</v>
      </c>
      <c r="L722" s="5">
        <f>('[1]Pizza Sales Calculations'!$J722-'[1]Pizza Sales Calculations'!$C722)*24*60</f>
        <v>2.9833333287388086</v>
      </c>
      <c r="M722">
        <f>COUNTA('[1]Pizza Sales Calculations'!$D722:$F722)</f>
        <v>1</v>
      </c>
      <c r="N722">
        <f>IFERROR(VLOOKUP(D722,[1]Parameters!$A$3:$C$5,3,FALSE),0)</f>
        <v>2.2999999999999998</v>
      </c>
      <c r="O722">
        <f>IFERROR(VLOOKUP(E722,[1]Parameters!$A$3:$C$5,3,FALSE),0)</f>
        <v>0</v>
      </c>
      <c r="P722">
        <f>IFERROR(VLOOKUP(F722,[1]Parameters!$A$3:$C$5,3,FALSE),0)</f>
        <v>0</v>
      </c>
      <c r="Q722">
        <f t="shared" si="11"/>
        <v>2.2999999999999998</v>
      </c>
      <c r="R722" s="10">
        <f>IF('[1]Pizza Sales Calculations'!$G722=TRUE, [1]Parameters!$B$17*'[1]Pizza Sales Calculations'!$L722*2, 0)</f>
        <v>0</v>
      </c>
      <c r="S722" t="str">
        <f>IF(I722&lt;[1]Parameters!$B$21,"TRUE","FALSE")</f>
        <v>TRUE</v>
      </c>
      <c r="T722" s="5">
        <f>(I722/[1]Parameters!$B$25)*60</f>
        <v>0</v>
      </c>
      <c r="U722" s="10">
        <f>IF(AND('[1]Pizza Sales Calculations'!G722=TRUE,'[1]Pizza Sales Calculations'!S722="TRUE"),T722*[1]Parameters!$B$40*2,0)</f>
        <v>0</v>
      </c>
      <c r="V722">
        <f>INDEX([1]Parameters!$A$3:$C$5,MATCH('[1]Pizza Sales Calculations'!D722,[1]Parameters!$A$3:$A$5,0),2)</f>
        <v>14</v>
      </c>
      <c r="W722" t="e">
        <f>INDEX([1]Parameters!$A$3:$C$5,MATCH('[1]Pizza Sales Calculations'!E722,[1]Parameters!$A$3:$A$5,0),2)</f>
        <v>#N/A</v>
      </c>
      <c r="X722" t="e">
        <f>INDEX([1]Parameters!$A$3:$C$5,MATCH('[1]Pizza Sales Calculations'!F722,[1]Parameters!$A$3:$A$5,0),2)</f>
        <v>#N/A</v>
      </c>
    </row>
    <row r="723" spans="1:24" x14ac:dyDescent="0.3">
      <c r="A723">
        <v>722</v>
      </c>
      <c r="B723" s="14">
        <v>42377.523125</v>
      </c>
      <c r="C723" s="14">
        <v>42377.533530092594</v>
      </c>
      <c r="D723" t="s">
        <v>4</v>
      </c>
      <c r="G723" t="b">
        <v>1</v>
      </c>
      <c r="H723">
        <v>70808</v>
      </c>
      <c r="I723" s="5">
        <v>2.3559184232680401</v>
      </c>
      <c r="J723" s="14">
        <v>42377.541701388887</v>
      </c>
      <c r="K723">
        <v>11.59</v>
      </c>
      <c r="L723" s="5">
        <f>('[1]Pizza Sales Calculations'!$J723-'[1]Pizza Sales Calculations'!$C723)*24*60</f>
        <v>11.766666661715135</v>
      </c>
      <c r="M723">
        <f>COUNTA('[1]Pizza Sales Calculations'!$D723:$F723)</f>
        <v>1</v>
      </c>
      <c r="N723">
        <f>IFERROR(VLOOKUP(D723,[1]Parameters!$A$3:$C$5,3,FALSE),0)</f>
        <v>1.7</v>
      </c>
      <c r="O723">
        <f>IFERROR(VLOOKUP(E723,[1]Parameters!$A$3:$C$5,3,FALSE),0)</f>
        <v>0</v>
      </c>
      <c r="P723">
        <f>IFERROR(VLOOKUP(F723,[1]Parameters!$A$3:$C$5,3,FALSE),0)</f>
        <v>0</v>
      </c>
      <c r="Q723">
        <f t="shared" si="11"/>
        <v>1.7</v>
      </c>
      <c r="R723" s="10">
        <f>IF('[1]Pizza Sales Calculations'!$G723=TRUE, [1]Parameters!$B$17*'[1]Pizza Sales Calculations'!$L723*2, 0)</f>
        <v>3.3338888874859549</v>
      </c>
      <c r="S723" t="str">
        <f>IF(I723&lt;[1]Parameters!$B$21,"TRUE","FALSE")</f>
        <v>TRUE</v>
      </c>
      <c r="T723" s="5">
        <f>(I723/[1]Parameters!$B$25)*60</f>
        <v>4.7118368465360803</v>
      </c>
      <c r="U723" s="10">
        <f>IF(AND('[1]Pizza Sales Calculations'!G723=TRUE,'[1]Pizza Sales Calculations'!S723="TRUE"),T723*[1]Parameters!$B$40*2,0)</f>
        <v>0.2941252391748182</v>
      </c>
      <c r="V723">
        <f>INDEX([1]Parameters!$A$3:$C$5,MATCH('[1]Pizza Sales Calculations'!D723,[1]Parameters!$A$3:$A$5,0),2)</f>
        <v>10</v>
      </c>
      <c r="W723" t="e">
        <f>INDEX([1]Parameters!$A$3:$C$5,MATCH('[1]Pizza Sales Calculations'!E723,[1]Parameters!$A$3:$A$5,0),2)</f>
        <v>#N/A</v>
      </c>
      <c r="X723" t="e">
        <f>INDEX([1]Parameters!$A$3:$C$5,MATCH('[1]Pizza Sales Calculations'!F723,[1]Parameters!$A$3:$A$5,0),2)</f>
        <v>#N/A</v>
      </c>
    </row>
    <row r="724" spans="1:24" x14ac:dyDescent="0.3">
      <c r="A724">
        <v>723</v>
      </c>
      <c r="B724" s="14">
        <v>42377.470995370371</v>
      </c>
      <c r="C724" s="14">
        <v>42377.481388888889</v>
      </c>
      <c r="D724" t="s">
        <v>4</v>
      </c>
      <c r="G724" t="b">
        <v>0</v>
      </c>
      <c r="H724">
        <v>70804</v>
      </c>
      <c r="I724" s="5">
        <v>0</v>
      </c>
      <c r="J724" s="14">
        <v>42377.483472222222</v>
      </c>
      <c r="K724">
        <v>11.59</v>
      </c>
      <c r="L724" s="5">
        <f>('[1]Pizza Sales Calculations'!$J724-'[1]Pizza Sales Calculations'!$C724)*24*60</f>
        <v>2.9999999993015081</v>
      </c>
      <c r="M724">
        <f>COUNTA('[1]Pizza Sales Calculations'!$D724:$F724)</f>
        <v>1</v>
      </c>
      <c r="N724">
        <f>IFERROR(VLOOKUP(D724,[1]Parameters!$A$3:$C$5,3,FALSE),0)</f>
        <v>1.7</v>
      </c>
      <c r="O724">
        <f>IFERROR(VLOOKUP(E724,[1]Parameters!$A$3:$C$5,3,FALSE),0)</f>
        <v>0</v>
      </c>
      <c r="P724">
        <f>IFERROR(VLOOKUP(F724,[1]Parameters!$A$3:$C$5,3,FALSE),0)</f>
        <v>0</v>
      </c>
      <c r="Q724">
        <f t="shared" si="11"/>
        <v>1.7</v>
      </c>
      <c r="R724" s="10">
        <f>IF('[1]Pizza Sales Calculations'!$G724=TRUE, [1]Parameters!$B$17*'[1]Pizza Sales Calculations'!$L724*2, 0)</f>
        <v>0</v>
      </c>
      <c r="S724" t="str">
        <f>IF(I724&lt;[1]Parameters!$B$21,"TRUE","FALSE")</f>
        <v>TRUE</v>
      </c>
      <c r="T724" s="5">
        <f>(I724/[1]Parameters!$B$25)*60</f>
        <v>0</v>
      </c>
      <c r="U724" s="10">
        <f>IF(AND('[1]Pizza Sales Calculations'!G724=TRUE,'[1]Pizza Sales Calculations'!S724="TRUE"),T724*[1]Parameters!$B$40*2,0)</f>
        <v>0</v>
      </c>
      <c r="V724">
        <f>INDEX([1]Parameters!$A$3:$C$5,MATCH('[1]Pizza Sales Calculations'!D724,[1]Parameters!$A$3:$A$5,0),2)</f>
        <v>10</v>
      </c>
      <c r="W724" t="e">
        <f>INDEX([1]Parameters!$A$3:$C$5,MATCH('[1]Pizza Sales Calculations'!E724,[1]Parameters!$A$3:$A$5,0),2)</f>
        <v>#N/A</v>
      </c>
      <c r="X724" t="e">
        <f>INDEX([1]Parameters!$A$3:$C$5,MATCH('[1]Pizza Sales Calculations'!F724,[1]Parameters!$A$3:$A$5,0),2)</f>
        <v>#N/A</v>
      </c>
    </row>
    <row r="725" spans="1:24" x14ac:dyDescent="0.3">
      <c r="A725">
        <v>724</v>
      </c>
      <c r="B725" s="14">
        <v>42377.507268518515</v>
      </c>
      <c r="C725" s="14">
        <v>42377.517696759256</v>
      </c>
      <c r="D725" t="s">
        <v>4</v>
      </c>
      <c r="G725" t="b">
        <v>1</v>
      </c>
      <c r="H725">
        <v>70806</v>
      </c>
      <c r="I725" s="5">
        <v>4.3850610137594801</v>
      </c>
      <c r="J725" s="14">
        <v>42377.532916666663</v>
      </c>
      <c r="K725">
        <v>11.59</v>
      </c>
      <c r="L725" s="5">
        <f>('[1]Pizza Sales Calculations'!$J725-'[1]Pizza Sales Calculations'!$C725)*24*60</f>
        <v>21.916666666511446</v>
      </c>
      <c r="M725">
        <f>COUNTA('[1]Pizza Sales Calculations'!$D725:$F725)</f>
        <v>1</v>
      </c>
      <c r="N725">
        <f>IFERROR(VLOOKUP(D725,[1]Parameters!$A$3:$C$5,3,FALSE),0)</f>
        <v>1.7</v>
      </c>
      <c r="O725">
        <f>IFERROR(VLOOKUP(E725,[1]Parameters!$A$3:$C$5,3,FALSE),0)</f>
        <v>0</v>
      </c>
      <c r="P725">
        <f>IFERROR(VLOOKUP(F725,[1]Parameters!$A$3:$C$5,3,FALSE),0)</f>
        <v>0</v>
      </c>
      <c r="Q725">
        <f t="shared" si="11"/>
        <v>1.7</v>
      </c>
      <c r="R725" s="10">
        <f>IF('[1]Pizza Sales Calculations'!$G725=TRUE, [1]Parameters!$B$17*'[1]Pizza Sales Calculations'!$L725*2, 0)</f>
        <v>6.2097222221782431</v>
      </c>
      <c r="S725" t="str">
        <f>IF(I725&lt;[1]Parameters!$B$21,"TRUE","FALSE")</f>
        <v>FALSE</v>
      </c>
      <c r="T725" s="5">
        <f>(I725/[1]Parameters!$B$25)*60</f>
        <v>8.7701220275189602</v>
      </c>
      <c r="U725" s="10">
        <f>IF(AND('[1]Pizza Sales Calculations'!G725=TRUE,'[1]Pizza Sales Calculations'!S725="TRUE"),T725*[1]Parameters!$B$40*2,0)</f>
        <v>0</v>
      </c>
      <c r="V725">
        <f>INDEX([1]Parameters!$A$3:$C$5,MATCH('[1]Pizza Sales Calculations'!D725,[1]Parameters!$A$3:$A$5,0),2)</f>
        <v>10</v>
      </c>
      <c r="W725" t="e">
        <f>INDEX([1]Parameters!$A$3:$C$5,MATCH('[1]Pizza Sales Calculations'!E725,[1]Parameters!$A$3:$A$5,0),2)</f>
        <v>#N/A</v>
      </c>
      <c r="X725" t="e">
        <f>INDEX([1]Parameters!$A$3:$C$5,MATCH('[1]Pizza Sales Calculations'!F725,[1]Parameters!$A$3:$A$5,0),2)</f>
        <v>#N/A</v>
      </c>
    </row>
    <row r="726" spans="1:24" x14ac:dyDescent="0.3">
      <c r="A726">
        <v>725</v>
      </c>
      <c r="B726" s="14">
        <v>42377.488368055558</v>
      </c>
      <c r="C726" s="14">
        <v>42377.498761574076</v>
      </c>
      <c r="D726" t="s">
        <v>4</v>
      </c>
      <c r="G726" t="b">
        <v>0</v>
      </c>
      <c r="H726">
        <v>70808</v>
      </c>
      <c r="I726" s="5">
        <v>0</v>
      </c>
      <c r="J726" s="14">
        <v>42377.500821759262</v>
      </c>
      <c r="K726">
        <v>11.59</v>
      </c>
      <c r="L726" s="5">
        <f>('[1]Pizza Sales Calculations'!$J726-'[1]Pizza Sales Calculations'!$C726)*24*60</f>
        <v>2.9666666686534882</v>
      </c>
      <c r="M726">
        <f>COUNTA('[1]Pizza Sales Calculations'!$D726:$F726)</f>
        <v>1</v>
      </c>
      <c r="N726">
        <f>IFERROR(VLOOKUP(D726,[1]Parameters!$A$3:$C$5,3,FALSE),0)</f>
        <v>1.7</v>
      </c>
      <c r="O726">
        <f>IFERROR(VLOOKUP(E726,[1]Parameters!$A$3:$C$5,3,FALSE),0)</f>
        <v>0</v>
      </c>
      <c r="P726">
        <f>IFERROR(VLOOKUP(F726,[1]Parameters!$A$3:$C$5,3,FALSE),0)</f>
        <v>0</v>
      </c>
      <c r="Q726">
        <f t="shared" si="11"/>
        <v>1.7</v>
      </c>
      <c r="R726" s="10">
        <f>IF('[1]Pizza Sales Calculations'!$G726=TRUE, [1]Parameters!$B$17*'[1]Pizza Sales Calculations'!$L726*2, 0)</f>
        <v>0</v>
      </c>
      <c r="S726" t="str">
        <f>IF(I726&lt;[1]Parameters!$B$21,"TRUE","FALSE")</f>
        <v>TRUE</v>
      </c>
      <c r="T726" s="5">
        <f>(I726/[1]Parameters!$B$25)*60</f>
        <v>0</v>
      </c>
      <c r="U726" s="10">
        <f>IF(AND('[1]Pizza Sales Calculations'!G726=TRUE,'[1]Pizza Sales Calculations'!S726="TRUE"),T726*[1]Parameters!$B$40*2,0)</f>
        <v>0</v>
      </c>
      <c r="V726">
        <f>INDEX([1]Parameters!$A$3:$C$5,MATCH('[1]Pizza Sales Calculations'!D726,[1]Parameters!$A$3:$A$5,0),2)</f>
        <v>10</v>
      </c>
      <c r="W726" t="e">
        <f>INDEX([1]Parameters!$A$3:$C$5,MATCH('[1]Pizza Sales Calculations'!E726,[1]Parameters!$A$3:$A$5,0),2)</f>
        <v>#N/A</v>
      </c>
      <c r="X726" t="e">
        <f>INDEX([1]Parameters!$A$3:$C$5,MATCH('[1]Pizza Sales Calculations'!F726,[1]Parameters!$A$3:$A$5,0),2)</f>
        <v>#N/A</v>
      </c>
    </row>
    <row r="727" spans="1:24" x14ac:dyDescent="0.3">
      <c r="A727">
        <v>726</v>
      </c>
      <c r="B727" s="14">
        <v>42377.446226851855</v>
      </c>
      <c r="C727" s="14">
        <v>42377.456643518519</v>
      </c>
      <c r="D727" t="s">
        <v>4</v>
      </c>
      <c r="G727" t="b">
        <v>0</v>
      </c>
      <c r="H727">
        <v>70803</v>
      </c>
      <c r="I727" s="5">
        <v>0</v>
      </c>
      <c r="J727" s="14">
        <v>42377.458726851852</v>
      </c>
      <c r="K727">
        <v>11.59</v>
      </c>
      <c r="L727" s="5">
        <f>('[1]Pizza Sales Calculations'!$J727-'[1]Pizza Sales Calculations'!$C727)*24*60</f>
        <v>2.9999999993015081</v>
      </c>
      <c r="M727">
        <f>COUNTA('[1]Pizza Sales Calculations'!$D727:$F727)</f>
        <v>1</v>
      </c>
      <c r="N727">
        <f>IFERROR(VLOOKUP(D727,[1]Parameters!$A$3:$C$5,3,FALSE),0)</f>
        <v>1.7</v>
      </c>
      <c r="O727">
        <f>IFERROR(VLOOKUP(E727,[1]Parameters!$A$3:$C$5,3,FALSE),0)</f>
        <v>0</v>
      </c>
      <c r="P727">
        <f>IFERROR(VLOOKUP(F727,[1]Parameters!$A$3:$C$5,3,FALSE),0)</f>
        <v>0</v>
      </c>
      <c r="Q727">
        <f t="shared" si="11"/>
        <v>1.7</v>
      </c>
      <c r="R727" s="10">
        <f>IF('[1]Pizza Sales Calculations'!$G727=TRUE, [1]Parameters!$B$17*'[1]Pizza Sales Calculations'!$L727*2, 0)</f>
        <v>0</v>
      </c>
      <c r="S727" t="str">
        <f>IF(I727&lt;[1]Parameters!$B$21,"TRUE","FALSE")</f>
        <v>TRUE</v>
      </c>
      <c r="T727" s="5">
        <f>(I727/[1]Parameters!$B$25)*60</f>
        <v>0</v>
      </c>
      <c r="U727" s="10">
        <f>IF(AND('[1]Pizza Sales Calculations'!G727=TRUE,'[1]Pizza Sales Calculations'!S727="TRUE"),T727*[1]Parameters!$B$40*2,0)</f>
        <v>0</v>
      </c>
      <c r="V727">
        <f>INDEX([1]Parameters!$A$3:$C$5,MATCH('[1]Pizza Sales Calculations'!D727,[1]Parameters!$A$3:$A$5,0),2)</f>
        <v>10</v>
      </c>
      <c r="W727" t="e">
        <f>INDEX([1]Parameters!$A$3:$C$5,MATCH('[1]Pizza Sales Calculations'!E727,[1]Parameters!$A$3:$A$5,0),2)</f>
        <v>#N/A</v>
      </c>
      <c r="X727" t="e">
        <f>INDEX([1]Parameters!$A$3:$C$5,MATCH('[1]Pizza Sales Calculations'!F727,[1]Parameters!$A$3:$A$5,0),2)</f>
        <v>#N/A</v>
      </c>
    </row>
    <row r="728" spans="1:24" x14ac:dyDescent="0.3">
      <c r="A728">
        <v>727</v>
      </c>
      <c r="B728" s="14">
        <v>42377.539201388892</v>
      </c>
      <c r="C728" s="14">
        <v>42377.54959490741</v>
      </c>
      <c r="D728" t="s">
        <v>3</v>
      </c>
      <c r="E728" t="s">
        <v>4</v>
      </c>
      <c r="G728" t="b">
        <v>0</v>
      </c>
      <c r="H728">
        <v>70805</v>
      </c>
      <c r="I728" s="5">
        <v>0</v>
      </c>
      <c r="J728" s="14">
        <v>42377.551689814813</v>
      </c>
      <c r="K728">
        <v>19.579999999999998</v>
      </c>
      <c r="L728" s="5">
        <f>('[1]Pizza Sales Calculations'!$J728-'[1]Pizza Sales Calculations'!$C728)*24*60</f>
        <v>3.0166666593868285</v>
      </c>
      <c r="M728">
        <f>COUNTA('[1]Pizza Sales Calculations'!$D728:$F728)</f>
        <v>2</v>
      </c>
      <c r="N728">
        <f>IFERROR(VLOOKUP(D728,[1]Parameters!$A$3:$C$5,3,FALSE),0)</f>
        <v>1</v>
      </c>
      <c r="O728">
        <f>IFERROR(VLOOKUP(E728,[1]Parameters!$A$3:$C$5,3,FALSE),0)</f>
        <v>1.7</v>
      </c>
      <c r="P728">
        <f>IFERROR(VLOOKUP(F728,[1]Parameters!$A$3:$C$5,3,FALSE),0)</f>
        <v>0</v>
      </c>
      <c r="Q728">
        <f t="shared" si="11"/>
        <v>2.7</v>
      </c>
      <c r="R728" s="10">
        <f>IF('[1]Pizza Sales Calculations'!$G728=TRUE, [1]Parameters!$B$17*'[1]Pizza Sales Calculations'!$L728*2, 0)</f>
        <v>0</v>
      </c>
      <c r="S728" t="str">
        <f>IF(I728&lt;[1]Parameters!$B$21,"TRUE","FALSE")</f>
        <v>TRUE</v>
      </c>
      <c r="T728" s="5">
        <f>(I728/[1]Parameters!$B$25)*60</f>
        <v>0</v>
      </c>
      <c r="U728" s="10">
        <f>IF(AND('[1]Pizza Sales Calculations'!G728=TRUE,'[1]Pizza Sales Calculations'!S728="TRUE"),T728*[1]Parameters!$B$40*2,0)</f>
        <v>0</v>
      </c>
      <c r="V728">
        <f>INDEX([1]Parameters!$A$3:$C$5,MATCH('[1]Pizza Sales Calculations'!D728,[1]Parameters!$A$3:$A$5,0),2)</f>
        <v>7</v>
      </c>
      <c r="W728">
        <f>INDEX([1]Parameters!$A$3:$C$5,MATCH('[1]Pizza Sales Calculations'!E728,[1]Parameters!$A$3:$A$5,0),2)</f>
        <v>10</v>
      </c>
      <c r="X728" t="e">
        <f>INDEX([1]Parameters!$A$3:$C$5,MATCH('[1]Pizza Sales Calculations'!F728,[1]Parameters!$A$3:$A$5,0),2)</f>
        <v>#N/A</v>
      </c>
    </row>
    <row r="729" spans="1:24" x14ac:dyDescent="0.3">
      <c r="A729">
        <v>728</v>
      </c>
      <c r="B729" s="14">
        <v>42377.55605324074</v>
      </c>
      <c r="C729" s="14">
        <v>42377.566481481481</v>
      </c>
      <c r="D729" t="s">
        <v>3</v>
      </c>
      <c r="E729" t="s">
        <v>4</v>
      </c>
      <c r="G729" t="b">
        <v>1</v>
      </c>
      <c r="H729">
        <v>70804</v>
      </c>
      <c r="I729" s="5">
        <v>3.33716479980475</v>
      </c>
      <c r="J729" s="14">
        <v>42377.578067129631</v>
      </c>
      <c r="K729">
        <v>19.579999999999998</v>
      </c>
      <c r="L729" s="5">
        <f>('[1]Pizza Sales Calculations'!$J729-'[1]Pizza Sales Calculations'!$C729)*24*60</f>
        <v>16.683333335677162</v>
      </c>
      <c r="M729">
        <f>COUNTA('[1]Pizza Sales Calculations'!$D729:$F729)</f>
        <v>2</v>
      </c>
      <c r="N729">
        <f>IFERROR(VLOOKUP(D729,[1]Parameters!$A$3:$C$5,3,FALSE),0)</f>
        <v>1</v>
      </c>
      <c r="O729">
        <f>IFERROR(VLOOKUP(E729,[1]Parameters!$A$3:$C$5,3,FALSE),0)</f>
        <v>1.7</v>
      </c>
      <c r="P729">
        <f>IFERROR(VLOOKUP(F729,[1]Parameters!$A$3:$C$5,3,FALSE),0)</f>
        <v>0</v>
      </c>
      <c r="Q729">
        <f t="shared" si="11"/>
        <v>2.7</v>
      </c>
      <c r="R729" s="10">
        <f>IF('[1]Pizza Sales Calculations'!$G729=TRUE, [1]Parameters!$B$17*'[1]Pizza Sales Calculations'!$L729*2, 0)</f>
        <v>4.7269444451085292</v>
      </c>
      <c r="S729" t="str">
        <f>IF(I729&lt;[1]Parameters!$B$21,"TRUE","FALSE")</f>
        <v>FALSE</v>
      </c>
      <c r="T729" s="5">
        <f>(I729/[1]Parameters!$B$25)*60</f>
        <v>6.6743295996095</v>
      </c>
      <c r="U729" s="10">
        <f>IF(AND('[1]Pizza Sales Calculations'!G729=TRUE,'[1]Pizza Sales Calculations'!S729="TRUE"),T729*[1]Parameters!$B$40*2,0)</f>
        <v>0</v>
      </c>
      <c r="V729">
        <f>INDEX([1]Parameters!$A$3:$C$5,MATCH('[1]Pizza Sales Calculations'!D729,[1]Parameters!$A$3:$A$5,0),2)</f>
        <v>7</v>
      </c>
      <c r="W729">
        <f>INDEX([1]Parameters!$A$3:$C$5,MATCH('[1]Pizza Sales Calculations'!E729,[1]Parameters!$A$3:$A$5,0),2)</f>
        <v>10</v>
      </c>
      <c r="X729" t="e">
        <f>INDEX([1]Parameters!$A$3:$C$5,MATCH('[1]Pizza Sales Calculations'!F729,[1]Parameters!$A$3:$A$5,0),2)</f>
        <v>#N/A</v>
      </c>
    </row>
    <row r="730" spans="1:24" x14ac:dyDescent="0.3">
      <c r="A730">
        <v>729</v>
      </c>
      <c r="B730" s="14">
        <v>42377.460219907407</v>
      </c>
      <c r="C730" s="14">
        <v>42377.470613425925</v>
      </c>
      <c r="D730" t="s">
        <v>5</v>
      </c>
      <c r="G730" t="b">
        <v>0</v>
      </c>
      <c r="H730">
        <v>70807</v>
      </c>
      <c r="I730" s="5">
        <v>0</v>
      </c>
      <c r="J730" s="14">
        <v>42377.472696759258</v>
      </c>
      <c r="K730">
        <v>15.35</v>
      </c>
      <c r="L730" s="5">
        <f>('[1]Pizza Sales Calculations'!$J730-'[1]Pizza Sales Calculations'!$C730)*24*60</f>
        <v>2.9999999993015081</v>
      </c>
      <c r="M730">
        <f>COUNTA('[1]Pizza Sales Calculations'!$D730:$F730)</f>
        <v>1</v>
      </c>
      <c r="N730">
        <f>IFERROR(VLOOKUP(D730,[1]Parameters!$A$3:$C$5,3,FALSE),0)</f>
        <v>2.2999999999999998</v>
      </c>
      <c r="O730">
        <f>IFERROR(VLOOKUP(E730,[1]Parameters!$A$3:$C$5,3,FALSE),0)</f>
        <v>0</v>
      </c>
      <c r="P730">
        <f>IFERROR(VLOOKUP(F730,[1]Parameters!$A$3:$C$5,3,FALSE),0)</f>
        <v>0</v>
      </c>
      <c r="Q730">
        <f t="shared" si="11"/>
        <v>2.2999999999999998</v>
      </c>
      <c r="R730" s="10">
        <f>IF('[1]Pizza Sales Calculations'!$G730=TRUE, [1]Parameters!$B$17*'[1]Pizza Sales Calculations'!$L730*2, 0)</f>
        <v>0</v>
      </c>
      <c r="S730" t="str">
        <f>IF(I730&lt;[1]Parameters!$B$21,"TRUE","FALSE")</f>
        <v>TRUE</v>
      </c>
      <c r="T730" s="5">
        <f>(I730/[1]Parameters!$B$25)*60</f>
        <v>0</v>
      </c>
      <c r="U730" s="10">
        <f>IF(AND('[1]Pizza Sales Calculations'!G730=TRUE,'[1]Pizza Sales Calculations'!S730="TRUE"),T730*[1]Parameters!$B$40*2,0)</f>
        <v>0</v>
      </c>
      <c r="V730">
        <f>INDEX([1]Parameters!$A$3:$C$5,MATCH('[1]Pizza Sales Calculations'!D730,[1]Parameters!$A$3:$A$5,0),2)</f>
        <v>14</v>
      </c>
      <c r="W730" t="e">
        <f>INDEX([1]Parameters!$A$3:$C$5,MATCH('[1]Pizza Sales Calculations'!E730,[1]Parameters!$A$3:$A$5,0),2)</f>
        <v>#N/A</v>
      </c>
      <c r="X730" t="e">
        <f>INDEX([1]Parameters!$A$3:$C$5,MATCH('[1]Pizza Sales Calculations'!F730,[1]Parameters!$A$3:$A$5,0),2)</f>
        <v>#N/A</v>
      </c>
    </row>
    <row r="731" spans="1:24" x14ac:dyDescent="0.3">
      <c r="A731">
        <v>730</v>
      </c>
      <c r="B731" s="14">
        <v>42377.619398148148</v>
      </c>
      <c r="C731" s="14">
        <v>42377.629826388889</v>
      </c>
      <c r="D731" t="s">
        <v>4</v>
      </c>
      <c r="G731" t="b">
        <v>1</v>
      </c>
      <c r="H731">
        <v>70805</v>
      </c>
      <c r="I731" s="5">
        <v>3.2930242122792999</v>
      </c>
      <c r="J731" s="14">
        <v>42377.641250000001</v>
      </c>
      <c r="K731">
        <v>11.59</v>
      </c>
      <c r="L731" s="5">
        <f>('[1]Pizza Sales Calculations'!$J731-'[1]Pizza Sales Calculations'!$C731)*24*60</f>
        <v>16.450000000186265</v>
      </c>
      <c r="M731">
        <f>COUNTA('[1]Pizza Sales Calculations'!$D731:$F731)</f>
        <v>1</v>
      </c>
      <c r="N731">
        <f>IFERROR(VLOOKUP(D731,[1]Parameters!$A$3:$C$5,3,FALSE),0)</f>
        <v>1.7</v>
      </c>
      <c r="O731">
        <f>IFERROR(VLOOKUP(E731,[1]Parameters!$A$3:$C$5,3,FALSE),0)</f>
        <v>0</v>
      </c>
      <c r="P731">
        <f>IFERROR(VLOOKUP(F731,[1]Parameters!$A$3:$C$5,3,FALSE),0)</f>
        <v>0</v>
      </c>
      <c r="Q731">
        <f t="shared" si="11"/>
        <v>1.7</v>
      </c>
      <c r="R731" s="10">
        <f>IF('[1]Pizza Sales Calculations'!$G731=TRUE, [1]Parameters!$B$17*'[1]Pizza Sales Calculations'!$L731*2, 0)</f>
        <v>4.6608333333861083</v>
      </c>
      <c r="S731" t="str">
        <f>IF(I731&lt;[1]Parameters!$B$21,"TRUE","FALSE")</f>
        <v>FALSE</v>
      </c>
      <c r="T731" s="5">
        <f>(I731/[1]Parameters!$B$25)*60</f>
        <v>6.5860484245585997</v>
      </c>
      <c r="U731" s="10">
        <f>IF(AND('[1]Pizza Sales Calculations'!G731=TRUE,'[1]Pizza Sales Calculations'!S731="TRUE"),T731*[1]Parameters!$B$40*2,0)</f>
        <v>0</v>
      </c>
      <c r="V731">
        <f>INDEX([1]Parameters!$A$3:$C$5,MATCH('[1]Pizza Sales Calculations'!D731,[1]Parameters!$A$3:$A$5,0),2)</f>
        <v>10</v>
      </c>
      <c r="W731" t="e">
        <f>INDEX([1]Parameters!$A$3:$C$5,MATCH('[1]Pizza Sales Calculations'!E731,[1]Parameters!$A$3:$A$5,0),2)</f>
        <v>#N/A</v>
      </c>
      <c r="X731" t="e">
        <f>INDEX([1]Parameters!$A$3:$C$5,MATCH('[1]Pizza Sales Calculations'!F731,[1]Parameters!$A$3:$A$5,0),2)</f>
        <v>#N/A</v>
      </c>
    </row>
    <row r="732" spans="1:24" x14ac:dyDescent="0.3">
      <c r="A732">
        <v>731</v>
      </c>
      <c r="B732" s="14">
        <v>42377.494537037041</v>
      </c>
      <c r="C732" s="14">
        <v>42377.504930555559</v>
      </c>
      <c r="D732" t="s">
        <v>3</v>
      </c>
      <c r="E732" t="s">
        <v>5</v>
      </c>
      <c r="G732" t="b">
        <v>1</v>
      </c>
      <c r="H732">
        <v>70806</v>
      </c>
      <c r="I732" s="5">
        <v>2.7091080479247198</v>
      </c>
      <c r="J732" s="14">
        <v>42377.514328703706</v>
      </c>
      <c r="K732">
        <v>23.34</v>
      </c>
      <c r="L732" s="5">
        <f>('[1]Pizza Sales Calculations'!$J732-'[1]Pizza Sales Calculations'!$C732)*24*60</f>
        <v>13.533333332743496</v>
      </c>
      <c r="M732">
        <f>COUNTA('[1]Pizza Sales Calculations'!$D732:$F732)</f>
        <v>2</v>
      </c>
      <c r="N732">
        <f>IFERROR(VLOOKUP(D732,[1]Parameters!$A$3:$C$5,3,FALSE),0)</f>
        <v>1</v>
      </c>
      <c r="O732">
        <f>IFERROR(VLOOKUP(E732,[1]Parameters!$A$3:$C$5,3,FALSE),0)</f>
        <v>2.2999999999999998</v>
      </c>
      <c r="P732">
        <f>IFERROR(VLOOKUP(F732,[1]Parameters!$A$3:$C$5,3,FALSE),0)</f>
        <v>0</v>
      </c>
      <c r="Q732">
        <f t="shared" si="11"/>
        <v>3.3</v>
      </c>
      <c r="R732" s="10">
        <f>IF('[1]Pizza Sales Calculations'!$G732=TRUE, [1]Parameters!$B$17*'[1]Pizza Sales Calculations'!$L732*2, 0)</f>
        <v>3.8344444442773238</v>
      </c>
      <c r="S732" t="str">
        <f>IF(I732&lt;[1]Parameters!$B$21,"TRUE","FALSE")</f>
        <v>TRUE</v>
      </c>
      <c r="T732" s="5">
        <f>(I732/[1]Parameters!$B$25)*60</f>
        <v>5.4182160958494396</v>
      </c>
      <c r="U732" s="10">
        <f>IF(AND('[1]Pizza Sales Calculations'!G732=TRUE,'[1]Pizza Sales Calculations'!S732="TRUE"),T732*[1]Parameters!$B$40*2,0)</f>
        <v>0.33821928835760318</v>
      </c>
      <c r="V732">
        <f>INDEX([1]Parameters!$A$3:$C$5,MATCH('[1]Pizza Sales Calculations'!D732,[1]Parameters!$A$3:$A$5,0),2)</f>
        <v>7</v>
      </c>
      <c r="W732">
        <f>INDEX([1]Parameters!$A$3:$C$5,MATCH('[1]Pizza Sales Calculations'!E732,[1]Parameters!$A$3:$A$5,0),2)</f>
        <v>14</v>
      </c>
      <c r="X732" t="e">
        <f>INDEX([1]Parameters!$A$3:$C$5,MATCH('[1]Pizza Sales Calculations'!F732,[1]Parameters!$A$3:$A$5,0),2)</f>
        <v>#N/A</v>
      </c>
    </row>
    <row r="733" spans="1:24" x14ac:dyDescent="0.3">
      <c r="A733">
        <v>732</v>
      </c>
      <c r="B733" s="14">
        <v>42377.463599537034</v>
      </c>
      <c r="C733" s="14">
        <v>42377.474004629628</v>
      </c>
      <c r="D733" t="s">
        <v>3</v>
      </c>
      <c r="G733" t="b">
        <v>0</v>
      </c>
      <c r="H733">
        <v>70807</v>
      </c>
      <c r="I733" s="5">
        <v>0</v>
      </c>
      <c r="J733" s="14">
        <v>42377.476099537038</v>
      </c>
      <c r="K733">
        <v>7.99</v>
      </c>
      <c r="L733" s="5">
        <f>('[1]Pizza Sales Calculations'!$J733-'[1]Pizza Sales Calculations'!$C733)*24*60</f>
        <v>3.0166666698642075</v>
      </c>
      <c r="M733">
        <f>COUNTA('[1]Pizza Sales Calculations'!$D733:$F733)</f>
        <v>1</v>
      </c>
      <c r="N733">
        <f>IFERROR(VLOOKUP(D733,[1]Parameters!$A$3:$C$5,3,FALSE),0)</f>
        <v>1</v>
      </c>
      <c r="O733">
        <f>IFERROR(VLOOKUP(E733,[1]Parameters!$A$3:$C$5,3,FALSE),0)</f>
        <v>0</v>
      </c>
      <c r="P733">
        <f>IFERROR(VLOOKUP(F733,[1]Parameters!$A$3:$C$5,3,FALSE),0)</f>
        <v>0</v>
      </c>
      <c r="Q733">
        <f t="shared" si="11"/>
        <v>1</v>
      </c>
      <c r="R733" s="10">
        <f>IF('[1]Pizza Sales Calculations'!$G733=TRUE, [1]Parameters!$B$17*'[1]Pizza Sales Calculations'!$L733*2, 0)</f>
        <v>0</v>
      </c>
      <c r="S733" t="str">
        <f>IF(I733&lt;[1]Parameters!$B$21,"TRUE","FALSE")</f>
        <v>TRUE</v>
      </c>
      <c r="T733" s="5">
        <f>(I733/[1]Parameters!$B$25)*60</f>
        <v>0</v>
      </c>
      <c r="U733" s="10">
        <f>IF(AND('[1]Pizza Sales Calculations'!G733=TRUE,'[1]Pizza Sales Calculations'!S733="TRUE"),T733*[1]Parameters!$B$40*2,0)</f>
        <v>0</v>
      </c>
      <c r="V733">
        <f>INDEX([1]Parameters!$A$3:$C$5,MATCH('[1]Pizza Sales Calculations'!D733,[1]Parameters!$A$3:$A$5,0),2)</f>
        <v>7</v>
      </c>
      <c r="W733" t="e">
        <f>INDEX([1]Parameters!$A$3:$C$5,MATCH('[1]Pizza Sales Calculations'!E733,[1]Parameters!$A$3:$A$5,0),2)</f>
        <v>#N/A</v>
      </c>
      <c r="X733" t="e">
        <f>INDEX([1]Parameters!$A$3:$C$5,MATCH('[1]Pizza Sales Calculations'!F733,[1]Parameters!$A$3:$A$5,0),2)</f>
        <v>#N/A</v>
      </c>
    </row>
    <row r="734" spans="1:24" x14ac:dyDescent="0.3">
      <c r="A734">
        <v>733</v>
      </c>
      <c r="B734" s="14">
        <v>42377.535752314812</v>
      </c>
      <c r="C734" s="14">
        <v>42377.546180555553</v>
      </c>
      <c r="D734" t="s">
        <v>4</v>
      </c>
      <c r="G734" t="b">
        <v>0</v>
      </c>
      <c r="H734">
        <v>70805</v>
      </c>
      <c r="I734" s="5">
        <v>0</v>
      </c>
      <c r="J734" s="14">
        <v>42377.548252314817</v>
      </c>
      <c r="K734">
        <v>11.59</v>
      </c>
      <c r="L734" s="5">
        <f>('[1]Pizza Sales Calculations'!$J734-'[1]Pizza Sales Calculations'!$C734)*24*60</f>
        <v>2.9833333392161876</v>
      </c>
      <c r="M734">
        <f>COUNTA('[1]Pizza Sales Calculations'!$D734:$F734)</f>
        <v>1</v>
      </c>
      <c r="N734">
        <f>IFERROR(VLOOKUP(D734,[1]Parameters!$A$3:$C$5,3,FALSE),0)</f>
        <v>1.7</v>
      </c>
      <c r="O734">
        <f>IFERROR(VLOOKUP(E734,[1]Parameters!$A$3:$C$5,3,FALSE),0)</f>
        <v>0</v>
      </c>
      <c r="P734">
        <f>IFERROR(VLOOKUP(F734,[1]Parameters!$A$3:$C$5,3,FALSE),0)</f>
        <v>0</v>
      </c>
      <c r="Q734">
        <f t="shared" si="11"/>
        <v>1.7</v>
      </c>
      <c r="R734" s="10">
        <f>IF('[1]Pizza Sales Calculations'!$G734=TRUE, [1]Parameters!$B$17*'[1]Pizza Sales Calculations'!$L734*2, 0)</f>
        <v>0</v>
      </c>
      <c r="S734" t="str">
        <f>IF(I734&lt;[1]Parameters!$B$21,"TRUE","FALSE")</f>
        <v>TRUE</v>
      </c>
      <c r="T734" s="5">
        <f>(I734/[1]Parameters!$B$25)*60</f>
        <v>0</v>
      </c>
      <c r="U734" s="10">
        <f>IF(AND('[1]Pizza Sales Calculations'!G734=TRUE,'[1]Pizza Sales Calculations'!S734="TRUE"),T734*[1]Parameters!$B$40*2,0)</f>
        <v>0</v>
      </c>
      <c r="V734">
        <f>INDEX([1]Parameters!$A$3:$C$5,MATCH('[1]Pizza Sales Calculations'!D734,[1]Parameters!$A$3:$A$5,0),2)</f>
        <v>10</v>
      </c>
      <c r="W734" t="e">
        <f>INDEX([1]Parameters!$A$3:$C$5,MATCH('[1]Pizza Sales Calculations'!E734,[1]Parameters!$A$3:$A$5,0),2)</f>
        <v>#N/A</v>
      </c>
      <c r="X734" t="e">
        <f>INDEX([1]Parameters!$A$3:$C$5,MATCH('[1]Pizza Sales Calculations'!F734,[1]Parameters!$A$3:$A$5,0),2)</f>
        <v>#N/A</v>
      </c>
    </row>
    <row r="735" spans="1:24" x14ac:dyDescent="0.3">
      <c r="A735">
        <v>734</v>
      </c>
      <c r="B735" s="14">
        <v>42377.489594907405</v>
      </c>
      <c r="C735" s="14">
        <v>42377.500023148146</v>
      </c>
      <c r="D735" t="s">
        <v>3</v>
      </c>
      <c r="G735" t="b">
        <v>1</v>
      </c>
      <c r="H735">
        <v>70807</v>
      </c>
      <c r="I735" s="5">
        <v>0.384183544916954</v>
      </c>
      <c r="J735" s="14">
        <v>42377.501354166663</v>
      </c>
      <c r="K735">
        <v>7.99</v>
      </c>
      <c r="L735" s="5">
        <f>('[1]Pizza Sales Calculations'!$J735-'[1]Pizza Sales Calculations'!$C735)*24*60</f>
        <v>1.9166666641831398</v>
      </c>
      <c r="M735">
        <f>COUNTA('[1]Pizza Sales Calculations'!$D735:$F735)</f>
        <v>1</v>
      </c>
      <c r="N735">
        <f>IFERROR(VLOOKUP(D735,[1]Parameters!$A$3:$C$5,3,FALSE),0)</f>
        <v>1</v>
      </c>
      <c r="O735">
        <f>IFERROR(VLOOKUP(E735,[1]Parameters!$A$3:$C$5,3,FALSE),0)</f>
        <v>0</v>
      </c>
      <c r="P735">
        <f>IFERROR(VLOOKUP(F735,[1]Parameters!$A$3:$C$5,3,FALSE),0)</f>
        <v>0</v>
      </c>
      <c r="Q735">
        <f t="shared" si="11"/>
        <v>1</v>
      </c>
      <c r="R735" s="10">
        <f>IF('[1]Pizza Sales Calculations'!$G735=TRUE, [1]Parameters!$B$17*'[1]Pizza Sales Calculations'!$L735*2, 0)</f>
        <v>0.54305555485188961</v>
      </c>
      <c r="S735" t="str">
        <f>IF(I735&lt;[1]Parameters!$B$21,"TRUE","FALSE")</f>
        <v>TRUE</v>
      </c>
      <c r="T735" s="5">
        <f>(I735/[1]Parameters!$B$25)*60</f>
        <v>0.768367089833908</v>
      </c>
      <c r="U735" s="10">
        <f>IF(AND('[1]Pizza Sales Calculations'!G735=TRUE,'[1]Pizza Sales Calculations'!S735="TRUE"),T735*[1]Parameters!$B$40*2,0)</f>
        <v>4.7963493098789896E-2</v>
      </c>
      <c r="V735">
        <f>INDEX([1]Parameters!$A$3:$C$5,MATCH('[1]Pizza Sales Calculations'!D735,[1]Parameters!$A$3:$A$5,0),2)</f>
        <v>7</v>
      </c>
      <c r="W735" t="e">
        <f>INDEX([1]Parameters!$A$3:$C$5,MATCH('[1]Pizza Sales Calculations'!E735,[1]Parameters!$A$3:$A$5,0),2)</f>
        <v>#N/A</v>
      </c>
      <c r="X735" t="e">
        <f>INDEX([1]Parameters!$A$3:$C$5,MATCH('[1]Pizza Sales Calculations'!F735,[1]Parameters!$A$3:$A$5,0),2)</f>
        <v>#N/A</v>
      </c>
    </row>
    <row r="736" spans="1:24" x14ac:dyDescent="0.3">
      <c r="A736">
        <v>735</v>
      </c>
      <c r="B736" s="14">
        <v>42377.488842592589</v>
      </c>
      <c r="C736" s="14">
        <v>42377.49927083333</v>
      </c>
      <c r="D736" t="s">
        <v>5</v>
      </c>
      <c r="G736" t="b">
        <v>1</v>
      </c>
      <c r="H736">
        <v>70804</v>
      </c>
      <c r="I736" s="5">
        <v>4.56839749455896</v>
      </c>
      <c r="J736" s="14">
        <v>42377.515127314815</v>
      </c>
      <c r="K736">
        <v>15.35</v>
      </c>
      <c r="L736" s="5">
        <f>('[1]Pizza Sales Calculations'!$J736-'[1]Pizza Sales Calculations'!$C736)*24*60</f>
        <v>22.833333337912336</v>
      </c>
      <c r="M736">
        <f>COUNTA('[1]Pizza Sales Calculations'!$D736:$F736)</f>
        <v>1</v>
      </c>
      <c r="N736">
        <f>IFERROR(VLOOKUP(D736,[1]Parameters!$A$3:$C$5,3,FALSE),0)</f>
        <v>2.2999999999999998</v>
      </c>
      <c r="O736">
        <f>IFERROR(VLOOKUP(E736,[1]Parameters!$A$3:$C$5,3,FALSE),0)</f>
        <v>0</v>
      </c>
      <c r="P736">
        <f>IFERROR(VLOOKUP(F736,[1]Parameters!$A$3:$C$5,3,FALSE),0)</f>
        <v>0</v>
      </c>
      <c r="Q736">
        <f t="shared" si="11"/>
        <v>2.2999999999999998</v>
      </c>
      <c r="R736" s="10">
        <f>IF('[1]Pizza Sales Calculations'!$G736=TRUE, [1]Parameters!$B$17*'[1]Pizza Sales Calculations'!$L736*2, 0)</f>
        <v>6.4694444457418285</v>
      </c>
      <c r="S736" t="str">
        <f>IF(I736&lt;[1]Parameters!$B$21,"TRUE","FALSE")</f>
        <v>FALSE</v>
      </c>
      <c r="T736" s="5">
        <f>(I736/[1]Parameters!$B$25)*60</f>
        <v>9.1367949891179201</v>
      </c>
      <c r="U736" s="10">
        <f>IF(AND('[1]Pizza Sales Calculations'!G736=TRUE,'[1]Pizza Sales Calculations'!S736="TRUE"),T736*[1]Parameters!$B$40*2,0)</f>
        <v>0</v>
      </c>
      <c r="V736">
        <f>INDEX([1]Parameters!$A$3:$C$5,MATCH('[1]Pizza Sales Calculations'!D736,[1]Parameters!$A$3:$A$5,0),2)</f>
        <v>14</v>
      </c>
      <c r="W736" t="e">
        <f>INDEX([1]Parameters!$A$3:$C$5,MATCH('[1]Pizza Sales Calculations'!E736,[1]Parameters!$A$3:$A$5,0),2)</f>
        <v>#N/A</v>
      </c>
      <c r="X736" t="e">
        <f>INDEX([1]Parameters!$A$3:$C$5,MATCH('[1]Pizza Sales Calculations'!F736,[1]Parameters!$A$3:$A$5,0),2)</f>
        <v>#N/A</v>
      </c>
    </row>
    <row r="737" spans="1:24" x14ac:dyDescent="0.3">
      <c r="A737">
        <v>736</v>
      </c>
      <c r="B737" s="14">
        <v>42378.525740740741</v>
      </c>
      <c r="C737" s="14">
        <v>42378.536157407405</v>
      </c>
      <c r="D737" t="s">
        <v>3</v>
      </c>
      <c r="G737" t="b">
        <v>0</v>
      </c>
      <c r="H737">
        <v>70804</v>
      </c>
      <c r="I737" s="5">
        <v>0</v>
      </c>
      <c r="J737" s="14">
        <v>42378.538229166668</v>
      </c>
      <c r="K737">
        <v>7.99</v>
      </c>
      <c r="L737" s="5">
        <f>('[1]Pizza Sales Calculations'!$J737-'[1]Pizza Sales Calculations'!$C737)*24*60</f>
        <v>2.9833333392161876</v>
      </c>
      <c r="M737">
        <f>COUNTA('[1]Pizza Sales Calculations'!$D737:$F737)</f>
        <v>1</v>
      </c>
      <c r="N737">
        <f>IFERROR(VLOOKUP(D737,[1]Parameters!$A$3:$C$5,3,FALSE),0)</f>
        <v>1</v>
      </c>
      <c r="O737">
        <f>IFERROR(VLOOKUP(E737,[1]Parameters!$A$3:$C$5,3,FALSE),0)</f>
        <v>0</v>
      </c>
      <c r="P737">
        <f>IFERROR(VLOOKUP(F737,[1]Parameters!$A$3:$C$5,3,FALSE),0)</f>
        <v>0</v>
      </c>
      <c r="Q737">
        <f t="shared" si="11"/>
        <v>1</v>
      </c>
      <c r="R737" s="10">
        <f>IF('[1]Pizza Sales Calculations'!$G737=TRUE, [1]Parameters!$B$17*'[1]Pizza Sales Calculations'!$L737*2, 0)</f>
        <v>0</v>
      </c>
      <c r="S737" t="str">
        <f>IF(I737&lt;[1]Parameters!$B$21,"TRUE","FALSE")</f>
        <v>TRUE</v>
      </c>
      <c r="T737" s="5">
        <f>(I737/[1]Parameters!$B$25)*60</f>
        <v>0</v>
      </c>
      <c r="U737" s="10">
        <f>IF(AND('[1]Pizza Sales Calculations'!G737=TRUE,'[1]Pizza Sales Calculations'!S737="TRUE"),T737*[1]Parameters!$B$40*2,0)</f>
        <v>0</v>
      </c>
      <c r="V737">
        <f>INDEX([1]Parameters!$A$3:$C$5,MATCH('[1]Pizza Sales Calculations'!D737,[1]Parameters!$A$3:$A$5,0),2)</f>
        <v>7</v>
      </c>
      <c r="W737" t="e">
        <f>INDEX([1]Parameters!$A$3:$C$5,MATCH('[1]Pizza Sales Calculations'!E737,[1]Parameters!$A$3:$A$5,0),2)</f>
        <v>#N/A</v>
      </c>
      <c r="X737" t="e">
        <f>INDEX([1]Parameters!$A$3:$C$5,MATCH('[1]Pizza Sales Calculations'!F737,[1]Parameters!$A$3:$A$5,0),2)</f>
        <v>#N/A</v>
      </c>
    </row>
    <row r="738" spans="1:24" x14ac:dyDescent="0.3">
      <c r="A738">
        <v>737</v>
      </c>
      <c r="B738" s="14">
        <v>42378.604467592595</v>
      </c>
      <c r="C738" s="14">
        <v>42378.614872685182</v>
      </c>
      <c r="D738" t="s">
        <v>4</v>
      </c>
      <c r="G738" t="b">
        <v>0</v>
      </c>
      <c r="H738">
        <v>70805</v>
      </c>
      <c r="I738" s="5">
        <v>0</v>
      </c>
      <c r="J738" s="14">
        <v>42378.616956018515</v>
      </c>
      <c r="K738">
        <v>11.59</v>
      </c>
      <c r="L738" s="5">
        <f>('[1]Pizza Sales Calculations'!$J738-'[1]Pizza Sales Calculations'!$C738)*24*60</f>
        <v>2.9999999993015081</v>
      </c>
      <c r="M738">
        <f>COUNTA('[1]Pizza Sales Calculations'!$D738:$F738)</f>
        <v>1</v>
      </c>
      <c r="N738">
        <f>IFERROR(VLOOKUP(D738,[1]Parameters!$A$3:$C$5,3,FALSE),0)</f>
        <v>1.7</v>
      </c>
      <c r="O738">
        <f>IFERROR(VLOOKUP(E738,[1]Parameters!$A$3:$C$5,3,FALSE),0)</f>
        <v>0</v>
      </c>
      <c r="P738">
        <f>IFERROR(VLOOKUP(F738,[1]Parameters!$A$3:$C$5,3,FALSE),0)</f>
        <v>0</v>
      </c>
      <c r="Q738">
        <f t="shared" si="11"/>
        <v>1.7</v>
      </c>
      <c r="R738" s="10">
        <f>IF('[1]Pizza Sales Calculations'!$G738=TRUE, [1]Parameters!$B$17*'[1]Pizza Sales Calculations'!$L738*2, 0)</f>
        <v>0</v>
      </c>
      <c r="S738" t="str">
        <f>IF(I738&lt;[1]Parameters!$B$21,"TRUE","FALSE")</f>
        <v>TRUE</v>
      </c>
      <c r="T738" s="5">
        <f>(I738/[1]Parameters!$B$25)*60</f>
        <v>0</v>
      </c>
      <c r="U738" s="10">
        <f>IF(AND('[1]Pizza Sales Calculations'!G738=TRUE,'[1]Pizza Sales Calculations'!S738="TRUE"),T738*[1]Parameters!$B$40*2,0)</f>
        <v>0</v>
      </c>
      <c r="V738">
        <f>INDEX([1]Parameters!$A$3:$C$5,MATCH('[1]Pizza Sales Calculations'!D738,[1]Parameters!$A$3:$A$5,0),2)</f>
        <v>10</v>
      </c>
      <c r="W738" t="e">
        <f>INDEX([1]Parameters!$A$3:$C$5,MATCH('[1]Pizza Sales Calculations'!E738,[1]Parameters!$A$3:$A$5,0),2)</f>
        <v>#N/A</v>
      </c>
      <c r="X738" t="e">
        <f>INDEX([1]Parameters!$A$3:$C$5,MATCH('[1]Pizza Sales Calculations'!F738,[1]Parameters!$A$3:$A$5,0),2)</f>
        <v>#N/A</v>
      </c>
    </row>
    <row r="739" spans="1:24" x14ac:dyDescent="0.3">
      <c r="A739">
        <v>738</v>
      </c>
      <c r="B739" s="14">
        <v>42378.470381944448</v>
      </c>
      <c r="C739" s="14">
        <v>42378.480798611112</v>
      </c>
      <c r="D739" t="s">
        <v>5</v>
      </c>
      <c r="G739" t="b">
        <v>1</v>
      </c>
      <c r="H739">
        <v>70804</v>
      </c>
      <c r="I739" s="5">
        <v>2.12697930710284</v>
      </c>
      <c r="J739" s="14">
        <v>42378.488182870373</v>
      </c>
      <c r="K739">
        <v>15.35</v>
      </c>
      <c r="L739" s="5">
        <f>('[1]Pizza Sales Calculations'!$J739-'[1]Pizza Sales Calculations'!$C739)*24*60</f>
        <v>10.633333335863426</v>
      </c>
      <c r="M739">
        <f>COUNTA('[1]Pizza Sales Calculations'!$D739:$F739)</f>
        <v>1</v>
      </c>
      <c r="N739">
        <f>IFERROR(VLOOKUP(D739,[1]Parameters!$A$3:$C$5,3,FALSE),0)</f>
        <v>2.2999999999999998</v>
      </c>
      <c r="O739">
        <f>IFERROR(VLOOKUP(E739,[1]Parameters!$A$3:$C$5,3,FALSE),0)</f>
        <v>0</v>
      </c>
      <c r="P739">
        <f>IFERROR(VLOOKUP(F739,[1]Parameters!$A$3:$C$5,3,FALSE),0)</f>
        <v>0</v>
      </c>
      <c r="Q739">
        <f t="shared" si="11"/>
        <v>2.2999999999999998</v>
      </c>
      <c r="R739" s="10">
        <f>IF('[1]Pizza Sales Calculations'!$G739=TRUE, [1]Parameters!$B$17*'[1]Pizza Sales Calculations'!$L739*2, 0)</f>
        <v>3.0127777784946375</v>
      </c>
      <c r="S739" t="str">
        <f>IF(I739&lt;[1]Parameters!$B$21,"TRUE","FALSE")</f>
        <v>TRUE</v>
      </c>
      <c r="T739" s="5">
        <f>(I739/[1]Parameters!$B$25)*60</f>
        <v>4.25395861420568</v>
      </c>
      <c r="U739" s="10">
        <f>IF(AND('[1]Pizza Sales Calculations'!G739=TRUE,'[1]Pizza Sales Calculations'!S739="TRUE"),T739*[1]Parameters!$B$40*2,0)</f>
        <v>0.26554327655951088</v>
      </c>
      <c r="V739">
        <f>INDEX([1]Parameters!$A$3:$C$5,MATCH('[1]Pizza Sales Calculations'!D739,[1]Parameters!$A$3:$A$5,0),2)</f>
        <v>14</v>
      </c>
      <c r="W739" t="e">
        <f>INDEX([1]Parameters!$A$3:$C$5,MATCH('[1]Pizza Sales Calculations'!E739,[1]Parameters!$A$3:$A$5,0),2)</f>
        <v>#N/A</v>
      </c>
      <c r="X739" t="e">
        <f>INDEX([1]Parameters!$A$3:$C$5,MATCH('[1]Pizza Sales Calculations'!F739,[1]Parameters!$A$3:$A$5,0),2)</f>
        <v>#N/A</v>
      </c>
    </row>
    <row r="740" spans="1:24" x14ac:dyDescent="0.3">
      <c r="A740">
        <v>739</v>
      </c>
      <c r="B740" s="14">
        <v>42378.526770833334</v>
      </c>
      <c r="C740" s="14">
        <v>42378.537152777775</v>
      </c>
      <c r="D740" t="s">
        <v>3</v>
      </c>
      <c r="G740" t="b">
        <v>1</v>
      </c>
      <c r="H740">
        <v>70807</v>
      </c>
      <c r="I740" s="5">
        <v>2.4274638090292999</v>
      </c>
      <c r="J740" s="14">
        <v>42378.545578703706</v>
      </c>
      <c r="K740">
        <v>7.99</v>
      </c>
      <c r="L740" s="5">
        <f>('[1]Pizza Sales Calculations'!$J740-'[1]Pizza Sales Calculations'!$C740)*24*60</f>
        <v>12.13333334075287</v>
      </c>
      <c r="M740">
        <f>COUNTA('[1]Pizza Sales Calculations'!$D740:$F740)</f>
        <v>1</v>
      </c>
      <c r="N740">
        <f>IFERROR(VLOOKUP(D740,[1]Parameters!$A$3:$C$5,3,FALSE),0)</f>
        <v>1</v>
      </c>
      <c r="O740">
        <f>IFERROR(VLOOKUP(E740,[1]Parameters!$A$3:$C$5,3,FALSE),0)</f>
        <v>0</v>
      </c>
      <c r="P740">
        <f>IFERROR(VLOOKUP(F740,[1]Parameters!$A$3:$C$5,3,FALSE),0)</f>
        <v>0</v>
      </c>
      <c r="Q740">
        <f t="shared" si="11"/>
        <v>1</v>
      </c>
      <c r="R740" s="10">
        <f>IF('[1]Pizza Sales Calculations'!$G740=TRUE, [1]Parameters!$B$17*'[1]Pizza Sales Calculations'!$L740*2, 0)</f>
        <v>3.4377777798799798</v>
      </c>
      <c r="S740" t="str">
        <f>IF(I740&lt;[1]Parameters!$B$21,"TRUE","FALSE")</f>
        <v>TRUE</v>
      </c>
      <c r="T740" s="5">
        <f>(I740/[1]Parameters!$B$25)*60</f>
        <v>4.8549276180585998</v>
      </c>
      <c r="U740" s="10">
        <f>IF(AND('[1]Pizza Sales Calculations'!G740=TRUE,'[1]Pizza Sales Calculations'!S740="TRUE"),T740*[1]Parameters!$B$40*2,0)</f>
        <v>0.30305734119119226</v>
      </c>
      <c r="V740">
        <f>INDEX([1]Parameters!$A$3:$C$5,MATCH('[1]Pizza Sales Calculations'!D740,[1]Parameters!$A$3:$A$5,0),2)</f>
        <v>7</v>
      </c>
      <c r="W740" t="e">
        <f>INDEX([1]Parameters!$A$3:$C$5,MATCH('[1]Pizza Sales Calculations'!E740,[1]Parameters!$A$3:$A$5,0),2)</f>
        <v>#N/A</v>
      </c>
      <c r="X740" t="e">
        <f>INDEX([1]Parameters!$A$3:$C$5,MATCH('[1]Pizza Sales Calculations'!F740,[1]Parameters!$A$3:$A$5,0),2)</f>
        <v>#N/A</v>
      </c>
    </row>
    <row r="741" spans="1:24" x14ac:dyDescent="0.3">
      <c r="A741">
        <v>740</v>
      </c>
      <c r="B741" s="14">
        <v>42378.515648148146</v>
      </c>
      <c r="C741" s="14">
        <v>42378.526053240741</v>
      </c>
      <c r="D741" t="s">
        <v>4</v>
      </c>
      <c r="E741" t="s">
        <v>5</v>
      </c>
      <c r="G741" t="b">
        <v>1</v>
      </c>
      <c r="H741">
        <v>70803</v>
      </c>
      <c r="I741" s="5">
        <v>2.33211862180762</v>
      </c>
      <c r="J741" s="14">
        <v>42378.534143518518</v>
      </c>
      <c r="K741">
        <v>25.94</v>
      </c>
      <c r="L741" s="5">
        <f>('[1]Pizza Sales Calculations'!$J741-'[1]Pizza Sales Calculations'!$C741)*24*60</f>
        <v>11.649999999208376</v>
      </c>
      <c r="M741">
        <f>COUNTA('[1]Pizza Sales Calculations'!$D741:$F741)</f>
        <v>2</v>
      </c>
      <c r="N741">
        <f>IFERROR(VLOOKUP(D741,[1]Parameters!$A$3:$C$5,3,FALSE),0)</f>
        <v>1.7</v>
      </c>
      <c r="O741">
        <f>IFERROR(VLOOKUP(E741,[1]Parameters!$A$3:$C$5,3,FALSE),0)</f>
        <v>2.2999999999999998</v>
      </c>
      <c r="P741">
        <f>IFERROR(VLOOKUP(F741,[1]Parameters!$A$3:$C$5,3,FALSE),0)</f>
        <v>0</v>
      </c>
      <c r="Q741">
        <f t="shared" si="11"/>
        <v>4</v>
      </c>
      <c r="R741" s="10">
        <f>IF('[1]Pizza Sales Calculations'!$G741=TRUE, [1]Parameters!$B$17*'[1]Pizza Sales Calculations'!$L741*2, 0)</f>
        <v>3.3008333331090398</v>
      </c>
      <c r="S741" t="str">
        <f>IF(I741&lt;[1]Parameters!$B$21,"TRUE","FALSE")</f>
        <v>TRUE</v>
      </c>
      <c r="T741" s="5">
        <f>(I741/[1]Parameters!$B$25)*60</f>
        <v>4.6642372436152399</v>
      </c>
      <c r="U741" s="10">
        <f>IF(AND('[1]Pizza Sales Calculations'!G741=TRUE,'[1]Pizza Sales Calculations'!S741="TRUE"),T741*[1]Parameters!$B$40*2,0)</f>
        <v>0.29115394686362311</v>
      </c>
      <c r="V741">
        <f>INDEX([1]Parameters!$A$3:$C$5,MATCH('[1]Pizza Sales Calculations'!D741,[1]Parameters!$A$3:$A$5,0),2)</f>
        <v>10</v>
      </c>
      <c r="W741">
        <f>INDEX([1]Parameters!$A$3:$C$5,MATCH('[1]Pizza Sales Calculations'!E741,[1]Parameters!$A$3:$A$5,0),2)</f>
        <v>14</v>
      </c>
      <c r="X741" t="e">
        <f>INDEX([1]Parameters!$A$3:$C$5,MATCH('[1]Pizza Sales Calculations'!F741,[1]Parameters!$A$3:$A$5,0),2)</f>
        <v>#N/A</v>
      </c>
    </row>
    <row r="742" spans="1:24" x14ac:dyDescent="0.3">
      <c r="A742">
        <v>741</v>
      </c>
      <c r="B742" s="14">
        <v>42378.510717592595</v>
      </c>
      <c r="C742" s="14">
        <v>42378.521145833336</v>
      </c>
      <c r="D742" t="s">
        <v>5</v>
      </c>
      <c r="G742" t="b">
        <v>1</v>
      </c>
      <c r="H742">
        <v>70807</v>
      </c>
      <c r="I742" s="5">
        <v>4.2319720112833696</v>
      </c>
      <c r="J742" s="14">
        <v>42378.535833333335</v>
      </c>
      <c r="K742">
        <v>15.35</v>
      </c>
      <c r="L742" s="5">
        <f>('[1]Pizza Sales Calculations'!$J742-'[1]Pizza Sales Calculations'!$C742)*24*60</f>
        <v>21.149999998742715</v>
      </c>
      <c r="M742">
        <f>COUNTA('[1]Pizza Sales Calculations'!$D742:$F742)</f>
        <v>1</v>
      </c>
      <c r="N742">
        <f>IFERROR(VLOOKUP(D742,[1]Parameters!$A$3:$C$5,3,FALSE),0)</f>
        <v>2.2999999999999998</v>
      </c>
      <c r="O742">
        <f>IFERROR(VLOOKUP(E742,[1]Parameters!$A$3:$C$5,3,FALSE),0)</f>
        <v>0</v>
      </c>
      <c r="P742">
        <f>IFERROR(VLOOKUP(F742,[1]Parameters!$A$3:$C$5,3,FALSE),0)</f>
        <v>0</v>
      </c>
      <c r="Q742">
        <f t="shared" si="11"/>
        <v>2.2999999999999998</v>
      </c>
      <c r="R742" s="10">
        <f>IF('[1]Pizza Sales Calculations'!$G742=TRUE, [1]Parameters!$B$17*'[1]Pizza Sales Calculations'!$L742*2, 0)</f>
        <v>5.9924999996437691</v>
      </c>
      <c r="S742" t="str">
        <f>IF(I742&lt;[1]Parameters!$B$21,"TRUE","FALSE")</f>
        <v>FALSE</v>
      </c>
      <c r="T742" s="5">
        <f>(I742/[1]Parameters!$B$25)*60</f>
        <v>8.4639440225667393</v>
      </c>
      <c r="U742" s="10">
        <f>IF(AND('[1]Pizza Sales Calculations'!G742=TRUE,'[1]Pizza Sales Calculations'!S742="TRUE"),T742*[1]Parameters!$B$40*2,0)</f>
        <v>0</v>
      </c>
      <c r="V742">
        <f>INDEX([1]Parameters!$A$3:$C$5,MATCH('[1]Pizza Sales Calculations'!D742,[1]Parameters!$A$3:$A$5,0),2)</f>
        <v>14</v>
      </c>
      <c r="W742" t="e">
        <f>INDEX([1]Parameters!$A$3:$C$5,MATCH('[1]Pizza Sales Calculations'!E742,[1]Parameters!$A$3:$A$5,0),2)</f>
        <v>#N/A</v>
      </c>
      <c r="X742" t="e">
        <f>INDEX([1]Parameters!$A$3:$C$5,MATCH('[1]Pizza Sales Calculations'!F742,[1]Parameters!$A$3:$A$5,0),2)</f>
        <v>#N/A</v>
      </c>
    </row>
    <row r="743" spans="1:24" x14ac:dyDescent="0.3">
      <c r="A743">
        <v>742</v>
      </c>
      <c r="B743" s="14">
        <v>42378.509930555556</v>
      </c>
      <c r="C743" s="14">
        <v>42378.520335648151</v>
      </c>
      <c r="D743" t="s">
        <v>5</v>
      </c>
      <c r="G743" t="b">
        <v>1</v>
      </c>
      <c r="H743">
        <v>70804</v>
      </c>
      <c r="I743" s="5">
        <v>2.0187844263736601</v>
      </c>
      <c r="J743" s="14">
        <v>42378.527337962965</v>
      </c>
      <c r="K743">
        <v>15.35</v>
      </c>
      <c r="L743" s="5">
        <f>('[1]Pizza Sales Calculations'!$J743-'[1]Pizza Sales Calculations'!$C743)*24*60</f>
        <v>10.083333333022892</v>
      </c>
      <c r="M743">
        <f>COUNTA('[1]Pizza Sales Calculations'!$D743:$F743)</f>
        <v>1</v>
      </c>
      <c r="N743">
        <f>IFERROR(VLOOKUP(D743,[1]Parameters!$A$3:$C$5,3,FALSE),0)</f>
        <v>2.2999999999999998</v>
      </c>
      <c r="O743">
        <f>IFERROR(VLOOKUP(E743,[1]Parameters!$A$3:$C$5,3,FALSE),0)</f>
        <v>0</v>
      </c>
      <c r="P743">
        <f>IFERROR(VLOOKUP(F743,[1]Parameters!$A$3:$C$5,3,FALSE),0)</f>
        <v>0</v>
      </c>
      <c r="Q743">
        <f t="shared" si="11"/>
        <v>2.2999999999999998</v>
      </c>
      <c r="R743" s="10">
        <f>IF('[1]Pizza Sales Calculations'!$G743=TRUE, [1]Parameters!$B$17*'[1]Pizza Sales Calculations'!$L743*2, 0)</f>
        <v>2.8569444443564862</v>
      </c>
      <c r="S743" t="str">
        <f>IF(I743&lt;[1]Parameters!$B$21,"TRUE","FALSE")</f>
        <v>TRUE</v>
      </c>
      <c r="T743" s="5">
        <f>(I743/[1]Parameters!$B$25)*60</f>
        <v>4.0375688527473201</v>
      </c>
      <c r="U743" s="10">
        <f>IF(AND('[1]Pizza Sales Calculations'!G743=TRUE,'[1]Pizza Sales Calculations'!S743="TRUE"),T743*[1]Parameters!$B$40*2,0)</f>
        <v>0.25203565895371211</v>
      </c>
      <c r="V743">
        <f>INDEX([1]Parameters!$A$3:$C$5,MATCH('[1]Pizza Sales Calculations'!D743,[1]Parameters!$A$3:$A$5,0),2)</f>
        <v>14</v>
      </c>
      <c r="W743" t="e">
        <f>INDEX([1]Parameters!$A$3:$C$5,MATCH('[1]Pizza Sales Calculations'!E743,[1]Parameters!$A$3:$A$5,0),2)</f>
        <v>#N/A</v>
      </c>
      <c r="X743" t="e">
        <f>INDEX([1]Parameters!$A$3:$C$5,MATCH('[1]Pizza Sales Calculations'!F743,[1]Parameters!$A$3:$A$5,0),2)</f>
        <v>#N/A</v>
      </c>
    </row>
    <row r="744" spans="1:24" x14ac:dyDescent="0.3">
      <c r="A744">
        <v>743</v>
      </c>
      <c r="B744" s="14">
        <v>42378.483738425923</v>
      </c>
      <c r="C744" s="14">
        <v>42378.494143518517</v>
      </c>
      <c r="D744" t="s">
        <v>5</v>
      </c>
      <c r="G744" t="b">
        <v>1</v>
      </c>
      <c r="H744">
        <v>70807</v>
      </c>
      <c r="I744" s="5">
        <v>1.06464895473169</v>
      </c>
      <c r="J744" s="14">
        <v>42378.497835648152</v>
      </c>
      <c r="K744">
        <v>15.35</v>
      </c>
      <c r="L744" s="5">
        <f>('[1]Pizza Sales Calculations'!$J744-'[1]Pizza Sales Calculations'!$C744)*24*60</f>
        <v>5.3166666731704026</v>
      </c>
      <c r="M744">
        <f>COUNTA('[1]Pizza Sales Calculations'!$D744:$F744)</f>
        <v>1</v>
      </c>
      <c r="N744">
        <f>IFERROR(VLOOKUP(D744,[1]Parameters!$A$3:$C$5,3,FALSE),0)</f>
        <v>2.2999999999999998</v>
      </c>
      <c r="O744">
        <f>IFERROR(VLOOKUP(E744,[1]Parameters!$A$3:$C$5,3,FALSE),0)</f>
        <v>0</v>
      </c>
      <c r="P744">
        <f>IFERROR(VLOOKUP(F744,[1]Parameters!$A$3:$C$5,3,FALSE),0)</f>
        <v>0</v>
      </c>
      <c r="Q744">
        <f t="shared" si="11"/>
        <v>2.2999999999999998</v>
      </c>
      <c r="R744" s="10">
        <f>IF('[1]Pizza Sales Calculations'!$G744=TRUE, [1]Parameters!$B$17*'[1]Pizza Sales Calculations'!$L744*2, 0)</f>
        <v>1.5063888907316141</v>
      </c>
      <c r="S744" t="str">
        <f>IF(I744&lt;[1]Parameters!$B$21,"TRUE","FALSE")</f>
        <v>TRUE</v>
      </c>
      <c r="T744" s="5">
        <f>(I744/[1]Parameters!$B$25)*60</f>
        <v>2.1292979094633799</v>
      </c>
      <c r="U744" s="10">
        <f>IF(AND('[1]Pizza Sales Calculations'!G744=TRUE,'[1]Pizza Sales Calculations'!S744="TRUE"),T744*[1]Parameters!$B$40*2,0)</f>
        <v>0.13291637153263672</v>
      </c>
      <c r="V744">
        <f>INDEX([1]Parameters!$A$3:$C$5,MATCH('[1]Pizza Sales Calculations'!D744,[1]Parameters!$A$3:$A$5,0),2)</f>
        <v>14</v>
      </c>
      <c r="W744" t="e">
        <f>INDEX([1]Parameters!$A$3:$C$5,MATCH('[1]Pizza Sales Calculations'!E744,[1]Parameters!$A$3:$A$5,0),2)</f>
        <v>#N/A</v>
      </c>
      <c r="X744" t="e">
        <f>INDEX([1]Parameters!$A$3:$C$5,MATCH('[1]Pizza Sales Calculations'!F744,[1]Parameters!$A$3:$A$5,0),2)</f>
        <v>#N/A</v>
      </c>
    </row>
    <row r="745" spans="1:24" x14ac:dyDescent="0.3">
      <c r="A745">
        <v>744</v>
      </c>
      <c r="B745" s="14">
        <v>42378.539930555555</v>
      </c>
      <c r="C745" s="14">
        <v>42378.550358796296</v>
      </c>
      <c r="D745" t="s">
        <v>3</v>
      </c>
      <c r="E745" t="s">
        <v>4</v>
      </c>
      <c r="G745" t="b">
        <v>0</v>
      </c>
      <c r="H745">
        <v>70805</v>
      </c>
      <c r="I745" s="5">
        <v>0</v>
      </c>
      <c r="J745" s="14">
        <v>42378.552418981482</v>
      </c>
      <c r="K745">
        <v>19.579999999999998</v>
      </c>
      <c r="L745" s="5">
        <f>('[1]Pizza Sales Calculations'!$J745-'[1]Pizza Sales Calculations'!$C745)*24*60</f>
        <v>2.9666666686534882</v>
      </c>
      <c r="M745">
        <f>COUNTA('[1]Pizza Sales Calculations'!$D745:$F745)</f>
        <v>2</v>
      </c>
      <c r="N745">
        <f>IFERROR(VLOOKUP(D745,[1]Parameters!$A$3:$C$5,3,FALSE),0)</f>
        <v>1</v>
      </c>
      <c r="O745">
        <f>IFERROR(VLOOKUP(E745,[1]Parameters!$A$3:$C$5,3,FALSE),0)</f>
        <v>1.7</v>
      </c>
      <c r="P745">
        <f>IFERROR(VLOOKUP(F745,[1]Parameters!$A$3:$C$5,3,FALSE),0)</f>
        <v>0</v>
      </c>
      <c r="Q745">
        <f t="shared" si="11"/>
        <v>2.7</v>
      </c>
      <c r="R745" s="10">
        <f>IF('[1]Pizza Sales Calculations'!$G745=TRUE, [1]Parameters!$B$17*'[1]Pizza Sales Calculations'!$L745*2, 0)</f>
        <v>0</v>
      </c>
      <c r="S745" t="str">
        <f>IF(I745&lt;[1]Parameters!$B$21,"TRUE","FALSE")</f>
        <v>TRUE</v>
      </c>
      <c r="T745" s="5">
        <f>(I745/[1]Parameters!$B$25)*60</f>
        <v>0</v>
      </c>
      <c r="U745" s="10">
        <f>IF(AND('[1]Pizza Sales Calculations'!G745=TRUE,'[1]Pizza Sales Calculations'!S745="TRUE"),T745*[1]Parameters!$B$40*2,0)</f>
        <v>0</v>
      </c>
      <c r="V745">
        <f>INDEX([1]Parameters!$A$3:$C$5,MATCH('[1]Pizza Sales Calculations'!D745,[1]Parameters!$A$3:$A$5,0),2)</f>
        <v>7</v>
      </c>
      <c r="W745">
        <f>INDEX([1]Parameters!$A$3:$C$5,MATCH('[1]Pizza Sales Calculations'!E745,[1]Parameters!$A$3:$A$5,0),2)</f>
        <v>10</v>
      </c>
      <c r="X745" t="e">
        <f>INDEX([1]Parameters!$A$3:$C$5,MATCH('[1]Pizza Sales Calculations'!F745,[1]Parameters!$A$3:$A$5,0),2)</f>
        <v>#N/A</v>
      </c>
    </row>
    <row r="746" spans="1:24" x14ac:dyDescent="0.3">
      <c r="A746">
        <v>745</v>
      </c>
      <c r="B746" s="14">
        <v>42378.471238425926</v>
      </c>
      <c r="C746" s="14">
        <v>42378.481666666667</v>
      </c>
      <c r="D746" t="s">
        <v>5</v>
      </c>
      <c r="G746" t="b">
        <v>0</v>
      </c>
      <c r="H746">
        <v>70804</v>
      </c>
      <c r="I746" s="5">
        <v>0</v>
      </c>
      <c r="J746" s="14">
        <v>42378.483761574076</v>
      </c>
      <c r="K746">
        <v>15.35</v>
      </c>
      <c r="L746" s="5">
        <f>('[1]Pizza Sales Calculations'!$J746-'[1]Pizza Sales Calculations'!$C746)*24*60</f>
        <v>3.0166666698642075</v>
      </c>
      <c r="M746">
        <f>COUNTA('[1]Pizza Sales Calculations'!$D746:$F746)</f>
        <v>1</v>
      </c>
      <c r="N746">
        <f>IFERROR(VLOOKUP(D746,[1]Parameters!$A$3:$C$5,3,FALSE),0)</f>
        <v>2.2999999999999998</v>
      </c>
      <c r="O746">
        <f>IFERROR(VLOOKUP(E746,[1]Parameters!$A$3:$C$5,3,FALSE),0)</f>
        <v>0</v>
      </c>
      <c r="P746">
        <f>IFERROR(VLOOKUP(F746,[1]Parameters!$A$3:$C$5,3,FALSE),0)</f>
        <v>0</v>
      </c>
      <c r="Q746">
        <f t="shared" si="11"/>
        <v>2.2999999999999998</v>
      </c>
      <c r="R746" s="10">
        <f>IF('[1]Pizza Sales Calculations'!$G746=TRUE, [1]Parameters!$B$17*'[1]Pizza Sales Calculations'!$L746*2, 0)</f>
        <v>0</v>
      </c>
      <c r="S746" t="str">
        <f>IF(I746&lt;[1]Parameters!$B$21,"TRUE","FALSE")</f>
        <v>TRUE</v>
      </c>
      <c r="T746" s="5">
        <f>(I746/[1]Parameters!$B$25)*60</f>
        <v>0</v>
      </c>
      <c r="U746" s="10">
        <f>IF(AND('[1]Pizza Sales Calculations'!G746=TRUE,'[1]Pizza Sales Calculations'!S746="TRUE"),T746*[1]Parameters!$B$40*2,0)</f>
        <v>0</v>
      </c>
      <c r="V746">
        <f>INDEX([1]Parameters!$A$3:$C$5,MATCH('[1]Pizza Sales Calculations'!D746,[1]Parameters!$A$3:$A$5,0),2)</f>
        <v>14</v>
      </c>
      <c r="W746" t="e">
        <f>INDEX([1]Parameters!$A$3:$C$5,MATCH('[1]Pizza Sales Calculations'!E746,[1]Parameters!$A$3:$A$5,0),2)</f>
        <v>#N/A</v>
      </c>
      <c r="X746" t="e">
        <f>INDEX([1]Parameters!$A$3:$C$5,MATCH('[1]Pizza Sales Calculations'!F746,[1]Parameters!$A$3:$A$5,0),2)</f>
        <v>#N/A</v>
      </c>
    </row>
    <row r="747" spans="1:24" x14ac:dyDescent="0.3">
      <c r="A747">
        <v>746</v>
      </c>
      <c r="B747" s="14">
        <v>42378.480208333334</v>
      </c>
      <c r="C747" s="14">
        <v>42378.490624999999</v>
      </c>
      <c r="D747" t="s">
        <v>3</v>
      </c>
      <c r="E747" t="s">
        <v>4</v>
      </c>
      <c r="G747" t="b">
        <v>1</v>
      </c>
      <c r="H747">
        <v>70808</v>
      </c>
      <c r="I747" s="5">
        <v>3.5989731484552698</v>
      </c>
      <c r="J747" s="14">
        <v>42378.503113425926</v>
      </c>
      <c r="K747">
        <v>19.579999999999998</v>
      </c>
      <c r="L747" s="5">
        <f>('[1]Pizza Sales Calculations'!$J747-'[1]Pizza Sales Calculations'!$C747)*24*60</f>
        <v>17.983333335723728</v>
      </c>
      <c r="M747">
        <f>COUNTA('[1]Pizza Sales Calculations'!$D747:$F747)</f>
        <v>2</v>
      </c>
      <c r="N747">
        <f>IFERROR(VLOOKUP(D747,[1]Parameters!$A$3:$C$5,3,FALSE),0)</f>
        <v>1</v>
      </c>
      <c r="O747">
        <f>IFERROR(VLOOKUP(E747,[1]Parameters!$A$3:$C$5,3,FALSE),0)</f>
        <v>1.7</v>
      </c>
      <c r="P747">
        <f>IFERROR(VLOOKUP(F747,[1]Parameters!$A$3:$C$5,3,FALSE),0)</f>
        <v>0</v>
      </c>
      <c r="Q747">
        <f t="shared" si="11"/>
        <v>2.7</v>
      </c>
      <c r="R747" s="10">
        <f>IF('[1]Pizza Sales Calculations'!$G747=TRUE, [1]Parameters!$B$17*'[1]Pizza Sales Calculations'!$L747*2, 0)</f>
        <v>5.0952777784550563</v>
      </c>
      <c r="S747" t="str">
        <f>IF(I747&lt;[1]Parameters!$B$21,"TRUE","FALSE")</f>
        <v>FALSE</v>
      </c>
      <c r="T747" s="5">
        <f>(I747/[1]Parameters!$B$25)*60</f>
        <v>7.1979462969105397</v>
      </c>
      <c r="U747" s="10">
        <f>IF(AND('[1]Pizza Sales Calculations'!G747=TRUE,'[1]Pizza Sales Calculations'!S747="TRUE"),T747*[1]Parameters!$B$40*2,0)</f>
        <v>0</v>
      </c>
      <c r="V747">
        <f>INDEX([1]Parameters!$A$3:$C$5,MATCH('[1]Pizza Sales Calculations'!D747,[1]Parameters!$A$3:$A$5,0),2)</f>
        <v>7</v>
      </c>
      <c r="W747">
        <f>INDEX([1]Parameters!$A$3:$C$5,MATCH('[1]Pizza Sales Calculations'!E747,[1]Parameters!$A$3:$A$5,0),2)</f>
        <v>10</v>
      </c>
      <c r="X747" t="e">
        <f>INDEX([1]Parameters!$A$3:$C$5,MATCH('[1]Pizza Sales Calculations'!F747,[1]Parameters!$A$3:$A$5,0),2)</f>
        <v>#N/A</v>
      </c>
    </row>
    <row r="748" spans="1:24" x14ac:dyDescent="0.3">
      <c r="A748">
        <v>747</v>
      </c>
      <c r="B748" s="14">
        <v>42378.483032407406</v>
      </c>
      <c r="C748" s="14">
        <v>42378.493449074071</v>
      </c>
      <c r="D748" t="s">
        <v>3</v>
      </c>
      <c r="E748" t="s">
        <v>4</v>
      </c>
      <c r="G748" t="b">
        <v>0</v>
      </c>
      <c r="H748">
        <v>70804</v>
      </c>
      <c r="I748" s="5">
        <v>0</v>
      </c>
      <c r="J748" s="14">
        <v>42378.495509259257</v>
      </c>
      <c r="K748">
        <v>19.579999999999998</v>
      </c>
      <c r="L748" s="5">
        <f>('[1]Pizza Sales Calculations'!$J748-'[1]Pizza Sales Calculations'!$C748)*24*60</f>
        <v>2.9666666686534882</v>
      </c>
      <c r="M748">
        <f>COUNTA('[1]Pizza Sales Calculations'!$D748:$F748)</f>
        <v>2</v>
      </c>
      <c r="N748">
        <f>IFERROR(VLOOKUP(D748,[1]Parameters!$A$3:$C$5,3,FALSE),0)</f>
        <v>1</v>
      </c>
      <c r="O748">
        <f>IFERROR(VLOOKUP(E748,[1]Parameters!$A$3:$C$5,3,FALSE),0)</f>
        <v>1.7</v>
      </c>
      <c r="P748">
        <f>IFERROR(VLOOKUP(F748,[1]Parameters!$A$3:$C$5,3,FALSE),0)</f>
        <v>0</v>
      </c>
      <c r="Q748">
        <f t="shared" si="11"/>
        <v>2.7</v>
      </c>
      <c r="R748" s="10">
        <f>IF('[1]Pizza Sales Calculations'!$G748=TRUE, [1]Parameters!$B$17*'[1]Pizza Sales Calculations'!$L748*2, 0)</f>
        <v>0</v>
      </c>
      <c r="S748" t="str">
        <f>IF(I748&lt;[1]Parameters!$B$21,"TRUE","FALSE")</f>
        <v>TRUE</v>
      </c>
      <c r="T748" s="5">
        <f>(I748/[1]Parameters!$B$25)*60</f>
        <v>0</v>
      </c>
      <c r="U748" s="10">
        <f>IF(AND('[1]Pizza Sales Calculations'!G748=TRUE,'[1]Pizza Sales Calculations'!S748="TRUE"),T748*[1]Parameters!$B$40*2,0)</f>
        <v>0</v>
      </c>
      <c r="V748">
        <f>INDEX([1]Parameters!$A$3:$C$5,MATCH('[1]Pizza Sales Calculations'!D748,[1]Parameters!$A$3:$A$5,0),2)</f>
        <v>7</v>
      </c>
      <c r="W748">
        <f>INDEX([1]Parameters!$A$3:$C$5,MATCH('[1]Pizza Sales Calculations'!E748,[1]Parameters!$A$3:$A$5,0),2)</f>
        <v>10</v>
      </c>
      <c r="X748" t="e">
        <f>INDEX([1]Parameters!$A$3:$C$5,MATCH('[1]Pizza Sales Calculations'!F748,[1]Parameters!$A$3:$A$5,0),2)</f>
        <v>#N/A</v>
      </c>
    </row>
    <row r="749" spans="1:24" x14ac:dyDescent="0.3">
      <c r="A749">
        <v>748</v>
      </c>
      <c r="B749" s="14">
        <v>42378.579305555555</v>
      </c>
      <c r="C749" s="14">
        <v>42378.58971064815</v>
      </c>
      <c r="D749" t="s">
        <v>3</v>
      </c>
      <c r="E749" t="s">
        <v>5</v>
      </c>
      <c r="G749" t="b">
        <v>1</v>
      </c>
      <c r="H749">
        <v>70807</v>
      </c>
      <c r="I749" s="5">
        <v>3.4846254166608901</v>
      </c>
      <c r="J749" s="14">
        <v>42378.601805555554</v>
      </c>
      <c r="K749">
        <v>23.34</v>
      </c>
      <c r="L749" s="5">
        <f>('[1]Pizza Sales Calculations'!$J749-'[1]Pizza Sales Calculations'!$C749)*24*60</f>
        <v>17.416666662320495</v>
      </c>
      <c r="M749">
        <f>COUNTA('[1]Pizza Sales Calculations'!$D749:$F749)</f>
        <v>2</v>
      </c>
      <c r="N749">
        <f>IFERROR(VLOOKUP(D749,[1]Parameters!$A$3:$C$5,3,FALSE),0)</f>
        <v>1</v>
      </c>
      <c r="O749">
        <f>IFERROR(VLOOKUP(E749,[1]Parameters!$A$3:$C$5,3,FALSE),0)</f>
        <v>2.2999999999999998</v>
      </c>
      <c r="P749">
        <f>IFERROR(VLOOKUP(F749,[1]Parameters!$A$3:$C$5,3,FALSE),0)</f>
        <v>0</v>
      </c>
      <c r="Q749">
        <f t="shared" si="11"/>
        <v>3.3</v>
      </c>
      <c r="R749" s="10">
        <f>IF('[1]Pizza Sales Calculations'!$G749=TRUE, [1]Parameters!$B$17*'[1]Pizza Sales Calculations'!$L749*2, 0)</f>
        <v>4.9347222209908068</v>
      </c>
      <c r="S749" t="str">
        <f>IF(I749&lt;[1]Parameters!$B$21,"TRUE","FALSE")</f>
        <v>FALSE</v>
      </c>
      <c r="T749" s="5">
        <f>(I749/[1]Parameters!$B$25)*60</f>
        <v>6.9692508333217802</v>
      </c>
      <c r="U749" s="10">
        <f>IF(AND('[1]Pizza Sales Calculations'!G749=TRUE,'[1]Pizza Sales Calculations'!S749="TRUE"),T749*[1]Parameters!$B$40*2,0)</f>
        <v>0</v>
      </c>
      <c r="V749">
        <f>INDEX([1]Parameters!$A$3:$C$5,MATCH('[1]Pizza Sales Calculations'!D749,[1]Parameters!$A$3:$A$5,0),2)</f>
        <v>7</v>
      </c>
      <c r="W749">
        <f>INDEX([1]Parameters!$A$3:$C$5,MATCH('[1]Pizza Sales Calculations'!E749,[1]Parameters!$A$3:$A$5,0),2)</f>
        <v>14</v>
      </c>
      <c r="X749" t="e">
        <f>INDEX([1]Parameters!$A$3:$C$5,MATCH('[1]Pizza Sales Calculations'!F749,[1]Parameters!$A$3:$A$5,0),2)</f>
        <v>#N/A</v>
      </c>
    </row>
    <row r="750" spans="1:24" x14ac:dyDescent="0.3">
      <c r="A750">
        <v>749</v>
      </c>
      <c r="B750" s="14">
        <v>42378.550451388888</v>
      </c>
      <c r="C750" s="14">
        <v>42378.560856481483</v>
      </c>
      <c r="D750" t="s">
        <v>3</v>
      </c>
      <c r="G750" t="b">
        <v>0</v>
      </c>
      <c r="H750">
        <v>70806</v>
      </c>
      <c r="I750" s="5">
        <v>0</v>
      </c>
      <c r="J750" s="14">
        <v>42378.562939814816</v>
      </c>
      <c r="K750">
        <v>7.99</v>
      </c>
      <c r="L750" s="5">
        <f>('[1]Pizza Sales Calculations'!$J750-'[1]Pizza Sales Calculations'!$C750)*24*60</f>
        <v>2.9999999993015081</v>
      </c>
      <c r="M750">
        <f>COUNTA('[1]Pizza Sales Calculations'!$D750:$F750)</f>
        <v>1</v>
      </c>
      <c r="N750">
        <f>IFERROR(VLOOKUP(D750,[1]Parameters!$A$3:$C$5,3,FALSE),0)</f>
        <v>1</v>
      </c>
      <c r="O750">
        <f>IFERROR(VLOOKUP(E750,[1]Parameters!$A$3:$C$5,3,FALSE),0)</f>
        <v>0</v>
      </c>
      <c r="P750">
        <f>IFERROR(VLOOKUP(F750,[1]Parameters!$A$3:$C$5,3,FALSE),0)</f>
        <v>0</v>
      </c>
      <c r="Q750">
        <f t="shared" si="11"/>
        <v>1</v>
      </c>
      <c r="R750" s="10">
        <f>IF('[1]Pizza Sales Calculations'!$G750=TRUE, [1]Parameters!$B$17*'[1]Pizza Sales Calculations'!$L750*2, 0)</f>
        <v>0</v>
      </c>
      <c r="S750" t="str">
        <f>IF(I750&lt;[1]Parameters!$B$21,"TRUE","FALSE")</f>
        <v>TRUE</v>
      </c>
      <c r="T750" s="5">
        <f>(I750/[1]Parameters!$B$25)*60</f>
        <v>0</v>
      </c>
      <c r="U750" s="10">
        <f>IF(AND('[1]Pizza Sales Calculations'!G750=TRUE,'[1]Pizza Sales Calculations'!S750="TRUE"),T750*[1]Parameters!$B$40*2,0)</f>
        <v>0</v>
      </c>
      <c r="V750">
        <f>INDEX([1]Parameters!$A$3:$C$5,MATCH('[1]Pizza Sales Calculations'!D750,[1]Parameters!$A$3:$A$5,0),2)</f>
        <v>7</v>
      </c>
      <c r="W750" t="e">
        <f>INDEX([1]Parameters!$A$3:$C$5,MATCH('[1]Pizza Sales Calculations'!E750,[1]Parameters!$A$3:$A$5,0),2)</f>
        <v>#N/A</v>
      </c>
      <c r="X750" t="e">
        <f>INDEX([1]Parameters!$A$3:$C$5,MATCH('[1]Pizza Sales Calculations'!F750,[1]Parameters!$A$3:$A$5,0),2)</f>
        <v>#N/A</v>
      </c>
    </row>
    <row r="751" spans="1:24" x14ac:dyDescent="0.3">
      <c r="A751">
        <v>750</v>
      </c>
      <c r="B751" s="14">
        <v>42378.554652777777</v>
      </c>
      <c r="C751" s="14">
        <v>42378.565069444441</v>
      </c>
      <c r="D751" t="s">
        <v>3</v>
      </c>
      <c r="E751" t="s">
        <v>4</v>
      </c>
      <c r="G751" t="b">
        <v>0</v>
      </c>
      <c r="H751">
        <v>70806</v>
      </c>
      <c r="I751" s="5">
        <v>0</v>
      </c>
      <c r="J751" s="14">
        <v>42378.567152777781</v>
      </c>
      <c r="K751">
        <v>19.579999999999998</v>
      </c>
      <c r="L751" s="5">
        <f>('[1]Pizza Sales Calculations'!$J751-'[1]Pizza Sales Calculations'!$C751)*24*60</f>
        <v>3.000000009778887</v>
      </c>
      <c r="M751">
        <f>COUNTA('[1]Pizza Sales Calculations'!$D751:$F751)</f>
        <v>2</v>
      </c>
      <c r="N751">
        <f>IFERROR(VLOOKUP(D751,[1]Parameters!$A$3:$C$5,3,FALSE),0)</f>
        <v>1</v>
      </c>
      <c r="O751">
        <f>IFERROR(VLOOKUP(E751,[1]Parameters!$A$3:$C$5,3,FALSE),0)</f>
        <v>1.7</v>
      </c>
      <c r="P751">
        <f>IFERROR(VLOOKUP(F751,[1]Parameters!$A$3:$C$5,3,FALSE),0)</f>
        <v>0</v>
      </c>
      <c r="Q751">
        <f t="shared" si="11"/>
        <v>2.7</v>
      </c>
      <c r="R751" s="10">
        <f>IF('[1]Pizza Sales Calculations'!$G751=TRUE, [1]Parameters!$B$17*'[1]Pizza Sales Calculations'!$L751*2, 0)</f>
        <v>0</v>
      </c>
      <c r="S751" t="str">
        <f>IF(I751&lt;[1]Parameters!$B$21,"TRUE","FALSE")</f>
        <v>TRUE</v>
      </c>
      <c r="T751" s="5">
        <f>(I751/[1]Parameters!$B$25)*60</f>
        <v>0</v>
      </c>
      <c r="U751" s="10">
        <f>IF(AND('[1]Pizza Sales Calculations'!G751=TRUE,'[1]Pizza Sales Calculations'!S751="TRUE"),T751*[1]Parameters!$B$40*2,0)</f>
        <v>0</v>
      </c>
      <c r="V751">
        <f>INDEX([1]Parameters!$A$3:$C$5,MATCH('[1]Pizza Sales Calculations'!D751,[1]Parameters!$A$3:$A$5,0),2)</f>
        <v>7</v>
      </c>
      <c r="W751">
        <f>INDEX([1]Parameters!$A$3:$C$5,MATCH('[1]Pizza Sales Calculations'!E751,[1]Parameters!$A$3:$A$5,0),2)</f>
        <v>10</v>
      </c>
      <c r="X751" t="e">
        <f>INDEX([1]Parameters!$A$3:$C$5,MATCH('[1]Pizza Sales Calculations'!F751,[1]Parameters!$A$3:$A$5,0),2)</f>
        <v>#N/A</v>
      </c>
    </row>
    <row r="752" spans="1:24" x14ac:dyDescent="0.3">
      <c r="A752">
        <v>751</v>
      </c>
      <c r="B752" s="14">
        <v>42378.441793981481</v>
      </c>
      <c r="C752" s="14">
        <v>42378.452210648145</v>
      </c>
      <c r="D752" t="s">
        <v>4</v>
      </c>
      <c r="G752" t="b">
        <v>0</v>
      </c>
      <c r="H752">
        <v>70804</v>
      </c>
      <c r="I752" s="5">
        <v>0</v>
      </c>
      <c r="J752" s="14">
        <v>42378.454293981478</v>
      </c>
      <c r="K752">
        <v>11.59</v>
      </c>
      <c r="L752" s="5">
        <f>('[1]Pizza Sales Calculations'!$J752-'[1]Pizza Sales Calculations'!$C752)*24*60</f>
        <v>2.9999999993015081</v>
      </c>
      <c r="M752">
        <f>COUNTA('[1]Pizza Sales Calculations'!$D752:$F752)</f>
        <v>1</v>
      </c>
      <c r="N752">
        <f>IFERROR(VLOOKUP(D752,[1]Parameters!$A$3:$C$5,3,FALSE),0)</f>
        <v>1.7</v>
      </c>
      <c r="O752">
        <f>IFERROR(VLOOKUP(E752,[1]Parameters!$A$3:$C$5,3,FALSE),0)</f>
        <v>0</v>
      </c>
      <c r="P752">
        <f>IFERROR(VLOOKUP(F752,[1]Parameters!$A$3:$C$5,3,FALSE),0)</f>
        <v>0</v>
      </c>
      <c r="Q752">
        <f t="shared" si="11"/>
        <v>1.7</v>
      </c>
      <c r="R752" s="10">
        <f>IF('[1]Pizza Sales Calculations'!$G752=TRUE, [1]Parameters!$B$17*'[1]Pizza Sales Calculations'!$L752*2, 0)</f>
        <v>0</v>
      </c>
      <c r="S752" t="str">
        <f>IF(I752&lt;[1]Parameters!$B$21,"TRUE","FALSE")</f>
        <v>TRUE</v>
      </c>
      <c r="T752" s="5">
        <f>(I752/[1]Parameters!$B$25)*60</f>
        <v>0</v>
      </c>
      <c r="U752" s="10">
        <f>IF(AND('[1]Pizza Sales Calculations'!G752=TRUE,'[1]Pizza Sales Calculations'!S752="TRUE"),T752*[1]Parameters!$B$40*2,0)</f>
        <v>0</v>
      </c>
      <c r="V752">
        <f>INDEX([1]Parameters!$A$3:$C$5,MATCH('[1]Pizza Sales Calculations'!D752,[1]Parameters!$A$3:$A$5,0),2)</f>
        <v>10</v>
      </c>
      <c r="W752" t="e">
        <f>INDEX([1]Parameters!$A$3:$C$5,MATCH('[1]Pizza Sales Calculations'!E752,[1]Parameters!$A$3:$A$5,0),2)</f>
        <v>#N/A</v>
      </c>
      <c r="X752" t="e">
        <f>INDEX([1]Parameters!$A$3:$C$5,MATCH('[1]Pizza Sales Calculations'!F752,[1]Parameters!$A$3:$A$5,0),2)</f>
        <v>#N/A</v>
      </c>
    </row>
    <row r="753" spans="1:24" x14ac:dyDescent="0.3">
      <c r="A753">
        <v>752</v>
      </c>
      <c r="B753" s="14">
        <v>42378.417442129627</v>
      </c>
      <c r="C753" s="14">
        <v>42378.427847222221</v>
      </c>
      <c r="D753" t="s">
        <v>3</v>
      </c>
      <c r="E753" t="s">
        <v>4</v>
      </c>
      <c r="G753" t="b">
        <v>1</v>
      </c>
      <c r="H753">
        <v>70805</v>
      </c>
      <c r="I753" s="5">
        <v>1.88551084156969</v>
      </c>
      <c r="J753" s="14">
        <v>42378.434386574074</v>
      </c>
      <c r="K753">
        <v>19.579999999999998</v>
      </c>
      <c r="L753" s="5">
        <f>('[1]Pizza Sales Calculations'!$J753-'[1]Pizza Sales Calculations'!$C753)*24*60</f>
        <v>9.4166666676755995</v>
      </c>
      <c r="M753">
        <f>COUNTA('[1]Pizza Sales Calculations'!$D753:$F753)</f>
        <v>2</v>
      </c>
      <c r="N753">
        <f>IFERROR(VLOOKUP(D753,[1]Parameters!$A$3:$C$5,3,FALSE),0)</f>
        <v>1</v>
      </c>
      <c r="O753">
        <f>IFERROR(VLOOKUP(E753,[1]Parameters!$A$3:$C$5,3,FALSE),0)</f>
        <v>1.7</v>
      </c>
      <c r="P753">
        <f>IFERROR(VLOOKUP(F753,[1]Parameters!$A$3:$C$5,3,FALSE),0)</f>
        <v>0</v>
      </c>
      <c r="Q753">
        <f t="shared" si="11"/>
        <v>2.7</v>
      </c>
      <c r="R753" s="10">
        <f>IF('[1]Pizza Sales Calculations'!$G753=TRUE, [1]Parameters!$B$17*'[1]Pizza Sales Calculations'!$L753*2, 0)</f>
        <v>2.6680555558414198</v>
      </c>
      <c r="S753" t="str">
        <f>IF(I753&lt;[1]Parameters!$B$21,"TRUE","FALSE")</f>
        <v>TRUE</v>
      </c>
      <c r="T753" s="5">
        <f>(I753/[1]Parameters!$B$25)*60</f>
        <v>3.7710216831393799</v>
      </c>
      <c r="U753" s="10">
        <f>IF(AND('[1]Pizza Sales Calculations'!G753=TRUE,'[1]Pizza Sales Calculations'!S753="TRUE"),T753*[1]Parameters!$B$40*2,0)</f>
        <v>0.23539708411215304</v>
      </c>
      <c r="V753">
        <f>INDEX([1]Parameters!$A$3:$C$5,MATCH('[1]Pizza Sales Calculations'!D753,[1]Parameters!$A$3:$A$5,0),2)</f>
        <v>7</v>
      </c>
      <c r="W753">
        <f>INDEX([1]Parameters!$A$3:$C$5,MATCH('[1]Pizza Sales Calculations'!E753,[1]Parameters!$A$3:$A$5,0),2)</f>
        <v>10</v>
      </c>
      <c r="X753" t="e">
        <f>INDEX([1]Parameters!$A$3:$C$5,MATCH('[1]Pizza Sales Calculations'!F753,[1]Parameters!$A$3:$A$5,0),2)</f>
        <v>#N/A</v>
      </c>
    </row>
    <row r="754" spans="1:24" x14ac:dyDescent="0.3">
      <c r="A754">
        <v>753</v>
      </c>
      <c r="B754" s="14">
        <v>42378.488287037035</v>
      </c>
      <c r="C754" s="14">
        <v>42378.498692129629</v>
      </c>
      <c r="D754" t="s">
        <v>3</v>
      </c>
      <c r="E754" t="s">
        <v>4</v>
      </c>
      <c r="G754" t="b">
        <v>0</v>
      </c>
      <c r="H754">
        <v>70804</v>
      </c>
      <c r="I754" s="5">
        <v>0</v>
      </c>
      <c r="J754" s="14">
        <v>42378.500787037039</v>
      </c>
      <c r="K754">
        <v>19.579999999999998</v>
      </c>
      <c r="L754" s="5">
        <f>('[1]Pizza Sales Calculations'!$J754-'[1]Pizza Sales Calculations'!$C754)*24*60</f>
        <v>3.0166666698642075</v>
      </c>
      <c r="M754">
        <f>COUNTA('[1]Pizza Sales Calculations'!$D754:$F754)</f>
        <v>2</v>
      </c>
      <c r="N754">
        <f>IFERROR(VLOOKUP(D754,[1]Parameters!$A$3:$C$5,3,FALSE),0)</f>
        <v>1</v>
      </c>
      <c r="O754">
        <f>IFERROR(VLOOKUP(E754,[1]Parameters!$A$3:$C$5,3,FALSE),0)</f>
        <v>1.7</v>
      </c>
      <c r="P754">
        <f>IFERROR(VLOOKUP(F754,[1]Parameters!$A$3:$C$5,3,FALSE),0)</f>
        <v>0</v>
      </c>
      <c r="Q754">
        <f t="shared" si="11"/>
        <v>2.7</v>
      </c>
      <c r="R754" s="10">
        <f>IF('[1]Pizza Sales Calculations'!$G754=TRUE, [1]Parameters!$B$17*'[1]Pizza Sales Calculations'!$L754*2, 0)</f>
        <v>0</v>
      </c>
      <c r="S754" t="str">
        <f>IF(I754&lt;[1]Parameters!$B$21,"TRUE","FALSE")</f>
        <v>TRUE</v>
      </c>
      <c r="T754" s="5">
        <f>(I754/[1]Parameters!$B$25)*60</f>
        <v>0</v>
      </c>
      <c r="U754" s="10">
        <f>IF(AND('[1]Pizza Sales Calculations'!G754=TRUE,'[1]Pizza Sales Calculations'!S754="TRUE"),T754*[1]Parameters!$B$40*2,0)</f>
        <v>0</v>
      </c>
      <c r="V754">
        <f>INDEX([1]Parameters!$A$3:$C$5,MATCH('[1]Pizza Sales Calculations'!D754,[1]Parameters!$A$3:$A$5,0),2)</f>
        <v>7</v>
      </c>
      <c r="W754">
        <f>INDEX([1]Parameters!$A$3:$C$5,MATCH('[1]Pizza Sales Calculations'!E754,[1]Parameters!$A$3:$A$5,0),2)</f>
        <v>10</v>
      </c>
      <c r="X754" t="e">
        <f>INDEX([1]Parameters!$A$3:$C$5,MATCH('[1]Pizza Sales Calculations'!F754,[1]Parameters!$A$3:$A$5,0),2)</f>
        <v>#N/A</v>
      </c>
    </row>
    <row r="755" spans="1:24" x14ac:dyDescent="0.3">
      <c r="A755">
        <v>754</v>
      </c>
      <c r="B755" s="14">
        <v>42378.462812500002</v>
      </c>
      <c r="C755" s="14">
        <v>42378.47320601852</v>
      </c>
      <c r="D755" t="s">
        <v>3</v>
      </c>
      <c r="G755" t="b">
        <v>0</v>
      </c>
      <c r="H755">
        <v>70803</v>
      </c>
      <c r="I755" s="5">
        <v>0</v>
      </c>
      <c r="J755" s="14">
        <v>42378.475277777776</v>
      </c>
      <c r="K755">
        <v>7.99</v>
      </c>
      <c r="L755" s="5">
        <f>('[1]Pizza Sales Calculations'!$J755-'[1]Pizza Sales Calculations'!$C755)*24*60</f>
        <v>2.9833333287388086</v>
      </c>
      <c r="M755">
        <f>COUNTA('[1]Pizza Sales Calculations'!$D755:$F755)</f>
        <v>1</v>
      </c>
      <c r="N755">
        <f>IFERROR(VLOOKUP(D755,[1]Parameters!$A$3:$C$5,3,FALSE),0)</f>
        <v>1</v>
      </c>
      <c r="O755">
        <f>IFERROR(VLOOKUP(E755,[1]Parameters!$A$3:$C$5,3,FALSE),0)</f>
        <v>0</v>
      </c>
      <c r="P755">
        <f>IFERROR(VLOOKUP(F755,[1]Parameters!$A$3:$C$5,3,FALSE),0)</f>
        <v>0</v>
      </c>
      <c r="Q755">
        <f t="shared" si="11"/>
        <v>1</v>
      </c>
      <c r="R755" s="10">
        <f>IF('[1]Pizza Sales Calculations'!$G755=TRUE, [1]Parameters!$B$17*'[1]Pizza Sales Calculations'!$L755*2, 0)</f>
        <v>0</v>
      </c>
      <c r="S755" t="str">
        <f>IF(I755&lt;[1]Parameters!$B$21,"TRUE","FALSE")</f>
        <v>TRUE</v>
      </c>
      <c r="T755" s="5">
        <f>(I755/[1]Parameters!$B$25)*60</f>
        <v>0</v>
      </c>
      <c r="U755" s="10">
        <f>IF(AND('[1]Pizza Sales Calculations'!G755=TRUE,'[1]Pizza Sales Calculations'!S755="TRUE"),T755*[1]Parameters!$B$40*2,0)</f>
        <v>0</v>
      </c>
      <c r="V755">
        <f>INDEX([1]Parameters!$A$3:$C$5,MATCH('[1]Pizza Sales Calculations'!D755,[1]Parameters!$A$3:$A$5,0),2)</f>
        <v>7</v>
      </c>
      <c r="W755" t="e">
        <f>INDEX([1]Parameters!$A$3:$C$5,MATCH('[1]Pizza Sales Calculations'!E755,[1]Parameters!$A$3:$A$5,0),2)</f>
        <v>#N/A</v>
      </c>
      <c r="X755" t="e">
        <f>INDEX([1]Parameters!$A$3:$C$5,MATCH('[1]Pizza Sales Calculations'!F755,[1]Parameters!$A$3:$A$5,0),2)</f>
        <v>#N/A</v>
      </c>
    </row>
    <row r="756" spans="1:24" x14ac:dyDescent="0.3">
      <c r="A756">
        <v>755</v>
      </c>
      <c r="B756" s="14">
        <v>42378.444861111115</v>
      </c>
      <c r="C756" s="14">
        <v>42378.455266203702</v>
      </c>
      <c r="D756" t="s">
        <v>3</v>
      </c>
      <c r="G756" t="b">
        <v>0</v>
      </c>
      <c r="H756">
        <v>70807</v>
      </c>
      <c r="I756" s="5">
        <v>0</v>
      </c>
      <c r="J756" s="14">
        <v>42378.457337962966</v>
      </c>
      <c r="K756">
        <v>7.99</v>
      </c>
      <c r="L756" s="5">
        <f>('[1]Pizza Sales Calculations'!$J756-'[1]Pizza Sales Calculations'!$C756)*24*60</f>
        <v>2.9833333392161876</v>
      </c>
      <c r="M756">
        <f>COUNTA('[1]Pizza Sales Calculations'!$D756:$F756)</f>
        <v>1</v>
      </c>
      <c r="N756">
        <f>IFERROR(VLOOKUP(D756,[1]Parameters!$A$3:$C$5,3,FALSE),0)</f>
        <v>1</v>
      </c>
      <c r="O756">
        <f>IFERROR(VLOOKUP(E756,[1]Parameters!$A$3:$C$5,3,FALSE),0)</f>
        <v>0</v>
      </c>
      <c r="P756">
        <f>IFERROR(VLOOKUP(F756,[1]Parameters!$A$3:$C$5,3,FALSE),0)</f>
        <v>0</v>
      </c>
      <c r="Q756">
        <f t="shared" si="11"/>
        <v>1</v>
      </c>
      <c r="R756" s="10">
        <f>IF('[1]Pizza Sales Calculations'!$G756=TRUE, [1]Parameters!$B$17*'[1]Pizza Sales Calculations'!$L756*2, 0)</f>
        <v>0</v>
      </c>
      <c r="S756" t="str">
        <f>IF(I756&lt;[1]Parameters!$B$21,"TRUE","FALSE")</f>
        <v>TRUE</v>
      </c>
      <c r="T756" s="5">
        <f>(I756/[1]Parameters!$B$25)*60</f>
        <v>0</v>
      </c>
      <c r="U756" s="10">
        <f>IF(AND('[1]Pizza Sales Calculations'!G756=TRUE,'[1]Pizza Sales Calculations'!S756="TRUE"),T756*[1]Parameters!$B$40*2,0)</f>
        <v>0</v>
      </c>
      <c r="V756">
        <f>INDEX([1]Parameters!$A$3:$C$5,MATCH('[1]Pizza Sales Calculations'!D756,[1]Parameters!$A$3:$A$5,0),2)</f>
        <v>7</v>
      </c>
      <c r="W756" t="e">
        <f>INDEX([1]Parameters!$A$3:$C$5,MATCH('[1]Pizza Sales Calculations'!E756,[1]Parameters!$A$3:$A$5,0),2)</f>
        <v>#N/A</v>
      </c>
      <c r="X756" t="e">
        <f>INDEX([1]Parameters!$A$3:$C$5,MATCH('[1]Pizza Sales Calculations'!F756,[1]Parameters!$A$3:$A$5,0),2)</f>
        <v>#N/A</v>
      </c>
    </row>
    <row r="757" spans="1:24" x14ac:dyDescent="0.3">
      <c r="A757">
        <v>756</v>
      </c>
      <c r="B757" s="14">
        <v>42378.510995370372</v>
      </c>
      <c r="C757" s="14">
        <v>42378.52140046296</v>
      </c>
      <c r="D757" t="s">
        <v>3</v>
      </c>
      <c r="E757" t="s">
        <v>4</v>
      </c>
      <c r="G757" t="b">
        <v>0</v>
      </c>
      <c r="H757">
        <v>70804</v>
      </c>
      <c r="I757" s="5">
        <v>0</v>
      </c>
      <c r="J757" s="14">
        <v>42378.523460648146</v>
      </c>
      <c r="K757">
        <v>19.579999999999998</v>
      </c>
      <c r="L757" s="5">
        <f>('[1]Pizza Sales Calculations'!$J757-'[1]Pizza Sales Calculations'!$C757)*24*60</f>
        <v>2.9666666686534882</v>
      </c>
      <c r="M757">
        <f>COUNTA('[1]Pizza Sales Calculations'!$D757:$F757)</f>
        <v>2</v>
      </c>
      <c r="N757">
        <f>IFERROR(VLOOKUP(D757,[1]Parameters!$A$3:$C$5,3,FALSE),0)</f>
        <v>1</v>
      </c>
      <c r="O757">
        <f>IFERROR(VLOOKUP(E757,[1]Parameters!$A$3:$C$5,3,FALSE),0)</f>
        <v>1.7</v>
      </c>
      <c r="P757">
        <f>IFERROR(VLOOKUP(F757,[1]Parameters!$A$3:$C$5,3,FALSE),0)</f>
        <v>0</v>
      </c>
      <c r="Q757">
        <f t="shared" si="11"/>
        <v>2.7</v>
      </c>
      <c r="R757" s="10">
        <f>IF('[1]Pizza Sales Calculations'!$G757=TRUE, [1]Parameters!$B$17*'[1]Pizza Sales Calculations'!$L757*2, 0)</f>
        <v>0</v>
      </c>
      <c r="S757" t="str">
        <f>IF(I757&lt;[1]Parameters!$B$21,"TRUE","FALSE")</f>
        <v>TRUE</v>
      </c>
      <c r="T757" s="5">
        <f>(I757/[1]Parameters!$B$25)*60</f>
        <v>0</v>
      </c>
      <c r="U757" s="10">
        <f>IF(AND('[1]Pizza Sales Calculations'!G757=TRUE,'[1]Pizza Sales Calculations'!S757="TRUE"),T757*[1]Parameters!$B$40*2,0)</f>
        <v>0</v>
      </c>
      <c r="V757">
        <f>INDEX([1]Parameters!$A$3:$C$5,MATCH('[1]Pizza Sales Calculations'!D757,[1]Parameters!$A$3:$A$5,0),2)</f>
        <v>7</v>
      </c>
      <c r="W757">
        <f>INDEX([1]Parameters!$A$3:$C$5,MATCH('[1]Pizza Sales Calculations'!E757,[1]Parameters!$A$3:$A$5,0),2)</f>
        <v>10</v>
      </c>
      <c r="X757" t="e">
        <f>INDEX([1]Parameters!$A$3:$C$5,MATCH('[1]Pizza Sales Calculations'!F757,[1]Parameters!$A$3:$A$5,0),2)</f>
        <v>#N/A</v>
      </c>
    </row>
    <row r="758" spans="1:24" x14ac:dyDescent="0.3">
      <c r="A758">
        <v>757</v>
      </c>
      <c r="B758" s="14">
        <v>42378.488449074073</v>
      </c>
      <c r="C758" s="14">
        <v>42378.498865740738</v>
      </c>
      <c r="D758" t="s">
        <v>3</v>
      </c>
      <c r="G758" t="b">
        <v>0</v>
      </c>
      <c r="H758">
        <v>70804</v>
      </c>
      <c r="I758" s="5">
        <v>0</v>
      </c>
      <c r="J758" s="14">
        <v>42378.500949074078</v>
      </c>
      <c r="K758">
        <v>7.99</v>
      </c>
      <c r="L758" s="5">
        <f>('[1]Pizza Sales Calculations'!$J758-'[1]Pizza Sales Calculations'!$C758)*24*60</f>
        <v>3.000000009778887</v>
      </c>
      <c r="M758">
        <f>COUNTA('[1]Pizza Sales Calculations'!$D758:$F758)</f>
        <v>1</v>
      </c>
      <c r="N758">
        <f>IFERROR(VLOOKUP(D758,[1]Parameters!$A$3:$C$5,3,FALSE),0)</f>
        <v>1</v>
      </c>
      <c r="O758">
        <f>IFERROR(VLOOKUP(E758,[1]Parameters!$A$3:$C$5,3,FALSE),0)</f>
        <v>0</v>
      </c>
      <c r="P758">
        <f>IFERROR(VLOOKUP(F758,[1]Parameters!$A$3:$C$5,3,FALSE),0)</f>
        <v>0</v>
      </c>
      <c r="Q758">
        <f t="shared" si="11"/>
        <v>1</v>
      </c>
      <c r="R758" s="10">
        <f>IF('[1]Pizza Sales Calculations'!$G758=TRUE, [1]Parameters!$B$17*'[1]Pizza Sales Calculations'!$L758*2, 0)</f>
        <v>0</v>
      </c>
      <c r="S758" t="str">
        <f>IF(I758&lt;[1]Parameters!$B$21,"TRUE","FALSE")</f>
        <v>TRUE</v>
      </c>
      <c r="T758" s="5">
        <f>(I758/[1]Parameters!$B$25)*60</f>
        <v>0</v>
      </c>
      <c r="U758" s="10">
        <f>IF(AND('[1]Pizza Sales Calculations'!G758=TRUE,'[1]Pizza Sales Calculations'!S758="TRUE"),T758*[1]Parameters!$B$40*2,0)</f>
        <v>0</v>
      </c>
      <c r="V758">
        <f>INDEX([1]Parameters!$A$3:$C$5,MATCH('[1]Pizza Sales Calculations'!D758,[1]Parameters!$A$3:$A$5,0),2)</f>
        <v>7</v>
      </c>
      <c r="W758" t="e">
        <f>INDEX([1]Parameters!$A$3:$C$5,MATCH('[1]Pizza Sales Calculations'!E758,[1]Parameters!$A$3:$A$5,0),2)</f>
        <v>#N/A</v>
      </c>
      <c r="X758" t="e">
        <f>INDEX([1]Parameters!$A$3:$C$5,MATCH('[1]Pizza Sales Calculations'!F758,[1]Parameters!$A$3:$A$5,0),2)</f>
        <v>#N/A</v>
      </c>
    </row>
    <row r="759" spans="1:24" x14ac:dyDescent="0.3">
      <c r="A759">
        <v>758</v>
      </c>
      <c r="B759" s="14">
        <v>42378.511678240742</v>
      </c>
      <c r="C759" s="14">
        <v>42378.522094907406</v>
      </c>
      <c r="D759" t="s">
        <v>4</v>
      </c>
      <c r="G759" t="b">
        <v>0</v>
      </c>
      <c r="H759">
        <v>70807</v>
      </c>
      <c r="I759" s="5">
        <v>0</v>
      </c>
      <c r="J759" s="14">
        <v>42378.524155092593</v>
      </c>
      <c r="K759">
        <v>11.59</v>
      </c>
      <c r="L759" s="5">
        <f>('[1]Pizza Sales Calculations'!$J759-'[1]Pizza Sales Calculations'!$C759)*24*60</f>
        <v>2.9666666686534882</v>
      </c>
      <c r="M759">
        <f>COUNTA('[1]Pizza Sales Calculations'!$D759:$F759)</f>
        <v>1</v>
      </c>
      <c r="N759">
        <f>IFERROR(VLOOKUP(D759,[1]Parameters!$A$3:$C$5,3,FALSE),0)</f>
        <v>1.7</v>
      </c>
      <c r="O759">
        <f>IFERROR(VLOOKUP(E759,[1]Parameters!$A$3:$C$5,3,FALSE),0)</f>
        <v>0</v>
      </c>
      <c r="P759">
        <f>IFERROR(VLOOKUP(F759,[1]Parameters!$A$3:$C$5,3,FALSE),0)</f>
        <v>0</v>
      </c>
      <c r="Q759">
        <f t="shared" si="11"/>
        <v>1.7</v>
      </c>
      <c r="R759" s="10">
        <f>IF('[1]Pizza Sales Calculations'!$G759=TRUE, [1]Parameters!$B$17*'[1]Pizza Sales Calculations'!$L759*2, 0)</f>
        <v>0</v>
      </c>
      <c r="S759" t="str">
        <f>IF(I759&lt;[1]Parameters!$B$21,"TRUE","FALSE")</f>
        <v>TRUE</v>
      </c>
      <c r="T759" s="5">
        <f>(I759/[1]Parameters!$B$25)*60</f>
        <v>0</v>
      </c>
      <c r="U759" s="10">
        <f>IF(AND('[1]Pizza Sales Calculations'!G759=TRUE,'[1]Pizza Sales Calculations'!S759="TRUE"),T759*[1]Parameters!$B$40*2,0)</f>
        <v>0</v>
      </c>
      <c r="V759">
        <f>INDEX([1]Parameters!$A$3:$C$5,MATCH('[1]Pizza Sales Calculations'!D759,[1]Parameters!$A$3:$A$5,0),2)</f>
        <v>10</v>
      </c>
      <c r="W759" t="e">
        <f>INDEX([1]Parameters!$A$3:$C$5,MATCH('[1]Pizza Sales Calculations'!E759,[1]Parameters!$A$3:$A$5,0),2)</f>
        <v>#N/A</v>
      </c>
      <c r="X759" t="e">
        <f>INDEX([1]Parameters!$A$3:$C$5,MATCH('[1]Pizza Sales Calculations'!F759,[1]Parameters!$A$3:$A$5,0),2)</f>
        <v>#N/A</v>
      </c>
    </row>
    <row r="760" spans="1:24" x14ac:dyDescent="0.3">
      <c r="A760">
        <v>759</v>
      </c>
      <c r="B760" s="14">
        <v>42378.573518518519</v>
      </c>
      <c r="C760" s="14">
        <v>42378.58394675926</v>
      </c>
      <c r="D760" t="s">
        <v>3</v>
      </c>
      <c r="E760" t="s">
        <v>4</v>
      </c>
      <c r="G760" t="b">
        <v>1</v>
      </c>
      <c r="H760">
        <v>70803</v>
      </c>
      <c r="I760" s="5">
        <v>0.92797085581516603</v>
      </c>
      <c r="J760" s="14">
        <v>42378.587164351855</v>
      </c>
      <c r="K760">
        <v>19.579999999999998</v>
      </c>
      <c r="L760" s="5">
        <f>('[1]Pizza Sales Calculations'!$J760-'[1]Pizza Sales Calculations'!$C760)*24*60</f>
        <v>4.6333333372604102</v>
      </c>
      <c r="M760">
        <f>COUNTA('[1]Pizza Sales Calculations'!$D760:$F760)</f>
        <v>2</v>
      </c>
      <c r="N760">
        <f>IFERROR(VLOOKUP(D760,[1]Parameters!$A$3:$C$5,3,FALSE),0)</f>
        <v>1</v>
      </c>
      <c r="O760">
        <f>IFERROR(VLOOKUP(E760,[1]Parameters!$A$3:$C$5,3,FALSE),0)</f>
        <v>1.7</v>
      </c>
      <c r="P760">
        <f>IFERROR(VLOOKUP(F760,[1]Parameters!$A$3:$C$5,3,FALSE),0)</f>
        <v>0</v>
      </c>
      <c r="Q760">
        <f t="shared" si="11"/>
        <v>2.7</v>
      </c>
      <c r="R760" s="10">
        <f>IF('[1]Pizza Sales Calculations'!$G760=TRUE, [1]Parameters!$B$17*'[1]Pizza Sales Calculations'!$L760*2, 0)</f>
        <v>1.3127777788904496</v>
      </c>
      <c r="S760" t="str">
        <f>IF(I760&lt;[1]Parameters!$B$21,"TRUE","FALSE")</f>
        <v>TRUE</v>
      </c>
      <c r="T760" s="5">
        <f>(I760/[1]Parameters!$B$25)*60</f>
        <v>1.8559417116303321</v>
      </c>
      <c r="U760" s="10">
        <f>IF(AND('[1]Pizza Sales Calculations'!G760=TRUE,'[1]Pizza Sales Calculations'!S760="TRUE"),T760*[1]Parameters!$B$40*2,0)</f>
        <v>0.11585275925440788</v>
      </c>
      <c r="V760">
        <f>INDEX([1]Parameters!$A$3:$C$5,MATCH('[1]Pizza Sales Calculations'!D760,[1]Parameters!$A$3:$A$5,0),2)</f>
        <v>7</v>
      </c>
      <c r="W760">
        <f>INDEX([1]Parameters!$A$3:$C$5,MATCH('[1]Pizza Sales Calculations'!E760,[1]Parameters!$A$3:$A$5,0),2)</f>
        <v>10</v>
      </c>
      <c r="X760" t="e">
        <f>INDEX([1]Parameters!$A$3:$C$5,MATCH('[1]Pizza Sales Calculations'!F760,[1]Parameters!$A$3:$A$5,0),2)</f>
        <v>#N/A</v>
      </c>
    </row>
    <row r="761" spans="1:24" x14ac:dyDescent="0.3">
      <c r="A761">
        <v>760</v>
      </c>
      <c r="B761" s="14">
        <v>42378.486932870372</v>
      </c>
      <c r="C761" s="14">
        <v>42378.497337962966</v>
      </c>
      <c r="D761" t="s">
        <v>5</v>
      </c>
      <c r="G761" t="b">
        <v>0</v>
      </c>
      <c r="H761">
        <v>70806</v>
      </c>
      <c r="I761" s="5">
        <v>0</v>
      </c>
      <c r="J761" s="14">
        <v>42378.499421296299</v>
      </c>
      <c r="K761">
        <v>15.35</v>
      </c>
      <c r="L761" s="5">
        <f>('[1]Pizza Sales Calculations'!$J761-'[1]Pizza Sales Calculations'!$C761)*24*60</f>
        <v>2.9999999993015081</v>
      </c>
      <c r="M761">
        <f>COUNTA('[1]Pizza Sales Calculations'!$D761:$F761)</f>
        <v>1</v>
      </c>
      <c r="N761">
        <f>IFERROR(VLOOKUP(D761,[1]Parameters!$A$3:$C$5,3,FALSE),0)</f>
        <v>2.2999999999999998</v>
      </c>
      <c r="O761">
        <f>IFERROR(VLOOKUP(E761,[1]Parameters!$A$3:$C$5,3,FALSE),0)</f>
        <v>0</v>
      </c>
      <c r="P761">
        <f>IFERROR(VLOOKUP(F761,[1]Parameters!$A$3:$C$5,3,FALSE),0)</f>
        <v>0</v>
      </c>
      <c r="Q761">
        <f t="shared" si="11"/>
        <v>2.2999999999999998</v>
      </c>
      <c r="R761" s="10">
        <f>IF('[1]Pizza Sales Calculations'!$G761=TRUE, [1]Parameters!$B$17*'[1]Pizza Sales Calculations'!$L761*2, 0)</f>
        <v>0</v>
      </c>
      <c r="S761" t="str">
        <f>IF(I761&lt;[1]Parameters!$B$21,"TRUE","FALSE")</f>
        <v>TRUE</v>
      </c>
      <c r="T761" s="5">
        <f>(I761/[1]Parameters!$B$25)*60</f>
        <v>0</v>
      </c>
      <c r="U761" s="10">
        <f>IF(AND('[1]Pizza Sales Calculations'!G761=TRUE,'[1]Pizza Sales Calculations'!S761="TRUE"),T761*[1]Parameters!$B$40*2,0)</f>
        <v>0</v>
      </c>
      <c r="V761">
        <f>INDEX([1]Parameters!$A$3:$C$5,MATCH('[1]Pizza Sales Calculations'!D761,[1]Parameters!$A$3:$A$5,0),2)</f>
        <v>14</v>
      </c>
      <c r="W761" t="e">
        <f>INDEX([1]Parameters!$A$3:$C$5,MATCH('[1]Pizza Sales Calculations'!E761,[1]Parameters!$A$3:$A$5,0),2)</f>
        <v>#N/A</v>
      </c>
      <c r="X761" t="e">
        <f>INDEX([1]Parameters!$A$3:$C$5,MATCH('[1]Pizza Sales Calculations'!F761,[1]Parameters!$A$3:$A$5,0),2)</f>
        <v>#N/A</v>
      </c>
    </row>
    <row r="762" spans="1:24" x14ac:dyDescent="0.3">
      <c r="A762">
        <v>761</v>
      </c>
      <c r="B762" s="14">
        <v>42378.483634259261</v>
      </c>
      <c r="C762" s="14">
        <v>42378.494039351855</v>
      </c>
      <c r="D762" t="s">
        <v>5</v>
      </c>
      <c r="G762" t="b">
        <v>1</v>
      </c>
      <c r="H762">
        <v>70805</v>
      </c>
      <c r="I762" s="5">
        <v>2.9363794365297702</v>
      </c>
      <c r="J762" s="14">
        <v>42378.504224537035</v>
      </c>
      <c r="K762">
        <v>15.35</v>
      </c>
      <c r="L762" s="5">
        <f>('[1]Pizza Sales Calculations'!$J762-'[1]Pizza Sales Calculations'!$C762)*24*60</f>
        <v>14.666666658595204</v>
      </c>
      <c r="M762">
        <f>COUNTA('[1]Pizza Sales Calculations'!$D762:$F762)</f>
        <v>1</v>
      </c>
      <c r="N762">
        <f>IFERROR(VLOOKUP(D762,[1]Parameters!$A$3:$C$5,3,FALSE),0)</f>
        <v>2.2999999999999998</v>
      </c>
      <c r="O762">
        <f>IFERROR(VLOOKUP(E762,[1]Parameters!$A$3:$C$5,3,FALSE),0)</f>
        <v>0</v>
      </c>
      <c r="P762">
        <f>IFERROR(VLOOKUP(F762,[1]Parameters!$A$3:$C$5,3,FALSE),0)</f>
        <v>0</v>
      </c>
      <c r="Q762">
        <f t="shared" si="11"/>
        <v>2.2999999999999998</v>
      </c>
      <c r="R762" s="10">
        <f>IF('[1]Pizza Sales Calculations'!$G762=TRUE, [1]Parameters!$B$17*'[1]Pizza Sales Calculations'!$L762*2, 0)</f>
        <v>4.1555555532686412</v>
      </c>
      <c r="S762" t="str">
        <f>IF(I762&lt;[1]Parameters!$B$21,"TRUE","FALSE")</f>
        <v>TRUE</v>
      </c>
      <c r="T762" s="5">
        <f>(I762/[1]Parameters!$B$25)*60</f>
        <v>5.8727588730595404</v>
      </c>
      <c r="U762" s="10">
        <f>IF(AND('[1]Pizza Sales Calculations'!G762=TRUE,'[1]Pizza Sales Calculations'!S762="TRUE"),T762*[1]Parameters!$B$40*2,0)</f>
        <v>0.36659304309836666</v>
      </c>
      <c r="V762">
        <f>INDEX([1]Parameters!$A$3:$C$5,MATCH('[1]Pizza Sales Calculations'!D762,[1]Parameters!$A$3:$A$5,0),2)</f>
        <v>14</v>
      </c>
      <c r="W762" t="e">
        <f>INDEX([1]Parameters!$A$3:$C$5,MATCH('[1]Pizza Sales Calculations'!E762,[1]Parameters!$A$3:$A$5,0),2)</f>
        <v>#N/A</v>
      </c>
      <c r="X762" t="e">
        <f>INDEX([1]Parameters!$A$3:$C$5,MATCH('[1]Pizza Sales Calculations'!F762,[1]Parameters!$A$3:$A$5,0),2)</f>
        <v>#N/A</v>
      </c>
    </row>
    <row r="763" spans="1:24" x14ac:dyDescent="0.3">
      <c r="A763">
        <v>762</v>
      </c>
      <c r="B763" s="14">
        <v>42378.464467592596</v>
      </c>
      <c r="C763" s="14">
        <v>42378.474872685183</v>
      </c>
      <c r="D763" t="s">
        <v>4</v>
      </c>
      <c r="G763" t="b">
        <v>0</v>
      </c>
      <c r="H763">
        <v>70805</v>
      </c>
      <c r="I763" s="5">
        <v>0</v>
      </c>
      <c r="J763" s="14">
        <v>42378.476944444446</v>
      </c>
      <c r="K763">
        <v>11.59</v>
      </c>
      <c r="L763" s="5">
        <f>('[1]Pizza Sales Calculations'!$J763-'[1]Pizza Sales Calculations'!$C763)*24*60</f>
        <v>2.9833333392161876</v>
      </c>
      <c r="M763">
        <f>COUNTA('[1]Pizza Sales Calculations'!$D763:$F763)</f>
        <v>1</v>
      </c>
      <c r="N763">
        <f>IFERROR(VLOOKUP(D763,[1]Parameters!$A$3:$C$5,3,FALSE),0)</f>
        <v>1.7</v>
      </c>
      <c r="O763">
        <f>IFERROR(VLOOKUP(E763,[1]Parameters!$A$3:$C$5,3,FALSE),0)</f>
        <v>0</v>
      </c>
      <c r="P763">
        <f>IFERROR(VLOOKUP(F763,[1]Parameters!$A$3:$C$5,3,FALSE),0)</f>
        <v>0</v>
      </c>
      <c r="Q763">
        <f t="shared" si="11"/>
        <v>1.7</v>
      </c>
      <c r="R763" s="10">
        <f>IF('[1]Pizza Sales Calculations'!$G763=TRUE, [1]Parameters!$B$17*'[1]Pizza Sales Calculations'!$L763*2, 0)</f>
        <v>0</v>
      </c>
      <c r="S763" t="str">
        <f>IF(I763&lt;[1]Parameters!$B$21,"TRUE","FALSE")</f>
        <v>TRUE</v>
      </c>
      <c r="T763" s="5">
        <f>(I763/[1]Parameters!$B$25)*60</f>
        <v>0</v>
      </c>
      <c r="U763" s="10">
        <f>IF(AND('[1]Pizza Sales Calculations'!G763=TRUE,'[1]Pizza Sales Calculations'!S763="TRUE"),T763*[1]Parameters!$B$40*2,0)</f>
        <v>0</v>
      </c>
      <c r="V763">
        <f>INDEX([1]Parameters!$A$3:$C$5,MATCH('[1]Pizza Sales Calculations'!D763,[1]Parameters!$A$3:$A$5,0),2)</f>
        <v>10</v>
      </c>
      <c r="W763" t="e">
        <f>INDEX([1]Parameters!$A$3:$C$5,MATCH('[1]Pizza Sales Calculations'!E763,[1]Parameters!$A$3:$A$5,0),2)</f>
        <v>#N/A</v>
      </c>
      <c r="X763" t="e">
        <f>INDEX([1]Parameters!$A$3:$C$5,MATCH('[1]Pizza Sales Calculations'!F763,[1]Parameters!$A$3:$A$5,0),2)</f>
        <v>#N/A</v>
      </c>
    </row>
    <row r="764" spans="1:24" x14ac:dyDescent="0.3">
      <c r="A764">
        <v>763</v>
      </c>
      <c r="B764" s="14">
        <v>42378.488078703704</v>
      </c>
      <c r="C764" s="14">
        <v>42378.498495370368</v>
      </c>
      <c r="D764" t="s">
        <v>3</v>
      </c>
      <c r="G764" t="b">
        <v>1</v>
      </c>
      <c r="H764">
        <v>70804</v>
      </c>
      <c r="I764" s="5">
        <v>3.3577265439087198</v>
      </c>
      <c r="J764" s="14">
        <v>42378.510150462964</v>
      </c>
      <c r="K764">
        <v>7.99</v>
      </c>
      <c r="L764" s="5">
        <f>('[1]Pizza Sales Calculations'!$J764-'[1]Pizza Sales Calculations'!$C764)*24*60</f>
        <v>16.783333338098601</v>
      </c>
      <c r="M764">
        <f>COUNTA('[1]Pizza Sales Calculations'!$D764:$F764)</f>
        <v>1</v>
      </c>
      <c r="N764">
        <f>IFERROR(VLOOKUP(D764,[1]Parameters!$A$3:$C$5,3,FALSE),0)</f>
        <v>1</v>
      </c>
      <c r="O764">
        <f>IFERROR(VLOOKUP(E764,[1]Parameters!$A$3:$C$5,3,FALSE),0)</f>
        <v>0</v>
      </c>
      <c r="P764">
        <f>IFERROR(VLOOKUP(F764,[1]Parameters!$A$3:$C$5,3,FALSE),0)</f>
        <v>0</v>
      </c>
      <c r="Q764">
        <f t="shared" si="11"/>
        <v>1</v>
      </c>
      <c r="R764" s="10">
        <f>IF('[1]Pizza Sales Calculations'!$G764=TRUE, [1]Parameters!$B$17*'[1]Pizza Sales Calculations'!$L764*2, 0)</f>
        <v>4.7552777791279368</v>
      </c>
      <c r="S764" t="str">
        <f>IF(I764&lt;[1]Parameters!$B$21,"TRUE","FALSE")</f>
        <v>FALSE</v>
      </c>
      <c r="T764" s="5">
        <f>(I764/[1]Parameters!$B$25)*60</f>
        <v>6.7154530878174397</v>
      </c>
      <c r="U764" s="10">
        <f>IF(AND('[1]Pizza Sales Calculations'!G764=TRUE,'[1]Pizza Sales Calculations'!S764="TRUE"),T764*[1]Parameters!$B$40*2,0)</f>
        <v>0</v>
      </c>
      <c r="V764">
        <f>INDEX([1]Parameters!$A$3:$C$5,MATCH('[1]Pizza Sales Calculations'!D764,[1]Parameters!$A$3:$A$5,0),2)</f>
        <v>7</v>
      </c>
      <c r="W764" t="e">
        <f>INDEX([1]Parameters!$A$3:$C$5,MATCH('[1]Pizza Sales Calculations'!E764,[1]Parameters!$A$3:$A$5,0),2)</f>
        <v>#N/A</v>
      </c>
      <c r="X764" t="e">
        <f>INDEX([1]Parameters!$A$3:$C$5,MATCH('[1]Pizza Sales Calculations'!F764,[1]Parameters!$A$3:$A$5,0),2)</f>
        <v>#N/A</v>
      </c>
    </row>
    <row r="765" spans="1:24" x14ac:dyDescent="0.3">
      <c r="A765">
        <v>764</v>
      </c>
      <c r="B765" s="14">
        <v>42378.434328703705</v>
      </c>
      <c r="C765" s="14">
        <v>42378.444733796299</v>
      </c>
      <c r="D765" t="s">
        <v>4</v>
      </c>
      <c r="G765" t="b">
        <v>1</v>
      </c>
      <c r="H765">
        <v>70805</v>
      </c>
      <c r="I765" s="5">
        <v>3.4536753710331101</v>
      </c>
      <c r="J765" s="14">
        <v>42378.456724537034</v>
      </c>
      <c r="K765">
        <v>11.59</v>
      </c>
      <c r="L765" s="5">
        <f>('[1]Pizza Sales Calculations'!$J765-'[1]Pizza Sales Calculations'!$C765)*24*60</f>
        <v>17.266666658688337</v>
      </c>
      <c r="M765">
        <f>COUNTA('[1]Pizza Sales Calculations'!$D765:$F765)</f>
        <v>1</v>
      </c>
      <c r="N765">
        <f>IFERROR(VLOOKUP(D765,[1]Parameters!$A$3:$C$5,3,FALSE),0)</f>
        <v>1.7</v>
      </c>
      <c r="O765">
        <f>IFERROR(VLOOKUP(E765,[1]Parameters!$A$3:$C$5,3,FALSE),0)</f>
        <v>0</v>
      </c>
      <c r="P765">
        <f>IFERROR(VLOOKUP(F765,[1]Parameters!$A$3:$C$5,3,FALSE),0)</f>
        <v>0</v>
      </c>
      <c r="Q765">
        <f t="shared" si="11"/>
        <v>1.7</v>
      </c>
      <c r="R765" s="10">
        <f>IF('[1]Pizza Sales Calculations'!$G765=TRUE, [1]Parameters!$B$17*'[1]Pizza Sales Calculations'!$L765*2, 0)</f>
        <v>4.8922222199616954</v>
      </c>
      <c r="S765" t="str">
        <f>IF(I765&lt;[1]Parameters!$B$21,"TRUE","FALSE")</f>
        <v>FALSE</v>
      </c>
      <c r="T765" s="5">
        <f>(I765/[1]Parameters!$B$25)*60</f>
        <v>6.9073507420662201</v>
      </c>
      <c r="U765" s="10">
        <f>IF(AND('[1]Pizza Sales Calculations'!G765=TRUE,'[1]Pizza Sales Calculations'!S765="TRUE"),T765*[1]Parameters!$B$40*2,0)</f>
        <v>0</v>
      </c>
      <c r="V765">
        <f>INDEX([1]Parameters!$A$3:$C$5,MATCH('[1]Pizza Sales Calculations'!D765,[1]Parameters!$A$3:$A$5,0),2)</f>
        <v>10</v>
      </c>
      <c r="W765" t="e">
        <f>INDEX([1]Parameters!$A$3:$C$5,MATCH('[1]Pizza Sales Calculations'!E765,[1]Parameters!$A$3:$A$5,0),2)</f>
        <v>#N/A</v>
      </c>
      <c r="X765" t="e">
        <f>INDEX([1]Parameters!$A$3:$C$5,MATCH('[1]Pizza Sales Calculations'!F765,[1]Parameters!$A$3:$A$5,0),2)</f>
        <v>#N/A</v>
      </c>
    </row>
    <row r="766" spans="1:24" x14ac:dyDescent="0.3">
      <c r="A766">
        <v>765</v>
      </c>
      <c r="B766" s="14">
        <v>42378.515034722222</v>
      </c>
      <c r="C766" s="14">
        <v>42378.525462962964</v>
      </c>
      <c r="D766" t="s">
        <v>5</v>
      </c>
      <c r="G766" t="b">
        <v>1</v>
      </c>
      <c r="H766">
        <v>70806</v>
      </c>
      <c r="I766" s="5">
        <v>1.7217874084017299</v>
      </c>
      <c r="J766" s="14">
        <v>42378.531435185185</v>
      </c>
      <c r="K766">
        <v>15.35</v>
      </c>
      <c r="L766" s="5">
        <f>('[1]Pizza Sales Calculations'!$J766-'[1]Pizza Sales Calculations'!$C766)*24*60</f>
        <v>8.5999999986961484</v>
      </c>
      <c r="M766">
        <f>COUNTA('[1]Pizza Sales Calculations'!$D766:$F766)</f>
        <v>1</v>
      </c>
      <c r="N766">
        <f>IFERROR(VLOOKUP(D766,[1]Parameters!$A$3:$C$5,3,FALSE),0)</f>
        <v>2.2999999999999998</v>
      </c>
      <c r="O766">
        <f>IFERROR(VLOOKUP(E766,[1]Parameters!$A$3:$C$5,3,FALSE),0)</f>
        <v>0</v>
      </c>
      <c r="P766">
        <f>IFERROR(VLOOKUP(F766,[1]Parameters!$A$3:$C$5,3,FALSE),0)</f>
        <v>0</v>
      </c>
      <c r="Q766">
        <f t="shared" si="11"/>
        <v>2.2999999999999998</v>
      </c>
      <c r="R766" s="10">
        <f>IF('[1]Pizza Sales Calculations'!$G766=TRUE, [1]Parameters!$B$17*'[1]Pizza Sales Calculations'!$L766*2, 0)</f>
        <v>2.436666666297242</v>
      </c>
      <c r="S766" t="str">
        <f>IF(I766&lt;[1]Parameters!$B$21,"TRUE","FALSE")</f>
        <v>TRUE</v>
      </c>
      <c r="T766" s="5">
        <f>(I766/[1]Parameters!$B$25)*60</f>
        <v>3.4435748168034599</v>
      </c>
      <c r="U766" s="10">
        <f>IF(AND('[1]Pizza Sales Calculations'!G766=TRUE,'[1]Pizza Sales Calculations'!S766="TRUE"),T766*[1]Parameters!$B$40*2,0)</f>
        <v>0.21495699014988012</v>
      </c>
      <c r="V766">
        <f>INDEX([1]Parameters!$A$3:$C$5,MATCH('[1]Pizza Sales Calculations'!D766,[1]Parameters!$A$3:$A$5,0),2)</f>
        <v>14</v>
      </c>
      <c r="W766" t="e">
        <f>INDEX([1]Parameters!$A$3:$C$5,MATCH('[1]Pizza Sales Calculations'!E766,[1]Parameters!$A$3:$A$5,0),2)</f>
        <v>#N/A</v>
      </c>
      <c r="X766" t="e">
        <f>INDEX([1]Parameters!$A$3:$C$5,MATCH('[1]Pizza Sales Calculations'!F766,[1]Parameters!$A$3:$A$5,0),2)</f>
        <v>#N/A</v>
      </c>
    </row>
    <row r="767" spans="1:24" x14ac:dyDescent="0.3">
      <c r="A767">
        <v>766</v>
      </c>
      <c r="B767" s="14">
        <v>42378.516828703701</v>
      </c>
      <c r="C767" s="14">
        <v>42378.527245370373</v>
      </c>
      <c r="D767" t="s">
        <v>4</v>
      </c>
      <c r="G767" t="b">
        <v>0</v>
      </c>
      <c r="H767">
        <v>70805</v>
      </c>
      <c r="I767" s="5">
        <v>0</v>
      </c>
      <c r="J767" s="14">
        <v>42378.529328703706</v>
      </c>
      <c r="K767">
        <v>11.59</v>
      </c>
      <c r="L767" s="5">
        <f>('[1]Pizza Sales Calculations'!$J767-'[1]Pizza Sales Calculations'!$C767)*24*60</f>
        <v>2.9999999993015081</v>
      </c>
      <c r="M767">
        <f>COUNTA('[1]Pizza Sales Calculations'!$D767:$F767)</f>
        <v>1</v>
      </c>
      <c r="N767">
        <f>IFERROR(VLOOKUP(D767,[1]Parameters!$A$3:$C$5,3,FALSE),0)</f>
        <v>1.7</v>
      </c>
      <c r="O767">
        <f>IFERROR(VLOOKUP(E767,[1]Parameters!$A$3:$C$5,3,FALSE),0)</f>
        <v>0</v>
      </c>
      <c r="P767">
        <f>IFERROR(VLOOKUP(F767,[1]Parameters!$A$3:$C$5,3,FALSE),0)</f>
        <v>0</v>
      </c>
      <c r="Q767">
        <f t="shared" si="11"/>
        <v>1.7</v>
      </c>
      <c r="R767" s="10">
        <f>IF('[1]Pizza Sales Calculations'!$G767=TRUE, [1]Parameters!$B$17*'[1]Pizza Sales Calculations'!$L767*2, 0)</f>
        <v>0</v>
      </c>
      <c r="S767" t="str">
        <f>IF(I767&lt;[1]Parameters!$B$21,"TRUE","FALSE")</f>
        <v>TRUE</v>
      </c>
      <c r="T767" s="5">
        <f>(I767/[1]Parameters!$B$25)*60</f>
        <v>0</v>
      </c>
      <c r="U767" s="10">
        <f>IF(AND('[1]Pizza Sales Calculations'!G767=TRUE,'[1]Pizza Sales Calculations'!S767="TRUE"),T767*[1]Parameters!$B$40*2,0)</f>
        <v>0</v>
      </c>
      <c r="V767">
        <f>INDEX([1]Parameters!$A$3:$C$5,MATCH('[1]Pizza Sales Calculations'!D767,[1]Parameters!$A$3:$A$5,0),2)</f>
        <v>10</v>
      </c>
      <c r="W767" t="e">
        <f>INDEX([1]Parameters!$A$3:$C$5,MATCH('[1]Pizza Sales Calculations'!E767,[1]Parameters!$A$3:$A$5,0),2)</f>
        <v>#N/A</v>
      </c>
      <c r="X767" t="e">
        <f>INDEX([1]Parameters!$A$3:$C$5,MATCH('[1]Pizza Sales Calculations'!F767,[1]Parameters!$A$3:$A$5,0),2)</f>
        <v>#N/A</v>
      </c>
    </row>
    <row r="768" spans="1:24" x14ac:dyDescent="0.3">
      <c r="A768">
        <v>767</v>
      </c>
      <c r="B768" s="14">
        <v>42378.459641203706</v>
      </c>
      <c r="C768" s="14">
        <v>42378.470023148147</v>
      </c>
      <c r="D768" t="s">
        <v>3</v>
      </c>
      <c r="G768" t="b">
        <v>1</v>
      </c>
      <c r="H768">
        <v>70803</v>
      </c>
      <c r="I768" s="5">
        <v>1.6340450463954199</v>
      </c>
      <c r="J768" s="14">
        <v>42378.475694444445</v>
      </c>
      <c r="K768">
        <v>7.99</v>
      </c>
      <c r="L768" s="5">
        <f>('[1]Pizza Sales Calculations'!$J768-'[1]Pizza Sales Calculations'!$C768)*24*60</f>
        <v>8.1666666688397527</v>
      </c>
      <c r="M768">
        <f>COUNTA('[1]Pizza Sales Calculations'!$D768:$F768)</f>
        <v>1</v>
      </c>
      <c r="N768">
        <f>IFERROR(VLOOKUP(D768,[1]Parameters!$A$3:$C$5,3,FALSE),0)</f>
        <v>1</v>
      </c>
      <c r="O768">
        <f>IFERROR(VLOOKUP(E768,[1]Parameters!$A$3:$C$5,3,FALSE),0)</f>
        <v>0</v>
      </c>
      <c r="P768">
        <f>IFERROR(VLOOKUP(F768,[1]Parameters!$A$3:$C$5,3,FALSE),0)</f>
        <v>0</v>
      </c>
      <c r="Q768">
        <f t="shared" si="11"/>
        <v>1</v>
      </c>
      <c r="R768" s="10">
        <f>IF('[1]Pizza Sales Calculations'!$G768=TRUE, [1]Parameters!$B$17*'[1]Pizza Sales Calculations'!$L768*2, 0)</f>
        <v>2.3138888895045966</v>
      </c>
      <c r="S768" t="str">
        <f>IF(I768&lt;[1]Parameters!$B$21,"TRUE","FALSE")</f>
        <v>TRUE</v>
      </c>
      <c r="T768" s="5">
        <f>(I768/[1]Parameters!$B$25)*60</f>
        <v>3.2680900927908398</v>
      </c>
      <c r="U768" s="10">
        <f>IF(AND('[1]Pizza Sales Calculations'!G768=TRUE,'[1]Pizza Sales Calculations'!S768="TRUE"),T768*[1]Parameters!$B$40*2,0)</f>
        <v>0.20400277248428261</v>
      </c>
      <c r="V768">
        <f>INDEX([1]Parameters!$A$3:$C$5,MATCH('[1]Pizza Sales Calculations'!D768,[1]Parameters!$A$3:$A$5,0),2)</f>
        <v>7</v>
      </c>
      <c r="W768" t="e">
        <f>INDEX([1]Parameters!$A$3:$C$5,MATCH('[1]Pizza Sales Calculations'!E768,[1]Parameters!$A$3:$A$5,0),2)</f>
        <v>#N/A</v>
      </c>
      <c r="X768" t="e">
        <f>INDEX([1]Parameters!$A$3:$C$5,MATCH('[1]Pizza Sales Calculations'!F768,[1]Parameters!$A$3:$A$5,0),2)</f>
        <v>#N/A</v>
      </c>
    </row>
    <row r="769" spans="1:24" x14ac:dyDescent="0.3">
      <c r="A769">
        <v>768</v>
      </c>
      <c r="B769" s="14">
        <v>42378.477939814817</v>
      </c>
      <c r="C769" s="14">
        <v>42378.488344907404</v>
      </c>
      <c r="D769" t="s">
        <v>5</v>
      </c>
      <c r="G769" t="b">
        <v>0</v>
      </c>
      <c r="H769">
        <v>70804</v>
      </c>
      <c r="I769" s="5">
        <v>0</v>
      </c>
      <c r="J769" s="14">
        <v>42378.490451388891</v>
      </c>
      <c r="K769">
        <v>15.35</v>
      </c>
      <c r="L769" s="5">
        <f>('[1]Pizza Sales Calculations'!$J769-'[1]Pizza Sales Calculations'!$C769)*24*60</f>
        <v>3.0333333404269069</v>
      </c>
      <c r="M769">
        <f>COUNTA('[1]Pizza Sales Calculations'!$D769:$F769)</f>
        <v>1</v>
      </c>
      <c r="N769">
        <f>IFERROR(VLOOKUP(D769,[1]Parameters!$A$3:$C$5,3,FALSE),0)</f>
        <v>2.2999999999999998</v>
      </c>
      <c r="O769">
        <f>IFERROR(VLOOKUP(E769,[1]Parameters!$A$3:$C$5,3,FALSE),0)</f>
        <v>0</v>
      </c>
      <c r="P769">
        <f>IFERROR(VLOOKUP(F769,[1]Parameters!$A$3:$C$5,3,FALSE),0)</f>
        <v>0</v>
      </c>
      <c r="Q769">
        <f t="shared" si="11"/>
        <v>2.2999999999999998</v>
      </c>
      <c r="R769" s="10">
        <f>IF('[1]Pizza Sales Calculations'!$G769=TRUE, [1]Parameters!$B$17*'[1]Pizza Sales Calculations'!$L769*2, 0)</f>
        <v>0</v>
      </c>
      <c r="S769" t="str">
        <f>IF(I769&lt;[1]Parameters!$B$21,"TRUE","FALSE")</f>
        <v>TRUE</v>
      </c>
      <c r="T769" s="5">
        <f>(I769/[1]Parameters!$B$25)*60</f>
        <v>0</v>
      </c>
      <c r="U769" s="10">
        <f>IF(AND('[1]Pizza Sales Calculations'!G769=TRUE,'[1]Pizza Sales Calculations'!S769="TRUE"),T769*[1]Parameters!$B$40*2,0)</f>
        <v>0</v>
      </c>
      <c r="V769">
        <f>INDEX([1]Parameters!$A$3:$C$5,MATCH('[1]Pizza Sales Calculations'!D769,[1]Parameters!$A$3:$A$5,0),2)</f>
        <v>14</v>
      </c>
      <c r="W769" t="e">
        <f>INDEX([1]Parameters!$A$3:$C$5,MATCH('[1]Pizza Sales Calculations'!E769,[1]Parameters!$A$3:$A$5,0),2)</f>
        <v>#N/A</v>
      </c>
      <c r="X769" t="e">
        <f>INDEX([1]Parameters!$A$3:$C$5,MATCH('[1]Pizza Sales Calculations'!F769,[1]Parameters!$A$3:$A$5,0),2)</f>
        <v>#N/A</v>
      </c>
    </row>
    <row r="770" spans="1:24" x14ac:dyDescent="0.3">
      <c r="A770">
        <v>769</v>
      </c>
      <c r="B770" s="14">
        <v>42378.472696759258</v>
      </c>
      <c r="C770" s="14">
        <v>42378.483113425929</v>
      </c>
      <c r="D770" t="s">
        <v>4</v>
      </c>
      <c r="G770" t="b">
        <v>0</v>
      </c>
      <c r="H770">
        <v>70805</v>
      </c>
      <c r="I770" s="5">
        <v>0</v>
      </c>
      <c r="J770" s="14">
        <v>42378.485196759262</v>
      </c>
      <c r="K770">
        <v>11.59</v>
      </c>
      <c r="L770" s="5">
        <f>('[1]Pizza Sales Calculations'!$J770-'[1]Pizza Sales Calculations'!$C770)*24*60</f>
        <v>2.9999999993015081</v>
      </c>
      <c r="M770">
        <f>COUNTA('[1]Pizza Sales Calculations'!$D770:$F770)</f>
        <v>1</v>
      </c>
      <c r="N770">
        <f>IFERROR(VLOOKUP(D770,[1]Parameters!$A$3:$C$5,3,FALSE),0)</f>
        <v>1.7</v>
      </c>
      <c r="O770">
        <f>IFERROR(VLOOKUP(E770,[1]Parameters!$A$3:$C$5,3,FALSE),0)</f>
        <v>0</v>
      </c>
      <c r="P770">
        <f>IFERROR(VLOOKUP(F770,[1]Parameters!$A$3:$C$5,3,FALSE),0)</f>
        <v>0</v>
      </c>
      <c r="Q770">
        <f t="shared" si="11"/>
        <v>1.7</v>
      </c>
      <c r="R770" s="10">
        <f>IF('[1]Pizza Sales Calculations'!$G770=TRUE, [1]Parameters!$B$17*'[1]Pizza Sales Calculations'!$L770*2, 0)</f>
        <v>0</v>
      </c>
      <c r="S770" t="str">
        <f>IF(I770&lt;[1]Parameters!$B$21,"TRUE","FALSE")</f>
        <v>TRUE</v>
      </c>
      <c r="T770" s="5">
        <f>(I770/[1]Parameters!$B$25)*60</f>
        <v>0</v>
      </c>
      <c r="U770" s="10">
        <f>IF(AND('[1]Pizza Sales Calculations'!G770=TRUE,'[1]Pizza Sales Calculations'!S770="TRUE"),T770*[1]Parameters!$B$40*2,0)</f>
        <v>0</v>
      </c>
      <c r="V770">
        <f>INDEX([1]Parameters!$A$3:$C$5,MATCH('[1]Pizza Sales Calculations'!D770,[1]Parameters!$A$3:$A$5,0),2)</f>
        <v>10</v>
      </c>
      <c r="W770" t="e">
        <f>INDEX([1]Parameters!$A$3:$C$5,MATCH('[1]Pizza Sales Calculations'!E770,[1]Parameters!$A$3:$A$5,0),2)</f>
        <v>#N/A</v>
      </c>
      <c r="X770" t="e">
        <f>INDEX([1]Parameters!$A$3:$C$5,MATCH('[1]Pizza Sales Calculations'!F770,[1]Parameters!$A$3:$A$5,0),2)</f>
        <v>#N/A</v>
      </c>
    </row>
    <row r="771" spans="1:24" x14ac:dyDescent="0.3">
      <c r="A771">
        <v>770</v>
      </c>
      <c r="B771" s="14">
        <v>42378.523622685185</v>
      </c>
      <c r="C771" s="14">
        <v>42378.53402777778</v>
      </c>
      <c r="D771" t="s">
        <v>3</v>
      </c>
      <c r="E771" t="s">
        <v>4</v>
      </c>
      <c r="G771" t="b">
        <v>0</v>
      </c>
      <c r="H771">
        <v>70805</v>
      </c>
      <c r="I771" s="5">
        <v>0</v>
      </c>
      <c r="J771" s="14">
        <v>42378.536099537036</v>
      </c>
      <c r="K771">
        <v>19.579999999999998</v>
      </c>
      <c r="L771" s="5">
        <f>('[1]Pizza Sales Calculations'!$J771-'[1]Pizza Sales Calculations'!$C771)*24*60</f>
        <v>2.9833333287388086</v>
      </c>
      <c r="M771">
        <f>COUNTA('[1]Pizza Sales Calculations'!$D771:$F771)</f>
        <v>2</v>
      </c>
      <c r="N771">
        <f>IFERROR(VLOOKUP(D771,[1]Parameters!$A$3:$C$5,3,FALSE),0)</f>
        <v>1</v>
      </c>
      <c r="O771">
        <f>IFERROR(VLOOKUP(E771,[1]Parameters!$A$3:$C$5,3,FALSE),0)</f>
        <v>1.7</v>
      </c>
      <c r="P771">
        <f>IFERROR(VLOOKUP(F771,[1]Parameters!$A$3:$C$5,3,FALSE),0)</f>
        <v>0</v>
      </c>
      <c r="Q771">
        <f t="shared" ref="Q771:Q834" si="12">SUM(N771:P771)</f>
        <v>2.7</v>
      </c>
      <c r="R771" s="10">
        <f>IF('[1]Pizza Sales Calculations'!$G771=TRUE, [1]Parameters!$B$17*'[1]Pizza Sales Calculations'!$L771*2, 0)</f>
        <v>0</v>
      </c>
      <c r="S771" t="str">
        <f>IF(I771&lt;[1]Parameters!$B$21,"TRUE","FALSE")</f>
        <v>TRUE</v>
      </c>
      <c r="T771" s="5">
        <f>(I771/[1]Parameters!$B$25)*60</f>
        <v>0</v>
      </c>
      <c r="U771" s="10">
        <f>IF(AND('[1]Pizza Sales Calculations'!G771=TRUE,'[1]Pizza Sales Calculations'!S771="TRUE"),T771*[1]Parameters!$B$40*2,0)</f>
        <v>0</v>
      </c>
      <c r="V771">
        <f>INDEX([1]Parameters!$A$3:$C$5,MATCH('[1]Pizza Sales Calculations'!D771,[1]Parameters!$A$3:$A$5,0),2)</f>
        <v>7</v>
      </c>
      <c r="W771">
        <f>INDEX([1]Parameters!$A$3:$C$5,MATCH('[1]Pizza Sales Calculations'!E771,[1]Parameters!$A$3:$A$5,0),2)</f>
        <v>10</v>
      </c>
      <c r="X771" t="e">
        <f>INDEX([1]Parameters!$A$3:$C$5,MATCH('[1]Pizza Sales Calculations'!F771,[1]Parameters!$A$3:$A$5,0),2)</f>
        <v>#N/A</v>
      </c>
    </row>
    <row r="772" spans="1:24" x14ac:dyDescent="0.3">
      <c r="A772">
        <v>771</v>
      </c>
      <c r="B772" s="14">
        <v>42378.486458333333</v>
      </c>
      <c r="C772" s="14">
        <v>42378.496886574074</v>
      </c>
      <c r="D772" t="s">
        <v>3</v>
      </c>
      <c r="E772" t="s">
        <v>5</v>
      </c>
      <c r="G772" t="b">
        <v>0</v>
      </c>
      <c r="H772">
        <v>70804</v>
      </c>
      <c r="I772" s="5">
        <v>0</v>
      </c>
      <c r="J772" s="14">
        <v>42378.49895833333</v>
      </c>
      <c r="K772">
        <v>23.34</v>
      </c>
      <c r="L772" s="5">
        <f>('[1]Pizza Sales Calculations'!$J772-'[1]Pizza Sales Calculations'!$C772)*24*60</f>
        <v>2.9833333287388086</v>
      </c>
      <c r="M772">
        <f>COUNTA('[1]Pizza Sales Calculations'!$D772:$F772)</f>
        <v>2</v>
      </c>
      <c r="N772">
        <f>IFERROR(VLOOKUP(D772,[1]Parameters!$A$3:$C$5,3,FALSE),0)</f>
        <v>1</v>
      </c>
      <c r="O772">
        <f>IFERROR(VLOOKUP(E772,[1]Parameters!$A$3:$C$5,3,FALSE),0)</f>
        <v>2.2999999999999998</v>
      </c>
      <c r="P772">
        <f>IFERROR(VLOOKUP(F772,[1]Parameters!$A$3:$C$5,3,FALSE),0)</f>
        <v>0</v>
      </c>
      <c r="Q772">
        <f t="shared" si="12"/>
        <v>3.3</v>
      </c>
      <c r="R772" s="10">
        <f>IF('[1]Pizza Sales Calculations'!$G772=TRUE, [1]Parameters!$B$17*'[1]Pizza Sales Calculations'!$L772*2, 0)</f>
        <v>0</v>
      </c>
      <c r="S772" t="str">
        <f>IF(I772&lt;[1]Parameters!$B$21,"TRUE","FALSE")</f>
        <v>TRUE</v>
      </c>
      <c r="T772" s="5">
        <f>(I772/[1]Parameters!$B$25)*60</f>
        <v>0</v>
      </c>
      <c r="U772" s="10">
        <f>IF(AND('[1]Pizza Sales Calculations'!G772=TRUE,'[1]Pizza Sales Calculations'!S772="TRUE"),T772*[1]Parameters!$B$40*2,0)</f>
        <v>0</v>
      </c>
      <c r="V772">
        <f>INDEX([1]Parameters!$A$3:$C$5,MATCH('[1]Pizza Sales Calculations'!D772,[1]Parameters!$A$3:$A$5,0),2)</f>
        <v>7</v>
      </c>
      <c r="W772">
        <f>INDEX([1]Parameters!$A$3:$C$5,MATCH('[1]Pizza Sales Calculations'!E772,[1]Parameters!$A$3:$A$5,0),2)</f>
        <v>14</v>
      </c>
      <c r="X772" t="e">
        <f>INDEX([1]Parameters!$A$3:$C$5,MATCH('[1]Pizza Sales Calculations'!F772,[1]Parameters!$A$3:$A$5,0),2)</f>
        <v>#N/A</v>
      </c>
    </row>
    <row r="773" spans="1:24" x14ac:dyDescent="0.3">
      <c r="A773">
        <v>772</v>
      </c>
      <c r="B773" s="14">
        <v>42378.54928240741</v>
      </c>
      <c r="C773" s="14">
        <v>42378.559687499997</v>
      </c>
      <c r="D773" t="s">
        <v>5</v>
      </c>
      <c r="G773" t="b">
        <v>0</v>
      </c>
      <c r="H773">
        <v>70805</v>
      </c>
      <c r="I773" s="5">
        <v>0</v>
      </c>
      <c r="J773" s="14">
        <v>42378.561747685184</v>
      </c>
      <c r="K773">
        <v>15.35</v>
      </c>
      <c r="L773" s="5">
        <f>('[1]Pizza Sales Calculations'!$J773-'[1]Pizza Sales Calculations'!$C773)*24*60</f>
        <v>2.9666666686534882</v>
      </c>
      <c r="M773">
        <f>COUNTA('[1]Pizza Sales Calculations'!$D773:$F773)</f>
        <v>1</v>
      </c>
      <c r="N773">
        <f>IFERROR(VLOOKUP(D773,[1]Parameters!$A$3:$C$5,3,FALSE),0)</f>
        <v>2.2999999999999998</v>
      </c>
      <c r="O773">
        <f>IFERROR(VLOOKUP(E773,[1]Parameters!$A$3:$C$5,3,FALSE),0)</f>
        <v>0</v>
      </c>
      <c r="P773">
        <f>IFERROR(VLOOKUP(F773,[1]Parameters!$A$3:$C$5,3,FALSE),0)</f>
        <v>0</v>
      </c>
      <c r="Q773">
        <f t="shared" si="12"/>
        <v>2.2999999999999998</v>
      </c>
      <c r="R773" s="10">
        <f>IF('[1]Pizza Sales Calculations'!$G773=TRUE, [1]Parameters!$B$17*'[1]Pizza Sales Calculations'!$L773*2, 0)</f>
        <v>0</v>
      </c>
      <c r="S773" t="str">
        <f>IF(I773&lt;[1]Parameters!$B$21,"TRUE","FALSE")</f>
        <v>TRUE</v>
      </c>
      <c r="T773" s="5">
        <f>(I773/[1]Parameters!$B$25)*60</f>
        <v>0</v>
      </c>
      <c r="U773" s="10">
        <f>IF(AND('[1]Pizza Sales Calculations'!G773=TRUE,'[1]Pizza Sales Calculations'!S773="TRUE"),T773*[1]Parameters!$B$40*2,0)</f>
        <v>0</v>
      </c>
      <c r="V773">
        <f>INDEX([1]Parameters!$A$3:$C$5,MATCH('[1]Pizza Sales Calculations'!D773,[1]Parameters!$A$3:$A$5,0),2)</f>
        <v>14</v>
      </c>
      <c r="W773" t="e">
        <f>INDEX([1]Parameters!$A$3:$C$5,MATCH('[1]Pizza Sales Calculations'!E773,[1]Parameters!$A$3:$A$5,0),2)</f>
        <v>#N/A</v>
      </c>
      <c r="X773" t="e">
        <f>INDEX([1]Parameters!$A$3:$C$5,MATCH('[1]Pizza Sales Calculations'!F773,[1]Parameters!$A$3:$A$5,0),2)</f>
        <v>#N/A</v>
      </c>
    </row>
    <row r="774" spans="1:24" x14ac:dyDescent="0.3">
      <c r="A774">
        <v>773</v>
      </c>
      <c r="B774" s="14">
        <v>42378.477210648147</v>
      </c>
      <c r="C774" s="14">
        <v>42378.487604166665</v>
      </c>
      <c r="D774" t="s">
        <v>3</v>
      </c>
      <c r="E774" t="s">
        <v>4</v>
      </c>
      <c r="G774" t="b">
        <v>0</v>
      </c>
      <c r="H774">
        <v>70803</v>
      </c>
      <c r="I774" s="5">
        <v>0</v>
      </c>
      <c r="J774" s="14">
        <v>42378.489675925928</v>
      </c>
      <c r="K774">
        <v>19.579999999999998</v>
      </c>
      <c r="L774" s="5">
        <f>('[1]Pizza Sales Calculations'!$J774-'[1]Pizza Sales Calculations'!$C774)*24*60</f>
        <v>2.9833333392161876</v>
      </c>
      <c r="M774">
        <f>COUNTA('[1]Pizza Sales Calculations'!$D774:$F774)</f>
        <v>2</v>
      </c>
      <c r="N774">
        <f>IFERROR(VLOOKUP(D774,[1]Parameters!$A$3:$C$5,3,FALSE),0)</f>
        <v>1</v>
      </c>
      <c r="O774">
        <f>IFERROR(VLOOKUP(E774,[1]Parameters!$A$3:$C$5,3,FALSE),0)</f>
        <v>1.7</v>
      </c>
      <c r="P774">
        <f>IFERROR(VLOOKUP(F774,[1]Parameters!$A$3:$C$5,3,FALSE),0)</f>
        <v>0</v>
      </c>
      <c r="Q774">
        <f t="shared" si="12"/>
        <v>2.7</v>
      </c>
      <c r="R774" s="10">
        <f>IF('[1]Pizza Sales Calculations'!$G774=TRUE, [1]Parameters!$B$17*'[1]Pizza Sales Calculations'!$L774*2, 0)</f>
        <v>0</v>
      </c>
      <c r="S774" t="str">
        <f>IF(I774&lt;[1]Parameters!$B$21,"TRUE","FALSE")</f>
        <v>TRUE</v>
      </c>
      <c r="T774" s="5">
        <f>(I774/[1]Parameters!$B$25)*60</f>
        <v>0</v>
      </c>
      <c r="U774" s="10">
        <f>IF(AND('[1]Pizza Sales Calculations'!G774=TRUE,'[1]Pizza Sales Calculations'!S774="TRUE"),T774*[1]Parameters!$B$40*2,0)</f>
        <v>0</v>
      </c>
      <c r="V774">
        <f>INDEX([1]Parameters!$A$3:$C$5,MATCH('[1]Pizza Sales Calculations'!D774,[1]Parameters!$A$3:$A$5,0),2)</f>
        <v>7</v>
      </c>
      <c r="W774">
        <f>INDEX([1]Parameters!$A$3:$C$5,MATCH('[1]Pizza Sales Calculations'!E774,[1]Parameters!$A$3:$A$5,0),2)</f>
        <v>10</v>
      </c>
      <c r="X774" t="e">
        <f>INDEX([1]Parameters!$A$3:$C$5,MATCH('[1]Pizza Sales Calculations'!F774,[1]Parameters!$A$3:$A$5,0),2)</f>
        <v>#N/A</v>
      </c>
    </row>
    <row r="775" spans="1:24" x14ac:dyDescent="0.3">
      <c r="A775">
        <v>774</v>
      </c>
      <c r="B775" s="14">
        <v>42378.519895833335</v>
      </c>
      <c r="C775" s="14">
        <v>42378.530312499999</v>
      </c>
      <c r="D775" t="s">
        <v>3</v>
      </c>
      <c r="G775" t="b">
        <v>1</v>
      </c>
      <c r="H775">
        <v>70804</v>
      </c>
      <c r="I775" s="5">
        <v>4.1469554065016601</v>
      </c>
      <c r="J775" s="14">
        <v>42378.544710648152</v>
      </c>
      <c r="K775">
        <v>7.99</v>
      </c>
      <c r="L775" s="5">
        <f>('[1]Pizza Sales Calculations'!$J775-'[1]Pizza Sales Calculations'!$C775)*24*60</f>
        <v>20.733333339449018</v>
      </c>
      <c r="M775">
        <f>COUNTA('[1]Pizza Sales Calculations'!$D775:$F775)</f>
        <v>1</v>
      </c>
      <c r="N775">
        <f>IFERROR(VLOOKUP(D775,[1]Parameters!$A$3:$C$5,3,FALSE),0)</f>
        <v>1</v>
      </c>
      <c r="O775">
        <f>IFERROR(VLOOKUP(E775,[1]Parameters!$A$3:$C$5,3,FALSE),0)</f>
        <v>0</v>
      </c>
      <c r="P775">
        <f>IFERROR(VLOOKUP(F775,[1]Parameters!$A$3:$C$5,3,FALSE),0)</f>
        <v>0</v>
      </c>
      <c r="Q775">
        <f t="shared" si="12"/>
        <v>1</v>
      </c>
      <c r="R775" s="10">
        <f>IF('[1]Pizza Sales Calculations'!$G775=TRUE, [1]Parameters!$B$17*'[1]Pizza Sales Calculations'!$L775*2, 0)</f>
        <v>5.8744444461772218</v>
      </c>
      <c r="S775" t="str">
        <f>IF(I775&lt;[1]Parameters!$B$21,"TRUE","FALSE")</f>
        <v>FALSE</v>
      </c>
      <c r="T775" s="5">
        <f>(I775/[1]Parameters!$B$25)*60</f>
        <v>8.2939108130033201</v>
      </c>
      <c r="U775" s="10">
        <f>IF(AND('[1]Pizza Sales Calculations'!G775=TRUE,'[1]Pizza Sales Calculations'!S775="TRUE"),T775*[1]Parameters!$B$40*2,0)</f>
        <v>0</v>
      </c>
      <c r="V775">
        <f>INDEX([1]Parameters!$A$3:$C$5,MATCH('[1]Pizza Sales Calculations'!D775,[1]Parameters!$A$3:$A$5,0),2)</f>
        <v>7</v>
      </c>
      <c r="W775" t="e">
        <f>INDEX([1]Parameters!$A$3:$C$5,MATCH('[1]Pizza Sales Calculations'!E775,[1]Parameters!$A$3:$A$5,0),2)</f>
        <v>#N/A</v>
      </c>
      <c r="X775" t="e">
        <f>INDEX([1]Parameters!$A$3:$C$5,MATCH('[1]Pizza Sales Calculations'!F775,[1]Parameters!$A$3:$A$5,0),2)</f>
        <v>#N/A</v>
      </c>
    </row>
    <row r="776" spans="1:24" x14ac:dyDescent="0.3">
      <c r="A776">
        <v>775</v>
      </c>
      <c r="B776" s="14">
        <v>42378.502928240741</v>
      </c>
      <c r="C776" s="14">
        <v>42378.513333333336</v>
      </c>
      <c r="D776" t="s">
        <v>4</v>
      </c>
      <c r="G776" t="b">
        <v>1</v>
      </c>
      <c r="H776">
        <v>70806</v>
      </c>
      <c r="I776" s="5">
        <v>3.5355441818789002</v>
      </c>
      <c r="J776" s="14">
        <v>42378.525601851848</v>
      </c>
      <c r="K776">
        <v>11.59</v>
      </c>
      <c r="L776" s="5">
        <f>('[1]Pizza Sales Calculations'!$J776-'[1]Pizza Sales Calculations'!$C776)*24*60</f>
        <v>17.666666657896712</v>
      </c>
      <c r="M776">
        <f>COUNTA('[1]Pizza Sales Calculations'!$D776:$F776)</f>
        <v>1</v>
      </c>
      <c r="N776">
        <f>IFERROR(VLOOKUP(D776,[1]Parameters!$A$3:$C$5,3,FALSE),0)</f>
        <v>1.7</v>
      </c>
      <c r="O776">
        <f>IFERROR(VLOOKUP(E776,[1]Parameters!$A$3:$C$5,3,FALSE),0)</f>
        <v>0</v>
      </c>
      <c r="P776">
        <f>IFERROR(VLOOKUP(F776,[1]Parameters!$A$3:$C$5,3,FALSE),0)</f>
        <v>0</v>
      </c>
      <c r="Q776">
        <f t="shared" si="12"/>
        <v>1.7</v>
      </c>
      <c r="R776" s="10">
        <f>IF('[1]Pizza Sales Calculations'!$G776=TRUE, [1]Parameters!$B$17*'[1]Pizza Sales Calculations'!$L776*2, 0)</f>
        <v>5.0055555530707352</v>
      </c>
      <c r="S776" t="str">
        <f>IF(I776&lt;[1]Parameters!$B$21,"TRUE","FALSE")</f>
        <v>FALSE</v>
      </c>
      <c r="T776" s="5">
        <f>(I776/[1]Parameters!$B$25)*60</f>
        <v>7.0710883637578004</v>
      </c>
      <c r="U776" s="10">
        <f>IF(AND('[1]Pizza Sales Calculations'!G776=TRUE,'[1]Pizza Sales Calculations'!S776="TRUE"),T776*[1]Parameters!$B$40*2,0)</f>
        <v>0</v>
      </c>
      <c r="V776">
        <f>INDEX([1]Parameters!$A$3:$C$5,MATCH('[1]Pizza Sales Calculations'!D776,[1]Parameters!$A$3:$A$5,0),2)</f>
        <v>10</v>
      </c>
      <c r="W776" t="e">
        <f>INDEX([1]Parameters!$A$3:$C$5,MATCH('[1]Pizza Sales Calculations'!E776,[1]Parameters!$A$3:$A$5,0),2)</f>
        <v>#N/A</v>
      </c>
      <c r="X776" t="e">
        <f>INDEX([1]Parameters!$A$3:$C$5,MATCH('[1]Pizza Sales Calculations'!F776,[1]Parameters!$A$3:$A$5,0),2)</f>
        <v>#N/A</v>
      </c>
    </row>
    <row r="777" spans="1:24" x14ac:dyDescent="0.3">
      <c r="A777">
        <v>776</v>
      </c>
      <c r="B777" s="14">
        <v>42378.540729166663</v>
      </c>
      <c r="C777" s="14">
        <v>42378.551134259258</v>
      </c>
      <c r="D777" t="s">
        <v>3</v>
      </c>
      <c r="G777" t="b">
        <v>0</v>
      </c>
      <c r="H777">
        <v>70803</v>
      </c>
      <c r="I777" s="5">
        <v>0</v>
      </c>
      <c r="J777" s="14">
        <v>42378.553206018521</v>
      </c>
      <c r="K777">
        <v>7.99</v>
      </c>
      <c r="L777" s="5">
        <f>('[1]Pizza Sales Calculations'!$J777-'[1]Pizza Sales Calculations'!$C777)*24*60</f>
        <v>2.9833333392161876</v>
      </c>
      <c r="M777">
        <f>COUNTA('[1]Pizza Sales Calculations'!$D777:$F777)</f>
        <v>1</v>
      </c>
      <c r="N777">
        <f>IFERROR(VLOOKUP(D777,[1]Parameters!$A$3:$C$5,3,FALSE),0)</f>
        <v>1</v>
      </c>
      <c r="O777">
        <f>IFERROR(VLOOKUP(E777,[1]Parameters!$A$3:$C$5,3,FALSE),0)</f>
        <v>0</v>
      </c>
      <c r="P777">
        <f>IFERROR(VLOOKUP(F777,[1]Parameters!$A$3:$C$5,3,FALSE),0)</f>
        <v>0</v>
      </c>
      <c r="Q777">
        <f t="shared" si="12"/>
        <v>1</v>
      </c>
      <c r="R777" s="10">
        <f>IF('[1]Pizza Sales Calculations'!$G777=TRUE, [1]Parameters!$B$17*'[1]Pizza Sales Calculations'!$L777*2, 0)</f>
        <v>0</v>
      </c>
      <c r="S777" t="str">
        <f>IF(I777&lt;[1]Parameters!$B$21,"TRUE","FALSE")</f>
        <v>TRUE</v>
      </c>
      <c r="T777" s="5">
        <f>(I777/[1]Parameters!$B$25)*60</f>
        <v>0</v>
      </c>
      <c r="U777" s="10">
        <f>IF(AND('[1]Pizza Sales Calculations'!G777=TRUE,'[1]Pizza Sales Calculations'!S777="TRUE"),T777*[1]Parameters!$B$40*2,0)</f>
        <v>0</v>
      </c>
      <c r="V777">
        <f>INDEX([1]Parameters!$A$3:$C$5,MATCH('[1]Pizza Sales Calculations'!D777,[1]Parameters!$A$3:$A$5,0),2)</f>
        <v>7</v>
      </c>
      <c r="W777" t="e">
        <f>INDEX([1]Parameters!$A$3:$C$5,MATCH('[1]Pizza Sales Calculations'!E777,[1]Parameters!$A$3:$A$5,0),2)</f>
        <v>#N/A</v>
      </c>
      <c r="X777" t="e">
        <f>INDEX([1]Parameters!$A$3:$C$5,MATCH('[1]Pizza Sales Calculations'!F777,[1]Parameters!$A$3:$A$5,0),2)</f>
        <v>#N/A</v>
      </c>
    </row>
    <row r="778" spans="1:24" x14ac:dyDescent="0.3">
      <c r="A778">
        <v>777</v>
      </c>
      <c r="B778" s="14">
        <v>42378.521157407406</v>
      </c>
      <c r="C778" s="14">
        <v>42378.531550925924</v>
      </c>
      <c r="D778" t="s">
        <v>3</v>
      </c>
      <c r="E778" t="s">
        <v>4</v>
      </c>
      <c r="G778" t="b">
        <v>1</v>
      </c>
      <c r="H778">
        <v>70806</v>
      </c>
      <c r="I778" s="5">
        <v>2.7315567682930602</v>
      </c>
      <c r="J778" s="14">
        <v>42378.541030092594</v>
      </c>
      <c r="K778">
        <v>19.579999999999998</v>
      </c>
      <c r="L778" s="5">
        <f>('[1]Pizza Sales Calculations'!$J778-'[1]Pizza Sales Calculations'!$C778)*24*60</f>
        <v>13.650000005727634</v>
      </c>
      <c r="M778">
        <f>COUNTA('[1]Pizza Sales Calculations'!$D778:$F778)</f>
        <v>2</v>
      </c>
      <c r="N778">
        <f>IFERROR(VLOOKUP(D778,[1]Parameters!$A$3:$C$5,3,FALSE),0)</f>
        <v>1</v>
      </c>
      <c r="O778">
        <f>IFERROR(VLOOKUP(E778,[1]Parameters!$A$3:$C$5,3,FALSE),0)</f>
        <v>1.7</v>
      </c>
      <c r="P778">
        <f>IFERROR(VLOOKUP(F778,[1]Parameters!$A$3:$C$5,3,FALSE),0)</f>
        <v>0</v>
      </c>
      <c r="Q778">
        <f t="shared" si="12"/>
        <v>2.7</v>
      </c>
      <c r="R778" s="10">
        <f>IF('[1]Pizza Sales Calculations'!$G778=TRUE, [1]Parameters!$B$17*'[1]Pizza Sales Calculations'!$L778*2, 0)</f>
        <v>3.8675000016228296</v>
      </c>
      <c r="S778" t="str">
        <f>IF(I778&lt;[1]Parameters!$B$21,"TRUE","FALSE")</f>
        <v>TRUE</v>
      </c>
      <c r="T778" s="5">
        <f>(I778/[1]Parameters!$B$25)*60</f>
        <v>5.4631135365861203</v>
      </c>
      <c r="U778" s="10">
        <f>IF(AND('[1]Pizza Sales Calculations'!G778=TRUE,'[1]Pizza Sales Calculations'!S778="TRUE"),T778*[1]Parameters!$B$40*2,0)</f>
        <v>0.3410219046036902</v>
      </c>
      <c r="V778">
        <f>INDEX([1]Parameters!$A$3:$C$5,MATCH('[1]Pizza Sales Calculations'!D778,[1]Parameters!$A$3:$A$5,0),2)</f>
        <v>7</v>
      </c>
      <c r="W778">
        <f>INDEX([1]Parameters!$A$3:$C$5,MATCH('[1]Pizza Sales Calculations'!E778,[1]Parameters!$A$3:$A$5,0),2)</f>
        <v>10</v>
      </c>
      <c r="X778" t="e">
        <f>INDEX([1]Parameters!$A$3:$C$5,MATCH('[1]Pizza Sales Calculations'!F778,[1]Parameters!$A$3:$A$5,0),2)</f>
        <v>#N/A</v>
      </c>
    </row>
    <row r="779" spans="1:24" x14ac:dyDescent="0.3">
      <c r="A779">
        <v>778</v>
      </c>
      <c r="B779" s="14">
        <v>42378.492175925923</v>
      </c>
      <c r="C779" s="14">
        <v>42378.502569444441</v>
      </c>
      <c r="D779" t="s">
        <v>3</v>
      </c>
      <c r="E779" t="s">
        <v>5</v>
      </c>
      <c r="G779" t="b">
        <v>1</v>
      </c>
      <c r="H779">
        <v>70804</v>
      </c>
      <c r="I779" s="5">
        <v>3.9933480956849299</v>
      </c>
      <c r="J779" s="14">
        <v>42378.516435185185</v>
      </c>
      <c r="K779">
        <v>23.34</v>
      </c>
      <c r="L779" s="5">
        <f>('[1]Pizza Sales Calculations'!$J779-'[1]Pizza Sales Calculations'!$C779)*24*60</f>
        <v>19.966666671680287</v>
      </c>
      <c r="M779">
        <f>COUNTA('[1]Pizza Sales Calculations'!$D779:$F779)</f>
        <v>2</v>
      </c>
      <c r="N779">
        <f>IFERROR(VLOOKUP(D779,[1]Parameters!$A$3:$C$5,3,FALSE),0)</f>
        <v>1</v>
      </c>
      <c r="O779">
        <f>IFERROR(VLOOKUP(E779,[1]Parameters!$A$3:$C$5,3,FALSE),0)</f>
        <v>2.2999999999999998</v>
      </c>
      <c r="P779">
        <f>IFERROR(VLOOKUP(F779,[1]Parameters!$A$3:$C$5,3,FALSE),0)</f>
        <v>0</v>
      </c>
      <c r="Q779">
        <f t="shared" si="12"/>
        <v>3.3</v>
      </c>
      <c r="R779" s="10">
        <f>IF('[1]Pizza Sales Calculations'!$G779=TRUE, [1]Parameters!$B$17*'[1]Pizza Sales Calculations'!$L779*2, 0)</f>
        <v>5.6572222236427478</v>
      </c>
      <c r="S779" t="str">
        <f>IF(I779&lt;[1]Parameters!$B$21,"TRUE","FALSE")</f>
        <v>FALSE</v>
      </c>
      <c r="T779" s="5">
        <f>(I779/[1]Parameters!$B$25)*60</f>
        <v>7.9866961913698598</v>
      </c>
      <c r="U779" s="10">
        <f>IF(AND('[1]Pizza Sales Calculations'!G779=TRUE,'[1]Pizza Sales Calculations'!S779="TRUE"),T779*[1]Parameters!$B$40*2,0)</f>
        <v>0</v>
      </c>
      <c r="V779">
        <f>INDEX([1]Parameters!$A$3:$C$5,MATCH('[1]Pizza Sales Calculations'!D779,[1]Parameters!$A$3:$A$5,0),2)</f>
        <v>7</v>
      </c>
      <c r="W779">
        <f>INDEX([1]Parameters!$A$3:$C$5,MATCH('[1]Pizza Sales Calculations'!E779,[1]Parameters!$A$3:$A$5,0),2)</f>
        <v>14</v>
      </c>
      <c r="X779" t="e">
        <f>INDEX([1]Parameters!$A$3:$C$5,MATCH('[1]Pizza Sales Calculations'!F779,[1]Parameters!$A$3:$A$5,0),2)</f>
        <v>#N/A</v>
      </c>
    </row>
    <row r="780" spans="1:24" x14ac:dyDescent="0.3">
      <c r="A780">
        <v>779</v>
      </c>
      <c r="B780" s="14">
        <v>42378.472719907404</v>
      </c>
      <c r="C780" s="14">
        <v>42378.483136574076</v>
      </c>
      <c r="D780" t="s">
        <v>5</v>
      </c>
      <c r="G780" t="b">
        <v>1</v>
      </c>
      <c r="H780">
        <v>70804</v>
      </c>
      <c r="I780" s="5">
        <v>5.62978590768786</v>
      </c>
      <c r="J780" s="14">
        <v>42378.50267361111</v>
      </c>
      <c r="K780">
        <v>15.35</v>
      </c>
      <c r="L780" s="5">
        <f>('[1]Pizza Sales Calculations'!$J780-'[1]Pizza Sales Calculations'!$C780)*24*60</f>
        <v>28.13333333004266</v>
      </c>
      <c r="M780">
        <f>COUNTA('[1]Pizza Sales Calculations'!$D780:$F780)</f>
        <v>1</v>
      </c>
      <c r="N780">
        <f>IFERROR(VLOOKUP(D780,[1]Parameters!$A$3:$C$5,3,FALSE),0)</f>
        <v>2.2999999999999998</v>
      </c>
      <c r="O780">
        <f>IFERROR(VLOOKUP(E780,[1]Parameters!$A$3:$C$5,3,FALSE),0)</f>
        <v>0</v>
      </c>
      <c r="P780">
        <f>IFERROR(VLOOKUP(F780,[1]Parameters!$A$3:$C$5,3,FALSE),0)</f>
        <v>0</v>
      </c>
      <c r="Q780">
        <f t="shared" si="12"/>
        <v>2.2999999999999998</v>
      </c>
      <c r="R780" s="10">
        <f>IF('[1]Pizza Sales Calculations'!$G780=TRUE, [1]Parameters!$B$17*'[1]Pizza Sales Calculations'!$L780*2, 0)</f>
        <v>7.9711111101787537</v>
      </c>
      <c r="S780" t="str">
        <f>IF(I780&lt;[1]Parameters!$B$21,"TRUE","FALSE")</f>
        <v>FALSE</v>
      </c>
      <c r="T780" s="5">
        <f>(I780/[1]Parameters!$B$25)*60</f>
        <v>11.25957181537572</v>
      </c>
      <c r="U780" s="10">
        <f>IF(AND('[1]Pizza Sales Calculations'!G780=TRUE,'[1]Pizza Sales Calculations'!S780="TRUE"),T780*[1]Parameters!$B$40*2,0)</f>
        <v>0</v>
      </c>
      <c r="V780">
        <f>INDEX([1]Parameters!$A$3:$C$5,MATCH('[1]Pizza Sales Calculations'!D780,[1]Parameters!$A$3:$A$5,0),2)</f>
        <v>14</v>
      </c>
      <c r="W780" t="e">
        <f>INDEX([1]Parameters!$A$3:$C$5,MATCH('[1]Pizza Sales Calculations'!E780,[1]Parameters!$A$3:$A$5,0),2)</f>
        <v>#N/A</v>
      </c>
      <c r="X780" t="e">
        <f>INDEX([1]Parameters!$A$3:$C$5,MATCH('[1]Pizza Sales Calculations'!F780,[1]Parameters!$A$3:$A$5,0),2)</f>
        <v>#N/A</v>
      </c>
    </row>
    <row r="781" spans="1:24" x14ac:dyDescent="0.3">
      <c r="A781">
        <v>780</v>
      </c>
      <c r="B781" s="14">
        <v>42378.517500000002</v>
      </c>
      <c r="C781" s="14">
        <v>42378.527916666666</v>
      </c>
      <c r="D781" t="s">
        <v>3</v>
      </c>
      <c r="E781" t="s">
        <v>4</v>
      </c>
      <c r="G781" t="b">
        <v>1</v>
      </c>
      <c r="H781">
        <v>70808</v>
      </c>
      <c r="I781" s="5">
        <v>4.2791438114174003</v>
      </c>
      <c r="J781" s="14">
        <v>42378.542766203704</v>
      </c>
      <c r="K781">
        <v>19.579999999999998</v>
      </c>
      <c r="L781" s="5">
        <f>('[1]Pizza Sales Calculations'!$J781-'[1]Pizza Sales Calculations'!$C781)*24*60</f>
        <v>21.383333334233612</v>
      </c>
      <c r="M781">
        <f>COUNTA('[1]Pizza Sales Calculations'!$D781:$F781)</f>
        <v>2</v>
      </c>
      <c r="N781">
        <f>IFERROR(VLOOKUP(D781,[1]Parameters!$A$3:$C$5,3,FALSE),0)</f>
        <v>1</v>
      </c>
      <c r="O781">
        <f>IFERROR(VLOOKUP(E781,[1]Parameters!$A$3:$C$5,3,FALSE),0)</f>
        <v>1.7</v>
      </c>
      <c r="P781">
        <f>IFERROR(VLOOKUP(F781,[1]Parameters!$A$3:$C$5,3,FALSE),0)</f>
        <v>0</v>
      </c>
      <c r="Q781">
        <f t="shared" si="12"/>
        <v>2.7</v>
      </c>
      <c r="R781" s="10">
        <f>IF('[1]Pizza Sales Calculations'!$G781=TRUE, [1]Parameters!$B$17*'[1]Pizza Sales Calculations'!$L781*2, 0)</f>
        <v>6.05861111136619</v>
      </c>
      <c r="S781" t="str">
        <f>IF(I781&lt;[1]Parameters!$B$21,"TRUE","FALSE")</f>
        <v>FALSE</v>
      </c>
      <c r="T781" s="5">
        <f>(I781/[1]Parameters!$B$25)*60</f>
        <v>8.5582876228348006</v>
      </c>
      <c r="U781" s="10">
        <f>IF(AND('[1]Pizza Sales Calculations'!G781=TRUE,'[1]Pizza Sales Calculations'!S781="TRUE"),T781*[1]Parameters!$B$40*2,0)</f>
        <v>0</v>
      </c>
      <c r="V781">
        <f>INDEX([1]Parameters!$A$3:$C$5,MATCH('[1]Pizza Sales Calculations'!D781,[1]Parameters!$A$3:$A$5,0),2)</f>
        <v>7</v>
      </c>
      <c r="W781">
        <f>INDEX([1]Parameters!$A$3:$C$5,MATCH('[1]Pizza Sales Calculations'!E781,[1]Parameters!$A$3:$A$5,0),2)</f>
        <v>10</v>
      </c>
      <c r="X781" t="e">
        <f>INDEX([1]Parameters!$A$3:$C$5,MATCH('[1]Pizza Sales Calculations'!F781,[1]Parameters!$A$3:$A$5,0),2)</f>
        <v>#N/A</v>
      </c>
    </row>
    <row r="782" spans="1:24" x14ac:dyDescent="0.3">
      <c r="A782">
        <v>781</v>
      </c>
      <c r="B782" s="14">
        <v>42378.540196759262</v>
      </c>
      <c r="C782" s="14">
        <v>42378.550613425927</v>
      </c>
      <c r="D782" t="s">
        <v>5</v>
      </c>
      <c r="G782" t="b">
        <v>0</v>
      </c>
      <c r="H782">
        <v>70803</v>
      </c>
      <c r="I782" s="5">
        <v>0</v>
      </c>
      <c r="J782" s="14">
        <v>42378.552673611113</v>
      </c>
      <c r="K782">
        <v>15.35</v>
      </c>
      <c r="L782" s="5">
        <f>('[1]Pizza Sales Calculations'!$J782-'[1]Pizza Sales Calculations'!$C782)*24*60</f>
        <v>2.9666666686534882</v>
      </c>
      <c r="M782">
        <f>COUNTA('[1]Pizza Sales Calculations'!$D782:$F782)</f>
        <v>1</v>
      </c>
      <c r="N782">
        <f>IFERROR(VLOOKUP(D782,[1]Parameters!$A$3:$C$5,3,FALSE),0)</f>
        <v>2.2999999999999998</v>
      </c>
      <c r="O782">
        <f>IFERROR(VLOOKUP(E782,[1]Parameters!$A$3:$C$5,3,FALSE),0)</f>
        <v>0</v>
      </c>
      <c r="P782">
        <f>IFERROR(VLOOKUP(F782,[1]Parameters!$A$3:$C$5,3,FALSE),0)</f>
        <v>0</v>
      </c>
      <c r="Q782">
        <f t="shared" si="12"/>
        <v>2.2999999999999998</v>
      </c>
      <c r="R782" s="10">
        <f>IF('[1]Pizza Sales Calculations'!$G782=TRUE, [1]Parameters!$B$17*'[1]Pizza Sales Calculations'!$L782*2, 0)</f>
        <v>0</v>
      </c>
      <c r="S782" t="str">
        <f>IF(I782&lt;[1]Parameters!$B$21,"TRUE","FALSE")</f>
        <v>TRUE</v>
      </c>
      <c r="T782" s="5">
        <f>(I782/[1]Parameters!$B$25)*60</f>
        <v>0</v>
      </c>
      <c r="U782" s="10">
        <f>IF(AND('[1]Pizza Sales Calculations'!G782=TRUE,'[1]Pizza Sales Calculations'!S782="TRUE"),T782*[1]Parameters!$B$40*2,0)</f>
        <v>0</v>
      </c>
      <c r="V782">
        <f>INDEX([1]Parameters!$A$3:$C$5,MATCH('[1]Pizza Sales Calculations'!D782,[1]Parameters!$A$3:$A$5,0),2)</f>
        <v>14</v>
      </c>
      <c r="W782" t="e">
        <f>INDEX([1]Parameters!$A$3:$C$5,MATCH('[1]Pizza Sales Calculations'!E782,[1]Parameters!$A$3:$A$5,0),2)</f>
        <v>#N/A</v>
      </c>
      <c r="X782" t="e">
        <f>INDEX([1]Parameters!$A$3:$C$5,MATCH('[1]Pizza Sales Calculations'!F782,[1]Parameters!$A$3:$A$5,0),2)</f>
        <v>#N/A</v>
      </c>
    </row>
    <row r="783" spans="1:24" x14ac:dyDescent="0.3">
      <c r="A783">
        <v>782</v>
      </c>
      <c r="B783" s="14">
        <v>42378.426435185182</v>
      </c>
      <c r="C783" s="14">
        <v>42378.43681712963</v>
      </c>
      <c r="D783" t="s">
        <v>5</v>
      </c>
      <c r="G783" t="b">
        <v>0</v>
      </c>
      <c r="H783">
        <v>70804</v>
      </c>
      <c r="I783" s="5">
        <v>0</v>
      </c>
      <c r="J783" s="14">
        <v>42378.438888888886</v>
      </c>
      <c r="K783">
        <v>15.35</v>
      </c>
      <c r="L783" s="5">
        <f>('[1]Pizza Sales Calculations'!$J783-'[1]Pizza Sales Calculations'!$C783)*24*60</f>
        <v>2.9833333287388086</v>
      </c>
      <c r="M783">
        <f>COUNTA('[1]Pizza Sales Calculations'!$D783:$F783)</f>
        <v>1</v>
      </c>
      <c r="N783">
        <f>IFERROR(VLOOKUP(D783,[1]Parameters!$A$3:$C$5,3,FALSE),0)</f>
        <v>2.2999999999999998</v>
      </c>
      <c r="O783">
        <f>IFERROR(VLOOKUP(E783,[1]Parameters!$A$3:$C$5,3,FALSE),0)</f>
        <v>0</v>
      </c>
      <c r="P783">
        <f>IFERROR(VLOOKUP(F783,[1]Parameters!$A$3:$C$5,3,FALSE),0)</f>
        <v>0</v>
      </c>
      <c r="Q783">
        <f t="shared" si="12"/>
        <v>2.2999999999999998</v>
      </c>
      <c r="R783" s="10">
        <f>IF('[1]Pizza Sales Calculations'!$G783=TRUE, [1]Parameters!$B$17*'[1]Pizza Sales Calculations'!$L783*2, 0)</f>
        <v>0</v>
      </c>
      <c r="S783" t="str">
        <f>IF(I783&lt;[1]Parameters!$B$21,"TRUE","FALSE")</f>
        <v>TRUE</v>
      </c>
      <c r="T783" s="5">
        <f>(I783/[1]Parameters!$B$25)*60</f>
        <v>0</v>
      </c>
      <c r="U783" s="10">
        <f>IF(AND('[1]Pizza Sales Calculations'!G783=TRUE,'[1]Pizza Sales Calculations'!S783="TRUE"),T783*[1]Parameters!$B$40*2,0)</f>
        <v>0</v>
      </c>
      <c r="V783">
        <f>INDEX([1]Parameters!$A$3:$C$5,MATCH('[1]Pizza Sales Calculations'!D783,[1]Parameters!$A$3:$A$5,0),2)</f>
        <v>14</v>
      </c>
      <c r="W783" t="e">
        <f>INDEX([1]Parameters!$A$3:$C$5,MATCH('[1]Pizza Sales Calculations'!E783,[1]Parameters!$A$3:$A$5,0),2)</f>
        <v>#N/A</v>
      </c>
      <c r="X783" t="e">
        <f>INDEX([1]Parameters!$A$3:$C$5,MATCH('[1]Pizza Sales Calculations'!F783,[1]Parameters!$A$3:$A$5,0),2)</f>
        <v>#N/A</v>
      </c>
    </row>
    <row r="784" spans="1:24" x14ac:dyDescent="0.3">
      <c r="A784">
        <v>783</v>
      </c>
      <c r="B784" s="14">
        <v>42378.474872685183</v>
      </c>
      <c r="C784" s="14">
        <v>42378.485300925924</v>
      </c>
      <c r="D784" t="s">
        <v>3</v>
      </c>
      <c r="E784" t="s">
        <v>4</v>
      </c>
      <c r="G784" t="b">
        <v>1</v>
      </c>
      <c r="H784">
        <v>70804</v>
      </c>
      <c r="I784" s="5">
        <v>2.9042117652254702</v>
      </c>
      <c r="J784" s="14">
        <v>42378.495381944442</v>
      </c>
      <c r="K784">
        <v>19.579999999999998</v>
      </c>
      <c r="L784" s="5">
        <f>('[1]Pizza Sales Calculations'!$J784-'[1]Pizza Sales Calculations'!$C784)*24*60</f>
        <v>14.516666665440425</v>
      </c>
      <c r="M784">
        <f>COUNTA('[1]Pizza Sales Calculations'!$D784:$F784)</f>
        <v>2</v>
      </c>
      <c r="N784">
        <f>IFERROR(VLOOKUP(D784,[1]Parameters!$A$3:$C$5,3,FALSE),0)</f>
        <v>1</v>
      </c>
      <c r="O784">
        <f>IFERROR(VLOOKUP(E784,[1]Parameters!$A$3:$C$5,3,FALSE),0)</f>
        <v>1.7</v>
      </c>
      <c r="P784">
        <f>IFERROR(VLOOKUP(F784,[1]Parameters!$A$3:$C$5,3,FALSE),0)</f>
        <v>0</v>
      </c>
      <c r="Q784">
        <f t="shared" si="12"/>
        <v>2.7</v>
      </c>
      <c r="R784" s="10">
        <f>IF('[1]Pizza Sales Calculations'!$G784=TRUE, [1]Parameters!$B$17*'[1]Pizza Sales Calculations'!$L784*2, 0)</f>
        <v>4.1130555552081205</v>
      </c>
      <c r="S784" t="str">
        <f>IF(I784&lt;[1]Parameters!$B$21,"TRUE","FALSE")</f>
        <v>TRUE</v>
      </c>
      <c r="T784" s="5">
        <f>(I784/[1]Parameters!$B$25)*60</f>
        <v>5.8084235304509404</v>
      </c>
      <c r="U784" s="10">
        <f>IF(AND('[1]Pizza Sales Calculations'!G784=TRUE,'[1]Pizza Sales Calculations'!S784="TRUE"),T784*[1]Parameters!$B$40*2,0)</f>
        <v>0.36257706193253758</v>
      </c>
      <c r="V784">
        <f>INDEX([1]Parameters!$A$3:$C$5,MATCH('[1]Pizza Sales Calculations'!D784,[1]Parameters!$A$3:$A$5,0),2)</f>
        <v>7</v>
      </c>
      <c r="W784">
        <f>INDEX([1]Parameters!$A$3:$C$5,MATCH('[1]Pizza Sales Calculations'!E784,[1]Parameters!$A$3:$A$5,0),2)</f>
        <v>10</v>
      </c>
      <c r="X784" t="e">
        <f>INDEX([1]Parameters!$A$3:$C$5,MATCH('[1]Pizza Sales Calculations'!F784,[1]Parameters!$A$3:$A$5,0),2)</f>
        <v>#N/A</v>
      </c>
    </row>
    <row r="785" spans="1:24" x14ac:dyDescent="0.3">
      <c r="A785">
        <v>784</v>
      </c>
      <c r="B785" s="14">
        <v>42378.50880787037</v>
      </c>
      <c r="C785" s="14">
        <v>42378.519224537034</v>
      </c>
      <c r="D785" t="s">
        <v>4</v>
      </c>
      <c r="E785" t="s">
        <v>5</v>
      </c>
      <c r="G785" t="b">
        <v>1</v>
      </c>
      <c r="H785">
        <v>70806</v>
      </c>
      <c r="I785" s="5">
        <v>2.4657176224036101</v>
      </c>
      <c r="J785" s="14">
        <v>42378.527777777781</v>
      </c>
      <c r="K785">
        <v>25.94</v>
      </c>
      <c r="L785" s="5">
        <f>('[1]Pizza Sales Calculations'!$J785-'[1]Pizza Sales Calculations'!$C785)*24*60</f>
        <v>12.316666675033048</v>
      </c>
      <c r="M785">
        <f>COUNTA('[1]Pizza Sales Calculations'!$D785:$F785)</f>
        <v>2</v>
      </c>
      <c r="N785">
        <f>IFERROR(VLOOKUP(D785,[1]Parameters!$A$3:$C$5,3,FALSE),0)</f>
        <v>1.7</v>
      </c>
      <c r="O785">
        <f>IFERROR(VLOOKUP(E785,[1]Parameters!$A$3:$C$5,3,FALSE),0)</f>
        <v>2.2999999999999998</v>
      </c>
      <c r="P785">
        <f>IFERROR(VLOOKUP(F785,[1]Parameters!$A$3:$C$5,3,FALSE),0)</f>
        <v>0</v>
      </c>
      <c r="Q785">
        <f t="shared" si="12"/>
        <v>4</v>
      </c>
      <c r="R785" s="10">
        <f>IF('[1]Pizza Sales Calculations'!$G785=TRUE, [1]Parameters!$B$17*'[1]Pizza Sales Calculations'!$L785*2, 0)</f>
        <v>3.4897222245926969</v>
      </c>
      <c r="S785" t="str">
        <f>IF(I785&lt;[1]Parameters!$B$21,"TRUE","FALSE")</f>
        <v>TRUE</v>
      </c>
      <c r="T785" s="5">
        <f>(I785/[1]Parameters!$B$25)*60</f>
        <v>4.9314352448072203</v>
      </c>
      <c r="U785" s="10">
        <f>IF(AND('[1]Pizza Sales Calculations'!G785=TRUE,'[1]Pizza Sales Calculations'!S785="TRUE"),T785*[1]Parameters!$B$40*2,0)</f>
        <v>0.30783314832311337</v>
      </c>
      <c r="V785">
        <f>INDEX([1]Parameters!$A$3:$C$5,MATCH('[1]Pizza Sales Calculations'!D785,[1]Parameters!$A$3:$A$5,0),2)</f>
        <v>10</v>
      </c>
      <c r="W785">
        <f>INDEX([1]Parameters!$A$3:$C$5,MATCH('[1]Pizza Sales Calculations'!E785,[1]Parameters!$A$3:$A$5,0),2)</f>
        <v>14</v>
      </c>
      <c r="X785" t="e">
        <f>INDEX([1]Parameters!$A$3:$C$5,MATCH('[1]Pizza Sales Calculations'!F785,[1]Parameters!$A$3:$A$5,0),2)</f>
        <v>#N/A</v>
      </c>
    </row>
    <row r="786" spans="1:24" x14ac:dyDescent="0.3">
      <c r="A786">
        <v>785</v>
      </c>
      <c r="B786" s="14">
        <v>42378.453969907408</v>
      </c>
      <c r="C786" s="14">
        <v>42378.464386574073</v>
      </c>
      <c r="D786" t="s">
        <v>3</v>
      </c>
      <c r="G786" t="b">
        <v>1</v>
      </c>
      <c r="H786">
        <v>70806</v>
      </c>
      <c r="I786" s="5">
        <v>2.6365137605756002</v>
      </c>
      <c r="J786" s="14">
        <v>42378.473530092589</v>
      </c>
      <c r="K786">
        <v>7.99</v>
      </c>
      <c r="L786" s="5">
        <f>('[1]Pizza Sales Calculations'!$J786-'[1]Pizza Sales Calculations'!$C786)*24*60</f>
        <v>13.16666666418314</v>
      </c>
      <c r="M786">
        <f>COUNTA('[1]Pizza Sales Calculations'!$D786:$F786)</f>
        <v>1</v>
      </c>
      <c r="N786">
        <f>IFERROR(VLOOKUP(D786,[1]Parameters!$A$3:$C$5,3,FALSE),0)</f>
        <v>1</v>
      </c>
      <c r="O786">
        <f>IFERROR(VLOOKUP(E786,[1]Parameters!$A$3:$C$5,3,FALSE),0)</f>
        <v>0</v>
      </c>
      <c r="P786">
        <f>IFERROR(VLOOKUP(F786,[1]Parameters!$A$3:$C$5,3,FALSE),0)</f>
        <v>0</v>
      </c>
      <c r="Q786">
        <f t="shared" si="12"/>
        <v>1</v>
      </c>
      <c r="R786" s="10">
        <f>IF('[1]Pizza Sales Calculations'!$G786=TRUE, [1]Parameters!$B$17*'[1]Pizza Sales Calculations'!$L786*2, 0)</f>
        <v>3.7305555548518896</v>
      </c>
      <c r="S786" t="str">
        <f>IF(I786&lt;[1]Parameters!$B$21,"TRUE","FALSE")</f>
        <v>TRUE</v>
      </c>
      <c r="T786" s="5">
        <f>(I786/[1]Parameters!$B$25)*60</f>
        <v>5.2730275211512003</v>
      </c>
      <c r="U786" s="10">
        <f>IF(AND('[1]Pizza Sales Calculations'!G786=TRUE,'[1]Pizza Sales Calculations'!S786="TRUE"),T786*[1]Parameters!$B$40*2,0)</f>
        <v>0.32915623595374838</v>
      </c>
      <c r="V786">
        <f>INDEX([1]Parameters!$A$3:$C$5,MATCH('[1]Pizza Sales Calculations'!D786,[1]Parameters!$A$3:$A$5,0),2)</f>
        <v>7</v>
      </c>
      <c r="W786" t="e">
        <f>INDEX([1]Parameters!$A$3:$C$5,MATCH('[1]Pizza Sales Calculations'!E786,[1]Parameters!$A$3:$A$5,0),2)</f>
        <v>#N/A</v>
      </c>
      <c r="X786" t="e">
        <f>INDEX([1]Parameters!$A$3:$C$5,MATCH('[1]Pizza Sales Calculations'!F786,[1]Parameters!$A$3:$A$5,0),2)</f>
        <v>#N/A</v>
      </c>
    </row>
    <row r="787" spans="1:24" x14ac:dyDescent="0.3">
      <c r="A787">
        <v>786</v>
      </c>
      <c r="B787" s="14">
        <v>42378.514027777775</v>
      </c>
      <c r="C787" s="14">
        <v>42378.52443287037</v>
      </c>
      <c r="D787" t="s">
        <v>3</v>
      </c>
      <c r="G787" t="b">
        <v>1</v>
      </c>
      <c r="H787">
        <v>70804</v>
      </c>
      <c r="I787" s="5">
        <v>1.3545088655608</v>
      </c>
      <c r="J787" s="14">
        <v>42378.529131944444</v>
      </c>
      <c r="K787">
        <v>7.99</v>
      </c>
      <c r="L787" s="5">
        <f>('[1]Pizza Sales Calculations'!$J787-'[1]Pizza Sales Calculations'!$C787)*24*60</f>
        <v>6.7666666663717479</v>
      </c>
      <c r="M787">
        <f>COUNTA('[1]Pizza Sales Calculations'!$D787:$F787)</f>
        <v>1</v>
      </c>
      <c r="N787">
        <f>IFERROR(VLOOKUP(D787,[1]Parameters!$A$3:$C$5,3,FALSE),0)</f>
        <v>1</v>
      </c>
      <c r="O787">
        <f>IFERROR(VLOOKUP(E787,[1]Parameters!$A$3:$C$5,3,FALSE),0)</f>
        <v>0</v>
      </c>
      <c r="P787">
        <f>IFERROR(VLOOKUP(F787,[1]Parameters!$A$3:$C$5,3,FALSE),0)</f>
        <v>0</v>
      </c>
      <c r="Q787">
        <f t="shared" si="12"/>
        <v>1</v>
      </c>
      <c r="R787" s="10">
        <f>IF('[1]Pizza Sales Calculations'!$G787=TRUE, [1]Parameters!$B$17*'[1]Pizza Sales Calculations'!$L787*2, 0)</f>
        <v>1.9172222221386619</v>
      </c>
      <c r="S787" t="str">
        <f>IF(I787&lt;[1]Parameters!$B$21,"TRUE","FALSE")</f>
        <v>TRUE</v>
      </c>
      <c r="T787" s="5">
        <f>(I787/[1]Parameters!$B$25)*60</f>
        <v>2.7090177311215999</v>
      </c>
      <c r="U787" s="10">
        <f>IF(AND('[1]Pizza Sales Calculations'!G787=TRUE,'[1]Pizza Sales Calculations'!S787="TRUE"),T787*[1]Parameters!$B$40*2,0)</f>
        <v>0.16910400636658857</v>
      </c>
      <c r="V787">
        <f>INDEX([1]Parameters!$A$3:$C$5,MATCH('[1]Pizza Sales Calculations'!D787,[1]Parameters!$A$3:$A$5,0),2)</f>
        <v>7</v>
      </c>
      <c r="W787" t="e">
        <f>INDEX([1]Parameters!$A$3:$C$5,MATCH('[1]Pizza Sales Calculations'!E787,[1]Parameters!$A$3:$A$5,0),2)</f>
        <v>#N/A</v>
      </c>
      <c r="X787" t="e">
        <f>INDEX([1]Parameters!$A$3:$C$5,MATCH('[1]Pizza Sales Calculations'!F787,[1]Parameters!$A$3:$A$5,0),2)</f>
        <v>#N/A</v>
      </c>
    </row>
    <row r="788" spans="1:24" x14ac:dyDescent="0.3">
      <c r="A788">
        <v>787</v>
      </c>
      <c r="B788" s="14">
        <v>42378.533726851849</v>
      </c>
      <c r="C788" s="14">
        <v>42378.544131944444</v>
      </c>
      <c r="D788" t="s">
        <v>3</v>
      </c>
      <c r="G788" t="b">
        <v>1</v>
      </c>
      <c r="H788">
        <v>70804</v>
      </c>
      <c r="I788" s="5">
        <v>1.7851147234587801</v>
      </c>
      <c r="J788" s="14">
        <v>42378.550324074073</v>
      </c>
      <c r="K788">
        <v>7.99</v>
      </c>
      <c r="L788" s="5">
        <f>('[1]Pizza Sales Calculations'!$J788-'[1]Pizza Sales Calculations'!$C788)*24*60</f>
        <v>8.916666666045785</v>
      </c>
      <c r="M788">
        <f>COUNTA('[1]Pizza Sales Calculations'!$D788:$F788)</f>
        <v>1</v>
      </c>
      <c r="N788">
        <f>IFERROR(VLOOKUP(D788,[1]Parameters!$A$3:$C$5,3,FALSE),0)</f>
        <v>1</v>
      </c>
      <c r="O788">
        <f>IFERROR(VLOOKUP(E788,[1]Parameters!$A$3:$C$5,3,FALSE),0)</f>
        <v>0</v>
      </c>
      <c r="P788">
        <f>IFERROR(VLOOKUP(F788,[1]Parameters!$A$3:$C$5,3,FALSE),0)</f>
        <v>0</v>
      </c>
      <c r="Q788">
        <f t="shared" si="12"/>
        <v>1</v>
      </c>
      <c r="R788" s="10">
        <f>IF('[1]Pizza Sales Calculations'!$G788=TRUE, [1]Parameters!$B$17*'[1]Pizza Sales Calculations'!$L788*2, 0)</f>
        <v>2.5263888887129724</v>
      </c>
      <c r="S788" t="str">
        <f>IF(I788&lt;[1]Parameters!$B$21,"TRUE","FALSE")</f>
        <v>TRUE</v>
      </c>
      <c r="T788" s="5">
        <f>(I788/[1]Parameters!$B$25)*60</f>
        <v>3.5702294469175602</v>
      </c>
      <c r="U788" s="10">
        <f>IF(AND('[1]Pizza Sales Calculations'!G788=TRUE,'[1]Pizza Sales Calculations'!S788="TRUE"),T788*[1]Parameters!$B$40*2,0)</f>
        <v>0.22286310502359313</v>
      </c>
      <c r="V788">
        <f>INDEX([1]Parameters!$A$3:$C$5,MATCH('[1]Pizza Sales Calculations'!D788,[1]Parameters!$A$3:$A$5,0),2)</f>
        <v>7</v>
      </c>
      <c r="W788" t="e">
        <f>INDEX([1]Parameters!$A$3:$C$5,MATCH('[1]Pizza Sales Calculations'!E788,[1]Parameters!$A$3:$A$5,0),2)</f>
        <v>#N/A</v>
      </c>
      <c r="X788" t="e">
        <f>INDEX([1]Parameters!$A$3:$C$5,MATCH('[1]Pizza Sales Calculations'!F788,[1]Parameters!$A$3:$A$5,0),2)</f>
        <v>#N/A</v>
      </c>
    </row>
    <row r="789" spans="1:24" x14ac:dyDescent="0.3">
      <c r="A789">
        <v>788</v>
      </c>
      <c r="B789" s="14">
        <v>42378.52065972222</v>
      </c>
      <c r="C789" s="14">
        <v>42378.531076388892</v>
      </c>
      <c r="D789" t="s">
        <v>3</v>
      </c>
      <c r="G789" t="b">
        <v>0</v>
      </c>
      <c r="H789">
        <v>70806</v>
      </c>
      <c r="I789" s="5">
        <v>0</v>
      </c>
      <c r="J789" s="14">
        <v>42378.533159722225</v>
      </c>
      <c r="K789">
        <v>7.99</v>
      </c>
      <c r="L789" s="5">
        <f>('[1]Pizza Sales Calculations'!$J789-'[1]Pizza Sales Calculations'!$C789)*24*60</f>
        <v>2.9999999993015081</v>
      </c>
      <c r="M789">
        <f>COUNTA('[1]Pizza Sales Calculations'!$D789:$F789)</f>
        <v>1</v>
      </c>
      <c r="N789">
        <f>IFERROR(VLOOKUP(D789,[1]Parameters!$A$3:$C$5,3,FALSE),0)</f>
        <v>1</v>
      </c>
      <c r="O789">
        <f>IFERROR(VLOOKUP(E789,[1]Parameters!$A$3:$C$5,3,FALSE),0)</f>
        <v>0</v>
      </c>
      <c r="P789">
        <f>IFERROR(VLOOKUP(F789,[1]Parameters!$A$3:$C$5,3,FALSE),0)</f>
        <v>0</v>
      </c>
      <c r="Q789">
        <f t="shared" si="12"/>
        <v>1</v>
      </c>
      <c r="R789" s="10">
        <f>IF('[1]Pizza Sales Calculations'!$G789=TRUE, [1]Parameters!$B$17*'[1]Pizza Sales Calculations'!$L789*2, 0)</f>
        <v>0</v>
      </c>
      <c r="S789" t="str">
        <f>IF(I789&lt;[1]Parameters!$B$21,"TRUE","FALSE")</f>
        <v>TRUE</v>
      </c>
      <c r="T789" s="5">
        <f>(I789/[1]Parameters!$B$25)*60</f>
        <v>0</v>
      </c>
      <c r="U789" s="10">
        <f>IF(AND('[1]Pizza Sales Calculations'!G789=TRUE,'[1]Pizza Sales Calculations'!S789="TRUE"),T789*[1]Parameters!$B$40*2,0)</f>
        <v>0</v>
      </c>
      <c r="V789">
        <f>INDEX([1]Parameters!$A$3:$C$5,MATCH('[1]Pizza Sales Calculations'!D789,[1]Parameters!$A$3:$A$5,0),2)</f>
        <v>7</v>
      </c>
      <c r="W789" t="e">
        <f>INDEX([1]Parameters!$A$3:$C$5,MATCH('[1]Pizza Sales Calculations'!E789,[1]Parameters!$A$3:$A$5,0),2)</f>
        <v>#N/A</v>
      </c>
      <c r="X789" t="e">
        <f>INDEX([1]Parameters!$A$3:$C$5,MATCH('[1]Pizza Sales Calculations'!F789,[1]Parameters!$A$3:$A$5,0),2)</f>
        <v>#N/A</v>
      </c>
    </row>
    <row r="790" spans="1:24" x14ac:dyDescent="0.3">
      <c r="A790">
        <v>789</v>
      </c>
      <c r="B790" s="14">
        <v>42378.421782407408</v>
      </c>
      <c r="C790" s="14">
        <v>42378.432175925926</v>
      </c>
      <c r="D790" t="s">
        <v>3</v>
      </c>
      <c r="E790" t="s">
        <v>4</v>
      </c>
      <c r="G790" t="b">
        <v>1</v>
      </c>
      <c r="H790">
        <v>70803</v>
      </c>
      <c r="I790" s="5">
        <v>1.526212594248</v>
      </c>
      <c r="J790" s="14">
        <v>42378.437465277777</v>
      </c>
      <c r="K790">
        <v>19.579999999999998</v>
      </c>
      <c r="L790" s="5">
        <f>('[1]Pizza Sales Calculations'!$J790-'[1]Pizza Sales Calculations'!$C790)*24*60</f>
        <v>7.6166666659992188</v>
      </c>
      <c r="M790">
        <f>COUNTA('[1]Pizza Sales Calculations'!$D790:$F790)</f>
        <v>2</v>
      </c>
      <c r="N790">
        <f>IFERROR(VLOOKUP(D790,[1]Parameters!$A$3:$C$5,3,FALSE),0)</f>
        <v>1</v>
      </c>
      <c r="O790">
        <f>IFERROR(VLOOKUP(E790,[1]Parameters!$A$3:$C$5,3,FALSE),0)</f>
        <v>1.7</v>
      </c>
      <c r="P790">
        <f>IFERROR(VLOOKUP(F790,[1]Parameters!$A$3:$C$5,3,FALSE),0)</f>
        <v>0</v>
      </c>
      <c r="Q790">
        <f t="shared" si="12"/>
        <v>2.7</v>
      </c>
      <c r="R790" s="10">
        <f>IF('[1]Pizza Sales Calculations'!$G790=TRUE, [1]Parameters!$B$17*'[1]Pizza Sales Calculations'!$L790*2, 0)</f>
        <v>2.1580555553664453</v>
      </c>
      <c r="S790" t="str">
        <f>IF(I790&lt;[1]Parameters!$B$21,"TRUE","FALSE")</f>
        <v>TRUE</v>
      </c>
      <c r="T790" s="5">
        <f>(I790/[1]Parameters!$B$25)*60</f>
        <v>3.0524251884960001</v>
      </c>
      <c r="U790" s="10">
        <f>IF(AND('[1]Pizza Sales Calculations'!G790=TRUE,'[1]Pizza Sales Calculations'!S790="TRUE"),T790*[1]Parameters!$B$40*2,0)</f>
        <v>0.19054040236763339</v>
      </c>
      <c r="V790">
        <f>INDEX([1]Parameters!$A$3:$C$5,MATCH('[1]Pizza Sales Calculations'!D790,[1]Parameters!$A$3:$A$5,0),2)</f>
        <v>7</v>
      </c>
      <c r="W790">
        <f>INDEX([1]Parameters!$A$3:$C$5,MATCH('[1]Pizza Sales Calculations'!E790,[1]Parameters!$A$3:$A$5,0),2)</f>
        <v>10</v>
      </c>
      <c r="X790" t="e">
        <f>INDEX([1]Parameters!$A$3:$C$5,MATCH('[1]Pizza Sales Calculations'!F790,[1]Parameters!$A$3:$A$5,0),2)</f>
        <v>#N/A</v>
      </c>
    </row>
    <row r="791" spans="1:24" x14ac:dyDescent="0.3">
      <c r="A791">
        <v>790</v>
      </c>
      <c r="B791" s="14">
        <v>42378.537118055552</v>
      </c>
      <c r="C791" s="14">
        <v>42378.547534722224</v>
      </c>
      <c r="D791" t="s">
        <v>4</v>
      </c>
      <c r="G791" t="b">
        <v>1</v>
      </c>
      <c r="H791">
        <v>70804</v>
      </c>
      <c r="I791" s="5">
        <v>3.24065469170651</v>
      </c>
      <c r="J791" s="14">
        <v>42378.55878472222</v>
      </c>
      <c r="K791">
        <v>11.59</v>
      </c>
      <c r="L791" s="5">
        <f>('[1]Pizza Sales Calculations'!$J791-'[1]Pizza Sales Calculations'!$C791)*24*60</f>
        <v>16.199999994132668</v>
      </c>
      <c r="M791">
        <f>COUNTA('[1]Pizza Sales Calculations'!$D791:$F791)</f>
        <v>1</v>
      </c>
      <c r="N791">
        <f>IFERROR(VLOOKUP(D791,[1]Parameters!$A$3:$C$5,3,FALSE),0)</f>
        <v>1.7</v>
      </c>
      <c r="O791">
        <f>IFERROR(VLOOKUP(E791,[1]Parameters!$A$3:$C$5,3,FALSE),0)</f>
        <v>0</v>
      </c>
      <c r="P791">
        <f>IFERROR(VLOOKUP(F791,[1]Parameters!$A$3:$C$5,3,FALSE),0)</f>
        <v>0</v>
      </c>
      <c r="Q791">
        <f t="shared" si="12"/>
        <v>1.7</v>
      </c>
      <c r="R791" s="10">
        <f>IF('[1]Pizza Sales Calculations'!$G791=TRUE, [1]Parameters!$B$17*'[1]Pizza Sales Calculations'!$L791*2, 0)</f>
        <v>4.5899999983375892</v>
      </c>
      <c r="S791" t="str">
        <f>IF(I791&lt;[1]Parameters!$B$21,"TRUE","FALSE")</f>
        <v>FALSE</v>
      </c>
      <c r="T791" s="5">
        <f>(I791/[1]Parameters!$B$25)*60</f>
        <v>6.48130938341302</v>
      </c>
      <c r="U791" s="10">
        <f>IF(AND('[1]Pizza Sales Calculations'!G791=TRUE,'[1]Pizza Sales Calculations'!S791="TRUE"),T791*[1]Parameters!$B$40*2,0)</f>
        <v>0</v>
      </c>
      <c r="V791">
        <f>INDEX([1]Parameters!$A$3:$C$5,MATCH('[1]Pizza Sales Calculations'!D791,[1]Parameters!$A$3:$A$5,0),2)</f>
        <v>10</v>
      </c>
      <c r="W791" t="e">
        <f>INDEX([1]Parameters!$A$3:$C$5,MATCH('[1]Pizza Sales Calculations'!E791,[1]Parameters!$A$3:$A$5,0),2)</f>
        <v>#N/A</v>
      </c>
      <c r="X791" t="e">
        <f>INDEX([1]Parameters!$A$3:$C$5,MATCH('[1]Pizza Sales Calculations'!F791,[1]Parameters!$A$3:$A$5,0),2)</f>
        <v>#N/A</v>
      </c>
    </row>
    <row r="792" spans="1:24" x14ac:dyDescent="0.3">
      <c r="A792">
        <v>791</v>
      </c>
      <c r="B792" s="14">
        <v>42378.503645833334</v>
      </c>
      <c r="C792" s="14">
        <v>42378.514050925929</v>
      </c>
      <c r="D792" t="s">
        <v>5</v>
      </c>
      <c r="G792" t="b">
        <v>0</v>
      </c>
      <c r="H792">
        <v>70807</v>
      </c>
      <c r="I792" s="5">
        <v>0</v>
      </c>
      <c r="J792" s="14">
        <v>42378.516134259262</v>
      </c>
      <c r="K792">
        <v>15.35</v>
      </c>
      <c r="L792" s="5">
        <f>('[1]Pizza Sales Calculations'!$J792-'[1]Pizza Sales Calculations'!$C792)*24*60</f>
        <v>2.9999999993015081</v>
      </c>
      <c r="M792">
        <f>COUNTA('[1]Pizza Sales Calculations'!$D792:$F792)</f>
        <v>1</v>
      </c>
      <c r="N792">
        <f>IFERROR(VLOOKUP(D792,[1]Parameters!$A$3:$C$5,3,FALSE),0)</f>
        <v>2.2999999999999998</v>
      </c>
      <c r="O792">
        <f>IFERROR(VLOOKUP(E792,[1]Parameters!$A$3:$C$5,3,FALSE),0)</f>
        <v>0</v>
      </c>
      <c r="P792">
        <f>IFERROR(VLOOKUP(F792,[1]Parameters!$A$3:$C$5,3,FALSE),0)</f>
        <v>0</v>
      </c>
      <c r="Q792">
        <f t="shared" si="12"/>
        <v>2.2999999999999998</v>
      </c>
      <c r="R792" s="10">
        <f>IF('[1]Pizza Sales Calculations'!$G792=TRUE, [1]Parameters!$B$17*'[1]Pizza Sales Calculations'!$L792*2, 0)</f>
        <v>0</v>
      </c>
      <c r="S792" t="str">
        <f>IF(I792&lt;[1]Parameters!$B$21,"TRUE","FALSE")</f>
        <v>TRUE</v>
      </c>
      <c r="T792" s="5">
        <f>(I792/[1]Parameters!$B$25)*60</f>
        <v>0</v>
      </c>
      <c r="U792" s="10">
        <f>IF(AND('[1]Pizza Sales Calculations'!G792=TRUE,'[1]Pizza Sales Calculations'!S792="TRUE"),T792*[1]Parameters!$B$40*2,0)</f>
        <v>0</v>
      </c>
      <c r="V792">
        <f>INDEX([1]Parameters!$A$3:$C$5,MATCH('[1]Pizza Sales Calculations'!D792,[1]Parameters!$A$3:$A$5,0),2)</f>
        <v>14</v>
      </c>
      <c r="W792" t="e">
        <f>INDEX([1]Parameters!$A$3:$C$5,MATCH('[1]Pizza Sales Calculations'!E792,[1]Parameters!$A$3:$A$5,0),2)</f>
        <v>#N/A</v>
      </c>
      <c r="X792" t="e">
        <f>INDEX([1]Parameters!$A$3:$C$5,MATCH('[1]Pizza Sales Calculations'!F792,[1]Parameters!$A$3:$A$5,0),2)</f>
        <v>#N/A</v>
      </c>
    </row>
    <row r="793" spans="1:24" x14ac:dyDescent="0.3">
      <c r="A793">
        <v>792</v>
      </c>
      <c r="B793" s="14">
        <v>42378.425358796296</v>
      </c>
      <c r="C793" s="14">
        <v>42378.435787037037</v>
      </c>
      <c r="D793" t="s">
        <v>3</v>
      </c>
      <c r="E793" t="s">
        <v>4</v>
      </c>
      <c r="G793" t="b">
        <v>0</v>
      </c>
      <c r="H793">
        <v>70803</v>
      </c>
      <c r="I793" s="5">
        <v>0</v>
      </c>
      <c r="J793" s="14">
        <v>42378.437858796293</v>
      </c>
      <c r="K793">
        <v>19.579999999999998</v>
      </c>
      <c r="L793" s="5">
        <f>('[1]Pizza Sales Calculations'!$J793-'[1]Pizza Sales Calculations'!$C793)*24*60</f>
        <v>2.9833333287388086</v>
      </c>
      <c r="M793">
        <f>COUNTA('[1]Pizza Sales Calculations'!$D793:$F793)</f>
        <v>2</v>
      </c>
      <c r="N793">
        <f>IFERROR(VLOOKUP(D793,[1]Parameters!$A$3:$C$5,3,FALSE),0)</f>
        <v>1</v>
      </c>
      <c r="O793">
        <f>IFERROR(VLOOKUP(E793,[1]Parameters!$A$3:$C$5,3,FALSE),0)</f>
        <v>1.7</v>
      </c>
      <c r="P793">
        <f>IFERROR(VLOOKUP(F793,[1]Parameters!$A$3:$C$5,3,FALSE),0)</f>
        <v>0</v>
      </c>
      <c r="Q793">
        <f t="shared" si="12"/>
        <v>2.7</v>
      </c>
      <c r="R793" s="10">
        <f>IF('[1]Pizza Sales Calculations'!$G793=TRUE, [1]Parameters!$B$17*'[1]Pizza Sales Calculations'!$L793*2, 0)</f>
        <v>0</v>
      </c>
      <c r="S793" t="str">
        <f>IF(I793&lt;[1]Parameters!$B$21,"TRUE","FALSE")</f>
        <v>TRUE</v>
      </c>
      <c r="T793" s="5">
        <f>(I793/[1]Parameters!$B$25)*60</f>
        <v>0</v>
      </c>
      <c r="U793" s="10">
        <f>IF(AND('[1]Pizza Sales Calculations'!G793=TRUE,'[1]Pizza Sales Calculations'!S793="TRUE"),T793*[1]Parameters!$B$40*2,0)</f>
        <v>0</v>
      </c>
      <c r="V793">
        <f>INDEX([1]Parameters!$A$3:$C$5,MATCH('[1]Pizza Sales Calculations'!D793,[1]Parameters!$A$3:$A$5,0),2)</f>
        <v>7</v>
      </c>
      <c r="W793">
        <f>INDEX([1]Parameters!$A$3:$C$5,MATCH('[1]Pizza Sales Calculations'!E793,[1]Parameters!$A$3:$A$5,0),2)</f>
        <v>10</v>
      </c>
      <c r="X793" t="e">
        <f>INDEX([1]Parameters!$A$3:$C$5,MATCH('[1]Pizza Sales Calculations'!F793,[1]Parameters!$A$3:$A$5,0),2)</f>
        <v>#N/A</v>
      </c>
    </row>
    <row r="794" spans="1:24" x14ac:dyDescent="0.3">
      <c r="A794">
        <v>793</v>
      </c>
      <c r="B794" s="14">
        <v>42378.436307870368</v>
      </c>
      <c r="C794" s="14">
        <v>42378.44672453704</v>
      </c>
      <c r="D794" t="s">
        <v>4</v>
      </c>
      <c r="G794" t="b">
        <v>1</v>
      </c>
      <c r="H794">
        <v>70805</v>
      </c>
      <c r="I794" s="5">
        <v>4.3616121884225603</v>
      </c>
      <c r="J794" s="14">
        <v>42378.461863425924</v>
      </c>
      <c r="K794">
        <v>11.59</v>
      </c>
      <c r="L794" s="5">
        <f>('[1]Pizza Sales Calculations'!$J794-'[1]Pizza Sales Calculations'!$C794)*24*60</f>
        <v>21.799999993527308</v>
      </c>
      <c r="M794">
        <f>COUNTA('[1]Pizza Sales Calculations'!$D794:$F794)</f>
        <v>1</v>
      </c>
      <c r="N794">
        <f>IFERROR(VLOOKUP(D794,[1]Parameters!$A$3:$C$5,3,FALSE),0)</f>
        <v>1.7</v>
      </c>
      <c r="O794">
        <f>IFERROR(VLOOKUP(E794,[1]Parameters!$A$3:$C$5,3,FALSE),0)</f>
        <v>0</v>
      </c>
      <c r="P794">
        <f>IFERROR(VLOOKUP(F794,[1]Parameters!$A$3:$C$5,3,FALSE),0)</f>
        <v>0</v>
      </c>
      <c r="Q794">
        <f t="shared" si="12"/>
        <v>1.7</v>
      </c>
      <c r="R794" s="10">
        <f>IF('[1]Pizza Sales Calculations'!$G794=TRUE, [1]Parameters!$B$17*'[1]Pizza Sales Calculations'!$L794*2, 0)</f>
        <v>6.1766666648327373</v>
      </c>
      <c r="S794" t="str">
        <f>IF(I794&lt;[1]Parameters!$B$21,"TRUE","FALSE")</f>
        <v>FALSE</v>
      </c>
      <c r="T794" s="5">
        <f>(I794/[1]Parameters!$B$25)*60</f>
        <v>8.7232243768451205</v>
      </c>
      <c r="U794" s="10">
        <f>IF(AND('[1]Pizza Sales Calculations'!G794=TRUE,'[1]Pizza Sales Calculations'!S794="TRUE"),T794*[1]Parameters!$B$40*2,0)</f>
        <v>0</v>
      </c>
      <c r="V794">
        <f>INDEX([1]Parameters!$A$3:$C$5,MATCH('[1]Pizza Sales Calculations'!D794,[1]Parameters!$A$3:$A$5,0),2)</f>
        <v>10</v>
      </c>
      <c r="W794" t="e">
        <f>INDEX([1]Parameters!$A$3:$C$5,MATCH('[1]Pizza Sales Calculations'!E794,[1]Parameters!$A$3:$A$5,0),2)</f>
        <v>#N/A</v>
      </c>
      <c r="X794" t="e">
        <f>INDEX([1]Parameters!$A$3:$C$5,MATCH('[1]Pizza Sales Calculations'!F794,[1]Parameters!$A$3:$A$5,0),2)</f>
        <v>#N/A</v>
      </c>
    </row>
    <row r="795" spans="1:24" x14ac:dyDescent="0.3">
      <c r="A795">
        <v>794</v>
      </c>
      <c r="B795" s="14">
        <v>42378.531747685185</v>
      </c>
      <c r="C795" s="14">
        <v>42378.542141203703</v>
      </c>
      <c r="D795" t="s">
        <v>5</v>
      </c>
      <c r="G795" t="b">
        <v>1</v>
      </c>
      <c r="H795">
        <v>70807</v>
      </c>
      <c r="I795" s="5">
        <v>2.7870530337550101</v>
      </c>
      <c r="J795" s="14">
        <v>42378.551817129628</v>
      </c>
      <c r="K795">
        <v>15.35</v>
      </c>
      <c r="L795" s="5">
        <f>('[1]Pizza Sales Calculations'!$J795-'[1]Pizza Sales Calculations'!$C795)*24*60</f>
        <v>13.933333331951872</v>
      </c>
      <c r="M795">
        <f>COUNTA('[1]Pizza Sales Calculations'!$D795:$F795)</f>
        <v>1</v>
      </c>
      <c r="N795">
        <f>IFERROR(VLOOKUP(D795,[1]Parameters!$A$3:$C$5,3,FALSE),0)</f>
        <v>2.2999999999999998</v>
      </c>
      <c r="O795">
        <f>IFERROR(VLOOKUP(E795,[1]Parameters!$A$3:$C$5,3,FALSE),0)</f>
        <v>0</v>
      </c>
      <c r="P795">
        <f>IFERROR(VLOOKUP(F795,[1]Parameters!$A$3:$C$5,3,FALSE),0)</f>
        <v>0</v>
      </c>
      <c r="Q795">
        <f t="shared" si="12"/>
        <v>2.2999999999999998</v>
      </c>
      <c r="R795" s="10">
        <f>IF('[1]Pizza Sales Calculations'!$G795=TRUE, [1]Parameters!$B$17*'[1]Pizza Sales Calculations'!$L795*2, 0)</f>
        <v>3.9477777773863636</v>
      </c>
      <c r="S795" t="str">
        <f>IF(I795&lt;[1]Parameters!$B$21,"TRUE","FALSE")</f>
        <v>TRUE</v>
      </c>
      <c r="T795" s="5">
        <f>(I795/[1]Parameters!$B$25)*60</f>
        <v>5.5741060675100202</v>
      </c>
      <c r="U795" s="10">
        <f>IF(AND('[1]Pizza Sales Calculations'!G795=TRUE,'[1]Pizza Sales Calculations'!S795="TRUE"),T795*[1]Parameters!$B$40*2,0)</f>
        <v>0.34795035008426961</v>
      </c>
      <c r="V795">
        <f>INDEX([1]Parameters!$A$3:$C$5,MATCH('[1]Pizza Sales Calculations'!D795,[1]Parameters!$A$3:$A$5,0),2)</f>
        <v>14</v>
      </c>
      <c r="W795" t="e">
        <f>INDEX([1]Parameters!$A$3:$C$5,MATCH('[1]Pizza Sales Calculations'!E795,[1]Parameters!$A$3:$A$5,0),2)</f>
        <v>#N/A</v>
      </c>
      <c r="X795" t="e">
        <f>INDEX([1]Parameters!$A$3:$C$5,MATCH('[1]Pizza Sales Calculations'!F795,[1]Parameters!$A$3:$A$5,0),2)</f>
        <v>#N/A</v>
      </c>
    </row>
    <row r="796" spans="1:24" x14ac:dyDescent="0.3">
      <c r="A796">
        <v>795</v>
      </c>
      <c r="B796" s="14">
        <v>42378.526435185187</v>
      </c>
      <c r="C796" s="14">
        <v>42378.536863425928</v>
      </c>
      <c r="D796" t="s">
        <v>4</v>
      </c>
      <c r="G796" t="b">
        <v>0</v>
      </c>
      <c r="H796">
        <v>70805</v>
      </c>
      <c r="I796" s="5">
        <v>0</v>
      </c>
      <c r="J796" s="14">
        <v>42378.538912037038</v>
      </c>
      <c r="K796">
        <v>11.59</v>
      </c>
      <c r="L796" s="5">
        <f>('[1]Pizza Sales Calculations'!$J796-'[1]Pizza Sales Calculations'!$C796)*24*60</f>
        <v>2.9499999980907887</v>
      </c>
      <c r="M796">
        <f>COUNTA('[1]Pizza Sales Calculations'!$D796:$F796)</f>
        <v>1</v>
      </c>
      <c r="N796">
        <f>IFERROR(VLOOKUP(D796,[1]Parameters!$A$3:$C$5,3,FALSE),0)</f>
        <v>1.7</v>
      </c>
      <c r="O796">
        <f>IFERROR(VLOOKUP(E796,[1]Parameters!$A$3:$C$5,3,FALSE),0)</f>
        <v>0</v>
      </c>
      <c r="P796">
        <f>IFERROR(VLOOKUP(F796,[1]Parameters!$A$3:$C$5,3,FALSE),0)</f>
        <v>0</v>
      </c>
      <c r="Q796">
        <f t="shared" si="12"/>
        <v>1.7</v>
      </c>
      <c r="R796" s="10">
        <f>IF('[1]Pizza Sales Calculations'!$G796=TRUE, [1]Parameters!$B$17*'[1]Pizza Sales Calculations'!$L796*2, 0)</f>
        <v>0</v>
      </c>
      <c r="S796" t="str">
        <f>IF(I796&lt;[1]Parameters!$B$21,"TRUE","FALSE")</f>
        <v>TRUE</v>
      </c>
      <c r="T796" s="5">
        <f>(I796/[1]Parameters!$B$25)*60</f>
        <v>0</v>
      </c>
      <c r="U796" s="10">
        <f>IF(AND('[1]Pizza Sales Calculations'!G796=TRUE,'[1]Pizza Sales Calculations'!S796="TRUE"),T796*[1]Parameters!$B$40*2,0)</f>
        <v>0</v>
      </c>
      <c r="V796">
        <f>INDEX([1]Parameters!$A$3:$C$5,MATCH('[1]Pizza Sales Calculations'!D796,[1]Parameters!$A$3:$A$5,0),2)</f>
        <v>10</v>
      </c>
      <c r="W796" t="e">
        <f>INDEX([1]Parameters!$A$3:$C$5,MATCH('[1]Pizza Sales Calculations'!E796,[1]Parameters!$A$3:$A$5,0),2)</f>
        <v>#N/A</v>
      </c>
      <c r="X796" t="e">
        <f>INDEX([1]Parameters!$A$3:$C$5,MATCH('[1]Pizza Sales Calculations'!F796,[1]Parameters!$A$3:$A$5,0),2)</f>
        <v>#N/A</v>
      </c>
    </row>
    <row r="797" spans="1:24" x14ac:dyDescent="0.3">
      <c r="A797">
        <v>796</v>
      </c>
      <c r="B797" s="14">
        <v>42378.510787037034</v>
      </c>
      <c r="C797" s="14">
        <v>42378.521192129629</v>
      </c>
      <c r="D797" t="s">
        <v>5</v>
      </c>
      <c r="G797" t="b">
        <v>1</v>
      </c>
      <c r="H797">
        <v>70804</v>
      </c>
      <c r="I797" s="5">
        <v>2.1820985834574702</v>
      </c>
      <c r="J797" s="14">
        <v>42378.528761574074</v>
      </c>
      <c r="K797">
        <v>15.35</v>
      </c>
      <c r="L797" s="5">
        <f>('[1]Pizza Sales Calculations'!$J797-'[1]Pizza Sales Calculations'!$C797)*24*60</f>
        <v>10.900000002002344</v>
      </c>
      <c r="M797">
        <f>COUNTA('[1]Pizza Sales Calculations'!$D797:$F797)</f>
        <v>1</v>
      </c>
      <c r="N797">
        <f>IFERROR(VLOOKUP(D797,[1]Parameters!$A$3:$C$5,3,FALSE),0)</f>
        <v>2.2999999999999998</v>
      </c>
      <c r="O797">
        <f>IFERROR(VLOOKUP(E797,[1]Parameters!$A$3:$C$5,3,FALSE),0)</f>
        <v>0</v>
      </c>
      <c r="P797">
        <f>IFERROR(VLOOKUP(F797,[1]Parameters!$A$3:$C$5,3,FALSE),0)</f>
        <v>0</v>
      </c>
      <c r="Q797">
        <f t="shared" si="12"/>
        <v>2.2999999999999998</v>
      </c>
      <c r="R797" s="10">
        <f>IF('[1]Pizza Sales Calculations'!$G797=TRUE, [1]Parameters!$B$17*'[1]Pizza Sales Calculations'!$L797*2, 0)</f>
        <v>3.088333333900664</v>
      </c>
      <c r="S797" t="str">
        <f>IF(I797&lt;[1]Parameters!$B$21,"TRUE","FALSE")</f>
        <v>TRUE</v>
      </c>
      <c r="T797" s="5">
        <f>(I797/[1]Parameters!$B$25)*60</f>
        <v>4.3641971669149404</v>
      </c>
      <c r="U797" s="10">
        <f>IF(AND('[1]Pizza Sales Calculations'!G797=TRUE,'[1]Pizza Sales Calculations'!S797="TRUE"),T797*[1]Parameters!$B$40*2,0)</f>
        <v>0.27242465673839661</v>
      </c>
      <c r="V797">
        <f>INDEX([1]Parameters!$A$3:$C$5,MATCH('[1]Pizza Sales Calculations'!D797,[1]Parameters!$A$3:$A$5,0),2)</f>
        <v>14</v>
      </c>
      <c r="W797" t="e">
        <f>INDEX([1]Parameters!$A$3:$C$5,MATCH('[1]Pizza Sales Calculations'!E797,[1]Parameters!$A$3:$A$5,0),2)</f>
        <v>#N/A</v>
      </c>
      <c r="X797" t="e">
        <f>INDEX([1]Parameters!$A$3:$C$5,MATCH('[1]Pizza Sales Calculations'!F797,[1]Parameters!$A$3:$A$5,0),2)</f>
        <v>#N/A</v>
      </c>
    </row>
    <row r="798" spans="1:24" x14ac:dyDescent="0.3">
      <c r="A798">
        <v>797</v>
      </c>
      <c r="B798" s="14">
        <v>42378.479849537034</v>
      </c>
      <c r="C798" s="14">
        <v>42378.490254629629</v>
      </c>
      <c r="D798" t="s">
        <v>5</v>
      </c>
      <c r="G798" t="b">
        <v>0</v>
      </c>
      <c r="H798">
        <v>70805</v>
      </c>
      <c r="I798" s="5">
        <v>0</v>
      </c>
      <c r="J798" s="14">
        <v>42378.492326388892</v>
      </c>
      <c r="K798">
        <v>15.35</v>
      </c>
      <c r="L798" s="5">
        <f>('[1]Pizza Sales Calculations'!$J798-'[1]Pizza Sales Calculations'!$C798)*24*60</f>
        <v>2.9833333392161876</v>
      </c>
      <c r="M798">
        <f>COUNTA('[1]Pizza Sales Calculations'!$D798:$F798)</f>
        <v>1</v>
      </c>
      <c r="N798">
        <f>IFERROR(VLOOKUP(D798,[1]Parameters!$A$3:$C$5,3,FALSE),0)</f>
        <v>2.2999999999999998</v>
      </c>
      <c r="O798">
        <f>IFERROR(VLOOKUP(E798,[1]Parameters!$A$3:$C$5,3,FALSE),0)</f>
        <v>0</v>
      </c>
      <c r="P798">
        <f>IFERROR(VLOOKUP(F798,[1]Parameters!$A$3:$C$5,3,FALSE),0)</f>
        <v>0</v>
      </c>
      <c r="Q798">
        <f t="shared" si="12"/>
        <v>2.2999999999999998</v>
      </c>
      <c r="R798" s="10">
        <f>IF('[1]Pizza Sales Calculations'!$G798=TRUE, [1]Parameters!$B$17*'[1]Pizza Sales Calculations'!$L798*2, 0)</f>
        <v>0</v>
      </c>
      <c r="S798" t="str">
        <f>IF(I798&lt;[1]Parameters!$B$21,"TRUE","FALSE")</f>
        <v>TRUE</v>
      </c>
      <c r="T798" s="5">
        <f>(I798/[1]Parameters!$B$25)*60</f>
        <v>0</v>
      </c>
      <c r="U798" s="10">
        <f>IF(AND('[1]Pizza Sales Calculations'!G798=TRUE,'[1]Pizza Sales Calculations'!S798="TRUE"),T798*[1]Parameters!$B$40*2,0)</f>
        <v>0</v>
      </c>
      <c r="V798">
        <f>INDEX([1]Parameters!$A$3:$C$5,MATCH('[1]Pizza Sales Calculations'!D798,[1]Parameters!$A$3:$A$5,0),2)</f>
        <v>14</v>
      </c>
      <c r="W798" t="e">
        <f>INDEX([1]Parameters!$A$3:$C$5,MATCH('[1]Pizza Sales Calculations'!E798,[1]Parameters!$A$3:$A$5,0),2)</f>
        <v>#N/A</v>
      </c>
      <c r="X798" t="e">
        <f>INDEX([1]Parameters!$A$3:$C$5,MATCH('[1]Pizza Sales Calculations'!F798,[1]Parameters!$A$3:$A$5,0),2)</f>
        <v>#N/A</v>
      </c>
    </row>
    <row r="799" spans="1:24" x14ac:dyDescent="0.3">
      <c r="A799">
        <v>798</v>
      </c>
      <c r="B799" s="14">
        <v>42378.448125000003</v>
      </c>
      <c r="C799" s="14">
        <v>42378.45853009259</v>
      </c>
      <c r="D799" t="s">
        <v>3</v>
      </c>
      <c r="G799" t="b">
        <v>0</v>
      </c>
      <c r="H799">
        <v>70803</v>
      </c>
      <c r="I799" s="5">
        <v>0</v>
      </c>
      <c r="J799" s="14">
        <v>42378.460613425923</v>
      </c>
      <c r="K799">
        <v>7.99</v>
      </c>
      <c r="L799" s="5">
        <f>('[1]Pizza Sales Calculations'!$J799-'[1]Pizza Sales Calculations'!$C799)*24*60</f>
        <v>2.9999999993015081</v>
      </c>
      <c r="M799">
        <f>COUNTA('[1]Pizza Sales Calculations'!$D799:$F799)</f>
        <v>1</v>
      </c>
      <c r="N799">
        <f>IFERROR(VLOOKUP(D799,[1]Parameters!$A$3:$C$5,3,FALSE),0)</f>
        <v>1</v>
      </c>
      <c r="O799">
        <f>IFERROR(VLOOKUP(E799,[1]Parameters!$A$3:$C$5,3,FALSE),0)</f>
        <v>0</v>
      </c>
      <c r="P799">
        <f>IFERROR(VLOOKUP(F799,[1]Parameters!$A$3:$C$5,3,FALSE),0)</f>
        <v>0</v>
      </c>
      <c r="Q799">
        <f t="shared" si="12"/>
        <v>1</v>
      </c>
      <c r="R799" s="10">
        <f>IF('[1]Pizza Sales Calculations'!$G799=TRUE, [1]Parameters!$B$17*'[1]Pizza Sales Calculations'!$L799*2, 0)</f>
        <v>0</v>
      </c>
      <c r="S799" t="str">
        <f>IF(I799&lt;[1]Parameters!$B$21,"TRUE","FALSE")</f>
        <v>TRUE</v>
      </c>
      <c r="T799" s="5">
        <f>(I799/[1]Parameters!$B$25)*60</f>
        <v>0</v>
      </c>
      <c r="U799" s="10">
        <f>IF(AND('[1]Pizza Sales Calculations'!G799=TRUE,'[1]Pizza Sales Calculations'!S799="TRUE"),T799*[1]Parameters!$B$40*2,0)</f>
        <v>0</v>
      </c>
      <c r="V799">
        <f>INDEX([1]Parameters!$A$3:$C$5,MATCH('[1]Pizza Sales Calculations'!D799,[1]Parameters!$A$3:$A$5,0),2)</f>
        <v>7</v>
      </c>
      <c r="W799" t="e">
        <f>INDEX([1]Parameters!$A$3:$C$5,MATCH('[1]Pizza Sales Calculations'!E799,[1]Parameters!$A$3:$A$5,0),2)</f>
        <v>#N/A</v>
      </c>
      <c r="X799" t="e">
        <f>INDEX([1]Parameters!$A$3:$C$5,MATCH('[1]Pizza Sales Calculations'!F799,[1]Parameters!$A$3:$A$5,0),2)</f>
        <v>#N/A</v>
      </c>
    </row>
    <row r="800" spans="1:24" x14ac:dyDescent="0.3">
      <c r="A800">
        <v>799</v>
      </c>
      <c r="B800" s="14">
        <v>42378.495162037034</v>
      </c>
      <c r="C800" s="14">
        <v>42378.505555555559</v>
      </c>
      <c r="D800" t="s">
        <v>3</v>
      </c>
      <c r="G800" t="b">
        <v>1</v>
      </c>
      <c r="H800">
        <v>70803</v>
      </c>
      <c r="I800" s="5">
        <v>3.1335743376275</v>
      </c>
      <c r="J800" s="14">
        <v>42378.516435185185</v>
      </c>
      <c r="K800">
        <v>7.99</v>
      </c>
      <c r="L800" s="5">
        <f>('[1]Pizza Sales Calculations'!$J800-'[1]Pizza Sales Calculations'!$C800)*24*60</f>
        <v>15.666666661854833</v>
      </c>
      <c r="M800">
        <f>COUNTA('[1]Pizza Sales Calculations'!$D800:$F800)</f>
        <v>1</v>
      </c>
      <c r="N800">
        <f>IFERROR(VLOOKUP(D800,[1]Parameters!$A$3:$C$5,3,FALSE),0)</f>
        <v>1</v>
      </c>
      <c r="O800">
        <f>IFERROR(VLOOKUP(E800,[1]Parameters!$A$3:$C$5,3,FALSE),0)</f>
        <v>0</v>
      </c>
      <c r="P800">
        <f>IFERROR(VLOOKUP(F800,[1]Parameters!$A$3:$C$5,3,FALSE),0)</f>
        <v>0</v>
      </c>
      <c r="Q800">
        <f t="shared" si="12"/>
        <v>1</v>
      </c>
      <c r="R800" s="10">
        <f>IF('[1]Pizza Sales Calculations'!$G800=TRUE, [1]Parameters!$B$17*'[1]Pizza Sales Calculations'!$L800*2, 0)</f>
        <v>4.4388888875255361</v>
      </c>
      <c r="S800" t="str">
        <f>IF(I800&lt;[1]Parameters!$B$21,"TRUE","FALSE")</f>
        <v>TRUE</v>
      </c>
      <c r="T800" s="5">
        <f>(I800/[1]Parameters!$B$25)*60</f>
        <v>6.2671486752550001</v>
      </c>
      <c r="U800" s="10">
        <f>IF(AND('[1]Pizza Sales Calculations'!G800=TRUE,'[1]Pizza Sales Calculations'!S800="TRUE"),T800*[1]Parameters!$B$40*2,0)</f>
        <v>0.3912118910502278</v>
      </c>
      <c r="V800">
        <f>INDEX([1]Parameters!$A$3:$C$5,MATCH('[1]Pizza Sales Calculations'!D800,[1]Parameters!$A$3:$A$5,0),2)</f>
        <v>7</v>
      </c>
      <c r="W800" t="e">
        <f>INDEX([1]Parameters!$A$3:$C$5,MATCH('[1]Pizza Sales Calculations'!E800,[1]Parameters!$A$3:$A$5,0),2)</f>
        <v>#N/A</v>
      </c>
      <c r="X800" t="e">
        <f>INDEX([1]Parameters!$A$3:$C$5,MATCH('[1]Pizza Sales Calculations'!F800,[1]Parameters!$A$3:$A$5,0),2)</f>
        <v>#N/A</v>
      </c>
    </row>
    <row r="801" spans="1:24" x14ac:dyDescent="0.3">
      <c r="A801">
        <v>800</v>
      </c>
      <c r="B801" s="14">
        <v>42378.496377314812</v>
      </c>
      <c r="C801" s="14">
        <v>42378.506782407407</v>
      </c>
      <c r="D801" t="s">
        <v>5</v>
      </c>
      <c r="G801" t="b">
        <v>0</v>
      </c>
      <c r="H801">
        <v>70807</v>
      </c>
      <c r="I801" s="5">
        <v>0</v>
      </c>
      <c r="J801" s="14">
        <v>42378.508842592593</v>
      </c>
      <c r="K801">
        <v>15.35</v>
      </c>
      <c r="L801" s="5">
        <f>('[1]Pizza Sales Calculations'!$J801-'[1]Pizza Sales Calculations'!$C801)*24*60</f>
        <v>2.9666666686534882</v>
      </c>
      <c r="M801">
        <f>COUNTA('[1]Pizza Sales Calculations'!$D801:$F801)</f>
        <v>1</v>
      </c>
      <c r="N801">
        <f>IFERROR(VLOOKUP(D801,[1]Parameters!$A$3:$C$5,3,FALSE),0)</f>
        <v>2.2999999999999998</v>
      </c>
      <c r="O801">
        <f>IFERROR(VLOOKUP(E801,[1]Parameters!$A$3:$C$5,3,FALSE),0)</f>
        <v>0</v>
      </c>
      <c r="P801">
        <f>IFERROR(VLOOKUP(F801,[1]Parameters!$A$3:$C$5,3,FALSE),0)</f>
        <v>0</v>
      </c>
      <c r="Q801">
        <f t="shared" si="12"/>
        <v>2.2999999999999998</v>
      </c>
      <c r="R801" s="10">
        <f>IF('[1]Pizza Sales Calculations'!$G801=TRUE, [1]Parameters!$B$17*'[1]Pizza Sales Calculations'!$L801*2, 0)</f>
        <v>0</v>
      </c>
      <c r="S801" t="str">
        <f>IF(I801&lt;[1]Parameters!$B$21,"TRUE","FALSE")</f>
        <v>TRUE</v>
      </c>
      <c r="T801" s="5">
        <f>(I801/[1]Parameters!$B$25)*60</f>
        <v>0</v>
      </c>
      <c r="U801" s="10">
        <f>IF(AND('[1]Pizza Sales Calculations'!G801=TRUE,'[1]Pizza Sales Calculations'!S801="TRUE"),T801*[1]Parameters!$B$40*2,0)</f>
        <v>0</v>
      </c>
      <c r="V801">
        <f>INDEX([1]Parameters!$A$3:$C$5,MATCH('[1]Pizza Sales Calculations'!D801,[1]Parameters!$A$3:$A$5,0),2)</f>
        <v>14</v>
      </c>
      <c r="W801" t="e">
        <f>INDEX([1]Parameters!$A$3:$C$5,MATCH('[1]Pizza Sales Calculations'!E801,[1]Parameters!$A$3:$A$5,0),2)</f>
        <v>#N/A</v>
      </c>
      <c r="X801" t="e">
        <f>INDEX([1]Parameters!$A$3:$C$5,MATCH('[1]Pizza Sales Calculations'!F801,[1]Parameters!$A$3:$A$5,0),2)</f>
        <v>#N/A</v>
      </c>
    </row>
    <row r="802" spans="1:24" x14ac:dyDescent="0.3">
      <c r="A802">
        <v>801</v>
      </c>
      <c r="B802" s="14">
        <v>42378.455127314817</v>
      </c>
      <c r="C802" s="14">
        <v>42378.465543981481</v>
      </c>
      <c r="D802" t="s">
        <v>4</v>
      </c>
      <c r="G802" t="b">
        <v>0</v>
      </c>
      <c r="H802">
        <v>70804</v>
      </c>
      <c r="I802" s="5">
        <v>0</v>
      </c>
      <c r="J802" s="14">
        <v>42378.467638888891</v>
      </c>
      <c r="K802">
        <v>11.59</v>
      </c>
      <c r="L802" s="5">
        <f>('[1]Pizza Sales Calculations'!$J802-'[1]Pizza Sales Calculations'!$C802)*24*60</f>
        <v>3.0166666698642075</v>
      </c>
      <c r="M802">
        <f>COUNTA('[1]Pizza Sales Calculations'!$D802:$F802)</f>
        <v>1</v>
      </c>
      <c r="N802">
        <f>IFERROR(VLOOKUP(D802,[1]Parameters!$A$3:$C$5,3,FALSE),0)</f>
        <v>1.7</v>
      </c>
      <c r="O802">
        <f>IFERROR(VLOOKUP(E802,[1]Parameters!$A$3:$C$5,3,FALSE),0)</f>
        <v>0</v>
      </c>
      <c r="P802">
        <f>IFERROR(VLOOKUP(F802,[1]Parameters!$A$3:$C$5,3,FALSE),0)</f>
        <v>0</v>
      </c>
      <c r="Q802">
        <f t="shared" si="12"/>
        <v>1.7</v>
      </c>
      <c r="R802" s="10">
        <f>IF('[1]Pizza Sales Calculations'!$G802=TRUE, [1]Parameters!$B$17*'[1]Pizza Sales Calculations'!$L802*2, 0)</f>
        <v>0</v>
      </c>
      <c r="S802" t="str">
        <f>IF(I802&lt;[1]Parameters!$B$21,"TRUE","FALSE")</f>
        <v>TRUE</v>
      </c>
      <c r="T802" s="5">
        <f>(I802/[1]Parameters!$B$25)*60</f>
        <v>0</v>
      </c>
      <c r="U802" s="10">
        <f>IF(AND('[1]Pizza Sales Calculations'!G802=TRUE,'[1]Pizza Sales Calculations'!S802="TRUE"),T802*[1]Parameters!$B$40*2,0)</f>
        <v>0</v>
      </c>
      <c r="V802">
        <f>INDEX([1]Parameters!$A$3:$C$5,MATCH('[1]Pizza Sales Calculations'!D802,[1]Parameters!$A$3:$A$5,0),2)</f>
        <v>10</v>
      </c>
      <c r="W802" t="e">
        <f>INDEX([1]Parameters!$A$3:$C$5,MATCH('[1]Pizza Sales Calculations'!E802,[1]Parameters!$A$3:$A$5,0),2)</f>
        <v>#N/A</v>
      </c>
      <c r="X802" t="e">
        <f>INDEX([1]Parameters!$A$3:$C$5,MATCH('[1]Pizza Sales Calculations'!F802,[1]Parameters!$A$3:$A$5,0),2)</f>
        <v>#N/A</v>
      </c>
    </row>
    <row r="803" spans="1:24" x14ac:dyDescent="0.3">
      <c r="A803">
        <v>802</v>
      </c>
      <c r="B803" s="14">
        <v>42378.523518518516</v>
      </c>
      <c r="C803" s="14">
        <v>42378.53392361111</v>
      </c>
      <c r="D803" t="s">
        <v>5</v>
      </c>
      <c r="G803" t="b">
        <v>0</v>
      </c>
      <c r="H803">
        <v>70805</v>
      </c>
      <c r="I803" s="5">
        <v>0</v>
      </c>
      <c r="J803" s="14">
        <v>42378.535995370374</v>
      </c>
      <c r="K803">
        <v>15.35</v>
      </c>
      <c r="L803" s="5">
        <f>('[1]Pizza Sales Calculations'!$J803-'[1]Pizza Sales Calculations'!$C803)*24*60</f>
        <v>2.9833333392161876</v>
      </c>
      <c r="M803">
        <f>COUNTA('[1]Pizza Sales Calculations'!$D803:$F803)</f>
        <v>1</v>
      </c>
      <c r="N803">
        <f>IFERROR(VLOOKUP(D803,[1]Parameters!$A$3:$C$5,3,FALSE),0)</f>
        <v>2.2999999999999998</v>
      </c>
      <c r="O803">
        <f>IFERROR(VLOOKUP(E803,[1]Parameters!$A$3:$C$5,3,FALSE),0)</f>
        <v>0</v>
      </c>
      <c r="P803">
        <f>IFERROR(VLOOKUP(F803,[1]Parameters!$A$3:$C$5,3,FALSE),0)</f>
        <v>0</v>
      </c>
      <c r="Q803">
        <f t="shared" si="12"/>
        <v>2.2999999999999998</v>
      </c>
      <c r="R803" s="10">
        <f>IF('[1]Pizza Sales Calculations'!$G803=TRUE, [1]Parameters!$B$17*'[1]Pizza Sales Calculations'!$L803*2, 0)</f>
        <v>0</v>
      </c>
      <c r="S803" t="str">
        <f>IF(I803&lt;[1]Parameters!$B$21,"TRUE","FALSE")</f>
        <v>TRUE</v>
      </c>
      <c r="T803" s="5">
        <f>(I803/[1]Parameters!$B$25)*60</f>
        <v>0</v>
      </c>
      <c r="U803" s="10">
        <f>IF(AND('[1]Pizza Sales Calculations'!G803=TRUE,'[1]Pizza Sales Calculations'!S803="TRUE"),T803*[1]Parameters!$B$40*2,0)</f>
        <v>0</v>
      </c>
      <c r="V803">
        <f>INDEX([1]Parameters!$A$3:$C$5,MATCH('[1]Pizza Sales Calculations'!D803,[1]Parameters!$A$3:$A$5,0),2)</f>
        <v>14</v>
      </c>
      <c r="W803" t="e">
        <f>INDEX([1]Parameters!$A$3:$C$5,MATCH('[1]Pizza Sales Calculations'!E803,[1]Parameters!$A$3:$A$5,0),2)</f>
        <v>#N/A</v>
      </c>
      <c r="X803" t="e">
        <f>INDEX([1]Parameters!$A$3:$C$5,MATCH('[1]Pizza Sales Calculations'!F803,[1]Parameters!$A$3:$A$5,0),2)</f>
        <v>#N/A</v>
      </c>
    </row>
    <row r="804" spans="1:24" x14ac:dyDescent="0.3">
      <c r="A804">
        <v>803</v>
      </c>
      <c r="B804" s="14">
        <v>42378.486076388886</v>
      </c>
      <c r="C804" s="14">
        <v>42378.496481481481</v>
      </c>
      <c r="D804" t="s">
        <v>5</v>
      </c>
      <c r="G804" t="b">
        <v>0</v>
      </c>
      <c r="H804">
        <v>70805</v>
      </c>
      <c r="I804" s="5">
        <v>0</v>
      </c>
      <c r="J804" s="14">
        <v>42378.498576388891</v>
      </c>
      <c r="K804">
        <v>15.35</v>
      </c>
      <c r="L804" s="5">
        <f>('[1]Pizza Sales Calculations'!$J804-'[1]Pizza Sales Calculations'!$C804)*24*60</f>
        <v>3.0166666698642075</v>
      </c>
      <c r="M804">
        <f>COUNTA('[1]Pizza Sales Calculations'!$D804:$F804)</f>
        <v>1</v>
      </c>
      <c r="N804">
        <f>IFERROR(VLOOKUP(D804,[1]Parameters!$A$3:$C$5,3,FALSE),0)</f>
        <v>2.2999999999999998</v>
      </c>
      <c r="O804">
        <f>IFERROR(VLOOKUP(E804,[1]Parameters!$A$3:$C$5,3,FALSE),0)</f>
        <v>0</v>
      </c>
      <c r="P804">
        <f>IFERROR(VLOOKUP(F804,[1]Parameters!$A$3:$C$5,3,FALSE),0)</f>
        <v>0</v>
      </c>
      <c r="Q804">
        <f t="shared" si="12"/>
        <v>2.2999999999999998</v>
      </c>
      <c r="R804" s="10">
        <f>IF('[1]Pizza Sales Calculations'!$G804=TRUE, [1]Parameters!$B$17*'[1]Pizza Sales Calculations'!$L804*2, 0)</f>
        <v>0</v>
      </c>
      <c r="S804" t="str">
        <f>IF(I804&lt;[1]Parameters!$B$21,"TRUE","FALSE")</f>
        <v>TRUE</v>
      </c>
      <c r="T804" s="5">
        <f>(I804/[1]Parameters!$B$25)*60</f>
        <v>0</v>
      </c>
      <c r="U804" s="10">
        <f>IF(AND('[1]Pizza Sales Calculations'!G804=TRUE,'[1]Pizza Sales Calculations'!S804="TRUE"),T804*[1]Parameters!$B$40*2,0)</f>
        <v>0</v>
      </c>
      <c r="V804">
        <f>INDEX([1]Parameters!$A$3:$C$5,MATCH('[1]Pizza Sales Calculations'!D804,[1]Parameters!$A$3:$A$5,0),2)</f>
        <v>14</v>
      </c>
      <c r="W804" t="e">
        <f>INDEX([1]Parameters!$A$3:$C$5,MATCH('[1]Pizza Sales Calculations'!E804,[1]Parameters!$A$3:$A$5,0),2)</f>
        <v>#N/A</v>
      </c>
      <c r="X804" t="e">
        <f>INDEX([1]Parameters!$A$3:$C$5,MATCH('[1]Pizza Sales Calculations'!F804,[1]Parameters!$A$3:$A$5,0),2)</f>
        <v>#N/A</v>
      </c>
    </row>
    <row r="805" spans="1:24" x14ac:dyDescent="0.3">
      <c r="A805">
        <v>804</v>
      </c>
      <c r="B805" s="14">
        <v>42378.444745370369</v>
      </c>
      <c r="C805" s="14">
        <v>42378.45516203704</v>
      </c>
      <c r="D805" t="s">
        <v>3</v>
      </c>
      <c r="G805" t="b">
        <v>0</v>
      </c>
      <c r="H805">
        <v>70805</v>
      </c>
      <c r="I805" s="5">
        <v>0</v>
      </c>
      <c r="J805" s="14">
        <v>42378.457256944443</v>
      </c>
      <c r="K805">
        <v>7.99</v>
      </c>
      <c r="L805" s="5">
        <f>('[1]Pizza Sales Calculations'!$J805-'[1]Pizza Sales Calculations'!$C805)*24*60</f>
        <v>3.0166666593868285</v>
      </c>
      <c r="M805">
        <f>COUNTA('[1]Pizza Sales Calculations'!$D805:$F805)</f>
        <v>1</v>
      </c>
      <c r="N805">
        <f>IFERROR(VLOOKUP(D805,[1]Parameters!$A$3:$C$5,3,FALSE),0)</f>
        <v>1</v>
      </c>
      <c r="O805">
        <f>IFERROR(VLOOKUP(E805,[1]Parameters!$A$3:$C$5,3,FALSE),0)</f>
        <v>0</v>
      </c>
      <c r="P805">
        <f>IFERROR(VLOOKUP(F805,[1]Parameters!$A$3:$C$5,3,FALSE),0)</f>
        <v>0</v>
      </c>
      <c r="Q805">
        <f t="shared" si="12"/>
        <v>1</v>
      </c>
      <c r="R805" s="10">
        <f>IF('[1]Pizza Sales Calculations'!$G805=TRUE, [1]Parameters!$B$17*'[1]Pizza Sales Calculations'!$L805*2, 0)</f>
        <v>0</v>
      </c>
      <c r="S805" t="str">
        <f>IF(I805&lt;[1]Parameters!$B$21,"TRUE","FALSE")</f>
        <v>TRUE</v>
      </c>
      <c r="T805" s="5">
        <f>(I805/[1]Parameters!$B$25)*60</f>
        <v>0</v>
      </c>
      <c r="U805" s="10">
        <f>IF(AND('[1]Pizza Sales Calculations'!G805=TRUE,'[1]Pizza Sales Calculations'!S805="TRUE"),T805*[1]Parameters!$B$40*2,0)</f>
        <v>0</v>
      </c>
      <c r="V805">
        <f>INDEX([1]Parameters!$A$3:$C$5,MATCH('[1]Pizza Sales Calculations'!D805,[1]Parameters!$A$3:$A$5,0),2)</f>
        <v>7</v>
      </c>
      <c r="W805" t="e">
        <f>INDEX([1]Parameters!$A$3:$C$5,MATCH('[1]Pizza Sales Calculations'!E805,[1]Parameters!$A$3:$A$5,0),2)</f>
        <v>#N/A</v>
      </c>
      <c r="X805" t="e">
        <f>INDEX([1]Parameters!$A$3:$C$5,MATCH('[1]Pizza Sales Calculations'!F805,[1]Parameters!$A$3:$A$5,0),2)</f>
        <v>#N/A</v>
      </c>
    </row>
    <row r="806" spans="1:24" x14ac:dyDescent="0.3">
      <c r="A806">
        <v>805</v>
      </c>
      <c r="B806" s="14">
        <v>42378.470034722224</v>
      </c>
      <c r="C806" s="14">
        <v>42378.480451388888</v>
      </c>
      <c r="D806" t="s">
        <v>5</v>
      </c>
      <c r="G806" t="b">
        <v>0</v>
      </c>
      <c r="H806">
        <v>70803</v>
      </c>
      <c r="I806" s="5">
        <v>0</v>
      </c>
      <c r="J806" s="14">
        <v>42378.482523148145</v>
      </c>
      <c r="K806">
        <v>15.35</v>
      </c>
      <c r="L806" s="5">
        <f>('[1]Pizza Sales Calculations'!$J806-'[1]Pizza Sales Calculations'!$C806)*24*60</f>
        <v>2.9833333287388086</v>
      </c>
      <c r="M806">
        <f>COUNTA('[1]Pizza Sales Calculations'!$D806:$F806)</f>
        <v>1</v>
      </c>
      <c r="N806">
        <f>IFERROR(VLOOKUP(D806,[1]Parameters!$A$3:$C$5,3,FALSE),0)</f>
        <v>2.2999999999999998</v>
      </c>
      <c r="O806">
        <f>IFERROR(VLOOKUP(E806,[1]Parameters!$A$3:$C$5,3,FALSE),0)</f>
        <v>0</v>
      </c>
      <c r="P806">
        <f>IFERROR(VLOOKUP(F806,[1]Parameters!$A$3:$C$5,3,FALSE),0)</f>
        <v>0</v>
      </c>
      <c r="Q806">
        <f t="shared" si="12"/>
        <v>2.2999999999999998</v>
      </c>
      <c r="R806" s="10">
        <f>IF('[1]Pizza Sales Calculations'!$G806=TRUE, [1]Parameters!$B$17*'[1]Pizza Sales Calculations'!$L806*2, 0)</f>
        <v>0</v>
      </c>
      <c r="S806" t="str">
        <f>IF(I806&lt;[1]Parameters!$B$21,"TRUE","FALSE")</f>
        <v>TRUE</v>
      </c>
      <c r="T806" s="5">
        <f>(I806/[1]Parameters!$B$25)*60</f>
        <v>0</v>
      </c>
      <c r="U806" s="10">
        <f>IF(AND('[1]Pizza Sales Calculations'!G806=TRUE,'[1]Pizza Sales Calculations'!S806="TRUE"),T806*[1]Parameters!$B$40*2,0)</f>
        <v>0</v>
      </c>
      <c r="V806">
        <f>INDEX([1]Parameters!$A$3:$C$5,MATCH('[1]Pizza Sales Calculations'!D806,[1]Parameters!$A$3:$A$5,0),2)</f>
        <v>14</v>
      </c>
      <c r="W806" t="e">
        <f>INDEX([1]Parameters!$A$3:$C$5,MATCH('[1]Pizza Sales Calculations'!E806,[1]Parameters!$A$3:$A$5,0),2)</f>
        <v>#N/A</v>
      </c>
      <c r="X806" t="e">
        <f>INDEX([1]Parameters!$A$3:$C$5,MATCH('[1]Pizza Sales Calculations'!F806,[1]Parameters!$A$3:$A$5,0),2)</f>
        <v>#N/A</v>
      </c>
    </row>
    <row r="807" spans="1:24" x14ac:dyDescent="0.3">
      <c r="A807">
        <v>806</v>
      </c>
      <c r="B807" s="14">
        <v>42378.485613425924</v>
      </c>
      <c r="C807" s="14">
        <v>42378.496006944442</v>
      </c>
      <c r="D807" t="s">
        <v>4</v>
      </c>
      <c r="G807" t="b">
        <v>0</v>
      </c>
      <c r="H807">
        <v>70804</v>
      </c>
      <c r="I807" s="5">
        <v>0</v>
      </c>
      <c r="J807" s="14">
        <v>42378.498055555552</v>
      </c>
      <c r="K807">
        <v>11.59</v>
      </c>
      <c r="L807" s="5">
        <f>('[1]Pizza Sales Calculations'!$J807-'[1]Pizza Sales Calculations'!$C807)*24*60</f>
        <v>2.9499999980907887</v>
      </c>
      <c r="M807">
        <f>COUNTA('[1]Pizza Sales Calculations'!$D807:$F807)</f>
        <v>1</v>
      </c>
      <c r="N807">
        <f>IFERROR(VLOOKUP(D807,[1]Parameters!$A$3:$C$5,3,FALSE),0)</f>
        <v>1.7</v>
      </c>
      <c r="O807">
        <f>IFERROR(VLOOKUP(E807,[1]Parameters!$A$3:$C$5,3,FALSE),0)</f>
        <v>0</v>
      </c>
      <c r="P807">
        <f>IFERROR(VLOOKUP(F807,[1]Parameters!$A$3:$C$5,3,FALSE),0)</f>
        <v>0</v>
      </c>
      <c r="Q807">
        <f t="shared" si="12"/>
        <v>1.7</v>
      </c>
      <c r="R807" s="10">
        <f>IF('[1]Pizza Sales Calculations'!$G807=TRUE, [1]Parameters!$B$17*'[1]Pizza Sales Calculations'!$L807*2, 0)</f>
        <v>0</v>
      </c>
      <c r="S807" t="str">
        <f>IF(I807&lt;[1]Parameters!$B$21,"TRUE","FALSE")</f>
        <v>TRUE</v>
      </c>
      <c r="T807" s="5">
        <f>(I807/[1]Parameters!$B$25)*60</f>
        <v>0</v>
      </c>
      <c r="U807" s="10">
        <f>IF(AND('[1]Pizza Sales Calculations'!G807=TRUE,'[1]Pizza Sales Calculations'!S807="TRUE"),T807*[1]Parameters!$B$40*2,0)</f>
        <v>0</v>
      </c>
      <c r="V807">
        <f>INDEX([1]Parameters!$A$3:$C$5,MATCH('[1]Pizza Sales Calculations'!D807,[1]Parameters!$A$3:$A$5,0),2)</f>
        <v>10</v>
      </c>
      <c r="W807" t="e">
        <f>INDEX([1]Parameters!$A$3:$C$5,MATCH('[1]Pizza Sales Calculations'!E807,[1]Parameters!$A$3:$A$5,0),2)</f>
        <v>#N/A</v>
      </c>
      <c r="X807" t="e">
        <f>INDEX([1]Parameters!$A$3:$C$5,MATCH('[1]Pizza Sales Calculations'!F807,[1]Parameters!$A$3:$A$5,0),2)</f>
        <v>#N/A</v>
      </c>
    </row>
    <row r="808" spans="1:24" x14ac:dyDescent="0.3">
      <c r="A808">
        <v>807</v>
      </c>
      <c r="B808" s="14">
        <v>42378.530185185184</v>
      </c>
      <c r="C808" s="14">
        <v>42378.540613425925</v>
      </c>
      <c r="D808" t="s">
        <v>5</v>
      </c>
      <c r="G808" t="b">
        <v>1</v>
      </c>
      <c r="H808">
        <v>70804</v>
      </c>
      <c r="I808" s="5">
        <v>1.6507040634634</v>
      </c>
      <c r="J808" s="14">
        <v>42378.546342592592</v>
      </c>
      <c r="K808">
        <v>15.35</v>
      </c>
      <c r="L808" s="5">
        <f>('[1]Pizza Sales Calculations'!$J808-'[1]Pizza Sales Calculations'!$C808)*24*60</f>
        <v>8.2500000006984919</v>
      </c>
      <c r="M808">
        <f>COUNTA('[1]Pizza Sales Calculations'!$D808:$F808)</f>
        <v>1</v>
      </c>
      <c r="N808">
        <f>IFERROR(VLOOKUP(D808,[1]Parameters!$A$3:$C$5,3,FALSE),0)</f>
        <v>2.2999999999999998</v>
      </c>
      <c r="O808">
        <f>IFERROR(VLOOKUP(E808,[1]Parameters!$A$3:$C$5,3,FALSE),0)</f>
        <v>0</v>
      </c>
      <c r="P808">
        <f>IFERROR(VLOOKUP(F808,[1]Parameters!$A$3:$C$5,3,FALSE),0)</f>
        <v>0</v>
      </c>
      <c r="Q808">
        <f t="shared" si="12"/>
        <v>2.2999999999999998</v>
      </c>
      <c r="R808" s="10">
        <f>IF('[1]Pizza Sales Calculations'!$G808=TRUE, [1]Parameters!$B$17*'[1]Pizza Sales Calculations'!$L808*2, 0)</f>
        <v>2.337500000197906</v>
      </c>
      <c r="S808" t="str">
        <f>IF(I808&lt;[1]Parameters!$B$21,"TRUE","FALSE")</f>
        <v>TRUE</v>
      </c>
      <c r="T808" s="5">
        <f>(I808/[1]Parameters!$B$25)*60</f>
        <v>3.3014081269268001</v>
      </c>
      <c r="U808" s="10">
        <f>IF(AND('[1]Pizza Sales Calculations'!G808=TRUE,'[1]Pizza Sales Calculations'!S808="TRUE"),T808*[1]Parameters!$B$40*2,0)</f>
        <v>0.20608257173842665</v>
      </c>
      <c r="V808">
        <f>INDEX([1]Parameters!$A$3:$C$5,MATCH('[1]Pizza Sales Calculations'!D808,[1]Parameters!$A$3:$A$5,0),2)</f>
        <v>14</v>
      </c>
      <c r="W808" t="e">
        <f>INDEX([1]Parameters!$A$3:$C$5,MATCH('[1]Pizza Sales Calculations'!E808,[1]Parameters!$A$3:$A$5,0),2)</f>
        <v>#N/A</v>
      </c>
      <c r="X808" t="e">
        <f>INDEX([1]Parameters!$A$3:$C$5,MATCH('[1]Pizza Sales Calculations'!F808,[1]Parameters!$A$3:$A$5,0),2)</f>
        <v>#N/A</v>
      </c>
    </row>
    <row r="809" spans="1:24" x14ac:dyDescent="0.3">
      <c r="A809">
        <v>808</v>
      </c>
      <c r="B809" s="14">
        <v>42378.475266203706</v>
      </c>
      <c r="C809" s="14">
        <v>42378.485671296294</v>
      </c>
      <c r="D809" t="s">
        <v>4</v>
      </c>
      <c r="G809" t="b">
        <v>0</v>
      </c>
      <c r="H809">
        <v>70804</v>
      </c>
      <c r="I809" s="5">
        <v>0</v>
      </c>
      <c r="J809" s="14">
        <v>42378.487766203703</v>
      </c>
      <c r="K809">
        <v>11.59</v>
      </c>
      <c r="L809" s="5">
        <f>('[1]Pizza Sales Calculations'!$J809-'[1]Pizza Sales Calculations'!$C809)*24*60</f>
        <v>3.0166666698642075</v>
      </c>
      <c r="M809">
        <f>COUNTA('[1]Pizza Sales Calculations'!$D809:$F809)</f>
        <v>1</v>
      </c>
      <c r="N809">
        <f>IFERROR(VLOOKUP(D809,[1]Parameters!$A$3:$C$5,3,FALSE),0)</f>
        <v>1.7</v>
      </c>
      <c r="O809">
        <f>IFERROR(VLOOKUP(E809,[1]Parameters!$A$3:$C$5,3,FALSE),0)</f>
        <v>0</v>
      </c>
      <c r="P809">
        <f>IFERROR(VLOOKUP(F809,[1]Parameters!$A$3:$C$5,3,FALSE),0)</f>
        <v>0</v>
      </c>
      <c r="Q809">
        <f t="shared" si="12"/>
        <v>1.7</v>
      </c>
      <c r="R809" s="10">
        <f>IF('[1]Pizza Sales Calculations'!$G809=TRUE, [1]Parameters!$B$17*'[1]Pizza Sales Calculations'!$L809*2, 0)</f>
        <v>0</v>
      </c>
      <c r="S809" t="str">
        <f>IF(I809&lt;[1]Parameters!$B$21,"TRUE","FALSE")</f>
        <v>TRUE</v>
      </c>
      <c r="T809" s="5">
        <f>(I809/[1]Parameters!$B$25)*60</f>
        <v>0</v>
      </c>
      <c r="U809" s="10">
        <f>IF(AND('[1]Pizza Sales Calculations'!G809=TRUE,'[1]Pizza Sales Calculations'!S809="TRUE"),T809*[1]Parameters!$B$40*2,0)</f>
        <v>0</v>
      </c>
      <c r="V809">
        <f>INDEX([1]Parameters!$A$3:$C$5,MATCH('[1]Pizza Sales Calculations'!D809,[1]Parameters!$A$3:$A$5,0),2)</f>
        <v>10</v>
      </c>
      <c r="W809" t="e">
        <f>INDEX([1]Parameters!$A$3:$C$5,MATCH('[1]Pizza Sales Calculations'!E809,[1]Parameters!$A$3:$A$5,0),2)</f>
        <v>#N/A</v>
      </c>
      <c r="X809" t="e">
        <f>INDEX([1]Parameters!$A$3:$C$5,MATCH('[1]Pizza Sales Calculations'!F809,[1]Parameters!$A$3:$A$5,0),2)</f>
        <v>#N/A</v>
      </c>
    </row>
    <row r="810" spans="1:24" x14ac:dyDescent="0.3">
      <c r="A810">
        <v>809</v>
      </c>
      <c r="B810" s="14">
        <v>42378.510601851849</v>
      </c>
      <c r="C810" s="14">
        <v>42378.52103009259</v>
      </c>
      <c r="D810" t="s">
        <v>3</v>
      </c>
      <c r="E810" t="s">
        <v>4</v>
      </c>
      <c r="G810" t="b">
        <v>1</v>
      </c>
      <c r="H810">
        <v>70806</v>
      </c>
      <c r="I810" s="5">
        <v>1.8168331140715599</v>
      </c>
      <c r="J810" s="14">
        <v>42378.527337962965</v>
      </c>
      <c r="K810">
        <v>19.579999999999998</v>
      </c>
      <c r="L810" s="5">
        <f>('[1]Pizza Sales Calculations'!$J810-'[1]Pizza Sales Calculations'!$C810)*24*60</f>
        <v>9.0833333402406424</v>
      </c>
      <c r="M810">
        <f>COUNTA('[1]Pizza Sales Calculations'!$D810:$F810)</f>
        <v>2</v>
      </c>
      <c r="N810">
        <f>IFERROR(VLOOKUP(D810,[1]Parameters!$A$3:$C$5,3,FALSE),0)</f>
        <v>1</v>
      </c>
      <c r="O810">
        <f>IFERROR(VLOOKUP(E810,[1]Parameters!$A$3:$C$5,3,FALSE),0)</f>
        <v>1.7</v>
      </c>
      <c r="P810">
        <f>IFERROR(VLOOKUP(F810,[1]Parameters!$A$3:$C$5,3,FALSE),0)</f>
        <v>0</v>
      </c>
      <c r="Q810">
        <f t="shared" si="12"/>
        <v>2.7</v>
      </c>
      <c r="R810" s="10">
        <f>IF('[1]Pizza Sales Calculations'!$G810=TRUE, [1]Parameters!$B$17*'[1]Pizza Sales Calculations'!$L810*2, 0)</f>
        <v>2.573611113068182</v>
      </c>
      <c r="S810" t="str">
        <f>IF(I810&lt;[1]Parameters!$B$21,"TRUE","FALSE")</f>
        <v>TRUE</v>
      </c>
      <c r="T810" s="5">
        <f>(I810/[1]Parameters!$B$25)*60</f>
        <v>3.6336662281431198</v>
      </c>
      <c r="U810" s="10">
        <f>IF(AND('[1]Pizza Sales Calculations'!G810=TRUE,'[1]Pizza Sales Calculations'!S810="TRUE"),T810*[1]Parameters!$B$40*2,0)</f>
        <v>0.22682299562637687</v>
      </c>
      <c r="V810">
        <f>INDEX([1]Parameters!$A$3:$C$5,MATCH('[1]Pizza Sales Calculations'!D810,[1]Parameters!$A$3:$A$5,0),2)</f>
        <v>7</v>
      </c>
      <c r="W810">
        <f>INDEX([1]Parameters!$A$3:$C$5,MATCH('[1]Pizza Sales Calculations'!E810,[1]Parameters!$A$3:$A$5,0),2)</f>
        <v>10</v>
      </c>
      <c r="X810" t="e">
        <f>INDEX([1]Parameters!$A$3:$C$5,MATCH('[1]Pizza Sales Calculations'!F810,[1]Parameters!$A$3:$A$5,0),2)</f>
        <v>#N/A</v>
      </c>
    </row>
    <row r="811" spans="1:24" x14ac:dyDescent="0.3">
      <c r="A811">
        <v>810</v>
      </c>
      <c r="B811" s="14">
        <v>42378.497361111113</v>
      </c>
      <c r="C811" s="14">
        <v>42378.507777777777</v>
      </c>
      <c r="D811" t="s">
        <v>3</v>
      </c>
      <c r="G811" t="b">
        <v>0</v>
      </c>
      <c r="H811">
        <v>70805</v>
      </c>
      <c r="I811" s="5">
        <v>0</v>
      </c>
      <c r="J811" s="14">
        <v>42378.50984953704</v>
      </c>
      <c r="K811">
        <v>7.99</v>
      </c>
      <c r="L811" s="5">
        <f>('[1]Pizza Sales Calculations'!$J811-'[1]Pizza Sales Calculations'!$C811)*24*60</f>
        <v>2.9833333392161876</v>
      </c>
      <c r="M811">
        <f>COUNTA('[1]Pizza Sales Calculations'!$D811:$F811)</f>
        <v>1</v>
      </c>
      <c r="N811">
        <f>IFERROR(VLOOKUP(D811,[1]Parameters!$A$3:$C$5,3,FALSE),0)</f>
        <v>1</v>
      </c>
      <c r="O811">
        <f>IFERROR(VLOOKUP(E811,[1]Parameters!$A$3:$C$5,3,FALSE),0)</f>
        <v>0</v>
      </c>
      <c r="P811">
        <f>IFERROR(VLOOKUP(F811,[1]Parameters!$A$3:$C$5,3,FALSE),0)</f>
        <v>0</v>
      </c>
      <c r="Q811">
        <f t="shared" si="12"/>
        <v>1</v>
      </c>
      <c r="R811" s="10">
        <f>IF('[1]Pizza Sales Calculations'!$G811=TRUE, [1]Parameters!$B$17*'[1]Pizza Sales Calculations'!$L811*2, 0)</f>
        <v>0</v>
      </c>
      <c r="S811" t="str">
        <f>IF(I811&lt;[1]Parameters!$B$21,"TRUE","FALSE")</f>
        <v>TRUE</v>
      </c>
      <c r="T811" s="5">
        <f>(I811/[1]Parameters!$B$25)*60</f>
        <v>0</v>
      </c>
      <c r="U811" s="10">
        <f>IF(AND('[1]Pizza Sales Calculations'!G811=TRUE,'[1]Pizza Sales Calculations'!S811="TRUE"),T811*[1]Parameters!$B$40*2,0)</f>
        <v>0</v>
      </c>
      <c r="V811">
        <f>INDEX([1]Parameters!$A$3:$C$5,MATCH('[1]Pizza Sales Calculations'!D811,[1]Parameters!$A$3:$A$5,0),2)</f>
        <v>7</v>
      </c>
      <c r="W811" t="e">
        <f>INDEX([1]Parameters!$A$3:$C$5,MATCH('[1]Pizza Sales Calculations'!E811,[1]Parameters!$A$3:$A$5,0),2)</f>
        <v>#N/A</v>
      </c>
      <c r="X811" t="e">
        <f>INDEX([1]Parameters!$A$3:$C$5,MATCH('[1]Pizza Sales Calculations'!F811,[1]Parameters!$A$3:$A$5,0),2)</f>
        <v>#N/A</v>
      </c>
    </row>
    <row r="812" spans="1:24" x14ac:dyDescent="0.3">
      <c r="A812">
        <v>811</v>
      </c>
      <c r="B812" s="14">
        <v>42378.497881944444</v>
      </c>
      <c r="C812" s="14">
        <v>42378.508287037039</v>
      </c>
      <c r="D812" t="s">
        <v>3</v>
      </c>
      <c r="G812" t="b">
        <v>1</v>
      </c>
      <c r="H812">
        <v>70806</v>
      </c>
      <c r="I812" s="5">
        <v>3.3255700704236801</v>
      </c>
      <c r="J812" s="14">
        <v>42378.519826388889</v>
      </c>
      <c r="K812">
        <v>7.99</v>
      </c>
      <c r="L812" s="5">
        <f>('[1]Pizza Sales Calculations'!$J812-'[1]Pizza Sales Calculations'!$C812)*24*60</f>
        <v>16.616666663903743</v>
      </c>
      <c r="M812">
        <f>COUNTA('[1]Pizza Sales Calculations'!$D812:$F812)</f>
        <v>1</v>
      </c>
      <c r="N812">
        <f>IFERROR(VLOOKUP(D812,[1]Parameters!$A$3:$C$5,3,FALSE),0)</f>
        <v>1</v>
      </c>
      <c r="O812">
        <f>IFERROR(VLOOKUP(E812,[1]Parameters!$A$3:$C$5,3,FALSE),0)</f>
        <v>0</v>
      </c>
      <c r="P812">
        <f>IFERROR(VLOOKUP(F812,[1]Parameters!$A$3:$C$5,3,FALSE),0)</f>
        <v>0</v>
      </c>
      <c r="Q812">
        <f t="shared" si="12"/>
        <v>1</v>
      </c>
      <c r="R812" s="10">
        <f>IF('[1]Pizza Sales Calculations'!$G812=TRUE, [1]Parameters!$B$17*'[1]Pizza Sales Calculations'!$L812*2, 0)</f>
        <v>4.7080555547727272</v>
      </c>
      <c r="S812" t="str">
        <f>IF(I812&lt;[1]Parameters!$B$21,"TRUE","FALSE")</f>
        <v>FALSE</v>
      </c>
      <c r="T812" s="5">
        <f>(I812/[1]Parameters!$B$25)*60</f>
        <v>6.6511401408473603</v>
      </c>
      <c r="U812" s="10">
        <f>IF(AND('[1]Pizza Sales Calculations'!G812=TRUE,'[1]Pizza Sales Calculations'!S812="TRUE"),T812*[1]Parameters!$B$40*2,0)</f>
        <v>0</v>
      </c>
      <c r="V812">
        <f>INDEX([1]Parameters!$A$3:$C$5,MATCH('[1]Pizza Sales Calculations'!D812,[1]Parameters!$A$3:$A$5,0),2)</f>
        <v>7</v>
      </c>
      <c r="W812" t="e">
        <f>INDEX([1]Parameters!$A$3:$C$5,MATCH('[1]Pizza Sales Calculations'!E812,[1]Parameters!$A$3:$A$5,0),2)</f>
        <v>#N/A</v>
      </c>
      <c r="X812" t="e">
        <f>INDEX([1]Parameters!$A$3:$C$5,MATCH('[1]Pizza Sales Calculations'!F812,[1]Parameters!$A$3:$A$5,0),2)</f>
        <v>#N/A</v>
      </c>
    </row>
    <row r="813" spans="1:24" x14ac:dyDescent="0.3">
      <c r="A813">
        <v>812</v>
      </c>
      <c r="B813" s="14">
        <v>42378.480879629627</v>
      </c>
      <c r="C813" s="14">
        <v>42378.491296296299</v>
      </c>
      <c r="D813" t="s">
        <v>5</v>
      </c>
      <c r="G813" t="b">
        <v>0</v>
      </c>
      <c r="H813">
        <v>70806</v>
      </c>
      <c r="I813" s="5">
        <v>0</v>
      </c>
      <c r="J813" s="14">
        <v>42378.493379629632</v>
      </c>
      <c r="K813">
        <v>15.35</v>
      </c>
      <c r="L813" s="5">
        <f>('[1]Pizza Sales Calculations'!$J813-'[1]Pizza Sales Calculations'!$C813)*24*60</f>
        <v>2.9999999993015081</v>
      </c>
      <c r="M813">
        <f>COUNTA('[1]Pizza Sales Calculations'!$D813:$F813)</f>
        <v>1</v>
      </c>
      <c r="N813">
        <f>IFERROR(VLOOKUP(D813,[1]Parameters!$A$3:$C$5,3,FALSE),0)</f>
        <v>2.2999999999999998</v>
      </c>
      <c r="O813">
        <f>IFERROR(VLOOKUP(E813,[1]Parameters!$A$3:$C$5,3,FALSE),0)</f>
        <v>0</v>
      </c>
      <c r="P813">
        <f>IFERROR(VLOOKUP(F813,[1]Parameters!$A$3:$C$5,3,FALSE),0)</f>
        <v>0</v>
      </c>
      <c r="Q813">
        <f t="shared" si="12"/>
        <v>2.2999999999999998</v>
      </c>
      <c r="R813" s="10">
        <f>IF('[1]Pizza Sales Calculations'!$G813=TRUE, [1]Parameters!$B$17*'[1]Pizza Sales Calculations'!$L813*2, 0)</f>
        <v>0</v>
      </c>
      <c r="S813" t="str">
        <f>IF(I813&lt;[1]Parameters!$B$21,"TRUE","FALSE")</f>
        <v>TRUE</v>
      </c>
      <c r="T813" s="5">
        <f>(I813/[1]Parameters!$B$25)*60</f>
        <v>0</v>
      </c>
      <c r="U813" s="10">
        <f>IF(AND('[1]Pizza Sales Calculations'!G813=TRUE,'[1]Pizza Sales Calculations'!S813="TRUE"),T813*[1]Parameters!$B$40*2,0)</f>
        <v>0</v>
      </c>
      <c r="V813">
        <f>INDEX([1]Parameters!$A$3:$C$5,MATCH('[1]Pizza Sales Calculations'!D813,[1]Parameters!$A$3:$A$5,0),2)</f>
        <v>14</v>
      </c>
      <c r="W813" t="e">
        <f>INDEX([1]Parameters!$A$3:$C$5,MATCH('[1]Pizza Sales Calculations'!E813,[1]Parameters!$A$3:$A$5,0),2)</f>
        <v>#N/A</v>
      </c>
      <c r="X813" t="e">
        <f>INDEX([1]Parameters!$A$3:$C$5,MATCH('[1]Pizza Sales Calculations'!F813,[1]Parameters!$A$3:$A$5,0),2)</f>
        <v>#N/A</v>
      </c>
    </row>
    <row r="814" spans="1:24" x14ac:dyDescent="0.3">
      <c r="A814">
        <v>813</v>
      </c>
      <c r="B814" s="14">
        <v>42378.466539351852</v>
      </c>
      <c r="C814" s="14">
        <v>42378.47693287037</v>
      </c>
      <c r="D814" t="s">
        <v>5</v>
      </c>
      <c r="G814" t="b">
        <v>0</v>
      </c>
      <c r="H814">
        <v>70805</v>
      </c>
      <c r="I814" s="5">
        <v>0</v>
      </c>
      <c r="J814" s="14">
        <v>42378.479004629633</v>
      </c>
      <c r="K814">
        <v>15.35</v>
      </c>
      <c r="L814" s="5">
        <f>('[1]Pizza Sales Calculations'!$J814-'[1]Pizza Sales Calculations'!$C814)*24*60</f>
        <v>2.9833333392161876</v>
      </c>
      <c r="M814">
        <f>COUNTA('[1]Pizza Sales Calculations'!$D814:$F814)</f>
        <v>1</v>
      </c>
      <c r="N814">
        <f>IFERROR(VLOOKUP(D814,[1]Parameters!$A$3:$C$5,3,FALSE),0)</f>
        <v>2.2999999999999998</v>
      </c>
      <c r="O814">
        <f>IFERROR(VLOOKUP(E814,[1]Parameters!$A$3:$C$5,3,FALSE),0)</f>
        <v>0</v>
      </c>
      <c r="P814">
        <f>IFERROR(VLOOKUP(F814,[1]Parameters!$A$3:$C$5,3,FALSE),0)</f>
        <v>0</v>
      </c>
      <c r="Q814">
        <f t="shared" si="12"/>
        <v>2.2999999999999998</v>
      </c>
      <c r="R814" s="10">
        <f>IF('[1]Pizza Sales Calculations'!$G814=TRUE, [1]Parameters!$B$17*'[1]Pizza Sales Calculations'!$L814*2, 0)</f>
        <v>0</v>
      </c>
      <c r="S814" t="str">
        <f>IF(I814&lt;[1]Parameters!$B$21,"TRUE","FALSE")</f>
        <v>TRUE</v>
      </c>
      <c r="T814" s="5">
        <f>(I814/[1]Parameters!$B$25)*60</f>
        <v>0</v>
      </c>
      <c r="U814" s="10">
        <f>IF(AND('[1]Pizza Sales Calculations'!G814=TRUE,'[1]Pizza Sales Calculations'!S814="TRUE"),T814*[1]Parameters!$B$40*2,0)</f>
        <v>0</v>
      </c>
      <c r="V814">
        <f>INDEX([1]Parameters!$A$3:$C$5,MATCH('[1]Pizza Sales Calculations'!D814,[1]Parameters!$A$3:$A$5,0),2)</f>
        <v>14</v>
      </c>
      <c r="W814" t="e">
        <f>INDEX([1]Parameters!$A$3:$C$5,MATCH('[1]Pizza Sales Calculations'!E814,[1]Parameters!$A$3:$A$5,0),2)</f>
        <v>#N/A</v>
      </c>
      <c r="X814" t="e">
        <f>INDEX([1]Parameters!$A$3:$C$5,MATCH('[1]Pizza Sales Calculations'!F814,[1]Parameters!$A$3:$A$5,0),2)</f>
        <v>#N/A</v>
      </c>
    </row>
    <row r="815" spans="1:24" x14ac:dyDescent="0.3">
      <c r="A815">
        <v>814</v>
      </c>
      <c r="B815" s="14">
        <v>42378.482789351852</v>
      </c>
      <c r="C815" s="14">
        <v>42378.49318287037</v>
      </c>
      <c r="D815" t="s">
        <v>5</v>
      </c>
      <c r="G815" t="b">
        <v>1</v>
      </c>
      <c r="H815">
        <v>70804</v>
      </c>
      <c r="I815" s="5">
        <v>4.0682276476745196</v>
      </c>
      <c r="J815" s="14">
        <v>42378.507303240738</v>
      </c>
      <c r="K815">
        <v>15.35</v>
      </c>
      <c r="L815" s="5">
        <f>('[1]Pizza Sales Calculations'!$J815-'[1]Pizza Sales Calculations'!$C815)*24*60</f>
        <v>20.333333329763263</v>
      </c>
      <c r="M815">
        <f>COUNTA('[1]Pizza Sales Calculations'!$D815:$F815)</f>
        <v>1</v>
      </c>
      <c r="N815">
        <f>IFERROR(VLOOKUP(D815,[1]Parameters!$A$3:$C$5,3,FALSE),0)</f>
        <v>2.2999999999999998</v>
      </c>
      <c r="O815">
        <f>IFERROR(VLOOKUP(E815,[1]Parameters!$A$3:$C$5,3,FALSE),0)</f>
        <v>0</v>
      </c>
      <c r="P815">
        <f>IFERROR(VLOOKUP(F815,[1]Parameters!$A$3:$C$5,3,FALSE),0)</f>
        <v>0</v>
      </c>
      <c r="Q815">
        <f t="shared" si="12"/>
        <v>2.2999999999999998</v>
      </c>
      <c r="R815" s="10">
        <f>IF('[1]Pizza Sales Calculations'!$G815=TRUE, [1]Parameters!$B$17*'[1]Pizza Sales Calculations'!$L815*2, 0)</f>
        <v>5.7611111100995913</v>
      </c>
      <c r="S815" t="str">
        <f>IF(I815&lt;[1]Parameters!$B$21,"TRUE","FALSE")</f>
        <v>FALSE</v>
      </c>
      <c r="T815" s="5">
        <f>(I815/[1]Parameters!$B$25)*60</f>
        <v>8.1364552953490392</v>
      </c>
      <c r="U815" s="10">
        <f>IF(AND('[1]Pizza Sales Calculations'!G815=TRUE,'[1]Pizza Sales Calculations'!S815="TRUE"),T815*[1]Parameters!$B$40*2,0)</f>
        <v>0</v>
      </c>
      <c r="V815">
        <f>INDEX([1]Parameters!$A$3:$C$5,MATCH('[1]Pizza Sales Calculations'!D815,[1]Parameters!$A$3:$A$5,0),2)</f>
        <v>14</v>
      </c>
      <c r="W815" t="e">
        <f>INDEX([1]Parameters!$A$3:$C$5,MATCH('[1]Pizza Sales Calculations'!E815,[1]Parameters!$A$3:$A$5,0),2)</f>
        <v>#N/A</v>
      </c>
      <c r="X815" t="e">
        <f>INDEX([1]Parameters!$A$3:$C$5,MATCH('[1]Pizza Sales Calculations'!F815,[1]Parameters!$A$3:$A$5,0),2)</f>
        <v>#N/A</v>
      </c>
    </row>
    <row r="816" spans="1:24" x14ac:dyDescent="0.3">
      <c r="A816">
        <v>815</v>
      </c>
      <c r="B816" s="14">
        <v>42378.524409722224</v>
      </c>
      <c r="C816" s="14">
        <v>42378.534814814811</v>
      </c>
      <c r="D816" t="s">
        <v>5</v>
      </c>
      <c r="G816" t="b">
        <v>0</v>
      </c>
      <c r="H816">
        <v>70806</v>
      </c>
      <c r="I816" s="5">
        <v>0</v>
      </c>
      <c r="J816" s="14">
        <v>42378.536909722221</v>
      </c>
      <c r="K816">
        <v>15.35</v>
      </c>
      <c r="L816" s="5">
        <f>('[1]Pizza Sales Calculations'!$J816-'[1]Pizza Sales Calculations'!$C816)*24*60</f>
        <v>3.0166666698642075</v>
      </c>
      <c r="M816">
        <f>COUNTA('[1]Pizza Sales Calculations'!$D816:$F816)</f>
        <v>1</v>
      </c>
      <c r="N816">
        <f>IFERROR(VLOOKUP(D816,[1]Parameters!$A$3:$C$5,3,FALSE),0)</f>
        <v>2.2999999999999998</v>
      </c>
      <c r="O816">
        <f>IFERROR(VLOOKUP(E816,[1]Parameters!$A$3:$C$5,3,FALSE),0)</f>
        <v>0</v>
      </c>
      <c r="P816">
        <f>IFERROR(VLOOKUP(F816,[1]Parameters!$A$3:$C$5,3,FALSE),0)</f>
        <v>0</v>
      </c>
      <c r="Q816">
        <f t="shared" si="12"/>
        <v>2.2999999999999998</v>
      </c>
      <c r="R816" s="10">
        <f>IF('[1]Pizza Sales Calculations'!$G816=TRUE, [1]Parameters!$B$17*'[1]Pizza Sales Calculations'!$L816*2, 0)</f>
        <v>0</v>
      </c>
      <c r="S816" t="str">
        <f>IF(I816&lt;[1]Parameters!$B$21,"TRUE","FALSE")</f>
        <v>TRUE</v>
      </c>
      <c r="T816" s="5">
        <f>(I816/[1]Parameters!$B$25)*60</f>
        <v>0</v>
      </c>
      <c r="U816" s="10">
        <f>IF(AND('[1]Pizza Sales Calculations'!G816=TRUE,'[1]Pizza Sales Calculations'!S816="TRUE"),T816*[1]Parameters!$B$40*2,0)</f>
        <v>0</v>
      </c>
      <c r="V816">
        <f>INDEX([1]Parameters!$A$3:$C$5,MATCH('[1]Pizza Sales Calculations'!D816,[1]Parameters!$A$3:$A$5,0),2)</f>
        <v>14</v>
      </c>
      <c r="W816" t="e">
        <f>INDEX([1]Parameters!$A$3:$C$5,MATCH('[1]Pizza Sales Calculations'!E816,[1]Parameters!$A$3:$A$5,0),2)</f>
        <v>#N/A</v>
      </c>
      <c r="X816" t="e">
        <f>INDEX([1]Parameters!$A$3:$C$5,MATCH('[1]Pizza Sales Calculations'!F816,[1]Parameters!$A$3:$A$5,0),2)</f>
        <v>#N/A</v>
      </c>
    </row>
    <row r="817" spans="1:24" x14ac:dyDescent="0.3">
      <c r="A817">
        <v>816</v>
      </c>
      <c r="B817" s="14">
        <v>42378.487083333333</v>
      </c>
      <c r="C817" s="14">
        <v>42378.497488425928</v>
      </c>
      <c r="D817" t="s">
        <v>5</v>
      </c>
      <c r="G817" t="b">
        <v>1</v>
      </c>
      <c r="H817">
        <v>70804</v>
      </c>
      <c r="I817" s="5">
        <v>3.5826013878459801</v>
      </c>
      <c r="J817" s="14">
        <v>42378.509918981479</v>
      </c>
      <c r="K817">
        <v>15.35</v>
      </c>
      <c r="L817" s="5">
        <f>('[1]Pizza Sales Calculations'!$J817-'[1]Pizza Sales Calculations'!$C817)*24*60</f>
        <v>17.89999999338761</v>
      </c>
      <c r="M817">
        <f>COUNTA('[1]Pizza Sales Calculations'!$D817:$F817)</f>
        <v>1</v>
      </c>
      <c r="N817">
        <f>IFERROR(VLOOKUP(D817,[1]Parameters!$A$3:$C$5,3,FALSE),0)</f>
        <v>2.2999999999999998</v>
      </c>
      <c r="O817">
        <f>IFERROR(VLOOKUP(E817,[1]Parameters!$A$3:$C$5,3,FALSE),0)</f>
        <v>0</v>
      </c>
      <c r="P817">
        <f>IFERROR(VLOOKUP(F817,[1]Parameters!$A$3:$C$5,3,FALSE),0)</f>
        <v>0</v>
      </c>
      <c r="Q817">
        <f t="shared" si="12"/>
        <v>2.2999999999999998</v>
      </c>
      <c r="R817" s="10">
        <f>IF('[1]Pizza Sales Calculations'!$G817=TRUE, [1]Parameters!$B$17*'[1]Pizza Sales Calculations'!$L817*2, 0)</f>
        <v>5.0716666647931561</v>
      </c>
      <c r="S817" t="str">
        <f>IF(I817&lt;[1]Parameters!$B$21,"TRUE","FALSE")</f>
        <v>FALSE</v>
      </c>
      <c r="T817" s="5">
        <f>(I817/[1]Parameters!$B$25)*60</f>
        <v>7.1652027756919603</v>
      </c>
      <c r="U817" s="10">
        <f>IF(AND('[1]Pizza Sales Calculations'!G817=TRUE,'[1]Pizza Sales Calculations'!S817="TRUE"),T817*[1]Parameters!$B$40*2,0)</f>
        <v>0</v>
      </c>
      <c r="V817">
        <f>INDEX([1]Parameters!$A$3:$C$5,MATCH('[1]Pizza Sales Calculations'!D817,[1]Parameters!$A$3:$A$5,0),2)</f>
        <v>14</v>
      </c>
      <c r="W817" t="e">
        <f>INDEX([1]Parameters!$A$3:$C$5,MATCH('[1]Pizza Sales Calculations'!E817,[1]Parameters!$A$3:$A$5,0),2)</f>
        <v>#N/A</v>
      </c>
      <c r="X817" t="e">
        <f>INDEX([1]Parameters!$A$3:$C$5,MATCH('[1]Pizza Sales Calculations'!F817,[1]Parameters!$A$3:$A$5,0),2)</f>
        <v>#N/A</v>
      </c>
    </row>
    <row r="818" spans="1:24" x14ac:dyDescent="0.3">
      <c r="A818">
        <v>817</v>
      </c>
      <c r="B818" s="14">
        <v>42378.428530092591</v>
      </c>
      <c r="C818" s="14">
        <v>42378.438923611109</v>
      </c>
      <c r="D818" t="s">
        <v>3</v>
      </c>
      <c r="E818" t="s">
        <v>4</v>
      </c>
      <c r="G818" t="b">
        <v>1</v>
      </c>
      <c r="H818">
        <v>70805</v>
      </c>
      <c r="I818" s="5">
        <v>2.3815963935611899</v>
      </c>
      <c r="J818" s="14">
        <v>42378.447187500002</v>
      </c>
      <c r="K818">
        <v>19.579999999999998</v>
      </c>
      <c r="L818" s="5">
        <f>('[1]Pizza Sales Calculations'!$J818-'[1]Pizza Sales Calculations'!$C818)*24*60</f>
        <v>11.900000005261973</v>
      </c>
      <c r="M818">
        <f>COUNTA('[1]Pizza Sales Calculations'!$D818:$F818)</f>
        <v>2</v>
      </c>
      <c r="N818">
        <f>IFERROR(VLOOKUP(D818,[1]Parameters!$A$3:$C$5,3,FALSE),0)</f>
        <v>1</v>
      </c>
      <c r="O818">
        <f>IFERROR(VLOOKUP(E818,[1]Parameters!$A$3:$C$5,3,FALSE),0)</f>
        <v>1.7</v>
      </c>
      <c r="P818">
        <f>IFERROR(VLOOKUP(F818,[1]Parameters!$A$3:$C$5,3,FALSE),0)</f>
        <v>0</v>
      </c>
      <c r="Q818">
        <f t="shared" si="12"/>
        <v>2.7</v>
      </c>
      <c r="R818" s="10">
        <f>IF('[1]Pizza Sales Calculations'!$G818=TRUE, [1]Parameters!$B$17*'[1]Pizza Sales Calculations'!$L818*2, 0)</f>
        <v>3.3716666681575589</v>
      </c>
      <c r="S818" t="str">
        <f>IF(I818&lt;[1]Parameters!$B$21,"TRUE","FALSE")</f>
        <v>TRUE</v>
      </c>
      <c r="T818" s="5">
        <f>(I818/[1]Parameters!$B$25)*60</f>
        <v>4.7631927871223798</v>
      </c>
      <c r="U818" s="10">
        <f>IF(AND('[1]Pizza Sales Calculations'!G818=TRUE,'[1]Pizza Sales Calculations'!S818="TRUE"),T818*[1]Parameters!$B$40*2,0)</f>
        <v>0.29733101195515071</v>
      </c>
      <c r="V818">
        <f>INDEX([1]Parameters!$A$3:$C$5,MATCH('[1]Pizza Sales Calculations'!D818,[1]Parameters!$A$3:$A$5,0),2)</f>
        <v>7</v>
      </c>
      <c r="W818">
        <f>INDEX([1]Parameters!$A$3:$C$5,MATCH('[1]Pizza Sales Calculations'!E818,[1]Parameters!$A$3:$A$5,0),2)</f>
        <v>10</v>
      </c>
      <c r="X818" t="e">
        <f>INDEX([1]Parameters!$A$3:$C$5,MATCH('[1]Pizza Sales Calculations'!F818,[1]Parameters!$A$3:$A$5,0),2)</f>
        <v>#N/A</v>
      </c>
    </row>
    <row r="819" spans="1:24" x14ac:dyDescent="0.3">
      <c r="A819">
        <v>818</v>
      </c>
      <c r="B819" s="14">
        <v>42378.502812500003</v>
      </c>
      <c r="C819" s="14">
        <v>42378.513229166667</v>
      </c>
      <c r="D819" t="s">
        <v>3</v>
      </c>
      <c r="G819" t="b">
        <v>1</v>
      </c>
      <c r="H819">
        <v>70804</v>
      </c>
      <c r="I819" s="5">
        <v>6.1274753357750704</v>
      </c>
      <c r="J819" s="14">
        <v>42378.534502314818</v>
      </c>
      <c r="K819">
        <v>7.99</v>
      </c>
      <c r="L819" s="5">
        <f>('[1]Pizza Sales Calculations'!$J819-'[1]Pizza Sales Calculations'!$C819)*24*60</f>
        <v>30.633333338191733</v>
      </c>
      <c r="M819">
        <f>COUNTA('[1]Pizza Sales Calculations'!$D819:$F819)</f>
        <v>1</v>
      </c>
      <c r="N819">
        <f>IFERROR(VLOOKUP(D819,[1]Parameters!$A$3:$C$5,3,FALSE),0)</f>
        <v>1</v>
      </c>
      <c r="O819">
        <f>IFERROR(VLOOKUP(E819,[1]Parameters!$A$3:$C$5,3,FALSE),0)</f>
        <v>0</v>
      </c>
      <c r="P819">
        <f>IFERROR(VLOOKUP(F819,[1]Parameters!$A$3:$C$5,3,FALSE),0)</f>
        <v>0</v>
      </c>
      <c r="Q819">
        <f t="shared" si="12"/>
        <v>1</v>
      </c>
      <c r="R819" s="10">
        <f>IF('[1]Pizza Sales Calculations'!$G819=TRUE, [1]Parameters!$B$17*'[1]Pizza Sales Calculations'!$L819*2, 0)</f>
        <v>8.6794444458209909</v>
      </c>
      <c r="S819" t="str">
        <f>IF(I819&lt;[1]Parameters!$B$21,"TRUE","FALSE")</f>
        <v>FALSE</v>
      </c>
      <c r="T819" s="5">
        <f>(I819/[1]Parameters!$B$25)*60</f>
        <v>12.254950671550141</v>
      </c>
      <c r="U819" s="10">
        <f>IF(AND('[1]Pizza Sales Calculations'!G819=TRUE,'[1]Pizza Sales Calculations'!S819="TRUE"),T819*[1]Parameters!$B$40*2,0)</f>
        <v>0</v>
      </c>
      <c r="V819">
        <f>INDEX([1]Parameters!$A$3:$C$5,MATCH('[1]Pizza Sales Calculations'!D819,[1]Parameters!$A$3:$A$5,0),2)</f>
        <v>7</v>
      </c>
      <c r="W819" t="e">
        <f>INDEX([1]Parameters!$A$3:$C$5,MATCH('[1]Pizza Sales Calculations'!E819,[1]Parameters!$A$3:$A$5,0),2)</f>
        <v>#N/A</v>
      </c>
      <c r="X819" t="e">
        <f>INDEX([1]Parameters!$A$3:$C$5,MATCH('[1]Pizza Sales Calculations'!F819,[1]Parameters!$A$3:$A$5,0),2)</f>
        <v>#N/A</v>
      </c>
    </row>
    <row r="820" spans="1:24" x14ac:dyDescent="0.3">
      <c r="A820">
        <v>819</v>
      </c>
      <c r="B820" s="14">
        <v>42378.512013888889</v>
      </c>
      <c r="C820" s="14">
        <v>42378.522407407407</v>
      </c>
      <c r="D820" t="s">
        <v>3</v>
      </c>
      <c r="G820" t="b">
        <v>1</v>
      </c>
      <c r="H820">
        <v>70806</v>
      </c>
      <c r="I820" s="5">
        <v>3.8217806096537501</v>
      </c>
      <c r="J820" s="14">
        <v>42378.535671296297</v>
      </c>
      <c r="K820">
        <v>7.99</v>
      </c>
      <c r="L820" s="5">
        <f>('[1]Pizza Sales Calculations'!$J820-'[1]Pizza Sales Calculations'!$C820)*24*60</f>
        <v>19.100000001490116</v>
      </c>
      <c r="M820">
        <f>COUNTA('[1]Pizza Sales Calculations'!$D820:$F820)</f>
        <v>1</v>
      </c>
      <c r="N820">
        <f>IFERROR(VLOOKUP(D820,[1]Parameters!$A$3:$C$5,3,FALSE),0)</f>
        <v>1</v>
      </c>
      <c r="O820">
        <f>IFERROR(VLOOKUP(E820,[1]Parameters!$A$3:$C$5,3,FALSE),0)</f>
        <v>0</v>
      </c>
      <c r="P820">
        <f>IFERROR(VLOOKUP(F820,[1]Parameters!$A$3:$C$5,3,FALSE),0)</f>
        <v>0</v>
      </c>
      <c r="Q820">
        <f t="shared" si="12"/>
        <v>1</v>
      </c>
      <c r="R820" s="10">
        <f>IF('[1]Pizza Sales Calculations'!$G820=TRUE, [1]Parameters!$B$17*'[1]Pizza Sales Calculations'!$L820*2, 0)</f>
        <v>5.4116666670888662</v>
      </c>
      <c r="S820" t="str">
        <f>IF(I820&lt;[1]Parameters!$B$21,"TRUE","FALSE")</f>
        <v>FALSE</v>
      </c>
      <c r="T820" s="5">
        <f>(I820/[1]Parameters!$B$25)*60</f>
        <v>7.6435612193075011</v>
      </c>
      <c r="U820" s="10">
        <f>IF(AND('[1]Pizza Sales Calculations'!G820=TRUE,'[1]Pizza Sales Calculations'!S820="TRUE"),T820*[1]Parameters!$B$40*2,0)</f>
        <v>0</v>
      </c>
      <c r="V820">
        <f>INDEX([1]Parameters!$A$3:$C$5,MATCH('[1]Pizza Sales Calculations'!D820,[1]Parameters!$A$3:$A$5,0),2)</f>
        <v>7</v>
      </c>
      <c r="W820" t="e">
        <f>INDEX([1]Parameters!$A$3:$C$5,MATCH('[1]Pizza Sales Calculations'!E820,[1]Parameters!$A$3:$A$5,0),2)</f>
        <v>#N/A</v>
      </c>
      <c r="X820" t="e">
        <f>INDEX([1]Parameters!$A$3:$C$5,MATCH('[1]Pizza Sales Calculations'!F820,[1]Parameters!$A$3:$A$5,0),2)</f>
        <v>#N/A</v>
      </c>
    </row>
    <row r="821" spans="1:24" x14ac:dyDescent="0.3">
      <c r="A821">
        <v>820</v>
      </c>
      <c r="B821" s="14">
        <v>42378.590011574073</v>
      </c>
      <c r="C821" s="14">
        <v>42378.600428240738</v>
      </c>
      <c r="D821" t="s">
        <v>3</v>
      </c>
      <c r="G821" t="b">
        <v>1</v>
      </c>
      <c r="H821">
        <v>70807</v>
      </c>
      <c r="I821" s="5">
        <v>3.0123519132261101</v>
      </c>
      <c r="J821" s="14">
        <v>42378.610879629632</v>
      </c>
      <c r="K821">
        <v>7.99</v>
      </c>
      <c r="L821" s="5">
        <f>('[1]Pizza Sales Calculations'!$J821-'[1]Pizza Sales Calculations'!$C821)*24*60</f>
        <v>15.050000008195639</v>
      </c>
      <c r="M821">
        <f>COUNTA('[1]Pizza Sales Calculations'!$D821:$F821)</f>
        <v>1</v>
      </c>
      <c r="N821">
        <f>IFERROR(VLOOKUP(D821,[1]Parameters!$A$3:$C$5,3,FALSE),0)</f>
        <v>1</v>
      </c>
      <c r="O821">
        <f>IFERROR(VLOOKUP(E821,[1]Parameters!$A$3:$C$5,3,FALSE),0)</f>
        <v>0</v>
      </c>
      <c r="P821">
        <f>IFERROR(VLOOKUP(F821,[1]Parameters!$A$3:$C$5,3,FALSE),0)</f>
        <v>0</v>
      </c>
      <c r="Q821">
        <f t="shared" si="12"/>
        <v>1</v>
      </c>
      <c r="R821" s="10">
        <f>IF('[1]Pizza Sales Calculations'!$G821=TRUE, [1]Parameters!$B$17*'[1]Pizza Sales Calculations'!$L821*2, 0)</f>
        <v>4.2641666689887643</v>
      </c>
      <c r="S821" t="str">
        <f>IF(I821&lt;[1]Parameters!$B$21,"TRUE","FALSE")</f>
        <v>TRUE</v>
      </c>
      <c r="T821" s="5">
        <f>(I821/[1]Parameters!$B$25)*60</f>
        <v>6.0247038264522201</v>
      </c>
      <c r="U821" s="10">
        <f>IF(AND('[1]Pizza Sales Calculations'!G821=TRUE,'[1]Pizza Sales Calculations'!S821="TRUE"),T821*[1]Parameters!$B$40*2,0)</f>
        <v>0.37607784641681835</v>
      </c>
      <c r="V821">
        <f>INDEX([1]Parameters!$A$3:$C$5,MATCH('[1]Pizza Sales Calculations'!D821,[1]Parameters!$A$3:$A$5,0),2)</f>
        <v>7</v>
      </c>
      <c r="W821" t="e">
        <f>INDEX([1]Parameters!$A$3:$C$5,MATCH('[1]Pizza Sales Calculations'!E821,[1]Parameters!$A$3:$A$5,0),2)</f>
        <v>#N/A</v>
      </c>
      <c r="X821" t="e">
        <f>INDEX([1]Parameters!$A$3:$C$5,MATCH('[1]Pizza Sales Calculations'!F821,[1]Parameters!$A$3:$A$5,0),2)</f>
        <v>#N/A</v>
      </c>
    </row>
    <row r="822" spans="1:24" x14ac:dyDescent="0.3">
      <c r="A822">
        <v>821</v>
      </c>
      <c r="B822" s="14">
        <v>42378.433749999997</v>
      </c>
      <c r="C822" s="14">
        <v>42378.444155092591</v>
      </c>
      <c r="D822" t="s">
        <v>3</v>
      </c>
      <c r="E822" t="s">
        <v>5</v>
      </c>
      <c r="G822" t="b">
        <v>0</v>
      </c>
      <c r="H822">
        <v>70803</v>
      </c>
      <c r="I822" s="5">
        <v>0</v>
      </c>
      <c r="J822" s="14">
        <v>42378.446238425924</v>
      </c>
      <c r="K822">
        <v>23.34</v>
      </c>
      <c r="L822" s="5">
        <f>('[1]Pizza Sales Calculations'!$J822-'[1]Pizza Sales Calculations'!$C822)*24*60</f>
        <v>2.9999999993015081</v>
      </c>
      <c r="M822">
        <f>COUNTA('[1]Pizza Sales Calculations'!$D822:$F822)</f>
        <v>2</v>
      </c>
      <c r="N822">
        <f>IFERROR(VLOOKUP(D822,[1]Parameters!$A$3:$C$5,3,FALSE),0)</f>
        <v>1</v>
      </c>
      <c r="O822">
        <f>IFERROR(VLOOKUP(E822,[1]Parameters!$A$3:$C$5,3,FALSE),0)</f>
        <v>2.2999999999999998</v>
      </c>
      <c r="P822">
        <f>IFERROR(VLOOKUP(F822,[1]Parameters!$A$3:$C$5,3,FALSE),0)</f>
        <v>0</v>
      </c>
      <c r="Q822">
        <f t="shared" si="12"/>
        <v>3.3</v>
      </c>
      <c r="R822" s="10">
        <f>IF('[1]Pizza Sales Calculations'!$G822=TRUE, [1]Parameters!$B$17*'[1]Pizza Sales Calculations'!$L822*2, 0)</f>
        <v>0</v>
      </c>
      <c r="S822" t="str">
        <f>IF(I822&lt;[1]Parameters!$B$21,"TRUE","FALSE")</f>
        <v>TRUE</v>
      </c>
      <c r="T822" s="5">
        <f>(I822/[1]Parameters!$B$25)*60</f>
        <v>0</v>
      </c>
      <c r="U822" s="10">
        <f>IF(AND('[1]Pizza Sales Calculations'!G822=TRUE,'[1]Pizza Sales Calculations'!S822="TRUE"),T822*[1]Parameters!$B$40*2,0)</f>
        <v>0</v>
      </c>
      <c r="V822">
        <f>INDEX([1]Parameters!$A$3:$C$5,MATCH('[1]Pizza Sales Calculations'!D822,[1]Parameters!$A$3:$A$5,0),2)</f>
        <v>7</v>
      </c>
      <c r="W822">
        <f>INDEX([1]Parameters!$A$3:$C$5,MATCH('[1]Pizza Sales Calculations'!E822,[1]Parameters!$A$3:$A$5,0),2)</f>
        <v>14</v>
      </c>
      <c r="X822" t="e">
        <f>INDEX([1]Parameters!$A$3:$C$5,MATCH('[1]Pizza Sales Calculations'!F822,[1]Parameters!$A$3:$A$5,0),2)</f>
        <v>#N/A</v>
      </c>
    </row>
    <row r="823" spans="1:24" x14ac:dyDescent="0.3">
      <c r="A823">
        <v>822</v>
      </c>
      <c r="B823" s="14">
        <v>42378.432916666665</v>
      </c>
      <c r="C823" s="14">
        <v>42378.443333333336</v>
      </c>
      <c r="D823" t="s">
        <v>4</v>
      </c>
      <c r="G823" t="b">
        <v>0</v>
      </c>
      <c r="H823">
        <v>70805</v>
      </c>
      <c r="I823" s="5">
        <v>0</v>
      </c>
      <c r="J823" s="14">
        <v>42378.445416666669</v>
      </c>
      <c r="K823">
        <v>11.59</v>
      </c>
      <c r="L823" s="5">
        <f>('[1]Pizza Sales Calculations'!$J823-'[1]Pizza Sales Calculations'!$C823)*24*60</f>
        <v>2.9999999993015081</v>
      </c>
      <c r="M823">
        <f>COUNTA('[1]Pizza Sales Calculations'!$D823:$F823)</f>
        <v>1</v>
      </c>
      <c r="N823">
        <f>IFERROR(VLOOKUP(D823,[1]Parameters!$A$3:$C$5,3,FALSE),0)</f>
        <v>1.7</v>
      </c>
      <c r="O823">
        <f>IFERROR(VLOOKUP(E823,[1]Parameters!$A$3:$C$5,3,FALSE),0)</f>
        <v>0</v>
      </c>
      <c r="P823">
        <f>IFERROR(VLOOKUP(F823,[1]Parameters!$A$3:$C$5,3,FALSE),0)</f>
        <v>0</v>
      </c>
      <c r="Q823">
        <f t="shared" si="12"/>
        <v>1.7</v>
      </c>
      <c r="R823" s="10">
        <f>IF('[1]Pizza Sales Calculations'!$G823=TRUE, [1]Parameters!$B$17*'[1]Pizza Sales Calculations'!$L823*2, 0)</f>
        <v>0</v>
      </c>
      <c r="S823" t="str">
        <f>IF(I823&lt;[1]Parameters!$B$21,"TRUE","FALSE")</f>
        <v>TRUE</v>
      </c>
      <c r="T823" s="5">
        <f>(I823/[1]Parameters!$B$25)*60</f>
        <v>0</v>
      </c>
      <c r="U823" s="10">
        <f>IF(AND('[1]Pizza Sales Calculations'!G823=TRUE,'[1]Pizza Sales Calculations'!S823="TRUE"),T823*[1]Parameters!$B$40*2,0)</f>
        <v>0</v>
      </c>
      <c r="V823">
        <f>INDEX([1]Parameters!$A$3:$C$5,MATCH('[1]Pizza Sales Calculations'!D823,[1]Parameters!$A$3:$A$5,0),2)</f>
        <v>10</v>
      </c>
      <c r="W823" t="e">
        <f>INDEX([1]Parameters!$A$3:$C$5,MATCH('[1]Pizza Sales Calculations'!E823,[1]Parameters!$A$3:$A$5,0),2)</f>
        <v>#N/A</v>
      </c>
      <c r="X823" t="e">
        <f>INDEX([1]Parameters!$A$3:$C$5,MATCH('[1]Pizza Sales Calculations'!F823,[1]Parameters!$A$3:$A$5,0),2)</f>
        <v>#N/A</v>
      </c>
    </row>
    <row r="824" spans="1:24" x14ac:dyDescent="0.3">
      <c r="A824">
        <v>823</v>
      </c>
      <c r="B824" s="14">
        <v>42378.529861111114</v>
      </c>
      <c r="C824" s="14">
        <v>42378.540266203701</v>
      </c>
      <c r="D824" t="s">
        <v>5</v>
      </c>
      <c r="G824" t="b">
        <v>1</v>
      </c>
      <c r="H824">
        <v>70806</v>
      </c>
      <c r="I824" s="5">
        <v>5.8854886083103501</v>
      </c>
      <c r="J824" s="14">
        <v>42378.560694444444</v>
      </c>
      <c r="K824">
        <v>15.35</v>
      </c>
      <c r="L824" s="5">
        <f>('[1]Pizza Sales Calculations'!$J824-'[1]Pizza Sales Calculations'!$C824)*24*60</f>
        <v>29.416666670003906</v>
      </c>
      <c r="M824">
        <f>COUNTA('[1]Pizza Sales Calculations'!$D824:$F824)</f>
        <v>1</v>
      </c>
      <c r="N824">
        <f>IFERROR(VLOOKUP(D824,[1]Parameters!$A$3:$C$5,3,FALSE),0)</f>
        <v>2.2999999999999998</v>
      </c>
      <c r="O824">
        <f>IFERROR(VLOOKUP(E824,[1]Parameters!$A$3:$C$5,3,FALSE),0)</f>
        <v>0</v>
      </c>
      <c r="P824">
        <f>IFERROR(VLOOKUP(F824,[1]Parameters!$A$3:$C$5,3,FALSE),0)</f>
        <v>0</v>
      </c>
      <c r="Q824">
        <f t="shared" si="12"/>
        <v>2.2999999999999998</v>
      </c>
      <c r="R824" s="10">
        <f>IF('[1]Pizza Sales Calculations'!$G824=TRUE, [1]Parameters!$B$17*'[1]Pizza Sales Calculations'!$L824*2, 0)</f>
        <v>8.3347222231677733</v>
      </c>
      <c r="S824" t="str">
        <f>IF(I824&lt;[1]Parameters!$B$21,"TRUE","FALSE")</f>
        <v>FALSE</v>
      </c>
      <c r="T824" s="5">
        <f>(I824/[1]Parameters!$B$25)*60</f>
        <v>11.7709772166207</v>
      </c>
      <c r="U824" s="10">
        <f>IF(AND('[1]Pizza Sales Calculations'!G824=TRUE,'[1]Pizza Sales Calculations'!S824="TRUE"),T824*[1]Parameters!$B$40*2,0)</f>
        <v>0</v>
      </c>
      <c r="V824">
        <f>INDEX([1]Parameters!$A$3:$C$5,MATCH('[1]Pizza Sales Calculations'!D824,[1]Parameters!$A$3:$A$5,0),2)</f>
        <v>14</v>
      </c>
      <c r="W824" t="e">
        <f>INDEX([1]Parameters!$A$3:$C$5,MATCH('[1]Pizza Sales Calculations'!E824,[1]Parameters!$A$3:$A$5,0),2)</f>
        <v>#N/A</v>
      </c>
      <c r="X824" t="e">
        <f>INDEX([1]Parameters!$A$3:$C$5,MATCH('[1]Pizza Sales Calculations'!F824,[1]Parameters!$A$3:$A$5,0),2)</f>
        <v>#N/A</v>
      </c>
    </row>
    <row r="825" spans="1:24" x14ac:dyDescent="0.3">
      <c r="A825">
        <v>824</v>
      </c>
      <c r="B825" s="14">
        <v>42378.431342592594</v>
      </c>
      <c r="C825" s="14">
        <v>42378.441747685189</v>
      </c>
      <c r="D825" t="s">
        <v>5</v>
      </c>
      <c r="G825" t="b">
        <v>0</v>
      </c>
      <c r="H825">
        <v>70806</v>
      </c>
      <c r="I825" s="5">
        <v>0</v>
      </c>
      <c r="J825" s="14">
        <v>42378.443807870368</v>
      </c>
      <c r="K825">
        <v>15.35</v>
      </c>
      <c r="L825" s="5">
        <f>('[1]Pizza Sales Calculations'!$J825-'[1]Pizza Sales Calculations'!$C825)*24*60</f>
        <v>2.9666666581761092</v>
      </c>
      <c r="M825">
        <f>COUNTA('[1]Pizza Sales Calculations'!$D825:$F825)</f>
        <v>1</v>
      </c>
      <c r="N825">
        <f>IFERROR(VLOOKUP(D825,[1]Parameters!$A$3:$C$5,3,FALSE),0)</f>
        <v>2.2999999999999998</v>
      </c>
      <c r="O825">
        <f>IFERROR(VLOOKUP(E825,[1]Parameters!$A$3:$C$5,3,FALSE),0)</f>
        <v>0</v>
      </c>
      <c r="P825">
        <f>IFERROR(VLOOKUP(F825,[1]Parameters!$A$3:$C$5,3,FALSE),0)</f>
        <v>0</v>
      </c>
      <c r="Q825">
        <f t="shared" si="12"/>
        <v>2.2999999999999998</v>
      </c>
      <c r="R825" s="10">
        <f>IF('[1]Pizza Sales Calculations'!$G825=TRUE, [1]Parameters!$B$17*'[1]Pizza Sales Calculations'!$L825*2, 0)</f>
        <v>0</v>
      </c>
      <c r="S825" t="str">
        <f>IF(I825&lt;[1]Parameters!$B$21,"TRUE","FALSE")</f>
        <v>TRUE</v>
      </c>
      <c r="T825" s="5">
        <f>(I825/[1]Parameters!$B$25)*60</f>
        <v>0</v>
      </c>
      <c r="U825" s="10">
        <f>IF(AND('[1]Pizza Sales Calculations'!G825=TRUE,'[1]Pizza Sales Calculations'!S825="TRUE"),T825*[1]Parameters!$B$40*2,0)</f>
        <v>0</v>
      </c>
      <c r="V825">
        <f>INDEX([1]Parameters!$A$3:$C$5,MATCH('[1]Pizza Sales Calculations'!D825,[1]Parameters!$A$3:$A$5,0),2)</f>
        <v>14</v>
      </c>
      <c r="W825" t="e">
        <f>INDEX([1]Parameters!$A$3:$C$5,MATCH('[1]Pizza Sales Calculations'!E825,[1]Parameters!$A$3:$A$5,0),2)</f>
        <v>#N/A</v>
      </c>
      <c r="X825" t="e">
        <f>INDEX([1]Parameters!$A$3:$C$5,MATCH('[1]Pizza Sales Calculations'!F825,[1]Parameters!$A$3:$A$5,0),2)</f>
        <v>#N/A</v>
      </c>
    </row>
    <row r="826" spans="1:24" x14ac:dyDescent="0.3">
      <c r="A826">
        <v>825</v>
      </c>
      <c r="B826" s="14">
        <v>42378.553379629629</v>
      </c>
      <c r="C826" s="14">
        <v>42378.563773148147</v>
      </c>
      <c r="D826" t="s">
        <v>4</v>
      </c>
      <c r="G826" t="b">
        <v>1</v>
      </c>
      <c r="H826">
        <v>70804</v>
      </c>
      <c r="I826" s="5">
        <v>0.86531988152275296</v>
      </c>
      <c r="J826" s="14">
        <v>42378.566770833335</v>
      </c>
      <c r="K826">
        <v>11.59</v>
      </c>
      <c r="L826" s="5">
        <f>('[1]Pizza Sales Calculations'!$J826-'[1]Pizza Sales Calculations'!$C826)*24*60</f>
        <v>4.3166666699107736</v>
      </c>
      <c r="M826">
        <f>COUNTA('[1]Pizza Sales Calculations'!$D826:$F826)</f>
        <v>1</v>
      </c>
      <c r="N826">
        <f>IFERROR(VLOOKUP(D826,[1]Parameters!$A$3:$C$5,3,FALSE),0)</f>
        <v>1.7</v>
      </c>
      <c r="O826">
        <f>IFERROR(VLOOKUP(E826,[1]Parameters!$A$3:$C$5,3,FALSE),0)</f>
        <v>0</v>
      </c>
      <c r="P826">
        <f>IFERROR(VLOOKUP(F826,[1]Parameters!$A$3:$C$5,3,FALSE),0)</f>
        <v>0</v>
      </c>
      <c r="Q826">
        <f t="shared" si="12"/>
        <v>1.7</v>
      </c>
      <c r="R826" s="10">
        <f>IF('[1]Pizza Sales Calculations'!$G826=TRUE, [1]Parameters!$B$17*'[1]Pizza Sales Calculations'!$L826*2, 0)</f>
        <v>1.2230555564747192</v>
      </c>
      <c r="S826" t="str">
        <f>IF(I826&lt;[1]Parameters!$B$21,"TRUE","FALSE")</f>
        <v>TRUE</v>
      </c>
      <c r="T826" s="5">
        <f>(I826/[1]Parameters!$B$25)*60</f>
        <v>1.7306397630455059</v>
      </c>
      <c r="U826" s="10">
        <f>IF(AND('[1]Pizza Sales Calculations'!G826=TRUE,'[1]Pizza Sales Calculations'!S826="TRUE"),T826*[1]Parameters!$B$40*2,0)</f>
        <v>0.10803108231674473</v>
      </c>
      <c r="V826">
        <f>INDEX([1]Parameters!$A$3:$C$5,MATCH('[1]Pizza Sales Calculations'!D826,[1]Parameters!$A$3:$A$5,0),2)</f>
        <v>10</v>
      </c>
      <c r="W826" t="e">
        <f>INDEX([1]Parameters!$A$3:$C$5,MATCH('[1]Pizza Sales Calculations'!E826,[1]Parameters!$A$3:$A$5,0),2)</f>
        <v>#N/A</v>
      </c>
      <c r="X826" t="e">
        <f>INDEX([1]Parameters!$A$3:$C$5,MATCH('[1]Pizza Sales Calculations'!F826,[1]Parameters!$A$3:$A$5,0),2)</f>
        <v>#N/A</v>
      </c>
    </row>
    <row r="827" spans="1:24" x14ac:dyDescent="0.3">
      <c r="A827">
        <v>826</v>
      </c>
      <c r="B827" s="14">
        <v>42378.535567129627</v>
      </c>
      <c r="C827" s="14">
        <v>42378.545972222222</v>
      </c>
      <c r="D827" t="s">
        <v>3</v>
      </c>
      <c r="E827" t="s">
        <v>5</v>
      </c>
      <c r="G827" t="b">
        <v>1</v>
      </c>
      <c r="H827">
        <v>70806</v>
      </c>
      <c r="I827" s="5">
        <v>4.0281283546124298</v>
      </c>
      <c r="J827" s="14">
        <v>42378.559953703705</v>
      </c>
      <c r="K827">
        <v>23.34</v>
      </c>
      <c r="L827" s="5">
        <f>('[1]Pizza Sales Calculations'!$J827-'[1]Pizza Sales Calculations'!$C827)*24*60</f>
        <v>20.133333335397765</v>
      </c>
      <c r="M827">
        <f>COUNTA('[1]Pizza Sales Calculations'!$D827:$F827)</f>
        <v>2</v>
      </c>
      <c r="N827">
        <f>IFERROR(VLOOKUP(D827,[1]Parameters!$A$3:$C$5,3,FALSE),0)</f>
        <v>1</v>
      </c>
      <c r="O827">
        <f>IFERROR(VLOOKUP(E827,[1]Parameters!$A$3:$C$5,3,FALSE),0)</f>
        <v>2.2999999999999998</v>
      </c>
      <c r="P827">
        <f>IFERROR(VLOOKUP(F827,[1]Parameters!$A$3:$C$5,3,FALSE),0)</f>
        <v>0</v>
      </c>
      <c r="Q827">
        <f t="shared" si="12"/>
        <v>3.3</v>
      </c>
      <c r="R827" s="10">
        <f>IF('[1]Pizza Sales Calculations'!$G827=TRUE, [1]Parameters!$B$17*'[1]Pizza Sales Calculations'!$L827*2, 0)</f>
        <v>5.7044444450293668</v>
      </c>
      <c r="S827" t="str">
        <f>IF(I827&lt;[1]Parameters!$B$21,"TRUE","FALSE")</f>
        <v>FALSE</v>
      </c>
      <c r="T827" s="5">
        <f>(I827/[1]Parameters!$B$25)*60</f>
        <v>8.0562567092248596</v>
      </c>
      <c r="U827" s="10">
        <f>IF(AND('[1]Pizza Sales Calculations'!G827=TRUE,'[1]Pizza Sales Calculations'!S827="TRUE"),T827*[1]Parameters!$B$40*2,0)</f>
        <v>0</v>
      </c>
      <c r="V827">
        <f>INDEX([1]Parameters!$A$3:$C$5,MATCH('[1]Pizza Sales Calculations'!D827,[1]Parameters!$A$3:$A$5,0),2)</f>
        <v>7</v>
      </c>
      <c r="W827">
        <f>INDEX([1]Parameters!$A$3:$C$5,MATCH('[1]Pizza Sales Calculations'!E827,[1]Parameters!$A$3:$A$5,0),2)</f>
        <v>14</v>
      </c>
      <c r="X827" t="e">
        <f>INDEX([1]Parameters!$A$3:$C$5,MATCH('[1]Pizza Sales Calculations'!F827,[1]Parameters!$A$3:$A$5,0),2)</f>
        <v>#N/A</v>
      </c>
    </row>
    <row r="828" spans="1:24" x14ac:dyDescent="0.3">
      <c r="A828">
        <v>827</v>
      </c>
      <c r="B828" s="14">
        <v>42378.446770833332</v>
      </c>
      <c r="C828" s="14">
        <v>42378.457175925927</v>
      </c>
      <c r="D828" t="s">
        <v>3</v>
      </c>
      <c r="G828" t="b">
        <v>0</v>
      </c>
      <c r="H828">
        <v>70807</v>
      </c>
      <c r="I828" s="5">
        <v>0</v>
      </c>
      <c r="J828" s="14">
        <v>42378.459236111114</v>
      </c>
      <c r="K828">
        <v>7.99</v>
      </c>
      <c r="L828" s="5">
        <f>('[1]Pizza Sales Calculations'!$J828-'[1]Pizza Sales Calculations'!$C828)*24*60</f>
        <v>2.9666666686534882</v>
      </c>
      <c r="M828">
        <f>COUNTA('[1]Pizza Sales Calculations'!$D828:$F828)</f>
        <v>1</v>
      </c>
      <c r="N828">
        <f>IFERROR(VLOOKUP(D828,[1]Parameters!$A$3:$C$5,3,FALSE),0)</f>
        <v>1</v>
      </c>
      <c r="O828">
        <f>IFERROR(VLOOKUP(E828,[1]Parameters!$A$3:$C$5,3,FALSE),0)</f>
        <v>0</v>
      </c>
      <c r="P828">
        <f>IFERROR(VLOOKUP(F828,[1]Parameters!$A$3:$C$5,3,FALSE),0)</f>
        <v>0</v>
      </c>
      <c r="Q828">
        <f t="shared" si="12"/>
        <v>1</v>
      </c>
      <c r="R828" s="10">
        <f>IF('[1]Pizza Sales Calculations'!$G828=TRUE, [1]Parameters!$B$17*'[1]Pizza Sales Calculations'!$L828*2, 0)</f>
        <v>0</v>
      </c>
      <c r="S828" t="str">
        <f>IF(I828&lt;[1]Parameters!$B$21,"TRUE","FALSE")</f>
        <v>TRUE</v>
      </c>
      <c r="T828" s="5">
        <f>(I828/[1]Parameters!$B$25)*60</f>
        <v>0</v>
      </c>
      <c r="U828" s="10">
        <f>IF(AND('[1]Pizza Sales Calculations'!G828=TRUE,'[1]Pizza Sales Calculations'!S828="TRUE"),T828*[1]Parameters!$B$40*2,0)</f>
        <v>0</v>
      </c>
      <c r="V828">
        <f>INDEX([1]Parameters!$A$3:$C$5,MATCH('[1]Pizza Sales Calculations'!D828,[1]Parameters!$A$3:$A$5,0),2)</f>
        <v>7</v>
      </c>
      <c r="W828" t="e">
        <f>INDEX([1]Parameters!$A$3:$C$5,MATCH('[1]Pizza Sales Calculations'!E828,[1]Parameters!$A$3:$A$5,0),2)</f>
        <v>#N/A</v>
      </c>
      <c r="X828" t="e">
        <f>INDEX([1]Parameters!$A$3:$C$5,MATCH('[1]Pizza Sales Calculations'!F828,[1]Parameters!$A$3:$A$5,0),2)</f>
        <v>#N/A</v>
      </c>
    </row>
    <row r="829" spans="1:24" x14ac:dyDescent="0.3">
      <c r="A829">
        <v>828</v>
      </c>
      <c r="B829" s="14">
        <v>42378.477511574078</v>
      </c>
      <c r="C829" s="14">
        <v>42378.487916666665</v>
      </c>
      <c r="D829" t="s">
        <v>5</v>
      </c>
      <c r="G829" t="b">
        <v>1</v>
      </c>
      <c r="H829">
        <v>70805</v>
      </c>
      <c r="I829" s="5">
        <v>4.6927831425776096</v>
      </c>
      <c r="J829" s="14">
        <v>42378.504201388889</v>
      </c>
      <c r="K829">
        <v>15.35</v>
      </c>
      <c r="L829" s="5">
        <f>('[1]Pizza Sales Calculations'!$J829-'[1]Pizza Sales Calculations'!$C829)*24*60</f>
        <v>23.45000000204891</v>
      </c>
      <c r="M829">
        <f>COUNTA('[1]Pizza Sales Calculations'!$D829:$F829)</f>
        <v>1</v>
      </c>
      <c r="N829">
        <f>IFERROR(VLOOKUP(D829,[1]Parameters!$A$3:$C$5,3,FALSE),0)</f>
        <v>2.2999999999999998</v>
      </c>
      <c r="O829">
        <f>IFERROR(VLOOKUP(E829,[1]Parameters!$A$3:$C$5,3,FALSE),0)</f>
        <v>0</v>
      </c>
      <c r="P829">
        <f>IFERROR(VLOOKUP(F829,[1]Parameters!$A$3:$C$5,3,FALSE),0)</f>
        <v>0</v>
      </c>
      <c r="Q829">
        <f t="shared" si="12"/>
        <v>2.2999999999999998</v>
      </c>
      <c r="R829" s="10">
        <f>IF('[1]Pizza Sales Calculations'!$G829=TRUE, [1]Parameters!$B$17*'[1]Pizza Sales Calculations'!$L829*2, 0)</f>
        <v>6.6441666672471911</v>
      </c>
      <c r="S829" t="str">
        <f>IF(I829&lt;[1]Parameters!$B$21,"TRUE","FALSE")</f>
        <v>FALSE</v>
      </c>
      <c r="T829" s="5">
        <f>(I829/[1]Parameters!$B$25)*60</f>
        <v>9.3855662851552193</v>
      </c>
      <c r="U829" s="10">
        <f>IF(AND('[1]Pizza Sales Calculations'!G829=TRUE,'[1]Pizza Sales Calculations'!S829="TRUE"),T829*[1]Parameters!$B$40*2,0)</f>
        <v>0</v>
      </c>
      <c r="V829">
        <f>INDEX([1]Parameters!$A$3:$C$5,MATCH('[1]Pizza Sales Calculations'!D829,[1]Parameters!$A$3:$A$5,0),2)</f>
        <v>14</v>
      </c>
      <c r="W829" t="e">
        <f>INDEX([1]Parameters!$A$3:$C$5,MATCH('[1]Pizza Sales Calculations'!E829,[1]Parameters!$A$3:$A$5,0),2)</f>
        <v>#N/A</v>
      </c>
      <c r="X829" t="e">
        <f>INDEX([1]Parameters!$A$3:$C$5,MATCH('[1]Pizza Sales Calculations'!F829,[1]Parameters!$A$3:$A$5,0),2)</f>
        <v>#N/A</v>
      </c>
    </row>
    <row r="830" spans="1:24" x14ac:dyDescent="0.3">
      <c r="A830">
        <v>829</v>
      </c>
      <c r="B830" s="14">
        <v>42378.471516203703</v>
      </c>
      <c r="C830" s="14">
        <v>42378.481921296298</v>
      </c>
      <c r="D830" t="s">
        <v>3</v>
      </c>
      <c r="E830" t="s">
        <v>5</v>
      </c>
      <c r="G830" t="b">
        <v>0</v>
      </c>
      <c r="H830">
        <v>70803</v>
      </c>
      <c r="I830" s="5">
        <v>0</v>
      </c>
      <c r="J830" s="14">
        <v>42378.483981481484</v>
      </c>
      <c r="K830">
        <v>23.34</v>
      </c>
      <c r="L830" s="5">
        <f>('[1]Pizza Sales Calculations'!$J830-'[1]Pizza Sales Calculations'!$C830)*24*60</f>
        <v>2.9666666686534882</v>
      </c>
      <c r="M830">
        <f>COUNTA('[1]Pizza Sales Calculations'!$D830:$F830)</f>
        <v>2</v>
      </c>
      <c r="N830">
        <f>IFERROR(VLOOKUP(D830,[1]Parameters!$A$3:$C$5,3,FALSE),0)</f>
        <v>1</v>
      </c>
      <c r="O830">
        <f>IFERROR(VLOOKUP(E830,[1]Parameters!$A$3:$C$5,3,FALSE),0)</f>
        <v>2.2999999999999998</v>
      </c>
      <c r="P830">
        <f>IFERROR(VLOOKUP(F830,[1]Parameters!$A$3:$C$5,3,FALSE),0)</f>
        <v>0</v>
      </c>
      <c r="Q830">
        <f t="shared" si="12"/>
        <v>3.3</v>
      </c>
      <c r="R830" s="10">
        <f>IF('[1]Pizza Sales Calculations'!$G830=TRUE, [1]Parameters!$B$17*'[1]Pizza Sales Calculations'!$L830*2, 0)</f>
        <v>0</v>
      </c>
      <c r="S830" t="str">
        <f>IF(I830&lt;[1]Parameters!$B$21,"TRUE","FALSE")</f>
        <v>TRUE</v>
      </c>
      <c r="T830" s="5">
        <f>(I830/[1]Parameters!$B$25)*60</f>
        <v>0</v>
      </c>
      <c r="U830" s="10">
        <f>IF(AND('[1]Pizza Sales Calculations'!G830=TRUE,'[1]Pizza Sales Calculations'!S830="TRUE"),T830*[1]Parameters!$B$40*2,0)</f>
        <v>0</v>
      </c>
      <c r="V830">
        <f>INDEX([1]Parameters!$A$3:$C$5,MATCH('[1]Pizza Sales Calculations'!D830,[1]Parameters!$A$3:$A$5,0),2)</f>
        <v>7</v>
      </c>
      <c r="W830">
        <f>INDEX([1]Parameters!$A$3:$C$5,MATCH('[1]Pizza Sales Calculations'!E830,[1]Parameters!$A$3:$A$5,0),2)</f>
        <v>14</v>
      </c>
      <c r="X830" t="e">
        <f>INDEX([1]Parameters!$A$3:$C$5,MATCH('[1]Pizza Sales Calculations'!F830,[1]Parameters!$A$3:$A$5,0),2)</f>
        <v>#N/A</v>
      </c>
    </row>
    <row r="831" spans="1:24" x14ac:dyDescent="0.3">
      <c r="A831">
        <v>830</v>
      </c>
      <c r="B831" s="14">
        <v>42378.537951388891</v>
      </c>
      <c r="C831" s="14">
        <v>42378.548356481479</v>
      </c>
      <c r="D831" t="s">
        <v>4</v>
      </c>
      <c r="G831" t="b">
        <v>1</v>
      </c>
      <c r="H831">
        <v>70804</v>
      </c>
      <c r="I831" s="5">
        <v>1.7332172622714499</v>
      </c>
      <c r="J831" s="14">
        <v>42378.554363425923</v>
      </c>
      <c r="K831">
        <v>11.59</v>
      </c>
      <c r="L831" s="5">
        <f>('[1]Pizza Sales Calculations'!$J831-'[1]Pizza Sales Calculations'!$C831)*24*60</f>
        <v>8.6499999999068677</v>
      </c>
      <c r="M831">
        <f>COUNTA('[1]Pizza Sales Calculations'!$D831:$F831)</f>
        <v>1</v>
      </c>
      <c r="N831">
        <f>IFERROR(VLOOKUP(D831,[1]Parameters!$A$3:$C$5,3,FALSE),0)</f>
        <v>1.7</v>
      </c>
      <c r="O831">
        <f>IFERROR(VLOOKUP(E831,[1]Parameters!$A$3:$C$5,3,FALSE),0)</f>
        <v>0</v>
      </c>
      <c r="P831">
        <f>IFERROR(VLOOKUP(F831,[1]Parameters!$A$3:$C$5,3,FALSE),0)</f>
        <v>0</v>
      </c>
      <c r="Q831">
        <f t="shared" si="12"/>
        <v>1.7</v>
      </c>
      <c r="R831" s="10">
        <f>IF('[1]Pizza Sales Calculations'!$G831=TRUE, [1]Parameters!$B$17*'[1]Pizza Sales Calculations'!$L831*2, 0)</f>
        <v>2.4508333333069459</v>
      </c>
      <c r="S831" t="str">
        <f>IF(I831&lt;[1]Parameters!$B$21,"TRUE","FALSE")</f>
        <v>TRUE</v>
      </c>
      <c r="T831" s="5">
        <f>(I831/[1]Parameters!$B$25)*60</f>
        <v>3.4664345245428998</v>
      </c>
      <c r="U831" s="10">
        <f>IF(AND('[1]Pizza Sales Calculations'!G831=TRUE,'[1]Pizza Sales Calculations'!S831="TRUE"),T831*[1]Parameters!$B$40*2,0)</f>
        <v>0.21638395318474668</v>
      </c>
      <c r="V831">
        <f>INDEX([1]Parameters!$A$3:$C$5,MATCH('[1]Pizza Sales Calculations'!D831,[1]Parameters!$A$3:$A$5,0),2)</f>
        <v>10</v>
      </c>
      <c r="W831" t="e">
        <f>INDEX([1]Parameters!$A$3:$C$5,MATCH('[1]Pizza Sales Calculations'!E831,[1]Parameters!$A$3:$A$5,0),2)</f>
        <v>#N/A</v>
      </c>
      <c r="X831" t="e">
        <f>INDEX([1]Parameters!$A$3:$C$5,MATCH('[1]Pizza Sales Calculations'!F831,[1]Parameters!$A$3:$A$5,0),2)</f>
        <v>#N/A</v>
      </c>
    </row>
    <row r="832" spans="1:24" x14ac:dyDescent="0.3">
      <c r="A832">
        <v>831</v>
      </c>
      <c r="B832" s="14">
        <v>42378.487916666665</v>
      </c>
      <c r="C832" s="14">
        <v>42378.49832175926</v>
      </c>
      <c r="D832" t="s">
        <v>5</v>
      </c>
      <c r="G832" t="b">
        <v>1</v>
      </c>
      <c r="H832">
        <v>70806</v>
      </c>
      <c r="I832" s="5">
        <v>2.46126570697818</v>
      </c>
      <c r="J832" s="14">
        <v>42378.506863425922</v>
      </c>
      <c r="K832">
        <v>15.35</v>
      </c>
      <c r="L832" s="5">
        <f>('[1]Pizza Sales Calculations'!$J832-'[1]Pizza Sales Calculations'!$C832)*24*60</f>
        <v>12.299999993992969</v>
      </c>
      <c r="M832">
        <f>COUNTA('[1]Pizza Sales Calculations'!$D832:$F832)</f>
        <v>1</v>
      </c>
      <c r="N832">
        <f>IFERROR(VLOOKUP(D832,[1]Parameters!$A$3:$C$5,3,FALSE),0)</f>
        <v>2.2999999999999998</v>
      </c>
      <c r="O832">
        <f>IFERROR(VLOOKUP(E832,[1]Parameters!$A$3:$C$5,3,FALSE),0)</f>
        <v>0</v>
      </c>
      <c r="P832">
        <f>IFERROR(VLOOKUP(F832,[1]Parameters!$A$3:$C$5,3,FALSE),0)</f>
        <v>0</v>
      </c>
      <c r="Q832">
        <f t="shared" si="12"/>
        <v>2.2999999999999998</v>
      </c>
      <c r="R832" s="10">
        <f>IF('[1]Pizza Sales Calculations'!$G832=TRUE, [1]Parameters!$B$17*'[1]Pizza Sales Calculations'!$L832*2, 0)</f>
        <v>3.484999998298008</v>
      </c>
      <c r="S832" t="str">
        <f>IF(I832&lt;[1]Parameters!$B$21,"TRUE","FALSE")</f>
        <v>TRUE</v>
      </c>
      <c r="T832" s="5">
        <f>(I832/[1]Parameters!$B$25)*60</f>
        <v>4.9225314139563601</v>
      </c>
      <c r="U832" s="10">
        <f>IF(AND('[1]Pizza Sales Calculations'!G832=TRUE,'[1]Pizza Sales Calculations'!S832="TRUE"),T832*[1]Parameters!$B$40*2,0)</f>
        <v>0.30727734780117749</v>
      </c>
      <c r="V832">
        <f>INDEX([1]Parameters!$A$3:$C$5,MATCH('[1]Pizza Sales Calculations'!D832,[1]Parameters!$A$3:$A$5,0),2)</f>
        <v>14</v>
      </c>
      <c r="W832" t="e">
        <f>INDEX([1]Parameters!$A$3:$C$5,MATCH('[1]Pizza Sales Calculations'!E832,[1]Parameters!$A$3:$A$5,0),2)</f>
        <v>#N/A</v>
      </c>
      <c r="X832" t="e">
        <f>INDEX([1]Parameters!$A$3:$C$5,MATCH('[1]Pizza Sales Calculations'!F832,[1]Parameters!$A$3:$A$5,0),2)</f>
        <v>#N/A</v>
      </c>
    </row>
    <row r="833" spans="1:24" x14ac:dyDescent="0.3">
      <c r="A833">
        <v>832</v>
      </c>
      <c r="B833" s="14">
        <v>42378.543483796297</v>
      </c>
      <c r="C833" s="14">
        <v>42378.553923611114</v>
      </c>
      <c r="D833" t="s">
        <v>3</v>
      </c>
      <c r="E833" t="s">
        <v>4</v>
      </c>
      <c r="G833" t="b">
        <v>1</v>
      </c>
      <c r="H833">
        <v>70805</v>
      </c>
      <c r="I833" s="5">
        <v>3.2476728502336698</v>
      </c>
      <c r="J833" s="14">
        <v>42378.565196759257</v>
      </c>
      <c r="K833">
        <v>19.579999999999998</v>
      </c>
      <c r="L833" s="5">
        <f>('[1]Pizza Sales Calculations'!$J833-'[1]Pizza Sales Calculations'!$C833)*24*60</f>
        <v>16.233333324780688</v>
      </c>
      <c r="M833">
        <f>COUNTA('[1]Pizza Sales Calculations'!$D833:$F833)</f>
        <v>2</v>
      </c>
      <c r="N833">
        <f>IFERROR(VLOOKUP(D833,[1]Parameters!$A$3:$C$5,3,FALSE),0)</f>
        <v>1</v>
      </c>
      <c r="O833">
        <f>IFERROR(VLOOKUP(E833,[1]Parameters!$A$3:$C$5,3,FALSE),0)</f>
        <v>1.7</v>
      </c>
      <c r="P833">
        <f>IFERROR(VLOOKUP(F833,[1]Parameters!$A$3:$C$5,3,FALSE),0)</f>
        <v>0</v>
      </c>
      <c r="Q833">
        <f t="shared" si="12"/>
        <v>2.7</v>
      </c>
      <c r="R833" s="10">
        <f>IF('[1]Pizza Sales Calculations'!$G833=TRUE, [1]Parameters!$B$17*'[1]Pizza Sales Calculations'!$L833*2, 0)</f>
        <v>4.5994444420211948</v>
      </c>
      <c r="S833" t="str">
        <f>IF(I833&lt;[1]Parameters!$B$21,"TRUE","FALSE")</f>
        <v>FALSE</v>
      </c>
      <c r="T833" s="5">
        <f>(I833/[1]Parameters!$B$25)*60</f>
        <v>6.4953457004673396</v>
      </c>
      <c r="U833" s="10">
        <f>IF(AND('[1]Pizza Sales Calculations'!G833=TRUE,'[1]Pizza Sales Calculations'!S833="TRUE"),T833*[1]Parameters!$B$40*2,0)</f>
        <v>0</v>
      </c>
      <c r="V833">
        <f>INDEX([1]Parameters!$A$3:$C$5,MATCH('[1]Pizza Sales Calculations'!D833,[1]Parameters!$A$3:$A$5,0),2)</f>
        <v>7</v>
      </c>
      <c r="W833">
        <f>INDEX([1]Parameters!$A$3:$C$5,MATCH('[1]Pizza Sales Calculations'!E833,[1]Parameters!$A$3:$A$5,0),2)</f>
        <v>10</v>
      </c>
      <c r="X833" t="e">
        <f>INDEX([1]Parameters!$A$3:$C$5,MATCH('[1]Pizza Sales Calculations'!F833,[1]Parameters!$A$3:$A$5,0),2)</f>
        <v>#N/A</v>
      </c>
    </row>
    <row r="834" spans="1:24" x14ac:dyDescent="0.3">
      <c r="A834">
        <v>833</v>
      </c>
      <c r="B834" s="14">
        <v>42378.562268518515</v>
      </c>
      <c r="C834" s="14">
        <v>42378.572696759256</v>
      </c>
      <c r="D834" t="s">
        <v>4</v>
      </c>
      <c r="G834" t="b">
        <v>0</v>
      </c>
      <c r="H834">
        <v>70805</v>
      </c>
      <c r="I834" s="5">
        <v>0</v>
      </c>
      <c r="J834" s="14">
        <v>42378.574780092589</v>
      </c>
      <c r="K834">
        <v>11.59</v>
      </c>
      <c r="L834" s="5">
        <f>('[1]Pizza Sales Calculations'!$J834-'[1]Pizza Sales Calculations'!$C834)*24*60</f>
        <v>2.9999999993015081</v>
      </c>
      <c r="M834">
        <f>COUNTA('[1]Pizza Sales Calculations'!$D834:$F834)</f>
        <v>1</v>
      </c>
      <c r="N834">
        <f>IFERROR(VLOOKUP(D834,[1]Parameters!$A$3:$C$5,3,FALSE),0)</f>
        <v>1.7</v>
      </c>
      <c r="O834">
        <f>IFERROR(VLOOKUP(E834,[1]Parameters!$A$3:$C$5,3,FALSE),0)</f>
        <v>0</v>
      </c>
      <c r="P834">
        <f>IFERROR(VLOOKUP(F834,[1]Parameters!$A$3:$C$5,3,FALSE),0)</f>
        <v>0</v>
      </c>
      <c r="Q834">
        <f t="shared" si="12"/>
        <v>1.7</v>
      </c>
      <c r="R834" s="10">
        <f>IF('[1]Pizza Sales Calculations'!$G834=TRUE, [1]Parameters!$B$17*'[1]Pizza Sales Calculations'!$L834*2, 0)</f>
        <v>0</v>
      </c>
      <c r="S834" t="str">
        <f>IF(I834&lt;[1]Parameters!$B$21,"TRUE","FALSE")</f>
        <v>TRUE</v>
      </c>
      <c r="T834" s="5">
        <f>(I834/[1]Parameters!$B$25)*60</f>
        <v>0</v>
      </c>
      <c r="U834" s="10">
        <f>IF(AND('[1]Pizza Sales Calculations'!G834=TRUE,'[1]Pizza Sales Calculations'!S834="TRUE"),T834*[1]Parameters!$B$40*2,0)</f>
        <v>0</v>
      </c>
      <c r="V834">
        <f>INDEX([1]Parameters!$A$3:$C$5,MATCH('[1]Pizza Sales Calculations'!D834,[1]Parameters!$A$3:$A$5,0),2)</f>
        <v>10</v>
      </c>
      <c r="W834" t="e">
        <f>INDEX([1]Parameters!$A$3:$C$5,MATCH('[1]Pizza Sales Calculations'!E834,[1]Parameters!$A$3:$A$5,0),2)</f>
        <v>#N/A</v>
      </c>
      <c r="X834" t="e">
        <f>INDEX([1]Parameters!$A$3:$C$5,MATCH('[1]Pizza Sales Calculations'!F834,[1]Parameters!$A$3:$A$5,0),2)</f>
        <v>#N/A</v>
      </c>
    </row>
    <row r="835" spans="1:24" x14ac:dyDescent="0.3">
      <c r="A835">
        <v>834</v>
      </c>
      <c r="B835" s="14">
        <v>42378.463194444441</v>
      </c>
      <c r="C835" s="14">
        <v>42378.473587962966</v>
      </c>
      <c r="D835" t="s">
        <v>3</v>
      </c>
      <c r="E835" t="s">
        <v>4</v>
      </c>
      <c r="G835" t="b">
        <v>0</v>
      </c>
      <c r="H835">
        <v>70804</v>
      </c>
      <c r="I835" s="5">
        <v>0</v>
      </c>
      <c r="J835" s="14">
        <v>42378.475636574076</v>
      </c>
      <c r="K835">
        <v>19.579999999999998</v>
      </c>
      <c r="L835" s="5">
        <f>('[1]Pizza Sales Calculations'!$J835-'[1]Pizza Sales Calculations'!$C835)*24*60</f>
        <v>2.9499999980907887</v>
      </c>
      <c r="M835">
        <f>COUNTA('[1]Pizza Sales Calculations'!$D835:$F835)</f>
        <v>2</v>
      </c>
      <c r="N835">
        <f>IFERROR(VLOOKUP(D835,[1]Parameters!$A$3:$C$5,3,FALSE),0)</f>
        <v>1</v>
      </c>
      <c r="O835">
        <f>IFERROR(VLOOKUP(E835,[1]Parameters!$A$3:$C$5,3,FALSE),0)</f>
        <v>1.7</v>
      </c>
      <c r="P835">
        <f>IFERROR(VLOOKUP(F835,[1]Parameters!$A$3:$C$5,3,FALSE),0)</f>
        <v>0</v>
      </c>
      <c r="Q835">
        <f t="shared" ref="Q835:Q898" si="13">SUM(N835:P835)</f>
        <v>2.7</v>
      </c>
      <c r="R835" s="10">
        <f>IF('[1]Pizza Sales Calculations'!$G835=TRUE, [1]Parameters!$B$17*'[1]Pizza Sales Calculations'!$L835*2, 0)</f>
        <v>0</v>
      </c>
      <c r="S835" t="str">
        <f>IF(I835&lt;[1]Parameters!$B$21,"TRUE","FALSE")</f>
        <v>TRUE</v>
      </c>
      <c r="T835" s="5">
        <f>(I835/[1]Parameters!$B$25)*60</f>
        <v>0</v>
      </c>
      <c r="U835" s="10">
        <f>IF(AND('[1]Pizza Sales Calculations'!G835=TRUE,'[1]Pizza Sales Calculations'!S835="TRUE"),T835*[1]Parameters!$B$40*2,0)</f>
        <v>0</v>
      </c>
      <c r="V835">
        <f>INDEX([1]Parameters!$A$3:$C$5,MATCH('[1]Pizza Sales Calculations'!D835,[1]Parameters!$A$3:$A$5,0),2)</f>
        <v>7</v>
      </c>
      <c r="W835">
        <f>INDEX([1]Parameters!$A$3:$C$5,MATCH('[1]Pizza Sales Calculations'!E835,[1]Parameters!$A$3:$A$5,0),2)</f>
        <v>10</v>
      </c>
      <c r="X835" t="e">
        <f>INDEX([1]Parameters!$A$3:$C$5,MATCH('[1]Pizza Sales Calculations'!F835,[1]Parameters!$A$3:$A$5,0),2)</f>
        <v>#N/A</v>
      </c>
    </row>
    <row r="836" spans="1:24" x14ac:dyDescent="0.3">
      <c r="A836">
        <v>835</v>
      </c>
      <c r="B836" s="14">
        <v>42378.502766203703</v>
      </c>
      <c r="C836" s="14">
        <v>42378.513182870367</v>
      </c>
      <c r="D836" t="s">
        <v>3</v>
      </c>
      <c r="G836" t="b">
        <v>1</v>
      </c>
      <c r="H836">
        <v>70804</v>
      </c>
      <c r="I836" s="5">
        <v>3.14186495215823</v>
      </c>
      <c r="J836" s="14">
        <v>42378.524085648147</v>
      </c>
      <c r="K836">
        <v>7.99</v>
      </c>
      <c r="L836" s="5">
        <f>('[1]Pizza Sales Calculations'!$J836-'[1]Pizza Sales Calculations'!$C836)*24*60</f>
        <v>15.700000002980232</v>
      </c>
      <c r="M836">
        <f>COUNTA('[1]Pizza Sales Calculations'!$D836:$F836)</f>
        <v>1</v>
      </c>
      <c r="N836">
        <f>IFERROR(VLOOKUP(D836,[1]Parameters!$A$3:$C$5,3,FALSE),0)</f>
        <v>1</v>
      </c>
      <c r="O836">
        <f>IFERROR(VLOOKUP(E836,[1]Parameters!$A$3:$C$5,3,FALSE),0)</f>
        <v>0</v>
      </c>
      <c r="P836">
        <f>IFERROR(VLOOKUP(F836,[1]Parameters!$A$3:$C$5,3,FALSE),0)</f>
        <v>0</v>
      </c>
      <c r="Q836">
        <f t="shared" si="13"/>
        <v>1</v>
      </c>
      <c r="R836" s="10">
        <f>IF('[1]Pizza Sales Calculations'!$G836=TRUE, [1]Parameters!$B$17*'[1]Pizza Sales Calculations'!$L836*2, 0)</f>
        <v>4.4483333341777325</v>
      </c>
      <c r="S836" t="str">
        <f>IF(I836&lt;[1]Parameters!$B$21,"TRUE","FALSE")</f>
        <v>TRUE</v>
      </c>
      <c r="T836" s="5">
        <f>(I836/[1]Parameters!$B$25)*60</f>
        <v>6.2837299043164601</v>
      </c>
      <c r="U836" s="10">
        <f>IF(AND('[1]Pizza Sales Calculations'!G836=TRUE,'[1]Pizza Sales Calculations'!S836="TRUE"),T836*[1]Parameters!$B$40*2,0)</f>
        <v>0.39224693494549762</v>
      </c>
      <c r="V836">
        <f>INDEX([1]Parameters!$A$3:$C$5,MATCH('[1]Pizza Sales Calculations'!D836,[1]Parameters!$A$3:$A$5,0),2)</f>
        <v>7</v>
      </c>
      <c r="W836" t="e">
        <f>INDEX([1]Parameters!$A$3:$C$5,MATCH('[1]Pizza Sales Calculations'!E836,[1]Parameters!$A$3:$A$5,0),2)</f>
        <v>#N/A</v>
      </c>
      <c r="X836" t="e">
        <f>INDEX([1]Parameters!$A$3:$C$5,MATCH('[1]Pizza Sales Calculations'!F836,[1]Parameters!$A$3:$A$5,0),2)</f>
        <v>#N/A</v>
      </c>
    </row>
    <row r="837" spans="1:24" x14ac:dyDescent="0.3">
      <c r="A837">
        <v>836</v>
      </c>
      <c r="B837" s="14">
        <v>42378.42292824074</v>
      </c>
      <c r="C837" s="14">
        <v>42378.433344907404</v>
      </c>
      <c r="D837" t="s">
        <v>3</v>
      </c>
      <c r="E837" t="s">
        <v>4</v>
      </c>
      <c r="G837" t="b">
        <v>0</v>
      </c>
      <c r="H837">
        <v>70803</v>
      </c>
      <c r="I837" s="5">
        <v>0</v>
      </c>
      <c r="J837" s="14">
        <v>42378.435428240744</v>
      </c>
      <c r="K837">
        <v>19.579999999999998</v>
      </c>
      <c r="L837" s="5">
        <f>('[1]Pizza Sales Calculations'!$J837-'[1]Pizza Sales Calculations'!$C837)*24*60</f>
        <v>3.000000009778887</v>
      </c>
      <c r="M837">
        <f>COUNTA('[1]Pizza Sales Calculations'!$D837:$F837)</f>
        <v>2</v>
      </c>
      <c r="N837">
        <f>IFERROR(VLOOKUP(D837,[1]Parameters!$A$3:$C$5,3,FALSE),0)</f>
        <v>1</v>
      </c>
      <c r="O837">
        <f>IFERROR(VLOOKUP(E837,[1]Parameters!$A$3:$C$5,3,FALSE),0)</f>
        <v>1.7</v>
      </c>
      <c r="P837">
        <f>IFERROR(VLOOKUP(F837,[1]Parameters!$A$3:$C$5,3,FALSE),0)</f>
        <v>0</v>
      </c>
      <c r="Q837">
        <f t="shared" si="13"/>
        <v>2.7</v>
      </c>
      <c r="R837" s="10">
        <f>IF('[1]Pizza Sales Calculations'!$G837=TRUE, [1]Parameters!$B$17*'[1]Pizza Sales Calculations'!$L837*2, 0)</f>
        <v>0</v>
      </c>
      <c r="S837" t="str">
        <f>IF(I837&lt;[1]Parameters!$B$21,"TRUE","FALSE")</f>
        <v>TRUE</v>
      </c>
      <c r="T837" s="5">
        <f>(I837/[1]Parameters!$B$25)*60</f>
        <v>0</v>
      </c>
      <c r="U837" s="10">
        <f>IF(AND('[1]Pizza Sales Calculations'!G837=TRUE,'[1]Pizza Sales Calculations'!S837="TRUE"),T837*[1]Parameters!$B$40*2,0)</f>
        <v>0</v>
      </c>
      <c r="V837">
        <f>INDEX([1]Parameters!$A$3:$C$5,MATCH('[1]Pizza Sales Calculations'!D837,[1]Parameters!$A$3:$A$5,0),2)</f>
        <v>7</v>
      </c>
      <c r="W837">
        <f>INDEX([1]Parameters!$A$3:$C$5,MATCH('[1]Pizza Sales Calculations'!E837,[1]Parameters!$A$3:$A$5,0),2)</f>
        <v>10</v>
      </c>
      <c r="X837" t="e">
        <f>INDEX([1]Parameters!$A$3:$C$5,MATCH('[1]Pizza Sales Calculations'!F837,[1]Parameters!$A$3:$A$5,0),2)</f>
        <v>#N/A</v>
      </c>
    </row>
    <row r="838" spans="1:24" x14ac:dyDescent="0.3">
      <c r="A838">
        <v>837</v>
      </c>
      <c r="B838" s="14">
        <v>42378.511944444443</v>
      </c>
      <c r="C838" s="14">
        <v>42378.522361111114</v>
      </c>
      <c r="D838" t="s">
        <v>5</v>
      </c>
      <c r="G838" t="b">
        <v>0</v>
      </c>
      <c r="H838">
        <v>70806</v>
      </c>
      <c r="I838" s="5">
        <v>0</v>
      </c>
      <c r="J838" s="14">
        <v>42378.524444444447</v>
      </c>
      <c r="K838">
        <v>15.35</v>
      </c>
      <c r="L838" s="5">
        <f>('[1]Pizza Sales Calculations'!$J838-'[1]Pizza Sales Calculations'!$C838)*24*60</f>
        <v>2.9999999993015081</v>
      </c>
      <c r="M838">
        <f>COUNTA('[1]Pizza Sales Calculations'!$D838:$F838)</f>
        <v>1</v>
      </c>
      <c r="N838">
        <f>IFERROR(VLOOKUP(D838,[1]Parameters!$A$3:$C$5,3,FALSE),0)</f>
        <v>2.2999999999999998</v>
      </c>
      <c r="O838">
        <f>IFERROR(VLOOKUP(E838,[1]Parameters!$A$3:$C$5,3,FALSE),0)</f>
        <v>0</v>
      </c>
      <c r="P838">
        <f>IFERROR(VLOOKUP(F838,[1]Parameters!$A$3:$C$5,3,FALSE),0)</f>
        <v>0</v>
      </c>
      <c r="Q838">
        <f t="shared" si="13"/>
        <v>2.2999999999999998</v>
      </c>
      <c r="R838" s="10">
        <f>IF('[1]Pizza Sales Calculations'!$G838=TRUE, [1]Parameters!$B$17*'[1]Pizza Sales Calculations'!$L838*2, 0)</f>
        <v>0</v>
      </c>
      <c r="S838" t="str">
        <f>IF(I838&lt;[1]Parameters!$B$21,"TRUE","FALSE")</f>
        <v>TRUE</v>
      </c>
      <c r="T838" s="5">
        <f>(I838/[1]Parameters!$B$25)*60</f>
        <v>0</v>
      </c>
      <c r="U838" s="10">
        <f>IF(AND('[1]Pizza Sales Calculations'!G838=TRUE,'[1]Pizza Sales Calculations'!S838="TRUE"),T838*[1]Parameters!$B$40*2,0)</f>
        <v>0</v>
      </c>
      <c r="V838">
        <f>INDEX([1]Parameters!$A$3:$C$5,MATCH('[1]Pizza Sales Calculations'!D838,[1]Parameters!$A$3:$A$5,0),2)</f>
        <v>14</v>
      </c>
      <c r="W838" t="e">
        <f>INDEX([1]Parameters!$A$3:$C$5,MATCH('[1]Pizza Sales Calculations'!E838,[1]Parameters!$A$3:$A$5,0),2)</f>
        <v>#N/A</v>
      </c>
      <c r="X838" t="e">
        <f>INDEX([1]Parameters!$A$3:$C$5,MATCH('[1]Pizza Sales Calculations'!F838,[1]Parameters!$A$3:$A$5,0),2)</f>
        <v>#N/A</v>
      </c>
    </row>
    <row r="839" spans="1:24" x14ac:dyDescent="0.3">
      <c r="A839">
        <v>838</v>
      </c>
      <c r="B839" s="14">
        <v>42378.496122685188</v>
      </c>
      <c r="C839" s="14">
        <v>42378.506527777776</v>
      </c>
      <c r="D839" t="s">
        <v>4</v>
      </c>
      <c r="G839" t="b">
        <v>1</v>
      </c>
      <c r="H839">
        <v>70805</v>
      </c>
      <c r="I839" s="5">
        <v>2.8480393256986098</v>
      </c>
      <c r="J839" s="14">
        <v>42378.516412037039</v>
      </c>
      <c r="K839">
        <v>11.59</v>
      </c>
      <c r="L839" s="5">
        <f>('[1]Pizza Sales Calculations'!$J839-'[1]Pizza Sales Calculations'!$C839)*24*60</f>
        <v>14.233333339216188</v>
      </c>
      <c r="M839">
        <f>COUNTA('[1]Pizza Sales Calculations'!$D839:$F839)</f>
        <v>1</v>
      </c>
      <c r="N839">
        <f>IFERROR(VLOOKUP(D839,[1]Parameters!$A$3:$C$5,3,FALSE),0)</f>
        <v>1.7</v>
      </c>
      <c r="O839">
        <f>IFERROR(VLOOKUP(E839,[1]Parameters!$A$3:$C$5,3,FALSE),0)</f>
        <v>0</v>
      </c>
      <c r="P839">
        <f>IFERROR(VLOOKUP(F839,[1]Parameters!$A$3:$C$5,3,FALSE),0)</f>
        <v>0</v>
      </c>
      <c r="Q839">
        <f t="shared" si="13"/>
        <v>1.7</v>
      </c>
      <c r="R839" s="10">
        <f>IF('[1]Pizza Sales Calculations'!$G839=TRUE, [1]Parameters!$B$17*'[1]Pizza Sales Calculations'!$L839*2, 0)</f>
        <v>4.0327777794445865</v>
      </c>
      <c r="S839" t="str">
        <f>IF(I839&lt;[1]Parameters!$B$21,"TRUE","FALSE")</f>
        <v>TRUE</v>
      </c>
      <c r="T839" s="5">
        <f>(I839/[1]Parameters!$B$25)*60</f>
        <v>5.6960786513972197</v>
      </c>
      <c r="U839" s="10">
        <f>IF(AND('[1]Pizza Sales Calculations'!G839=TRUE,'[1]Pizza Sales Calculations'!S839="TRUE"),T839*[1]Parameters!$B$40*2,0)</f>
        <v>0.35556419932757838</v>
      </c>
      <c r="V839">
        <f>INDEX([1]Parameters!$A$3:$C$5,MATCH('[1]Pizza Sales Calculations'!D839,[1]Parameters!$A$3:$A$5,0),2)</f>
        <v>10</v>
      </c>
      <c r="W839" t="e">
        <f>INDEX([1]Parameters!$A$3:$C$5,MATCH('[1]Pizza Sales Calculations'!E839,[1]Parameters!$A$3:$A$5,0),2)</f>
        <v>#N/A</v>
      </c>
      <c r="X839" t="e">
        <f>INDEX([1]Parameters!$A$3:$C$5,MATCH('[1]Pizza Sales Calculations'!F839,[1]Parameters!$A$3:$A$5,0),2)</f>
        <v>#N/A</v>
      </c>
    </row>
    <row r="840" spans="1:24" x14ac:dyDescent="0.3">
      <c r="A840">
        <v>839</v>
      </c>
      <c r="B840" s="14">
        <v>42378.558657407404</v>
      </c>
      <c r="C840" s="14">
        <v>42378.569050925929</v>
      </c>
      <c r="D840" t="s">
        <v>3</v>
      </c>
      <c r="E840" t="s">
        <v>4</v>
      </c>
      <c r="G840" t="b">
        <v>1</v>
      </c>
      <c r="H840">
        <v>70803</v>
      </c>
      <c r="I840" s="5">
        <v>4.8086607524304199</v>
      </c>
      <c r="J840" s="14">
        <v>42378.585740740738</v>
      </c>
      <c r="K840">
        <v>19.579999999999998</v>
      </c>
      <c r="L840" s="5">
        <f>('[1]Pizza Sales Calculations'!$J840-'[1]Pizza Sales Calculations'!$C840)*24*60</f>
        <v>24.033333325060084</v>
      </c>
      <c r="M840">
        <f>COUNTA('[1]Pizza Sales Calculations'!$D840:$F840)</f>
        <v>2</v>
      </c>
      <c r="N840">
        <f>IFERROR(VLOOKUP(D840,[1]Parameters!$A$3:$C$5,3,FALSE),0)</f>
        <v>1</v>
      </c>
      <c r="O840">
        <f>IFERROR(VLOOKUP(E840,[1]Parameters!$A$3:$C$5,3,FALSE),0)</f>
        <v>1.7</v>
      </c>
      <c r="P840">
        <f>IFERROR(VLOOKUP(F840,[1]Parameters!$A$3:$C$5,3,FALSE),0)</f>
        <v>0</v>
      </c>
      <c r="Q840">
        <f t="shared" si="13"/>
        <v>2.7</v>
      </c>
      <c r="R840" s="10">
        <f>IF('[1]Pizza Sales Calculations'!$G840=TRUE, [1]Parameters!$B$17*'[1]Pizza Sales Calculations'!$L840*2, 0)</f>
        <v>6.8094444421003573</v>
      </c>
      <c r="S840" t="str">
        <f>IF(I840&lt;[1]Parameters!$B$21,"TRUE","FALSE")</f>
        <v>FALSE</v>
      </c>
      <c r="T840" s="5">
        <f>(I840/[1]Parameters!$B$25)*60</f>
        <v>9.6173215048608398</v>
      </c>
      <c r="U840" s="10">
        <f>IF(AND('[1]Pizza Sales Calculations'!G840=TRUE,'[1]Pizza Sales Calculations'!S840="TRUE"),T840*[1]Parameters!$B$40*2,0)</f>
        <v>0</v>
      </c>
      <c r="V840">
        <f>INDEX([1]Parameters!$A$3:$C$5,MATCH('[1]Pizza Sales Calculations'!D840,[1]Parameters!$A$3:$A$5,0),2)</f>
        <v>7</v>
      </c>
      <c r="W840">
        <f>INDEX([1]Parameters!$A$3:$C$5,MATCH('[1]Pizza Sales Calculations'!E840,[1]Parameters!$A$3:$A$5,0),2)</f>
        <v>10</v>
      </c>
      <c r="X840" t="e">
        <f>INDEX([1]Parameters!$A$3:$C$5,MATCH('[1]Pizza Sales Calculations'!F840,[1]Parameters!$A$3:$A$5,0),2)</f>
        <v>#N/A</v>
      </c>
    </row>
    <row r="841" spans="1:24" x14ac:dyDescent="0.3">
      <c r="A841">
        <v>840</v>
      </c>
      <c r="B841" s="14">
        <v>42378.502523148149</v>
      </c>
      <c r="C841" s="14">
        <v>42378.512928240743</v>
      </c>
      <c r="D841" t="s">
        <v>3</v>
      </c>
      <c r="E841" t="s">
        <v>4</v>
      </c>
      <c r="G841" t="b">
        <v>1</v>
      </c>
      <c r="H841">
        <v>70805</v>
      </c>
      <c r="I841" s="5">
        <v>1.74704983030379</v>
      </c>
      <c r="J841" s="14">
        <v>42378.518993055557</v>
      </c>
      <c r="K841">
        <v>19.579999999999998</v>
      </c>
      <c r="L841" s="5">
        <f>('[1]Pizza Sales Calculations'!$J841-'[1]Pizza Sales Calculations'!$C841)*24*60</f>
        <v>8.733333331765607</v>
      </c>
      <c r="M841">
        <f>COUNTA('[1]Pizza Sales Calculations'!$D841:$F841)</f>
        <v>2</v>
      </c>
      <c r="N841">
        <f>IFERROR(VLOOKUP(D841,[1]Parameters!$A$3:$C$5,3,FALSE),0)</f>
        <v>1</v>
      </c>
      <c r="O841">
        <f>IFERROR(VLOOKUP(E841,[1]Parameters!$A$3:$C$5,3,FALSE),0)</f>
        <v>1.7</v>
      </c>
      <c r="P841">
        <f>IFERROR(VLOOKUP(F841,[1]Parameters!$A$3:$C$5,3,FALSE),0)</f>
        <v>0</v>
      </c>
      <c r="Q841">
        <f t="shared" si="13"/>
        <v>2.7</v>
      </c>
      <c r="R841" s="10">
        <f>IF('[1]Pizza Sales Calculations'!$G841=TRUE, [1]Parameters!$B$17*'[1]Pizza Sales Calculations'!$L841*2, 0)</f>
        <v>2.4744444440002553</v>
      </c>
      <c r="S841" t="str">
        <f>IF(I841&lt;[1]Parameters!$B$21,"TRUE","FALSE")</f>
        <v>TRUE</v>
      </c>
      <c r="T841" s="5">
        <f>(I841/[1]Parameters!$B$25)*60</f>
        <v>3.49409966060758</v>
      </c>
      <c r="U841" s="10">
        <f>IF(AND('[1]Pizza Sales Calculations'!G841=TRUE,'[1]Pizza Sales Calculations'!S841="TRUE"),T841*[1]Parameters!$B$40*2,0)</f>
        <v>0.21811088368485726</v>
      </c>
      <c r="V841">
        <f>INDEX([1]Parameters!$A$3:$C$5,MATCH('[1]Pizza Sales Calculations'!D841,[1]Parameters!$A$3:$A$5,0),2)</f>
        <v>7</v>
      </c>
      <c r="W841">
        <f>INDEX([1]Parameters!$A$3:$C$5,MATCH('[1]Pizza Sales Calculations'!E841,[1]Parameters!$A$3:$A$5,0),2)</f>
        <v>10</v>
      </c>
      <c r="X841" t="e">
        <f>INDEX([1]Parameters!$A$3:$C$5,MATCH('[1]Pizza Sales Calculations'!F841,[1]Parameters!$A$3:$A$5,0),2)</f>
        <v>#N/A</v>
      </c>
    </row>
    <row r="842" spans="1:24" x14ac:dyDescent="0.3">
      <c r="A842">
        <v>841</v>
      </c>
      <c r="B842" s="14">
        <v>42378.521064814813</v>
      </c>
      <c r="C842" s="14">
        <v>42378.531469907408</v>
      </c>
      <c r="D842" t="s">
        <v>3</v>
      </c>
      <c r="E842" t="s">
        <v>4</v>
      </c>
      <c r="G842" t="b">
        <v>0</v>
      </c>
      <c r="H842">
        <v>70806</v>
      </c>
      <c r="I842" s="5">
        <v>0</v>
      </c>
      <c r="J842" s="14">
        <v>42378.533564814818</v>
      </c>
      <c r="K842">
        <v>19.579999999999998</v>
      </c>
      <c r="L842" s="5">
        <f>('[1]Pizza Sales Calculations'!$J842-'[1]Pizza Sales Calculations'!$C842)*24*60</f>
        <v>3.0166666698642075</v>
      </c>
      <c r="M842">
        <f>COUNTA('[1]Pizza Sales Calculations'!$D842:$F842)</f>
        <v>2</v>
      </c>
      <c r="N842">
        <f>IFERROR(VLOOKUP(D842,[1]Parameters!$A$3:$C$5,3,FALSE),0)</f>
        <v>1</v>
      </c>
      <c r="O842">
        <f>IFERROR(VLOOKUP(E842,[1]Parameters!$A$3:$C$5,3,FALSE),0)</f>
        <v>1.7</v>
      </c>
      <c r="P842">
        <f>IFERROR(VLOOKUP(F842,[1]Parameters!$A$3:$C$5,3,FALSE),0)</f>
        <v>0</v>
      </c>
      <c r="Q842">
        <f t="shared" si="13"/>
        <v>2.7</v>
      </c>
      <c r="R842" s="10">
        <f>IF('[1]Pizza Sales Calculations'!$G842=TRUE, [1]Parameters!$B$17*'[1]Pizza Sales Calculations'!$L842*2, 0)</f>
        <v>0</v>
      </c>
      <c r="S842" t="str">
        <f>IF(I842&lt;[1]Parameters!$B$21,"TRUE","FALSE")</f>
        <v>TRUE</v>
      </c>
      <c r="T842" s="5">
        <f>(I842/[1]Parameters!$B$25)*60</f>
        <v>0</v>
      </c>
      <c r="U842" s="10">
        <f>IF(AND('[1]Pizza Sales Calculations'!G842=TRUE,'[1]Pizza Sales Calculations'!S842="TRUE"),T842*[1]Parameters!$B$40*2,0)</f>
        <v>0</v>
      </c>
      <c r="V842">
        <f>INDEX([1]Parameters!$A$3:$C$5,MATCH('[1]Pizza Sales Calculations'!D842,[1]Parameters!$A$3:$A$5,0),2)</f>
        <v>7</v>
      </c>
      <c r="W842">
        <f>INDEX([1]Parameters!$A$3:$C$5,MATCH('[1]Pizza Sales Calculations'!E842,[1]Parameters!$A$3:$A$5,0),2)</f>
        <v>10</v>
      </c>
      <c r="X842" t="e">
        <f>INDEX([1]Parameters!$A$3:$C$5,MATCH('[1]Pizza Sales Calculations'!F842,[1]Parameters!$A$3:$A$5,0),2)</f>
        <v>#N/A</v>
      </c>
    </row>
    <row r="843" spans="1:24" x14ac:dyDescent="0.3">
      <c r="A843">
        <v>842</v>
      </c>
      <c r="B843" s="14">
        <v>42378.569918981484</v>
      </c>
      <c r="C843" s="14">
        <v>42378.580335648148</v>
      </c>
      <c r="D843" t="s">
        <v>4</v>
      </c>
      <c r="G843" t="b">
        <v>0</v>
      </c>
      <c r="H843">
        <v>70806</v>
      </c>
      <c r="I843" s="5">
        <v>0</v>
      </c>
      <c r="J843" s="14">
        <v>42378.582407407404</v>
      </c>
      <c r="K843">
        <v>11.59</v>
      </c>
      <c r="L843" s="5">
        <f>('[1]Pizza Sales Calculations'!$J843-'[1]Pizza Sales Calculations'!$C843)*24*60</f>
        <v>2.9833333287388086</v>
      </c>
      <c r="M843">
        <f>COUNTA('[1]Pizza Sales Calculations'!$D843:$F843)</f>
        <v>1</v>
      </c>
      <c r="N843">
        <f>IFERROR(VLOOKUP(D843,[1]Parameters!$A$3:$C$5,3,FALSE),0)</f>
        <v>1.7</v>
      </c>
      <c r="O843">
        <f>IFERROR(VLOOKUP(E843,[1]Parameters!$A$3:$C$5,3,FALSE),0)</f>
        <v>0</v>
      </c>
      <c r="P843">
        <f>IFERROR(VLOOKUP(F843,[1]Parameters!$A$3:$C$5,3,FALSE),0)</f>
        <v>0</v>
      </c>
      <c r="Q843">
        <f t="shared" si="13"/>
        <v>1.7</v>
      </c>
      <c r="R843" s="10">
        <f>IF('[1]Pizza Sales Calculations'!$G843=TRUE, [1]Parameters!$B$17*'[1]Pizza Sales Calculations'!$L843*2, 0)</f>
        <v>0</v>
      </c>
      <c r="S843" t="str">
        <f>IF(I843&lt;[1]Parameters!$B$21,"TRUE","FALSE")</f>
        <v>TRUE</v>
      </c>
      <c r="T843" s="5">
        <f>(I843/[1]Parameters!$B$25)*60</f>
        <v>0</v>
      </c>
      <c r="U843" s="10">
        <f>IF(AND('[1]Pizza Sales Calculations'!G843=TRUE,'[1]Pizza Sales Calculations'!S843="TRUE"),T843*[1]Parameters!$B$40*2,0)</f>
        <v>0</v>
      </c>
      <c r="V843">
        <f>INDEX([1]Parameters!$A$3:$C$5,MATCH('[1]Pizza Sales Calculations'!D843,[1]Parameters!$A$3:$A$5,0),2)</f>
        <v>10</v>
      </c>
      <c r="W843" t="e">
        <f>INDEX([1]Parameters!$A$3:$C$5,MATCH('[1]Pizza Sales Calculations'!E843,[1]Parameters!$A$3:$A$5,0),2)</f>
        <v>#N/A</v>
      </c>
      <c r="X843" t="e">
        <f>INDEX([1]Parameters!$A$3:$C$5,MATCH('[1]Pizza Sales Calculations'!F843,[1]Parameters!$A$3:$A$5,0),2)</f>
        <v>#N/A</v>
      </c>
    </row>
    <row r="844" spans="1:24" x14ac:dyDescent="0.3">
      <c r="A844">
        <v>843</v>
      </c>
      <c r="B844" s="14">
        <v>42378.438472222224</v>
      </c>
      <c r="C844" s="14">
        <v>42378.448877314811</v>
      </c>
      <c r="D844" t="s">
        <v>3</v>
      </c>
      <c r="G844" t="b">
        <v>1</v>
      </c>
      <c r="H844">
        <v>70806</v>
      </c>
      <c r="I844" s="5">
        <v>1.7538188821176901</v>
      </c>
      <c r="J844" s="14">
        <v>42378.454965277779</v>
      </c>
      <c r="K844">
        <v>7.99</v>
      </c>
      <c r="L844" s="5">
        <f>('[1]Pizza Sales Calculations'!$J844-'[1]Pizza Sales Calculations'!$C844)*24*60</f>
        <v>8.7666666728910059</v>
      </c>
      <c r="M844">
        <f>COUNTA('[1]Pizza Sales Calculations'!$D844:$F844)</f>
        <v>1</v>
      </c>
      <c r="N844">
        <f>IFERROR(VLOOKUP(D844,[1]Parameters!$A$3:$C$5,3,FALSE),0)</f>
        <v>1</v>
      </c>
      <c r="O844">
        <f>IFERROR(VLOOKUP(E844,[1]Parameters!$A$3:$C$5,3,FALSE),0)</f>
        <v>0</v>
      </c>
      <c r="P844">
        <f>IFERROR(VLOOKUP(F844,[1]Parameters!$A$3:$C$5,3,FALSE),0)</f>
        <v>0</v>
      </c>
      <c r="Q844">
        <f t="shared" si="13"/>
        <v>1</v>
      </c>
      <c r="R844" s="10">
        <f>IF('[1]Pizza Sales Calculations'!$G844=TRUE, [1]Parameters!$B$17*'[1]Pizza Sales Calculations'!$L844*2, 0)</f>
        <v>2.4838888906524517</v>
      </c>
      <c r="S844" t="str">
        <f>IF(I844&lt;[1]Parameters!$B$21,"TRUE","FALSE")</f>
        <v>TRUE</v>
      </c>
      <c r="T844" s="5">
        <f>(I844/[1]Parameters!$B$25)*60</f>
        <v>3.5076377642353802</v>
      </c>
      <c r="U844" s="10">
        <f>IF(AND('[1]Pizza Sales Calculations'!G844=TRUE,'[1]Pizza Sales Calculations'!S844="TRUE"),T844*[1]Parameters!$B$40*2,0)</f>
        <v>0.21895596769289705</v>
      </c>
      <c r="V844">
        <f>INDEX([1]Parameters!$A$3:$C$5,MATCH('[1]Pizza Sales Calculations'!D844,[1]Parameters!$A$3:$A$5,0),2)</f>
        <v>7</v>
      </c>
      <c r="W844" t="e">
        <f>INDEX([1]Parameters!$A$3:$C$5,MATCH('[1]Pizza Sales Calculations'!E844,[1]Parameters!$A$3:$A$5,0),2)</f>
        <v>#N/A</v>
      </c>
      <c r="X844" t="e">
        <f>INDEX([1]Parameters!$A$3:$C$5,MATCH('[1]Pizza Sales Calculations'!F844,[1]Parameters!$A$3:$A$5,0),2)</f>
        <v>#N/A</v>
      </c>
    </row>
    <row r="845" spans="1:24" x14ac:dyDescent="0.3">
      <c r="A845">
        <v>844</v>
      </c>
      <c r="B845" s="14">
        <v>42378.494050925925</v>
      </c>
      <c r="C845" s="14">
        <v>42378.504467592589</v>
      </c>
      <c r="D845" t="s">
        <v>3</v>
      </c>
      <c r="G845" t="b">
        <v>0</v>
      </c>
      <c r="H845">
        <v>70804</v>
      </c>
      <c r="I845" s="5">
        <v>0</v>
      </c>
      <c r="J845" s="14">
        <v>42378.506527777776</v>
      </c>
      <c r="K845">
        <v>7.99</v>
      </c>
      <c r="L845" s="5">
        <f>('[1]Pizza Sales Calculations'!$J845-'[1]Pizza Sales Calculations'!$C845)*24*60</f>
        <v>2.9666666686534882</v>
      </c>
      <c r="M845">
        <f>COUNTA('[1]Pizza Sales Calculations'!$D845:$F845)</f>
        <v>1</v>
      </c>
      <c r="N845">
        <f>IFERROR(VLOOKUP(D845,[1]Parameters!$A$3:$C$5,3,FALSE),0)</f>
        <v>1</v>
      </c>
      <c r="O845">
        <f>IFERROR(VLOOKUP(E845,[1]Parameters!$A$3:$C$5,3,FALSE),0)</f>
        <v>0</v>
      </c>
      <c r="P845">
        <f>IFERROR(VLOOKUP(F845,[1]Parameters!$A$3:$C$5,3,FALSE),0)</f>
        <v>0</v>
      </c>
      <c r="Q845">
        <f t="shared" si="13"/>
        <v>1</v>
      </c>
      <c r="R845" s="10">
        <f>IF('[1]Pizza Sales Calculations'!$G845=TRUE, [1]Parameters!$B$17*'[1]Pizza Sales Calculations'!$L845*2, 0)</f>
        <v>0</v>
      </c>
      <c r="S845" t="str">
        <f>IF(I845&lt;[1]Parameters!$B$21,"TRUE","FALSE")</f>
        <v>TRUE</v>
      </c>
      <c r="T845" s="5">
        <f>(I845/[1]Parameters!$B$25)*60</f>
        <v>0</v>
      </c>
      <c r="U845" s="10">
        <f>IF(AND('[1]Pizza Sales Calculations'!G845=TRUE,'[1]Pizza Sales Calculations'!S845="TRUE"),T845*[1]Parameters!$B$40*2,0)</f>
        <v>0</v>
      </c>
      <c r="V845">
        <f>INDEX([1]Parameters!$A$3:$C$5,MATCH('[1]Pizza Sales Calculations'!D845,[1]Parameters!$A$3:$A$5,0),2)</f>
        <v>7</v>
      </c>
      <c r="W845" t="e">
        <f>INDEX([1]Parameters!$A$3:$C$5,MATCH('[1]Pizza Sales Calculations'!E845,[1]Parameters!$A$3:$A$5,0),2)</f>
        <v>#N/A</v>
      </c>
      <c r="X845" t="e">
        <f>INDEX([1]Parameters!$A$3:$C$5,MATCH('[1]Pizza Sales Calculations'!F845,[1]Parameters!$A$3:$A$5,0),2)</f>
        <v>#N/A</v>
      </c>
    </row>
    <row r="846" spans="1:24" x14ac:dyDescent="0.3">
      <c r="A846">
        <v>845</v>
      </c>
      <c r="B846" s="14">
        <v>42378.499386574076</v>
      </c>
      <c r="C846" s="14">
        <v>42378.50980324074</v>
      </c>
      <c r="D846" t="s">
        <v>4</v>
      </c>
      <c r="G846" t="b">
        <v>0</v>
      </c>
      <c r="H846">
        <v>70805</v>
      </c>
      <c r="I846" s="5">
        <v>0</v>
      </c>
      <c r="J846" s="14">
        <v>42378.511886574073</v>
      </c>
      <c r="K846">
        <v>11.59</v>
      </c>
      <c r="L846" s="5">
        <f>('[1]Pizza Sales Calculations'!$J846-'[1]Pizza Sales Calculations'!$C846)*24*60</f>
        <v>2.9999999993015081</v>
      </c>
      <c r="M846">
        <f>COUNTA('[1]Pizza Sales Calculations'!$D846:$F846)</f>
        <v>1</v>
      </c>
      <c r="N846">
        <f>IFERROR(VLOOKUP(D846,[1]Parameters!$A$3:$C$5,3,FALSE),0)</f>
        <v>1.7</v>
      </c>
      <c r="O846">
        <f>IFERROR(VLOOKUP(E846,[1]Parameters!$A$3:$C$5,3,FALSE),0)</f>
        <v>0</v>
      </c>
      <c r="P846">
        <f>IFERROR(VLOOKUP(F846,[1]Parameters!$A$3:$C$5,3,FALSE),0)</f>
        <v>0</v>
      </c>
      <c r="Q846">
        <f t="shared" si="13"/>
        <v>1.7</v>
      </c>
      <c r="R846" s="10">
        <f>IF('[1]Pizza Sales Calculations'!$G846=TRUE, [1]Parameters!$B$17*'[1]Pizza Sales Calculations'!$L846*2, 0)</f>
        <v>0</v>
      </c>
      <c r="S846" t="str">
        <f>IF(I846&lt;[1]Parameters!$B$21,"TRUE","FALSE")</f>
        <v>TRUE</v>
      </c>
      <c r="T846" s="5">
        <f>(I846/[1]Parameters!$B$25)*60</f>
        <v>0</v>
      </c>
      <c r="U846" s="10">
        <f>IF(AND('[1]Pizza Sales Calculations'!G846=TRUE,'[1]Pizza Sales Calculations'!S846="TRUE"),T846*[1]Parameters!$B$40*2,0)</f>
        <v>0</v>
      </c>
      <c r="V846">
        <f>INDEX([1]Parameters!$A$3:$C$5,MATCH('[1]Pizza Sales Calculations'!D846,[1]Parameters!$A$3:$A$5,0),2)</f>
        <v>10</v>
      </c>
      <c r="W846" t="e">
        <f>INDEX([1]Parameters!$A$3:$C$5,MATCH('[1]Pizza Sales Calculations'!E846,[1]Parameters!$A$3:$A$5,0),2)</f>
        <v>#N/A</v>
      </c>
      <c r="X846" t="e">
        <f>INDEX([1]Parameters!$A$3:$C$5,MATCH('[1]Pizza Sales Calculations'!F846,[1]Parameters!$A$3:$A$5,0),2)</f>
        <v>#N/A</v>
      </c>
    </row>
    <row r="847" spans="1:24" x14ac:dyDescent="0.3">
      <c r="A847">
        <v>846</v>
      </c>
      <c r="B847" s="14">
        <v>42378.527962962966</v>
      </c>
      <c r="C847" s="14">
        <v>42378.53837962963</v>
      </c>
      <c r="D847" t="s">
        <v>4</v>
      </c>
      <c r="G847" t="b">
        <v>1</v>
      </c>
      <c r="H847">
        <v>70803</v>
      </c>
      <c r="I847" s="5">
        <v>5.3887251510513297</v>
      </c>
      <c r="J847" s="14">
        <v>42378.557083333333</v>
      </c>
      <c r="K847">
        <v>11.59</v>
      </c>
      <c r="L847" s="5">
        <f>('[1]Pizza Sales Calculations'!$J847-'[1]Pizza Sales Calculations'!$C847)*24*60</f>
        <v>26.933333332417533</v>
      </c>
      <c r="M847">
        <f>COUNTA('[1]Pizza Sales Calculations'!$D847:$F847)</f>
        <v>1</v>
      </c>
      <c r="N847">
        <f>IFERROR(VLOOKUP(D847,[1]Parameters!$A$3:$C$5,3,FALSE),0)</f>
        <v>1.7</v>
      </c>
      <c r="O847">
        <f>IFERROR(VLOOKUP(E847,[1]Parameters!$A$3:$C$5,3,FALSE),0)</f>
        <v>0</v>
      </c>
      <c r="P847">
        <f>IFERROR(VLOOKUP(F847,[1]Parameters!$A$3:$C$5,3,FALSE),0)</f>
        <v>0</v>
      </c>
      <c r="Q847">
        <f t="shared" si="13"/>
        <v>1.7</v>
      </c>
      <c r="R847" s="10">
        <f>IF('[1]Pizza Sales Calculations'!$G847=TRUE, [1]Parameters!$B$17*'[1]Pizza Sales Calculations'!$L847*2, 0)</f>
        <v>7.6311111108516343</v>
      </c>
      <c r="S847" t="str">
        <f>IF(I847&lt;[1]Parameters!$B$21,"TRUE","FALSE")</f>
        <v>FALSE</v>
      </c>
      <c r="T847" s="5">
        <f>(I847/[1]Parameters!$B$25)*60</f>
        <v>10.777450302102659</v>
      </c>
      <c r="U847" s="10">
        <f>IF(AND('[1]Pizza Sales Calculations'!G847=TRUE,'[1]Pizza Sales Calculations'!S847="TRUE"),T847*[1]Parameters!$B$40*2,0)</f>
        <v>0</v>
      </c>
      <c r="V847">
        <f>INDEX([1]Parameters!$A$3:$C$5,MATCH('[1]Pizza Sales Calculations'!D847,[1]Parameters!$A$3:$A$5,0),2)</f>
        <v>10</v>
      </c>
      <c r="W847" t="e">
        <f>INDEX([1]Parameters!$A$3:$C$5,MATCH('[1]Pizza Sales Calculations'!E847,[1]Parameters!$A$3:$A$5,0),2)</f>
        <v>#N/A</v>
      </c>
      <c r="X847" t="e">
        <f>INDEX([1]Parameters!$A$3:$C$5,MATCH('[1]Pizza Sales Calculations'!F847,[1]Parameters!$A$3:$A$5,0),2)</f>
        <v>#N/A</v>
      </c>
    </row>
    <row r="848" spans="1:24" x14ac:dyDescent="0.3">
      <c r="A848">
        <v>847</v>
      </c>
      <c r="B848" s="14">
        <v>42379.49417824074</v>
      </c>
      <c r="C848" s="14">
        <v>42379.504583333335</v>
      </c>
      <c r="D848" t="s">
        <v>4</v>
      </c>
      <c r="G848" t="b">
        <v>1</v>
      </c>
      <c r="H848">
        <v>70805</v>
      </c>
      <c r="I848" s="5">
        <v>2.8069874550129001</v>
      </c>
      <c r="J848" s="14">
        <v>42379.514328703706</v>
      </c>
      <c r="K848">
        <v>11.59</v>
      </c>
      <c r="L848" s="5">
        <f>('[1]Pizza Sales Calculations'!$J848-'[1]Pizza Sales Calculations'!$C848)*24*60</f>
        <v>14.03333333437331</v>
      </c>
      <c r="M848">
        <f>COUNTA('[1]Pizza Sales Calculations'!$D848:$F848)</f>
        <v>1</v>
      </c>
      <c r="N848">
        <f>IFERROR(VLOOKUP(D848,[1]Parameters!$A$3:$C$5,3,FALSE),0)</f>
        <v>1.7</v>
      </c>
      <c r="O848">
        <f>IFERROR(VLOOKUP(E848,[1]Parameters!$A$3:$C$5,3,FALSE),0)</f>
        <v>0</v>
      </c>
      <c r="P848">
        <f>IFERROR(VLOOKUP(F848,[1]Parameters!$A$3:$C$5,3,FALSE),0)</f>
        <v>0</v>
      </c>
      <c r="Q848">
        <f t="shared" si="13"/>
        <v>1.7</v>
      </c>
      <c r="R848" s="10">
        <f>IF('[1]Pizza Sales Calculations'!$G848=TRUE, [1]Parameters!$B$17*'[1]Pizza Sales Calculations'!$L848*2, 0)</f>
        <v>3.9761111114057712</v>
      </c>
      <c r="S848" t="str">
        <f>IF(I848&lt;[1]Parameters!$B$21,"TRUE","FALSE")</f>
        <v>TRUE</v>
      </c>
      <c r="T848" s="5">
        <f>(I848/[1]Parameters!$B$25)*60</f>
        <v>5.6139749100258003</v>
      </c>
      <c r="U848" s="10">
        <f>IF(AND('[1]Pizza Sales Calculations'!G848=TRUE,'[1]Pizza Sales Calculations'!S848="TRUE"),T848*[1]Parameters!$B$40*2,0)</f>
        <v>0.350439068013711</v>
      </c>
      <c r="V848">
        <f>INDEX([1]Parameters!$A$3:$C$5,MATCH('[1]Pizza Sales Calculations'!D848,[1]Parameters!$A$3:$A$5,0),2)</f>
        <v>10</v>
      </c>
      <c r="W848" t="e">
        <f>INDEX([1]Parameters!$A$3:$C$5,MATCH('[1]Pizza Sales Calculations'!E848,[1]Parameters!$A$3:$A$5,0),2)</f>
        <v>#N/A</v>
      </c>
      <c r="X848" t="e">
        <f>INDEX([1]Parameters!$A$3:$C$5,MATCH('[1]Pizza Sales Calculations'!F848,[1]Parameters!$A$3:$A$5,0),2)</f>
        <v>#N/A</v>
      </c>
    </row>
    <row r="849" spans="1:24" x14ac:dyDescent="0.3">
      <c r="A849">
        <v>848</v>
      </c>
      <c r="B849" s="14">
        <v>42379.559236111112</v>
      </c>
      <c r="C849" s="14">
        <v>42379.569652777776</v>
      </c>
      <c r="D849" t="s">
        <v>5</v>
      </c>
      <c r="G849" t="b">
        <v>0</v>
      </c>
      <c r="H849">
        <v>70807</v>
      </c>
      <c r="I849" s="5">
        <v>0</v>
      </c>
      <c r="J849" s="14">
        <v>42379.571736111109</v>
      </c>
      <c r="K849">
        <v>15.35</v>
      </c>
      <c r="L849" s="5">
        <f>('[1]Pizza Sales Calculations'!$J849-'[1]Pizza Sales Calculations'!$C849)*24*60</f>
        <v>2.9999999993015081</v>
      </c>
      <c r="M849">
        <f>COUNTA('[1]Pizza Sales Calculations'!$D849:$F849)</f>
        <v>1</v>
      </c>
      <c r="N849">
        <f>IFERROR(VLOOKUP(D849,[1]Parameters!$A$3:$C$5,3,FALSE),0)</f>
        <v>2.2999999999999998</v>
      </c>
      <c r="O849">
        <f>IFERROR(VLOOKUP(E849,[1]Parameters!$A$3:$C$5,3,FALSE),0)</f>
        <v>0</v>
      </c>
      <c r="P849">
        <f>IFERROR(VLOOKUP(F849,[1]Parameters!$A$3:$C$5,3,FALSE),0)</f>
        <v>0</v>
      </c>
      <c r="Q849">
        <f t="shared" si="13"/>
        <v>2.2999999999999998</v>
      </c>
      <c r="R849" s="10">
        <f>IF('[1]Pizza Sales Calculations'!$G849=TRUE, [1]Parameters!$B$17*'[1]Pizza Sales Calculations'!$L849*2, 0)</f>
        <v>0</v>
      </c>
      <c r="S849" t="str">
        <f>IF(I849&lt;[1]Parameters!$B$21,"TRUE","FALSE")</f>
        <v>TRUE</v>
      </c>
      <c r="T849" s="5">
        <f>(I849/[1]Parameters!$B$25)*60</f>
        <v>0</v>
      </c>
      <c r="U849" s="10">
        <f>IF(AND('[1]Pizza Sales Calculations'!G849=TRUE,'[1]Pizza Sales Calculations'!S849="TRUE"),T849*[1]Parameters!$B$40*2,0)</f>
        <v>0</v>
      </c>
      <c r="V849">
        <f>INDEX([1]Parameters!$A$3:$C$5,MATCH('[1]Pizza Sales Calculations'!D849,[1]Parameters!$A$3:$A$5,0),2)</f>
        <v>14</v>
      </c>
      <c r="W849" t="e">
        <f>INDEX([1]Parameters!$A$3:$C$5,MATCH('[1]Pizza Sales Calculations'!E849,[1]Parameters!$A$3:$A$5,0),2)</f>
        <v>#N/A</v>
      </c>
      <c r="X849" t="e">
        <f>INDEX([1]Parameters!$A$3:$C$5,MATCH('[1]Pizza Sales Calculations'!F849,[1]Parameters!$A$3:$A$5,0),2)</f>
        <v>#N/A</v>
      </c>
    </row>
    <row r="850" spans="1:24" x14ac:dyDescent="0.3">
      <c r="A850">
        <v>849</v>
      </c>
      <c r="B850" s="14">
        <v>42379.4533912037</v>
      </c>
      <c r="C850" s="14">
        <v>42379.463807870372</v>
      </c>
      <c r="D850" t="s">
        <v>3</v>
      </c>
      <c r="G850" t="b">
        <v>0</v>
      </c>
      <c r="H850">
        <v>70804</v>
      </c>
      <c r="I850" s="5">
        <v>0</v>
      </c>
      <c r="J850" s="14">
        <v>42379.465891203705</v>
      </c>
      <c r="K850">
        <v>7.99</v>
      </c>
      <c r="L850" s="5">
        <f>('[1]Pizza Sales Calculations'!$J850-'[1]Pizza Sales Calculations'!$C850)*24*60</f>
        <v>2.9999999993015081</v>
      </c>
      <c r="M850">
        <f>COUNTA('[1]Pizza Sales Calculations'!$D850:$F850)</f>
        <v>1</v>
      </c>
      <c r="N850">
        <f>IFERROR(VLOOKUP(D850,[1]Parameters!$A$3:$C$5,3,FALSE),0)</f>
        <v>1</v>
      </c>
      <c r="O850">
        <f>IFERROR(VLOOKUP(E850,[1]Parameters!$A$3:$C$5,3,FALSE),0)</f>
        <v>0</v>
      </c>
      <c r="P850">
        <f>IFERROR(VLOOKUP(F850,[1]Parameters!$A$3:$C$5,3,FALSE),0)</f>
        <v>0</v>
      </c>
      <c r="Q850">
        <f t="shared" si="13"/>
        <v>1</v>
      </c>
      <c r="R850" s="10">
        <f>IF('[1]Pizza Sales Calculations'!$G850=TRUE, [1]Parameters!$B$17*'[1]Pizza Sales Calculations'!$L850*2, 0)</f>
        <v>0</v>
      </c>
      <c r="S850" t="str">
        <f>IF(I850&lt;[1]Parameters!$B$21,"TRUE","FALSE")</f>
        <v>TRUE</v>
      </c>
      <c r="T850" s="5">
        <f>(I850/[1]Parameters!$B$25)*60</f>
        <v>0</v>
      </c>
      <c r="U850" s="10">
        <f>IF(AND('[1]Pizza Sales Calculations'!G850=TRUE,'[1]Pizza Sales Calculations'!S850="TRUE"),T850*[1]Parameters!$B$40*2,0)</f>
        <v>0</v>
      </c>
      <c r="V850">
        <f>INDEX([1]Parameters!$A$3:$C$5,MATCH('[1]Pizza Sales Calculations'!D850,[1]Parameters!$A$3:$A$5,0),2)</f>
        <v>7</v>
      </c>
      <c r="W850" t="e">
        <f>INDEX([1]Parameters!$A$3:$C$5,MATCH('[1]Pizza Sales Calculations'!E850,[1]Parameters!$A$3:$A$5,0),2)</f>
        <v>#N/A</v>
      </c>
      <c r="X850" t="e">
        <f>INDEX([1]Parameters!$A$3:$C$5,MATCH('[1]Pizza Sales Calculations'!F850,[1]Parameters!$A$3:$A$5,0),2)</f>
        <v>#N/A</v>
      </c>
    </row>
    <row r="851" spans="1:24" x14ac:dyDescent="0.3">
      <c r="A851">
        <v>850</v>
      </c>
      <c r="B851" s="14">
        <v>42379.56554398148</v>
      </c>
      <c r="C851" s="14">
        <v>42379.575972222221</v>
      </c>
      <c r="D851" t="s">
        <v>5</v>
      </c>
      <c r="G851" t="b">
        <v>1</v>
      </c>
      <c r="H851">
        <v>70805</v>
      </c>
      <c r="I851" s="5">
        <v>3.68547671574817</v>
      </c>
      <c r="J851" s="14">
        <v>42379.588761574072</v>
      </c>
      <c r="K851">
        <v>15.35</v>
      </c>
      <c r="L851" s="5">
        <f>('[1]Pizza Sales Calculations'!$J851-'[1]Pizza Sales Calculations'!$C851)*24*60</f>
        <v>18.416666665580124</v>
      </c>
      <c r="M851">
        <f>COUNTA('[1]Pizza Sales Calculations'!$D851:$F851)</f>
        <v>1</v>
      </c>
      <c r="N851">
        <f>IFERROR(VLOOKUP(D851,[1]Parameters!$A$3:$C$5,3,FALSE),0)</f>
        <v>2.2999999999999998</v>
      </c>
      <c r="O851">
        <f>IFERROR(VLOOKUP(E851,[1]Parameters!$A$3:$C$5,3,FALSE),0)</f>
        <v>0</v>
      </c>
      <c r="P851">
        <f>IFERROR(VLOOKUP(F851,[1]Parameters!$A$3:$C$5,3,FALSE),0)</f>
        <v>0</v>
      </c>
      <c r="Q851">
        <f t="shared" si="13"/>
        <v>2.2999999999999998</v>
      </c>
      <c r="R851" s="10">
        <f>IF('[1]Pizza Sales Calculations'!$G851=TRUE, [1]Parameters!$B$17*'[1]Pizza Sales Calculations'!$L851*2, 0)</f>
        <v>5.2180555552477017</v>
      </c>
      <c r="S851" t="str">
        <f>IF(I851&lt;[1]Parameters!$B$21,"TRUE","FALSE")</f>
        <v>FALSE</v>
      </c>
      <c r="T851" s="5">
        <f>(I851/[1]Parameters!$B$25)*60</f>
        <v>7.3709534314963401</v>
      </c>
      <c r="U851" s="10">
        <f>IF(AND('[1]Pizza Sales Calculations'!G851=TRUE,'[1]Pizza Sales Calculations'!S851="TRUE"),T851*[1]Parameters!$B$40*2,0)</f>
        <v>0</v>
      </c>
      <c r="V851">
        <f>INDEX([1]Parameters!$A$3:$C$5,MATCH('[1]Pizza Sales Calculations'!D851,[1]Parameters!$A$3:$A$5,0),2)</f>
        <v>14</v>
      </c>
      <c r="W851" t="e">
        <f>INDEX([1]Parameters!$A$3:$C$5,MATCH('[1]Pizza Sales Calculations'!E851,[1]Parameters!$A$3:$A$5,0),2)</f>
        <v>#N/A</v>
      </c>
      <c r="X851" t="e">
        <f>INDEX([1]Parameters!$A$3:$C$5,MATCH('[1]Pizza Sales Calculations'!F851,[1]Parameters!$A$3:$A$5,0),2)</f>
        <v>#N/A</v>
      </c>
    </row>
    <row r="852" spans="1:24" x14ac:dyDescent="0.3">
      <c r="A852">
        <v>851</v>
      </c>
      <c r="B852" s="14">
        <v>42379.479699074072</v>
      </c>
      <c r="C852" s="14">
        <v>42379.490104166667</v>
      </c>
      <c r="D852" t="s">
        <v>3</v>
      </c>
      <c r="E852" t="s">
        <v>4</v>
      </c>
      <c r="G852" t="b">
        <v>1</v>
      </c>
      <c r="H852">
        <v>70807</v>
      </c>
      <c r="I852" s="5">
        <v>4.3980272128297999</v>
      </c>
      <c r="J852" s="14">
        <v>42379.505370370367</v>
      </c>
      <c r="K852">
        <v>19.579999999999998</v>
      </c>
      <c r="L852" s="5">
        <f>('[1]Pizza Sales Calculations'!$J852-'[1]Pizza Sales Calculations'!$C852)*24*60</f>
        <v>21.983333327807486</v>
      </c>
      <c r="M852">
        <f>COUNTA('[1]Pizza Sales Calculations'!$D852:$F852)</f>
        <v>2</v>
      </c>
      <c r="N852">
        <f>IFERROR(VLOOKUP(D852,[1]Parameters!$A$3:$C$5,3,FALSE),0)</f>
        <v>1</v>
      </c>
      <c r="O852">
        <f>IFERROR(VLOOKUP(E852,[1]Parameters!$A$3:$C$5,3,FALSE),0)</f>
        <v>1.7</v>
      </c>
      <c r="P852">
        <f>IFERROR(VLOOKUP(F852,[1]Parameters!$A$3:$C$5,3,FALSE),0)</f>
        <v>0</v>
      </c>
      <c r="Q852">
        <f t="shared" si="13"/>
        <v>2.7</v>
      </c>
      <c r="R852" s="10">
        <f>IF('[1]Pizza Sales Calculations'!$G852=TRUE, [1]Parameters!$B$17*'[1]Pizza Sales Calculations'!$L852*2, 0)</f>
        <v>6.2286111095454544</v>
      </c>
      <c r="S852" t="str">
        <f>IF(I852&lt;[1]Parameters!$B$21,"TRUE","FALSE")</f>
        <v>FALSE</v>
      </c>
      <c r="T852" s="5">
        <f>(I852/[1]Parameters!$B$25)*60</f>
        <v>8.7960544256595998</v>
      </c>
      <c r="U852" s="10">
        <f>IF(AND('[1]Pizza Sales Calculations'!G852=TRUE,'[1]Pizza Sales Calculations'!S852="TRUE"),T852*[1]Parameters!$B$40*2,0)</f>
        <v>0</v>
      </c>
      <c r="V852">
        <f>INDEX([1]Parameters!$A$3:$C$5,MATCH('[1]Pizza Sales Calculations'!D852,[1]Parameters!$A$3:$A$5,0),2)</f>
        <v>7</v>
      </c>
      <c r="W852">
        <f>INDEX([1]Parameters!$A$3:$C$5,MATCH('[1]Pizza Sales Calculations'!E852,[1]Parameters!$A$3:$A$5,0),2)</f>
        <v>10</v>
      </c>
      <c r="X852" t="e">
        <f>INDEX([1]Parameters!$A$3:$C$5,MATCH('[1]Pizza Sales Calculations'!F852,[1]Parameters!$A$3:$A$5,0),2)</f>
        <v>#N/A</v>
      </c>
    </row>
    <row r="853" spans="1:24" x14ac:dyDescent="0.3">
      <c r="A853">
        <v>852</v>
      </c>
      <c r="B853" s="14">
        <v>42379.508240740739</v>
      </c>
      <c r="C853" s="14">
        <v>42379.518645833334</v>
      </c>
      <c r="D853" t="s">
        <v>3</v>
      </c>
      <c r="E853" t="s">
        <v>4</v>
      </c>
      <c r="G853" t="b">
        <v>1</v>
      </c>
      <c r="H853">
        <v>70806</v>
      </c>
      <c r="I853" s="5">
        <v>2.4182480340558401</v>
      </c>
      <c r="J853" s="14">
        <v>42379.527037037034</v>
      </c>
      <c r="K853">
        <v>19.579999999999998</v>
      </c>
      <c r="L853" s="5">
        <f>('[1]Pizza Sales Calculations'!$J853-'[1]Pizza Sales Calculations'!$C853)*24*60</f>
        <v>12.083333329064772</v>
      </c>
      <c r="M853">
        <f>COUNTA('[1]Pizza Sales Calculations'!$D853:$F853)</f>
        <v>2</v>
      </c>
      <c r="N853">
        <f>IFERROR(VLOOKUP(D853,[1]Parameters!$A$3:$C$5,3,FALSE),0)</f>
        <v>1</v>
      </c>
      <c r="O853">
        <f>IFERROR(VLOOKUP(E853,[1]Parameters!$A$3:$C$5,3,FALSE),0)</f>
        <v>1.7</v>
      </c>
      <c r="P853">
        <f>IFERROR(VLOOKUP(F853,[1]Parameters!$A$3:$C$5,3,FALSE),0)</f>
        <v>0</v>
      </c>
      <c r="Q853">
        <f t="shared" si="13"/>
        <v>2.7</v>
      </c>
      <c r="R853" s="10">
        <f>IF('[1]Pizza Sales Calculations'!$G853=TRUE, [1]Parameters!$B$17*'[1]Pizza Sales Calculations'!$L853*2, 0)</f>
        <v>3.4236111099016853</v>
      </c>
      <c r="S853" t="str">
        <f>IF(I853&lt;[1]Parameters!$B$21,"TRUE","FALSE")</f>
        <v>TRUE</v>
      </c>
      <c r="T853" s="5">
        <f>(I853/[1]Parameters!$B$25)*60</f>
        <v>4.8364960681116802</v>
      </c>
      <c r="U853" s="10">
        <f>IF(AND('[1]Pizza Sales Calculations'!G853=TRUE,'[1]Pizza Sales Calculations'!S853="TRUE"),T853*[1]Parameters!$B$40*2,0)</f>
        <v>0.30190679540340976</v>
      </c>
      <c r="V853">
        <f>INDEX([1]Parameters!$A$3:$C$5,MATCH('[1]Pizza Sales Calculations'!D853,[1]Parameters!$A$3:$A$5,0),2)</f>
        <v>7</v>
      </c>
      <c r="W853">
        <f>INDEX([1]Parameters!$A$3:$C$5,MATCH('[1]Pizza Sales Calculations'!E853,[1]Parameters!$A$3:$A$5,0),2)</f>
        <v>10</v>
      </c>
      <c r="X853" t="e">
        <f>INDEX([1]Parameters!$A$3:$C$5,MATCH('[1]Pizza Sales Calculations'!F853,[1]Parameters!$A$3:$A$5,0),2)</f>
        <v>#N/A</v>
      </c>
    </row>
    <row r="854" spans="1:24" x14ac:dyDescent="0.3">
      <c r="A854">
        <v>853</v>
      </c>
      <c r="B854" s="14">
        <v>42379.549930555557</v>
      </c>
      <c r="C854" s="14">
        <v>42379.560324074075</v>
      </c>
      <c r="D854" t="s">
        <v>3</v>
      </c>
      <c r="E854" t="s">
        <v>4</v>
      </c>
      <c r="F854" t="s">
        <v>5</v>
      </c>
      <c r="G854" t="b">
        <v>1</v>
      </c>
      <c r="H854">
        <v>70804</v>
      </c>
      <c r="I854" s="5">
        <v>2.9373704764113802</v>
      </c>
      <c r="J854" s="14">
        <v>42379.570520833331</v>
      </c>
      <c r="K854">
        <v>33.93</v>
      </c>
      <c r="L854" s="5">
        <f>('[1]Pizza Sales Calculations'!$J854-'[1]Pizza Sales Calculations'!$C854)*24*60</f>
        <v>14.683333329157904</v>
      </c>
      <c r="M854">
        <f>COUNTA('[1]Pizza Sales Calculations'!$D854:$F854)</f>
        <v>3</v>
      </c>
      <c r="N854">
        <f>IFERROR(VLOOKUP(D854,[1]Parameters!$A$3:$C$5,3,FALSE),0)</f>
        <v>1</v>
      </c>
      <c r="O854">
        <f>IFERROR(VLOOKUP(E854,[1]Parameters!$A$3:$C$5,3,FALSE),0)</f>
        <v>1.7</v>
      </c>
      <c r="P854">
        <f>IFERROR(VLOOKUP(F854,[1]Parameters!$A$3:$C$5,3,FALSE),0)</f>
        <v>2.2999999999999998</v>
      </c>
      <c r="Q854">
        <f t="shared" si="13"/>
        <v>5</v>
      </c>
      <c r="R854" s="10">
        <f>IF('[1]Pizza Sales Calculations'!$G854=TRUE, [1]Parameters!$B$17*'[1]Pizza Sales Calculations'!$L854*2, 0)</f>
        <v>4.1602777765947394</v>
      </c>
      <c r="S854" t="str">
        <f>IF(I854&lt;[1]Parameters!$B$21,"TRUE","FALSE")</f>
        <v>TRUE</v>
      </c>
      <c r="T854" s="5">
        <f>(I854/[1]Parameters!$B$25)*60</f>
        <v>5.8747409528227603</v>
      </c>
      <c r="U854" s="10">
        <f>IF(AND('[1]Pizza Sales Calculations'!G854=TRUE,'[1]Pizza Sales Calculations'!S854="TRUE"),T854*[1]Parameters!$B$40*2,0)</f>
        <v>0.36671676972630562</v>
      </c>
      <c r="V854">
        <f>INDEX([1]Parameters!$A$3:$C$5,MATCH('[1]Pizza Sales Calculations'!D854,[1]Parameters!$A$3:$A$5,0),2)</f>
        <v>7</v>
      </c>
      <c r="W854">
        <f>INDEX([1]Parameters!$A$3:$C$5,MATCH('[1]Pizza Sales Calculations'!E854,[1]Parameters!$A$3:$A$5,0),2)</f>
        <v>10</v>
      </c>
      <c r="X854">
        <f>INDEX([1]Parameters!$A$3:$C$5,MATCH('[1]Pizza Sales Calculations'!F854,[1]Parameters!$A$3:$A$5,0),2)</f>
        <v>14</v>
      </c>
    </row>
    <row r="855" spans="1:24" x14ac:dyDescent="0.3">
      <c r="A855">
        <v>854</v>
      </c>
      <c r="B855" s="14">
        <v>42379.479062500002</v>
      </c>
      <c r="C855" s="14">
        <v>42379.48946759259</v>
      </c>
      <c r="D855" t="s">
        <v>3</v>
      </c>
      <c r="E855" t="s">
        <v>4</v>
      </c>
      <c r="G855" t="b">
        <v>1</v>
      </c>
      <c r="H855">
        <v>70805</v>
      </c>
      <c r="I855" s="5">
        <v>2.5761821611095201</v>
      </c>
      <c r="J855" s="14">
        <v>42379.498402777775</v>
      </c>
      <c r="K855">
        <v>19.579999999999998</v>
      </c>
      <c r="L855" s="5">
        <f>('[1]Pizza Sales Calculations'!$J855-'[1]Pizza Sales Calculations'!$C855)*24*60</f>
        <v>12.866666667396203</v>
      </c>
      <c r="M855">
        <f>COUNTA('[1]Pizza Sales Calculations'!$D855:$F855)</f>
        <v>2</v>
      </c>
      <c r="N855">
        <f>IFERROR(VLOOKUP(D855,[1]Parameters!$A$3:$C$5,3,FALSE),0)</f>
        <v>1</v>
      </c>
      <c r="O855">
        <f>IFERROR(VLOOKUP(E855,[1]Parameters!$A$3:$C$5,3,FALSE),0)</f>
        <v>1.7</v>
      </c>
      <c r="P855">
        <f>IFERROR(VLOOKUP(F855,[1]Parameters!$A$3:$C$5,3,FALSE),0)</f>
        <v>0</v>
      </c>
      <c r="Q855">
        <f t="shared" si="13"/>
        <v>2.7</v>
      </c>
      <c r="R855" s="10">
        <f>IF('[1]Pizza Sales Calculations'!$G855=TRUE, [1]Parameters!$B$17*'[1]Pizza Sales Calculations'!$L855*2, 0)</f>
        <v>3.6455555557622574</v>
      </c>
      <c r="S855" t="str">
        <f>IF(I855&lt;[1]Parameters!$B$21,"TRUE","FALSE")</f>
        <v>TRUE</v>
      </c>
      <c r="T855" s="5">
        <f>(I855/[1]Parameters!$B$25)*60</f>
        <v>5.1523643222190403</v>
      </c>
      <c r="U855" s="10">
        <f>IF(AND('[1]Pizza Sales Calculations'!G855=TRUE,'[1]Pizza Sales Calculations'!S855="TRUE"),T855*[1]Parameters!$B$40*2,0)</f>
        <v>0.32162412196053763</v>
      </c>
      <c r="V855">
        <f>INDEX([1]Parameters!$A$3:$C$5,MATCH('[1]Pizza Sales Calculations'!D855,[1]Parameters!$A$3:$A$5,0),2)</f>
        <v>7</v>
      </c>
      <c r="W855">
        <f>INDEX([1]Parameters!$A$3:$C$5,MATCH('[1]Pizza Sales Calculations'!E855,[1]Parameters!$A$3:$A$5,0),2)</f>
        <v>10</v>
      </c>
      <c r="X855" t="e">
        <f>INDEX([1]Parameters!$A$3:$C$5,MATCH('[1]Pizza Sales Calculations'!F855,[1]Parameters!$A$3:$A$5,0),2)</f>
        <v>#N/A</v>
      </c>
    </row>
    <row r="856" spans="1:24" x14ac:dyDescent="0.3">
      <c r="A856">
        <v>855</v>
      </c>
      <c r="B856" s="14">
        <v>42379.527858796297</v>
      </c>
      <c r="C856" s="14">
        <v>42379.538275462961</v>
      </c>
      <c r="D856" t="s">
        <v>4</v>
      </c>
      <c r="G856" t="b">
        <v>1</v>
      </c>
      <c r="H856">
        <v>70803</v>
      </c>
      <c r="I856" s="5">
        <v>4.5175073631567599</v>
      </c>
      <c r="J856" s="14">
        <v>42379.55395833333</v>
      </c>
      <c r="K856">
        <v>11.59</v>
      </c>
      <c r="L856" s="5">
        <f>('[1]Pizza Sales Calculations'!$J856-'[1]Pizza Sales Calculations'!$C856)*24*60</f>
        <v>22.583333331858739</v>
      </c>
      <c r="M856">
        <f>COUNTA('[1]Pizza Sales Calculations'!$D856:$F856)</f>
        <v>1</v>
      </c>
      <c r="N856">
        <f>IFERROR(VLOOKUP(D856,[1]Parameters!$A$3:$C$5,3,FALSE),0)</f>
        <v>1.7</v>
      </c>
      <c r="O856">
        <f>IFERROR(VLOOKUP(E856,[1]Parameters!$A$3:$C$5,3,FALSE),0)</f>
        <v>0</v>
      </c>
      <c r="P856">
        <f>IFERROR(VLOOKUP(F856,[1]Parameters!$A$3:$C$5,3,FALSE),0)</f>
        <v>0</v>
      </c>
      <c r="Q856">
        <f t="shared" si="13"/>
        <v>1.7</v>
      </c>
      <c r="R856" s="10">
        <f>IF('[1]Pizza Sales Calculations'!$G856=TRUE, [1]Parameters!$B$17*'[1]Pizza Sales Calculations'!$L856*2, 0)</f>
        <v>6.3986111106933095</v>
      </c>
      <c r="S856" t="str">
        <f>IF(I856&lt;[1]Parameters!$B$21,"TRUE","FALSE")</f>
        <v>FALSE</v>
      </c>
      <c r="T856" s="5">
        <f>(I856/[1]Parameters!$B$25)*60</f>
        <v>9.0350147263135199</v>
      </c>
      <c r="U856" s="10">
        <f>IF(AND('[1]Pizza Sales Calculations'!G856=TRUE,'[1]Pizza Sales Calculations'!S856="TRUE"),T856*[1]Parameters!$B$40*2,0)</f>
        <v>0</v>
      </c>
      <c r="V856">
        <f>INDEX([1]Parameters!$A$3:$C$5,MATCH('[1]Pizza Sales Calculations'!D856,[1]Parameters!$A$3:$A$5,0),2)</f>
        <v>10</v>
      </c>
      <c r="W856" t="e">
        <f>INDEX([1]Parameters!$A$3:$C$5,MATCH('[1]Pizza Sales Calculations'!E856,[1]Parameters!$A$3:$A$5,0),2)</f>
        <v>#N/A</v>
      </c>
      <c r="X856" t="e">
        <f>INDEX([1]Parameters!$A$3:$C$5,MATCH('[1]Pizza Sales Calculations'!F856,[1]Parameters!$A$3:$A$5,0),2)</f>
        <v>#N/A</v>
      </c>
    </row>
    <row r="857" spans="1:24" x14ac:dyDescent="0.3">
      <c r="A857">
        <v>856</v>
      </c>
      <c r="B857" s="14">
        <v>42379.482430555552</v>
      </c>
      <c r="C857" s="14">
        <v>42379.492835648147</v>
      </c>
      <c r="D857" t="s">
        <v>5</v>
      </c>
      <c r="G857" t="b">
        <v>1</v>
      </c>
      <c r="H857">
        <v>70805</v>
      </c>
      <c r="I857" s="5">
        <v>4.2532017188839504</v>
      </c>
      <c r="J857" s="14">
        <v>42379.507592592592</v>
      </c>
      <c r="K857">
        <v>15.35</v>
      </c>
      <c r="L857" s="5">
        <f>('[1]Pizza Sales Calculations'!$J857-'[1]Pizza Sales Calculations'!$C857)*24*60</f>
        <v>21.250000001164153</v>
      </c>
      <c r="M857">
        <f>COUNTA('[1]Pizza Sales Calculations'!$D857:$F857)</f>
        <v>1</v>
      </c>
      <c r="N857">
        <f>IFERROR(VLOOKUP(D857,[1]Parameters!$A$3:$C$5,3,FALSE),0)</f>
        <v>2.2999999999999998</v>
      </c>
      <c r="O857">
        <f>IFERROR(VLOOKUP(E857,[1]Parameters!$A$3:$C$5,3,FALSE),0)</f>
        <v>0</v>
      </c>
      <c r="P857">
        <f>IFERROR(VLOOKUP(F857,[1]Parameters!$A$3:$C$5,3,FALSE),0)</f>
        <v>0</v>
      </c>
      <c r="Q857">
        <f t="shared" si="13"/>
        <v>2.2999999999999998</v>
      </c>
      <c r="R857" s="10">
        <f>IF('[1]Pizza Sales Calculations'!$G857=TRUE, [1]Parameters!$B$17*'[1]Pizza Sales Calculations'!$L857*2, 0)</f>
        <v>6.0208333336631767</v>
      </c>
      <c r="S857" t="str">
        <f>IF(I857&lt;[1]Parameters!$B$21,"TRUE","FALSE")</f>
        <v>FALSE</v>
      </c>
      <c r="T857" s="5">
        <f>(I857/[1]Parameters!$B$25)*60</f>
        <v>8.5064034377679008</v>
      </c>
      <c r="U857" s="10">
        <f>IF(AND('[1]Pizza Sales Calculations'!G857=TRUE,'[1]Pizza Sales Calculations'!S857="TRUE"),T857*[1]Parameters!$B$40*2,0)</f>
        <v>0</v>
      </c>
      <c r="V857">
        <f>INDEX([1]Parameters!$A$3:$C$5,MATCH('[1]Pizza Sales Calculations'!D857,[1]Parameters!$A$3:$A$5,0),2)</f>
        <v>14</v>
      </c>
      <c r="W857" t="e">
        <f>INDEX([1]Parameters!$A$3:$C$5,MATCH('[1]Pizza Sales Calculations'!E857,[1]Parameters!$A$3:$A$5,0),2)</f>
        <v>#N/A</v>
      </c>
      <c r="X857" t="e">
        <f>INDEX([1]Parameters!$A$3:$C$5,MATCH('[1]Pizza Sales Calculations'!F857,[1]Parameters!$A$3:$A$5,0),2)</f>
        <v>#N/A</v>
      </c>
    </row>
    <row r="858" spans="1:24" x14ac:dyDescent="0.3">
      <c r="A858">
        <v>857</v>
      </c>
      <c r="B858" s="14">
        <v>42379.484594907408</v>
      </c>
      <c r="C858" s="14">
        <v>42379.494988425926</v>
      </c>
      <c r="D858" t="s">
        <v>4</v>
      </c>
      <c r="G858" t="b">
        <v>1</v>
      </c>
      <c r="H858">
        <v>70807</v>
      </c>
      <c r="I858" s="5">
        <v>1.93227988850185</v>
      </c>
      <c r="J858" s="14">
        <v>42379.501689814817</v>
      </c>
      <c r="K858">
        <v>11.59</v>
      </c>
      <c r="L858" s="5">
        <f>('[1]Pizza Sales Calculations'!$J858-'[1]Pizza Sales Calculations'!$C858)*24*60</f>
        <v>9.6500000031664968</v>
      </c>
      <c r="M858">
        <f>COUNTA('[1]Pizza Sales Calculations'!$D858:$F858)</f>
        <v>1</v>
      </c>
      <c r="N858">
        <f>IFERROR(VLOOKUP(D858,[1]Parameters!$A$3:$C$5,3,FALSE),0)</f>
        <v>1.7</v>
      </c>
      <c r="O858">
        <f>IFERROR(VLOOKUP(E858,[1]Parameters!$A$3:$C$5,3,FALSE),0)</f>
        <v>0</v>
      </c>
      <c r="P858">
        <f>IFERROR(VLOOKUP(F858,[1]Parameters!$A$3:$C$5,3,FALSE),0)</f>
        <v>0</v>
      </c>
      <c r="Q858">
        <f t="shared" si="13"/>
        <v>1.7</v>
      </c>
      <c r="R858" s="10">
        <f>IF('[1]Pizza Sales Calculations'!$G858=TRUE, [1]Parameters!$B$17*'[1]Pizza Sales Calculations'!$L858*2, 0)</f>
        <v>2.7341666675638407</v>
      </c>
      <c r="S858" t="str">
        <f>IF(I858&lt;[1]Parameters!$B$21,"TRUE","FALSE")</f>
        <v>TRUE</v>
      </c>
      <c r="T858" s="5">
        <f>(I858/[1]Parameters!$B$25)*60</f>
        <v>3.8645597770037003</v>
      </c>
      <c r="U858" s="10">
        <f>IF(AND('[1]Pizza Sales Calculations'!G858=TRUE,'[1]Pizza Sales Calculations'!S858="TRUE"),T858*[1]Parameters!$B$40*2,0)</f>
        <v>0.24123597775933553</v>
      </c>
      <c r="V858">
        <f>INDEX([1]Parameters!$A$3:$C$5,MATCH('[1]Pizza Sales Calculations'!D858,[1]Parameters!$A$3:$A$5,0),2)</f>
        <v>10</v>
      </c>
      <c r="W858" t="e">
        <f>INDEX([1]Parameters!$A$3:$C$5,MATCH('[1]Pizza Sales Calculations'!E858,[1]Parameters!$A$3:$A$5,0),2)</f>
        <v>#N/A</v>
      </c>
      <c r="X858" t="e">
        <f>INDEX([1]Parameters!$A$3:$C$5,MATCH('[1]Pizza Sales Calculations'!F858,[1]Parameters!$A$3:$A$5,0),2)</f>
        <v>#N/A</v>
      </c>
    </row>
    <row r="859" spans="1:24" x14ac:dyDescent="0.3">
      <c r="A859">
        <v>858</v>
      </c>
      <c r="B859" s="14">
        <v>42379.450335648151</v>
      </c>
      <c r="C859" s="14">
        <v>42379.460752314815</v>
      </c>
      <c r="D859" t="s">
        <v>3</v>
      </c>
      <c r="G859" t="b">
        <v>0</v>
      </c>
      <c r="H859">
        <v>70805</v>
      </c>
      <c r="I859" s="5">
        <v>0</v>
      </c>
      <c r="J859" s="14">
        <v>42379.462835648148</v>
      </c>
      <c r="K859">
        <v>7.99</v>
      </c>
      <c r="L859" s="5">
        <f>('[1]Pizza Sales Calculations'!$J859-'[1]Pizza Sales Calculations'!$C859)*24*60</f>
        <v>2.9999999993015081</v>
      </c>
      <c r="M859">
        <f>COUNTA('[1]Pizza Sales Calculations'!$D859:$F859)</f>
        <v>1</v>
      </c>
      <c r="N859">
        <f>IFERROR(VLOOKUP(D859,[1]Parameters!$A$3:$C$5,3,FALSE),0)</f>
        <v>1</v>
      </c>
      <c r="O859">
        <f>IFERROR(VLOOKUP(E859,[1]Parameters!$A$3:$C$5,3,FALSE),0)</f>
        <v>0</v>
      </c>
      <c r="P859">
        <f>IFERROR(VLOOKUP(F859,[1]Parameters!$A$3:$C$5,3,FALSE),0)</f>
        <v>0</v>
      </c>
      <c r="Q859">
        <f t="shared" si="13"/>
        <v>1</v>
      </c>
      <c r="R859" s="10">
        <f>IF('[1]Pizza Sales Calculations'!$G859=TRUE, [1]Parameters!$B$17*'[1]Pizza Sales Calculations'!$L859*2, 0)</f>
        <v>0</v>
      </c>
      <c r="S859" t="str">
        <f>IF(I859&lt;[1]Parameters!$B$21,"TRUE","FALSE")</f>
        <v>TRUE</v>
      </c>
      <c r="T859" s="5">
        <f>(I859/[1]Parameters!$B$25)*60</f>
        <v>0</v>
      </c>
      <c r="U859" s="10">
        <f>IF(AND('[1]Pizza Sales Calculations'!G859=TRUE,'[1]Pizza Sales Calculations'!S859="TRUE"),T859*[1]Parameters!$B$40*2,0)</f>
        <v>0</v>
      </c>
      <c r="V859">
        <f>INDEX([1]Parameters!$A$3:$C$5,MATCH('[1]Pizza Sales Calculations'!D859,[1]Parameters!$A$3:$A$5,0),2)</f>
        <v>7</v>
      </c>
      <c r="W859" t="e">
        <f>INDEX([1]Parameters!$A$3:$C$5,MATCH('[1]Pizza Sales Calculations'!E859,[1]Parameters!$A$3:$A$5,0),2)</f>
        <v>#N/A</v>
      </c>
      <c r="X859" t="e">
        <f>INDEX([1]Parameters!$A$3:$C$5,MATCH('[1]Pizza Sales Calculations'!F859,[1]Parameters!$A$3:$A$5,0),2)</f>
        <v>#N/A</v>
      </c>
    </row>
    <row r="860" spans="1:24" x14ac:dyDescent="0.3">
      <c r="A860">
        <v>859</v>
      </c>
      <c r="B860" s="14">
        <v>42379.427997685183</v>
      </c>
      <c r="C860" s="14">
        <v>42379.438379629632</v>
      </c>
      <c r="D860" t="s">
        <v>4</v>
      </c>
      <c r="G860" t="b">
        <v>0</v>
      </c>
      <c r="H860">
        <v>70805</v>
      </c>
      <c r="I860" s="5">
        <v>0</v>
      </c>
      <c r="J860" s="14">
        <v>42379.440462962964</v>
      </c>
      <c r="K860">
        <v>11.59</v>
      </c>
      <c r="L860" s="5">
        <f>('[1]Pizza Sales Calculations'!$J860-'[1]Pizza Sales Calculations'!$C860)*24*60</f>
        <v>2.9999999993015081</v>
      </c>
      <c r="M860">
        <f>COUNTA('[1]Pizza Sales Calculations'!$D860:$F860)</f>
        <v>1</v>
      </c>
      <c r="N860">
        <f>IFERROR(VLOOKUP(D860,[1]Parameters!$A$3:$C$5,3,FALSE),0)</f>
        <v>1.7</v>
      </c>
      <c r="O860">
        <f>IFERROR(VLOOKUP(E860,[1]Parameters!$A$3:$C$5,3,FALSE),0)</f>
        <v>0</v>
      </c>
      <c r="P860">
        <f>IFERROR(VLOOKUP(F860,[1]Parameters!$A$3:$C$5,3,FALSE),0)</f>
        <v>0</v>
      </c>
      <c r="Q860">
        <f t="shared" si="13"/>
        <v>1.7</v>
      </c>
      <c r="R860" s="10">
        <f>IF('[1]Pizza Sales Calculations'!$G860=TRUE, [1]Parameters!$B$17*'[1]Pizza Sales Calculations'!$L860*2, 0)</f>
        <v>0</v>
      </c>
      <c r="S860" t="str">
        <f>IF(I860&lt;[1]Parameters!$B$21,"TRUE","FALSE")</f>
        <v>TRUE</v>
      </c>
      <c r="T860" s="5">
        <f>(I860/[1]Parameters!$B$25)*60</f>
        <v>0</v>
      </c>
      <c r="U860" s="10">
        <f>IF(AND('[1]Pizza Sales Calculations'!G860=TRUE,'[1]Pizza Sales Calculations'!S860="TRUE"),T860*[1]Parameters!$B$40*2,0)</f>
        <v>0</v>
      </c>
      <c r="V860">
        <f>INDEX([1]Parameters!$A$3:$C$5,MATCH('[1]Pizza Sales Calculations'!D860,[1]Parameters!$A$3:$A$5,0),2)</f>
        <v>10</v>
      </c>
      <c r="W860" t="e">
        <f>INDEX([1]Parameters!$A$3:$C$5,MATCH('[1]Pizza Sales Calculations'!E860,[1]Parameters!$A$3:$A$5,0),2)</f>
        <v>#N/A</v>
      </c>
      <c r="X860" t="e">
        <f>INDEX([1]Parameters!$A$3:$C$5,MATCH('[1]Pizza Sales Calculations'!F860,[1]Parameters!$A$3:$A$5,0),2)</f>
        <v>#N/A</v>
      </c>
    </row>
    <row r="861" spans="1:24" x14ac:dyDescent="0.3">
      <c r="A861">
        <v>860</v>
      </c>
      <c r="B861" s="14">
        <v>42379.559745370374</v>
      </c>
      <c r="C861" s="14">
        <v>42379.570150462961</v>
      </c>
      <c r="D861" t="s">
        <v>5</v>
      </c>
      <c r="G861" t="b">
        <v>0</v>
      </c>
      <c r="H861">
        <v>70805</v>
      </c>
      <c r="I861" s="5">
        <v>0</v>
      </c>
      <c r="J861" s="14">
        <v>42379.572222222225</v>
      </c>
      <c r="K861">
        <v>15.35</v>
      </c>
      <c r="L861" s="5">
        <f>('[1]Pizza Sales Calculations'!$J861-'[1]Pizza Sales Calculations'!$C861)*24*60</f>
        <v>2.9833333392161876</v>
      </c>
      <c r="M861">
        <f>COUNTA('[1]Pizza Sales Calculations'!$D861:$F861)</f>
        <v>1</v>
      </c>
      <c r="N861">
        <f>IFERROR(VLOOKUP(D861,[1]Parameters!$A$3:$C$5,3,FALSE),0)</f>
        <v>2.2999999999999998</v>
      </c>
      <c r="O861">
        <f>IFERROR(VLOOKUP(E861,[1]Parameters!$A$3:$C$5,3,FALSE),0)</f>
        <v>0</v>
      </c>
      <c r="P861">
        <f>IFERROR(VLOOKUP(F861,[1]Parameters!$A$3:$C$5,3,FALSE),0)</f>
        <v>0</v>
      </c>
      <c r="Q861">
        <f t="shared" si="13"/>
        <v>2.2999999999999998</v>
      </c>
      <c r="R861" s="10">
        <f>IF('[1]Pizza Sales Calculations'!$G861=TRUE, [1]Parameters!$B$17*'[1]Pizza Sales Calculations'!$L861*2, 0)</f>
        <v>0</v>
      </c>
      <c r="S861" t="str">
        <f>IF(I861&lt;[1]Parameters!$B$21,"TRUE","FALSE")</f>
        <v>TRUE</v>
      </c>
      <c r="T861" s="5">
        <f>(I861/[1]Parameters!$B$25)*60</f>
        <v>0</v>
      </c>
      <c r="U861" s="10">
        <f>IF(AND('[1]Pizza Sales Calculations'!G861=TRUE,'[1]Pizza Sales Calculations'!S861="TRUE"),T861*[1]Parameters!$B$40*2,0)</f>
        <v>0</v>
      </c>
      <c r="V861">
        <f>INDEX([1]Parameters!$A$3:$C$5,MATCH('[1]Pizza Sales Calculations'!D861,[1]Parameters!$A$3:$A$5,0),2)</f>
        <v>14</v>
      </c>
      <c r="W861" t="e">
        <f>INDEX([1]Parameters!$A$3:$C$5,MATCH('[1]Pizza Sales Calculations'!E861,[1]Parameters!$A$3:$A$5,0),2)</f>
        <v>#N/A</v>
      </c>
      <c r="X861" t="e">
        <f>INDEX([1]Parameters!$A$3:$C$5,MATCH('[1]Pizza Sales Calculations'!F861,[1]Parameters!$A$3:$A$5,0),2)</f>
        <v>#N/A</v>
      </c>
    </row>
    <row r="862" spans="1:24" x14ac:dyDescent="0.3">
      <c r="A862">
        <v>861</v>
      </c>
      <c r="B862" s="14">
        <v>42379.437256944446</v>
      </c>
      <c r="C862" s="14">
        <v>42379.447662037041</v>
      </c>
      <c r="D862" t="s">
        <v>5</v>
      </c>
      <c r="G862" t="b">
        <v>1</v>
      </c>
      <c r="H862">
        <v>70805</v>
      </c>
      <c r="I862" s="5">
        <v>1.96620491700108</v>
      </c>
      <c r="J862" s="14">
        <v>42379.454479166663</v>
      </c>
      <c r="K862">
        <v>15.35</v>
      </c>
      <c r="L862" s="5">
        <f>('[1]Pizza Sales Calculations'!$J862-'[1]Pizza Sales Calculations'!$C862)*24*60</f>
        <v>9.8166666564065963</v>
      </c>
      <c r="M862">
        <f>COUNTA('[1]Pizza Sales Calculations'!$D862:$F862)</f>
        <v>1</v>
      </c>
      <c r="N862">
        <f>IFERROR(VLOOKUP(D862,[1]Parameters!$A$3:$C$5,3,FALSE),0)</f>
        <v>2.2999999999999998</v>
      </c>
      <c r="O862">
        <f>IFERROR(VLOOKUP(E862,[1]Parameters!$A$3:$C$5,3,FALSE),0)</f>
        <v>0</v>
      </c>
      <c r="P862">
        <f>IFERROR(VLOOKUP(F862,[1]Parameters!$A$3:$C$5,3,FALSE),0)</f>
        <v>0</v>
      </c>
      <c r="Q862">
        <f t="shared" si="13"/>
        <v>2.2999999999999998</v>
      </c>
      <c r="R862" s="10">
        <f>IF('[1]Pizza Sales Calculations'!$G862=TRUE, [1]Parameters!$B$17*'[1]Pizza Sales Calculations'!$L862*2, 0)</f>
        <v>2.781388885981869</v>
      </c>
      <c r="S862" t="str">
        <f>IF(I862&lt;[1]Parameters!$B$21,"TRUE","FALSE")</f>
        <v>TRUE</v>
      </c>
      <c r="T862" s="5">
        <f>(I862/[1]Parameters!$B$25)*60</f>
        <v>3.93240983400216</v>
      </c>
      <c r="U862" s="10">
        <f>IF(AND('[1]Pizza Sales Calculations'!G862=TRUE,'[1]Pizza Sales Calculations'!S862="TRUE"),T862*[1]Parameters!$B$40*2,0)</f>
        <v>0.2454713566344271</v>
      </c>
      <c r="V862">
        <f>INDEX([1]Parameters!$A$3:$C$5,MATCH('[1]Pizza Sales Calculations'!D862,[1]Parameters!$A$3:$A$5,0),2)</f>
        <v>14</v>
      </c>
      <c r="W862" t="e">
        <f>INDEX([1]Parameters!$A$3:$C$5,MATCH('[1]Pizza Sales Calculations'!E862,[1]Parameters!$A$3:$A$5,0),2)</f>
        <v>#N/A</v>
      </c>
      <c r="X862" t="e">
        <f>INDEX([1]Parameters!$A$3:$C$5,MATCH('[1]Pizza Sales Calculations'!F862,[1]Parameters!$A$3:$A$5,0),2)</f>
        <v>#N/A</v>
      </c>
    </row>
    <row r="863" spans="1:24" x14ac:dyDescent="0.3">
      <c r="A863">
        <v>862</v>
      </c>
      <c r="B863" s="14">
        <v>42379.480810185189</v>
      </c>
      <c r="C863" s="14">
        <v>42379.491215277776</v>
      </c>
      <c r="D863" t="s">
        <v>5</v>
      </c>
      <c r="G863" t="b">
        <v>0</v>
      </c>
      <c r="H863">
        <v>70804</v>
      </c>
      <c r="I863" s="5">
        <v>0</v>
      </c>
      <c r="J863" s="14">
        <v>42379.493298611109</v>
      </c>
      <c r="K863">
        <v>15.35</v>
      </c>
      <c r="L863" s="5">
        <f>('[1]Pizza Sales Calculations'!$J863-'[1]Pizza Sales Calculations'!$C863)*24*60</f>
        <v>2.9999999993015081</v>
      </c>
      <c r="M863">
        <f>COUNTA('[1]Pizza Sales Calculations'!$D863:$F863)</f>
        <v>1</v>
      </c>
      <c r="N863">
        <f>IFERROR(VLOOKUP(D863,[1]Parameters!$A$3:$C$5,3,FALSE),0)</f>
        <v>2.2999999999999998</v>
      </c>
      <c r="O863">
        <f>IFERROR(VLOOKUP(E863,[1]Parameters!$A$3:$C$5,3,FALSE),0)</f>
        <v>0</v>
      </c>
      <c r="P863">
        <f>IFERROR(VLOOKUP(F863,[1]Parameters!$A$3:$C$5,3,FALSE),0)</f>
        <v>0</v>
      </c>
      <c r="Q863">
        <f t="shared" si="13"/>
        <v>2.2999999999999998</v>
      </c>
      <c r="R863" s="10">
        <f>IF('[1]Pizza Sales Calculations'!$G863=TRUE, [1]Parameters!$B$17*'[1]Pizza Sales Calculations'!$L863*2, 0)</f>
        <v>0</v>
      </c>
      <c r="S863" t="str">
        <f>IF(I863&lt;[1]Parameters!$B$21,"TRUE","FALSE")</f>
        <v>TRUE</v>
      </c>
      <c r="T863" s="5">
        <f>(I863/[1]Parameters!$B$25)*60</f>
        <v>0</v>
      </c>
      <c r="U863" s="10">
        <f>IF(AND('[1]Pizza Sales Calculations'!G863=TRUE,'[1]Pizza Sales Calculations'!S863="TRUE"),T863*[1]Parameters!$B$40*2,0)</f>
        <v>0</v>
      </c>
      <c r="V863">
        <f>INDEX([1]Parameters!$A$3:$C$5,MATCH('[1]Pizza Sales Calculations'!D863,[1]Parameters!$A$3:$A$5,0),2)</f>
        <v>14</v>
      </c>
      <c r="W863" t="e">
        <f>INDEX([1]Parameters!$A$3:$C$5,MATCH('[1]Pizza Sales Calculations'!E863,[1]Parameters!$A$3:$A$5,0),2)</f>
        <v>#N/A</v>
      </c>
      <c r="X863" t="e">
        <f>INDEX([1]Parameters!$A$3:$C$5,MATCH('[1]Pizza Sales Calculations'!F863,[1]Parameters!$A$3:$A$5,0),2)</f>
        <v>#N/A</v>
      </c>
    </row>
    <row r="864" spans="1:24" x14ac:dyDescent="0.3">
      <c r="A864">
        <v>863</v>
      </c>
      <c r="B864" s="14">
        <v>42379.478912037041</v>
      </c>
      <c r="C864" s="14">
        <v>42379.489340277774</v>
      </c>
      <c r="D864" t="s">
        <v>5</v>
      </c>
      <c r="G864" t="b">
        <v>1</v>
      </c>
      <c r="H864">
        <v>70804</v>
      </c>
      <c r="I864" s="5">
        <v>1.91410225616569</v>
      </c>
      <c r="J864" s="14">
        <v>42379.495983796296</v>
      </c>
      <c r="K864">
        <v>15.35</v>
      </c>
      <c r="L864" s="5">
        <f>('[1]Pizza Sales Calculations'!$J864-'[1]Pizza Sales Calculations'!$C864)*24*60</f>
        <v>9.5666666713077575</v>
      </c>
      <c r="M864">
        <f>COUNTA('[1]Pizza Sales Calculations'!$D864:$F864)</f>
        <v>1</v>
      </c>
      <c r="N864">
        <f>IFERROR(VLOOKUP(D864,[1]Parameters!$A$3:$C$5,3,FALSE),0)</f>
        <v>2.2999999999999998</v>
      </c>
      <c r="O864">
        <f>IFERROR(VLOOKUP(E864,[1]Parameters!$A$3:$C$5,3,FALSE),0)</f>
        <v>0</v>
      </c>
      <c r="P864">
        <f>IFERROR(VLOOKUP(F864,[1]Parameters!$A$3:$C$5,3,FALSE),0)</f>
        <v>0</v>
      </c>
      <c r="Q864">
        <f t="shared" si="13"/>
        <v>2.2999999999999998</v>
      </c>
      <c r="R864" s="10">
        <f>IF('[1]Pizza Sales Calculations'!$G864=TRUE, [1]Parameters!$B$17*'[1]Pizza Sales Calculations'!$L864*2, 0)</f>
        <v>2.7105555568705313</v>
      </c>
      <c r="S864" t="str">
        <f>IF(I864&lt;[1]Parameters!$B$21,"TRUE","FALSE")</f>
        <v>TRUE</v>
      </c>
      <c r="T864" s="5">
        <f>(I864/[1]Parameters!$B$25)*60</f>
        <v>3.8282045123313795</v>
      </c>
      <c r="U864" s="10">
        <f>IF(AND('[1]Pizza Sales Calculations'!G864=TRUE,'[1]Pizza Sales Calculations'!S864="TRUE"),T864*[1]Parameters!$B$40*2,0)</f>
        <v>0.23896658659294334</v>
      </c>
      <c r="V864">
        <f>INDEX([1]Parameters!$A$3:$C$5,MATCH('[1]Pizza Sales Calculations'!D864,[1]Parameters!$A$3:$A$5,0),2)</f>
        <v>14</v>
      </c>
      <c r="W864" t="e">
        <f>INDEX([1]Parameters!$A$3:$C$5,MATCH('[1]Pizza Sales Calculations'!E864,[1]Parameters!$A$3:$A$5,0),2)</f>
        <v>#N/A</v>
      </c>
      <c r="X864" t="e">
        <f>INDEX([1]Parameters!$A$3:$C$5,MATCH('[1]Pizza Sales Calculations'!F864,[1]Parameters!$A$3:$A$5,0),2)</f>
        <v>#N/A</v>
      </c>
    </row>
    <row r="865" spans="1:24" x14ac:dyDescent="0.3">
      <c r="A865">
        <v>864</v>
      </c>
      <c r="B865" s="14">
        <v>42379.493993055556</v>
      </c>
      <c r="C865" s="14">
        <v>42379.50440972222</v>
      </c>
      <c r="D865" t="s">
        <v>4</v>
      </c>
      <c r="G865" t="b">
        <v>0</v>
      </c>
      <c r="H865">
        <v>70804</v>
      </c>
      <c r="I865" s="5">
        <v>0</v>
      </c>
      <c r="J865" s="14">
        <v>42379.506493055553</v>
      </c>
      <c r="K865">
        <v>11.59</v>
      </c>
      <c r="L865" s="5">
        <f>('[1]Pizza Sales Calculations'!$J865-'[1]Pizza Sales Calculations'!$C865)*24*60</f>
        <v>2.9999999993015081</v>
      </c>
      <c r="M865">
        <f>COUNTA('[1]Pizza Sales Calculations'!$D865:$F865)</f>
        <v>1</v>
      </c>
      <c r="N865">
        <f>IFERROR(VLOOKUP(D865,[1]Parameters!$A$3:$C$5,3,FALSE),0)</f>
        <v>1.7</v>
      </c>
      <c r="O865">
        <f>IFERROR(VLOOKUP(E865,[1]Parameters!$A$3:$C$5,3,FALSE),0)</f>
        <v>0</v>
      </c>
      <c r="P865">
        <f>IFERROR(VLOOKUP(F865,[1]Parameters!$A$3:$C$5,3,FALSE),0)</f>
        <v>0</v>
      </c>
      <c r="Q865">
        <f t="shared" si="13"/>
        <v>1.7</v>
      </c>
      <c r="R865" s="10">
        <f>IF('[1]Pizza Sales Calculations'!$G865=TRUE, [1]Parameters!$B$17*'[1]Pizza Sales Calculations'!$L865*2, 0)</f>
        <v>0</v>
      </c>
      <c r="S865" t="str">
        <f>IF(I865&lt;[1]Parameters!$B$21,"TRUE","FALSE")</f>
        <v>TRUE</v>
      </c>
      <c r="T865" s="5">
        <f>(I865/[1]Parameters!$B$25)*60</f>
        <v>0</v>
      </c>
      <c r="U865" s="10">
        <f>IF(AND('[1]Pizza Sales Calculations'!G865=TRUE,'[1]Pizza Sales Calculations'!S865="TRUE"),T865*[1]Parameters!$B$40*2,0)</f>
        <v>0</v>
      </c>
      <c r="V865">
        <f>INDEX([1]Parameters!$A$3:$C$5,MATCH('[1]Pizza Sales Calculations'!D865,[1]Parameters!$A$3:$A$5,0),2)</f>
        <v>10</v>
      </c>
      <c r="W865" t="e">
        <f>INDEX([1]Parameters!$A$3:$C$5,MATCH('[1]Pizza Sales Calculations'!E865,[1]Parameters!$A$3:$A$5,0),2)</f>
        <v>#N/A</v>
      </c>
      <c r="X865" t="e">
        <f>INDEX([1]Parameters!$A$3:$C$5,MATCH('[1]Pizza Sales Calculations'!F865,[1]Parameters!$A$3:$A$5,0),2)</f>
        <v>#N/A</v>
      </c>
    </row>
    <row r="866" spans="1:24" x14ac:dyDescent="0.3">
      <c r="A866">
        <v>865</v>
      </c>
      <c r="B866" s="14">
        <v>42379.488738425927</v>
      </c>
      <c r="C866" s="14">
        <v>42379.499131944445</v>
      </c>
      <c r="D866" t="s">
        <v>5</v>
      </c>
      <c r="G866" t="b">
        <v>1</v>
      </c>
      <c r="H866">
        <v>70807</v>
      </c>
      <c r="I866" s="5">
        <v>4.3532467782117603</v>
      </c>
      <c r="J866" s="14">
        <v>42379.514236111114</v>
      </c>
      <c r="K866">
        <v>15.35</v>
      </c>
      <c r="L866" s="5">
        <f>('[1]Pizza Sales Calculations'!$J866-'[1]Pizza Sales Calculations'!$C866)*24*60</f>
        <v>21.750000002793968</v>
      </c>
      <c r="M866">
        <f>COUNTA('[1]Pizza Sales Calculations'!$D866:$F866)</f>
        <v>1</v>
      </c>
      <c r="N866">
        <f>IFERROR(VLOOKUP(D866,[1]Parameters!$A$3:$C$5,3,FALSE),0)</f>
        <v>2.2999999999999998</v>
      </c>
      <c r="O866">
        <f>IFERROR(VLOOKUP(E866,[1]Parameters!$A$3:$C$5,3,FALSE),0)</f>
        <v>0</v>
      </c>
      <c r="P866">
        <f>IFERROR(VLOOKUP(F866,[1]Parameters!$A$3:$C$5,3,FALSE),0)</f>
        <v>0</v>
      </c>
      <c r="Q866">
        <f t="shared" si="13"/>
        <v>2.2999999999999998</v>
      </c>
      <c r="R866" s="10">
        <f>IF('[1]Pizza Sales Calculations'!$G866=TRUE, [1]Parameters!$B$17*'[1]Pizza Sales Calculations'!$L866*2, 0)</f>
        <v>6.1625000007916242</v>
      </c>
      <c r="S866" t="str">
        <f>IF(I866&lt;[1]Parameters!$B$21,"TRUE","FALSE")</f>
        <v>FALSE</v>
      </c>
      <c r="T866" s="5">
        <f>(I866/[1]Parameters!$B$25)*60</f>
        <v>8.7064935564235206</v>
      </c>
      <c r="U866" s="10">
        <f>IF(AND('[1]Pizza Sales Calculations'!G866=TRUE,'[1]Pizza Sales Calculations'!S866="TRUE"),T866*[1]Parameters!$B$40*2,0)</f>
        <v>0</v>
      </c>
      <c r="V866">
        <f>INDEX([1]Parameters!$A$3:$C$5,MATCH('[1]Pizza Sales Calculations'!D866,[1]Parameters!$A$3:$A$5,0),2)</f>
        <v>14</v>
      </c>
      <c r="W866" t="e">
        <f>INDEX([1]Parameters!$A$3:$C$5,MATCH('[1]Pizza Sales Calculations'!E866,[1]Parameters!$A$3:$A$5,0),2)</f>
        <v>#N/A</v>
      </c>
      <c r="X866" t="e">
        <f>INDEX([1]Parameters!$A$3:$C$5,MATCH('[1]Pizza Sales Calculations'!F866,[1]Parameters!$A$3:$A$5,0),2)</f>
        <v>#N/A</v>
      </c>
    </row>
    <row r="867" spans="1:24" x14ac:dyDescent="0.3">
      <c r="A867">
        <v>866</v>
      </c>
      <c r="B867" s="14">
        <v>42379.48510416667</v>
      </c>
      <c r="C867" s="14">
        <v>42379.495520833334</v>
      </c>
      <c r="D867" t="s">
        <v>4</v>
      </c>
      <c r="G867" t="b">
        <v>1</v>
      </c>
      <c r="H867">
        <v>70807</v>
      </c>
      <c r="I867" s="5">
        <v>2.3736965504682201</v>
      </c>
      <c r="J867" s="14">
        <v>42379.503761574073</v>
      </c>
      <c r="K867">
        <v>11.59</v>
      </c>
      <c r="L867" s="5">
        <f>('[1]Pizza Sales Calculations'!$J867-'[1]Pizza Sales Calculations'!$C867)*24*60</f>
        <v>11.866666664136574</v>
      </c>
      <c r="M867">
        <f>COUNTA('[1]Pizza Sales Calculations'!$D867:$F867)</f>
        <v>1</v>
      </c>
      <c r="N867">
        <f>IFERROR(VLOOKUP(D867,[1]Parameters!$A$3:$C$5,3,FALSE),0)</f>
        <v>1.7</v>
      </c>
      <c r="O867">
        <f>IFERROR(VLOOKUP(E867,[1]Parameters!$A$3:$C$5,3,FALSE),0)</f>
        <v>0</v>
      </c>
      <c r="P867">
        <f>IFERROR(VLOOKUP(F867,[1]Parameters!$A$3:$C$5,3,FALSE),0)</f>
        <v>0</v>
      </c>
      <c r="Q867">
        <f t="shared" si="13"/>
        <v>1.7</v>
      </c>
      <c r="R867" s="10">
        <f>IF('[1]Pizza Sales Calculations'!$G867=TRUE, [1]Parameters!$B$17*'[1]Pizza Sales Calculations'!$L867*2, 0)</f>
        <v>3.3622222215053625</v>
      </c>
      <c r="S867" t="str">
        <f>IF(I867&lt;[1]Parameters!$B$21,"TRUE","FALSE")</f>
        <v>TRUE</v>
      </c>
      <c r="T867" s="5">
        <f>(I867/[1]Parameters!$B$25)*60</f>
        <v>4.7473931009364403</v>
      </c>
      <c r="U867" s="10">
        <f>IF(AND('[1]Pizza Sales Calculations'!G867=TRUE,'[1]Pizza Sales Calculations'!S867="TRUE"),T867*[1]Parameters!$B$40*2,0)</f>
        <v>0.29634475402014965</v>
      </c>
      <c r="V867">
        <f>INDEX([1]Parameters!$A$3:$C$5,MATCH('[1]Pizza Sales Calculations'!D867,[1]Parameters!$A$3:$A$5,0),2)</f>
        <v>10</v>
      </c>
      <c r="W867" t="e">
        <f>INDEX([1]Parameters!$A$3:$C$5,MATCH('[1]Pizza Sales Calculations'!E867,[1]Parameters!$A$3:$A$5,0),2)</f>
        <v>#N/A</v>
      </c>
      <c r="X867" t="e">
        <f>INDEX([1]Parameters!$A$3:$C$5,MATCH('[1]Pizza Sales Calculations'!F867,[1]Parameters!$A$3:$A$5,0),2)</f>
        <v>#N/A</v>
      </c>
    </row>
    <row r="868" spans="1:24" x14ac:dyDescent="0.3">
      <c r="A868">
        <v>867</v>
      </c>
      <c r="B868" s="14">
        <v>42379.439756944441</v>
      </c>
      <c r="C868" s="14">
        <v>42379.450173611112</v>
      </c>
      <c r="D868" t="s">
        <v>3</v>
      </c>
      <c r="G868" t="b">
        <v>1</v>
      </c>
      <c r="H868">
        <v>70805</v>
      </c>
      <c r="I868" s="5">
        <v>3.86548517847769</v>
      </c>
      <c r="J868" s="14">
        <v>42379.463587962964</v>
      </c>
      <c r="K868">
        <v>7.99</v>
      </c>
      <c r="L868" s="5">
        <f>('[1]Pizza Sales Calculations'!$J868-'[1]Pizza Sales Calculations'!$C868)*24*60</f>
        <v>19.316666666418314</v>
      </c>
      <c r="M868">
        <f>COUNTA('[1]Pizza Sales Calculations'!$D868:$F868)</f>
        <v>1</v>
      </c>
      <c r="N868">
        <f>IFERROR(VLOOKUP(D868,[1]Parameters!$A$3:$C$5,3,FALSE),0)</f>
        <v>1</v>
      </c>
      <c r="O868">
        <f>IFERROR(VLOOKUP(E868,[1]Parameters!$A$3:$C$5,3,FALSE),0)</f>
        <v>0</v>
      </c>
      <c r="P868">
        <f>IFERROR(VLOOKUP(F868,[1]Parameters!$A$3:$C$5,3,FALSE),0)</f>
        <v>0</v>
      </c>
      <c r="Q868">
        <f t="shared" si="13"/>
        <v>1</v>
      </c>
      <c r="R868" s="10">
        <f>IF('[1]Pizza Sales Calculations'!$G868=TRUE, [1]Parameters!$B$17*'[1]Pizza Sales Calculations'!$L868*2, 0)</f>
        <v>5.473055555485189</v>
      </c>
      <c r="S868" t="str">
        <f>IF(I868&lt;[1]Parameters!$B$21,"TRUE","FALSE")</f>
        <v>FALSE</v>
      </c>
      <c r="T868" s="5">
        <f>(I868/[1]Parameters!$B$25)*60</f>
        <v>7.7309703569553809</v>
      </c>
      <c r="U868" s="10">
        <f>IF(AND('[1]Pizza Sales Calculations'!G868=TRUE,'[1]Pizza Sales Calculations'!S868="TRUE"),T868*[1]Parameters!$B$40*2,0)</f>
        <v>0</v>
      </c>
      <c r="V868">
        <f>INDEX([1]Parameters!$A$3:$C$5,MATCH('[1]Pizza Sales Calculations'!D868,[1]Parameters!$A$3:$A$5,0),2)</f>
        <v>7</v>
      </c>
      <c r="W868" t="e">
        <f>INDEX([1]Parameters!$A$3:$C$5,MATCH('[1]Pizza Sales Calculations'!E868,[1]Parameters!$A$3:$A$5,0),2)</f>
        <v>#N/A</v>
      </c>
      <c r="X868" t="e">
        <f>INDEX([1]Parameters!$A$3:$C$5,MATCH('[1]Pizza Sales Calculations'!F868,[1]Parameters!$A$3:$A$5,0),2)</f>
        <v>#N/A</v>
      </c>
    </row>
    <row r="869" spans="1:24" x14ac:dyDescent="0.3">
      <c r="A869">
        <v>868</v>
      </c>
      <c r="B869" s="14">
        <v>42379.527372685188</v>
      </c>
      <c r="C869" s="14">
        <v>42379.537789351853</v>
      </c>
      <c r="D869" t="s">
        <v>3</v>
      </c>
      <c r="G869" t="b">
        <v>0</v>
      </c>
      <c r="H869">
        <v>70804</v>
      </c>
      <c r="I869" s="5">
        <v>0</v>
      </c>
      <c r="J869" s="14">
        <v>42379.539837962962</v>
      </c>
      <c r="K869">
        <v>7.99</v>
      </c>
      <c r="L869" s="5">
        <f>('[1]Pizza Sales Calculations'!$J869-'[1]Pizza Sales Calculations'!$C869)*24*60</f>
        <v>2.9499999980907887</v>
      </c>
      <c r="M869">
        <f>COUNTA('[1]Pizza Sales Calculations'!$D869:$F869)</f>
        <v>1</v>
      </c>
      <c r="N869">
        <f>IFERROR(VLOOKUP(D869,[1]Parameters!$A$3:$C$5,3,FALSE),0)</f>
        <v>1</v>
      </c>
      <c r="O869">
        <f>IFERROR(VLOOKUP(E869,[1]Parameters!$A$3:$C$5,3,FALSE),0)</f>
        <v>0</v>
      </c>
      <c r="P869">
        <f>IFERROR(VLOOKUP(F869,[1]Parameters!$A$3:$C$5,3,FALSE),0)</f>
        <v>0</v>
      </c>
      <c r="Q869">
        <f t="shared" si="13"/>
        <v>1</v>
      </c>
      <c r="R869" s="10">
        <f>IF('[1]Pizza Sales Calculations'!$G869=TRUE, [1]Parameters!$B$17*'[1]Pizza Sales Calculations'!$L869*2, 0)</f>
        <v>0</v>
      </c>
      <c r="S869" t="str">
        <f>IF(I869&lt;[1]Parameters!$B$21,"TRUE","FALSE")</f>
        <v>TRUE</v>
      </c>
      <c r="T869" s="5">
        <f>(I869/[1]Parameters!$B$25)*60</f>
        <v>0</v>
      </c>
      <c r="U869" s="10">
        <f>IF(AND('[1]Pizza Sales Calculations'!G869=TRUE,'[1]Pizza Sales Calculations'!S869="TRUE"),T869*[1]Parameters!$B$40*2,0)</f>
        <v>0</v>
      </c>
      <c r="V869">
        <f>INDEX([1]Parameters!$A$3:$C$5,MATCH('[1]Pizza Sales Calculations'!D869,[1]Parameters!$A$3:$A$5,0),2)</f>
        <v>7</v>
      </c>
      <c r="W869" t="e">
        <f>INDEX([1]Parameters!$A$3:$C$5,MATCH('[1]Pizza Sales Calculations'!E869,[1]Parameters!$A$3:$A$5,0),2)</f>
        <v>#N/A</v>
      </c>
      <c r="X869" t="e">
        <f>INDEX([1]Parameters!$A$3:$C$5,MATCH('[1]Pizza Sales Calculations'!F869,[1]Parameters!$A$3:$A$5,0),2)</f>
        <v>#N/A</v>
      </c>
    </row>
    <row r="870" spans="1:24" x14ac:dyDescent="0.3">
      <c r="A870">
        <v>869</v>
      </c>
      <c r="B870" s="14">
        <v>42379.435925925929</v>
      </c>
      <c r="C870" s="14">
        <v>42379.446331018517</v>
      </c>
      <c r="D870" t="s">
        <v>4</v>
      </c>
      <c r="G870" t="b">
        <v>0</v>
      </c>
      <c r="H870">
        <v>70805</v>
      </c>
      <c r="I870" s="5">
        <v>0</v>
      </c>
      <c r="J870" s="14">
        <v>42379.44840277778</v>
      </c>
      <c r="K870">
        <v>11.59</v>
      </c>
      <c r="L870" s="5">
        <f>('[1]Pizza Sales Calculations'!$J870-'[1]Pizza Sales Calculations'!$C870)*24*60</f>
        <v>2.9833333392161876</v>
      </c>
      <c r="M870">
        <f>COUNTA('[1]Pizza Sales Calculations'!$D870:$F870)</f>
        <v>1</v>
      </c>
      <c r="N870">
        <f>IFERROR(VLOOKUP(D870,[1]Parameters!$A$3:$C$5,3,FALSE),0)</f>
        <v>1.7</v>
      </c>
      <c r="O870">
        <f>IFERROR(VLOOKUP(E870,[1]Parameters!$A$3:$C$5,3,FALSE),0)</f>
        <v>0</v>
      </c>
      <c r="P870">
        <f>IFERROR(VLOOKUP(F870,[1]Parameters!$A$3:$C$5,3,FALSE),0)</f>
        <v>0</v>
      </c>
      <c r="Q870">
        <f t="shared" si="13"/>
        <v>1.7</v>
      </c>
      <c r="R870" s="10">
        <f>IF('[1]Pizza Sales Calculations'!$G870=TRUE, [1]Parameters!$B$17*'[1]Pizza Sales Calculations'!$L870*2, 0)</f>
        <v>0</v>
      </c>
      <c r="S870" t="str">
        <f>IF(I870&lt;[1]Parameters!$B$21,"TRUE","FALSE")</f>
        <v>TRUE</v>
      </c>
      <c r="T870" s="5">
        <f>(I870/[1]Parameters!$B$25)*60</f>
        <v>0</v>
      </c>
      <c r="U870" s="10">
        <f>IF(AND('[1]Pizza Sales Calculations'!G870=TRUE,'[1]Pizza Sales Calculations'!S870="TRUE"),T870*[1]Parameters!$B$40*2,0)</f>
        <v>0</v>
      </c>
      <c r="V870">
        <f>INDEX([1]Parameters!$A$3:$C$5,MATCH('[1]Pizza Sales Calculations'!D870,[1]Parameters!$A$3:$A$5,0),2)</f>
        <v>10</v>
      </c>
      <c r="W870" t="e">
        <f>INDEX([1]Parameters!$A$3:$C$5,MATCH('[1]Pizza Sales Calculations'!E870,[1]Parameters!$A$3:$A$5,0),2)</f>
        <v>#N/A</v>
      </c>
      <c r="X870" t="e">
        <f>INDEX([1]Parameters!$A$3:$C$5,MATCH('[1]Pizza Sales Calculations'!F870,[1]Parameters!$A$3:$A$5,0),2)</f>
        <v>#N/A</v>
      </c>
    </row>
    <row r="871" spans="1:24" x14ac:dyDescent="0.3">
      <c r="A871">
        <v>870</v>
      </c>
      <c r="B871" s="14">
        <v>42379.541412037041</v>
      </c>
      <c r="C871" s="14">
        <v>42379.551828703705</v>
      </c>
      <c r="D871" t="s">
        <v>3</v>
      </c>
      <c r="G871" t="b">
        <v>1</v>
      </c>
      <c r="H871">
        <v>70804</v>
      </c>
      <c r="I871" s="5">
        <v>3.84249502025046</v>
      </c>
      <c r="J871" s="14">
        <v>42379.565162037034</v>
      </c>
      <c r="K871">
        <v>7.99</v>
      </c>
      <c r="L871" s="5">
        <f>('[1]Pizza Sales Calculations'!$J871-'[1]Pizza Sales Calculations'!$C871)*24*60</f>
        <v>19.199999993434176</v>
      </c>
      <c r="M871">
        <f>COUNTA('[1]Pizza Sales Calculations'!$D871:$F871)</f>
        <v>1</v>
      </c>
      <c r="N871">
        <f>IFERROR(VLOOKUP(D871,[1]Parameters!$A$3:$C$5,3,FALSE),0)</f>
        <v>1</v>
      </c>
      <c r="O871">
        <f>IFERROR(VLOOKUP(E871,[1]Parameters!$A$3:$C$5,3,FALSE),0)</f>
        <v>0</v>
      </c>
      <c r="P871">
        <f>IFERROR(VLOOKUP(F871,[1]Parameters!$A$3:$C$5,3,FALSE),0)</f>
        <v>0</v>
      </c>
      <c r="Q871">
        <f t="shared" si="13"/>
        <v>1</v>
      </c>
      <c r="R871" s="10">
        <f>IF('[1]Pizza Sales Calculations'!$G871=TRUE, [1]Parameters!$B$17*'[1]Pizza Sales Calculations'!$L871*2, 0)</f>
        <v>5.4399999981396832</v>
      </c>
      <c r="S871" t="str">
        <f>IF(I871&lt;[1]Parameters!$B$21,"TRUE","FALSE")</f>
        <v>FALSE</v>
      </c>
      <c r="T871" s="5">
        <f>(I871/[1]Parameters!$B$25)*60</f>
        <v>7.6849900405009191</v>
      </c>
      <c r="U871" s="10">
        <f>IF(AND('[1]Pizza Sales Calculations'!G871=TRUE,'[1]Pizza Sales Calculations'!S871="TRUE"),T871*[1]Parameters!$B$40*2,0)</f>
        <v>0</v>
      </c>
      <c r="V871">
        <f>INDEX([1]Parameters!$A$3:$C$5,MATCH('[1]Pizza Sales Calculations'!D871,[1]Parameters!$A$3:$A$5,0),2)</f>
        <v>7</v>
      </c>
      <c r="W871" t="e">
        <f>INDEX([1]Parameters!$A$3:$C$5,MATCH('[1]Pizza Sales Calculations'!E871,[1]Parameters!$A$3:$A$5,0),2)</f>
        <v>#N/A</v>
      </c>
      <c r="X871" t="e">
        <f>INDEX([1]Parameters!$A$3:$C$5,MATCH('[1]Pizza Sales Calculations'!F871,[1]Parameters!$A$3:$A$5,0),2)</f>
        <v>#N/A</v>
      </c>
    </row>
    <row r="872" spans="1:24" x14ac:dyDescent="0.3">
      <c r="A872">
        <v>871</v>
      </c>
      <c r="B872" s="14">
        <v>42379.480914351851</v>
      </c>
      <c r="C872" s="14">
        <v>42379.491342592592</v>
      </c>
      <c r="D872" t="s">
        <v>4</v>
      </c>
      <c r="G872" t="b">
        <v>0</v>
      </c>
      <c r="H872">
        <v>70803</v>
      </c>
      <c r="I872" s="5">
        <v>0</v>
      </c>
      <c r="J872" s="14">
        <v>42379.493414351855</v>
      </c>
      <c r="K872">
        <v>11.59</v>
      </c>
      <c r="L872" s="5">
        <f>('[1]Pizza Sales Calculations'!$J872-'[1]Pizza Sales Calculations'!$C872)*24*60</f>
        <v>2.9833333392161876</v>
      </c>
      <c r="M872">
        <f>COUNTA('[1]Pizza Sales Calculations'!$D872:$F872)</f>
        <v>1</v>
      </c>
      <c r="N872">
        <f>IFERROR(VLOOKUP(D872,[1]Parameters!$A$3:$C$5,3,FALSE),0)</f>
        <v>1.7</v>
      </c>
      <c r="O872">
        <f>IFERROR(VLOOKUP(E872,[1]Parameters!$A$3:$C$5,3,FALSE),0)</f>
        <v>0</v>
      </c>
      <c r="P872">
        <f>IFERROR(VLOOKUP(F872,[1]Parameters!$A$3:$C$5,3,FALSE),0)</f>
        <v>0</v>
      </c>
      <c r="Q872">
        <f t="shared" si="13"/>
        <v>1.7</v>
      </c>
      <c r="R872" s="10">
        <f>IF('[1]Pizza Sales Calculations'!$G872=TRUE, [1]Parameters!$B$17*'[1]Pizza Sales Calculations'!$L872*2, 0)</f>
        <v>0</v>
      </c>
      <c r="S872" t="str">
        <f>IF(I872&lt;[1]Parameters!$B$21,"TRUE","FALSE")</f>
        <v>TRUE</v>
      </c>
      <c r="T872" s="5">
        <f>(I872/[1]Parameters!$B$25)*60</f>
        <v>0</v>
      </c>
      <c r="U872" s="10">
        <f>IF(AND('[1]Pizza Sales Calculations'!G872=TRUE,'[1]Pizza Sales Calculations'!S872="TRUE"),T872*[1]Parameters!$B$40*2,0)</f>
        <v>0</v>
      </c>
      <c r="V872">
        <f>INDEX([1]Parameters!$A$3:$C$5,MATCH('[1]Pizza Sales Calculations'!D872,[1]Parameters!$A$3:$A$5,0),2)</f>
        <v>10</v>
      </c>
      <c r="W872" t="e">
        <f>INDEX([1]Parameters!$A$3:$C$5,MATCH('[1]Pizza Sales Calculations'!E872,[1]Parameters!$A$3:$A$5,0),2)</f>
        <v>#N/A</v>
      </c>
      <c r="X872" t="e">
        <f>INDEX([1]Parameters!$A$3:$C$5,MATCH('[1]Pizza Sales Calculations'!F872,[1]Parameters!$A$3:$A$5,0),2)</f>
        <v>#N/A</v>
      </c>
    </row>
    <row r="873" spans="1:24" x14ac:dyDescent="0.3">
      <c r="A873">
        <v>872</v>
      </c>
      <c r="B873" s="14">
        <v>42379.480474537035</v>
      </c>
      <c r="C873" s="14">
        <v>42379.490891203706</v>
      </c>
      <c r="D873" t="s">
        <v>3</v>
      </c>
      <c r="G873" t="b">
        <v>1</v>
      </c>
      <c r="H873">
        <v>70804</v>
      </c>
      <c r="I873" s="5">
        <v>2.0548380071142902</v>
      </c>
      <c r="J873" s="14">
        <v>42379.498020833336</v>
      </c>
      <c r="K873">
        <v>7.99</v>
      </c>
      <c r="L873" s="5">
        <f>('[1]Pizza Sales Calculations'!$J873-'[1]Pizza Sales Calculations'!$C873)*24*60</f>
        <v>10.26666666730307</v>
      </c>
      <c r="M873">
        <f>COUNTA('[1]Pizza Sales Calculations'!$D873:$F873)</f>
        <v>1</v>
      </c>
      <c r="N873">
        <f>IFERROR(VLOOKUP(D873,[1]Parameters!$A$3:$C$5,3,FALSE),0)</f>
        <v>1</v>
      </c>
      <c r="O873">
        <f>IFERROR(VLOOKUP(E873,[1]Parameters!$A$3:$C$5,3,FALSE),0)</f>
        <v>0</v>
      </c>
      <c r="P873">
        <f>IFERROR(VLOOKUP(F873,[1]Parameters!$A$3:$C$5,3,FALSE),0)</f>
        <v>0</v>
      </c>
      <c r="Q873">
        <f t="shared" si="13"/>
        <v>1</v>
      </c>
      <c r="R873" s="10">
        <f>IF('[1]Pizza Sales Calculations'!$G873=TRUE, [1]Parameters!$B$17*'[1]Pizza Sales Calculations'!$L873*2, 0)</f>
        <v>2.9088888890692033</v>
      </c>
      <c r="S873" t="str">
        <f>IF(I873&lt;[1]Parameters!$B$21,"TRUE","FALSE")</f>
        <v>TRUE</v>
      </c>
      <c r="T873" s="5">
        <f>(I873/[1]Parameters!$B$25)*60</f>
        <v>4.1096760142285804</v>
      </c>
      <c r="U873" s="10">
        <f>IF(AND('[1]Pizza Sales Calculations'!G873=TRUE,'[1]Pizza Sales Calculations'!S873="TRUE"),T873*[1]Parameters!$B$40*2,0)</f>
        <v>0.25653677747874859</v>
      </c>
      <c r="V873">
        <f>INDEX([1]Parameters!$A$3:$C$5,MATCH('[1]Pizza Sales Calculations'!D873,[1]Parameters!$A$3:$A$5,0),2)</f>
        <v>7</v>
      </c>
      <c r="W873" t="e">
        <f>INDEX([1]Parameters!$A$3:$C$5,MATCH('[1]Pizza Sales Calculations'!E873,[1]Parameters!$A$3:$A$5,0),2)</f>
        <v>#N/A</v>
      </c>
      <c r="X873" t="e">
        <f>INDEX([1]Parameters!$A$3:$C$5,MATCH('[1]Pizza Sales Calculations'!F873,[1]Parameters!$A$3:$A$5,0),2)</f>
        <v>#N/A</v>
      </c>
    </row>
    <row r="874" spans="1:24" x14ac:dyDescent="0.3">
      <c r="A874">
        <v>873</v>
      </c>
      <c r="B874" s="14">
        <v>42379.469826388886</v>
      </c>
      <c r="C874" s="14">
        <v>42379.480243055557</v>
      </c>
      <c r="D874" t="s">
        <v>3</v>
      </c>
      <c r="E874" t="s">
        <v>4</v>
      </c>
      <c r="G874" t="b">
        <v>1</v>
      </c>
      <c r="H874">
        <v>70805</v>
      </c>
      <c r="I874" s="5">
        <v>4.1860693819960701</v>
      </c>
      <c r="J874" s="14">
        <v>42379.494768518518</v>
      </c>
      <c r="K874">
        <v>19.579999999999998</v>
      </c>
      <c r="L874" s="5">
        <f>('[1]Pizza Sales Calculations'!$J874-'[1]Pizza Sales Calculations'!$C874)*24*60</f>
        <v>20.916666663251817</v>
      </c>
      <c r="M874">
        <f>COUNTA('[1]Pizza Sales Calculations'!$D874:$F874)</f>
        <v>2</v>
      </c>
      <c r="N874">
        <f>IFERROR(VLOOKUP(D874,[1]Parameters!$A$3:$C$5,3,FALSE),0)</f>
        <v>1</v>
      </c>
      <c r="O874">
        <f>IFERROR(VLOOKUP(E874,[1]Parameters!$A$3:$C$5,3,FALSE),0)</f>
        <v>1.7</v>
      </c>
      <c r="P874">
        <f>IFERROR(VLOOKUP(F874,[1]Parameters!$A$3:$C$5,3,FALSE),0)</f>
        <v>0</v>
      </c>
      <c r="Q874">
        <f t="shared" si="13"/>
        <v>2.7</v>
      </c>
      <c r="R874" s="10">
        <f>IF('[1]Pizza Sales Calculations'!$G874=TRUE, [1]Parameters!$B$17*'[1]Pizza Sales Calculations'!$L874*2, 0)</f>
        <v>5.9263888879213482</v>
      </c>
      <c r="S874" t="str">
        <f>IF(I874&lt;[1]Parameters!$B$21,"TRUE","FALSE")</f>
        <v>FALSE</v>
      </c>
      <c r="T874" s="5">
        <f>(I874/[1]Parameters!$B$25)*60</f>
        <v>8.3721387639921403</v>
      </c>
      <c r="U874" s="10">
        <f>IF(AND('[1]Pizza Sales Calculations'!G874=TRUE,'[1]Pizza Sales Calculations'!S874="TRUE"),T874*[1]Parameters!$B$40*2,0)</f>
        <v>0</v>
      </c>
      <c r="V874">
        <f>INDEX([1]Parameters!$A$3:$C$5,MATCH('[1]Pizza Sales Calculations'!D874,[1]Parameters!$A$3:$A$5,0),2)</f>
        <v>7</v>
      </c>
      <c r="W874">
        <f>INDEX([1]Parameters!$A$3:$C$5,MATCH('[1]Pizza Sales Calculations'!E874,[1]Parameters!$A$3:$A$5,0),2)</f>
        <v>10</v>
      </c>
      <c r="X874" t="e">
        <f>INDEX([1]Parameters!$A$3:$C$5,MATCH('[1]Pizza Sales Calculations'!F874,[1]Parameters!$A$3:$A$5,0),2)</f>
        <v>#N/A</v>
      </c>
    </row>
    <row r="875" spans="1:24" x14ac:dyDescent="0.3">
      <c r="A875">
        <v>874</v>
      </c>
      <c r="B875" s="14">
        <v>42379.573009259257</v>
      </c>
      <c r="C875" s="14">
        <v>42379.583414351851</v>
      </c>
      <c r="D875" t="s">
        <v>4</v>
      </c>
      <c r="G875" t="b">
        <v>0</v>
      </c>
      <c r="H875">
        <v>70806</v>
      </c>
      <c r="I875" s="5">
        <v>0</v>
      </c>
      <c r="J875" s="14">
        <v>42379.585497685184</v>
      </c>
      <c r="K875">
        <v>11.59</v>
      </c>
      <c r="L875" s="5">
        <f>('[1]Pizza Sales Calculations'!$J875-'[1]Pizza Sales Calculations'!$C875)*24*60</f>
        <v>2.9999999993015081</v>
      </c>
      <c r="M875">
        <f>COUNTA('[1]Pizza Sales Calculations'!$D875:$F875)</f>
        <v>1</v>
      </c>
      <c r="N875">
        <f>IFERROR(VLOOKUP(D875,[1]Parameters!$A$3:$C$5,3,FALSE),0)</f>
        <v>1.7</v>
      </c>
      <c r="O875">
        <f>IFERROR(VLOOKUP(E875,[1]Parameters!$A$3:$C$5,3,FALSE),0)</f>
        <v>0</v>
      </c>
      <c r="P875">
        <f>IFERROR(VLOOKUP(F875,[1]Parameters!$A$3:$C$5,3,FALSE),0)</f>
        <v>0</v>
      </c>
      <c r="Q875">
        <f t="shared" si="13"/>
        <v>1.7</v>
      </c>
      <c r="R875" s="10">
        <f>IF('[1]Pizza Sales Calculations'!$G875=TRUE, [1]Parameters!$B$17*'[1]Pizza Sales Calculations'!$L875*2, 0)</f>
        <v>0</v>
      </c>
      <c r="S875" t="str">
        <f>IF(I875&lt;[1]Parameters!$B$21,"TRUE","FALSE")</f>
        <v>TRUE</v>
      </c>
      <c r="T875" s="5">
        <f>(I875/[1]Parameters!$B$25)*60</f>
        <v>0</v>
      </c>
      <c r="U875" s="10">
        <f>IF(AND('[1]Pizza Sales Calculations'!G875=TRUE,'[1]Pizza Sales Calculations'!S875="TRUE"),T875*[1]Parameters!$B$40*2,0)</f>
        <v>0</v>
      </c>
      <c r="V875">
        <f>INDEX([1]Parameters!$A$3:$C$5,MATCH('[1]Pizza Sales Calculations'!D875,[1]Parameters!$A$3:$A$5,0),2)</f>
        <v>10</v>
      </c>
      <c r="W875" t="e">
        <f>INDEX([1]Parameters!$A$3:$C$5,MATCH('[1]Pizza Sales Calculations'!E875,[1]Parameters!$A$3:$A$5,0),2)</f>
        <v>#N/A</v>
      </c>
      <c r="X875" t="e">
        <f>INDEX([1]Parameters!$A$3:$C$5,MATCH('[1]Pizza Sales Calculations'!F875,[1]Parameters!$A$3:$A$5,0),2)</f>
        <v>#N/A</v>
      </c>
    </row>
    <row r="876" spans="1:24" x14ac:dyDescent="0.3">
      <c r="A876">
        <v>875</v>
      </c>
      <c r="B876" s="14">
        <v>42379.480821759258</v>
      </c>
      <c r="C876" s="14">
        <v>42379.491215277776</v>
      </c>
      <c r="D876" t="s">
        <v>3</v>
      </c>
      <c r="E876" t="s">
        <v>5</v>
      </c>
      <c r="G876" t="b">
        <v>1</v>
      </c>
      <c r="H876">
        <v>70805</v>
      </c>
      <c r="I876" s="5">
        <v>4.9485738443802001</v>
      </c>
      <c r="J876" s="14">
        <v>42379.508391203701</v>
      </c>
      <c r="K876">
        <v>23.34</v>
      </c>
      <c r="L876" s="5">
        <f>('[1]Pizza Sales Calculations'!$J876-'[1]Pizza Sales Calculations'!$C876)*24*60</f>
        <v>24.733333331532776</v>
      </c>
      <c r="M876">
        <f>COUNTA('[1]Pizza Sales Calculations'!$D876:$F876)</f>
        <v>2</v>
      </c>
      <c r="N876">
        <f>IFERROR(VLOOKUP(D876,[1]Parameters!$A$3:$C$5,3,FALSE),0)</f>
        <v>1</v>
      </c>
      <c r="O876">
        <f>IFERROR(VLOOKUP(E876,[1]Parameters!$A$3:$C$5,3,FALSE),0)</f>
        <v>2.2999999999999998</v>
      </c>
      <c r="P876">
        <f>IFERROR(VLOOKUP(F876,[1]Parameters!$A$3:$C$5,3,FALSE),0)</f>
        <v>0</v>
      </c>
      <c r="Q876">
        <f t="shared" si="13"/>
        <v>3.3</v>
      </c>
      <c r="R876" s="10">
        <f>IF('[1]Pizza Sales Calculations'!$G876=TRUE, [1]Parameters!$B$17*'[1]Pizza Sales Calculations'!$L876*2, 0)</f>
        <v>7.00777777726762</v>
      </c>
      <c r="S876" t="str">
        <f>IF(I876&lt;[1]Parameters!$B$21,"TRUE","FALSE")</f>
        <v>FALSE</v>
      </c>
      <c r="T876" s="5">
        <f>(I876/[1]Parameters!$B$25)*60</f>
        <v>9.8971476887604002</v>
      </c>
      <c r="U876" s="10">
        <f>IF(AND('[1]Pizza Sales Calculations'!G876=TRUE,'[1]Pizza Sales Calculations'!S876="TRUE"),T876*[1]Parameters!$B$40*2,0)</f>
        <v>0</v>
      </c>
      <c r="V876">
        <f>INDEX([1]Parameters!$A$3:$C$5,MATCH('[1]Pizza Sales Calculations'!D876,[1]Parameters!$A$3:$A$5,0),2)</f>
        <v>7</v>
      </c>
      <c r="W876">
        <f>INDEX([1]Parameters!$A$3:$C$5,MATCH('[1]Pizza Sales Calculations'!E876,[1]Parameters!$A$3:$A$5,0),2)</f>
        <v>14</v>
      </c>
      <c r="X876" t="e">
        <f>INDEX([1]Parameters!$A$3:$C$5,MATCH('[1]Pizza Sales Calculations'!F876,[1]Parameters!$A$3:$A$5,0),2)</f>
        <v>#N/A</v>
      </c>
    </row>
    <row r="877" spans="1:24" x14ac:dyDescent="0.3">
      <c r="A877">
        <v>876</v>
      </c>
      <c r="B877" s="14">
        <v>42379.492280092592</v>
      </c>
      <c r="C877" s="14">
        <v>42379.502708333333</v>
      </c>
      <c r="D877" t="s">
        <v>5</v>
      </c>
      <c r="G877" t="b">
        <v>0</v>
      </c>
      <c r="H877">
        <v>70806</v>
      </c>
      <c r="I877" s="5">
        <v>0</v>
      </c>
      <c r="J877" s="14">
        <v>42379.504803240743</v>
      </c>
      <c r="K877">
        <v>15.35</v>
      </c>
      <c r="L877" s="5">
        <f>('[1]Pizza Sales Calculations'!$J877-'[1]Pizza Sales Calculations'!$C877)*24*60</f>
        <v>3.0166666698642075</v>
      </c>
      <c r="M877">
        <f>COUNTA('[1]Pizza Sales Calculations'!$D877:$F877)</f>
        <v>1</v>
      </c>
      <c r="N877">
        <f>IFERROR(VLOOKUP(D877,[1]Parameters!$A$3:$C$5,3,FALSE),0)</f>
        <v>2.2999999999999998</v>
      </c>
      <c r="O877">
        <f>IFERROR(VLOOKUP(E877,[1]Parameters!$A$3:$C$5,3,FALSE),0)</f>
        <v>0</v>
      </c>
      <c r="P877">
        <f>IFERROR(VLOOKUP(F877,[1]Parameters!$A$3:$C$5,3,FALSE),0)</f>
        <v>0</v>
      </c>
      <c r="Q877">
        <f t="shared" si="13"/>
        <v>2.2999999999999998</v>
      </c>
      <c r="R877" s="10">
        <f>IF('[1]Pizza Sales Calculations'!$G877=TRUE, [1]Parameters!$B$17*'[1]Pizza Sales Calculations'!$L877*2, 0)</f>
        <v>0</v>
      </c>
      <c r="S877" t="str">
        <f>IF(I877&lt;[1]Parameters!$B$21,"TRUE","FALSE")</f>
        <v>TRUE</v>
      </c>
      <c r="T877" s="5">
        <f>(I877/[1]Parameters!$B$25)*60</f>
        <v>0</v>
      </c>
      <c r="U877" s="10">
        <f>IF(AND('[1]Pizza Sales Calculations'!G877=TRUE,'[1]Pizza Sales Calculations'!S877="TRUE"),T877*[1]Parameters!$B$40*2,0)</f>
        <v>0</v>
      </c>
      <c r="V877">
        <f>INDEX([1]Parameters!$A$3:$C$5,MATCH('[1]Pizza Sales Calculations'!D877,[1]Parameters!$A$3:$A$5,0),2)</f>
        <v>14</v>
      </c>
      <c r="W877" t="e">
        <f>INDEX([1]Parameters!$A$3:$C$5,MATCH('[1]Pizza Sales Calculations'!E877,[1]Parameters!$A$3:$A$5,0),2)</f>
        <v>#N/A</v>
      </c>
      <c r="X877" t="e">
        <f>INDEX([1]Parameters!$A$3:$C$5,MATCH('[1]Pizza Sales Calculations'!F877,[1]Parameters!$A$3:$A$5,0),2)</f>
        <v>#N/A</v>
      </c>
    </row>
    <row r="878" spans="1:24" x14ac:dyDescent="0.3">
      <c r="A878">
        <v>877</v>
      </c>
      <c r="B878" s="14">
        <v>42379.521562499998</v>
      </c>
      <c r="C878" s="14">
        <v>42379.53197916667</v>
      </c>
      <c r="D878" t="s">
        <v>3</v>
      </c>
      <c r="E878" t="s">
        <v>4</v>
      </c>
      <c r="G878" t="b">
        <v>1</v>
      </c>
      <c r="H878">
        <v>70805</v>
      </c>
      <c r="I878" s="5">
        <v>3.6455596246731901</v>
      </c>
      <c r="J878" s="14">
        <v>42379.544629629629</v>
      </c>
      <c r="K878">
        <v>19.579999999999998</v>
      </c>
      <c r="L878" s="5">
        <f>('[1]Pizza Sales Calculations'!$J878-'[1]Pizza Sales Calculations'!$C878)*24*60</f>
        <v>18.216666660737246</v>
      </c>
      <c r="M878">
        <f>COUNTA('[1]Pizza Sales Calculations'!$D878:$F878)</f>
        <v>2</v>
      </c>
      <c r="N878">
        <f>IFERROR(VLOOKUP(D878,[1]Parameters!$A$3:$C$5,3,FALSE),0)</f>
        <v>1</v>
      </c>
      <c r="O878">
        <f>IFERROR(VLOOKUP(E878,[1]Parameters!$A$3:$C$5,3,FALSE),0)</f>
        <v>1.7</v>
      </c>
      <c r="P878">
        <f>IFERROR(VLOOKUP(F878,[1]Parameters!$A$3:$C$5,3,FALSE),0)</f>
        <v>0</v>
      </c>
      <c r="Q878">
        <f t="shared" si="13"/>
        <v>2.7</v>
      </c>
      <c r="R878" s="10">
        <f>IF('[1]Pizza Sales Calculations'!$G878=TRUE, [1]Parameters!$B$17*'[1]Pizza Sales Calculations'!$L878*2, 0)</f>
        <v>5.1613888872088864</v>
      </c>
      <c r="S878" t="str">
        <f>IF(I878&lt;[1]Parameters!$B$21,"TRUE","FALSE")</f>
        <v>FALSE</v>
      </c>
      <c r="T878" s="5">
        <f>(I878/[1]Parameters!$B$25)*60</f>
        <v>7.2911192493463801</v>
      </c>
      <c r="U878" s="10">
        <f>IF(AND('[1]Pizza Sales Calculations'!G878=TRUE,'[1]Pizza Sales Calculations'!S878="TRUE"),T878*[1]Parameters!$B$40*2,0)</f>
        <v>0</v>
      </c>
      <c r="V878">
        <f>INDEX([1]Parameters!$A$3:$C$5,MATCH('[1]Pizza Sales Calculations'!D878,[1]Parameters!$A$3:$A$5,0),2)</f>
        <v>7</v>
      </c>
      <c r="W878">
        <f>INDEX([1]Parameters!$A$3:$C$5,MATCH('[1]Pizza Sales Calculations'!E878,[1]Parameters!$A$3:$A$5,0),2)</f>
        <v>10</v>
      </c>
      <c r="X878" t="e">
        <f>INDEX([1]Parameters!$A$3:$C$5,MATCH('[1]Pizza Sales Calculations'!F878,[1]Parameters!$A$3:$A$5,0),2)</f>
        <v>#N/A</v>
      </c>
    </row>
    <row r="879" spans="1:24" x14ac:dyDescent="0.3">
      <c r="A879">
        <v>878</v>
      </c>
      <c r="B879" s="14">
        <v>42379.559953703705</v>
      </c>
      <c r="C879" s="14">
        <v>42379.570370370369</v>
      </c>
      <c r="D879" t="s">
        <v>4</v>
      </c>
      <c r="G879" t="b">
        <v>0</v>
      </c>
      <c r="H879">
        <v>70806</v>
      </c>
      <c r="I879" s="5">
        <v>0</v>
      </c>
      <c r="J879" s="14">
        <v>42379.572465277779</v>
      </c>
      <c r="K879">
        <v>11.59</v>
      </c>
      <c r="L879" s="5">
        <f>('[1]Pizza Sales Calculations'!$J879-'[1]Pizza Sales Calculations'!$C879)*24*60</f>
        <v>3.0166666698642075</v>
      </c>
      <c r="M879">
        <f>COUNTA('[1]Pizza Sales Calculations'!$D879:$F879)</f>
        <v>1</v>
      </c>
      <c r="N879">
        <f>IFERROR(VLOOKUP(D879,[1]Parameters!$A$3:$C$5,3,FALSE),0)</f>
        <v>1.7</v>
      </c>
      <c r="O879">
        <f>IFERROR(VLOOKUP(E879,[1]Parameters!$A$3:$C$5,3,FALSE),0)</f>
        <v>0</v>
      </c>
      <c r="P879">
        <f>IFERROR(VLOOKUP(F879,[1]Parameters!$A$3:$C$5,3,FALSE),0)</f>
        <v>0</v>
      </c>
      <c r="Q879">
        <f t="shared" si="13"/>
        <v>1.7</v>
      </c>
      <c r="R879" s="10">
        <f>IF('[1]Pizza Sales Calculations'!$G879=TRUE, [1]Parameters!$B$17*'[1]Pizza Sales Calculations'!$L879*2, 0)</f>
        <v>0</v>
      </c>
      <c r="S879" t="str">
        <f>IF(I879&lt;[1]Parameters!$B$21,"TRUE","FALSE")</f>
        <v>TRUE</v>
      </c>
      <c r="T879" s="5">
        <f>(I879/[1]Parameters!$B$25)*60</f>
        <v>0</v>
      </c>
      <c r="U879" s="10">
        <f>IF(AND('[1]Pizza Sales Calculations'!G879=TRUE,'[1]Pizza Sales Calculations'!S879="TRUE"),T879*[1]Parameters!$B$40*2,0)</f>
        <v>0</v>
      </c>
      <c r="V879">
        <f>INDEX([1]Parameters!$A$3:$C$5,MATCH('[1]Pizza Sales Calculations'!D879,[1]Parameters!$A$3:$A$5,0),2)</f>
        <v>10</v>
      </c>
      <c r="W879" t="e">
        <f>INDEX([1]Parameters!$A$3:$C$5,MATCH('[1]Pizza Sales Calculations'!E879,[1]Parameters!$A$3:$A$5,0),2)</f>
        <v>#N/A</v>
      </c>
      <c r="X879" t="e">
        <f>INDEX([1]Parameters!$A$3:$C$5,MATCH('[1]Pizza Sales Calculations'!F879,[1]Parameters!$A$3:$A$5,0),2)</f>
        <v>#N/A</v>
      </c>
    </row>
    <row r="880" spans="1:24" x14ac:dyDescent="0.3">
      <c r="A880">
        <v>879</v>
      </c>
      <c r="B880" s="14">
        <v>42379.485474537039</v>
      </c>
      <c r="C880" s="14">
        <v>42379.495879629627</v>
      </c>
      <c r="D880" t="s">
        <v>3</v>
      </c>
      <c r="G880" t="b">
        <v>0</v>
      </c>
      <c r="H880">
        <v>70805</v>
      </c>
      <c r="I880" s="5">
        <v>0</v>
      </c>
      <c r="J880" s="14">
        <v>42379.49795138889</v>
      </c>
      <c r="K880">
        <v>7.99</v>
      </c>
      <c r="L880" s="5">
        <f>('[1]Pizza Sales Calculations'!$J880-'[1]Pizza Sales Calculations'!$C880)*24*60</f>
        <v>2.9833333392161876</v>
      </c>
      <c r="M880">
        <f>COUNTA('[1]Pizza Sales Calculations'!$D880:$F880)</f>
        <v>1</v>
      </c>
      <c r="N880">
        <f>IFERROR(VLOOKUP(D880,[1]Parameters!$A$3:$C$5,3,FALSE),0)</f>
        <v>1</v>
      </c>
      <c r="O880">
        <f>IFERROR(VLOOKUP(E880,[1]Parameters!$A$3:$C$5,3,FALSE),0)</f>
        <v>0</v>
      </c>
      <c r="P880">
        <f>IFERROR(VLOOKUP(F880,[1]Parameters!$A$3:$C$5,3,FALSE),0)</f>
        <v>0</v>
      </c>
      <c r="Q880">
        <f t="shared" si="13"/>
        <v>1</v>
      </c>
      <c r="R880" s="10">
        <f>IF('[1]Pizza Sales Calculations'!$G880=TRUE, [1]Parameters!$B$17*'[1]Pizza Sales Calculations'!$L880*2, 0)</f>
        <v>0</v>
      </c>
      <c r="S880" t="str">
        <f>IF(I880&lt;[1]Parameters!$B$21,"TRUE","FALSE")</f>
        <v>TRUE</v>
      </c>
      <c r="T880" s="5">
        <f>(I880/[1]Parameters!$B$25)*60</f>
        <v>0</v>
      </c>
      <c r="U880" s="10">
        <f>IF(AND('[1]Pizza Sales Calculations'!G880=TRUE,'[1]Pizza Sales Calculations'!S880="TRUE"),T880*[1]Parameters!$B$40*2,0)</f>
        <v>0</v>
      </c>
      <c r="V880">
        <f>INDEX([1]Parameters!$A$3:$C$5,MATCH('[1]Pizza Sales Calculations'!D880,[1]Parameters!$A$3:$A$5,0),2)</f>
        <v>7</v>
      </c>
      <c r="W880" t="e">
        <f>INDEX([1]Parameters!$A$3:$C$5,MATCH('[1]Pizza Sales Calculations'!E880,[1]Parameters!$A$3:$A$5,0),2)</f>
        <v>#N/A</v>
      </c>
      <c r="X880" t="e">
        <f>INDEX([1]Parameters!$A$3:$C$5,MATCH('[1]Pizza Sales Calculations'!F880,[1]Parameters!$A$3:$A$5,0),2)</f>
        <v>#N/A</v>
      </c>
    </row>
    <row r="881" spans="1:24" x14ac:dyDescent="0.3">
      <c r="A881">
        <v>880</v>
      </c>
      <c r="B881" s="14">
        <v>42379.47042824074</v>
      </c>
      <c r="C881" s="14">
        <v>42379.480856481481</v>
      </c>
      <c r="D881" t="s">
        <v>3</v>
      </c>
      <c r="E881" t="s">
        <v>5</v>
      </c>
      <c r="G881" t="b">
        <v>1</v>
      </c>
      <c r="H881">
        <v>70805</v>
      </c>
      <c r="I881" s="5">
        <v>2.21162932189341</v>
      </c>
      <c r="J881" s="14">
        <v>42379.488530092596</v>
      </c>
      <c r="K881">
        <v>23.34</v>
      </c>
      <c r="L881" s="5">
        <f>('[1]Pizza Sales Calculations'!$J881-'[1]Pizza Sales Calculations'!$C881)*24*60</f>
        <v>11.050000005634502</v>
      </c>
      <c r="M881">
        <f>COUNTA('[1]Pizza Sales Calculations'!$D881:$F881)</f>
        <v>2</v>
      </c>
      <c r="N881">
        <f>IFERROR(VLOOKUP(D881,[1]Parameters!$A$3:$C$5,3,FALSE),0)</f>
        <v>1</v>
      </c>
      <c r="O881">
        <f>IFERROR(VLOOKUP(E881,[1]Parameters!$A$3:$C$5,3,FALSE),0)</f>
        <v>2.2999999999999998</v>
      </c>
      <c r="P881">
        <f>IFERROR(VLOOKUP(F881,[1]Parameters!$A$3:$C$5,3,FALSE),0)</f>
        <v>0</v>
      </c>
      <c r="Q881">
        <f t="shared" si="13"/>
        <v>3.3</v>
      </c>
      <c r="R881" s="10">
        <f>IF('[1]Pizza Sales Calculations'!$G881=TRUE, [1]Parameters!$B$17*'[1]Pizza Sales Calculations'!$L881*2, 0)</f>
        <v>3.1308333349297754</v>
      </c>
      <c r="S881" t="str">
        <f>IF(I881&lt;[1]Parameters!$B$21,"TRUE","FALSE")</f>
        <v>TRUE</v>
      </c>
      <c r="T881" s="5">
        <f>(I881/[1]Parameters!$B$25)*60</f>
        <v>4.42325864378682</v>
      </c>
      <c r="U881" s="10">
        <f>IF(AND('[1]Pizza Sales Calculations'!G881=TRUE,'[1]Pizza Sales Calculations'!S881="TRUE"),T881*[1]Parameters!$B$40*2,0)</f>
        <v>0.27611142934465321</v>
      </c>
      <c r="V881">
        <f>INDEX([1]Parameters!$A$3:$C$5,MATCH('[1]Pizza Sales Calculations'!D881,[1]Parameters!$A$3:$A$5,0),2)</f>
        <v>7</v>
      </c>
      <c r="W881">
        <f>INDEX([1]Parameters!$A$3:$C$5,MATCH('[1]Pizza Sales Calculations'!E881,[1]Parameters!$A$3:$A$5,0),2)</f>
        <v>14</v>
      </c>
      <c r="X881" t="e">
        <f>INDEX([1]Parameters!$A$3:$C$5,MATCH('[1]Pizza Sales Calculations'!F881,[1]Parameters!$A$3:$A$5,0),2)</f>
        <v>#N/A</v>
      </c>
    </row>
    <row r="882" spans="1:24" x14ac:dyDescent="0.3">
      <c r="A882">
        <v>881</v>
      </c>
      <c r="B882" s="14">
        <v>42379.607662037037</v>
      </c>
      <c r="C882" s="14">
        <v>42379.618055555555</v>
      </c>
      <c r="D882" t="s">
        <v>5</v>
      </c>
      <c r="G882" t="b">
        <v>0</v>
      </c>
      <c r="H882">
        <v>70807</v>
      </c>
      <c r="I882" s="5">
        <v>0</v>
      </c>
      <c r="J882" s="14">
        <v>42379.620127314818</v>
      </c>
      <c r="K882">
        <v>15.35</v>
      </c>
      <c r="L882" s="5">
        <f>('[1]Pizza Sales Calculations'!$J882-'[1]Pizza Sales Calculations'!$C882)*24*60</f>
        <v>2.9833333392161876</v>
      </c>
      <c r="M882">
        <f>COUNTA('[1]Pizza Sales Calculations'!$D882:$F882)</f>
        <v>1</v>
      </c>
      <c r="N882">
        <f>IFERROR(VLOOKUP(D882,[1]Parameters!$A$3:$C$5,3,FALSE),0)</f>
        <v>2.2999999999999998</v>
      </c>
      <c r="O882">
        <f>IFERROR(VLOOKUP(E882,[1]Parameters!$A$3:$C$5,3,FALSE),0)</f>
        <v>0</v>
      </c>
      <c r="P882">
        <f>IFERROR(VLOOKUP(F882,[1]Parameters!$A$3:$C$5,3,FALSE),0)</f>
        <v>0</v>
      </c>
      <c r="Q882">
        <f t="shared" si="13"/>
        <v>2.2999999999999998</v>
      </c>
      <c r="R882" s="10">
        <f>IF('[1]Pizza Sales Calculations'!$G882=TRUE, [1]Parameters!$B$17*'[1]Pizza Sales Calculations'!$L882*2, 0)</f>
        <v>0</v>
      </c>
      <c r="S882" t="str">
        <f>IF(I882&lt;[1]Parameters!$B$21,"TRUE","FALSE")</f>
        <v>TRUE</v>
      </c>
      <c r="T882" s="5">
        <f>(I882/[1]Parameters!$B$25)*60</f>
        <v>0</v>
      </c>
      <c r="U882" s="10">
        <f>IF(AND('[1]Pizza Sales Calculations'!G882=TRUE,'[1]Pizza Sales Calculations'!S882="TRUE"),T882*[1]Parameters!$B$40*2,0)</f>
        <v>0</v>
      </c>
      <c r="V882">
        <f>INDEX([1]Parameters!$A$3:$C$5,MATCH('[1]Pizza Sales Calculations'!D882,[1]Parameters!$A$3:$A$5,0),2)</f>
        <v>14</v>
      </c>
      <c r="W882" t="e">
        <f>INDEX([1]Parameters!$A$3:$C$5,MATCH('[1]Pizza Sales Calculations'!E882,[1]Parameters!$A$3:$A$5,0),2)</f>
        <v>#N/A</v>
      </c>
      <c r="X882" t="e">
        <f>INDEX([1]Parameters!$A$3:$C$5,MATCH('[1]Pizza Sales Calculations'!F882,[1]Parameters!$A$3:$A$5,0),2)</f>
        <v>#N/A</v>
      </c>
    </row>
    <row r="883" spans="1:24" x14ac:dyDescent="0.3">
      <c r="A883">
        <v>882</v>
      </c>
      <c r="B883" s="14">
        <v>42379.442685185182</v>
      </c>
      <c r="C883" s="14">
        <v>42379.453090277777</v>
      </c>
      <c r="D883" t="s">
        <v>3</v>
      </c>
      <c r="E883" t="s">
        <v>4</v>
      </c>
      <c r="G883" t="b">
        <v>1</v>
      </c>
      <c r="H883">
        <v>70806</v>
      </c>
      <c r="I883" s="5">
        <v>2.14428518401902</v>
      </c>
      <c r="J883" s="14">
        <v>42379.460532407407</v>
      </c>
      <c r="K883">
        <v>19.579999999999998</v>
      </c>
      <c r="L883" s="5">
        <f>('[1]Pizza Sales Calculations'!$J883-'[1]Pizza Sales Calculations'!$C883)*24*60</f>
        <v>10.716666667722166</v>
      </c>
      <c r="M883">
        <f>COUNTA('[1]Pizza Sales Calculations'!$D883:$F883)</f>
        <v>2</v>
      </c>
      <c r="N883">
        <f>IFERROR(VLOOKUP(D883,[1]Parameters!$A$3:$C$5,3,FALSE),0)</f>
        <v>1</v>
      </c>
      <c r="O883">
        <f>IFERROR(VLOOKUP(E883,[1]Parameters!$A$3:$C$5,3,FALSE),0)</f>
        <v>1.7</v>
      </c>
      <c r="P883">
        <f>IFERROR(VLOOKUP(F883,[1]Parameters!$A$3:$C$5,3,FALSE),0)</f>
        <v>0</v>
      </c>
      <c r="Q883">
        <f t="shared" si="13"/>
        <v>2.7</v>
      </c>
      <c r="R883" s="10">
        <f>IF('[1]Pizza Sales Calculations'!$G883=TRUE, [1]Parameters!$B$17*'[1]Pizza Sales Calculations'!$L883*2, 0)</f>
        <v>3.0363888891879469</v>
      </c>
      <c r="S883" t="str">
        <f>IF(I883&lt;[1]Parameters!$B$21,"TRUE","FALSE")</f>
        <v>TRUE</v>
      </c>
      <c r="T883" s="5">
        <f>(I883/[1]Parameters!$B$25)*60</f>
        <v>4.28857036803804</v>
      </c>
      <c r="U883" s="10">
        <f>IF(AND('[1]Pizza Sales Calculations'!G883=TRUE,'[1]Pizza Sales Calculations'!S883="TRUE"),T883*[1]Parameters!$B$40*2,0)</f>
        <v>0.2677038331971387</v>
      </c>
      <c r="V883">
        <f>INDEX([1]Parameters!$A$3:$C$5,MATCH('[1]Pizza Sales Calculations'!D883,[1]Parameters!$A$3:$A$5,0),2)</f>
        <v>7</v>
      </c>
      <c r="W883">
        <f>INDEX([1]Parameters!$A$3:$C$5,MATCH('[1]Pizza Sales Calculations'!E883,[1]Parameters!$A$3:$A$5,0),2)</f>
        <v>10</v>
      </c>
      <c r="X883" t="e">
        <f>INDEX([1]Parameters!$A$3:$C$5,MATCH('[1]Pizza Sales Calculations'!F883,[1]Parameters!$A$3:$A$5,0),2)</f>
        <v>#N/A</v>
      </c>
    </row>
    <row r="884" spans="1:24" x14ac:dyDescent="0.3">
      <c r="A884">
        <v>883</v>
      </c>
      <c r="B884" s="14">
        <v>42379.483402777776</v>
      </c>
      <c r="C884" s="14">
        <v>42379.493796296294</v>
      </c>
      <c r="D884" t="s">
        <v>3</v>
      </c>
      <c r="E884" t="s">
        <v>5</v>
      </c>
      <c r="G884" t="b">
        <v>1</v>
      </c>
      <c r="H884">
        <v>70807</v>
      </c>
      <c r="I884" s="5">
        <v>1.9876421463982701</v>
      </c>
      <c r="J884" s="14">
        <v>42379.500694444447</v>
      </c>
      <c r="K884">
        <v>23.34</v>
      </c>
      <c r="L884" s="5">
        <f>('[1]Pizza Sales Calculations'!$J884-'[1]Pizza Sales Calculations'!$C884)*24*60</f>
        <v>9.9333333398681134</v>
      </c>
      <c r="M884">
        <f>COUNTA('[1]Pizza Sales Calculations'!$D884:$F884)</f>
        <v>2</v>
      </c>
      <c r="N884">
        <f>IFERROR(VLOOKUP(D884,[1]Parameters!$A$3:$C$5,3,FALSE),0)</f>
        <v>1</v>
      </c>
      <c r="O884">
        <f>IFERROR(VLOOKUP(E884,[1]Parameters!$A$3:$C$5,3,FALSE),0)</f>
        <v>2.2999999999999998</v>
      </c>
      <c r="P884">
        <f>IFERROR(VLOOKUP(F884,[1]Parameters!$A$3:$C$5,3,FALSE),0)</f>
        <v>0</v>
      </c>
      <c r="Q884">
        <f t="shared" si="13"/>
        <v>3.3</v>
      </c>
      <c r="R884" s="10">
        <f>IF('[1]Pizza Sales Calculations'!$G884=TRUE, [1]Parameters!$B$17*'[1]Pizza Sales Calculations'!$L884*2, 0)</f>
        <v>2.8144444462959655</v>
      </c>
      <c r="S884" t="str">
        <f>IF(I884&lt;[1]Parameters!$B$21,"TRUE","FALSE")</f>
        <v>TRUE</v>
      </c>
      <c r="T884" s="5">
        <f>(I884/[1]Parameters!$B$25)*60</f>
        <v>3.9752842927965402</v>
      </c>
      <c r="U884" s="10">
        <f>IF(AND('[1]Pizza Sales Calculations'!G884=TRUE,'[1]Pizza Sales Calculations'!S884="TRUE"),T884*[1]Parameters!$B$40*2,0)</f>
        <v>0.24814769303106157</v>
      </c>
      <c r="V884">
        <f>INDEX([1]Parameters!$A$3:$C$5,MATCH('[1]Pizza Sales Calculations'!D884,[1]Parameters!$A$3:$A$5,0),2)</f>
        <v>7</v>
      </c>
      <c r="W884">
        <f>INDEX([1]Parameters!$A$3:$C$5,MATCH('[1]Pizza Sales Calculations'!E884,[1]Parameters!$A$3:$A$5,0),2)</f>
        <v>14</v>
      </c>
      <c r="X884" t="e">
        <f>INDEX([1]Parameters!$A$3:$C$5,MATCH('[1]Pizza Sales Calculations'!F884,[1]Parameters!$A$3:$A$5,0),2)</f>
        <v>#N/A</v>
      </c>
    </row>
    <row r="885" spans="1:24" x14ac:dyDescent="0.3">
      <c r="A885">
        <v>884</v>
      </c>
      <c r="B885" s="14">
        <v>42379.469918981478</v>
      </c>
      <c r="C885" s="14">
        <v>42379.48033564815</v>
      </c>
      <c r="D885" t="s">
        <v>4</v>
      </c>
      <c r="G885" t="b">
        <v>1</v>
      </c>
      <c r="H885">
        <v>70805</v>
      </c>
      <c r="I885" s="5">
        <v>5.1834778423221097</v>
      </c>
      <c r="J885" s="14">
        <v>42379.498333333337</v>
      </c>
      <c r="K885">
        <v>11.59</v>
      </c>
      <c r="L885" s="5">
        <f>('[1]Pizza Sales Calculations'!$J885-'[1]Pizza Sales Calculations'!$C885)*24*60</f>
        <v>25.916666669072583</v>
      </c>
      <c r="M885">
        <f>COUNTA('[1]Pizza Sales Calculations'!$D885:$F885)</f>
        <v>1</v>
      </c>
      <c r="N885">
        <f>IFERROR(VLOOKUP(D885,[1]Parameters!$A$3:$C$5,3,FALSE),0)</f>
        <v>1.7</v>
      </c>
      <c r="O885">
        <f>IFERROR(VLOOKUP(E885,[1]Parameters!$A$3:$C$5,3,FALSE),0)</f>
        <v>0</v>
      </c>
      <c r="P885">
        <f>IFERROR(VLOOKUP(F885,[1]Parameters!$A$3:$C$5,3,FALSE),0)</f>
        <v>0</v>
      </c>
      <c r="Q885">
        <f t="shared" si="13"/>
        <v>1.7</v>
      </c>
      <c r="R885" s="10">
        <f>IF('[1]Pizza Sales Calculations'!$G885=TRUE, [1]Parameters!$B$17*'[1]Pizza Sales Calculations'!$L885*2, 0)</f>
        <v>7.3430555562372319</v>
      </c>
      <c r="S885" t="str">
        <f>IF(I885&lt;[1]Parameters!$B$21,"TRUE","FALSE")</f>
        <v>FALSE</v>
      </c>
      <c r="T885" s="5">
        <f>(I885/[1]Parameters!$B$25)*60</f>
        <v>10.366955684644219</v>
      </c>
      <c r="U885" s="10">
        <f>IF(AND('[1]Pizza Sales Calculations'!G885=TRUE,'[1]Pizza Sales Calculations'!S885="TRUE"),T885*[1]Parameters!$B$40*2,0)</f>
        <v>0</v>
      </c>
      <c r="V885">
        <f>INDEX([1]Parameters!$A$3:$C$5,MATCH('[1]Pizza Sales Calculations'!D885,[1]Parameters!$A$3:$A$5,0),2)</f>
        <v>10</v>
      </c>
      <c r="W885" t="e">
        <f>INDEX([1]Parameters!$A$3:$C$5,MATCH('[1]Pizza Sales Calculations'!E885,[1]Parameters!$A$3:$A$5,0),2)</f>
        <v>#N/A</v>
      </c>
      <c r="X885" t="e">
        <f>INDEX([1]Parameters!$A$3:$C$5,MATCH('[1]Pizza Sales Calculations'!F885,[1]Parameters!$A$3:$A$5,0),2)</f>
        <v>#N/A</v>
      </c>
    </row>
    <row r="886" spans="1:24" x14ac:dyDescent="0.3">
      <c r="A886">
        <v>885</v>
      </c>
      <c r="B886" s="14">
        <v>42379.449606481481</v>
      </c>
      <c r="C886" s="14">
        <v>42379.460023148145</v>
      </c>
      <c r="D886" t="s">
        <v>5</v>
      </c>
      <c r="G886" t="b">
        <v>0</v>
      </c>
      <c r="H886">
        <v>70804</v>
      </c>
      <c r="I886" s="5">
        <v>0</v>
      </c>
      <c r="J886" s="14">
        <v>42379.462094907409</v>
      </c>
      <c r="K886">
        <v>15.35</v>
      </c>
      <c r="L886" s="5">
        <f>('[1]Pizza Sales Calculations'!$J886-'[1]Pizza Sales Calculations'!$C886)*24*60</f>
        <v>2.9833333392161876</v>
      </c>
      <c r="M886">
        <f>COUNTA('[1]Pizza Sales Calculations'!$D886:$F886)</f>
        <v>1</v>
      </c>
      <c r="N886">
        <f>IFERROR(VLOOKUP(D886,[1]Parameters!$A$3:$C$5,3,FALSE),0)</f>
        <v>2.2999999999999998</v>
      </c>
      <c r="O886">
        <f>IFERROR(VLOOKUP(E886,[1]Parameters!$A$3:$C$5,3,FALSE),0)</f>
        <v>0</v>
      </c>
      <c r="P886">
        <f>IFERROR(VLOOKUP(F886,[1]Parameters!$A$3:$C$5,3,FALSE),0)</f>
        <v>0</v>
      </c>
      <c r="Q886">
        <f t="shared" si="13"/>
        <v>2.2999999999999998</v>
      </c>
      <c r="R886" s="10">
        <f>IF('[1]Pizza Sales Calculations'!$G886=TRUE, [1]Parameters!$B$17*'[1]Pizza Sales Calculations'!$L886*2, 0)</f>
        <v>0</v>
      </c>
      <c r="S886" t="str">
        <f>IF(I886&lt;[1]Parameters!$B$21,"TRUE","FALSE")</f>
        <v>TRUE</v>
      </c>
      <c r="T886" s="5">
        <f>(I886/[1]Parameters!$B$25)*60</f>
        <v>0</v>
      </c>
      <c r="U886" s="10">
        <f>IF(AND('[1]Pizza Sales Calculations'!G886=TRUE,'[1]Pizza Sales Calculations'!S886="TRUE"),T886*[1]Parameters!$B$40*2,0)</f>
        <v>0</v>
      </c>
      <c r="V886">
        <f>INDEX([1]Parameters!$A$3:$C$5,MATCH('[1]Pizza Sales Calculations'!D886,[1]Parameters!$A$3:$A$5,0),2)</f>
        <v>14</v>
      </c>
      <c r="W886" t="e">
        <f>INDEX([1]Parameters!$A$3:$C$5,MATCH('[1]Pizza Sales Calculations'!E886,[1]Parameters!$A$3:$A$5,0),2)</f>
        <v>#N/A</v>
      </c>
      <c r="X886" t="e">
        <f>INDEX([1]Parameters!$A$3:$C$5,MATCH('[1]Pizza Sales Calculations'!F886,[1]Parameters!$A$3:$A$5,0),2)</f>
        <v>#N/A</v>
      </c>
    </row>
    <row r="887" spans="1:24" x14ac:dyDescent="0.3">
      <c r="A887">
        <v>886</v>
      </c>
      <c r="B887" s="14">
        <v>42379.576574074075</v>
      </c>
      <c r="C887" s="14">
        <v>42379.58697916667</v>
      </c>
      <c r="D887" t="s">
        <v>3</v>
      </c>
      <c r="G887" t="b">
        <v>1</v>
      </c>
      <c r="H887">
        <v>70808</v>
      </c>
      <c r="I887" s="5">
        <v>1.8057750150668901</v>
      </c>
      <c r="J887" s="14">
        <v>42379.593240740738</v>
      </c>
      <c r="K887">
        <v>7.99</v>
      </c>
      <c r="L887" s="5">
        <f>('[1]Pizza Sales Calculations'!$J887-'[1]Pizza Sales Calculations'!$C887)*24*60</f>
        <v>9.0166666579898447</v>
      </c>
      <c r="M887">
        <f>COUNTA('[1]Pizza Sales Calculations'!$D887:$F887)</f>
        <v>1</v>
      </c>
      <c r="N887">
        <f>IFERROR(VLOOKUP(D887,[1]Parameters!$A$3:$C$5,3,FALSE),0)</f>
        <v>1</v>
      </c>
      <c r="O887">
        <f>IFERROR(VLOOKUP(E887,[1]Parameters!$A$3:$C$5,3,FALSE),0)</f>
        <v>0</v>
      </c>
      <c r="P887">
        <f>IFERROR(VLOOKUP(F887,[1]Parameters!$A$3:$C$5,3,FALSE),0)</f>
        <v>0</v>
      </c>
      <c r="Q887">
        <f t="shared" si="13"/>
        <v>1</v>
      </c>
      <c r="R887" s="10">
        <f>IF('[1]Pizza Sales Calculations'!$G887=TRUE, [1]Parameters!$B$17*'[1]Pizza Sales Calculations'!$L887*2, 0)</f>
        <v>2.5547222197637893</v>
      </c>
      <c r="S887" t="str">
        <f>IF(I887&lt;[1]Parameters!$B$21,"TRUE","FALSE")</f>
        <v>TRUE</v>
      </c>
      <c r="T887" s="5">
        <f>(I887/[1]Parameters!$B$25)*60</f>
        <v>3.6115500301337802</v>
      </c>
      <c r="U887" s="10">
        <f>IF(AND('[1]Pizza Sales Calculations'!G887=TRUE,'[1]Pizza Sales Calculations'!S887="TRUE"),T887*[1]Parameters!$B$40*2,0)</f>
        <v>0.22544244442288672</v>
      </c>
      <c r="V887">
        <f>INDEX([1]Parameters!$A$3:$C$5,MATCH('[1]Pizza Sales Calculations'!D887,[1]Parameters!$A$3:$A$5,0),2)</f>
        <v>7</v>
      </c>
      <c r="W887" t="e">
        <f>INDEX([1]Parameters!$A$3:$C$5,MATCH('[1]Pizza Sales Calculations'!E887,[1]Parameters!$A$3:$A$5,0),2)</f>
        <v>#N/A</v>
      </c>
      <c r="X887" t="e">
        <f>INDEX([1]Parameters!$A$3:$C$5,MATCH('[1]Pizza Sales Calculations'!F887,[1]Parameters!$A$3:$A$5,0),2)</f>
        <v>#N/A</v>
      </c>
    </row>
    <row r="888" spans="1:24" x14ac:dyDescent="0.3">
      <c r="A888">
        <v>887</v>
      </c>
      <c r="B888" s="14">
        <v>42379.435659722221</v>
      </c>
      <c r="C888" s="14">
        <v>42379.446076388886</v>
      </c>
      <c r="D888" t="s">
        <v>5</v>
      </c>
      <c r="G888" t="b">
        <v>1</v>
      </c>
      <c r="H888">
        <v>70805</v>
      </c>
      <c r="I888" s="5">
        <v>2.8019141396937601</v>
      </c>
      <c r="J888" s="14">
        <v>42379.45579861111</v>
      </c>
      <c r="K888">
        <v>15.35</v>
      </c>
      <c r="L888" s="5">
        <f>('[1]Pizza Sales Calculations'!$J888-'[1]Pizza Sales Calculations'!$C888)*24*60</f>
        <v>14.00000000372529</v>
      </c>
      <c r="M888">
        <f>COUNTA('[1]Pizza Sales Calculations'!$D888:$F888)</f>
        <v>1</v>
      </c>
      <c r="N888">
        <f>IFERROR(VLOOKUP(D888,[1]Parameters!$A$3:$C$5,3,FALSE),0)</f>
        <v>2.2999999999999998</v>
      </c>
      <c r="O888">
        <f>IFERROR(VLOOKUP(E888,[1]Parameters!$A$3:$C$5,3,FALSE),0)</f>
        <v>0</v>
      </c>
      <c r="P888">
        <f>IFERROR(VLOOKUP(F888,[1]Parameters!$A$3:$C$5,3,FALSE),0)</f>
        <v>0</v>
      </c>
      <c r="Q888">
        <f t="shared" si="13"/>
        <v>2.2999999999999998</v>
      </c>
      <c r="R888" s="10">
        <f>IF('[1]Pizza Sales Calculations'!$G888=TRUE, [1]Parameters!$B$17*'[1]Pizza Sales Calculations'!$L888*2, 0)</f>
        <v>3.9666666677221656</v>
      </c>
      <c r="S888" t="str">
        <f>IF(I888&lt;[1]Parameters!$B$21,"TRUE","FALSE")</f>
        <v>TRUE</v>
      </c>
      <c r="T888" s="5">
        <f>(I888/[1]Parameters!$B$25)*60</f>
        <v>5.6038282793875203</v>
      </c>
      <c r="U888" s="10">
        <f>IF(AND('[1]Pizza Sales Calculations'!G888=TRUE,'[1]Pizza Sales Calculations'!S888="TRUE"),T888*[1]Parameters!$B$40*2,0)</f>
        <v>0.3498056886628329</v>
      </c>
      <c r="V888">
        <f>INDEX([1]Parameters!$A$3:$C$5,MATCH('[1]Pizza Sales Calculations'!D888,[1]Parameters!$A$3:$A$5,0),2)</f>
        <v>14</v>
      </c>
      <c r="W888" t="e">
        <f>INDEX([1]Parameters!$A$3:$C$5,MATCH('[1]Pizza Sales Calculations'!E888,[1]Parameters!$A$3:$A$5,0),2)</f>
        <v>#N/A</v>
      </c>
      <c r="X888" t="e">
        <f>INDEX([1]Parameters!$A$3:$C$5,MATCH('[1]Pizza Sales Calculations'!F888,[1]Parameters!$A$3:$A$5,0),2)</f>
        <v>#N/A</v>
      </c>
    </row>
    <row r="889" spans="1:24" x14ac:dyDescent="0.3">
      <c r="A889">
        <v>888</v>
      </c>
      <c r="B889" s="14">
        <v>42379.495486111111</v>
      </c>
      <c r="C889" s="14">
        <v>42379.505902777775</v>
      </c>
      <c r="D889" t="s">
        <v>4</v>
      </c>
      <c r="G889" t="b">
        <v>0</v>
      </c>
      <c r="H889">
        <v>70806</v>
      </c>
      <c r="I889" s="5">
        <v>0</v>
      </c>
      <c r="J889" s="14">
        <v>42379.507986111108</v>
      </c>
      <c r="K889">
        <v>11.59</v>
      </c>
      <c r="L889" s="5">
        <f>('[1]Pizza Sales Calculations'!$J889-'[1]Pizza Sales Calculations'!$C889)*24*60</f>
        <v>2.9999999993015081</v>
      </c>
      <c r="M889">
        <f>COUNTA('[1]Pizza Sales Calculations'!$D889:$F889)</f>
        <v>1</v>
      </c>
      <c r="N889">
        <f>IFERROR(VLOOKUP(D889,[1]Parameters!$A$3:$C$5,3,FALSE),0)</f>
        <v>1.7</v>
      </c>
      <c r="O889">
        <f>IFERROR(VLOOKUP(E889,[1]Parameters!$A$3:$C$5,3,FALSE),0)</f>
        <v>0</v>
      </c>
      <c r="P889">
        <f>IFERROR(VLOOKUP(F889,[1]Parameters!$A$3:$C$5,3,FALSE),0)</f>
        <v>0</v>
      </c>
      <c r="Q889">
        <f t="shared" si="13"/>
        <v>1.7</v>
      </c>
      <c r="R889" s="10">
        <f>IF('[1]Pizza Sales Calculations'!$G889=TRUE, [1]Parameters!$B$17*'[1]Pizza Sales Calculations'!$L889*2, 0)</f>
        <v>0</v>
      </c>
      <c r="S889" t="str">
        <f>IF(I889&lt;[1]Parameters!$B$21,"TRUE","FALSE")</f>
        <v>TRUE</v>
      </c>
      <c r="T889" s="5">
        <f>(I889/[1]Parameters!$B$25)*60</f>
        <v>0</v>
      </c>
      <c r="U889" s="10">
        <f>IF(AND('[1]Pizza Sales Calculations'!G889=TRUE,'[1]Pizza Sales Calculations'!S889="TRUE"),T889*[1]Parameters!$B$40*2,0)</f>
        <v>0</v>
      </c>
      <c r="V889">
        <f>INDEX([1]Parameters!$A$3:$C$5,MATCH('[1]Pizza Sales Calculations'!D889,[1]Parameters!$A$3:$A$5,0),2)</f>
        <v>10</v>
      </c>
      <c r="W889" t="e">
        <f>INDEX([1]Parameters!$A$3:$C$5,MATCH('[1]Pizza Sales Calculations'!E889,[1]Parameters!$A$3:$A$5,0),2)</f>
        <v>#N/A</v>
      </c>
      <c r="X889" t="e">
        <f>INDEX([1]Parameters!$A$3:$C$5,MATCH('[1]Pizza Sales Calculations'!F889,[1]Parameters!$A$3:$A$5,0),2)</f>
        <v>#N/A</v>
      </c>
    </row>
    <row r="890" spans="1:24" x14ac:dyDescent="0.3">
      <c r="A890">
        <v>889</v>
      </c>
      <c r="B890" s="14">
        <v>42379.507905092592</v>
      </c>
      <c r="C890" s="14">
        <v>42379.518333333333</v>
      </c>
      <c r="D890" t="s">
        <v>3</v>
      </c>
      <c r="G890" t="b">
        <v>1</v>
      </c>
      <c r="H890">
        <v>70805</v>
      </c>
      <c r="I890" s="5">
        <v>2.12428824528756</v>
      </c>
      <c r="J890" s="14">
        <v>42379.525706018518</v>
      </c>
      <c r="K890">
        <v>7.99</v>
      </c>
      <c r="L890" s="5">
        <f>('[1]Pizza Sales Calculations'!$J890-'[1]Pizza Sales Calculations'!$C890)*24*60</f>
        <v>10.616666665300727</v>
      </c>
      <c r="M890">
        <f>COUNTA('[1]Pizza Sales Calculations'!$D890:$F890)</f>
        <v>1</v>
      </c>
      <c r="N890">
        <f>IFERROR(VLOOKUP(D890,[1]Parameters!$A$3:$C$5,3,FALSE),0)</f>
        <v>1</v>
      </c>
      <c r="O890">
        <f>IFERROR(VLOOKUP(E890,[1]Parameters!$A$3:$C$5,3,FALSE),0)</f>
        <v>0</v>
      </c>
      <c r="P890">
        <f>IFERROR(VLOOKUP(F890,[1]Parameters!$A$3:$C$5,3,FALSE),0)</f>
        <v>0</v>
      </c>
      <c r="Q890">
        <f t="shared" si="13"/>
        <v>1</v>
      </c>
      <c r="R890" s="10">
        <f>IF('[1]Pizza Sales Calculations'!$G890=TRUE, [1]Parameters!$B$17*'[1]Pizza Sales Calculations'!$L890*2, 0)</f>
        <v>3.0080555551685393</v>
      </c>
      <c r="S890" t="str">
        <f>IF(I890&lt;[1]Parameters!$B$21,"TRUE","FALSE")</f>
        <v>TRUE</v>
      </c>
      <c r="T890" s="5">
        <f>(I890/[1]Parameters!$B$25)*60</f>
        <v>4.24857649057512</v>
      </c>
      <c r="U890" s="10">
        <f>IF(AND('[1]Pizza Sales Calculations'!G890=TRUE,'[1]Pizza Sales Calculations'!S890="TRUE"),T890*[1]Parameters!$B$40*2,0)</f>
        <v>0.26520731025769151</v>
      </c>
      <c r="V890">
        <f>INDEX([1]Parameters!$A$3:$C$5,MATCH('[1]Pizza Sales Calculations'!D890,[1]Parameters!$A$3:$A$5,0),2)</f>
        <v>7</v>
      </c>
      <c r="W890" t="e">
        <f>INDEX([1]Parameters!$A$3:$C$5,MATCH('[1]Pizza Sales Calculations'!E890,[1]Parameters!$A$3:$A$5,0),2)</f>
        <v>#N/A</v>
      </c>
      <c r="X890" t="e">
        <f>INDEX([1]Parameters!$A$3:$C$5,MATCH('[1]Pizza Sales Calculations'!F890,[1]Parameters!$A$3:$A$5,0),2)</f>
        <v>#N/A</v>
      </c>
    </row>
    <row r="891" spans="1:24" x14ac:dyDescent="0.3">
      <c r="A891">
        <v>890</v>
      </c>
      <c r="B891" s="14">
        <v>42379.478622685187</v>
      </c>
      <c r="C891" s="14">
        <v>42379.489027777781</v>
      </c>
      <c r="D891" t="s">
        <v>3</v>
      </c>
      <c r="E891" t="s">
        <v>5</v>
      </c>
      <c r="G891" t="b">
        <v>1</v>
      </c>
      <c r="H891">
        <v>70806</v>
      </c>
      <c r="I891" s="5">
        <v>2.8449629223818298</v>
      </c>
      <c r="J891" s="14">
        <v>42379.498900462961</v>
      </c>
      <c r="K891">
        <v>23.34</v>
      </c>
      <c r="L891" s="5">
        <f>('[1]Pizza Sales Calculations'!$J891-'[1]Pizza Sales Calculations'!$C891)*24*60</f>
        <v>14.216666658176109</v>
      </c>
      <c r="M891">
        <f>COUNTA('[1]Pizza Sales Calculations'!$D891:$F891)</f>
        <v>2</v>
      </c>
      <c r="N891">
        <f>IFERROR(VLOOKUP(D891,[1]Parameters!$A$3:$C$5,3,FALSE),0)</f>
        <v>1</v>
      </c>
      <c r="O891">
        <f>IFERROR(VLOOKUP(E891,[1]Parameters!$A$3:$C$5,3,FALSE),0)</f>
        <v>2.2999999999999998</v>
      </c>
      <c r="P891">
        <f>IFERROR(VLOOKUP(F891,[1]Parameters!$A$3:$C$5,3,FALSE),0)</f>
        <v>0</v>
      </c>
      <c r="Q891">
        <f t="shared" si="13"/>
        <v>3.3</v>
      </c>
      <c r="R891" s="10">
        <f>IF('[1]Pizza Sales Calculations'!$G891=TRUE, [1]Parameters!$B$17*'[1]Pizza Sales Calculations'!$L891*2, 0)</f>
        <v>4.0280555531498976</v>
      </c>
      <c r="S891" t="str">
        <f>IF(I891&lt;[1]Parameters!$B$21,"TRUE","FALSE")</f>
        <v>TRUE</v>
      </c>
      <c r="T891" s="5">
        <f>(I891/[1]Parameters!$B$25)*60</f>
        <v>5.6899258447636596</v>
      </c>
      <c r="U891" s="10">
        <f>IF(AND('[1]Pizza Sales Calculations'!G891=TRUE,'[1]Pizza Sales Calculations'!S891="TRUE"),T891*[1]Parameters!$B$40*2,0)</f>
        <v>0.35518012496727397</v>
      </c>
      <c r="V891">
        <f>INDEX([1]Parameters!$A$3:$C$5,MATCH('[1]Pizza Sales Calculations'!D891,[1]Parameters!$A$3:$A$5,0),2)</f>
        <v>7</v>
      </c>
      <c r="W891">
        <f>INDEX([1]Parameters!$A$3:$C$5,MATCH('[1]Pizza Sales Calculations'!E891,[1]Parameters!$A$3:$A$5,0),2)</f>
        <v>14</v>
      </c>
      <c r="X891" t="e">
        <f>INDEX([1]Parameters!$A$3:$C$5,MATCH('[1]Pizza Sales Calculations'!F891,[1]Parameters!$A$3:$A$5,0),2)</f>
        <v>#N/A</v>
      </c>
    </row>
    <row r="892" spans="1:24" x14ac:dyDescent="0.3">
      <c r="A892">
        <v>891</v>
      </c>
      <c r="B892" s="14">
        <v>42379.537685185183</v>
      </c>
      <c r="C892" s="14">
        <v>42379.548090277778</v>
      </c>
      <c r="D892" t="s">
        <v>4</v>
      </c>
      <c r="G892" t="b">
        <v>0</v>
      </c>
      <c r="H892">
        <v>70804</v>
      </c>
      <c r="I892" s="5">
        <v>0</v>
      </c>
      <c r="J892" s="14">
        <v>42379.550173611111</v>
      </c>
      <c r="K892">
        <v>11.59</v>
      </c>
      <c r="L892" s="5">
        <f>('[1]Pizza Sales Calculations'!$J892-'[1]Pizza Sales Calculations'!$C892)*24*60</f>
        <v>2.9999999993015081</v>
      </c>
      <c r="M892">
        <f>COUNTA('[1]Pizza Sales Calculations'!$D892:$F892)</f>
        <v>1</v>
      </c>
      <c r="N892">
        <f>IFERROR(VLOOKUP(D892,[1]Parameters!$A$3:$C$5,3,FALSE),0)</f>
        <v>1.7</v>
      </c>
      <c r="O892">
        <f>IFERROR(VLOOKUP(E892,[1]Parameters!$A$3:$C$5,3,FALSE),0)</f>
        <v>0</v>
      </c>
      <c r="P892">
        <f>IFERROR(VLOOKUP(F892,[1]Parameters!$A$3:$C$5,3,FALSE),0)</f>
        <v>0</v>
      </c>
      <c r="Q892">
        <f t="shared" si="13"/>
        <v>1.7</v>
      </c>
      <c r="R892" s="10">
        <f>IF('[1]Pizza Sales Calculations'!$G892=TRUE, [1]Parameters!$B$17*'[1]Pizza Sales Calculations'!$L892*2, 0)</f>
        <v>0</v>
      </c>
      <c r="S892" t="str">
        <f>IF(I892&lt;[1]Parameters!$B$21,"TRUE","FALSE")</f>
        <v>TRUE</v>
      </c>
      <c r="T892" s="5">
        <f>(I892/[1]Parameters!$B$25)*60</f>
        <v>0</v>
      </c>
      <c r="U892" s="10">
        <f>IF(AND('[1]Pizza Sales Calculations'!G892=TRUE,'[1]Pizza Sales Calculations'!S892="TRUE"),T892*[1]Parameters!$B$40*2,0)</f>
        <v>0</v>
      </c>
      <c r="V892">
        <f>INDEX([1]Parameters!$A$3:$C$5,MATCH('[1]Pizza Sales Calculations'!D892,[1]Parameters!$A$3:$A$5,0),2)</f>
        <v>10</v>
      </c>
      <c r="W892" t="e">
        <f>INDEX([1]Parameters!$A$3:$C$5,MATCH('[1]Pizza Sales Calculations'!E892,[1]Parameters!$A$3:$A$5,0),2)</f>
        <v>#N/A</v>
      </c>
      <c r="X892" t="e">
        <f>INDEX([1]Parameters!$A$3:$C$5,MATCH('[1]Pizza Sales Calculations'!F892,[1]Parameters!$A$3:$A$5,0),2)</f>
        <v>#N/A</v>
      </c>
    </row>
    <row r="893" spans="1:24" x14ac:dyDescent="0.3">
      <c r="A893">
        <v>892</v>
      </c>
      <c r="B893" s="14">
        <v>42379.62394675926</v>
      </c>
      <c r="C893" s="14">
        <v>42379.634363425925</v>
      </c>
      <c r="D893" t="s">
        <v>3</v>
      </c>
      <c r="E893" t="s">
        <v>5</v>
      </c>
      <c r="G893" t="b">
        <v>0</v>
      </c>
      <c r="H893">
        <v>70804</v>
      </c>
      <c r="I893" s="5">
        <v>0</v>
      </c>
      <c r="J893" s="14">
        <v>42379.636446759258</v>
      </c>
      <c r="K893">
        <v>23.34</v>
      </c>
      <c r="L893" s="5">
        <f>('[1]Pizza Sales Calculations'!$J893-'[1]Pizza Sales Calculations'!$C893)*24*60</f>
        <v>2.9999999993015081</v>
      </c>
      <c r="M893">
        <f>COUNTA('[1]Pizza Sales Calculations'!$D893:$F893)</f>
        <v>2</v>
      </c>
      <c r="N893">
        <f>IFERROR(VLOOKUP(D893,[1]Parameters!$A$3:$C$5,3,FALSE),0)</f>
        <v>1</v>
      </c>
      <c r="O893">
        <f>IFERROR(VLOOKUP(E893,[1]Parameters!$A$3:$C$5,3,FALSE),0)</f>
        <v>2.2999999999999998</v>
      </c>
      <c r="P893">
        <f>IFERROR(VLOOKUP(F893,[1]Parameters!$A$3:$C$5,3,FALSE),0)</f>
        <v>0</v>
      </c>
      <c r="Q893">
        <f t="shared" si="13"/>
        <v>3.3</v>
      </c>
      <c r="R893" s="10">
        <f>IF('[1]Pizza Sales Calculations'!$G893=TRUE, [1]Parameters!$B$17*'[1]Pizza Sales Calculations'!$L893*2, 0)</f>
        <v>0</v>
      </c>
      <c r="S893" t="str">
        <f>IF(I893&lt;[1]Parameters!$B$21,"TRUE","FALSE")</f>
        <v>TRUE</v>
      </c>
      <c r="T893" s="5">
        <f>(I893/[1]Parameters!$B$25)*60</f>
        <v>0</v>
      </c>
      <c r="U893" s="10">
        <f>IF(AND('[1]Pizza Sales Calculations'!G893=TRUE,'[1]Pizza Sales Calculations'!S893="TRUE"),T893*[1]Parameters!$B$40*2,0)</f>
        <v>0</v>
      </c>
      <c r="V893">
        <f>INDEX([1]Parameters!$A$3:$C$5,MATCH('[1]Pizza Sales Calculations'!D893,[1]Parameters!$A$3:$A$5,0),2)</f>
        <v>7</v>
      </c>
      <c r="W893">
        <f>INDEX([1]Parameters!$A$3:$C$5,MATCH('[1]Pizza Sales Calculations'!E893,[1]Parameters!$A$3:$A$5,0),2)</f>
        <v>14</v>
      </c>
      <c r="X893" t="e">
        <f>INDEX([1]Parameters!$A$3:$C$5,MATCH('[1]Pizza Sales Calculations'!F893,[1]Parameters!$A$3:$A$5,0),2)</f>
        <v>#N/A</v>
      </c>
    </row>
    <row r="894" spans="1:24" x14ac:dyDescent="0.3">
      <c r="A894">
        <v>893</v>
      </c>
      <c r="B894" s="14">
        <v>42379.540023148147</v>
      </c>
      <c r="C894" s="14">
        <v>42379.550428240742</v>
      </c>
      <c r="D894" t="s">
        <v>5</v>
      </c>
      <c r="G894" t="b">
        <v>1</v>
      </c>
      <c r="H894">
        <v>70804</v>
      </c>
      <c r="I894" s="5">
        <v>4.9877939863742196</v>
      </c>
      <c r="J894" s="14">
        <v>42379.567743055559</v>
      </c>
      <c r="K894">
        <v>15.35</v>
      </c>
      <c r="L894" s="5">
        <f>('[1]Pizza Sales Calculations'!$J894-'[1]Pizza Sales Calculations'!$C894)*24*60</f>
        <v>24.933333336375654</v>
      </c>
      <c r="M894">
        <f>COUNTA('[1]Pizza Sales Calculations'!$D894:$F894)</f>
        <v>1</v>
      </c>
      <c r="N894">
        <f>IFERROR(VLOOKUP(D894,[1]Parameters!$A$3:$C$5,3,FALSE),0)</f>
        <v>2.2999999999999998</v>
      </c>
      <c r="O894">
        <f>IFERROR(VLOOKUP(E894,[1]Parameters!$A$3:$C$5,3,FALSE),0)</f>
        <v>0</v>
      </c>
      <c r="P894">
        <f>IFERROR(VLOOKUP(F894,[1]Parameters!$A$3:$C$5,3,FALSE),0)</f>
        <v>0</v>
      </c>
      <c r="Q894">
        <f t="shared" si="13"/>
        <v>2.2999999999999998</v>
      </c>
      <c r="R894" s="10">
        <f>IF('[1]Pizza Sales Calculations'!$G894=TRUE, [1]Parameters!$B$17*'[1]Pizza Sales Calculations'!$L894*2, 0)</f>
        <v>7.0644444453064352</v>
      </c>
      <c r="S894" t="str">
        <f>IF(I894&lt;[1]Parameters!$B$21,"TRUE","FALSE")</f>
        <v>FALSE</v>
      </c>
      <c r="T894" s="5">
        <f>(I894/[1]Parameters!$B$25)*60</f>
        <v>9.9755879727484391</v>
      </c>
      <c r="U894" s="10">
        <f>IF(AND('[1]Pizza Sales Calculations'!G894=TRUE,'[1]Pizza Sales Calculations'!S894="TRUE"),T894*[1]Parameters!$B$40*2,0)</f>
        <v>0</v>
      </c>
      <c r="V894">
        <f>INDEX([1]Parameters!$A$3:$C$5,MATCH('[1]Pizza Sales Calculations'!D894,[1]Parameters!$A$3:$A$5,0),2)</f>
        <v>14</v>
      </c>
      <c r="W894" t="e">
        <f>INDEX([1]Parameters!$A$3:$C$5,MATCH('[1]Pizza Sales Calculations'!E894,[1]Parameters!$A$3:$A$5,0),2)</f>
        <v>#N/A</v>
      </c>
      <c r="X894" t="e">
        <f>INDEX([1]Parameters!$A$3:$C$5,MATCH('[1]Pizza Sales Calculations'!F894,[1]Parameters!$A$3:$A$5,0),2)</f>
        <v>#N/A</v>
      </c>
    </row>
    <row r="895" spans="1:24" x14ac:dyDescent="0.3">
      <c r="A895">
        <v>894</v>
      </c>
      <c r="B895" s="14">
        <v>42379.482592592591</v>
      </c>
      <c r="C895" s="14">
        <v>42379.493009259262</v>
      </c>
      <c r="D895" t="s">
        <v>4</v>
      </c>
      <c r="G895" t="b">
        <v>1</v>
      </c>
      <c r="H895">
        <v>70806</v>
      </c>
      <c r="I895" s="5">
        <v>2.4328743336674798</v>
      </c>
      <c r="J895" s="14">
        <v>42379.501446759263</v>
      </c>
      <c r="K895">
        <v>11.59</v>
      </c>
      <c r="L895" s="5">
        <f>('[1]Pizza Sales Calculations'!$J895-'[1]Pizza Sales Calculations'!$C895)*24*60</f>
        <v>12.15000000083819</v>
      </c>
      <c r="M895">
        <f>COUNTA('[1]Pizza Sales Calculations'!$D895:$F895)</f>
        <v>1</v>
      </c>
      <c r="N895">
        <f>IFERROR(VLOOKUP(D895,[1]Parameters!$A$3:$C$5,3,FALSE),0)</f>
        <v>1.7</v>
      </c>
      <c r="O895">
        <f>IFERROR(VLOOKUP(E895,[1]Parameters!$A$3:$C$5,3,FALSE),0)</f>
        <v>0</v>
      </c>
      <c r="P895">
        <f>IFERROR(VLOOKUP(F895,[1]Parameters!$A$3:$C$5,3,FALSE),0)</f>
        <v>0</v>
      </c>
      <c r="Q895">
        <f t="shared" si="13"/>
        <v>1.7</v>
      </c>
      <c r="R895" s="10">
        <f>IF('[1]Pizza Sales Calculations'!$G895=TRUE, [1]Parameters!$B$17*'[1]Pizza Sales Calculations'!$L895*2, 0)</f>
        <v>3.4425000002374873</v>
      </c>
      <c r="S895" t="str">
        <f>IF(I895&lt;[1]Parameters!$B$21,"TRUE","FALSE")</f>
        <v>TRUE</v>
      </c>
      <c r="T895" s="5">
        <f>(I895/[1]Parameters!$B$25)*60</f>
        <v>4.8657486673349597</v>
      </c>
      <c r="U895" s="10">
        <f>IF(AND('[1]Pizza Sales Calculations'!G895=TRUE,'[1]Pizza Sales Calculations'!S895="TRUE"),T895*[1]Parameters!$B$40*2,0)</f>
        <v>0.30373281952590403</v>
      </c>
      <c r="V895">
        <f>INDEX([1]Parameters!$A$3:$C$5,MATCH('[1]Pizza Sales Calculations'!D895,[1]Parameters!$A$3:$A$5,0),2)</f>
        <v>10</v>
      </c>
      <c r="W895" t="e">
        <f>INDEX([1]Parameters!$A$3:$C$5,MATCH('[1]Pizza Sales Calculations'!E895,[1]Parameters!$A$3:$A$5,0),2)</f>
        <v>#N/A</v>
      </c>
      <c r="X895" t="e">
        <f>INDEX([1]Parameters!$A$3:$C$5,MATCH('[1]Pizza Sales Calculations'!F895,[1]Parameters!$A$3:$A$5,0),2)</f>
        <v>#N/A</v>
      </c>
    </row>
    <row r="896" spans="1:24" x14ac:dyDescent="0.3">
      <c r="A896">
        <v>895</v>
      </c>
      <c r="B896" s="14">
        <v>42379.533252314817</v>
      </c>
      <c r="C896" s="14">
        <v>42379.543657407405</v>
      </c>
      <c r="D896" t="s">
        <v>3</v>
      </c>
      <c r="G896" t="b">
        <v>1</v>
      </c>
      <c r="H896">
        <v>70804</v>
      </c>
      <c r="I896" s="5">
        <v>2.4054974468144099</v>
      </c>
      <c r="J896" s="14">
        <v>42379.552002314813</v>
      </c>
      <c r="K896">
        <v>7.99</v>
      </c>
      <c r="L896" s="5">
        <f>('[1]Pizza Sales Calculations'!$J896-'[1]Pizza Sales Calculations'!$C896)*24*60</f>
        <v>12.016666667768732</v>
      </c>
      <c r="M896">
        <f>COUNTA('[1]Pizza Sales Calculations'!$D896:$F896)</f>
        <v>1</v>
      </c>
      <c r="N896">
        <f>IFERROR(VLOOKUP(D896,[1]Parameters!$A$3:$C$5,3,FALSE),0)</f>
        <v>1</v>
      </c>
      <c r="O896">
        <f>IFERROR(VLOOKUP(E896,[1]Parameters!$A$3:$C$5,3,FALSE),0)</f>
        <v>0</v>
      </c>
      <c r="P896">
        <f>IFERROR(VLOOKUP(F896,[1]Parameters!$A$3:$C$5,3,FALSE),0)</f>
        <v>0</v>
      </c>
      <c r="Q896">
        <f t="shared" si="13"/>
        <v>1</v>
      </c>
      <c r="R896" s="10">
        <f>IF('[1]Pizza Sales Calculations'!$G896=TRUE, [1]Parameters!$B$17*'[1]Pizza Sales Calculations'!$L896*2, 0)</f>
        <v>3.404722222534474</v>
      </c>
      <c r="S896" t="str">
        <f>IF(I896&lt;[1]Parameters!$B$21,"TRUE","FALSE")</f>
        <v>TRUE</v>
      </c>
      <c r="T896" s="5">
        <f>(I896/[1]Parameters!$B$25)*60</f>
        <v>4.8109948936288198</v>
      </c>
      <c r="U896" s="10">
        <f>IF(AND('[1]Pizza Sales Calculations'!G896=TRUE,'[1]Pizza Sales Calculations'!S896="TRUE"),T896*[1]Parameters!$B$40*2,0)</f>
        <v>0.30031494507236017</v>
      </c>
      <c r="V896">
        <f>INDEX([1]Parameters!$A$3:$C$5,MATCH('[1]Pizza Sales Calculations'!D896,[1]Parameters!$A$3:$A$5,0),2)</f>
        <v>7</v>
      </c>
      <c r="W896" t="e">
        <f>INDEX([1]Parameters!$A$3:$C$5,MATCH('[1]Pizza Sales Calculations'!E896,[1]Parameters!$A$3:$A$5,0),2)</f>
        <v>#N/A</v>
      </c>
      <c r="X896" t="e">
        <f>INDEX([1]Parameters!$A$3:$C$5,MATCH('[1]Pizza Sales Calculations'!F896,[1]Parameters!$A$3:$A$5,0),2)</f>
        <v>#N/A</v>
      </c>
    </row>
    <row r="897" spans="1:24" x14ac:dyDescent="0.3">
      <c r="A897">
        <v>896</v>
      </c>
      <c r="B897" s="14">
        <v>42379.491053240738</v>
      </c>
      <c r="C897" s="14">
        <v>42379.501469907409</v>
      </c>
      <c r="D897" t="s">
        <v>4</v>
      </c>
      <c r="G897" t="b">
        <v>0</v>
      </c>
      <c r="H897">
        <v>70803</v>
      </c>
      <c r="I897" s="5">
        <v>0</v>
      </c>
      <c r="J897" s="14">
        <v>42379.503541666665</v>
      </c>
      <c r="K897">
        <v>11.59</v>
      </c>
      <c r="L897" s="5">
        <f>('[1]Pizza Sales Calculations'!$J897-'[1]Pizza Sales Calculations'!$C897)*24*60</f>
        <v>2.9833333287388086</v>
      </c>
      <c r="M897">
        <f>COUNTA('[1]Pizza Sales Calculations'!$D897:$F897)</f>
        <v>1</v>
      </c>
      <c r="N897">
        <f>IFERROR(VLOOKUP(D897,[1]Parameters!$A$3:$C$5,3,FALSE),0)</f>
        <v>1.7</v>
      </c>
      <c r="O897">
        <f>IFERROR(VLOOKUP(E897,[1]Parameters!$A$3:$C$5,3,FALSE),0)</f>
        <v>0</v>
      </c>
      <c r="P897">
        <f>IFERROR(VLOOKUP(F897,[1]Parameters!$A$3:$C$5,3,FALSE),0)</f>
        <v>0</v>
      </c>
      <c r="Q897">
        <f t="shared" si="13"/>
        <v>1.7</v>
      </c>
      <c r="R897" s="10">
        <f>IF('[1]Pizza Sales Calculations'!$G897=TRUE, [1]Parameters!$B$17*'[1]Pizza Sales Calculations'!$L897*2, 0)</f>
        <v>0</v>
      </c>
      <c r="S897" t="str">
        <f>IF(I897&lt;[1]Parameters!$B$21,"TRUE","FALSE")</f>
        <v>TRUE</v>
      </c>
      <c r="T897" s="5">
        <f>(I897/[1]Parameters!$B$25)*60</f>
        <v>0</v>
      </c>
      <c r="U897" s="10">
        <f>IF(AND('[1]Pizza Sales Calculations'!G897=TRUE,'[1]Pizza Sales Calculations'!S897="TRUE"),T897*[1]Parameters!$B$40*2,0)</f>
        <v>0</v>
      </c>
      <c r="V897">
        <f>INDEX([1]Parameters!$A$3:$C$5,MATCH('[1]Pizza Sales Calculations'!D897,[1]Parameters!$A$3:$A$5,0),2)</f>
        <v>10</v>
      </c>
      <c r="W897" t="e">
        <f>INDEX([1]Parameters!$A$3:$C$5,MATCH('[1]Pizza Sales Calculations'!E897,[1]Parameters!$A$3:$A$5,0),2)</f>
        <v>#N/A</v>
      </c>
      <c r="X897" t="e">
        <f>INDEX([1]Parameters!$A$3:$C$5,MATCH('[1]Pizza Sales Calculations'!F897,[1]Parameters!$A$3:$A$5,0),2)</f>
        <v>#N/A</v>
      </c>
    </row>
    <row r="898" spans="1:24" x14ac:dyDescent="0.3">
      <c r="A898">
        <v>897</v>
      </c>
      <c r="B898" s="14">
        <v>42379.500601851854</v>
      </c>
      <c r="C898" s="14">
        <v>42379.510995370372</v>
      </c>
      <c r="D898" t="s">
        <v>3</v>
      </c>
      <c r="E898" t="s">
        <v>4</v>
      </c>
      <c r="G898" t="b">
        <v>0</v>
      </c>
      <c r="H898">
        <v>70804</v>
      </c>
      <c r="I898" s="5">
        <v>0</v>
      </c>
      <c r="J898" s="14">
        <v>42379.513078703705</v>
      </c>
      <c r="K898">
        <v>19.579999999999998</v>
      </c>
      <c r="L898" s="5">
        <f>('[1]Pizza Sales Calculations'!$J898-'[1]Pizza Sales Calculations'!$C898)*24*60</f>
        <v>2.9999999993015081</v>
      </c>
      <c r="M898">
        <f>COUNTA('[1]Pizza Sales Calculations'!$D898:$F898)</f>
        <v>2</v>
      </c>
      <c r="N898">
        <f>IFERROR(VLOOKUP(D898,[1]Parameters!$A$3:$C$5,3,FALSE),0)</f>
        <v>1</v>
      </c>
      <c r="O898">
        <f>IFERROR(VLOOKUP(E898,[1]Parameters!$A$3:$C$5,3,FALSE),0)</f>
        <v>1.7</v>
      </c>
      <c r="P898">
        <f>IFERROR(VLOOKUP(F898,[1]Parameters!$A$3:$C$5,3,FALSE),0)</f>
        <v>0</v>
      </c>
      <c r="Q898">
        <f t="shared" si="13"/>
        <v>2.7</v>
      </c>
      <c r="R898" s="10">
        <f>IF('[1]Pizza Sales Calculations'!$G898=TRUE, [1]Parameters!$B$17*'[1]Pizza Sales Calculations'!$L898*2, 0)</f>
        <v>0</v>
      </c>
      <c r="S898" t="str">
        <f>IF(I898&lt;[1]Parameters!$B$21,"TRUE","FALSE")</f>
        <v>TRUE</v>
      </c>
      <c r="T898" s="5">
        <f>(I898/[1]Parameters!$B$25)*60</f>
        <v>0</v>
      </c>
      <c r="U898" s="10">
        <f>IF(AND('[1]Pizza Sales Calculations'!G898=TRUE,'[1]Pizza Sales Calculations'!S898="TRUE"),T898*[1]Parameters!$B$40*2,0)</f>
        <v>0</v>
      </c>
      <c r="V898">
        <f>INDEX([1]Parameters!$A$3:$C$5,MATCH('[1]Pizza Sales Calculations'!D898,[1]Parameters!$A$3:$A$5,0),2)</f>
        <v>7</v>
      </c>
      <c r="W898">
        <f>INDEX([1]Parameters!$A$3:$C$5,MATCH('[1]Pizza Sales Calculations'!E898,[1]Parameters!$A$3:$A$5,0),2)</f>
        <v>10</v>
      </c>
      <c r="X898" t="e">
        <f>INDEX([1]Parameters!$A$3:$C$5,MATCH('[1]Pizza Sales Calculations'!F898,[1]Parameters!$A$3:$A$5,0),2)</f>
        <v>#N/A</v>
      </c>
    </row>
    <row r="899" spans="1:24" x14ac:dyDescent="0.3">
      <c r="A899">
        <v>898</v>
      </c>
      <c r="B899" s="14">
        <v>42379.428935185184</v>
      </c>
      <c r="C899" s="14">
        <v>42379.439328703702</v>
      </c>
      <c r="D899" t="s">
        <v>3</v>
      </c>
      <c r="G899" t="b">
        <v>1</v>
      </c>
      <c r="H899">
        <v>70805</v>
      </c>
      <c r="I899" s="5">
        <v>3.1359943294791401</v>
      </c>
      <c r="J899" s="14">
        <v>42379.450208333335</v>
      </c>
      <c r="K899">
        <v>7.99</v>
      </c>
      <c r="L899" s="5">
        <f>('[1]Pizza Sales Calculations'!$J899-'[1]Pizza Sales Calculations'!$C899)*24*60</f>
        <v>15.666666672332212</v>
      </c>
      <c r="M899">
        <f>COUNTA('[1]Pizza Sales Calculations'!$D899:$F899)</f>
        <v>1</v>
      </c>
      <c r="N899">
        <f>IFERROR(VLOOKUP(D899,[1]Parameters!$A$3:$C$5,3,FALSE),0)</f>
        <v>1</v>
      </c>
      <c r="O899">
        <f>IFERROR(VLOOKUP(E899,[1]Parameters!$A$3:$C$5,3,FALSE),0)</f>
        <v>0</v>
      </c>
      <c r="P899">
        <f>IFERROR(VLOOKUP(F899,[1]Parameters!$A$3:$C$5,3,FALSE),0)</f>
        <v>0</v>
      </c>
      <c r="Q899">
        <f t="shared" ref="Q899:Q962" si="14">SUM(N899:P899)</f>
        <v>1</v>
      </c>
      <c r="R899" s="10">
        <f>IF('[1]Pizza Sales Calculations'!$G899=TRUE, [1]Parameters!$B$17*'[1]Pizza Sales Calculations'!$L899*2, 0)</f>
        <v>4.4388888904941268</v>
      </c>
      <c r="S899" t="str">
        <f>IF(I899&lt;[1]Parameters!$B$21,"TRUE","FALSE")</f>
        <v>TRUE</v>
      </c>
      <c r="T899" s="5">
        <f>(I899/[1]Parameters!$B$25)*60</f>
        <v>6.2719886589582803</v>
      </c>
      <c r="U899" s="10">
        <f>IF(AND('[1]Pizza Sales Calculations'!G899=TRUE,'[1]Pizza Sales Calculations'!S899="TRUE"),T899*[1]Parameters!$B$40*2,0)</f>
        <v>0.39151401555298432</v>
      </c>
      <c r="V899">
        <f>INDEX([1]Parameters!$A$3:$C$5,MATCH('[1]Pizza Sales Calculations'!D899,[1]Parameters!$A$3:$A$5,0),2)</f>
        <v>7</v>
      </c>
      <c r="W899" t="e">
        <f>INDEX([1]Parameters!$A$3:$C$5,MATCH('[1]Pizza Sales Calculations'!E899,[1]Parameters!$A$3:$A$5,0),2)</f>
        <v>#N/A</v>
      </c>
      <c r="X899" t="e">
        <f>INDEX([1]Parameters!$A$3:$C$5,MATCH('[1]Pizza Sales Calculations'!F899,[1]Parameters!$A$3:$A$5,0),2)</f>
        <v>#N/A</v>
      </c>
    </row>
    <row r="900" spans="1:24" x14ac:dyDescent="0.3">
      <c r="A900">
        <v>899</v>
      </c>
      <c r="B900" s="14">
        <v>42379.432754629626</v>
      </c>
      <c r="C900" s="14">
        <v>42379.443159722221</v>
      </c>
      <c r="D900" t="s">
        <v>5</v>
      </c>
      <c r="G900" t="b">
        <v>0</v>
      </c>
      <c r="H900">
        <v>70804</v>
      </c>
      <c r="I900" s="5">
        <v>0</v>
      </c>
      <c r="J900" s="14">
        <v>42379.445243055554</v>
      </c>
      <c r="K900">
        <v>15.35</v>
      </c>
      <c r="L900" s="5">
        <f>('[1]Pizza Sales Calculations'!$J900-'[1]Pizza Sales Calculations'!$C900)*24*60</f>
        <v>2.9999999993015081</v>
      </c>
      <c r="M900">
        <f>COUNTA('[1]Pizza Sales Calculations'!$D900:$F900)</f>
        <v>1</v>
      </c>
      <c r="N900">
        <f>IFERROR(VLOOKUP(D900,[1]Parameters!$A$3:$C$5,3,FALSE),0)</f>
        <v>2.2999999999999998</v>
      </c>
      <c r="O900">
        <f>IFERROR(VLOOKUP(E900,[1]Parameters!$A$3:$C$5,3,FALSE),0)</f>
        <v>0</v>
      </c>
      <c r="P900">
        <f>IFERROR(VLOOKUP(F900,[1]Parameters!$A$3:$C$5,3,FALSE),0)</f>
        <v>0</v>
      </c>
      <c r="Q900">
        <f t="shared" si="14"/>
        <v>2.2999999999999998</v>
      </c>
      <c r="R900" s="10">
        <f>IF('[1]Pizza Sales Calculations'!$G900=TRUE, [1]Parameters!$B$17*'[1]Pizza Sales Calculations'!$L900*2, 0)</f>
        <v>0</v>
      </c>
      <c r="S900" t="str">
        <f>IF(I900&lt;[1]Parameters!$B$21,"TRUE","FALSE")</f>
        <v>TRUE</v>
      </c>
      <c r="T900" s="5">
        <f>(I900/[1]Parameters!$B$25)*60</f>
        <v>0</v>
      </c>
      <c r="U900" s="10">
        <f>IF(AND('[1]Pizza Sales Calculations'!G900=TRUE,'[1]Pizza Sales Calculations'!S900="TRUE"),T900*[1]Parameters!$B$40*2,0)</f>
        <v>0</v>
      </c>
      <c r="V900">
        <f>INDEX([1]Parameters!$A$3:$C$5,MATCH('[1]Pizza Sales Calculations'!D900,[1]Parameters!$A$3:$A$5,0),2)</f>
        <v>14</v>
      </c>
      <c r="W900" t="e">
        <f>INDEX([1]Parameters!$A$3:$C$5,MATCH('[1]Pizza Sales Calculations'!E900,[1]Parameters!$A$3:$A$5,0),2)</f>
        <v>#N/A</v>
      </c>
      <c r="X900" t="e">
        <f>INDEX([1]Parameters!$A$3:$C$5,MATCH('[1]Pizza Sales Calculations'!F900,[1]Parameters!$A$3:$A$5,0),2)</f>
        <v>#N/A</v>
      </c>
    </row>
    <row r="901" spans="1:24" x14ac:dyDescent="0.3">
      <c r="A901">
        <v>900</v>
      </c>
      <c r="B901" s="14">
        <v>42379.529467592591</v>
      </c>
      <c r="C901" s="14">
        <v>42379.539884259262</v>
      </c>
      <c r="D901" t="s">
        <v>4</v>
      </c>
      <c r="G901" t="b">
        <v>1</v>
      </c>
      <c r="H901">
        <v>70804</v>
      </c>
      <c r="I901" s="5">
        <v>2.4600320892918202</v>
      </c>
      <c r="J901" s="14">
        <v>42379.548425925925</v>
      </c>
      <c r="K901">
        <v>11.59</v>
      </c>
      <c r="L901" s="5">
        <f>('[1]Pizza Sales Calculations'!$J901-'[1]Pizza Sales Calculations'!$C901)*24*60</f>
        <v>12.299999993992969</v>
      </c>
      <c r="M901">
        <f>COUNTA('[1]Pizza Sales Calculations'!$D901:$F901)</f>
        <v>1</v>
      </c>
      <c r="N901">
        <f>IFERROR(VLOOKUP(D901,[1]Parameters!$A$3:$C$5,3,FALSE),0)</f>
        <v>1.7</v>
      </c>
      <c r="O901">
        <f>IFERROR(VLOOKUP(E901,[1]Parameters!$A$3:$C$5,3,FALSE),0)</f>
        <v>0</v>
      </c>
      <c r="P901">
        <f>IFERROR(VLOOKUP(F901,[1]Parameters!$A$3:$C$5,3,FALSE),0)</f>
        <v>0</v>
      </c>
      <c r="Q901">
        <f t="shared" si="14"/>
        <v>1.7</v>
      </c>
      <c r="R901" s="10">
        <f>IF('[1]Pizza Sales Calculations'!$G901=TRUE, [1]Parameters!$B$17*'[1]Pizza Sales Calculations'!$L901*2, 0)</f>
        <v>3.484999998298008</v>
      </c>
      <c r="S901" t="str">
        <f>IF(I901&lt;[1]Parameters!$B$21,"TRUE","FALSE")</f>
        <v>TRUE</v>
      </c>
      <c r="T901" s="5">
        <f>(I901/[1]Parameters!$B$25)*60</f>
        <v>4.9200641785836403</v>
      </c>
      <c r="U901" s="10">
        <f>IF(AND('[1]Pizza Sales Calculations'!G901=TRUE,'[1]Pizza Sales Calculations'!S901="TRUE"),T901*[1]Parameters!$B$40*2,0)</f>
        <v>0.30712333648505241</v>
      </c>
      <c r="V901">
        <f>INDEX([1]Parameters!$A$3:$C$5,MATCH('[1]Pizza Sales Calculations'!D901,[1]Parameters!$A$3:$A$5,0),2)</f>
        <v>10</v>
      </c>
      <c r="W901" t="e">
        <f>INDEX([1]Parameters!$A$3:$C$5,MATCH('[1]Pizza Sales Calculations'!E901,[1]Parameters!$A$3:$A$5,0),2)</f>
        <v>#N/A</v>
      </c>
      <c r="X901" t="e">
        <f>INDEX([1]Parameters!$A$3:$C$5,MATCH('[1]Pizza Sales Calculations'!F901,[1]Parameters!$A$3:$A$5,0),2)</f>
        <v>#N/A</v>
      </c>
    </row>
    <row r="902" spans="1:24" x14ac:dyDescent="0.3">
      <c r="A902">
        <v>901</v>
      </c>
      <c r="B902" s="14">
        <v>42379.572569444441</v>
      </c>
      <c r="C902" s="14">
        <v>42379.582986111112</v>
      </c>
      <c r="D902" t="s">
        <v>3</v>
      </c>
      <c r="G902" t="b">
        <v>0</v>
      </c>
      <c r="H902">
        <v>70804</v>
      </c>
      <c r="I902" s="5">
        <v>0</v>
      </c>
      <c r="J902" s="14">
        <v>42379.585069444445</v>
      </c>
      <c r="K902">
        <v>7.99</v>
      </c>
      <c r="L902" s="5">
        <f>('[1]Pizza Sales Calculations'!$J902-'[1]Pizza Sales Calculations'!$C902)*24*60</f>
        <v>2.9999999993015081</v>
      </c>
      <c r="M902">
        <f>COUNTA('[1]Pizza Sales Calculations'!$D902:$F902)</f>
        <v>1</v>
      </c>
      <c r="N902">
        <f>IFERROR(VLOOKUP(D902,[1]Parameters!$A$3:$C$5,3,FALSE),0)</f>
        <v>1</v>
      </c>
      <c r="O902">
        <f>IFERROR(VLOOKUP(E902,[1]Parameters!$A$3:$C$5,3,FALSE),0)</f>
        <v>0</v>
      </c>
      <c r="P902">
        <f>IFERROR(VLOOKUP(F902,[1]Parameters!$A$3:$C$5,3,FALSE),0)</f>
        <v>0</v>
      </c>
      <c r="Q902">
        <f t="shared" si="14"/>
        <v>1</v>
      </c>
      <c r="R902" s="10">
        <f>IF('[1]Pizza Sales Calculations'!$G902=TRUE, [1]Parameters!$B$17*'[1]Pizza Sales Calculations'!$L902*2, 0)</f>
        <v>0</v>
      </c>
      <c r="S902" t="str">
        <f>IF(I902&lt;[1]Parameters!$B$21,"TRUE","FALSE")</f>
        <v>TRUE</v>
      </c>
      <c r="T902" s="5">
        <f>(I902/[1]Parameters!$B$25)*60</f>
        <v>0</v>
      </c>
      <c r="U902" s="10">
        <f>IF(AND('[1]Pizza Sales Calculations'!G902=TRUE,'[1]Pizza Sales Calculations'!S902="TRUE"),T902*[1]Parameters!$B$40*2,0)</f>
        <v>0</v>
      </c>
      <c r="V902">
        <f>INDEX([1]Parameters!$A$3:$C$5,MATCH('[1]Pizza Sales Calculations'!D902,[1]Parameters!$A$3:$A$5,0),2)</f>
        <v>7</v>
      </c>
      <c r="W902" t="e">
        <f>INDEX([1]Parameters!$A$3:$C$5,MATCH('[1]Pizza Sales Calculations'!E902,[1]Parameters!$A$3:$A$5,0),2)</f>
        <v>#N/A</v>
      </c>
      <c r="X902" t="e">
        <f>INDEX([1]Parameters!$A$3:$C$5,MATCH('[1]Pizza Sales Calculations'!F902,[1]Parameters!$A$3:$A$5,0),2)</f>
        <v>#N/A</v>
      </c>
    </row>
    <row r="903" spans="1:24" x14ac:dyDescent="0.3">
      <c r="A903">
        <v>902</v>
      </c>
      <c r="B903" s="14">
        <v>42379.529756944445</v>
      </c>
      <c r="C903" s="14">
        <v>42379.540185185186</v>
      </c>
      <c r="D903" t="s">
        <v>3</v>
      </c>
      <c r="G903" t="b">
        <v>1</v>
      </c>
      <c r="H903">
        <v>70806</v>
      </c>
      <c r="I903" s="5">
        <v>3.8398502230304898</v>
      </c>
      <c r="J903" s="14">
        <v>42379.553506944445</v>
      </c>
      <c r="K903">
        <v>7.99</v>
      </c>
      <c r="L903" s="5">
        <f>('[1]Pizza Sales Calculations'!$J903-'[1]Pizza Sales Calculations'!$C903)*24*60</f>
        <v>19.183333333348855</v>
      </c>
      <c r="M903">
        <f>COUNTA('[1]Pizza Sales Calculations'!$D903:$F903)</f>
        <v>1</v>
      </c>
      <c r="N903">
        <f>IFERROR(VLOOKUP(D903,[1]Parameters!$A$3:$C$5,3,FALSE),0)</f>
        <v>1</v>
      </c>
      <c r="O903">
        <f>IFERROR(VLOOKUP(E903,[1]Parameters!$A$3:$C$5,3,FALSE),0)</f>
        <v>0</v>
      </c>
      <c r="P903">
        <f>IFERROR(VLOOKUP(F903,[1]Parameters!$A$3:$C$5,3,FALSE),0)</f>
        <v>0</v>
      </c>
      <c r="Q903">
        <f t="shared" si="14"/>
        <v>1</v>
      </c>
      <c r="R903" s="10">
        <f>IF('[1]Pizza Sales Calculations'!$G903=TRUE, [1]Parameters!$B$17*'[1]Pizza Sales Calculations'!$L903*2, 0)</f>
        <v>5.4352777777821757</v>
      </c>
      <c r="S903" t="str">
        <f>IF(I903&lt;[1]Parameters!$B$21,"TRUE","FALSE")</f>
        <v>FALSE</v>
      </c>
      <c r="T903" s="5">
        <f>(I903/[1]Parameters!$B$25)*60</f>
        <v>7.6797004460609797</v>
      </c>
      <c r="U903" s="10">
        <f>IF(AND('[1]Pizza Sales Calculations'!G903=TRUE,'[1]Pizza Sales Calculations'!S903="TRUE"),T903*[1]Parameters!$B$40*2,0)</f>
        <v>0</v>
      </c>
      <c r="V903">
        <f>INDEX([1]Parameters!$A$3:$C$5,MATCH('[1]Pizza Sales Calculations'!D903,[1]Parameters!$A$3:$A$5,0),2)</f>
        <v>7</v>
      </c>
      <c r="W903" t="e">
        <f>INDEX([1]Parameters!$A$3:$C$5,MATCH('[1]Pizza Sales Calculations'!E903,[1]Parameters!$A$3:$A$5,0),2)</f>
        <v>#N/A</v>
      </c>
      <c r="X903" t="e">
        <f>INDEX([1]Parameters!$A$3:$C$5,MATCH('[1]Pizza Sales Calculations'!F903,[1]Parameters!$A$3:$A$5,0),2)</f>
        <v>#N/A</v>
      </c>
    </row>
    <row r="904" spans="1:24" x14ac:dyDescent="0.3">
      <c r="A904">
        <v>903</v>
      </c>
      <c r="B904" s="14">
        <v>42379.539768518516</v>
      </c>
      <c r="C904" s="14">
        <v>42379.550185185188</v>
      </c>
      <c r="D904" t="s">
        <v>3</v>
      </c>
      <c r="G904" t="b">
        <v>1</v>
      </c>
      <c r="H904">
        <v>70803</v>
      </c>
      <c r="I904" s="5">
        <v>3.0347664604903799</v>
      </c>
      <c r="J904" s="14">
        <v>42379.560717592591</v>
      </c>
      <c r="K904">
        <v>7.99</v>
      </c>
      <c r="L904" s="5">
        <f>('[1]Pizza Sales Calculations'!$J904-'[1]Pizza Sales Calculations'!$C904)*24*60</f>
        <v>15.166666660225019</v>
      </c>
      <c r="M904">
        <f>COUNTA('[1]Pizza Sales Calculations'!$D904:$F904)</f>
        <v>1</v>
      </c>
      <c r="N904">
        <f>IFERROR(VLOOKUP(D904,[1]Parameters!$A$3:$C$5,3,FALSE),0)</f>
        <v>1</v>
      </c>
      <c r="O904">
        <f>IFERROR(VLOOKUP(E904,[1]Parameters!$A$3:$C$5,3,FALSE),0)</f>
        <v>0</v>
      </c>
      <c r="P904">
        <f>IFERROR(VLOOKUP(F904,[1]Parameters!$A$3:$C$5,3,FALSE),0)</f>
        <v>0</v>
      </c>
      <c r="Q904">
        <f t="shared" si="14"/>
        <v>1</v>
      </c>
      <c r="R904" s="10">
        <f>IF('[1]Pizza Sales Calculations'!$G904=TRUE, [1]Parameters!$B$17*'[1]Pizza Sales Calculations'!$L904*2, 0)</f>
        <v>4.2972222203970887</v>
      </c>
      <c r="S904" t="str">
        <f>IF(I904&lt;[1]Parameters!$B$21,"TRUE","FALSE")</f>
        <v>TRUE</v>
      </c>
      <c r="T904" s="5">
        <f>(I904/[1]Parameters!$B$25)*60</f>
        <v>6.0695329209807598</v>
      </c>
      <c r="U904" s="10">
        <f>IF(AND('[1]Pizza Sales Calculations'!G904=TRUE,'[1]Pizza Sales Calculations'!S904="TRUE"),T904*[1]Parameters!$B$40*2,0)</f>
        <v>0.37887619631297204</v>
      </c>
      <c r="V904">
        <f>INDEX([1]Parameters!$A$3:$C$5,MATCH('[1]Pizza Sales Calculations'!D904,[1]Parameters!$A$3:$A$5,0),2)</f>
        <v>7</v>
      </c>
      <c r="W904" t="e">
        <f>INDEX([1]Parameters!$A$3:$C$5,MATCH('[1]Pizza Sales Calculations'!E904,[1]Parameters!$A$3:$A$5,0),2)</f>
        <v>#N/A</v>
      </c>
      <c r="X904" t="e">
        <f>INDEX([1]Parameters!$A$3:$C$5,MATCH('[1]Pizza Sales Calculations'!F904,[1]Parameters!$A$3:$A$5,0),2)</f>
        <v>#N/A</v>
      </c>
    </row>
    <row r="905" spans="1:24" x14ac:dyDescent="0.3">
      <c r="A905">
        <v>904</v>
      </c>
      <c r="B905" s="14">
        <v>42379.536574074074</v>
      </c>
      <c r="C905" s="14">
        <v>42379.546979166669</v>
      </c>
      <c r="D905" t="s">
        <v>5</v>
      </c>
      <c r="G905" t="b">
        <v>1</v>
      </c>
      <c r="H905">
        <v>70805</v>
      </c>
      <c r="I905" s="5">
        <v>2.6873318709862</v>
      </c>
      <c r="J905" s="14">
        <v>42379.556307870371</v>
      </c>
      <c r="K905">
        <v>15.35</v>
      </c>
      <c r="L905" s="5">
        <f>('[1]Pizza Sales Calculations'!$J905-'[1]Pizza Sales Calculations'!$C905)*24*60</f>
        <v>13.433333330322057</v>
      </c>
      <c r="M905">
        <f>COUNTA('[1]Pizza Sales Calculations'!$D905:$F905)</f>
        <v>1</v>
      </c>
      <c r="N905">
        <f>IFERROR(VLOOKUP(D905,[1]Parameters!$A$3:$C$5,3,FALSE),0)</f>
        <v>2.2999999999999998</v>
      </c>
      <c r="O905">
        <f>IFERROR(VLOOKUP(E905,[1]Parameters!$A$3:$C$5,3,FALSE),0)</f>
        <v>0</v>
      </c>
      <c r="P905">
        <f>IFERROR(VLOOKUP(F905,[1]Parameters!$A$3:$C$5,3,FALSE),0)</f>
        <v>0</v>
      </c>
      <c r="Q905">
        <f t="shared" si="14"/>
        <v>2.2999999999999998</v>
      </c>
      <c r="R905" s="10">
        <f>IF('[1]Pizza Sales Calculations'!$G905=TRUE, [1]Parameters!$B$17*'[1]Pizza Sales Calculations'!$L905*2, 0)</f>
        <v>3.8061111102579162</v>
      </c>
      <c r="S905" t="str">
        <f>IF(I905&lt;[1]Parameters!$B$21,"TRUE","FALSE")</f>
        <v>TRUE</v>
      </c>
      <c r="T905" s="5">
        <f>(I905/[1]Parameters!$B$25)*60</f>
        <v>5.3746637419723999</v>
      </c>
      <c r="U905" s="10">
        <f>IF(AND('[1]Pizza Sales Calculations'!G905=TRUE,'[1]Pizza Sales Calculations'!S905="TRUE"),T905*[1]Parameters!$B$40*2,0)</f>
        <v>0.33550063596832791</v>
      </c>
      <c r="V905">
        <f>INDEX([1]Parameters!$A$3:$C$5,MATCH('[1]Pizza Sales Calculations'!D905,[1]Parameters!$A$3:$A$5,0),2)</f>
        <v>14</v>
      </c>
      <c r="W905" t="e">
        <f>INDEX([1]Parameters!$A$3:$C$5,MATCH('[1]Pizza Sales Calculations'!E905,[1]Parameters!$A$3:$A$5,0),2)</f>
        <v>#N/A</v>
      </c>
      <c r="X905" t="e">
        <f>INDEX([1]Parameters!$A$3:$C$5,MATCH('[1]Pizza Sales Calculations'!F905,[1]Parameters!$A$3:$A$5,0),2)</f>
        <v>#N/A</v>
      </c>
    </row>
    <row r="906" spans="1:24" x14ac:dyDescent="0.3">
      <c r="A906">
        <v>905</v>
      </c>
      <c r="B906" s="14">
        <v>42379.512060185189</v>
      </c>
      <c r="C906" s="14">
        <v>42379.52244212963</v>
      </c>
      <c r="D906" t="s">
        <v>4</v>
      </c>
      <c r="G906" t="b">
        <v>0</v>
      </c>
      <c r="H906">
        <v>70806</v>
      </c>
      <c r="I906" s="5">
        <v>0</v>
      </c>
      <c r="J906" s="14">
        <v>42379.524513888886</v>
      </c>
      <c r="K906">
        <v>11.59</v>
      </c>
      <c r="L906" s="5">
        <f>('[1]Pizza Sales Calculations'!$J906-'[1]Pizza Sales Calculations'!$C906)*24*60</f>
        <v>2.9833333287388086</v>
      </c>
      <c r="M906">
        <f>COUNTA('[1]Pizza Sales Calculations'!$D906:$F906)</f>
        <v>1</v>
      </c>
      <c r="N906">
        <f>IFERROR(VLOOKUP(D906,[1]Parameters!$A$3:$C$5,3,FALSE),0)</f>
        <v>1.7</v>
      </c>
      <c r="O906">
        <f>IFERROR(VLOOKUP(E906,[1]Parameters!$A$3:$C$5,3,FALSE),0)</f>
        <v>0</v>
      </c>
      <c r="P906">
        <f>IFERROR(VLOOKUP(F906,[1]Parameters!$A$3:$C$5,3,FALSE),0)</f>
        <v>0</v>
      </c>
      <c r="Q906">
        <f t="shared" si="14"/>
        <v>1.7</v>
      </c>
      <c r="R906" s="10">
        <f>IF('[1]Pizza Sales Calculations'!$G906=TRUE, [1]Parameters!$B$17*'[1]Pizza Sales Calculations'!$L906*2, 0)</f>
        <v>0</v>
      </c>
      <c r="S906" t="str">
        <f>IF(I906&lt;[1]Parameters!$B$21,"TRUE","FALSE")</f>
        <v>TRUE</v>
      </c>
      <c r="T906" s="5">
        <f>(I906/[1]Parameters!$B$25)*60</f>
        <v>0</v>
      </c>
      <c r="U906" s="10">
        <f>IF(AND('[1]Pizza Sales Calculations'!G906=TRUE,'[1]Pizza Sales Calculations'!S906="TRUE"),T906*[1]Parameters!$B$40*2,0)</f>
        <v>0</v>
      </c>
      <c r="V906">
        <f>INDEX([1]Parameters!$A$3:$C$5,MATCH('[1]Pizza Sales Calculations'!D906,[1]Parameters!$A$3:$A$5,0),2)</f>
        <v>10</v>
      </c>
      <c r="W906" t="e">
        <f>INDEX([1]Parameters!$A$3:$C$5,MATCH('[1]Pizza Sales Calculations'!E906,[1]Parameters!$A$3:$A$5,0),2)</f>
        <v>#N/A</v>
      </c>
      <c r="X906" t="e">
        <f>INDEX([1]Parameters!$A$3:$C$5,MATCH('[1]Pizza Sales Calculations'!F906,[1]Parameters!$A$3:$A$5,0),2)</f>
        <v>#N/A</v>
      </c>
    </row>
    <row r="907" spans="1:24" x14ac:dyDescent="0.3">
      <c r="A907">
        <v>906</v>
      </c>
      <c r="B907" s="14">
        <v>42379.497673611113</v>
      </c>
      <c r="C907" s="14">
        <v>42379.508067129631</v>
      </c>
      <c r="D907" t="s">
        <v>5</v>
      </c>
      <c r="G907" t="b">
        <v>0</v>
      </c>
      <c r="H907">
        <v>70803</v>
      </c>
      <c r="I907" s="5">
        <v>0</v>
      </c>
      <c r="J907" s="14">
        <v>42379.510127314818</v>
      </c>
      <c r="K907">
        <v>15.35</v>
      </c>
      <c r="L907" s="5">
        <f>('[1]Pizza Sales Calculations'!$J907-'[1]Pizza Sales Calculations'!$C907)*24*60</f>
        <v>2.9666666686534882</v>
      </c>
      <c r="M907">
        <f>COUNTA('[1]Pizza Sales Calculations'!$D907:$F907)</f>
        <v>1</v>
      </c>
      <c r="N907">
        <f>IFERROR(VLOOKUP(D907,[1]Parameters!$A$3:$C$5,3,FALSE),0)</f>
        <v>2.2999999999999998</v>
      </c>
      <c r="O907">
        <f>IFERROR(VLOOKUP(E907,[1]Parameters!$A$3:$C$5,3,FALSE),0)</f>
        <v>0</v>
      </c>
      <c r="P907">
        <f>IFERROR(VLOOKUP(F907,[1]Parameters!$A$3:$C$5,3,FALSE),0)</f>
        <v>0</v>
      </c>
      <c r="Q907">
        <f t="shared" si="14"/>
        <v>2.2999999999999998</v>
      </c>
      <c r="R907" s="10">
        <f>IF('[1]Pizza Sales Calculations'!$G907=TRUE, [1]Parameters!$B$17*'[1]Pizza Sales Calculations'!$L907*2, 0)</f>
        <v>0</v>
      </c>
      <c r="S907" t="str">
        <f>IF(I907&lt;[1]Parameters!$B$21,"TRUE","FALSE")</f>
        <v>TRUE</v>
      </c>
      <c r="T907" s="5">
        <f>(I907/[1]Parameters!$B$25)*60</f>
        <v>0</v>
      </c>
      <c r="U907" s="10">
        <f>IF(AND('[1]Pizza Sales Calculations'!G907=TRUE,'[1]Pizza Sales Calculations'!S907="TRUE"),T907*[1]Parameters!$B$40*2,0)</f>
        <v>0</v>
      </c>
      <c r="V907">
        <f>INDEX([1]Parameters!$A$3:$C$5,MATCH('[1]Pizza Sales Calculations'!D907,[1]Parameters!$A$3:$A$5,0),2)</f>
        <v>14</v>
      </c>
      <c r="W907" t="e">
        <f>INDEX([1]Parameters!$A$3:$C$5,MATCH('[1]Pizza Sales Calculations'!E907,[1]Parameters!$A$3:$A$5,0),2)</f>
        <v>#N/A</v>
      </c>
      <c r="X907" t="e">
        <f>INDEX([1]Parameters!$A$3:$C$5,MATCH('[1]Pizza Sales Calculations'!F907,[1]Parameters!$A$3:$A$5,0),2)</f>
        <v>#N/A</v>
      </c>
    </row>
    <row r="908" spans="1:24" x14ac:dyDescent="0.3">
      <c r="A908">
        <v>907</v>
      </c>
      <c r="B908" s="14">
        <v>42379.498645833337</v>
      </c>
      <c r="C908" s="14">
        <v>42379.509097222224</v>
      </c>
      <c r="D908" t="s">
        <v>3</v>
      </c>
      <c r="G908" t="b">
        <v>0</v>
      </c>
      <c r="H908">
        <v>70804</v>
      </c>
      <c r="I908" s="5">
        <v>0</v>
      </c>
      <c r="J908" s="14">
        <v>42379.51116898148</v>
      </c>
      <c r="K908">
        <v>7.99</v>
      </c>
      <c r="L908" s="5">
        <f>('[1]Pizza Sales Calculations'!$J908-'[1]Pizza Sales Calculations'!$C908)*24*60</f>
        <v>2.9833333287388086</v>
      </c>
      <c r="M908">
        <f>COUNTA('[1]Pizza Sales Calculations'!$D908:$F908)</f>
        <v>1</v>
      </c>
      <c r="N908">
        <f>IFERROR(VLOOKUP(D908,[1]Parameters!$A$3:$C$5,3,FALSE),0)</f>
        <v>1</v>
      </c>
      <c r="O908">
        <f>IFERROR(VLOOKUP(E908,[1]Parameters!$A$3:$C$5,3,FALSE),0)</f>
        <v>0</v>
      </c>
      <c r="P908">
        <f>IFERROR(VLOOKUP(F908,[1]Parameters!$A$3:$C$5,3,FALSE),0)</f>
        <v>0</v>
      </c>
      <c r="Q908">
        <f t="shared" si="14"/>
        <v>1</v>
      </c>
      <c r="R908" s="10">
        <f>IF('[1]Pizza Sales Calculations'!$G908=TRUE, [1]Parameters!$B$17*'[1]Pizza Sales Calculations'!$L908*2, 0)</f>
        <v>0</v>
      </c>
      <c r="S908" t="str">
        <f>IF(I908&lt;[1]Parameters!$B$21,"TRUE","FALSE")</f>
        <v>TRUE</v>
      </c>
      <c r="T908" s="5">
        <f>(I908/[1]Parameters!$B$25)*60</f>
        <v>0</v>
      </c>
      <c r="U908" s="10">
        <f>IF(AND('[1]Pizza Sales Calculations'!G908=TRUE,'[1]Pizza Sales Calculations'!S908="TRUE"),T908*[1]Parameters!$B$40*2,0)</f>
        <v>0</v>
      </c>
      <c r="V908">
        <f>INDEX([1]Parameters!$A$3:$C$5,MATCH('[1]Pizza Sales Calculations'!D908,[1]Parameters!$A$3:$A$5,0),2)</f>
        <v>7</v>
      </c>
      <c r="W908" t="e">
        <f>INDEX([1]Parameters!$A$3:$C$5,MATCH('[1]Pizza Sales Calculations'!E908,[1]Parameters!$A$3:$A$5,0),2)</f>
        <v>#N/A</v>
      </c>
      <c r="X908" t="e">
        <f>INDEX([1]Parameters!$A$3:$C$5,MATCH('[1]Pizza Sales Calculations'!F908,[1]Parameters!$A$3:$A$5,0),2)</f>
        <v>#N/A</v>
      </c>
    </row>
    <row r="909" spans="1:24" x14ac:dyDescent="0.3">
      <c r="A909">
        <v>908</v>
      </c>
      <c r="B909" s="14">
        <v>42379.476238425923</v>
      </c>
      <c r="C909" s="14">
        <v>42379.486643518518</v>
      </c>
      <c r="D909" t="s">
        <v>5</v>
      </c>
      <c r="G909" t="b">
        <v>1</v>
      </c>
      <c r="H909">
        <v>70807</v>
      </c>
      <c r="I909" s="5">
        <v>3.0531799425625801</v>
      </c>
      <c r="J909" s="14">
        <v>42379.497233796297</v>
      </c>
      <c r="K909">
        <v>15.35</v>
      </c>
      <c r="L909" s="5">
        <f>('[1]Pizza Sales Calculations'!$J909-'[1]Pizza Sales Calculations'!$C909)*24*60</f>
        <v>15.250000002561137</v>
      </c>
      <c r="M909">
        <f>COUNTA('[1]Pizza Sales Calculations'!$D909:$F909)</f>
        <v>1</v>
      </c>
      <c r="N909">
        <f>IFERROR(VLOOKUP(D909,[1]Parameters!$A$3:$C$5,3,FALSE),0)</f>
        <v>2.2999999999999998</v>
      </c>
      <c r="O909">
        <f>IFERROR(VLOOKUP(E909,[1]Parameters!$A$3:$C$5,3,FALSE),0)</f>
        <v>0</v>
      </c>
      <c r="P909">
        <f>IFERROR(VLOOKUP(F909,[1]Parameters!$A$3:$C$5,3,FALSE),0)</f>
        <v>0</v>
      </c>
      <c r="Q909">
        <f t="shared" si="14"/>
        <v>2.2999999999999998</v>
      </c>
      <c r="R909" s="10">
        <f>IF('[1]Pizza Sales Calculations'!$G909=TRUE, [1]Parameters!$B$17*'[1]Pizza Sales Calculations'!$L909*2, 0)</f>
        <v>4.3208333340589888</v>
      </c>
      <c r="S909" t="str">
        <f>IF(I909&lt;[1]Parameters!$B$21,"TRUE","FALSE")</f>
        <v>TRUE</v>
      </c>
      <c r="T909" s="5">
        <f>(I909/[1]Parameters!$B$25)*60</f>
        <v>6.1063598851251601</v>
      </c>
      <c r="U909" s="10">
        <f>IF(AND('[1]Pizza Sales Calculations'!G909=TRUE,'[1]Pizza Sales Calculations'!S909="TRUE"),T909*[1]Parameters!$B$40*2,0)</f>
        <v>0.38117503220008836</v>
      </c>
      <c r="V909">
        <f>INDEX([1]Parameters!$A$3:$C$5,MATCH('[1]Pizza Sales Calculations'!D909,[1]Parameters!$A$3:$A$5,0),2)</f>
        <v>14</v>
      </c>
      <c r="W909" t="e">
        <f>INDEX([1]Parameters!$A$3:$C$5,MATCH('[1]Pizza Sales Calculations'!E909,[1]Parameters!$A$3:$A$5,0),2)</f>
        <v>#N/A</v>
      </c>
      <c r="X909" t="e">
        <f>INDEX([1]Parameters!$A$3:$C$5,MATCH('[1]Pizza Sales Calculations'!F909,[1]Parameters!$A$3:$A$5,0),2)</f>
        <v>#N/A</v>
      </c>
    </row>
    <row r="910" spans="1:24" x14ac:dyDescent="0.3">
      <c r="A910">
        <v>909</v>
      </c>
      <c r="B910" s="14">
        <v>42379.54824074074</v>
      </c>
      <c r="C910" s="14">
        <v>42379.558645833335</v>
      </c>
      <c r="D910" t="s">
        <v>3</v>
      </c>
      <c r="E910" t="s">
        <v>5</v>
      </c>
      <c r="G910" t="b">
        <v>0</v>
      </c>
      <c r="H910">
        <v>70804</v>
      </c>
      <c r="I910" s="5">
        <v>0</v>
      </c>
      <c r="J910" s="14">
        <v>42379.560740740744</v>
      </c>
      <c r="K910">
        <v>23.34</v>
      </c>
      <c r="L910" s="5">
        <f>('[1]Pizza Sales Calculations'!$J910-'[1]Pizza Sales Calculations'!$C910)*24*60</f>
        <v>3.0166666698642075</v>
      </c>
      <c r="M910">
        <f>COUNTA('[1]Pizza Sales Calculations'!$D910:$F910)</f>
        <v>2</v>
      </c>
      <c r="N910">
        <f>IFERROR(VLOOKUP(D910,[1]Parameters!$A$3:$C$5,3,FALSE),0)</f>
        <v>1</v>
      </c>
      <c r="O910">
        <f>IFERROR(VLOOKUP(E910,[1]Parameters!$A$3:$C$5,3,FALSE),0)</f>
        <v>2.2999999999999998</v>
      </c>
      <c r="P910">
        <f>IFERROR(VLOOKUP(F910,[1]Parameters!$A$3:$C$5,3,FALSE),0)</f>
        <v>0</v>
      </c>
      <c r="Q910">
        <f t="shared" si="14"/>
        <v>3.3</v>
      </c>
      <c r="R910" s="10">
        <f>IF('[1]Pizza Sales Calculations'!$G910=TRUE, [1]Parameters!$B$17*'[1]Pizza Sales Calculations'!$L910*2, 0)</f>
        <v>0</v>
      </c>
      <c r="S910" t="str">
        <f>IF(I910&lt;[1]Parameters!$B$21,"TRUE","FALSE")</f>
        <v>TRUE</v>
      </c>
      <c r="T910" s="5">
        <f>(I910/[1]Parameters!$B$25)*60</f>
        <v>0</v>
      </c>
      <c r="U910" s="10">
        <f>IF(AND('[1]Pizza Sales Calculations'!G910=TRUE,'[1]Pizza Sales Calculations'!S910="TRUE"),T910*[1]Parameters!$B$40*2,0)</f>
        <v>0</v>
      </c>
      <c r="V910">
        <f>INDEX([1]Parameters!$A$3:$C$5,MATCH('[1]Pizza Sales Calculations'!D910,[1]Parameters!$A$3:$A$5,0),2)</f>
        <v>7</v>
      </c>
      <c r="W910">
        <f>INDEX([1]Parameters!$A$3:$C$5,MATCH('[1]Pizza Sales Calculations'!E910,[1]Parameters!$A$3:$A$5,0),2)</f>
        <v>14</v>
      </c>
      <c r="X910" t="e">
        <f>INDEX([1]Parameters!$A$3:$C$5,MATCH('[1]Pizza Sales Calculations'!F910,[1]Parameters!$A$3:$A$5,0),2)</f>
        <v>#N/A</v>
      </c>
    </row>
    <row r="911" spans="1:24" x14ac:dyDescent="0.3">
      <c r="A911">
        <v>910</v>
      </c>
      <c r="B911" s="14">
        <v>42379.441412037035</v>
      </c>
      <c r="C911" s="14">
        <v>42379.451805555553</v>
      </c>
      <c r="D911" t="s">
        <v>4</v>
      </c>
      <c r="G911" t="b">
        <v>1</v>
      </c>
      <c r="H911">
        <v>70804</v>
      </c>
      <c r="I911" s="5">
        <v>2.8748132223085201</v>
      </c>
      <c r="J911" s="14">
        <v>42379.461782407408</v>
      </c>
      <c r="K911">
        <v>11.59</v>
      </c>
      <c r="L911" s="5">
        <f>('[1]Pizza Sales Calculations'!$J911-'[1]Pizza Sales Calculations'!$C911)*24*60</f>
        <v>14.366666672285646</v>
      </c>
      <c r="M911">
        <f>COUNTA('[1]Pizza Sales Calculations'!$D911:$F911)</f>
        <v>1</v>
      </c>
      <c r="N911">
        <f>IFERROR(VLOOKUP(D911,[1]Parameters!$A$3:$C$5,3,FALSE),0)</f>
        <v>1.7</v>
      </c>
      <c r="O911">
        <f>IFERROR(VLOOKUP(E911,[1]Parameters!$A$3:$C$5,3,FALSE),0)</f>
        <v>0</v>
      </c>
      <c r="P911">
        <f>IFERROR(VLOOKUP(F911,[1]Parameters!$A$3:$C$5,3,FALSE),0)</f>
        <v>0</v>
      </c>
      <c r="Q911">
        <f t="shared" si="14"/>
        <v>1.7</v>
      </c>
      <c r="R911" s="10">
        <f>IF('[1]Pizza Sales Calculations'!$G911=TRUE, [1]Parameters!$B$17*'[1]Pizza Sales Calculations'!$L911*2, 0)</f>
        <v>4.0705555571475998</v>
      </c>
      <c r="S911" t="str">
        <f>IF(I911&lt;[1]Parameters!$B$21,"TRUE","FALSE")</f>
        <v>TRUE</v>
      </c>
      <c r="T911" s="5">
        <f>(I911/[1]Parameters!$B$25)*60</f>
        <v>5.7496264446170402</v>
      </c>
      <c r="U911" s="10">
        <f>IF(AND('[1]Pizza Sales Calculations'!G911=TRUE,'[1]Pizza Sales Calculations'!S911="TRUE"),T911*[1]Parameters!$B$40*2,0)</f>
        <v>0.35890679330971975</v>
      </c>
      <c r="V911">
        <f>INDEX([1]Parameters!$A$3:$C$5,MATCH('[1]Pizza Sales Calculations'!D911,[1]Parameters!$A$3:$A$5,0),2)</f>
        <v>10</v>
      </c>
      <c r="W911" t="e">
        <f>INDEX([1]Parameters!$A$3:$C$5,MATCH('[1]Pizza Sales Calculations'!E911,[1]Parameters!$A$3:$A$5,0),2)</f>
        <v>#N/A</v>
      </c>
      <c r="X911" t="e">
        <f>INDEX([1]Parameters!$A$3:$C$5,MATCH('[1]Pizza Sales Calculations'!F911,[1]Parameters!$A$3:$A$5,0),2)</f>
        <v>#N/A</v>
      </c>
    </row>
    <row r="912" spans="1:24" x14ac:dyDescent="0.3">
      <c r="A912">
        <v>911</v>
      </c>
      <c r="B912" s="14">
        <v>42379.424502314818</v>
      </c>
      <c r="C912" s="14">
        <v>42379.434930555559</v>
      </c>
      <c r="D912" t="s">
        <v>3</v>
      </c>
      <c r="E912" t="s">
        <v>4</v>
      </c>
      <c r="G912" t="b">
        <v>0</v>
      </c>
      <c r="H912">
        <v>70805</v>
      </c>
      <c r="I912" s="5">
        <v>0</v>
      </c>
      <c r="J912" s="14">
        <v>42379.437002314815</v>
      </c>
      <c r="K912">
        <v>19.579999999999998</v>
      </c>
      <c r="L912" s="5">
        <f>('[1]Pizza Sales Calculations'!$J912-'[1]Pizza Sales Calculations'!$C912)*24*60</f>
        <v>2.9833333287388086</v>
      </c>
      <c r="M912">
        <f>COUNTA('[1]Pizza Sales Calculations'!$D912:$F912)</f>
        <v>2</v>
      </c>
      <c r="N912">
        <f>IFERROR(VLOOKUP(D912,[1]Parameters!$A$3:$C$5,3,FALSE),0)</f>
        <v>1</v>
      </c>
      <c r="O912">
        <f>IFERROR(VLOOKUP(E912,[1]Parameters!$A$3:$C$5,3,FALSE),0)</f>
        <v>1.7</v>
      </c>
      <c r="P912">
        <f>IFERROR(VLOOKUP(F912,[1]Parameters!$A$3:$C$5,3,FALSE),0)</f>
        <v>0</v>
      </c>
      <c r="Q912">
        <f t="shared" si="14"/>
        <v>2.7</v>
      </c>
      <c r="R912" s="10">
        <f>IF('[1]Pizza Sales Calculations'!$G912=TRUE, [1]Parameters!$B$17*'[1]Pizza Sales Calculations'!$L912*2, 0)</f>
        <v>0</v>
      </c>
      <c r="S912" t="str">
        <f>IF(I912&lt;[1]Parameters!$B$21,"TRUE","FALSE")</f>
        <v>TRUE</v>
      </c>
      <c r="T912" s="5">
        <f>(I912/[1]Parameters!$B$25)*60</f>
        <v>0</v>
      </c>
      <c r="U912" s="10">
        <f>IF(AND('[1]Pizza Sales Calculations'!G912=TRUE,'[1]Pizza Sales Calculations'!S912="TRUE"),T912*[1]Parameters!$B$40*2,0)</f>
        <v>0</v>
      </c>
      <c r="V912">
        <f>INDEX([1]Parameters!$A$3:$C$5,MATCH('[1]Pizza Sales Calculations'!D912,[1]Parameters!$A$3:$A$5,0),2)</f>
        <v>7</v>
      </c>
      <c r="W912">
        <f>INDEX([1]Parameters!$A$3:$C$5,MATCH('[1]Pizza Sales Calculations'!E912,[1]Parameters!$A$3:$A$5,0),2)</f>
        <v>10</v>
      </c>
      <c r="X912" t="e">
        <f>INDEX([1]Parameters!$A$3:$C$5,MATCH('[1]Pizza Sales Calculations'!F912,[1]Parameters!$A$3:$A$5,0),2)</f>
        <v>#N/A</v>
      </c>
    </row>
    <row r="913" spans="1:24" x14ac:dyDescent="0.3">
      <c r="A913">
        <v>912</v>
      </c>
      <c r="B913" s="14">
        <v>42379.507395833331</v>
      </c>
      <c r="C913" s="14">
        <v>42379.517800925925</v>
      </c>
      <c r="D913" t="s">
        <v>3</v>
      </c>
      <c r="E913" t="s">
        <v>4</v>
      </c>
      <c r="G913" t="b">
        <v>0</v>
      </c>
      <c r="H913">
        <v>70804</v>
      </c>
      <c r="I913" s="5">
        <v>0</v>
      </c>
      <c r="J913" s="14">
        <v>42379.519872685189</v>
      </c>
      <c r="K913">
        <v>19.579999999999998</v>
      </c>
      <c r="L913" s="5">
        <f>('[1]Pizza Sales Calculations'!$J913-'[1]Pizza Sales Calculations'!$C913)*24*60</f>
        <v>2.9833333392161876</v>
      </c>
      <c r="M913">
        <f>COUNTA('[1]Pizza Sales Calculations'!$D913:$F913)</f>
        <v>2</v>
      </c>
      <c r="N913">
        <f>IFERROR(VLOOKUP(D913,[1]Parameters!$A$3:$C$5,3,FALSE),0)</f>
        <v>1</v>
      </c>
      <c r="O913">
        <f>IFERROR(VLOOKUP(E913,[1]Parameters!$A$3:$C$5,3,FALSE),0)</f>
        <v>1.7</v>
      </c>
      <c r="P913">
        <f>IFERROR(VLOOKUP(F913,[1]Parameters!$A$3:$C$5,3,FALSE),0)</f>
        <v>0</v>
      </c>
      <c r="Q913">
        <f t="shared" si="14"/>
        <v>2.7</v>
      </c>
      <c r="R913" s="10">
        <f>IF('[1]Pizza Sales Calculations'!$G913=TRUE, [1]Parameters!$B$17*'[1]Pizza Sales Calculations'!$L913*2, 0)</f>
        <v>0</v>
      </c>
      <c r="S913" t="str">
        <f>IF(I913&lt;[1]Parameters!$B$21,"TRUE","FALSE")</f>
        <v>TRUE</v>
      </c>
      <c r="T913" s="5">
        <f>(I913/[1]Parameters!$B$25)*60</f>
        <v>0</v>
      </c>
      <c r="U913" s="10">
        <f>IF(AND('[1]Pizza Sales Calculations'!G913=TRUE,'[1]Pizza Sales Calculations'!S913="TRUE"),T913*[1]Parameters!$B$40*2,0)</f>
        <v>0</v>
      </c>
      <c r="V913">
        <f>INDEX([1]Parameters!$A$3:$C$5,MATCH('[1]Pizza Sales Calculations'!D913,[1]Parameters!$A$3:$A$5,0),2)</f>
        <v>7</v>
      </c>
      <c r="W913">
        <f>INDEX([1]Parameters!$A$3:$C$5,MATCH('[1]Pizza Sales Calculations'!E913,[1]Parameters!$A$3:$A$5,0),2)</f>
        <v>10</v>
      </c>
      <c r="X913" t="e">
        <f>INDEX([1]Parameters!$A$3:$C$5,MATCH('[1]Pizza Sales Calculations'!F913,[1]Parameters!$A$3:$A$5,0),2)</f>
        <v>#N/A</v>
      </c>
    </row>
    <row r="914" spans="1:24" x14ac:dyDescent="0.3">
      <c r="A914">
        <v>913</v>
      </c>
      <c r="B914" s="14">
        <v>42379.481458333335</v>
      </c>
      <c r="C914" s="14">
        <v>42379.491875</v>
      </c>
      <c r="D914" t="s">
        <v>5</v>
      </c>
      <c r="G914" t="b">
        <v>0</v>
      </c>
      <c r="H914">
        <v>70804</v>
      </c>
      <c r="I914" s="5">
        <v>0</v>
      </c>
      <c r="J914" s="14">
        <v>42379.493958333333</v>
      </c>
      <c r="K914">
        <v>15.35</v>
      </c>
      <c r="L914" s="5">
        <f>('[1]Pizza Sales Calculations'!$J914-'[1]Pizza Sales Calculations'!$C914)*24*60</f>
        <v>2.9999999993015081</v>
      </c>
      <c r="M914">
        <f>COUNTA('[1]Pizza Sales Calculations'!$D914:$F914)</f>
        <v>1</v>
      </c>
      <c r="N914">
        <f>IFERROR(VLOOKUP(D914,[1]Parameters!$A$3:$C$5,3,FALSE),0)</f>
        <v>2.2999999999999998</v>
      </c>
      <c r="O914">
        <f>IFERROR(VLOOKUP(E914,[1]Parameters!$A$3:$C$5,3,FALSE),0)</f>
        <v>0</v>
      </c>
      <c r="P914">
        <f>IFERROR(VLOOKUP(F914,[1]Parameters!$A$3:$C$5,3,FALSE),0)</f>
        <v>0</v>
      </c>
      <c r="Q914">
        <f t="shared" si="14"/>
        <v>2.2999999999999998</v>
      </c>
      <c r="R914" s="10">
        <f>IF('[1]Pizza Sales Calculations'!$G914=TRUE, [1]Parameters!$B$17*'[1]Pizza Sales Calculations'!$L914*2, 0)</f>
        <v>0</v>
      </c>
      <c r="S914" t="str">
        <f>IF(I914&lt;[1]Parameters!$B$21,"TRUE","FALSE")</f>
        <v>TRUE</v>
      </c>
      <c r="T914" s="5">
        <f>(I914/[1]Parameters!$B$25)*60</f>
        <v>0</v>
      </c>
      <c r="U914" s="10">
        <f>IF(AND('[1]Pizza Sales Calculations'!G914=TRUE,'[1]Pizza Sales Calculations'!S914="TRUE"),T914*[1]Parameters!$B$40*2,0)</f>
        <v>0</v>
      </c>
      <c r="V914">
        <f>INDEX([1]Parameters!$A$3:$C$5,MATCH('[1]Pizza Sales Calculations'!D914,[1]Parameters!$A$3:$A$5,0),2)</f>
        <v>14</v>
      </c>
      <c r="W914" t="e">
        <f>INDEX([1]Parameters!$A$3:$C$5,MATCH('[1]Pizza Sales Calculations'!E914,[1]Parameters!$A$3:$A$5,0),2)</f>
        <v>#N/A</v>
      </c>
      <c r="X914" t="e">
        <f>INDEX([1]Parameters!$A$3:$C$5,MATCH('[1]Pizza Sales Calculations'!F914,[1]Parameters!$A$3:$A$5,0),2)</f>
        <v>#N/A</v>
      </c>
    </row>
    <row r="915" spans="1:24" x14ac:dyDescent="0.3">
      <c r="A915">
        <v>914</v>
      </c>
      <c r="B915" s="14">
        <v>42379.510949074072</v>
      </c>
      <c r="C915" s="14">
        <v>42379.521365740744</v>
      </c>
      <c r="D915" t="s">
        <v>3</v>
      </c>
      <c r="G915" t="b">
        <v>0</v>
      </c>
      <c r="H915">
        <v>70803</v>
      </c>
      <c r="I915" s="5">
        <v>0</v>
      </c>
      <c r="J915" s="14">
        <v>42379.523449074077</v>
      </c>
      <c r="K915">
        <v>7.99</v>
      </c>
      <c r="L915" s="5">
        <f>('[1]Pizza Sales Calculations'!$J915-'[1]Pizza Sales Calculations'!$C915)*24*60</f>
        <v>2.9999999993015081</v>
      </c>
      <c r="M915">
        <f>COUNTA('[1]Pizza Sales Calculations'!$D915:$F915)</f>
        <v>1</v>
      </c>
      <c r="N915">
        <f>IFERROR(VLOOKUP(D915,[1]Parameters!$A$3:$C$5,3,FALSE),0)</f>
        <v>1</v>
      </c>
      <c r="O915">
        <f>IFERROR(VLOOKUP(E915,[1]Parameters!$A$3:$C$5,3,FALSE),0)</f>
        <v>0</v>
      </c>
      <c r="P915">
        <f>IFERROR(VLOOKUP(F915,[1]Parameters!$A$3:$C$5,3,FALSE),0)</f>
        <v>0</v>
      </c>
      <c r="Q915">
        <f t="shared" si="14"/>
        <v>1</v>
      </c>
      <c r="R915" s="10">
        <f>IF('[1]Pizza Sales Calculations'!$G915=TRUE, [1]Parameters!$B$17*'[1]Pizza Sales Calculations'!$L915*2, 0)</f>
        <v>0</v>
      </c>
      <c r="S915" t="str">
        <f>IF(I915&lt;[1]Parameters!$B$21,"TRUE","FALSE")</f>
        <v>TRUE</v>
      </c>
      <c r="T915" s="5">
        <f>(I915/[1]Parameters!$B$25)*60</f>
        <v>0</v>
      </c>
      <c r="U915" s="10">
        <f>IF(AND('[1]Pizza Sales Calculations'!G915=TRUE,'[1]Pizza Sales Calculations'!S915="TRUE"),T915*[1]Parameters!$B$40*2,0)</f>
        <v>0</v>
      </c>
      <c r="V915">
        <f>INDEX([1]Parameters!$A$3:$C$5,MATCH('[1]Pizza Sales Calculations'!D915,[1]Parameters!$A$3:$A$5,0),2)</f>
        <v>7</v>
      </c>
      <c r="W915" t="e">
        <f>INDEX([1]Parameters!$A$3:$C$5,MATCH('[1]Pizza Sales Calculations'!E915,[1]Parameters!$A$3:$A$5,0),2)</f>
        <v>#N/A</v>
      </c>
      <c r="X915" t="e">
        <f>INDEX([1]Parameters!$A$3:$C$5,MATCH('[1]Pizza Sales Calculations'!F915,[1]Parameters!$A$3:$A$5,0),2)</f>
        <v>#N/A</v>
      </c>
    </row>
    <row r="916" spans="1:24" x14ac:dyDescent="0.3">
      <c r="A916">
        <v>915</v>
      </c>
      <c r="B916" s="14">
        <v>42379.434282407405</v>
      </c>
      <c r="C916" s="14">
        <v>42379.444675925923</v>
      </c>
      <c r="D916" t="s">
        <v>3</v>
      </c>
      <c r="E916" t="s">
        <v>5</v>
      </c>
      <c r="G916" t="b">
        <v>0</v>
      </c>
      <c r="H916">
        <v>70807</v>
      </c>
      <c r="I916" s="5">
        <v>0</v>
      </c>
      <c r="J916" s="14">
        <v>42379.446770833332</v>
      </c>
      <c r="K916">
        <v>23.34</v>
      </c>
      <c r="L916" s="5">
        <f>('[1]Pizza Sales Calculations'!$J916-'[1]Pizza Sales Calculations'!$C916)*24*60</f>
        <v>3.0166666698642075</v>
      </c>
      <c r="M916">
        <f>COUNTA('[1]Pizza Sales Calculations'!$D916:$F916)</f>
        <v>2</v>
      </c>
      <c r="N916">
        <f>IFERROR(VLOOKUP(D916,[1]Parameters!$A$3:$C$5,3,FALSE),0)</f>
        <v>1</v>
      </c>
      <c r="O916">
        <f>IFERROR(VLOOKUP(E916,[1]Parameters!$A$3:$C$5,3,FALSE),0)</f>
        <v>2.2999999999999998</v>
      </c>
      <c r="P916">
        <f>IFERROR(VLOOKUP(F916,[1]Parameters!$A$3:$C$5,3,FALSE),0)</f>
        <v>0</v>
      </c>
      <c r="Q916">
        <f t="shared" si="14"/>
        <v>3.3</v>
      </c>
      <c r="R916" s="10">
        <f>IF('[1]Pizza Sales Calculations'!$G916=TRUE, [1]Parameters!$B$17*'[1]Pizza Sales Calculations'!$L916*2, 0)</f>
        <v>0</v>
      </c>
      <c r="S916" t="str">
        <f>IF(I916&lt;[1]Parameters!$B$21,"TRUE","FALSE")</f>
        <v>TRUE</v>
      </c>
      <c r="T916" s="5">
        <f>(I916/[1]Parameters!$B$25)*60</f>
        <v>0</v>
      </c>
      <c r="U916" s="10">
        <f>IF(AND('[1]Pizza Sales Calculations'!G916=TRUE,'[1]Pizza Sales Calculations'!S916="TRUE"),T916*[1]Parameters!$B$40*2,0)</f>
        <v>0</v>
      </c>
      <c r="V916">
        <f>INDEX([1]Parameters!$A$3:$C$5,MATCH('[1]Pizza Sales Calculations'!D916,[1]Parameters!$A$3:$A$5,0),2)</f>
        <v>7</v>
      </c>
      <c r="W916">
        <f>INDEX([1]Parameters!$A$3:$C$5,MATCH('[1]Pizza Sales Calculations'!E916,[1]Parameters!$A$3:$A$5,0),2)</f>
        <v>14</v>
      </c>
      <c r="X916" t="e">
        <f>INDEX([1]Parameters!$A$3:$C$5,MATCH('[1]Pizza Sales Calculations'!F916,[1]Parameters!$A$3:$A$5,0),2)</f>
        <v>#N/A</v>
      </c>
    </row>
    <row r="917" spans="1:24" x14ac:dyDescent="0.3">
      <c r="A917">
        <v>916</v>
      </c>
      <c r="B917" s="14">
        <v>42379.509560185186</v>
      </c>
      <c r="C917" s="14">
        <v>42379.519953703704</v>
      </c>
      <c r="D917" t="s">
        <v>4</v>
      </c>
      <c r="G917" t="b">
        <v>1</v>
      </c>
      <c r="H917">
        <v>70803</v>
      </c>
      <c r="I917" s="5">
        <v>2.33662399940083</v>
      </c>
      <c r="J917" s="14">
        <v>42379.528055555558</v>
      </c>
      <c r="K917">
        <v>11.59</v>
      </c>
      <c r="L917" s="5">
        <f>('[1]Pizza Sales Calculations'!$J917-'[1]Pizza Sales Calculations'!$C917)*24*60</f>
        <v>11.666666669771075</v>
      </c>
      <c r="M917">
        <f>COUNTA('[1]Pizza Sales Calculations'!$D917:$F917)</f>
        <v>1</v>
      </c>
      <c r="N917">
        <f>IFERROR(VLOOKUP(D917,[1]Parameters!$A$3:$C$5,3,FALSE),0)</f>
        <v>1.7</v>
      </c>
      <c r="O917">
        <f>IFERROR(VLOOKUP(E917,[1]Parameters!$A$3:$C$5,3,FALSE),0)</f>
        <v>0</v>
      </c>
      <c r="P917">
        <f>IFERROR(VLOOKUP(F917,[1]Parameters!$A$3:$C$5,3,FALSE),0)</f>
        <v>0</v>
      </c>
      <c r="Q917">
        <f t="shared" si="14"/>
        <v>1.7</v>
      </c>
      <c r="R917" s="10">
        <f>IF('[1]Pizza Sales Calculations'!$G917=TRUE, [1]Parameters!$B$17*'[1]Pizza Sales Calculations'!$L917*2, 0)</f>
        <v>3.305555556435138</v>
      </c>
      <c r="S917" t="str">
        <f>IF(I917&lt;[1]Parameters!$B$21,"TRUE","FALSE")</f>
        <v>TRUE</v>
      </c>
      <c r="T917" s="5">
        <f>(I917/[1]Parameters!$B$25)*60</f>
        <v>4.67324799880166</v>
      </c>
      <c r="U917" s="10">
        <f>IF(AND('[1]Pizza Sales Calculations'!G917=TRUE,'[1]Pizza Sales Calculations'!S917="TRUE"),T917*[1]Parameters!$B$40*2,0)</f>
        <v>0.29171642188359326</v>
      </c>
      <c r="V917">
        <f>INDEX([1]Parameters!$A$3:$C$5,MATCH('[1]Pizza Sales Calculations'!D917,[1]Parameters!$A$3:$A$5,0),2)</f>
        <v>10</v>
      </c>
      <c r="W917" t="e">
        <f>INDEX([1]Parameters!$A$3:$C$5,MATCH('[1]Pizza Sales Calculations'!E917,[1]Parameters!$A$3:$A$5,0),2)</f>
        <v>#N/A</v>
      </c>
      <c r="X917" t="e">
        <f>INDEX([1]Parameters!$A$3:$C$5,MATCH('[1]Pizza Sales Calculations'!F917,[1]Parameters!$A$3:$A$5,0),2)</f>
        <v>#N/A</v>
      </c>
    </row>
    <row r="918" spans="1:24" x14ac:dyDescent="0.3">
      <c r="A918">
        <v>917</v>
      </c>
      <c r="B918" s="14">
        <v>42379.525983796295</v>
      </c>
      <c r="C918" s="14">
        <v>42379.53638888889</v>
      </c>
      <c r="D918" t="s">
        <v>5</v>
      </c>
      <c r="G918" t="b">
        <v>1</v>
      </c>
      <c r="H918">
        <v>70805</v>
      </c>
      <c r="I918" s="5">
        <v>4.48417859515492</v>
      </c>
      <c r="J918" s="14">
        <v>42379.55195601852</v>
      </c>
      <c r="K918">
        <v>15.35</v>
      </c>
      <c r="L918" s="5">
        <f>('[1]Pizza Sales Calculations'!$J918-'[1]Pizza Sales Calculations'!$C918)*24*60</f>
        <v>22.416666668141261</v>
      </c>
      <c r="M918">
        <f>COUNTA('[1]Pizza Sales Calculations'!$D918:$F918)</f>
        <v>1</v>
      </c>
      <c r="N918">
        <f>IFERROR(VLOOKUP(D918,[1]Parameters!$A$3:$C$5,3,FALSE),0)</f>
        <v>2.2999999999999998</v>
      </c>
      <c r="O918">
        <f>IFERROR(VLOOKUP(E918,[1]Parameters!$A$3:$C$5,3,FALSE),0)</f>
        <v>0</v>
      </c>
      <c r="P918">
        <f>IFERROR(VLOOKUP(F918,[1]Parameters!$A$3:$C$5,3,FALSE),0)</f>
        <v>0</v>
      </c>
      <c r="Q918">
        <f t="shared" si="14"/>
        <v>2.2999999999999998</v>
      </c>
      <c r="R918" s="10">
        <f>IF('[1]Pizza Sales Calculations'!$G918=TRUE, [1]Parameters!$B$17*'[1]Pizza Sales Calculations'!$L918*2, 0)</f>
        <v>6.3513888893066905</v>
      </c>
      <c r="S918" t="str">
        <f>IF(I918&lt;[1]Parameters!$B$21,"TRUE","FALSE")</f>
        <v>FALSE</v>
      </c>
      <c r="T918" s="5">
        <f>(I918/[1]Parameters!$B$25)*60</f>
        <v>8.96835719030984</v>
      </c>
      <c r="U918" s="10">
        <f>IF(AND('[1]Pizza Sales Calculations'!G918=TRUE,'[1]Pizza Sales Calculations'!S918="TRUE"),T918*[1]Parameters!$B$40*2,0)</f>
        <v>0</v>
      </c>
      <c r="V918">
        <f>INDEX([1]Parameters!$A$3:$C$5,MATCH('[1]Pizza Sales Calculations'!D918,[1]Parameters!$A$3:$A$5,0),2)</f>
        <v>14</v>
      </c>
      <c r="W918" t="e">
        <f>INDEX([1]Parameters!$A$3:$C$5,MATCH('[1]Pizza Sales Calculations'!E918,[1]Parameters!$A$3:$A$5,0),2)</f>
        <v>#N/A</v>
      </c>
      <c r="X918" t="e">
        <f>INDEX([1]Parameters!$A$3:$C$5,MATCH('[1]Pizza Sales Calculations'!F918,[1]Parameters!$A$3:$A$5,0),2)</f>
        <v>#N/A</v>
      </c>
    </row>
    <row r="919" spans="1:24" x14ac:dyDescent="0.3">
      <c r="A919">
        <v>918</v>
      </c>
      <c r="B919" s="14">
        <v>42379.504606481481</v>
      </c>
      <c r="C919" s="14">
        <v>42379.514988425923</v>
      </c>
      <c r="D919" t="s">
        <v>3</v>
      </c>
      <c r="E919" t="s">
        <v>5</v>
      </c>
      <c r="G919" t="b">
        <v>1</v>
      </c>
      <c r="H919">
        <v>70805</v>
      </c>
      <c r="I919" s="5">
        <v>3.54731064851627</v>
      </c>
      <c r="J919" s="14">
        <v>42379.527303240742</v>
      </c>
      <c r="K919">
        <v>23.34</v>
      </c>
      <c r="L919" s="5">
        <f>('[1]Pizza Sales Calculations'!$J919-'[1]Pizza Sales Calculations'!$C919)*24*60</f>
        <v>17.73333334014751</v>
      </c>
      <c r="M919">
        <f>COUNTA('[1]Pizza Sales Calculations'!$D919:$F919)</f>
        <v>2</v>
      </c>
      <c r="N919">
        <f>IFERROR(VLOOKUP(D919,[1]Parameters!$A$3:$C$5,3,FALSE),0)</f>
        <v>1</v>
      </c>
      <c r="O919">
        <f>IFERROR(VLOOKUP(E919,[1]Parameters!$A$3:$C$5,3,FALSE),0)</f>
        <v>2.2999999999999998</v>
      </c>
      <c r="P919">
        <f>IFERROR(VLOOKUP(F919,[1]Parameters!$A$3:$C$5,3,FALSE),0)</f>
        <v>0</v>
      </c>
      <c r="Q919">
        <f t="shared" si="14"/>
        <v>3.3</v>
      </c>
      <c r="R919" s="10">
        <f>IF('[1]Pizza Sales Calculations'!$G919=TRUE, [1]Parameters!$B$17*'[1]Pizza Sales Calculations'!$L919*2, 0)</f>
        <v>5.0244444463751279</v>
      </c>
      <c r="S919" t="str">
        <f>IF(I919&lt;[1]Parameters!$B$21,"TRUE","FALSE")</f>
        <v>FALSE</v>
      </c>
      <c r="T919" s="5">
        <f>(I919/[1]Parameters!$B$25)*60</f>
        <v>7.09462129703254</v>
      </c>
      <c r="U919" s="10">
        <f>IF(AND('[1]Pizza Sales Calculations'!G919=TRUE,'[1]Pizza Sales Calculations'!S919="TRUE"),T919*[1]Parameters!$B$40*2,0)</f>
        <v>0</v>
      </c>
      <c r="V919">
        <f>INDEX([1]Parameters!$A$3:$C$5,MATCH('[1]Pizza Sales Calculations'!D919,[1]Parameters!$A$3:$A$5,0),2)</f>
        <v>7</v>
      </c>
      <c r="W919">
        <f>INDEX([1]Parameters!$A$3:$C$5,MATCH('[1]Pizza Sales Calculations'!E919,[1]Parameters!$A$3:$A$5,0),2)</f>
        <v>14</v>
      </c>
      <c r="X919" t="e">
        <f>INDEX([1]Parameters!$A$3:$C$5,MATCH('[1]Pizza Sales Calculations'!F919,[1]Parameters!$A$3:$A$5,0),2)</f>
        <v>#N/A</v>
      </c>
    </row>
    <row r="920" spans="1:24" x14ac:dyDescent="0.3">
      <c r="A920">
        <v>919</v>
      </c>
      <c r="B920" s="14">
        <v>42379.475023148145</v>
      </c>
      <c r="C920" s="14">
        <v>42379.485439814816</v>
      </c>
      <c r="D920" t="s">
        <v>3</v>
      </c>
      <c r="E920" t="s">
        <v>4</v>
      </c>
      <c r="G920" t="b">
        <v>1</v>
      </c>
      <c r="H920">
        <v>70804</v>
      </c>
      <c r="I920" s="5">
        <v>5.1782596108877801</v>
      </c>
      <c r="J920" s="14">
        <v>42379.50341435185</v>
      </c>
      <c r="K920">
        <v>19.579999999999998</v>
      </c>
      <c r="L920" s="5">
        <f>('[1]Pizza Sales Calculations'!$J920-'[1]Pizza Sales Calculations'!$C920)*24*60</f>
        <v>25.883333327947184</v>
      </c>
      <c r="M920">
        <f>COUNTA('[1]Pizza Sales Calculations'!$D920:$F920)</f>
        <v>2</v>
      </c>
      <c r="N920">
        <f>IFERROR(VLOOKUP(D920,[1]Parameters!$A$3:$C$5,3,FALSE),0)</f>
        <v>1</v>
      </c>
      <c r="O920">
        <f>IFERROR(VLOOKUP(E920,[1]Parameters!$A$3:$C$5,3,FALSE),0)</f>
        <v>1.7</v>
      </c>
      <c r="P920">
        <f>IFERROR(VLOOKUP(F920,[1]Parameters!$A$3:$C$5,3,FALSE),0)</f>
        <v>0</v>
      </c>
      <c r="Q920">
        <f t="shared" si="14"/>
        <v>2.7</v>
      </c>
      <c r="R920" s="10">
        <f>IF('[1]Pizza Sales Calculations'!$G920=TRUE, [1]Parameters!$B$17*'[1]Pizza Sales Calculations'!$L920*2, 0)</f>
        <v>7.3336111095850356</v>
      </c>
      <c r="S920" t="str">
        <f>IF(I920&lt;[1]Parameters!$B$21,"TRUE","FALSE")</f>
        <v>FALSE</v>
      </c>
      <c r="T920" s="5">
        <f>(I920/[1]Parameters!$B$25)*60</f>
        <v>10.35651922177556</v>
      </c>
      <c r="U920" s="10">
        <f>IF(AND('[1]Pizza Sales Calculations'!G920=TRUE,'[1]Pizza Sales Calculations'!S920="TRUE"),T920*[1]Parameters!$B$40*2,0)</f>
        <v>0</v>
      </c>
      <c r="V920">
        <f>INDEX([1]Parameters!$A$3:$C$5,MATCH('[1]Pizza Sales Calculations'!D920,[1]Parameters!$A$3:$A$5,0),2)</f>
        <v>7</v>
      </c>
      <c r="W920">
        <f>INDEX([1]Parameters!$A$3:$C$5,MATCH('[1]Pizza Sales Calculations'!E920,[1]Parameters!$A$3:$A$5,0),2)</f>
        <v>10</v>
      </c>
      <c r="X920" t="e">
        <f>INDEX([1]Parameters!$A$3:$C$5,MATCH('[1]Pizza Sales Calculations'!F920,[1]Parameters!$A$3:$A$5,0),2)</f>
        <v>#N/A</v>
      </c>
    </row>
    <row r="921" spans="1:24" x14ac:dyDescent="0.3">
      <c r="A921">
        <v>920</v>
      </c>
      <c r="B921" s="14">
        <v>42379.480046296296</v>
      </c>
      <c r="C921" s="14">
        <v>42379.490439814814</v>
      </c>
      <c r="D921" t="s">
        <v>3</v>
      </c>
      <c r="G921" t="b">
        <v>0</v>
      </c>
      <c r="H921">
        <v>70803</v>
      </c>
      <c r="I921" s="5">
        <v>0</v>
      </c>
      <c r="J921" s="14">
        <v>42379.492523148147</v>
      </c>
      <c r="K921">
        <v>7.99</v>
      </c>
      <c r="L921" s="5">
        <f>('[1]Pizza Sales Calculations'!$J921-'[1]Pizza Sales Calculations'!$C921)*24*60</f>
        <v>2.9999999993015081</v>
      </c>
      <c r="M921">
        <f>COUNTA('[1]Pizza Sales Calculations'!$D921:$F921)</f>
        <v>1</v>
      </c>
      <c r="N921">
        <f>IFERROR(VLOOKUP(D921,[1]Parameters!$A$3:$C$5,3,FALSE),0)</f>
        <v>1</v>
      </c>
      <c r="O921">
        <f>IFERROR(VLOOKUP(E921,[1]Parameters!$A$3:$C$5,3,FALSE),0)</f>
        <v>0</v>
      </c>
      <c r="P921">
        <f>IFERROR(VLOOKUP(F921,[1]Parameters!$A$3:$C$5,3,FALSE),0)</f>
        <v>0</v>
      </c>
      <c r="Q921">
        <f t="shared" si="14"/>
        <v>1</v>
      </c>
      <c r="R921" s="10">
        <f>IF('[1]Pizza Sales Calculations'!$G921=TRUE, [1]Parameters!$B$17*'[1]Pizza Sales Calculations'!$L921*2, 0)</f>
        <v>0</v>
      </c>
      <c r="S921" t="str">
        <f>IF(I921&lt;[1]Parameters!$B$21,"TRUE","FALSE")</f>
        <v>TRUE</v>
      </c>
      <c r="T921" s="5">
        <f>(I921/[1]Parameters!$B$25)*60</f>
        <v>0</v>
      </c>
      <c r="U921" s="10">
        <f>IF(AND('[1]Pizza Sales Calculations'!G921=TRUE,'[1]Pizza Sales Calculations'!S921="TRUE"),T921*[1]Parameters!$B$40*2,0)</f>
        <v>0</v>
      </c>
      <c r="V921">
        <f>INDEX([1]Parameters!$A$3:$C$5,MATCH('[1]Pizza Sales Calculations'!D921,[1]Parameters!$A$3:$A$5,0),2)</f>
        <v>7</v>
      </c>
      <c r="W921" t="e">
        <f>INDEX([1]Parameters!$A$3:$C$5,MATCH('[1]Pizza Sales Calculations'!E921,[1]Parameters!$A$3:$A$5,0),2)</f>
        <v>#N/A</v>
      </c>
      <c r="X921" t="e">
        <f>INDEX([1]Parameters!$A$3:$C$5,MATCH('[1]Pizza Sales Calculations'!F921,[1]Parameters!$A$3:$A$5,0),2)</f>
        <v>#N/A</v>
      </c>
    </row>
    <row r="922" spans="1:24" x14ac:dyDescent="0.3">
      <c r="A922">
        <v>921</v>
      </c>
      <c r="B922" s="14">
        <v>42379.617974537039</v>
      </c>
      <c r="C922" s="14">
        <v>42379.628391203703</v>
      </c>
      <c r="D922" t="s">
        <v>4</v>
      </c>
      <c r="G922" t="b">
        <v>1</v>
      </c>
      <c r="H922">
        <v>70807</v>
      </c>
      <c r="I922" s="5">
        <v>2.9859387890778999</v>
      </c>
      <c r="J922" s="14">
        <v>42379.638749999998</v>
      </c>
      <c r="K922">
        <v>11.59</v>
      </c>
      <c r="L922" s="5">
        <f>('[1]Pizza Sales Calculations'!$J922-'[1]Pizza Sales Calculations'!$C922)*24*60</f>
        <v>14.916666664648801</v>
      </c>
      <c r="M922">
        <f>COUNTA('[1]Pizza Sales Calculations'!$D922:$F922)</f>
        <v>1</v>
      </c>
      <c r="N922">
        <f>IFERROR(VLOOKUP(D922,[1]Parameters!$A$3:$C$5,3,FALSE),0)</f>
        <v>1.7</v>
      </c>
      <c r="O922">
        <f>IFERROR(VLOOKUP(E922,[1]Parameters!$A$3:$C$5,3,FALSE),0)</f>
        <v>0</v>
      </c>
      <c r="P922">
        <f>IFERROR(VLOOKUP(F922,[1]Parameters!$A$3:$C$5,3,FALSE),0)</f>
        <v>0</v>
      </c>
      <c r="Q922">
        <f t="shared" si="14"/>
        <v>1.7</v>
      </c>
      <c r="R922" s="10">
        <f>IF('[1]Pizza Sales Calculations'!$G922=TRUE, [1]Parameters!$B$17*'[1]Pizza Sales Calculations'!$L922*2, 0)</f>
        <v>4.2263888883171603</v>
      </c>
      <c r="S922" t="str">
        <f>IF(I922&lt;[1]Parameters!$B$21,"TRUE","FALSE")</f>
        <v>TRUE</v>
      </c>
      <c r="T922" s="5">
        <f>(I922/[1]Parameters!$B$25)*60</f>
        <v>5.9718775781557998</v>
      </c>
      <c r="U922" s="10">
        <f>IF(AND('[1]Pizza Sales Calculations'!G922=TRUE,'[1]Pizza Sales Calculations'!S922="TRUE"),T922*[1]Parameters!$B$40*2,0)</f>
        <v>0.37278029316509331</v>
      </c>
      <c r="V922">
        <f>INDEX([1]Parameters!$A$3:$C$5,MATCH('[1]Pizza Sales Calculations'!D922,[1]Parameters!$A$3:$A$5,0),2)</f>
        <v>10</v>
      </c>
      <c r="W922" t="e">
        <f>INDEX([1]Parameters!$A$3:$C$5,MATCH('[1]Pizza Sales Calculations'!E922,[1]Parameters!$A$3:$A$5,0),2)</f>
        <v>#N/A</v>
      </c>
      <c r="X922" t="e">
        <f>INDEX([1]Parameters!$A$3:$C$5,MATCH('[1]Pizza Sales Calculations'!F922,[1]Parameters!$A$3:$A$5,0),2)</f>
        <v>#N/A</v>
      </c>
    </row>
    <row r="923" spans="1:24" x14ac:dyDescent="0.3">
      <c r="A923">
        <v>922</v>
      </c>
      <c r="B923" s="14">
        <v>42379.482476851852</v>
      </c>
      <c r="C923" s="14">
        <v>42379.492893518516</v>
      </c>
      <c r="D923" t="s">
        <v>3</v>
      </c>
      <c r="E923" t="s">
        <v>4</v>
      </c>
      <c r="G923" t="b">
        <v>1</v>
      </c>
      <c r="H923">
        <v>70806</v>
      </c>
      <c r="I923" s="5">
        <v>3.4575552337618101</v>
      </c>
      <c r="J923" s="14">
        <v>42379.504895833335</v>
      </c>
      <c r="K923">
        <v>19.579999999999998</v>
      </c>
      <c r="L923" s="5">
        <f>('[1]Pizza Sales Calculations'!$J923-'[1]Pizza Sales Calculations'!$C923)*24*60</f>
        <v>17.283333339728415</v>
      </c>
      <c r="M923">
        <f>COUNTA('[1]Pizza Sales Calculations'!$D923:$F923)</f>
        <v>2</v>
      </c>
      <c r="N923">
        <f>IFERROR(VLOOKUP(D923,[1]Parameters!$A$3:$C$5,3,FALSE),0)</f>
        <v>1</v>
      </c>
      <c r="O923">
        <f>IFERROR(VLOOKUP(E923,[1]Parameters!$A$3:$C$5,3,FALSE),0)</f>
        <v>1.7</v>
      </c>
      <c r="P923">
        <f>IFERROR(VLOOKUP(F923,[1]Parameters!$A$3:$C$5,3,FALSE),0)</f>
        <v>0</v>
      </c>
      <c r="Q923">
        <f t="shared" si="14"/>
        <v>2.7</v>
      </c>
      <c r="R923" s="10">
        <f>IF('[1]Pizza Sales Calculations'!$G923=TRUE, [1]Parameters!$B$17*'[1]Pizza Sales Calculations'!$L923*2, 0)</f>
        <v>4.8969444462563843</v>
      </c>
      <c r="S923" t="str">
        <f>IF(I923&lt;[1]Parameters!$B$21,"TRUE","FALSE")</f>
        <v>FALSE</v>
      </c>
      <c r="T923" s="5">
        <f>(I923/[1]Parameters!$B$25)*60</f>
        <v>6.9151104675236201</v>
      </c>
      <c r="U923" s="10">
        <f>IF(AND('[1]Pizza Sales Calculations'!G923=TRUE,'[1]Pizza Sales Calculations'!S923="TRUE"),T923*[1]Parameters!$B$40*2,0)</f>
        <v>0</v>
      </c>
      <c r="V923">
        <f>INDEX([1]Parameters!$A$3:$C$5,MATCH('[1]Pizza Sales Calculations'!D923,[1]Parameters!$A$3:$A$5,0),2)</f>
        <v>7</v>
      </c>
      <c r="W923">
        <f>INDEX([1]Parameters!$A$3:$C$5,MATCH('[1]Pizza Sales Calculations'!E923,[1]Parameters!$A$3:$A$5,0),2)</f>
        <v>10</v>
      </c>
      <c r="X923" t="e">
        <f>INDEX([1]Parameters!$A$3:$C$5,MATCH('[1]Pizza Sales Calculations'!F923,[1]Parameters!$A$3:$A$5,0),2)</f>
        <v>#N/A</v>
      </c>
    </row>
    <row r="924" spans="1:24" x14ac:dyDescent="0.3">
      <c r="A924">
        <v>923</v>
      </c>
      <c r="B924" s="14">
        <v>42379.510150462964</v>
      </c>
      <c r="C924" s="14">
        <v>42379.520543981482</v>
      </c>
      <c r="D924" t="s">
        <v>4</v>
      </c>
      <c r="G924" t="b">
        <v>1</v>
      </c>
      <c r="H924">
        <v>70805</v>
      </c>
      <c r="I924" s="5">
        <v>2.7022890649689</v>
      </c>
      <c r="J924" s="14">
        <v>42379.529918981483</v>
      </c>
      <c r="K924">
        <v>11.59</v>
      </c>
      <c r="L924" s="5">
        <f>('[1]Pizza Sales Calculations'!$J924-'[1]Pizza Sales Calculations'!$C924)*24*60</f>
        <v>13.500000002095476</v>
      </c>
      <c r="M924">
        <f>COUNTA('[1]Pizza Sales Calculations'!$D924:$F924)</f>
        <v>1</v>
      </c>
      <c r="N924">
        <f>IFERROR(VLOOKUP(D924,[1]Parameters!$A$3:$C$5,3,FALSE),0)</f>
        <v>1.7</v>
      </c>
      <c r="O924">
        <f>IFERROR(VLOOKUP(E924,[1]Parameters!$A$3:$C$5,3,FALSE),0)</f>
        <v>0</v>
      </c>
      <c r="P924">
        <f>IFERROR(VLOOKUP(F924,[1]Parameters!$A$3:$C$5,3,FALSE),0)</f>
        <v>0</v>
      </c>
      <c r="Q924">
        <f t="shared" si="14"/>
        <v>1.7</v>
      </c>
      <c r="R924" s="10">
        <f>IF('[1]Pizza Sales Calculations'!$G924=TRUE, [1]Parameters!$B$17*'[1]Pizza Sales Calculations'!$L924*2, 0)</f>
        <v>3.8250000005937181</v>
      </c>
      <c r="S924" t="str">
        <f>IF(I924&lt;[1]Parameters!$B$21,"TRUE","FALSE")</f>
        <v>TRUE</v>
      </c>
      <c r="T924" s="5">
        <f>(I924/[1]Parameters!$B$25)*60</f>
        <v>5.4045781299378</v>
      </c>
      <c r="U924" s="10">
        <f>IF(AND('[1]Pizza Sales Calculations'!G924=TRUE,'[1]Pizza Sales Calculations'!S924="TRUE"),T924*[1]Parameters!$B$40*2,0)</f>
        <v>0.33736797068335733</v>
      </c>
      <c r="V924">
        <f>INDEX([1]Parameters!$A$3:$C$5,MATCH('[1]Pizza Sales Calculations'!D924,[1]Parameters!$A$3:$A$5,0),2)</f>
        <v>10</v>
      </c>
      <c r="W924" t="e">
        <f>INDEX([1]Parameters!$A$3:$C$5,MATCH('[1]Pizza Sales Calculations'!E924,[1]Parameters!$A$3:$A$5,0),2)</f>
        <v>#N/A</v>
      </c>
      <c r="X924" t="e">
        <f>INDEX([1]Parameters!$A$3:$C$5,MATCH('[1]Pizza Sales Calculations'!F924,[1]Parameters!$A$3:$A$5,0),2)</f>
        <v>#N/A</v>
      </c>
    </row>
    <row r="925" spans="1:24" x14ac:dyDescent="0.3">
      <c r="A925">
        <v>924</v>
      </c>
      <c r="B925" s="14">
        <v>42379.520729166667</v>
      </c>
      <c r="C925" s="14">
        <v>42379.531134259261</v>
      </c>
      <c r="D925" t="s">
        <v>4</v>
      </c>
      <c r="G925" t="b">
        <v>0</v>
      </c>
      <c r="H925">
        <v>70805</v>
      </c>
      <c r="I925" s="5">
        <v>0</v>
      </c>
      <c r="J925" s="14">
        <v>42379.533217592594</v>
      </c>
      <c r="K925">
        <v>11.59</v>
      </c>
      <c r="L925" s="5">
        <f>('[1]Pizza Sales Calculations'!$J925-'[1]Pizza Sales Calculations'!$C925)*24*60</f>
        <v>2.9999999993015081</v>
      </c>
      <c r="M925">
        <f>COUNTA('[1]Pizza Sales Calculations'!$D925:$F925)</f>
        <v>1</v>
      </c>
      <c r="N925">
        <f>IFERROR(VLOOKUP(D925,[1]Parameters!$A$3:$C$5,3,FALSE),0)</f>
        <v>1.7</v>
      </c>
      <c r="O925">
        <f>IFERROR(VLOOKUP(E925,[1]Parameters!$A$3:$C$5,3,FALSE),0)</f>
        <v>0</v>
      </c>
      <c r="P925">
        <f>IFERROR(VLOOKUP(F925,[1]Parameters!$A$3:$C$5,3,FALSE),0)</f>
        <v>0</v>
      </c>
      <c r="Q925">
        <f t="shared" si="14"/>
        <v>1.7</v>
      </c>
      <c r="R925" s="10">
        <f>IF('[1]Pizza Sales Calculations'!$G925=TRUE, [1]Parameters!$B$17*'[1]Pizza Sales Calculations'!$L925*2, 0)</f>
        <v>0</v>
      </c>
      <c r="S925" t="str">
        <f>IF(I925&lt;[1]Parameters!$B$21,"TRUE","FALSE")</f>
        <v>TRUE</v>
      </c>
      <c r="T925" s="5">
        <f>(I925/[1]Parameters!$B$25)*60</f>
        <v>0</v>
      </c>
      <c r="U925" s="10">
        <f>IF(AND('[1]Pizza Sales Calculations'!G925=TRUE,'[1]Pizza Sales Calculations'!S925="TRUE"),T925*[1]Parameters!$B$40*2,0)</f>
        <v>0</v>
      </c>
      <c r="V925">
        <f>INDEX([1]Parameters!$A$3:$C$5,MATCH('[1]Pizza Sales Calculations'!D925,[1]Parameters!$A$3:$A$5,0),2)</f>
        <v>10</v>
      </c>
      <c r="W925" t="e">
        <f>INDEX([1]Parameters!$A$3:$C$5,MATCH('[1]Pizza Sales Calculations'!E925,[1]Parameters!$A$3:$A$5,0),2)</f>
        <v>#N/A</v>
      </c>
      <c r="X925" t="e">
        <f>INDEX([1]Parameters!$A$3:$C$5,MATCH('[1]Pizza Sales Calculations'!F925,[1]Parameters!$A$3:$A$5,0),2)</f>
        <v>#N/A</v>
      </c>
    </row>
    <row r="926" spans="1:24" x14ac:dyDescent="0.3">
      <c r="A926">
        <v>925</v>
      </c>
      <c r="B926" s="14">
        <v>42379.473043981481</v>
      </c>
      <c r="C926" s="14">
        <v>42379.483460648145</v>
      </c>
      <c r="D926" t="s">
        <v>4</v>
      </c>
      <c r="G926" t="b">
        <v>0</v>
      </c>
      <c r="H926">
        <v>70804</v>
      </c>
      <c r="I926" s="5">
        <v>0</v>
      </c>
      <c r="J926" s="14">
        <v>42379.485555555555</v>
      </c>
      <c r="K926">
        <v>11.59</v>
      </c>
      <c r="L926" s="5">
        <f>('[1]Pizza Sales Calculations'!$J926-'[1]Pizza Sales Calculations'!$C926)*24*60</f>
        <v>3.0166666698642075</v>
      </c>
      <c r="M926">
        <f>COUNTA('[1]Pizza Sales Calculations'!$D926:$F926)</f>
        <v>1</v>
      </c>
      <c r="N926">
        <f>IFERROR(VLOOKUP(D926,[1]Parameters!$A$3:$C$5,3,FALSE),0)</f>
        <v>1.7</v>
      </c>
      <c r="O926">
        <f>IFERROR(VLOOKUP(E926,[1]Parameters!$A$3:$C$5,3,FALSE),0)</f>
        <v>0</v>
      </c>
      <c r="P926">
        <f>IFERROR(VLOOKUP(F926,[1]Parameters!$A$3:$C$5,3,FALSE),0)</f>
        <v>0</v>
      </c>
      <c r="Q926">
        <f t="shared" si="14"/>
        <v>1.7</v>
      </c>
      <c r="R926" s="10">
        <f>IF('[1]Pizza Sales Calculations'!$G926=TRUE, [1]Parameters!$B$17*'[1]Pizza Sales Calculations'!$L926*2, 0)</f>
        <v>0</v>
      </c>
      <c r="S926" t="str">
        <f>IF(I926&lt;[1]Parameters!$B$21,"TRUE","FALSE")</f>
        <v>TRUE</v>
      </c>
      <c r="T926" s="5">
        <f>(I926/[1]Parameters!$B$25)*60</f>
        <v>0</v>
      </c>
      <c r="U926" s="10">
        <f>IF(AND('[1]Pizza Sales Calculations'!G926=TRUE,'[1]Pizza Sales Calculations'!S926="TRUE"),T926*[1]Parameters!$B$40*2,0)</f>
        <v>0</v>
      </c>
      <c r="V926">
        <f>INDEX([1]Parameters!$A$3:$C$5,MATCH('[1]Pizza Sales Calculations'!D926,[1]Parameters!$A$3:$A$5,0),2)</f>
        <v>10</v>
      </c>
      <c r="W926" t="e">
        <f>INDEX([1]Parameters!$A$3:$C$5,MATCH('[1]Pizza Sales Calculations'!E926,[1]Parameters!$A$3:$A$5,0),2)</f>
        <v>#N/A</v>
      </c>
      <c r="X926" t="e">
        <f>INDEX([1]Parameters!$A$3:$C$5,MATCH('[1]Pizza Sales Calculations'!F926,[1]Parameters!$A$3:$A$5,0),2)</f>
        <v>#N/A</v>
      </c>
    </row>
    <row r="927" spans="1:24" x14ac:dyDescent="0.3">
      <c r="A927">
        <v>926</v>
      </c>
      <c r="B927" s="14">
        <v>42379.485138888886</v>
      </c>
      <c r="C927" s="14">
        <v>42379.495532407411</v>
      </c>
      <c r="D927" t="s">
        <v>4</v>
      </c>
      <c r="G927" t="b">
        <v>1</v>
      </c>
      <c r="H927">
        <v>70805</v>
      </c>
      <c r="I927" s="5">
        <v>3.97726183589204</v>
      </c>
      <c r="J927" s="14">
        <v>42379.509340277778</v>
      </c>
      <c r="K927">
        <v>11.59</v>
      </c>
      <c r="L927" s="5">
        <f>('[1]Pizza Sales Calculations'!$J927-'[1]Pizza Sales Calculations'!$C927)*24*60</f>
        <v>19.883333329344168</v>
      </c>
      <c r="M927">
        <f>COUNTA('[1]Pizza Sales Calculations'!$D927:$F927)</f>
        <v>1</v>
      </c>
      <c r="N927">
        <f>IFERROR(VLOOKUP(D927,[1]Parameters!$A$3:$C$5,3,FALSE),0)</f>
        <v>1.7</v>
      </c>
      <c r="O927">
        <f>IFERROR(VLOOKUP(E927,[1]Parameters!$A$3:$C$5,3,FALSE),0)</f>
        <v>0</v>
      </c>
      <c r="P927">
        <f>IFERROR(VLOOKUP(F927,[1]Parameters!$A$3:$C$5,3,FALSE),0)</f>
        <v>0</v>
      </c>
      <c r="Q927">
        <f t="shared" si="14"/>
        <v>1.7</v>
      </c>
      <c r="R927" s="10">
        <f>IF('[1]Pizza Sales Calculations'!$G927=TRUE, [1]Parameters!$B$17*'[1]Pizza Sales Calculations'!$L927*2, 0)</f>
        <v>5.6336111099808477</v>
      </c>
      <c r="S927" t="str">
        <f>IF(I927&lt;[1]Parameters!$B$21,"TRUE","FALSE")</f>
        <v>FALSE</v>
      </c>
      <c r="T927" s="5">
        <f>(I927/[1]Parameters!$B$25)*60</f>
        <v>7.954523671784079</v>
      </c>
      <c r="U927" s="10">
        <f>IF(AND('[1]Pizza Sales Calculations'!G927=TRUE,'[1]Pizza Sales Calculations'!S927="TRUE"),T927*[1]Parameters!$B$40*2,0)</f>
        <v>0</v>
      </c>
      <c r="V927">
        <f>INDEX([1]Parameters!$A$3:$C$5,MATCH('[1]Pizza Sales Calculations'!D927,[1]Parameters!$A$3:$A$5,0),2)</f>
        <v>10</v>
      </c>
      <c r="W927" t="e">
        <f>INDEX([1]Parameters!$A$3:$C$5,MATCH('[1]Pizza Sales Calculations'!E927,[1]Parameters!$A$3:$A$5,0),2)</f>
        <v>#N/A</v>
      </c>
      <c r="X927" t="e">
        <f>INDEX([1]Parameters!$A$3:$C$5,MATCH('[1]Pizza Sales Calculations'!F927,[1]Parameters!$A$3:$A$5,0),2)</f>
        <v>#N/A</v>
      </c>
    </row>
    <row r="928" spans="1:24" x14ac:dyDescent="0.3">
      <c r="A928">
        <v>927</v>
      </c>
      <c r="B928" s="14">
        <v>42379.490277777775</v>
      </c>
      <c r="C928" s="14">
        <v>42379.50068287037</v>
      </c>
      <c r="D928" t="s">
        <v>3</v>
      </c>
      <c r="E928" t="s">
        <v>4</v>
      </c>
      <c r="G928" t="b">
        <v>1</v>
      </c>
      <c r="H928">
        <v>70806</v>
      </c>
      <c r="I928" s="5">
        <v>1.84923975819326</v>
      </c>
      <c r="J928" s="14">
        <v>42379.507094907407</v>
      </c>
      <c r="K928">
        <v>19.579999999999998</v>
      </c>
      <c r="L928" s="5">
        <f>('[1]Pizza Sales Calculations'!$J928-'[1]Pizza Sales Calculations'!$C928)*24*60</f>
        <v>9.2333333333954215</v>
      </c>
      <c r="M928">
        <f>COUNTA('[1]Pizza Sales Calculations'!$D928:$F928)</f>
        <v>2</v>
      </c>
      <c r="N928">
        <f>IFERROR(VLOOKUP(D928,[1]Parameters!$A$3:$C$5,3,FALSE),0)</f>
        <v>1</v>
      </c>
      <c r="O928">
        <f>IFERROR(VLOOKUP(E928,[1]Parameters!$A$3:$C$5,3,FALSE),0)</f>
        <v>1.7</v>
      </c>
      <c r="P928">
        <f>IFERROR(VLOOKUP(F928,[1]Parameters!$A$3:$C$5,3,FALSE),0)</f>
        <v>0</v>
      </c>
      <c r="Q928">
        <f t="shared" si="14"/>
        <v>2.7</v>
      </c>
      <c r="R928" s="10">
        <f>IF('[1]Pizza Sales Calculations'!$G928=TRUE, [1]Parameters!$B$17*'[1]Pizza Sales Calculations'!$L928*2, 0)</f>
        <v>2.6161111111287028</v>
      </c>
      <c r="S928" t="str">
        <f>IF(I928&lt;[1]Parameters!$B$21,"TRUE","FALSE")</f>
        <v>TRUE</v>
      </c>
      <c r="T928" s="5">
        <f>(I928/[1]Parameters!$B$25)*60</f>
        <v>3.6984795163865201</v>
      </c>
      <c r="U928" s="10">
        <f>IF(AND('[1]Pizza Sales Calculations'!G928=TRUE,'[1]Pizza Sales Calculations'!S928="TRUE"),T928*[1]Parameters!$B$40*2,0)</f>
        <v>0.23086881141482271</v>
      </c>
      <c r="V928">
        <f>INDEX([1]Parameters!$A$3:$C$5,MATCH('[1]Pizza Sales Calculations'!D928,[1]Parameters!$A$3:$A$5,0),2)</f>
        <v>7</v>
      </c>
      <c r="W928">
        <f>INDEX([1]Parameters!$A$3:$C$5,MATCH('[1]Pizza Sales Calculations'!E928,[1]Parameters!$A$3:$A$5,0),2)</f>
        <v>10</v>
      </c>
      <c r="X928" t="e">
        <f>INDEX([1]Parameters!$A$3:$C$5,MATCH('[1]Pizza Sales Calculations'!F928,[1]Parameters!$A$3:$A$5,0),2)</f>
        <v>#N/A</v>
      </c>
    </row>
    <row r="929" spans="1:24" x14ac:dyDescent="0.3">
      <c r="A929">
        <v>928</v>
      </c>
      <c r="B929" s="14">
        <v>42379.475405092591</v>
      </c>
      <c r="C929" s="14">
        <v>42379.485821759263</v>
      </c>
      <c r="D929" t="s">
        <v>4</v>
      </c>
      <c r="G929" t="b">
        <v>1</v>
      </c>
      <c r="H929">
        <v>70805</v>
      </c>
      <c r="I929" s="5">
        <v>4.7506546503479896</v>
      </c>
      <c r="J929" s="14">
        <v>42379.502314814818</v>
      </c>
      <c r="K929">
        <v>11.59</v>
      </c>
      <c r="L929" s="5">
        <f>('[1]Pizza Sales Calculations'!$J929-'[1]Pizza Sales Calculations'!$C929)*24*60</f>
        <v>23.749999998835847</v>
      </c>
      <c r="M929">
        <f>COUNTA('[1]Pizza Sales Calculations'!$D929:$F929)</f>
        <v>1</v>
      </c>
      <c r="N929">
        <f>IFERROR(VLOOKUP(D929,[1]Parameters!$A$3:$C$5,3,FALSE),0)</f>
        <v>1.7</v>
      </c>
      <c r="O929">
        <f>IFERROR(VLOOKUP(E929,[1]Parameters!$A$3:$C$5,3,FALSE),0)</f>
        <v>0</v>
      </c>
      <c r="P929">
        <f>IFERROR(VLOOKUP(F929,[1]Parameters!$A$3:$C$5,3,FALSE),0)</f>
        <v>0</v>
      </c>
      <c r="Q929">
        <f t="shared" si="14"/>
        <v>1.7</v>
      </c>
      <c r="R929" s="10">
        <f>IF('[1]Pizza Sales Calculations'!$G929=TRUE, [1]Parameters!$B$17*'[1]Pizza Sales Calculations'!$L929*2, 0)</f>
        <v>6.7291666663368233</v>
      </c>
      <c r="S929" t="str">
        <f>IF(I929&lt;[1]Parameters!$B$21,"TRUE","FALSE")</f>
        <v>FALSE</v>
      </c>
      <c r="T929" s="5">
        <f>(I929/[1]Parameters!$B$25)*60</f>
        <v>9.5013093006959792</v>
      </c>
      <c r="U929" s="10">
        <f>IF(AND('[1]Pizza Sales Calculations'!G929=TRUE,'[1]Pizza Sales Calculations'!S929="TRUE"),T929*[1]Parameters!$B$40*2,0)</f>
        <v>0</v>
      </c>
      <c r="V929">
        <f>INDEX([1]Parameters!$A$3:$C$5,MATCH('[1]Pizza Sales Calculations'!D929,[1]Parameters!$A$3:$A$5,0),2)</f>
        <v>10</v>
      </c>
      <c r="W929" t="e">
        <f>INDEX([1]Parameters!$A$3:$C$5,MATCH('[1]Pizza Sales Calculations'!E929,[1]Parameters!$A$3:$A$5,0),2)</f>
        <v>#N/A</v>
      </c>
      <c r="X929" t="e">
        <f>INDEX([1]Parameters!$A$3:$C$5,MATCH('[1]Pizza Sales Calculations'!F929,[1]Parameters!$A$3:$A$5,0),2)</f>
        <v>#N/A</v>
      </c>
    </row>
    <row r="930" spans="1:24" x14ac:dyDescent="0.3">
      <c r="A930">
        <v>929</v>
      </c>
      <c r="B930" s="14">
        <v>42379.572152777779</v>
      </c>
      <c r="C930" s="14">
        <v>42379.58258101852</v>
      </c>
      <c r="D930" t="s">
        <v>5</v>
      </c>
      <c r="G930" t="b">
        <v>1</v>
      </c>
      <c r="H930">
        <v>70806</v>
      </c>
      <c r="I930" s="5">
        <v>3.1023243278382</v>
      </c>
      <c r="J930" s="14">
        <v>42379.593344907407</v>
      </c>
      <c r="K930">
        <v>15.35</v>
      </c>
      <c r="L930" s="5">
        <f>('[1]Pizza Sales Calculations'!$J930-'[1]Pizza Sales Calculations'!$C930)*24*60</f>
        <v>15.499999998137355</v>
      </c>
      <c r="M930">
        <f>COUNTA('[1]Pizza Sales Calculations'!$D930:$F930)</f>
        <v>1</v>
      </c>
      <c r="N930">
        <f>IFERROR(VLOOKUP(D930,[1]Parameters!$A$3:$C$5,3,FALSE),0)</f>
        <v>2.2999999999999998</v>
      </c>
      <c r="O930">
        <f>IFERROR(VLOOKUP(E930,[1]Parameters!$A$3:$C$5,3,FALSE),0)</f>
        <v>0</v>
      </c>
      <c r="P930">
        <f>IFERROR(VLOOKUP(F930,[1]Parameters!$A$3:$C$5,3,FALSE),0)</f>
        <v>0</v>
      </c>
      <c r="Q930">
        <f t="shared" si="14"/>
        <v>2.2999999999999998</v>
      </c>
      <c r="R930" s="10">
        <f>IF('[1]Pizza Sales Calculations'!$G930=TRUE, [1]Parameters!$B$17*'[1]Pizza Sales Calculations'!$L930*2, 0)</f>
        <v>4.3916666661389172</v>
      </c>
      <c r="S930" t="str">
        <f>IF(I930&lt;[1]Parameters!$B$21,"TRUE","FALSE")</f>
        <v>TRUE</v>
      </c>
      <c r="T930" s="5">
        <f>(I930/[1]Parameters!$B$25)*60</f>
        <v>6.2046486556764</v>
      </c>
      <c r="U930" s="10">
        <f>IF(AND('[1]Pizza Sales Calculations'!G930=TRUE,'[1]Pizza Sales Calculations'!S930="TRUE"),T930*[1]Parameters!$B$40*2,0)</f>
        <v>0.38731047557135767</v>
      </c>
      <c r="V930">
        <f>INDEX([1]Parameters!$A$3:$C$5,MATCH('[1]Pizza Sales Calculations'!D930,[1]Parameters!$A$3:$A$5,0),2)</f>
        <v>14</v>
      </c>
      <c r="W930" t="e">
        <f>INDEX([1]Parameters!$A$3:$C$5,MATCH('[1]Pizza Sales Calculations'!E930,[1]Parameters!$A$3:$A$5,0),2)</f>
        <v>#N/A</v>
      </c>
      <c r="X930" t="e">
        <f>INDEX([1]Parameters!$A$3:$C$5,MATCH('[1]Pizza Sales Calculations'!F930,[1]Parameters!$A$3:$A$5,0),2)</f>
        <v>#N/A</v>
      </c>
    </row>
    <row r="931" spans="1:24" x14ac:dyDescent="0.3">
      <c r="A931">
        <v>930</v>
      </c>
      <c r="B931" s="14">
        <v>42379.535543981481</v>
      </c>
      <c r="C931" s="14">
        <v>42379.545949074076</v>
      </c>
      <c r="D931" t="s">
        <v>4</v>
      </c>
      <c r="G931" t="b">
        <v>0</v>
      </c>
      <c r="H931">
        <v>70806</v>
      </c>
      <c r="I931" s="5">
        <v>0</v>
      </c>
      <c r="J931" s="14">
        <v>42379.548032407409</v>
      </c>
      <c r="K931">
        <v>11.59</v>
      </c>
      <c r="L931" s="5">
        <f>('[1]Pizza Sales Calculations'!$J931-'[1]Pizza Sales Calculations'!$C931)*24*60</f>
        <v>2.9999999993015081</v>
      </c>
      <c r="M931">
        <f>COUNTA('[1]Pizza Sales Calculations'!$D931:$F931)</f>
        <v>1</v>
      </c>
      <c r="N931">
        <f>IFERROR(VLOOKUP(D931,[1]Parameters!$A$3:$C$5,3,FALSE),0)</f>
        <v>1.7</v>
      </c>
      <c r="O931">
        <f>IFERROR(VLOOKUP(E931,[1]Parameters!$A$3:$C$5,3,FALSE),0)</f>
        <v>0</v>
      </c>
      <c r="P931">
        <f>IFERROR(VLOOKUP(F931,[1]Parameters!$A$3:$C$5,3,FALSE),0)</f>
        <v>0</v>
      </c>
      <c r="Q931">
        <f t="shared" si="14"/>
        <v>1.7</v>
      </c>
      <c r="R931" s="10">
        <f>IF('[1]Pizza Sales Calculations'!$G931=TRUE, [1]Parameters!$B$17*'[1]Pizza Sales Calculations'!$L931*2, 0)</f>
        <v>0</v>
      </c>
      <c r="S931" t="str">
        <f>IF(I931&lt;[1]Parameters!$B$21,"TRUE","FALSE")</f>
        <v>TRUE</v>
      </c>
      <c r="T931" s="5">
        <f>(I931/[1]Parameters!$B$25)*60</f>
        <v>0</v>
      </c>
      <c r="U931" s="10">
        <f>IF(AND('[1]Pizza Sales Calculations'!G931=TRUE,'[1]Pizza Sales Calculations'!S931="TRUE"),T931*[1]Parameters!$B$40*2,0)</f>
        <v>0</v>
      </c>
      <c r="V931">
        <f>INDEX([1]Parameters!$A$3:$C$5,MATCH('[1]Pizza Sales Calculations'!D931,[1]Parameters!$A$3:$A$5,0),2)</f>
        <v>10</v>
      </c>
      <c r="W931" t="e">
        <f>INDEX([1]Parameters!$A$3:$C$5,MATCH('[1]Pizza Sales Calculations'!E931,[1]Parameters!$A$3:$A$5,0),2)</f>
        <v>#N/A</v>
      </c>
      <c r="X931" t="e">
        <f>INDEX([1]Parameters!$A$3:$C$5,MATCH('[1]Pizza Sales Calculations'!F931,[1]Parameters!$A$3:$A$5,0),2)</f>
        <v>#N/A</v>
      </c>
    </row>
    <row r="932" spans="1:24" x14ac:dyDescent="0.3">
      <c r="A932">
        <v>931</v>
      </c>
      <c r="B932" s="14">
        <v>42379.527430555558</v>
      </c>
      <c r="C932" s="14">
        <v>42379.537824074076</v>
      </c>
      <c r="D932" t="s">
        <v>4</v>
      </c>
      <c r="G932" t="b">
        <v>1</v>
      </c>
      <c r="H932">
        <v>70805</v>
      </c>
      <c r="I932" s="5">
        <v>5.1775428339325202</v>
      </c>
      <c r="J932" s="14">
        <v>42379.555798611109</v>
      </c>
      <c r="K932">
        <v>11.59</v>
      </c>
      <c r="L932" s="5">
        <f>('[1]Pizza Sales Calculations'!$J932-'[1]Pizza Sales Calculations'!$C932)*24*60</f>
        <v>25.883333327947184</v>
      </c>
      <c r="M932">
        <f>COUNTA('[1]Pizza Sales Calculations'!$D932:$F932)</f>
        <v>1</v>
      </c>
      <c r="N932">
        <f>IFERROR(VLOOKUP(D932,[1]Parameters!$A$3:$C$5,3,FALSE),0)</f>
        <v>1.7</v>
      </c>
      <c r="O932">
        <f>IFERROR(VLOOKUP(E932,[1]Parameters!$A$3:$C$5,3,FALSE),0)</f>
        <v>0</v>
      </c>
      <c r="P932">
        <f>IFERROR(VLOOKUP(F932,[1]Parameters!$A$3:$C$5,3,FALSE),0)</f>
        <v>0</v>
      </c>
      <c r="Q932">
        <f t="shared" si="14"/>
        <v>1.7</v>
      </c>
      <c r="R932" s="10">
        <f>IF('[1]Pizza Sales Calculations'!$G932=TRUE, [1]Parameters!$B$17*'[1]Pizza Sales Calculations'!$L932*2, 0)</f>
        <v>7.3336111095850356</v>
      </c>
      <c r="S932" t="str">
        <f>IF(I932&lt;[1]Parameters!$B$21,"TRUE","FALSE")</f>
        <v>FALSE</v>
      </c>
      <c r="T932" s="5">
        <f>(I932/[1]Parameters!$B$25)*60</f>
        <v>10.35508566786504</v>
      </c>
      <c r="U932" s="10">
        <f>IF(AND('[1]Pizza Sales Calculations'!G932=TRUE,'[1]Pizza Sales Calculations'!S932="TRUE"),T932*[1]Parameters!$B$40*2,0)</f>
        <v>0</v>
      </c>
      <c r="V932">
        <f>INDEX([1]Parameters!$A$3:$C$5,MATCH('[1]Pizza Sales Calculations'!D932,[1]Parameters!$A$3:$A$5,0),2)</f>
        <v>10</v>
      </c>
      <c r="W932" t="e">
        <f>INDEX([1]Parameters!$A$3:$C$5,MATCH('[1]Pizza Sales Calculations'!E932,[1]Parameters!$A$3:$A$5,0),2)</f>
        <v>#N/A</v>
      </c>
      <c r="X932" t="e">
        <f>INDEX([1]Parameters!$A$3:$C$5,MATCH('[1]Pizza Sales Calculations'!F932,[1]Parameters!$A$3:$A$5,0),2)</f>
        <v>#N/A</v>
      </c>
    </row>
    <row r="933" spans="1:24" x14ac:dyDescent="0.3">
      <c r="A933">
        <v>932</v>
      </c>
      <c r="B933" s="14">
        <v>42379.532766203702</v>
      </c>
      <c r="C933" s="14">
        <v>42379.543171296296</v>
      </c>
      <c r="D933" t="s">
        <v>3</v>
      </c>
      <c r="G933" t="b">
        <v>1</v>
      </c>
      <c r="H933">
        <v>70803</v>
      </c>
      <c r="I933" s="5">
        <v>3.77398552803729</v>
      </c>
      <c r="J933" s="14">
        <v>42379.556273148148</v>
      </c>
      <c r="K933">
        <v>7.99</v>
      </c>
      <c r="L933" s="5">
        <f>('[1]Pizza Sales Calculations'!$J933-'[1]Pizza Sales Calculations'!$C933)*24*60</f>
        <v>18.866666665999219</v>
      </c>
      <c r="M933">
        <f>COUNTA('[1]Pizza Sales Calculations'!$D933:$F933)</f>
        <v>1</v>
      </c>
      <c r="N933">
        <f>IFERROR(VLOOKUP(D933,[1]Parameters!$A$3:$C$5,3,FALSE),0)</f>
        <v>1</v>
      </c>
      <c r="O933">
        <f>IFERROR(VLOOKUP(E933,[1]Parameters!$A$3:$C$5,3,FALSE),0)</f>
        <v>0</v>
      </c>
      <c r="P933">
        <f>IFERROR(VLOOKUP(F933,[1]Parameters!$A$3:$C$5,3,FALSE),0)</f>
        <v>0</v>
      </c>
      <c r="Q933">
        <f t="shared" si="14"/>
        <v>1</v>
      </c>
      <c r="R933" s="10">
        <f>IF('[1]Pizza Sales Calculations'!$G933=TRUE, [1]Parameters!$B$17*'[1]Pizza Sales Calculations'!$L933*2, 0)</f>
        <v>5.3455555553664453</v>
      </c>
      <c r="S933" t="str">
        <f>IF(I933&lt;[1]Parameters!$B$21,"TRUE","FALSE")</f>
        <v>FALSE</v>
      </c>
      <c r="T933" s="5">
        <f>(I933/[1]Parameters!$B$25)*60</f>
        <v>7.5479710560745801</v>
      </c>
      <c r="U933" s="10">
        <f>IF(AND('[1]Pizza Sales Calculations'!G933=TRUE,'[1]Pizza Sales Calculations'!S933="TRUE"),T933*[1]Parameters!$B$40*2,0)</f>
        <v>0</v>
      </c>
      <c r="V933">
        <f>INDEX([1]Parameters!$A$3:$C$5,MATCH('[1]Pizza Sales Calculations'!D933,[1]Parameters!$A$3:$A$5,0),2)</f>
        <v>7</v>
      </c>
      <c r="W933" t="e">
        <f>INDEX([1]Parameters!$A$3:$C$5,MATCH('[1]Pizza Sales Calculations'!E933,[1]Parameters!$A$3:$A$5,0),2)</f>
        <v>#N/A</v>
      </c>
      <c r="X933" t="e">
        <f>INDEX([1]Parameters!$A$3:$C$5,MATCH('[1]Pizza Sales Calculations'!F933,[1]Parameters!$A$3:$A$5,0),2)</f>
        <v>#N/A</v>
      </c>
    </row>
    <row r="934" spans="1:24" x14ac:dyDescent="0.3">
      <c r="A934">
        <v>933</v>
      </c>
      <c r="B934" s="14">
        <v>42379.489837962959</v>
      </c>
      <c r="C934" s="14">
        <v>42379.500231481485</v>
      </c>
      <c r="D934" t="s">
        <v>3</v>
      </c>
      <c r="G934" t="b">
        <v>0</v>
      </c>
      <c r="H934">
        <v>70806</v>
      </c>
      <c r="I934" s="5">
        <v>0</v>
      </c>
      <c r="J934" s="14">
        <v>42379.502314814818</v>
      </c>
      <c r="K934">
        <v>7.99</v>
      </c>
      <c r="L934" s="5">
        <f>('[1]Pizza Sales Calculations'!$J934-'[1]Pizza Sales Calculations'!$C934)*24*60</f>
        <v>2.9999999993015081</v>
      </c>
      <c r="M934">
        <f>COUNTA('[1]Pizza Sales Calculations'!$D934:$F934)</f>
        <v>1</v>
      </c>
      <c r="N934">
        <f>IFERROR(VLOOKUP(D934,[1]Parameters!$A$3:$C$5,3,FALSE),0)</f>
        <v>1</v>
      </c>
      <c r="O934">
        <f>IFERROR(VLOOKUP(E934,[1]Parameters!$A$3:$C$5,3,FALSE),0)</f>
        <v>0</v>
      </c>
      <c r="P934">
        <f>IFERROR(VLOOKUP(F934,[1]Parameters!$A$3:$C$5,3,FALSE),0)</f>
        <v>0</v>
      </c>
      <c r="Q934">
        <f t="shared" si="14"/>
        <v>1</v>
      </c>
      <c r="R934" s="10">
        <f>IF('[1]Pizza Sales Calculations'!$G934=TRUE, [1]Parameters!$B$17*'[1]Pizza Sales Calculations'!$L934*2, 0)</f>
        <v>0</v>
      </c>
      <c r="S934" t="str">
        <f>IF(I934&lt;[1]Parameters!$B$21,"TRUE","FALSE")</f>
        <v>TRUE</v>
      </c>
      <c r="T934" s="5">
        <f>(I934/[1]Parameters!$B$25)*60</f>
        <v>0</v>
      </c>
      <c r="U934" s="10">
        <f>IF(AND('[1]Pizza Sales Calculations'!G934=TRUE,'[1]Pizza Sales Calculations'!S934="TRUE"),T934*[1]Parameters!$B$40*2,0)</f>
        <v>0</v>
      </c>
      <c r="V934">
        <f>INDEX([1]Parameters!$A$3:$C$5,MATCH('[1]Pizza Sales Calculations'!D934,[1]Parameters!$A$3:$A$5,0),2)</f>
        <v>7</v>
      </c>
      <c r="W934" t="e">
        <f>INDEX([1]Parameters!$A$3:$C$5,MATCH('[1]Pizza Sales Calculations'!E934,[1]Parameters!$A$3:$A$5,0),2)</f>
        <v>#N/A</v>
      </c>
      <c r="X934" t="e">
        <f>INDEX([1]Parameters!$A$3:$C$5,MATCH('[1]Pizza Sales Calculations'!F934,[1]Parameters!$A$3:$A$5,0),2)</f>
        <v>#N/A</v>
      </c>
    </row>
    <row r="935" spans="1:24" x14ac:dyDescent="0.3">
      <c r="A935">
        <v>934</v>
      </c>
      <c r="B935" s="14">
        <v>42379.549895833334</v>
      </c>
      <c r="C935" s="14">
        <v>42379.560312499998</v>
      </c>
      <c r="D935" t="s">
        <v>5</v>
      </c>
      <c r="G935" t="b">
        <v>0</v>
      </c>
      <c r="H935">
        <v>70806</v>
      </c>
      <c r="I935" s="5">
        <v>0</v>
      </c>
      <c r="J935" s="14">
        <v>42379.562407407408</v>
      </c>
      <c r="K935">
        <v>15.35</v>
      </c>
      <c r="L935" s="5">
        <f>('[1]Pizza Sales Calculations'!$J935-'[1]Pizza Sales Calculations'!$C935)*24*60</f>
        <v>3.0166666698642075</v>
      </c>
      <c r="M935">
        <f>COUNTA('[1]Pizza Sales Calculations'!$D935:$F935)</f>
        <v>1</v>
      </c>
      <c r="N935">
        <f>IFERROR(VLOOKUP(D935,[1]Parameters!$A$3:$C$5,3,FALSE),0)</f>
        <v>2.2999999999999998</v>
      </c>
      <c r="O935">
        <f>IFERROR(VLOOKUP(E935,[1]Parameters!$A$3:$C$5,3,FALSE),0)</f>
        <v>0</v>
      </c>
      <c r="P935">
        <f>IFERROR(VLOOKUP(F935,[1]Parameters!$A$3:$C$5,3,FALSE),0)</f>
        <v>0</v>
      </c>
      <c r="Q935">
        <f t="shared" si="14"/>
        <v>2.2999999999999998</v>
      </c>
      <c r="R935" s="10">
        <f>IF('[1]Pizza Sales Calculations'!$G935=TRUE, [1]Parameters!$B$17*'[1]Pizza Sales Calculations'!$L935*2, 0)</f>
        <v>0</v>
      </c>
      <c r="S935" t="str">
        <f>IF(I935&lt;[1]Parameters!$B$21,"TRUE","FALSE")</f>
        <v>TRUE</v>
      </c>
      <c r="T935" s="5">
        <f>(I935/[1]Parameters!$B$25)*60</f>
        <v>0</v>
      </c>
      <c r="U935" s="10">
        <f>IF(AND('[1]Pizza Sales Calculations'!G935=TRUE,'[1]Pizza Sales Calculations'!S935="TRUE"),T935*[1]Parameters!$B$40*2,0)</f>
        <v>0</v>
      </c>
      <c r="V935">
        <f>INDEX([1]Parameters!$A$3:$C$5,MATCH('[1]Pizza Sales Calculations'!D935,[1]Parameters!$A$3:$A$5,0),2)</f>
        <v>14</v>
      </c>
      <c r="W935" t="e">
        <f>INDEX([1]Parameters!$A$3:$C$5,MATCH('[1]Pizza Sales Calculations'!E935,[1]Parameters!$A$3:$A$5,0),2)</f>
        <v>#N/A</v>
      </c>
      <c r="X935" t="e">
        <f>INDEX([1]Parameters!$A$3:$C$5,MATCH('[1]Pizza Sales Calculations'!F935,[1]Parameters!$A$3:$A$5,0),2)</f>
        <v>#N/A</v>
      </c>
    </row>
    <row r="936" spans="1:24" x14ac:dyDescent="0.3">
      <c r="A936">
        <v>935</v>
      </c>
      <c r="B936" s="14">
        <v>42379.582905092589</v>
      </c>
      <c r="C936" s="14">
        <v>42379.593298611115</v>
      </c>
      <c r="D936" t="s">
        <v>5</v>
      </c>
      <c r="G936" t="b">
        <v>0</v>
      </c>
      <c r="H936">
        <v>70806</v>
      </c>
      <c r="I936" s="5">
        <v>0</v>
      </c>
      <c r="J936" s="14">
        <v>42379.595370370371</v>
      </c>
      <c r="K936">
        <v>15.35</v>
      </c>
      <c r="L936" s="5">
        <f>('[1]Pizza Sales Calculations'!$J936-'[1]Pizza Sales Calculations'!$C936)*24*60</f>
        <v>2.9833333287388086</v>
      </c>
      <c r="M936">
        <f>COUNTA('[1]Pizza Sales Calculations'!$D936:$F936)</f>
        <v>1</v>
      </c>
      <c r="N936">
        <f>IFERROR(VLOOKUP(D936,[1]Parameters!$A$3:$C$5,3,FALSE),0)</f>
        <v>2.2999999999999998</v>
      </c>
      <c r="O936">
        <f>IFERROR(VLOOKUP(E936,[1]Parameters!$A$3:$C$5,3,FALSE),0)</f>
        <v>0</v>
      </c>
      <c r="P936">
        <f>IFERROR(VLOOKUP(F936,[1]Parameters!$A$3:$C$5,3,FALSE),0)</f>
        <v>0</v>
      </c>
      <c r="Q936">
        <f t="shared" si="14"/>
        <v>2.2999999999999998</v>
      </c>
      <c r="R936" s="10">
        <f>IF('[1]Pizza Sales Calculations'!$G936=TRUE, [1]Parameters!$B$17*'[1]Pizza Sales Calculations'!$L936*2, 0)</f>
        <v>0</v>
      </c>
      <c r="S936" t="str">
        <f>IF(I936&lt;[1]Parameters!$B$21,"TRUE","FALSE")</f>
        <v>TRUE</v>
      </c>
      <c r="T936" s="5">
        <f>(I936/[1]Parameters!$B$25)*60</f>
        <v>0</v>
      </c>
      <c r="U936" s="10">
        <f>IF(AND('[1]Pizza Sales Calculations'!G936=TRUE,'[1]Pizza Sales Calculations'!S936="TRUE"),T936*[1]Parameters!$B$40*2,0)</f>
        <v>0</v>
      </c>
      <c r="V936">
        <f>INDEX([1]Parameters!$A$3:$C$5,MATCH('[1]Pizza Sales Calculations'!D936,[1]Parameters!$A$3:$A$5,0),2)</f>
        <v>14</v>
      </c>
      <c r="W936" t="e">
        <f>INDEX([1]Parameters!$A$3:$C$5,MATCH('[1]Pizza Sales Calculations'!E936,[1]Parameters!$A$3:$A$5,0),2)</f>
        <v>#N/A</v>
      </c>
      <c r="X936" t="e">
        <f>INDEX([1]Parameters!$A$3:$C$5,MATCH('[1]Pizza Sales Calculations'!F936,[1]Parameters!$A$3:$A$5,0),2)</f>
        <v>#N/A</v>
      </c>
    </row>
    <row r="937" spans="1:24" x14ac:dyDescent="0.3">
      <c r="A937">
        <v>936</v>
      </c>
      <c r="B937" s="14">
        <v>42379.469722222224</v>
      </c>
      <c r="C937" s="14">
        <v>42379.480127314811</v>
      </c>
      <c r="D937" t="s">
        <v>3</v>
      </c>
      <c r="E937" t="s">
        <v>4</v>
      </c>
      <c r="G937" t="b">
        <v>1</v>
      </c>
      <c r="H937">
        <v>70806</v>
      </c>
      <c r="I937" s="5">
        <v>0.96980497349091199</v>
      </c>
      <c r="J937" s="14">
        <v>42379.483483796299</v>
      </c>
      <c r="K937">
        <v>19.579999999999998</v>
      </c>
      <c r="L937" s="5">
        <f>('[1]Pizza Sales Calculations'!$J937-'[1]Pizza Sales Calculations'!$C937)*24*60</f>
        <v>4.8333333421032876</v>
      </c>
      <c r="M937">
        <f>COUNTA('[1]Pizza Sales Calculations'!$D937:$F937)</f>
        <v>2</v>
      </c>
      <c r="N937">
        <f>IFERROR(VLOOKUP(D937,[1]Parameters!$A$3:$C$5,3,FALSE),0)</f>
        <v>1</v>
      </c>
      <c r="O937">
        <f>IFERROR(VLOOKUP(E937,[1]Parameters!$A$3:$C$5,3,FALSE),0)</f>
        <v>1.7</v>
      </c>
      <c r="P937">
        <f>IFERROR(VLOOKUP(F937,[1]Parameters!$A$3:$C$5,3,FALSE),0)</f>
        <v>0</v>
      </c>
      <c r="Q937">
        <f t="shared" si="14"/>
        <v>2.7</v>
      </c>
      <c r="R937" s="10">
        <f>IF('[1]Pizza Sales Calculations'!$G937=TRUE, [1]Parameters!$B$17*'[1]Pizza Sales Calculations'!$L937*2, 0)</f>
        <v>1.3694444469292648</v>
      </c>
      <c r="S937" t="str">
        <f>IF(I937&lt;[1]Parameters!$B$21,"TRUE","FALSE")</f>
        <v>TRUE</v>
      </c>
      <c r="T937" s="5">
        <f>(I937/[1]Parameters!$B$25)*60</f>
        <v>1.9396099469818238</v>
      </c>
      <c r="U937" s="10">
        <f>IF(AND('[1]Pizza Sales Calculations'!G937=TRUE,'[1]Pizza Sales Calculations'!S937="TRUE"),T937*[1]Parameters!$B$40*2,0)</f>
        <v>0.12107555039416983</v>
      </c>
      <c r="V937">
        <f>INDEX([1]Parameters!$A$3:$C$5,MATCH('[1]Pizza Sales Calculations'!D937,[1]Parameters!$A$3:$A$5,0),2)</f>
        <v>7</v>
      </c>
      <c r="W937">
        <f>INDEX([1]Parameters!$A$3:$C$5,MATCH('[1]Pizza Sales Calculations'!E937,[1]Parameters!$A$3:$A$5,0),2)</f>
        <v>10</v>
      </c>
      <c r="X937" t="e">
        <f>INDEX([1]Parameters!$A$3:$C$5,MATCH('[1]Pizza Sales Calculations'!F937,[1]Parameters!$A$3:$A$5,0),2)</f>
        <v>#N/A</v>
      </c>
    </row>
    <row r="938" spans="1:24" x14ac:dyDescent="0.3">
      <c r="A938">
        <v>937</v>
      </c>
      <c r="B938" s="14">
        <v>42379.543900462966</v>
      </c>
      <c r="C938" s="14">
        <v>42379.55431712963</v>
      </c>
      <c r="D938" t="s">
        <v>3</v>
      </c>
      <c r="E938" t="s">
        <v>4</v>
      </c>
      <c r="G938" t="b">
        <v>0</v>
      </c>
      <c r="H938">
        <v>70805</v>
      </c>
      <c r="I938" s="5">
        <v>0</v>
      </c>
      <c r="J938" s="14">
        <v>42379.55641203704</v>
      </c>
      <c r="K938">
        <v>19.579999999999998</v>
      </c>
      <c r="L938" s="5">
        <f>('[1]Pizza Sales Calculations'!$J938-'[1]Pizza Sales Calculations'!$C938)*24*60</f>
        <v>3.0166666698642075</v>
      </c>
      <c r="M938">
        <f>COUNTA('[1]Pizza Sales Calculations'!$D938:$F938)</f>
        <v>2</v>
      </c>
      <c r="N938">
        <f>IFERROR(VLOOKUP(D938,[1]Parameters!$A$3:$C$5,3,FALSE),0)</f>
        <v>1</v>
      </c>
      <c r="O938">
        <f>IFERROR(VLOOKUP(E938,[1]Parameters!$A$3:$C$5,3,FALSE),0)</f>
        <v>1.7</v>
      </c>
      <c r="P938">
        <f>IFERROR(VLOOKUP(F938,[1]Parameters!$A$3:$C$5,3,FALSE),0)</f>
        <v>0</v>
      </c>
      <c r="Q938">
        <f t="shared" si="14"/>
        <v>2.7</v>
      </c>
      <c r="R938" s="10">
        <f>IF('[1]Pizza Sales Calculations'!$G938=TRUE, [1]Parameters!$B$17*'[1]Pizza Sales Calculations'!$L938*2, 0)</f>
        <v>0</v>
      </c>
      <c r="S938" t="str">
        <f>IF(I938&lt;[1]Parameters!$B$21,"TRUE","FALSE")</f>
        <v>TRUE</v>
      </c>
      <c r="T938" s="5">
        <f>(I938/[1]Parameters!$B$25)*60</f>
        <v>0</v>
      </c>
      <c r="U938" s="10">
        <f>IF(AND('[1]Pizza Sales Calculations'!G938=TRUE,'[1]Pizza Sales Calculations'!S938="TRUE"),T938*[1]Parameters!$B$40*2,0)</f>
        <v>0</v>
      </c>
      <c r="V938">
        <f>INDEX([1]Parameters!$A$3:$C$5,MATCH('[1]Pizza Sales Calculations'!D938,[1]Parameters!$A$3:$A$5,0),2)</f>
        <v>7</v>
      </c>
      <c r="W938">
        <f>INDEX([1]Parameters!$A$3:$C$5,MATCH('[1]Pizza Sales Calculations'!E938,[1]Parameters!$A$3:$A$5,0),2)</f>
        <v>10</v>
      </c>
      <c r="X938" t="e">
        <f>INDEX([1]Parameters!$A$3:$C$5,MATCH('[1]Pizza Sales Calculations'!F938,[1]Parameters!$A$3:$A$5,0),2)</f>
        <v>#N/A</v>
      </c>
    </row>
    <row r="939" spans="1:24" x14ac:dyDescent="0.3">
      <c r="A939">
        <v>938</v>
      </c>
      <c r="B939" s="14">
        <v>42379.523263888892</v>
      </c>
      <c r="C939" s="14">
        <v>42379.533692129633</v>
      </c>
      <c r="D939" t="s">
        <v>3</v>
      </c>
      <c r="E939" t="s">
        <v>4</v>
      </c>
      <c r="G939" t="b">
        <v>1</v>
      </c>
      <c r="H939">
        <v>70806</v>
      </c>
      <c r="I939" s="5">
        <v>3.77616396846078</v>
      </c>
      <c r="J939" s="14">
        <v>42379.546793981484</v>
      </c>
      <c r="K939">
        <v>19.579999999999998</v>
      </c>
      <c r="L939" s="5">
        <f>('[1]Pizza Sales Calculations'!$J939-'[1]Pizza Sales Calculations'!$C939)*24*60</f>
        <v>18.866666665999219</v>
      </c>
      <c r="M939">
        <f>COUNTA('[1]Pizza Sales Calculations'!$D939:$F939)</f>
        <v>2</v>
      </c>
      <c r="N939">
        <f>IFERROR(VLOOKUP(D939,[1]Parameters!$A$3:$C$5,3,FALSE),0)</f>
        <v>1</v>
      </c>
      <c r="O939">
        <f>IFERROR(VLOOKUP(E939,[1]Parameters!$A$3:$C$5,3,FALSE),0)</f>
        <v>1.7</v>
      </c>
      <c r="P939">
        <f>IFERROR(VLOOKUP(F939,[1]Parameters!$A$3:$C$5,3,FALSE),0)</f>
        <v>0</v>
      </c>
      <c r="Q939">
        <f t="shared" si="14"/>
        <v>2.7</v>
      </c>
      <c r="R939" s="10">
        <f>IF('[1]Pizza Sales Calculations'!$G939=TRUE, [1]Parameters!$B$17*'[1]Pizza Sales Calculations'!$L939*2, 0)</f>
        <v>5.3455555553664453</v>
      </c>
      <c r="S939" t="str">
        <f>IF(I939&lt;[1]Parameters!$B$21,"TRUE","FALSE")</f>
        <v>FALSE</v>
      </c>
      <c r="T939" s="5">
        <f>(I939/[1]Parameters!$B$25)*60</f>
        <v>7.5523279369215608</v>
      </c>
      <c r="U939" s="10">
        <f>IF(AND('[1]Pizza Sales Calculations'!G939=TRUE,'[1]Pizza Sales Calculations'!S939="TRUE"),T939*[1]Parameters!$B$40*2,0)</f>
        <v>0</v>
      </c>
      <c r="V939">
        <f>INDEX([1]Parameters!$A$3:$C$5,MATCH('[1]Pizza Sales Calculations'!D939,[1]Parameters!$A$3:$A$5,0),2)</f>
        <v>7</v>
      </c>
      <c r="W939">
        <f>INDEX([1]Parameters!$A$3:$C$5,MATCH('[1]Pizza Sales Calculations'!E939,[1]Parameters!$A$3:$A$5,0),2)</f>
        <v>10</v>
      </c>
      <c r="X939" t="e">
        <f>INDEX([1]Parameters!$A$3:$C$5,MATCH('[1]Pizza Sales Calculations'!F939,[1]Parameters!$A$3:$A$5,0),2)</f>
        <v>#N/A</v>
      </c>
    </row>
    <row r="940" spans="1:24" x14ac:dyDescent="0.3">
      <c r="A940">
        <v>939</v>
      </c>
      <c r="B940" s="14">
        <v>42379.472893518519</v>
      </c>
      <c r="C940" s="14">
        <v>42379.483298611114</v>
      </c>
      <c r="D940" t="s">
        <v>4</v>
      </c>
      <c r="G940" t="b">
        <v>1</v>
      </c>
      <c r="H940">
        <v>70805</v>
      </c>
      <c r="I940" s="5">
        <v>4.07464166218438</v>
      </c>
      <c r="J940" s="14">
        <v>42379.497442129628</v>
      </c>
      <c r="K940">
        <v>11.59</v>
      </c>
      <c r="L940" s="5">
        <f>('[1]Pizza Sales Calculations'!$J940-'[1]Pizza Sales Calculations'!$C940)*24*60</f>
        <v>20.366666660411283</v>
      </c>
      <c r="M940">
        <f>COUNTA('[1]Pizza Sales Calculations'!$D940:$F940)</f>
        <v>1</v>
      </c>
      <c r="N940">
        <f>IFERROR(VLOOKUP(D940,[1]Parameters!$A$3:$C$5,3,FALSE),0)</f>
        <v>1.7</v>
      </c>
      <c r="O940">
        <f>IFERROR(VLOOKUP(E940,[1]Parameters!$A$3:$C$5,3,FALSE),0)</f>
        <v>0</v>
      </c>
      <c r="P940">
        <f>IFERROR(VLOOKUP(F940,[1]Parameters!$A$3:$C$5,3,FALSE),0)</f>
        <v>0</v>
      </c>
      <c r="Q940">
        <f t="shared" si="14"/>
        <v>1.7</v>
      </c>
      <c r="R940" s="10">
        <f>IF('[1]Pizza Sales Calculations'!$G940=TRUE, [1]Parameters!$B$17*'[1]Pizza Sales Calculations'!$L940*2, 0)</f>
        <v>5.770555553783197</v>
      </c>
      <c r="S940" t="str">
        <f>IF(I940&lt;[1]Parameters!$B$21,"TRUE","FALSE")</f>
        <v>FALSE</v>
      </c>
      <c r="T940" s="5">
        <f>(I940/[1]Parameters!$B$25)*60</f>
        <v>8.1492833243687599</v>
      </c>
      <c r="U940" s="10">
        <f>IF(AND('[1]Pizza Sales Calculations'!G940=TRUE,'[1]Pizza Sales Calculations'!S940="TRUE"),T940*[1]Parameters!$B$40*2,0)</f>
        <v>0</v>
      </c>
      <c r="V940">
        <f>INDEX([1]Parameters!$A$3:$C$5,MATCH('[1]Pizza Sales Calculations'!D940,[1]Parameters!$A$3:$A$5,0),2)</f>
        <v>10</v>
      </c>
      <c r="W940" t="e">
        <f>INDEX([1]Parameters!$A$3:$C$5,MATCH('[1]Pizza Sales Calculations'!E940,[1]Parameters!$A$3:$A$5,0),2)</f>
        <v>#N/A</v>
      </c>
      <c r="X940" t="e">
        <f>INDEX([1]Parameters!$A$3:$C$5,MATCH('[1]Pizza Sales Calculations'!F940,[1]Parameters!$A$3:$A$5,0),2)</f>
        <v>#N/A</v>
      </c>
    </row>
    <row r="941" spans="1:24" x14ac:dyDescent="0.3">
      <c r="A941">
        <v>940</v>
      </c>
      <c r="B941" s="14">
        <v>42379.616886574076</v>
      </c>
      <c r="C941" s="14">
        <v>42379.627291666664</v>
      </c>
      <c r="D941" t="s">
        <v>3</v>
      </c>
      <c r="G941" t="b">
        <v>0</v>
      </c>
      <c r="H941">
        <v>70806</v>
      </c>
      <c r="I941" s="5">
        <v>0</v>
      </c>
      <c r="J941" s="14">
        <v>42379.629340277781</v>
      </c>
      <c r="K941">
        <v>7.99</v>
      </c>
      <c r="L941" s="5">
        <f>('[1]Pizza Sales Calculations'!$J941-'[1]Pizza Sales Calculations'!$C941)*24*60</f>
        <v>2.9500000085681677</v>
      </c>
      <c r="M941">
        <f>COUNTA('[1]Pizza Sales Calculations'!$D941:$F941)</f>
        <v>1</v>
      </c>
      <c r="N941">
        <f>IFERROR(VLOOKUP(D941,[1]Parameters!$A$3:$C$5,3,FALSE),0)</f>
        <v>1</v>
      </c>
      <c r="O941">
        <f>IFERROR(VLOOKUP(E941,[1]Parameters!$A$3:$C$5,3,FALSE),0)</f>
        <v>0</v>
      </c>
      <c r="P941">
        <f>IFERROR(VLOOKUP(F941,[1]Parameters!$A$3:$C$5,3,FALSE),0)</f>
        <v>0</v>
      </c>
      <c r="Q941">
        <f t="shared" si="14"/>
        <v>1</v>
      </c>
      <c r="R941" s="10">
        <f>IF('[1]Pizza Sales Calculations'!$G941=TRUE, [1]Parameters!$B$17*'[1]Pizza Sales Calculations'!$L941*2, 0)</f>
        <v>0</v>
      </c>
      <c r="S941" t="str">
        <f>IF(I941&lt;[1]Parameters!$B$21,"TRUE","FALSE")</f>
        <v>TRUE</v>
      </c>
      <c r="T941" s="5">
        <f>(I941/[1]Parameters!$B$25)*60</f>
        <v>0</v>
      </c>
      <c r="U941" s="10">
        <f>IF(AND('[1]Pizza Sales Calculations'!G941=TRUE,'[1]Pizza Sales Calculations'!S941="TRUE"),T941*[1]Parameters!$B$40*2,0)</f>
        <v>0</v>
      </c>
      <c r="V941">
        <f>INDEX([1]Parameters!$A$3:$C$5,MATCH('[1]Pizza Sales Calculations'!D941,[1]Parameters!$A$3:$A$5,0),2)</f>
        <v>7</v>
      </c>
      <c r="W941" t="e">
        <f>INDEX([1]Parameters!$A$3:$C$5,MATCH('[1]Pizza Sales Calculations'!E941,[1]Parameters!$A$3:$A$5,0),2)</f>
        <v>#N/A</v>
      </c>
      <c r="X941" t="e">
        <f>INDEX([1]Parameters!$A$3:$C$5,MATCH('[1]Pizza Sales Calculations'!F941,[1]Parameters!$A$3:$A$5,0),2)</f>
        <v>#N/A</v>
      </c>
    </row>
    <row r="942" spans="1:24" x14ac:dyDescent="0.3">
      <c r="A942">
        <v>941</v>
      </c>
      <c r="B942" s="14">
        <v>42379.464201388888</v>
      </c>
      <c r="C942" s="14">
        <v>42379.474618055552</v>
      </c>
      <c r="D942" t="s">
        <v>3</v>
      </c>
      <c r="E942" t="s">
        <v>4</v>
      </c>
      <c r="G942" t="b">
        <v>0</v>
      </c>
      <c r="H942">
        <v>70808</v>
      </c>
      <c r="I942" s="5">
        <v>0</v>
      </c>
      <c r="J942" s="14">
        <v>42379.476689814815</v>
      </c>
      <c r="K942">
        <v>19.579999999999998</v>
      </c>
      <c r="L942" s="5">
        <f>('[1]Pizza Sales Calculations'!$J942-'[1]Pizza Sales Calculations'!$C942)*24*60</f>
        <v>2.9833333392161876</v>
      </c>
      <c r="M942">
        <f>COUNTA('[1]Pizza Sales Calculations'!$D942:$F942)</f>
        <v>2</v>
      </c>
      <c r="N942">
        <f>IFERROR(VLOOKUP(D942,[1]Parameters!$A$3:$C$5,3,FALSE),0)</f>
        <v>1</v>
      </c>
      <c r="O942">
        <f>IFERROR(VLOOKUP(E942,[1]Parameters!$A$3:$C$5,3,FALSE),0)</f>
        <v>1.7</v>
      </c>
      <c r="P942">
        <f>IFERROR(VLOOKUP(F942,[1]Parameters!$A$3:$C$5,3,FALSE),0)</f>
        <v>0</v>
      </c>
      <c r="Q942">
        <f t="shared" si="14"/>
        <v>2.7</v>
      </c>
      <c r="R942" s="10">
        <f>IF('[1]Pizza Sales Calculations'!$G942=TRUE, [1]Parameters!$B$17*'[1]Pizza Sales Calculations'!$L942*2, 0)</f>
        <v>0</v>
      </c>
      <c r="S942" t="str">
        <f>IF(I942&lt;[1]Parameters!$B$21,"TRUE","FALSE")</f>
        <v>TRUE</v>
      </c>
      <c r="T942" s="5">
        <f>(I942/[1]Parameters!$B$25)*60</f>
        <v>0</v>
      </c>
      <c r="U942" s="10">
        <f>IF(AND('[1]Pizza Sales Calculations'!G942=TRUE,'[1]Pizza Sales Calculations'!S942="TRUE"),T942*[1]Parameters!$B$40*2,0)</f>
        <v>0</v>
      </c>
      <c r="V942">
        <f>INDEX([1]Parameters!$A$3:$C$5,MATCH('[1]Pizza Sales Calculations'!D942,[1]Parameters!$A$3:$A$5,0),2)</f>
        <v>7</v>
      </c>
      <c r="W942">
        <f>INDEX([1]Parameters!$A$3:$C$5,MATCH('[1]Pizza Sales Calculations'!E942,[1]Parameters!$A$3:$A$5,0),2)</f>
        <v>10</v>
      </c>
      <c r="X942" t="e">
        <f>INDEX([1]Parameters!$A$3:$C$5,MATCH('[1]Pizza Sales Calculations'!F942,[1]Parameters!$A$3:$A$5,0),2)</f>
        <v>#N/A</v>
      </c>
    </row>
    <row r="943" spans="1:24" x14ac:dyDescent="0.3">
      <c r="A943">
        <v>942</v>
      </c>
      <c r="B943" s="14">
        <v>42379.519687499997</v>
      </c>
      <c r="C943" s="14">
        <v>42379.530092592591</v>
      </c>
      <c r="D943" t="s">
        <v>3</v>
      </c>
      <c r="E943" t="s">
        <v>4</v>
      </c>
      <c r="G943" t="b">
        <v>1</v>
      </c>
      <c r="H943">
        <v>70804</v>
      </c>
      <c r="I943" s="5">
        <v>1.7857933280786999</v>
      </c>
      <c r="J943" s="14">
        <v>42379.53628472222</v>
      </c>
      <c r="K943">
        <v>19.579999999999998</v>
      </c>
      <c r="L943" s="5">
        <f>('[1]Pizza Sales Calculations'!$J943-'[1]Pizza Sales Calculations'!$C943)*24*60</f>
        <v>8.916666666045785</v>
      </c>
      <c r="M943">
        <f>COUNTA('[1]Pizza Sales Calculations'!$D943:$F943)</f>
        <v>2</v>
      </c>
      <c r="N943">
        <f>IFERROR(VLOOKUP(D943,[1]Parameters!$A$3:$C$5,3,FALSE),0)</f>
        <v>1</v>
      </c>
      <c r="O943">
        <f>IFERROR(VLOOKUP(E943,[1]Parameters!$A$3:$C$5,3,FALSE),0)</f>
        <v>1.7</v>
      </c>
      <c r="P943">
        <f>IFERROR(VLOOKUP(F943,[1]Parameters!$A$3:$C$5,3,FALSE),0)</f>
        <v>0</v>
      </c>
      <c r="Q943">
        <f t="shared" si="14"/>
        <v>2.7</v>
      </c>
      <c r="R943" s="10">
        <f>IF('[1]Pizza Sales Calculations'!$G943=TRUE, [1]Parameters!$B$17*'[1]Pizza Sales Calculations'!$L943*2, 0)</f>
        <v>2.5263888887129724</v>
      </c>
      <c r="S943" t="str">
        <f>IF(I943&lt;[1]Parameters!$B$21,"TRUE","FALSE")</f>
        <v>TRUE</v>
      </c>
      <c r="T943" s="5">
        <f>(I943/[1]Parameters!$B$25)*60</f>
        <v>3.5715866561573999</v>
      </c>
      <c r="U943" s="10">
        <f>IF(AND('[1]Pizza Sales Calculations'!G943=TRUE,'[1]Pizza Sales Calculations'!S943="TRUE"),T943*[1]Parameters!$B$40*2,0)</f>
        <v>0.2229478255912358</v>
      </c>
      <c r="V943">
        <f>INDEX([1]Parameters!$A$3:$C$5,MATCH('[1]Pizza Sales Calculations'!D943,[1]Parameters!$A$3:$A$5,0),2)</f>
        <v>7</v>
      </c>
      <c r="W943">
        <f>INDEX([1]Parameters!$A$3:$C$5,MATCH('[1]Pizza Sales Calculations'!E943,[1]Parameters!$A$3:$A$5,0),2)</f>
        <v>10</v>
      </c>
      <c r="X943" t="e">
        <f>INDEX([1]Parameters!$A$3:$C$5,MATCH('[1]Pizza Sales Calculations'!F943,[1]Parameters!$A$3:$A$5,0),2)</f>
        <v>#N/A</v>
      </c>
    </row>
    <row r="944" spans="1:24" x14ac:dyDescent="0.3">
      <c r="A944">
        <v>943</v>
      </c>
      <c r="B944" s="14">
        <v>42379.436261574076</v>
      </c>
      <c r="C944" s="14">
        <v>42379.44667824074</v>
      </c>
      <c r="D944" t="s">
        <v>3</v>
      </c>
      <c r="E944" t="s">
        <v>4</v>
      </c>
      <c r="G944" t="b">
        <v>1</v>
      </c>
      <c r="H944">
        <v>70805</v>
      </c>
      <c r="I944" s="5">
        <v>4.9406293825716396</v>
      </c>
      <c r="J944" s="14">
        <v>42379.463831018518</v>
      </c>
      <c r="K944">
        <v>19.579999999999998</v>
      </c>
      <c r="L944" s="5">
        <f>('[1]Pizza Sales Calculations'!$J944-'[1]Pizza Sales Calculations'!$C944)*24*60</f>
        <v>24.700000000884756</v>
      </c>
      <c r="M944">
        <f>COUNTA('[1]Pizza Sales Calculations'!$D944:$F944)</f>
        <v>2</v>
      </c>
      <c r="N944">
        <f>IFERROR(VLOOKUP(D944,[1]Parameters!$A$3:$C$5,3,FALSE),0)</f>
        <v>1</v>
      </c>
      <c r="O944">
        <f>IFERROR(VLOOKUP(E944,[1]Parameters!$A$3:$C$5,3,FALSE),0)</f>
        <v>1.7</v>
      </c>
      <c r="P944">
        <f>IFERROR(VLOOKUP(F944,[1]Parameters!$A$3:$C$5,3,FALSE),0)</f>
        <v>0</v>
      </c>
      <c r="Q944">
        <f t="shared" si="14"/>
        <v>2.7</v>
      </c>
      <c r="R944" s="10">
        <f>IF('[1]Pizza Sales Calculations'!$G944=TRUE, [1]Parameters!$B$17*'[1]Pizza Sales Calculations'!$L944*2, 0)</f>
        <v>6.9983333335840143</v>
      </c>
      <c r="S944" t="str">
        <f>IF(I944&lt;[1]Parameters!$B$21,"TRUE","FALSE")</f>
        <v>FALSE</v>
      </c>
      <c r="T944" s="5">
        <f>(I944/[1]Parameters!$B$25)*60</f>
        <v>9.8812587651432793</v>
      </c>
      <c r="U944" s="10">
        <f>IF(AND('[1]Pizza Sales Calculations'!G944=TRUE,'[1]Pizza Sales Calculations'!S944="TRUE"),T944*[1]Parameters!$B$40*2,0)</f>
        <v>0</v>
      </c>
      <c r="V944">
        <f>INDEX([1]Parameters!$A$3:$C$5,MATCH('[1]Pizza Sales Calculations'!D944,[1]Parameters!$A$3:$A$5,0),2)</f>
        <v>7</v>
      </c>
      <c r="W944">
        <f>INDEX([1]Parameters!$A$3:$C$5,MATCH('[1]Pizza Sales Calculations'!E944,[1]Parameters!$A$3:$A$5,0),2)</f>
        <v>10</v>
      </c>
      <c r="X944" t="e">
        <f>INDEX([1]Parameters!$A$3:$C$5,MATCH('[1]Pizza Sales Calculations'!F944,[1]Parameters!$A$3:$A$5,0),2)</f>
        <v>#N/A</v>
      </c>
    </row>
    <row r="945" spans="1:24" x14ac:dyDescent="0.3">
      <c r="A945">
        <v>944</v>
      </c>
      <c r="B945" s="14">
        <v>42379.52002314815</v>
      </c>
      <c r="C945" s="14">
        <v>42379.530428240738</v>
      </c>
      <c r="D945" t="s">
        <v>3</v>
      </c>
      <c r="E945" t="s">
        <v>5</v>
      </c>
      <c r="G945" t="b">
        <v>0</v>
      </c>
      <c r="H945">
        <v>70803</v>
      </c>
      <c r="I945" s="5">
        <v>0</v>
      </c>
      <c r="J945" s="14">
        <v>42379.532511574071</v>
      </c>
      <c r="K945">
        <v>23.34</v>
      </c>
      <c r="L945" s="5">
        <f>('[1]Pizza Sales Calculations'!$J945-'[1]Pizza Sales Calculations'!$C945)*24*60</f>
        <v>2.9999999993015081</v>
      </c>
      <c r="M945">
        <f>COUNTA('[1]Pizza Sales Calculations'!$D945:$F945)</f>
        <v>2</v>
      </c>
      <c r="N945">
        <f>IFERROR(VLOOKUP(D945,[1]Parameters!$A$3:$C$5,3,FALSE),0)</f>
        <v>1</v>
      </c>
      <c r="O945">
        <f>IFERROR(VLOOKUP(E945,[1]Parameters!$A$3:$C$5,3,FALSE),0)</f>
        <v>2.2999999999999998</v>
      </c>
      <c r="P945">
        <f>IFERROR(VLOOKUP(F945,[1]Parameters!$A$3:$C$5,3,FALSE),0)</f>
        <v>0</v>
      </c>
      <c r="Q945">
        <f t="shared" si="14"/>
        <v>3.3</v>
      </c>
      <c r="R945" s="10">
        <f>IF('[1]Pizza Sales Calculations'!$G945=TRUE, [1]Parameters!$B$17*'[1]Pizza Sales Calculations'!$L945*2, 0)</f>
        <v>0</v>
      </c>
      <c r="S945" t="str">
        <f>IF(I945&lt;[1]Parameters!$B$21,"TRUE","FALSE")</f>
        <v>TRUE</v>
      </c>
      <c r="T945" s="5">
        <f>(I945/[1]Parameters!$B$25)*60</f>
        <v>0</v>
      </c>
      <c r="U945" s="10">
        <f>IF(AND('[1]Pizza Sales Calculations'!G945=TRUE,'[1]Pizza Sales Calculations'!S945="TRUE"),T945*[1]Parameters!$B$40*2,0)</f>
        <v>0</v>
      </c>
      <c r="V945">
        <f>INDEX([1]Parameters!$A$3:$C$5,MATCH('[1]Pizza Sales Calculations'!D945,[1]Parameters!$A$3:$A$5,0),2)</f>
        <v>7</v>
      </c>
      <c r="W945">
        <f>INDEX([1]Parameters!$A$3:$C$5,MATCH('[1]Pizza Sales Calculations'!E945,[1]Parameters!$A$3:$A$5,0),2)</f>
        <v>14</v>
      </c>
      <c r="X945" t="e">
        <f>INDEX([1]Parameters!$A$3:$C$5,MATCH('[1]Pizza Sales Calculations'!F945,[1]Parameters!$A$3:$A$5,0),2)</f>
        <v>#N/A</v>
      </c>
    </row>
    <row r="946" spans="1:24" x14ac:dyDescent="0.3">
      <c r="A946">
        <v>945</v>
      </c>
      <c r="B946" s="14">
        <v>42379.591504629629</v>
      </c>
      <c r="C946" s="14">
        <v>42379.601956018516</v>
      </c>
      <c r="D946" t="s">
        <v>3</v>
      </c>
      <c r="G946" t="b">
        <v>1</v>
      </c>
      <c r="H946">
        <v>70804</v>
      </c>
      <c r="I946" s="5">
        <v>4.95042246420119</v>
      </c>
      <c r="J946" s="14">
        <v>42379.619143518517</v>
      </c>
      <c r="K946">
        <v>7.99</v>
      </c>
      <c r="L946" s="5">
        <f>('[1]Pizza Sales Calculations'!$J946-'[1]Pizza Sales Calculations'!$C946)*24*60</f>
        <v>24.750000002095476</v>
      </c>
      <c r="M946">
        <f>COUNTA('[1]Pizza Sales Calculations'!$D946:$F946)</f>
        <v>1</v>
      </c>
      <c r="N946">
        <f>IFERROR(VLOOKUP(D946,[1]Parameters!$A$3:$C$5,3,FALSE),0)</f>
        <v>1</v>
      </c>
      <c r="O946">
        <f>IFERROR(VLOOKUP(E946,[1]Parameters!$A$3:$C$5,3,FALSE),0)</f>
        <v>0</v>
      </c>
      <c r="P946">
        <f>IFERROR(VLOOKUP(F946,[1]Parameters!$A$3:$C$5,3,FALSE),0)</f>
        <v>0</v>
      </c>
      <c r="Q946">
        <f t="shared" si="14"/>
        <v>1</v>
      </c>
      <c r="R946" s="10">
        <f>IF('[1]Pizza Sales Calculations'!$G946=TRUE, [1]Parameters!$B$17*'[1]Pizza Sales Calculations'!$L946*2, 0)</f>
        <v>7.0125000005937181</v>
      </c>
      <c r="S946" t="str">
        <f>IF(I946&lt;[1]Parameters!$B$21,"TRUE","FALSE")</f>
        <v>FALSE</v>
      </c>
      <c r="T946" s="5">
        <f>(I946/[1]Parameters!$B$25)*60</f>
        <v>9.9008449284023801</v>
      </c>
      <c r="U946" s="10">
        <f>IF(AND('[1]Pizza Sales Calculations'!G946=TRUE,'[1]Pizza Sales Calculations'!S946="TRUE"),T946*[1]Parameters!$B$40*2,0)</f>
        <v>0</v>
      </c>
      <c r="V946">
        <f>INDEX([1]Parameters!$A$3:$C$5,MATCH('[1]Pizza Sales Calculations'!D946,[1]Parameters!$A$3:$A$5,0),2)</f>
        <v>7</v>
      </c>
      <c r="W946" t="e">
        <f>INDEX([1]Parameters!$A$3:$C$5,MATCH('[1]Pizza Sales Calculations'!E946,[1]Parameters!$A$3:$A$5,0),2)</f>
        <v>#N/A</v>
      </c>
      <c r="X946" t="e">
        <f>INDEX([1]Parameters!$A$3:$C$5,MATCH('[1]Pizza Sales Calculations'!F946,[1]Parameters!$A$3:$A$5,0),2)</f>
        <v>#N/A</v>
      </c>
    </row>
    <row r="947" spans="1:24" x14ac:dyDescent="0.3">
      <c r="A947">
        <v>946</v>
      </c>
      <c r="B947" s="14">
        <v>42379.516273148147</v>
      </c>
      <c r="C947" s="14">
        <v>42379.526689814818</v>
      </c>
      <c r="D947" t="s">
        <v>3</v>
      </c>
      <c r="E947" t="s">
        <v>4</v>
      </c>
      <c r="G947" t="b">
        <v>1</v>
      </c>
      <c r="H947">
        <v>70805</v>
      </c>
      <c r="I947" s="5">
        <v>1.8818063061553101</v>
      </c>
      <c r="J947" s="14">
        <v>42379.533217592594</v>
      </c>
      <c r="K947">
        <v>19.579999999999998</v>
      </c>
      <c r="L947" s="5">
        <f>('[1]Pizza Sales Calculations'!$J947-'[1]Pizza Sales Calculations'!$C947)*24*60</f>
        <v>9.3999999971129</v>
      </c>
      <c r="M947">
        <f>COUNTA('[1]Pizza Sales Calculations'!$D947:$F947)</f>
        <v>2</v>
      </c>
      <c r="N947">
        <f>IFERROR(VLOOKUP(D947,[1]Parameters!$A$3:$C$5,3,FALSE),0)</f>
        <v>1</v>
      </c>
      <c r="O947">
        <f>IFERROR(VLOOKUP(E947,[1]Parameters!$A$3:$C$5,3,FALSE),0)</f>
        <v>1.7</v>
      </c>
      <c r="P947">
        <f>IFERROR(VLOOKUP(F947,[1]Parameters!$A$3:$C$5,3,FALSE),0)</f>
        <v>0</v>
      </c>
      <c r="Q947">
        <f t="shared" si="14"/>
        <v>2.7</v>
      </c>
      <c r="R947" s="10">
        <f>IF('[1]Pizza Sales Calculations'!$G947=TRUE, [1]Parameters!$B$17*'[1]Pizza Sales Calculations'!$L947*2, 0)</f>
        <v>2.6633333325153217</v>
      </c>
      <c r="S947" t="str">
        <f>IF(I947&lt;[1]Parameters!$B$21,"TRUE","FALSE")</f>
        <v>TRUE</v>
      </c>
      <c r="T947" s="5">
        <f>(I947/[1]Parameters!$B$25)*60</f>
        <v>3.7636126123106202</v>
      </c>
      <c r="U947" s="10">
        <f>IF(AND('[1]Pizza Sales Calculations'!G947=TRUE,'[1]Pizza Sales Calculations'!S947="TRUE"),T947*[1]Parameters!$B$40*2,0)</f>
        <v>0.23493459043918682</v>
      </c>
      <c r="V947">
        <f>INDEX([1]Parameters!$A$3:$C$5,MATCH('[1]Pizza Sales Calculations'!D947,[1]Parameters!$A$3:$A$5,0),2)</f>
        <v>7</v>
      </c>
      <c r="W947">
        <f>INDEX([1]Parameters!$A$3:$C$5,MATCH('[1]Pizza Sales Calculations'!E947,[1]Parameters!$A$3:$A$5,0),2)</f>
        <v>10</v>
      </c>
      <c r="X947" t="e">
        <f>INDEX([1]Parameters!$A$3:$C$5,MATCH('[1]Pizza Sales Calculations'!F947,[1]Parameters!$A$3:$A$5,0),2)</f>
        <v>#N/A</v>
      </c>
    </row>
    <row r="948" spans="1:24" x14ac:dyDescent="0.3">
      <c r="A948">
        <v>947</v>
      </c>
      <c r="B948" s="14">
        <v>42379.529317129629</v>
      </c>
      <c r="C948" s="14">
        <v>42379.539722222224</v>
      </c>
      <c r="D948" t="s">
        <v>4</v>
      </c>
      <c r="G948" t="b">
        <v>1</v>
      </c>
      <c r="H948">
        <v>70803</v>
      </c>
      <c r="I948" s="5">
        <v>4.5330480230164003</v>
      </c>
      <c r="J948" s="14">
        <v>42379.555451388886</v>
      </c>
      <c r="K948">
        <v>11.59</v>
      </c>
      <c r="L948" s="5">
        <f>('[1]Pizza Sales Calculations'!$J948-'[1]Pizza Sales Calculations'!$C948)*24*60</f>
        <v>22.649999993154779</v>
      </c>
      <c r="M948">
        <f>COUNTA('[1]Pizza Sales Calculations'!$D948:$F948)</f>
        <v>1</v>
      </c>
      <c r="N948">
        <f>IFERROR(VLOOKUP(D948,[1]Parameters!$A$3:$C$5,3,FALSE),0)</f>
        <v>1.7</v>
      </c>
      <c r="O948">
        <f>IFERROR(VLOOKUP(E948,[1]Parameters!$A$3:$C$5,3,FALSE),0)</f>
        <v>0</v>
      </c>
      <c r="P948">
        <f>IFERROR(VLOOKUP(F948,[1]Parameters!$A$3:$C$5,3,FALSE),0)</f>
        <v>0</v>
      </c>
      <c r="Q948">
        <f t="shared" si="14"/>
        <v>1.7</v>
      </c>
      <c r="R948" s="10">
        <f>IF('[1]Pizza Sales Calculations'!$G948=TRUE, [1]Parameters!$B$17*'[1]Pizza Sales Calculations'!$L948*2, 0)</f>
        <v>6.4174999980605207</v>
      </c>
      <c r="S948" t="str">
        <f>IF(I948&lt;[1]Parameters!$B$21,"TRUE","FALSE")</f>
        <v>FALSE</v>
      </c>
      <c r="T948" s="5">
        <f>(I948/[1]Parameters!$B$25)*60</f>
        <v>9.0660960460328006</v>
      </c>
      <c r="U948" s="10">
        <f>IF(AND('[1]Pizza Sales Calculations'!G948=TRUE,'[1]Pizza Sales Calculations'!S948="TRUE"),T948*[1]Parameters!$B$40*2,0)</f>
        <v>0</v>
      </c>
      <c r="V948">
        <f>INDEX([1]Parameters!$A$3:$C$5,MATCH('[1]Pizza Sales Calculations'!D948,[1]Parameters!$A$3:$A$5,0),2)</f>
        <v>10</v>
      </c>
      <c r="W948" t="e">
        <f>INDEX([1]Parameters!$A$3:$C$5,MATCH('[1]Pizza Sales Calculations'!E948,[1]Parameters!$A$3:$A$5,0),2)</f>
        <v>#N/A</v>
      </c>
      <c r="X948" t="e">
        <f>INDEX([1]Parameters!$A$3:$C$5,MATCH('[1]Pizza Sales Calculations'!F948,[1]Parameters!$A$3:$A$5,0),2)</f>
        <v>#N/A</v>
      </c>
    </row>
    <row r="949" spans="1:24" x14ac:dyDescent="0.3">
      <c r="A949">
        <v>948</v>
      </c>
      <c r="B949" s="14">
        <v>42379.495347222219</v>
      </c>
      <c r="C949" s="14">
        <v>42379.50577546296</v>
      </c>
      <c r="D949" t="s">
        <v>4</v>
      </c>
      <c r="G949" t="b">
        <v>1</v>
      </c>
      <c r="H949">
        <v>70805</v>
      </c>
      <c r="I949" s="5">
        <v>1.70168758641454</v>
      </c>
      <c r="J949" s="14">
        <v>42379.511678240742</v>
      </c>
      <c r="K949">
        <v>11.59</v>
      </c>
      <c r="L949" s="5">
        <f>('[1]Pizza Sales Calculations'!$J949-'[1]Pizza Sales Calculations'!$C949)*24*60</f>
        <v>8.5000000067520887</v>
      </c>
      <c r="M949">
        <f>COUNTA('[1]Pizza Sales Calculations'!$D949:$F949)</f>
        <v>1</v>
      </c>
      <c r="N949">
        <f>IFERROR(VLOOKUP(D949,[1]Parameters!$A$3:$C$5,3,FALSE),0)</f>
        <v>1.7</v>
      </c>
      <c r="O949">
        <f>IFERROR(VLOOKUP(E949,[1]Parameters!$A$3:$C$5,3,FALSE),0)</f>
        <v>0</v>
      </c>
      <c r="P949">
        <f>IFERROR(VLOOKUP(F949,[1]Parameters!$A$3:$C$5,3,FALSE),0)</f>
        <v>0</v>
      </c>
      <c r="Q949">
        <f t="shared" si="14"/>
        <v>1.7</v>
      </c>
      <c r="R949" s="10">
        <f>IF('[1]Pizza Sales Calculations'!$G949=TRUE, [1]Parameters!$B$17*'[1]Pizza Sales Calculations'!$L949*2, 0)</f>
        <v>2.4083333352464251</v>
      </c>
      <c r="S949" t="str">
        <f>IF(I949&lt;[1]Parameters!$B$21,"TRUE","FALSE")</f>
        <v>TRUE</v>
      </c>
      <c r="T949" s="5">
        <f>(I949/[1]Parameters!$B$25)*60</f>
        <v>3.40337517282908</v>
      </c>
      <c r="U949" s="10">
        <f>IF(AND('[1]Pizza Sales Calculations'!G949=TRUE,'[1]Pizza Sales Calculations'!S949="TRUE"),T949*[1]Parameters!$B$40*2,0)</f>
        <v>0.2124476227240111</v>
      </c>
      <c r="V949">
        <f>INDEX([1]Parameters!$A$3:$C$5,MATCH('[1]Pizza Sales Calculations'!D949,[1]Parameters!$A$3:$A$5,0),2)</f>
        <v>10</v>
      </c>
      <c r="W949" t="e">
        <f>INDEX([1]Parameters!$A$3:$C$5,MATCH('[1]Pizza Sales Calculations'!E949,[1]Parameters!$A$3:$A$5,0),2)</f>
        <v>#N/A</v>
      </c>
      <c r="X949" t="e">
        <f>INDEX([1]Parameters!$A$3:$C$5,MATCH('[1]Pizza Sales Calculations'!F949,[1]Parameters!$A$3:$A$5,0),2)</f>
        <v>#N/A</v>
      </c>
    </row>
    <row r="950" spans="1:24" x14ac:dyDescent="0.3">
      <c r="A950">
        <v>949</v>
      </c>
      <c r="B950" s="14">
        <v>42379.459155092591</v>
      </c>
      <c r="C950" s="14">
        <v>42379.469560185185</v>
      </c>
      <c r="D950" t="s">
        <v>5</v>
      </c>
      <c r="G950" t="b">
        <v>0</v>
      </c>
      <c r="H950">
        <v>70805</v>
      </c>
      <c r="I950" s="5">
        <v>0</v>
      </c>
      <c r="J950" s="14">
        <v>42379.471631944441</v>
      </c>
      <c r="K950">
        <v>15.35</v>
      </c>
      <c r="L950" s="5">
        <f>('[1]Pizza Sales Calculations'!$J950-'[1]Pizza Sales Calculations'!$C950)*24*60</f>
        <v>2.9833333287388086</v>
      </c>
      <c r="M950">
        <f>COUNTA('[1]Pizza Sales Calculations'!$D950:$F950)</f>
        <v>1</v>
      </c>
      <c r="N950">
        <f>IFERROR(VLOOKUP(D950,[1]Parameters!$A$3:$C$5,3,FALSE),0)</f>
        <v>2.2999999999999998</v>
      </c>
      <c r="O950">
        <f>IFERROR(VLOOKUP(E950,[1]Parameters!$A$3:$C$5,3,FALSE),0)</f>
        <v>0</v>
      </c>
      <c r="P950">
        <f>IFERROR(VLOOKUP(F950,[1]Parameters!$A$3:$C$5,3,FALSE),0)</f>
        <v>0</v>
      </c>
      <c r="Q950">
        <f t="shared" si="14"/>
        <v>2.2999999999999998</v>
      </c>
      <c r="R950" s="10">
        <f>IF('[1]Pizza Sales Calculations'!$G950=TRUE, [1]Parameters!$B$17*'[1]Pizza Sales Calculations'!$L950*2, 0)</f>
        <v>0</v>
      </c>
      <c r="S950" t="str">
        <f>IF(I950&lt;[1]Parameters!$B$21,"TRUE","FALSE")</f>
        <v>TRUE</v>
      </c>
      <c r="T950" s="5">
        <f>(I950/[1]Parameters!$B$25)*60</f>
        <v>0</v>
      </c>
      <c r="U950" s="10">
        <f>IF(AND('[1]Pizza Sales Calculations'!G950=TRUE,'[1]Pizza Sales Calculations'!S950="TRUE"),T950*[1]Parameters!$B$40*2,0)</f>
        <v>0</v>
      </c>
      <c r="V950">
        <f>INDEX([1]Parameters!$A$3:$C$5,MATCH('[1]Pizza Sales Calculations'!D950,[1]Parameters!$A$3:$A$5,0),2)</f>
        <v>14</v>
      </c>
      <c r="W950" t="e">
        <f>INDEX([1]Parameters!$A$3:$C$5,MATCH('[1]Pizza Sales Calculations'!E950,[1]Parameters!$A$3:$A$5,0),2)</f>
        <v>#N/A</v>
      </c>
      <c r="X950" t="e">
        <f>INDEX([1]Parameters!$A$3:$C$5,MATCH('[1]Pizza Sales Calculations'!F950,[1]Parameters!$A$3:$A$5,0),2)</f>
        <v>#N/A</v>
      </c>
    </row>
    <row r="951" spans="1:24" x14ac:dyDescent="0.3">
      <c r="A951">
        <v>950</v>
      </c>
      <c r="B951" s="14">
        <v>42379.496840277781</v>
      </c>
      <c r="C951" s="14">
        <v>42379.507245370369</v>
      </c>
      <c r="D951" t="s">
        <v>4</v>
      </c>
      <c r="G951" t="b">
        <v>1</v>
      </c>
      <c r="H951">
        <v>70805</v>
      </c>
      <c r="I951" s="5">
        <v>2.5914535966379</v>
      </c>
      <c r="J951" s="14">
        <v>42379.516238425924</v>
      </c>
      <c r="K951">
        <v>11.59</v>
      </c>
      <c r="L951" s="5">
        <f>('[1]Pizza Sales Calculations'!$J951-'[1]Pizza Sales Calculations'!$C951)*24*60</f>
        <v>12.949999999254942</v>
      </c>
      <c r="M951">
        <f>COUNTA('[1]Pizza Sales Calculations'!$D951:$F951)</f>
        <v>1</v>
      </c>
      <c r="N951">
        <f>IFERROR(VLOOKUP(D951,[1]Parameters!$A$3:$C$5,3,FALSE),0)</f>
        <v>1.7</v>
      </c>
      <c r="O951">
        <f>IFERROR(VLOOKUP(E951,[1]Parameters!$A$3:$C$5,3,FALSE),0)</f>
        <v>0</v>
      </c>
      <c r="P951">
        <f>IFERROR(VLOOKUP(F951,[1]Parameters!$A$3:$C$5,3,FALSE),0)</f>
        <v>0</v>
      </c>
      <c r="Q951">
        <f t="shared" si="14"/>
        <v>1.7</v>
      </c>
      <c r="R951" s="10">
        <f>IF('[1]Pizza Sales Calculations'!$G951=TRUE, [1]Parameters!$B$17*'[1]Pizza Sales Calculations'!$L951*2, 0)</f>
        <v>3.6691666664555669</v>
      </c>
      <c r="S951" t="str">
        <f>IF(I951&lt;[1]Parameters!$B$21,"TRUE","FALSE")</f>
        <v>TRUE</v>
      </c>
      <c r="T951" s="5">
        <f>(I951/[1]Parameters!$B$25)*60</f>
        <v>5.1829071932758</v>
      </c>
      <c r="U951" s="10">
        <f>IF(AND('[1]Pizza Sales Calculations'!G951=TRUE,'[1]Pizza Sales Calculations'!S951="TRUE"),T951*[1]Parameters!$B$40*2,0)</f>
        <v>0.32353068824185088</v>
      </c>
      <c r="V951">
        <f>INDEX([1]Parameters!$A$3:$C$5,MATCH('[1]Pizza Sales Calculations'!D951,[1]Parameters!$A$3:$A$5,0),2)</f>
        <v>10</v>
      </c>
      <c r="W951" t="e">
        <f>INDEX([1]Parameters!$A$3:$C$5,MATCH('[1]Pizza Sales Calculations'!E951,[1]Parameters!$A$3:$A$5,0),2)</f>
        <v>#N/A</v>
      </c>
      <c r="X951" t="e">
        <f>INDEX([1]Parameters!$A$3:$C$5,MATCH('[1]Pizza Sales Calculations'!F951,[1]Parameters!$A$3:$A$5,0),2)</f>
        <v>#N/A</v>
      </c>
    </row>
    <row r="952" spans="1:24" x14ac:dyDescent="0.3">
      <c r="A952">
        <v>951</v>
      </c>
      <c r="B952" s="14">
        <v>42379.452199074076</v>
      </c>
      <c r="C952" s="14">
        <v>42379.462604166663</v>
      </c>
      <c r="D952" t="s">
        <v>5</v>
      </c>
      <c r="G952" t="b">
        <v>0</v>
      </c>
      <c r="H952">
        <v>70806</v>
      </c>
      <c r="I952" s="5">
        <v>0</v>
      </c>
      <c r="J952" s="14">
        <v>42379.464675925927</v>
      </c>
      <c r="K952">
        <v>15.35</v>
      </c>
      <c r="L952" s="5">
        <f>('[1]Pizza Sales Calculations'!$J952-'[1]Pizza Sales Calculations'!$C952)*24*60</f>
        <v>2.9833333392161876</v>
      </c>
      <c r="M952">
        <f>COUNTA('[1]Pizza Sales Calculations'!$D952:$F952)</f>
        <v>1</v>
      </c>
      <c r="N952">
        <f>IFERROR(VLOOKUP(D952,[1]Parameters!$A$3:$C$5,3,FALSE),0)</f>
        <v>2.2999999999999998</v>
      </c>
      <c r="O952">
        <f>IFERROR(VLOOKUP(E952,[1]Parameters!$A$3:$C$5,3,FALSE),0)</f>
        <v>0</v>
      </c>
      <c r="P952">
        <f>IFERROR(VLOOKUP(F952,[1]Parameters!$A$3:$C$5,3,FALSE),0)</f>
        <v>0</v>
      </c>
      <c r="Q952">
        <f t="shared" si="14"/>
        <v>2.2999999999999998</v>
      </c>
      <c r="R952" s="10">
        <f>IF('[1]Pizza Sales Calculations'!$G952=TRUE, [1]Parameters!$B$17*'[1]Pizza Sales Calculations'!$L952*2, 0)</f>
        <v>0</v>
      </c>
      <c r="S952" t="str">
        <f>IF(I952&lt;[1]Parameters!$B$21,"TRUE","FALSE")</f>
        <v>TRUE</v>
      </c>
      <c r="T952" s="5">
        <f>(I952/[1]Parameters!$B$25)*60</f>
        <v>0</v>
      </c>
      <c r="U952" s="10">
        <f>IF(AND('[1]Pizza Sales Calculations'!G952=TRUE,'[1]Pizza Sales Calculations'!S952="TRUE"),T952*[1]Parameters!$B$40*2,0)</f>
        <v>0</v>
      </c>
      <c r="V952">
        <f>INDEX([1]Parameters!$A$3:$C$5,MATCH('[1]Pizza Sales Calculations'!D952,[1]Parameters!$A$3:$A$5,0),2)</f>
        <v>14</v>
      </c>
      <c r="W952" t="e">
        <f>INDEX([1]Parameters!$A$3:$C$5,MATCH('[1]Pizza Sales Calculations'!E952,[1]Parameters!$A$3:$A$5,0),2)</f>
        <v>#N/A</v>
      </c>
      <c r="X952" t="e">
        <f>INDEX([1]Parameters!$A$3:$C$5,MATCH('[1]Pizza Sales Calculations'!F952,[1]Parameters!$A$3:$A$5,0),2)</f>
        <v>#N/A</v>
      </c>
    </row>
    <row r="953" spans="1:24" x14ac:dyDescent="0.3">
      <c r="A953">
        <v>952</v>
      </c>
      <c r="B953" s="14">
        <v>42379.516481481478</v>
      </c>
      <c r="C953" s="14">
        <v>42379.526875000003</v>
      </c>
      <c r="D953" t="s">
        <v>3</v>
      </c>
      <c r="E953" t="s">
        <v>4</v>
      </c>
      <c r="G953" t="b">
        <v>0</v>
      </c>
      <c r="H953">
        <v>70804</v>
      </c>
      <c r="I953" s="5">
        <v>0</v>
      </c>
      <c r="J953" s="14">
        <v>42379.528923611113</v>
      </c>
      <c r="K953">
        <v>19.579999999999998</v>
      </c>
      <c r="L953" s="5">
        <f>('[1]Pizza Sales Calculations'!$J953-'[1]Pizza Sales Calculations'!$C953)*24*60</f>
        <v>2.9499999980907887</v>
      </c>
      <c r="M953">
        <f>COUNTA('[1]Pizza Sales Calculations'!$D953:$F953)</f>
        <v>2</v>
      </c>
      <c r="N953">
        <f>IFERROR(VLOOKUP(D953,[1]Parameters!$A$3:$C$5,3,FALSE),0)</f>
        <v>1</v>
      </c>
      <c r="O953">
        <f>IFERROR(VLOOKUP(E953,[1]Parameters!$A$3:$C$5,3,FALSE),0)</f>
        <v>1.7</v>
      </c>
      <c r="P953">
        <f>IFERROR(VLOOKUP(F953,[1]Parameters!$A$3:$C$5,3,FALSE),0)</f>
        <v>0</v>
      </c>
      <c r="Q953">
        <f t="shared" si="14"/>
        <v>2.7</v>
      </c>
      <c r="R953" s="10">
        <f>IF('[1]Pizza Sales Calculations'!$G953=TRUE, [1]Parameters!$B$17*'[1]Pizza Sales Calculations'!$L953*2, 0)</f>
        <v>0</v>
      </c>
      <c r="S953" t="str">
        <f>IF(I953&lt;[1]Parameters!$B$21,"TRUE","FALSE")</f>
        <v>TRUE</v>
      </c>
      <c r="T953" s="5">
        <f>(I953/[1]Parameters!$B$25)*60</f>
        <v>0</v>
      </c>
      <c r="U953" s="10">
        <f>IF(AND('[1]Pizza Sales Calculations'!G953=TRUE,'[1]Pizza Sales Calculations'!S953="TRUE"),T953*[1]Parameters!$B$40*2,0)</f>
        <v>0</v>
      </c>
      <c r="V953">
        <f>INDEX([1]Parameters!$A$3:$C$5,MATCH('[1]Pizza Sales Calculations'!D953,[1]Parameters!$A$3:$A$5,0),2)</f>
        <v>7</v>
      </c>
      <c r="W953">
        <f>INDEX([1]Parameters!$A$3:$C$5,MATCH('[1]Pizza Sales Calculations'!E953,[1]Parameters!$A$3:$A$5,0),2)</f>
        <v>10</v>
      </c>
      <c r="X953" t="e">
        <f>INDEX([1]Parameters!$A$3:$C$5,MATCH('[1]Pizza Sales Calculations'!F953,[1]Parameters!$A$3:$A$5,0),2)</f>
        <v>#N/A</v>
      </c>
    </row>
    <row r="954" spans="1:24" x14ac:dyDescent="0.3">
      <c r="A954">
        <v>953</v>
      </c>
      <c r="B954" s="14">
        <v>42379.459398148145</v>
      </c>
      <c r="C954" s="14">
        <v>42379.469826388886</v>
      </c>
      <c r="D954" t="s">
        <v>5</v>
      </c>
      <c r="G954" t="b">
        <v>1</v>
      </c>
      <c r="H954">
        <v>70807</v>
      </c>
      <c r="I954" s="5">
        <v>4.5024779959774897</v>
      </c>
      <c r="J954" s="14">
        <v>42379.485451388886</v>
      </c>
      <c r="K954">
        <v>15.35</v>
      </c>
      <c r="L954" s="5">
        <f>('[1]Pizza Sales Calculations'!$J954-'[1]Pizza Sales Calculations'!$C954)*24*60</f>
        <v>22.5</v>
      </c>
      <c r="M954">
        <f>COUNTA('[1]Pizza Sales Calculations'!$D954:$F954)</f>
        <v>1</v>
      </c>
      <c r="N954">
        <f>IFERROR(VLOOKUP(D954,[1]Parameters!$A$3:$C$5,3,FALSE),0)</f>
        <v>2.2999999999999998</v>
      </c>
      <c r="O954">
        <f>IFERROR(VLOOKUP(E954,[1]Parameters!$A$3:$C$5,3,FALSE),0)</f>
        <v>0</v>
      </c>
      <c r="P954">
        <f>IFERROR(VLOOKUP(F954,[1]Parameters!$A$3:$C$5,3,FALSE),0)</f>
        <v>0</v>
      </c>
      <c r="Q954">
        <f t="shared" si="14"/>
        <v>2.2999999999999998</v>
      </c>
      <c r="R954" s="10">
        <f>IF('[1]Pizza Sales Calculations'!$G954=TRUE, [1]Parameters!$B$17*'[1]Pizza Sales Calculations'!$L954*2, 0)</f>
        <v>6.375</v>
      </c>
      <c r="S954" t="str">
        <f>IF(I954&lt;[1]Parameters!$B$21,"TRUE","FALSE")</f>
        <v>FALSE</v>
      </c>
      <c r="T954" s="5">
        <f>(I954/[1]Parameters!$B$25)*60</f>
        <v>9.0049559919549793</v>
      </c>
      <c r="U954" s="10">
        <f>IF(AND('[1]Pizza Sales Calculations'!G954=TRUE,'[1]Pizza Sales Calculations'!S954="TRUE"),T954*[1]Parameters!$B$40*2,0)</f>
        <v>0</v>
      </c>
      <c r="V954">
        <f>INDEX([1]Parameters!$A$3:$C$5,MATCH('[1]Pizza Sales Calculations'!D954,[1]Parameters!$A$3:$A$5,0),2)</f>
        <v>14</v>
      </c>
      <c r="W954" t="e">
        <f>INDEX([1]Parameters!$A$3:$C$5,MATCH('[1]Pizza Sales Calculations'!E954,[1]Parameters!$A$3:$A$5,0),2)</f>
        <v>#N/A</v>
      </c>
      <c r="X954" t="e">
        <f>INDEX([1]Parameters!$A$3:$C$5,MATCH('[1]Pizza Sales Calculations'!F954,[1]Parameters!$A$3:$A$5,0),2)</f>
        <v>#N/A</v>
      </c>
    </row>
    <row r="955" spans="1:24" x14ac:dyDescent="0.3">
      <c r="A955">
        <v>954</v>
      </c>
      <c r="B955" s="14">
        <v>42379.482916666668</v>
      </c>
      <c r="C955" s="14">
        <v>42379.493321759262</v>
      </c>
      <c r="D955" t="s">
        <v>5</v>
      </c>
      <c r="G955" t="b">
        <v>0</v>
      </c>
      <c r="H955">
        <v>70804</v>
      </c>
      <c r="I955" s="5">
        <v>0</v>
      </c>
      <c r="J955" s="14">
        <v>42379.495416666665</v>
      </c>
      <c r="K955">
        <v>15.35</v>
      </c>
      <c r="L955" s="5">
        <f>('[1]Pizza Sales Calculations'!$J955-'[1]Pizza Sales Calculations'!$C955)*24*60</f>
        <v>3.0166666593868285</v>
      </c>
      <c r="M955">
        <f>COUNTA('[1]Pizza Sales Calculations'!$D955:$F955)</f>
        <v>1</v>
      </c>
      <c r="N955">
        <f>IFERROR(VLOOKUP(D955,[1]Parameters!$A$3:$C$5,3,FALSE),0)</f>
        <v>2.2999999999999998</v>
      </c>
      <c r="O955">
        <f>IFERROR(VLOOKUP(E955,[1]Parameters!$A$3:$C$5,3,FALSE),0)</f>
        <v>0</v>
      </c>
      <c r="P955">
        <f>IFERROR(VLOOKUP(F955,[1]Parameters!$A$3:$C$5,3,FALSE),0)</f>
        <v>0</v>
      </c>
      <c r="Q955">
        <f t="shared" si="14"/>
        <v>2.2999999999999998</v>
      </c>
      <c r="R955" s="10">
        <f>IF('[1]Pizza Sales Calculations'!$G955=TRUE, [1]Parameters!$B$17*'[1]Pizza Sales Calculations'!$L955*2, 0)</f>
        <v>0</v>
      </c>
      <c r="S955" t="str">
        <f>IF(I955&lt;[1]Parameters!$B$21,"TRUE","FALSE")</f>
        <v>TRUE</v>
      </c>
      <c r="T955" s="5">
        <f>(I955/[1]Parameters!$B$25)*60</f>
        <v>0</v>
      </c>
      <c r="U955" s="10">
        <f>IF(AND('[1]Pizza Sales Calculations'!G955=TRUE,'[1]Pizza Sales Calculations'!S955="TRUE"),T955*[1]Parameters!$B$40*2,0)</f>
        <v>0</v>
      </c>
      <c r="V955">
        <f>INDEX([1]Parameters!$A$3:$C$5,MATCH('[1]Pizza Sales Calculations'!D955,[1]Parameters!$A$3:$A$5,0),2)</f>
        <v>14</v>
      </c>
      <c r="W955" t="e">
        <f>INDEX([1]Parameters!$A$3:$C$5,MATCH('[1]Pizza Sales Calculations'!E955,[1]Parameters!$A$3:$A$5,0),2)</f>
        <v>#N/A</v>
      </c>
      <c r="X955" t="e">
        <f>INDEX([1]Parameters!$A$3:$C$5,MATCH('[1]Pizza Sales Calculations'!F955,[1]Parameters!$A$3:$A$5,0),2)</f>
        <v>#N/A</v>
      </c>
    </row>
    <row r="956" spans="1:24" x14ac:dyDescent="0.3">
      <c r="A956">
        <v>955</v>
      </c>
      <c r="B956" s="14">
        <v>42379.486909722225</v>
      </c>
      <c r="C956" s="14">
        <v>42379.497337962966</v>
      </c>
      <c r="D956" t="s">
        <v>4</v>
      </c>
      <c r="G956" t="b">
        <v>1</v>
      </c>
      <c r="H956">
        <v>70805</v>
      </c>
      <c r="I956" s="5">
        <v>4.1306200285256596</v>
      </c>
      <c r="J956" s="14">
        <v>42379.511678240742</v>
      </c>
      <c r="K956">
        <v>11.59</v>
      </c>
      <c r="L956" s="5">
        <f>('[1]Pizza Sales Calculations'!$J956-'[1]Pizza Sales Calculations'!$C956)*24*60</f>
        <v>20.6499999971129</v>
      </c>
      <c r="M956">
        <f>COUNTA('[1]Pizza Sales Calculations'!$D956:$F956)</f>
        <v>1</v>
      </c>
      <c r="N956">
        <f>IFERROR(VLOOKUP(D956,[1]Parameters!$A$3:$C$5,3,FALSE),0)</f>
        <v>1.7</v>
      </c>
      <c r="O956">
        <f>IFERROR(VLOOKUP(E956,[1]Parameters!$A$3:$C$5,3,FALSE),0)</f>
        <v>0</v>
      </c>
      <c r="P956">
        <f>IFERROR(VLOOKUP(F956,[1]Parameters!$A$3:$C$5,3,FALSE),0)</f>
        <v>0</v>
      </c>
      <c r="Q956">
        <f t="shared" si="14"/>
        <v>1.7</v>
      </c>
      <c r="R956" s="10">
        <f>IF('[1]Pizza Sales Calculations'!$G956=TRUE, [1]Parameters!$B$17*'[1]Pizza Sales Calculations'!$L956*2, 0)</f>
        <v>5.8508333325153217</v>
      </c>
      <c r="S956" t="str">
        <f>IF(I956&lt;[1]Parameters!$B$21,"TRUE","FALSE")</f>
        <v>FALSE</v>
      </c>
      <c r="T956" s="5">
        <f>(I956/[1]Parameters!$B$25)*60</f>
        <v>8.2612400570513191</v>
      </c>
      <c r="U956" s="10">
        <f>IF(AND('[1]Pizza Sales Calculations'!G956=TRUE,'[1]Pizza Sales Calculations'!S956="TRUE"),T956*[1]Parameters!$B$40*2,0)</f>
        <v>0</v>
      </c>
      <c r="V956">
        <f>INDEX([1]Parameters!$A$3:$C$5,MATCH('[1]Pizza Sales Calculations'!D956,[1]Parameters!$A$3:$A$5,0),2)</f>
        <v>10</v>
      </c>
      <c r="W956" t="e">
        <f>INDEX([1]Parameters!$A$3:$C$5,MATCH('[1]Pizza Sales Calculations'!E956,[1]Parameters!$A$3:$A$5,0),2)</f>
        <v>#N/A</v>
      </c>
      <c r="X956" t="e">
        <f>INDEX([1]Parameters!$A$3:$C$5,MATCH('[1]Pizza Sales Calculations'!F956,[1]Parameters!$A$3:$A$5,0),2)</f>
        <v>#N/A</v>
      </c>
    </row>
    <row r="957" spans="1:24" x14ac:dyDescent="0.3">
      <c r="A957">
        <v>956</v>
      </c>
      <c r="B957" s="14">
        <v>42379.540706018517</v>
      </c>
      <c r="C957" s="14">
        <v>42379.551111111112</v>
      </c>
      <c r="D957" t="s">
        <v>4</v>
      </c>
      <c r="G957" t="b">
        <v>0</v>
      </c>
      <c r="H957">
        <v>70804</v>
      </c>
      <c r="I957" s="5">
        <v>0</v>
      </c>
      <c r="J957" s="14">
        <v>42379.553171296298</v>
      </c>
      <c r="K957">
        <v>11.59</v>
      </c>
      <c r="L957" s="5">
        <f>('[1]Pizza Sales Calculations'!$J957-'[1]Pizza Sales Calculations'!$C957)*24*60</f>
        <v>2.9666666686534882</v>
      </c>
      <c r="M957">
        <f>COUNTA('[1]Pizza Sales Calculations'!$D957:$F957)</f>
        <v>1</v>
      </c>
      <c r="N957">
        <f>IFERROR(VLOOKUP(D957,[1]Parameters!$A$3:$C$5,3,FALSE),0)</f>
        <v>1.7</v>
      </c>
      <c r="O957">
        <f>IFERROR(VLOOKUP(E957,[1]Parameters!$A$3:$C$5,3,FALSE),0)</f>
        <v>0</v>
      </c>
      <c r="P957">
        <f>IFERROR(VLOOKUP(F957,[1]Parameters!$A$3:$C$5,3,FALSE),0)</f>
        <v>0</v>
      </c>
      <c r="Q957">
        <f t="shared" si="14"/>
        <v>1.7</v>
      </c>
      <c r="R957" s="10">
        <f>IF('[1]Pizza Sales Calculations'!$G957=TRUE, [1]Parameters!$B$17*'[1]Pizza Sales Calculations'!$L957*2, 0)</f>
        <v>0</v>
      </c>
      <c r="S957" t="str">
        <f>IF(I957&lt;[1]Parameters!$B$21,"TRUE","FALSE")</f>
        <v>TRUE</v>
      </c>
      <c r="T957" s="5">
        <f>(I957/[1]Parameters!$B$25)*60</f>
        <v>0</v>
      </c>
      <c r="U957" s="10">
        <f>IF(AND('[1]Pizza Sales Calculations'!G957=TRUE,'[1]Pizza Sales Calculations'!S957="TRUE"),T957*[1]Parameters!$B$40*2,0)</f>
        <v>0</v>
      </c>
      <c r="V957">
        <f>INDEX([1]Parameters!$A$3:$C$5,MATCH('[1]Pizza Sales Calculations'!D957,[1]Parameters!$A$3:$A$5,0),2)</f>
        <v>10</v>
      </c>
      <c r="W957" t="e">
        <f>INDEX([1]Parameters!$A$3:$C$5,MATCH('[1]Pizza Sales Calculations'!E957,[1]Parameters!$A$3:$A$5,0),2)</f>
        <v>#N/A</v>
      </c>
      <c r="X957" t="e">
        <f>INDEX([1]Parameters!$A$3:$C$5,MATCH('[1]Pizza Sales Calculations'!F957,[1]Parameters!$A$3:$A$5,0),2)</f>
        <v>#N/A</v>
      </c>
    </row>
    <row r="958" spans="1:24" x14ac:dyDescent="0.3">
      <c r="A958">
        <v>957</v>
      </c>
      <c r="B958" s="14">
        <v>42379.432256944441</v>
      </c>
      <c r="C958" s="14">
        <v>42379.442685185182</v>
      </c>
      <c r="D958" t="s">
        <v>4</v>
      </c>
      <c r="G958" t="b">
        <v>0</v>
      </c>
      <c r="H958">
        <v>70804</v>
      </c>
      <c r="I958" s="5">
        <v>0</v>
      </c>
      <c r="J958" s="14">
        <v>42379.444745370369</v>
      </c>
      <c r="K958">
        <v>11.59</v>
      </c>
      <c r="L958" s="5">
        <f>('[1]Pizza Sales Calculations'!$J958-'[1]Pizza Sales Calculations'!$C958)*24*60</f>
        <v>2.9666666686534882</v>
      </c>
      <c r="M958">
        <f>COUNTA('[1]Pizza Sales Calculations'!$D958:$F958)</f>
        <v>1</v>
      </c>
      <c r="N958">
        <f>IFERROR(VLOOKUP(D958,[1]Parameters!$A$3:$C$5,3,FALSE),0)</f>
        <v>1.7</v>
      </c>
      <c r="O958">
        <f>IFERROR(VLOOKUP(E958,[1]Parameters!$A$3:$C$5,3,FALSE),0)</f>
        <v>0</v>
      </c>
      <c r="P958">
        <f>IFERROR(VLOOKUP(F958,[1]Parameters!$A$3:$C$5,3,FALSE),0)</f>
        <v>0</v>
      </c>
      <c r="Q958">
        <f t="shared" si="14"/>
        <v>1.7</v>
      </c>
      <c r="R958" s="10">
        <f>IF('[1]Pizza Sales Calculations'!$G958=TRUE, [1]Parameters!$B$17*'[1]Pizza Sales Calculations'!$L958*2, 0)</f>
        <v>0</v>
      </c>
      <c r="S958" t="str">
        <f>IF(I958&lt;[1]Parameters!$B$21,"TRUE","FALSE")</f>
        <v>TRUE</v>
      </c>
      <c r="T958" s="5">
        <f>(I958/[1]Parameters!$B$25)*60</f>
        <v>0</v>
      </c>
      <c r="U958" s="10">
        <f>IF(AND('[1]Pizza Sales Calculations'!G958=TRUE,'[1]Pizza Sales Calculations'!S958="TRUE"),T958*[1]Parameters!$B$40*2,0)</f>
        <v>0</v>
      </c>
      <c r="V958">
        <f>INDEX([1]Parameters!$A$3:$C$5,MATCH('[1]Pizza Sales Calculations'!D958,[1]Parameters!$A$3:$A$5,0),2)</f>
        <v>10</v>
      </c>
      <c r="W958" t="e">
        <f>INDEX([1]Parameters!$A$3:$C$5,MATCH('[1]Pizza Sales Calculations'!E958,[1]Parameters!$A$3:$A$5,0),2)</f>
        <v>#N/A</v>
      </c>
      <c r="X958" t="e">
        <f>INDEX([1]Parameters!$A$3:$C$5,MATCH('[1]Pizza Sales Calculations'!F958,[1]Parameters!$A$3:$A$5,0),2)</f>
        <v>#N/A</v>
      </c>
    </row>
    <row r="959" spans="1:24" x14ac:dyDescent="0.3">
      <c r="A959">
        <v>958</v>
      </c>
      <c r="B959" s="14">
        <v>42379.555844907409</v>
      </c>
      <c r="C959" s="14">
        <v>42379.566250000003</v>
      </c>
      <c r="D959" t="s">
        <v>5</v>
      </c>
      <c r="G959" t="b">
        <v>1</v>
      </c>
      <c r="H959">
        <v>70805</v>
      </c>
      <c r="I959" s="5">
        <v>5.3192652960415199</v>
      </c>
      <c r="J959" s="14">
        <v>42379.584710648145</v>
      </c>
      <c r="K959">
        <v>15.35</v>
      </c>
      <c r="L959" s="5">
        <f>('[1]Pizza Sales Calculations'!$J959-'[1]Pizza Sales Calculations'!$C959)*24*60</f>
        <v>26.583333323942497</v>
      </c>
      <c r="M959">
        <f>COUNTA('[1]Pizza Sales Calculations'!$D959:$F959)</f>
        <v>1</v>
      </c>
      <c r="N959">
        <f>IFERROR(VLOOKUP(D959,[1]Parameters!$A$3:$C$5,3,FALSE),0)</f>
        <v>2.2999999999999998</v>
      </c>
      <c r="O959">
        <f>IFERROR(VLOOKUP(E959,[1]Parameters!$A$3:$C$5,3,FALSE),0)</f>
        <v>0</v>
      </c>
      <c r="P959">
        <f>IFERROR(VLOOKUP(F959,[1]Parameters!$A$3:$C$5,3,FALSE),0)</f>
        <v>0</v>
      </c>
      <c r="Q959">
        <f t="shared" si="14"/>
        <v>2.2999999999999998</v>
      </c>
      <c r="R959" s="10">
        <f>IF('[1]Pizza Sales Calculations'!$G959=TRUE, [1]Parameters!$B$17*'[1]Pizza Sales Calculations'!$L959*2, 0)</f>
        <v>7.5319444417837076</v>
      </c>
      <c r="S959" t="str">
        <f>IF(I959&lt;[1]Parameters!$B$21,"TRUE","FALSE")</f>
        <v>FALSE</v>
      </c>
      <c r="T959" s="5">
        <f>(I959/[1]Parameters!$B$25)*60</f>
        <v>10.63853059208304</v>
      </c>
      <c r="U959" s="10">
        <f>IF(AND('[1]Pizza Sales Calculations'!G959=TRUE,'[1]Pizza Sales Calculations'!S959="TRUE"),T959*[1]Parameters!$B$40*2,0)</f>
        <v>0</v>
      </c>
      <c r="V959">
        <f>INDEX([1]Parameters!$A$3:$C$5,MATCH('[1]Pizza Sales Calculations'!D959,[1]Parameters!$A$3:$A$5,0),2)</f>
        <v>14</v>
      </c>
      <c r="W959" t="e">
        <f>INDEX([1]Parameters!$A$3:$C$5,MATCH('[1]Pizza Sales Calculations'!E959,[1]Parameters!$A$3:$A$5,0),2)</f>
        <v>#N/A</v>
      </c>
      <c r="X959" t="e">
        <f>INDEX([1]Parameters!$A$3:$C$5,MATCH('[1]Pizza Sales Calculations'!F959,[1]Parameters!$A$3:$A$5,0),2)</f>
        <v>#N/A</v>
      </c>
    </row>
    <row r="960" spans="1:24" x14ac:dyDescent="0.3">
      <c r="A960">
        <v>959</v>
      </c>
      <c r="B960" s="14">
        <v>42379.54105324074</v>
      </c>
      <c r="C960" s="14">
        <v>42379.551481481481</v>
      </c>
      <c r="D960" t="s">
        <v>3</v>
      </c>
      <c r="E960" t="s">
        <v>4</v>
      </c>
      <c r="G960" t="b">
        <v>0</v>
      </c>
      <c r="H960">
        <v>70805</v>
      </c>
      <c r="I960" s="5">
        <v>0</v>
      </c>
      <c r="J960" s="14">
        <v>42379.553553240738</v>
      </c>
      <c r="K960">
        <v>19.579999999999998</v>
      </c>
      <c r="L960" s="5">
        <f>('[1]Pizza Sales Calculations'!$J960-'[1]Pizza Sales Calculations'!$C960)*24*60</f>
        <v>2.9833333287388086</v>
      </c>
      <c r="M960">
        <f>COUNTA('[1]Pizza Sales Calculations'!$D960:$F960)</f>
        <v>2</v>
      </c>
      <c r="N960">
        <f>IFERROR(VLOOKUP(D960,[1]Parameters!$A$3:$C$5,3,FALSE),0)</f>
        <v>1</v>
      </c>
      <c r="O960">
        <f>IFERROR(VLOOKUP(E960,[1]Parameters!$A$3:$C$5,3,FALSE),0)</f>
        <v>1.7</v>
      </c>
      <c r="P960">
        <f>IFERROR(VLOOKUP(F960,[1]Parameters!$A$3:$C$5,3,FALSE),0)</f>
        <v>0</v>
      </c>
      <c r="Q960">
        <f t="shared" si="14"/>
        <v>2.7</v>
      </c>
      <c r="R960" s="10">
        <f>IF('[1]Pizza Sales Calculations'!$G960=TRUE, [1]Parameters!$B$17*'[1]Pizza Sales Calculations'!$L960*2, 0)</f>
        <v>0</v>
      </c>
      <c r="S960" t="str">
        <f>IF(I960&lt;[1]Parameters!$B$21,"TRUE","FALSE")</f>
        <v>TRUE</v>
      </c>
      <c r="T960" s="5">
        <f>(I960/[1]Parameters!$B$25)*60</f>
        <v>0</v>
      </c>
      <c r="U960" s="10">
        <f>IF(AND('[1]Pizza Sales Calculations'!G960=TRUE,'[1]Pizza Sales Calculations'!S960="TRUE"),T960*[1]Parameters!$B$40*2,0)</f>
        <v>0</v>
      </c>
      <c r="V960">
        <f>INDEX([1]Parameters!$A$3:$C$5,MATCH('[1]Pizza Sales Calculations'!D960,[1]Parameters!$A$3:$A$5,0),2)</f>
        <v>7</v>
      </c>
      <c r="W960">
        <f>INDEX([1]Parameters!$A$3:$C$5,MATCH('[1]Pizza Sales Calculations'!E960,[1]Parameters!$A$3:$A$5,0),2)</f>
        <v>10</v>
      </c>
      <c r="X960" t="e">
        <f>INDEX([1]Parameters!$A$3:$C$5,MATCH('[1]Pizza Sales Calculations'!F960,[1]Parameters!$A$3:$A$5,0),2)</f>
        <v>#N/A</v>
      </c>
    </row>
    <row r="961" spans="1:24" x14ac:dyDescent="0.3">
      <c r="A961">
        <v>960</v>
      </c>
      <c r="B961" s="14">
        <v>42379.525868055556</v>
      </c>
      <c r="C961" s="14">
        <v>42379.536273148151</v>
      </c>
      <c r="D961" t="s">
        <v>4</v>
      </c>
      <c r="G961" t="b">
        <v>1</v>
      </c>
      <c r="H961">
        <v>70804</v>
      </c>
      <c r="I961" s="5">
        <v>2.2436849201818401</v>
      </c>
      <c r="J961" s="14">
        <v>42379.544062499997</v>
      </c>
      <c r="K961">
        <v>11.59</v>
      </c>
      <c r="L961" s="5">
        <f>('[1]Pizza Sales Calculations'!$J961-'[1]Pizza Sales Calculations'!$C961)*24*60</f>
        <v>11.216666658874601</v>
      </c>
      <c r="M961">
        <f>COUNTA('[1]Pizza Sales Calculations'!$D961:$F961)</f>
        <v>1</v>
      </c>
      <c r="N961">
        <f>IFERROR(VLOOKUP(D961,[1]Parameters!$A$3:$C$5,3,FALSE),0)</f>
        <v>1.7</v>
      </c>
      <c r="O961">
        <f>IFERROR(VLOOKUP(E961,[1]Parameters!$A$3:$C$5,3,FALSE),0)</f>
        <v>0</v>
      </c>
      <c r="P961">
        <f>IFERROR(VLOOKUP(F961,[1]Parameters!$A$3:$C$5,3,FALSE),0)</f>
        <v>0</v>
      </c>
      <c r="Q961">
        <f t="shared" si="14"/>
        <v>1.7</v>
      </c>
      <c r="R961" s="10">
        <f>IF('[1]Pizza Sales Calculations'!$G961=TRUE, [1]Parameters!$B$17*'[1]Pizza Sales Calculations'!$L961*2, 0)</f>
        <v>3.1780555533478037</v>
      </c>
      <c r="S961" t="str">
        <f>IF(I961&lt;[1]Parameters!$B$21,"TRUE","FALSE")</f>
        <v>TRUE</v>
      </c>
      <c r="T961" s="5">
        <f>(I961/[1]Parameters!$B$25)*60</f>
        <v>4.4873698403636801</v>
      </c>
      <c r="U961" s="10">
        <f>IF(AND('[1]Pizza Sales Calculations'!G961=TRUE,'[1]Pizza Sales Calculations'!S961="TRUE"),T961*[1]Parameters!$B$40*2,0)</f>
        <v>0.28011341872610118</v>
      </c>
      <c r="V961">
        <f>INDEX([1]Parameters!$A$3:$C$5,MATCH('[1]Pizza Sales Calculations'!D961,[1]Parameters!$A$3:$A$5,0),2)</f>
        <v>10</v>
      </c>
      <c r="W961" t="e">
        <f>INDEX([1]Parameters!$A$3:$C$5,MATCH('[1]Pizza Sales Calculations'!E961,[1]Parameters!$A$3:$A$5,0),2)</f>
        <v>#N/A</v>
      </c>
      <c r="X961" t="e">
        <f>INDEX([1]Parameters!$A$3:$C$5,MATCH('[1]Pizza Sales Calculations'!F961,[1]Parameters!$A$3:$A$5,0),2)</f>
        <v>#N/A</v>
      </c>
    </row>
    <row r="962" spans="1:24" x14ac:dyDescent="0.3">
      <c r="A962">
        <v>961</v>
      </c>
      <c r="B962" s="14">
        <v>42379.545787037037</v>
      </c>
      <c r="C962" s="14">
        <v>42379.556215277778</v>
      </c>
      <c r="D962" t="s">
        <v>4</v>
      </c>
      <c r="G962" t="b">
        <v>1</v>
      </c>
      <c r="H962">
        <v>70804</v>
      </c>
      <c r="I962" s="5">
        <v>2.7055843350253301</v>
      </c>
      <c r="J962" s="14">
        <v>42379.565601851849</v>
      </c>
      <c r="K962">
        <v>11.59</v>
      </c>
      <c r="L962" s="5">
        <f>('[1]Pizza Sales Calculations'!$J962-'[1]Pizza Sales Calculations'!$C962)*24*60</f>
        <v>13.516666662180796</v>
      </c>
      <c r="M962">
        <f>COUNTA('[1]Pizza Sales Calculations'!$D962:$F962)</f>
        <v>1</v>
      </c>
      <c r="N962">
        <f>IFERROR(VLOOKUP(D962,[1]Parameters!$A$3:$C$5,3,FALSE),0)</f>
        <v>1.7</v>
      </c>
      <c r="O962">
        <f>IFERROR(VLOOKUP(E962,[1]Parameters!$A$3:$C$5,3,FALSE),0)</f>
        <v>0</v>
      </c>
      <c r="P962">
        <f>IFERROR(VLOOKUP(F962,[1]Parameters!$A$3:$C$5,3,FALSE),0)</f>
        <v>0</v>
      </c>
      <c r="Q962">
        <f t="shared" si="14"/>
        <v>1.7</v>
      </c>
      <c r="R962" s="10">
        <f>IF('[1]Pizza Sales Calculations'!$G962=TRUE, [1]Parameters!$B$17*'[1]Pizza Sales Calculations'!$L962*2, 0)</f>
        <v>3.8297222209512256</v>
      </c>
      <c r="S962" t="str">
        <f>IF(I962&lt;[1]Parameters!$B$21,"TRUE","FALSE")</f>
        <v>TRUE</v>
      </c>
      <c r="T962" s="5">
        <f>(I962/[1]Parameters!$B$25)*60</f>
        <v>5.4111686700506603</v>
      </c>
      <c r="U962" s="10">
        <f>IF(AND('[1]Pizza Sales Calculations'!G962=TRUE,'[1]Pizza Sales Calculations'!S962="TRUE"),T962*[1]Parameters!$B$40*2,0)</f>
        <v>0.33777936951785037</v>
      </c>
      <c r="V962">
        <f>INDEX([1]Parameters!$A$3:$C$5,MATCH('[1]Pizza Sales Calculations'!D962,[1]Parameters!$A$3:$A$5,0),2)</f>
        <v>10</v>
      </c>
      <c r="W962" t="e">
        <f>INDEX([1]Parameters!$A$3:$C$5,MATCH('[1]Pizza Sales Calculations'!E962,[1]Parameters!$A$3:$A$5,0),2)</f>
        <v>#N/A</v>
      </c>
      <c r="X962" t="e">
        <f>INDEX([1]Parameters!$A$3:$C$5,MATCH('[1]Pizza Sales Calculations'!F962,[1]Parameters!$A$3:$A$5,0),2)</f>
        <v>#N/A</v>
      </c>
    </row>
    <row r="963" spans="1:24" x14ac:dyDescent="0.3">
      <c r="A963">
        <v>962</v>
      </c>
      <c r="B963" s="14">
        <v>42379.546805555554</v>
      </c>
      <c r="C963" s="14">
        <v>42379.557233796295</v>
      </c>
      <c r="D963" t="s">
        <v>4</v>
      </c>
      <c r="G963" t="b">
        <v>1</v>
      </c>
      <c r="H963">
        <v>70805</v>
      </c>
      <c r="I963" s="5">
        <v>2.7266263014096901</v>
      </c>
      <c r="J963" s="14">
        <v>42379.566689814812</v>
      </c>
      <c r="K963">
        <v>11.59</v>
      </c>
      <c r="L963" s="5">
        <f>('[1]Pizza Sales Calculations'!$J963-'[1]Pizza Sales Calculations'!$C963)*24*60</f>
        <v>13.616666664602235</v>
      </c>
      <c r="M963">
        <f>COUNTA('[1]Pizza Sales Calculations'!$D963:$F963)</f>
        <v>1</v>
      </c>
      <c r="N963">
        <f>IFERROR(VLOOKUP(D963,[1]Parameters!$A$3:$C$5,3,FALSE),0)</f>
        <v>1.7</v>
      </c>
      <c r="O963">
        <f>IFERROR(VLOOKUP(E963,[1]Parameters!$A$3:$C$5,3,FALSE),0)</f>
        <v>0</v>
      </c>
      <c r="P963">
        <f>IFERROR(VLOOKUP(F963,[1]Parameters!$A$3:$C$5,3,FALSE),0)</f>
        <v>0</v>
      </c>
      <c r="Q963">
        <f t="shared" ref="Q963:Q1026" si="15">SUM(N963:P963)</f>
        <v>1.7</v>
      </c>
      <c r="R963" s="10">
        <f>IF('[1]Pizza Sales Calculations'!$G963=TRUE, [1]Parameters!$B$17*'[1]Pizza Sales Calculations'!$L963*2, 0)</f>
        <v>3.8580555549706332</v>
      </c>
      <c r="S963" t="str">
        <f>IF(I963&lt;[1]Parameters!$B$21,"TRUE","FALSE")</f>
        <v>TRUE</v>
      </c>
      <c r="T963" s="5">
        <f>(I963/[1]Parameters!$B$25)*60</f>
        <v>5.4532526028193802</v>
      </c>
      <c r="U963" s="10">
        <f>IF(AND('[1]Pizza Sales Calculations'!G963=TRUE,'[1]Pizza Sales Calculations'!S963="TRUE"),T963*[1]Parameters!$B$40*2,0)</f>
        <v>0.34040635920237572</v>
      </c>
      <c r="V963">
        <f>INDEX([1]Parameters!$A$3:$C$5,MATCH('[1]Pizza Sales Calculations'!D963,[1]Parameters!$A$3:$A$5,0),2)</f>
        <v>10</v>
      </c>
      <c r="W963" t="e">
        <f>INDEX([1]Parameters!$A$3:$C$5,MATCH('[1]Pizza Sales Calculations'!E963,[1]Parameters!$A$3:$A$5,0),2)</f>
        <v>#N/A</v>
      </c>
      <c r="X963" t="e">
        <f>INDEX([1]Parameters!$A$3:$C$5,MATCH('[1]Pizza Sales Calculations'!F963,[1]Parameters!$A$3:$A$5,0),2)</f>
        <v>#N/A</v>
      </c>
    </row>
    <row r="964" spans="1:24" x14ac:dyDescent="0.3">
      <c r="A964">
        <v>963</v>
      </c>
      <c r="B964" s="14">
        <v>42379.475405092591</v>
      </c>
      <c r="C964" s="14">
        <v>42379.485821759263</v>
      </c>
      <c r="D964" t="s">
        <v>5</v>
      </c>
      <c r="G964" t="b">
        <v>1</v>
      </c>
      <c r="H964">
        <v>70804</v>
      </c>
      <c r="I964" s="5">
        <v>3.1900397344552101</v>
      </c>
      <c r="J964" s="14">
        <v>42379.496898148151</v>
      </c>
      <c r="K964">
        <v>15.35</v>
      </c>
      <c r="L964" s="5">
        <f>('[1]Pizza Sales Calculations'!$J964-'[1]Pizza Sales Calculations'!$C964)*24*60</f>
        <v>15.94999999855645</v>
      </c>
      <c r="M964">
        <f>COUNTA('[1]Pizza Sales Calculations'!$D964:$F964)</f>
        <v>1</v>
      </c>
      <c r="N964">
        <f>IFERROR(VLOOKUP(D964,[1]Parameters!$A$3:$C$5,3,FALSE),0)</f>
        <v>2.2999999999999998</v>
      </c>
      <c r="O964">
        <f>IFERROR(VLOOKUP(E964,[1]Parameters!$A$3:$C$5,3,FALSE),0)</f>
        <v>0</v>
      </c>
      <c r="P964">
        <f>IFERROR(VLOOKUP(F964,[1]Parameters!$A$3:$C$5,3,FALSE),0)</f>
        <v>0</v>
      </c>
      <c r="Q964">
        <f t="shared" si="15"/>
        <v>2.2999999999999998</v>
      </c>
      <c r="R964" s="10">
        <f>IF('[1]Pizza Sales Calculations'!$G964=TRUE, [1]Parameters!$B$17*'[1]Pizza Sales Calculations'!$L964*2, 0)</f>
        <v>4.5191666662576608</v>
      </c>
      <c r="S964" t="str">
        <f>IF(I964&lt;[1]Parameters!$B$21,"TRUE","FALSE")</f>
        <v>TRUE</v>
      </c>
      <c r="T964" s="5">
        <f>(I964/[1]Parameters!$B$25)*60</f>
        <v>6.3800794689104201</v>
      </c>
      <c r="U964" s="10">
        <f>IF(AND('[1]Pizza Sales Calculations'!G964=TRUE,'[1]Pizza Sales Calculations'!S964="TRUE"),T964*[1]Parameters!$B$40*2,0)</f>
        <v>0.39826132798447167</v>
      </c>
      <c r="V964">
        <f>INDEX([1]Parameters!$A$3:$C$5,MATCH('[1]Pizza Sales Calculations'!D964,[1]Parameters!$A$3:$A$5,0),2)</f>
        <v>14</v>
      </c>
      <c r="W964" t="e">
        <f>INDEX([1]Parameters!$A$3:$C$5,MATCH('[1]Pizza Sales Calculations'!E964,[1]Parameters!$A$3:$A$5,0),2)</f>
        <v>#N/A</v>
      </c>
      <c r="X964" t="e">
        <f>INDEX([1]Parameters!$A$3:$C$5,MATCH('[1]Pizza Sales Calculations'!F964,[1]Parameters!$A$3:$A$5,0),2)</f>
        <v>#N/A</v>
      </c>
    </row>
    <row r="965" spans="1:24" x14ac:dyDescent="0.3">
      <c r="A965">
        <v>964</v>
      </c>
      <c r="B965" s="14">
        <v>42379.464953703704</v>
      </c>
      <c r="C965" s="14">
        <v>42379.475370370368</v>
      </c>
      <c r="D965" t="s">
        <v>4</v>
      </c>
      <c r="G965" t="b">
        <v>1</v>
      </c>
      <c r="H965">
        <v>70805</v>
      </c>
      <c r="I965" s="5">
        <v>3.9118802218409199</v>
      </c>
      <c r="J965" s="14">
        <v>42379.488946759258</v>
      </c>
      <c r="K965">
        <v>11.59</v>
      </c>
      <c r="L965" s="5">
        <f>('[1]Pizza Sales Calculations'!$J965-'[1]Pizza Sales Calculations'!$C965)*24*60</f>
        <v>19.550000001909211</v>
      </c>
      <c r="M965">
        <f>COUNTA('[1]Pizza Sales Calculations'!$D965:$F965)</f>
        <v>1</v>
      </c>
      <c r="N965">
        <f>IFERROR(VLOOKUP(D965,[1]Parameters!$A$3:$C$5,3,FALSE),0)</f>
        <v>1.7</v>
      </c>
      <c r="O965">
        <f>IFERROR(VLOOKUP(E965,[1]Parameters!$A$3:$C$5,3,FALSE),0)</f>
        <v>0</v>
      </c>
      <c r="P965">
        <f>IFERROR(VLOOKUP(F965,[1]Parameters!$A$3:$C$5,3,FALSE),0)</f>
        <v>0</v>
      </c>
      <c r="Q965">
        <f t="shared" si="15"/>
        <v>1.7</v>
      </c>
      <c r="R965" s="10">
        <f>IF('[1]Pizza Sales Calculations'!$G965=TRUE, [1]Parameters!$B$17*'[1]Pizza Sales Calculations'!$L965*2, 0)</f>
        <v>5.5391666672076099</v>
      </c>
      <c r="S965" t="str">
        <f>IF(I965&lt;[1]Parameters!$B$21,"TRUE","FALSE")</f>
        <v>FALSE</v>
      </c>
      <c r="T965" s="5">
        <f>(I965/[1]Parameters!$B$25)*60</f>
        <v>7.8237604436818406</v>
      </c>
      <c r="U965" s="10">
        <f>IF(AND('[1]Pizza Sales Calculations'!G965=TRUE,'[1]Pizza Sales Calculations'!S965="TRUE"),T965*[1]Parameters!$B$40*2,0)</f>
        <v>0</v>
      </c>
      <c r="V965">
        <f>INDEX([1]Parameters!$A$3:$C$5,MATCH('[1]Pizza Sales Calculations'!D965,[1]Parameters!$A$3:$A$5,0),2)</f>
        <v>10</v>
      </c>
      <c r="W965" t="e">
        <f>INDEX([1]Parameters!$A$3:$C$5,MATCH('[1]Pizza Sales Calculations'!E965,[1]Parameters!$A$3:$A$5,0),2)</f>
        <v>#N/A</v>
      </c>
      <c r="X965" t="e">
        <f>INDEX([1]Parameters!$A$3:$C$5,MATCH('[1]Pizza Sales Calculations'!F965,[1]Parameters!$A$3:$A$5,0),2)</f>
        <v>#N/A</v>
      </c>
    </row>
    <row r="966" spans="1:24" x14ac:dyDescent="0.3">
      <c r="A966">
        <v>965</v>
      </c>
      <c r="B966" s="14">
        <v>42380.465428240743</v>
      </c>
      <c r="C966" s="14">
        <v>42380.47583333333</v>
      </c>
      <c r="D966" t="s">
        <v>3</v>
      </c>
      <c r="G966" t="b">
        <v>1</v>
      </c>
      <c r="H966">
        <v>70804</v>
      </c>
      <c r="I966" s="5">
        <v>5.0029703802554497</v>
      </c>
      <c r="J966" s="14">
        <v>42380.493194444447</v>
      </c>
      <c r="K966">
        <v>7.99</v>
      </c>
      <c r="L966" s="5">
        <f>('[1]Pizza Sales Calculations'!$J966-'[1]Pizza Sales Calculations'!$C966)*24*60</f>
        <v>25.000000008149073</v>
      </c>
      <c r="M966">
        <f>COUNTA('[1]Pizza Sales Calculations'!$D966:$F966)</f>
        <v>1</v>
      </c>
      <c r="N966">
        <f>IFERROR(VLOOKUP(D966,[1]Parameters!$A$3:$C$5,3,FALSE),0)</f>
        <v>1</v>
      </c>
      <c r="O966">
        <f>IFERROR(VLOOKUP(E966,[1]Parameters!$A$3:$C$5,3,FALSE),0)</f>
        <v>0</v>
      </c>
      <c r="P966">
        <f>IFERROR(VLOOKUP(F966,[1]Parameters!$A$3:$C$5,3,FALSE),0)</f>
        <v>0</v>
      </c>
      <c r="Q966">
        <f t="shared" si="15"/>
        <v>1</v>
      </c>
      <c r="R966" s="10">
        <f>IF('[1]Pizza Sales Calculations'!$G966=TRUE, [1]Parameters!$B$17*'[1]Pizza Sales Calculations'!$L966*2, 0)</f>
        <v>7.0833333356422372</v>
      </c>
      <c r="S966" t="str">
        <f>IF(I966&lt;[1]Parameters!$B$21,"TRUE","FALSE")</f>
        <v>FALSE</v>
      </c>
      <c r="T966" s="5">
        <f>(I966/[1]Parameters!$B$25)*60</f>
        <v>10.005940760510899</v>
      </c>
      <c r="U966" s="10">
        <f>IF(AND('[1]Pizza Sales Calculations'!G966=TRUE,'[1]Pizza Sales Calculations'!S966="TRUE"),T966*[1]Parameters!$B$40*2,0)</f>
        <v>0</v>
      </c>
      <c r="V966">
        <f>INDEX([1]Parameters!$A$3:$C$5,MATCH('[1]Pizza Sales Calculations'!D966,[1]Parameters!$A$3:$A$5,0),2)</f>
        <v>7</v>
      </c>
      <c r="W966" t="e">
        <f>INDEX([1]Parameters!$A$3:$C$5,MATCH('[1]Pizza Sales Calculations'!E966,[1]Parameters!$A$3:$A$5,0),2)</f>
        <v>#N/A</v>
      </c>
      <c r="X966" t="e">
        <f>INDEX([1]Parameters!$A$3:$C$5,MATCH('[1]Pizza Sales Calculations'!F966,[1]Parameters!$A$3:$A$5,0),2)</f>
        <v>#N/A</v>
      </c>
    </row>
    <row r="967" spans="1:24" x14ac:dyDescent="0.3">
      <c r="A967">
        <v>966</v>
      </c>
      <c r="B967" s="14">
        <v>42380.488749999997</v>
      </c>
      <c r="C967" s="14">
        <v>42380.499131944445</v>
      </c>
      <c r="D967" t="s">
        <v>3</v>
      </c>
      <c r="G967" t="b">
        <v>1</v>
      </c>
      <c r="H967">
        <v>70805</v>
      </c>
      <c r="I967" s="5">
        <v>4.6381335542169602</v>
      </c>
      <c r="J967" s="14">
        <v>42380.515231481484</v>
      </c>
      <c r="K967">
        <v>7.99</v>
      </c>
      <c r="L967" s="5">
        <f>('[1]Pizza Sales Calculations'!$J967-'[1]Pizza Sales Calculations'!$C967)*24*60</f>
        <v>23.183333335909992</v>
      </c>
      <c r="M967">
        <f>COUNTA('[1]Pizza Sales Calculations'!$D967:$F967)</f>
        <v>1</v>
      </c>
      <c r="N967">
        <f>IFERROR(VLOOKUP(D967,[1]Parameters!$A$3:$C$5,3,FALSE),0)</f>
        <v>1</v>
      </c>
      <c r="O967">
        <f>IFERROR(VLOOKUP(E967,[1]Parameters!$A$3:$C$5,3,FALSE),0)</f>
        <v>0</v>
      </c>
      <c r="P967">
        <f>IFERROR(VLOOKUP(F967,[1]Parameters!$A$3:$C$5,3,FALSE),0)</f>
        <v>0</v>
      </c>
      <c r="Q967">
        <f t="shared" si="15"/>
        <v>1</v>
      </c>
      <c r="R967" s="10">
        <f>IF('[1]Pizza Sales Calculations'!$G967=TRUE, [1]Parameters!$B$17*'[1]Pizza Sales Calculations'!$L967*2, 0)</f>
        <v>6.5686111118411645</v>
      </c>
      <c r="S967" t="str">
        <f>IF(I967&lt;[1]Parameters!$B$21,"TRUE","FALSE")</f>
        <v>FALSE</v>
      </c>
      <c r="T967" s="5">
        <f>(I967/[1]Parameters!$B$25)*60</f>
        <v>9.2762671084339203</v>
      </c>
      <c r="U967" s="10">
        <f>IF(AND('[1]Pizza Sales Calculations'!G967=TRUE,'[1]Pizza Sales Calculations'!S967="TRUE"),T967*[1]Parameters!$B$40*2,0)</f>
        <v>0</v>
      </c>
      <c r="V967">
        <f>INDEX([1]Parameters!$A$3:$C$5,MATCH('[1]Pizza Sales Calculations'!D967,[1]Parameters!$A$3:$A$5,0),2)</f>
        <v>7</v>
      </c>
      <c r="W967" t="e">
        <f>INDEX([1]Parameters!$A$3:$C$5,MATCH('[1]Pizza Sales Calculations'!E967,[1]Parameters!$A$3:$A$5,0),2)</f>
        <v>#N/A</v>
      </c>
      <c r="X967" t="e">
        <f>INDEX([1]Parameters!$A$3:$C$5,MATCH('[1]Pizza Sales Calculations'!F967,[1]Parameters!$A$3:$A$5,0),2)</f>
        <v>#N/A</v>
      </c>
    </row>
    <row r="968" spans="1:24" x14ac:dyDescent="0.3">
      <c r="A968">
        <v>967</v>
      </c>
      <c r="B968" s="14">
        <v>42380.503391203703</v>
      </c>
      <c r="C968" s="14">
        <v>42380.513796296298</v>
      </c>
      <c r="D968" t="s">
        <v>4</v>
      </c>
      <c r="G968" t="b">
        <v>0</v>
      </c>
      <c r="H968">
        <v>70804</v>
      </c>
      <c r="I968" s="5">
        <v>0</v>
      </c>
      <c r="J968" s="14">
        <v>42380.5158912037</v>
      </c>
      <c r="K968">
        <v>11.59</v>
      </c>
      <c r="L968" s="5">
        <f>('[1]Pizza Sales Calculations'!$J968-'[1]Pizza Sales Calculations'!$C968)*24*60</f>
        <v>3.0166666593868285</v>
      </c>
      <c r="M968">
        <f>COUNTA('[1]Pizza Sales Calculations'!$D968:$F968)</f>
        <v>1</v>
      </c>
      <c r="N968">
        <f>IFERROR(VLOOKUP(D968,[1]Parameters!$A$3:$C$5,3,FALSE),0)</f>
        <v>1.7</v>
      </c>
      <c r="O968">
        <f>IFERROR(VLOOKUP(E968,[1]Parameters!$A$3:$C$5,3,FALSE),0)</f>
        <v>0</v>
      </c>
      <c r="P968">
        <f>IFERROR(VLOOKUP(F968,[1]Parameters!$A$3:$C$5,3,FALSE),0)</f>
        <v>0</v>
      </c>
      <c r="Q968">
        <f t="shared" si="15"/>
        <v>1.7</v>
      </c>
      <c r="R968" s="10">
        <f>IF('[1]Pizza Sales Calculations'!$G968=TRUE, [1]Parameters!$B$17*'[1]Pizza Sales Calculations'!$L968*2, 0)</f>
        <v>0</v>
      </c>
      <c r="S968" t="str">
        <f>IF(I968&lt;[1]Parameters!$B$21,"TRUE","FALSE")</f>
        <v>TRUE</v>
      </c>
      <c r="T968" s="5">
        <f>(I968/[1]Parameters!$B$25)*60</f>
        <v>0</v>
      </c>
      <c r="U968" s="10">
        <f>IF(AND('[1]Pizza Sales Calculations'!G968=TRUE,'[1]Pizza Sales Calculations'!S968="TRUE"),T968*[1]Parameters!$B$40*2,0)</f>
        <v>0</v>
      </c>
      <c r="V968">
        <f>INDEX([1]Parameters!$A$3:$C$5,MATCH('[1]Pizza Sales Calculations'!D968,[1]Parameters!$A$3:$A$5,0),2)</f>
        <v>10</v>
      </c>
      <c r="W968" t="e">
        <f>INDEX([1]Parameters!$A$3:$C$5,MATCH('[1]Pizza Sales Calculations'!E968,[1]Parameters!$A$3:$A$5,0),2)</f>
        <v>#N/A</v>
      </c>
      <c r="X968" t="e">
        <f>INDEX([1]Parameters!$A$3:$C$5,MATCH('[1]Pizza Sales Calculations'!F968,[1]Parameters!$A$3:$A$5,0),2)</f>
        <v>#N/A</v>
      </c>
    </row>
    <row r="969" spans="1:24" x14ac:dyDescent="0.3">
      <c r="A969">
        <v>968</v>
      </c>
      <c r="B969" s="14">
        <v>42380.524444444447</v>
      </c>
      <c r="C969" s="14">
        <v>42380.534849537034</v>
      </c>
      <c r="D969" t="s">
        <v>4</v>
      </c>
      <c r="G969" t="b">
        <v>1</v>
      </c>
      <c r="H969">
        <v>70806</v>
      </c>
      <c r="I969" s="5">
        <v>1.12286084305772</v>
      </c>
      <c r="J969" s="14">
        <v>42380.538738425923</v>
      </c>
      <c r="K969">
        <v>11.59</v>
      </c>
      <c r="L969" s="5">
        <f>('[1]Pizza Sales Calculations'!$J969-'[1]Pizza Sales Calculations'!$C969)*24*60</f>
        <v>5.5999999993946403</v>
      </c>
      <c r="M969">
        <f>COUNTA('[1]Pizza Sales Calculations'!$D969:$F969)</f>
        <v>1</v>
      </c>
      <c r="N969">
        <f>IFERROR(VLOOKUP(D969,[1]Parameters!$A$3:$C$5,3,FALSE),0)</f>
        <v>1.7</v>
      </c>
      <c r="O969">
        <f>IFERROR(VLOOKUP(E969,[1]Parameters!$A$3:$C$5,3,FALSE),0)</f>
        <v>0</v>
      </c>
      <c r="P969">
        <f>IFERROR(VLOOKUP(F969,[1]Parameters!$A$3:$C$5,3,FALSE),0)</f>
        <v>0</v>
      </c>
      <c r="Q969">
        <f t="shared" si="15"/>
        <v>1.7</v>
      </c>
      <c r="R969" s="10">
        <f>IF('[1]Pizza Sales Calculations'!$G969=TRUE, [1]Parameters!$B$17*'[1]Pizza Sales Calculations'!$L969*2, 0)</f>
        <v>1.5866666664951481</v>
      </c>
      <c r="S969" t="str">
        <f>IF(I969&lt;[1]Parameters!$B$21,"TRUE","FALSE")</f>
        <v>TRUE</v>
      </c>
      <c r="T969" s="5">
        <f>(I969/[1]Parameters!$B$25)*60</f>
        <v>2.2457216861154401</v>
      </c>
      <c r="U969" s="10">
        <f>IF(AND('[1]Pizza Sales Calculations'!G969=TRUE,'[1]Pizza Sales Calculations'!S969="TRUE"),T969*[1]Parameters!$B$40*2,0)</f>
        <v>0.14018384964546585</v>
      </c>
      <c r="V969">
        <f>INDEX([1]Parameters!$A$3:$C$5,MATCH('[1]Pizza Sales Calculations'!D969,[1]Parameters!$A$3:$A$5,0),2)</f>
        <v>10</v>
      </c>
      <c r="W969" t="e">
        <f>INDEX([1]Parameters!$A$3:$C$5,MATCH('[1]Pizza Sales Calculations'!E969,[1]Parameters!$A$3:$A$5,0),2)</f>
        <v>#N/A</v>
      </c>
      <c r="X969" t="e">
        <f>INDEX([1]Parameters!$A$3:$C$5,MATCH('[1]Pizza Sales Calculations'!F969,[1]Parameters!$A$3:$A$5,0),2)</f>
        <v>#N/A</v>
      </c>
    </row>
    <row r="970" spans="1:24" x14ac:dyDescent="0.3">
      <c r="A970">
        <v>969</v>
      </c>
      <c r="B970" s="14">
        <v>42380.559490740743</v>
      </c>
      <c r="C970" s="14">
        <v>42380.569884259261</v>
      </c>
      <c r="D970" t="s">
        <v>3</v>
      </c>
      <c r="G970" t="b">
        <v>1</v>
      </c>
      <c r="H970">
        <v>70805</v>
      </c>
      <c r="I970" s="5">
        <v>3.3520562463035999</v>
      </c>
      <c r="J970" s="14">
        <v>42380.581516203703</v>
      </c>
      <c r="K970">
        <v>7.99</v>
      </c>
      <c r="L970" s="5">
        <f>('[1]Pizza Sales Calculations'!$J970-'[1]Pizza Sales Calculations'!$C970)*24*60</f>
        <v>16.749999996973202</v>
      </c>
      <c r="M970">
        <f>COUNTA('[1]Pizza Sales Calculations'!$D970:$F970)</f>
        <v>1</v>
      </c>
      <c r="N970">
        <f>IFERROR(VLOOKUP(D970,[1]Parameters!$A$3:$C$5,3,FALSE),0)</f>
        <v>1</v>
      </c>
      <c r="O970">
        <f>IFERROR(VLOOKUP(E970,[1]Parameters!$A$3:$C$5,3,FALSE),0)</f>
        <v>0</v>
      </c>
      <c r="P970">
        <f>IFERROR(VLOOKUP(F970,[1]Parameters!$A$3:$C$5,3,FALSE),0)</f>
        <v>0</v>
      </c>
      <c r="Q970">
        <f t="shared" si="15"/>
        <v>1</v>
      </c>
      <c r="R970" s="10">
        <f>IF('[1]Pizza Sales Calculations'!$G970=TRUE, [1]Parameters!$B$17*'[1]Pizza Sales Calculations'!$L970*2, 0)</f>
        <v>4.7458333324757405</v>
      </c>
      <c r="S970" t="str">
        <f>IF(I970&lt;[1]Parameters!$B$21,"TRUE","FALSE")</f>
        <v>FALSE</v>
      </c>
      <c r="T970" s="5">
        <f>(I970/[1]Parameters!$B$25)*60</f>
        <v>6.7041124926071998</v>
      </c>
      <c r="U970" s="10">
        <f>IF(AND('[1]Pizza Sales Calculations'!G970=TRUE,'[1]Pizza Sales Calculations'!S970="TRUE"),T970*[1]Parameters!$B$40*2,0)</f>
        <v>0</v>
      </c>
      <c r="V970">
        <f>INDEX([1]Parameters!$A$3:$C$5,MATCH('[1]Pizza Sales Calculations'!D970,[1]Parameters!$A$3:$A$5,0),2)</f>
        <v>7</v>
      </c>
      <c r="W970" t="e">
        <f>INDEX([1]Parameters!$A$3:$C$5,MATCH('[1]Pizza Sales Calculations'!E970,[1]Parameters!$A$3:$A$5,0),2)</f>
        <v>#N/A</v>
      </c>
      <c r="X970" t="e">
        <f>INDEX([1]Parameters!$A$3:$C$5,MATCH('[1]Pizza Sales Calculations'!F970,[1]Parameters!$A$3:$A$5,0),2)</f>
        <v>#N/A</v>
      </c>
    </row>
    <row r="971" spans="1:24" x14ac:dyDescent="0.3">
      <c r="A971">
        <v>970</v>
      </c>
      <c r="B971" s="14">
        <v>42380.592916666668</v>
      </c>
      <c r="C971" s="14">
        <v>42380.603333333333</v>
      </c>
      <c r="D971" t="s">
        <v>3</v>
      </c>
      <c r="E971" t="s">
        <v>5</v>
      </c>
      <c r="G971" t="b">
        <v>1</v>
      </c>
      <c r="H971">
        <v>70806</v>
      </c>
      <c r="I971" s="5">
        <v>4.2264476510380202</v>
      </c>
      <c r="J971" s="14">
        <v>42380.617997685185</v>
      </c>
      <c r="K971">
        <v>23.34</v>
      </c>
      <c r="L971" s="5">
        <f>('[1]Pizza Sales Calculations'!$J971-'[1]Pizza Sales Calculations'!$C971)*24*60</f>
        <v>21.116666668094695</v>
      </c>
      <c r="M971">
        <f>COUNTA('[1]Pizza Sales Calculations'!$D971:$F971)</f>
        <v>2</v>
      </c>
      <c r="N971">
        <f>IFERROR(VLOOKUP(D971,[1]Parameters!$A$3:$C$5,3,FALSE),0)</f>
        <v>1</v>
      </c>
      <c r="O971">
        <f>IFERROR(VLOOKUP(E971,[1]Parameters!$A$3:$C$5,3,FALSE),0)</f>
        <v>2.2999999999999998</v>
      </c>
      <c r="P971">
        <f>IFERROR(VLOOKUP(F971,[1]Parameters!$A$3:$C$5,3,FALSE),0)</f>
        <v>0</v>
      </c>
      <c r="Q971">
        <f t="shared" si="15"/>
        <v>3.3</v>
      </c>
      <c r="R971" s="10">
        <f>IF('[1]Pizza Sales Calculations'!$G971=TRUE, [1]Parameters!$B$17*'[1]Pizza Sales Calculations'!$L971*2, 0)</f>
        <v>5.9830555559601635</v>
      </c>
      <c r="S971" t="str">
        <f>IF(I971&lt;[1]Parameters!$B$21,"TRUE","FALSE")</f>
        <v>FALSE</v>
      </c>
      <c r="T971" s="5">
        <f>(I971/[1]Parameters!$B$25)*60</f>
        <v>8.4528953020760405</v>
      </c>
      <c r="U971" s="10">
        <f>IF(AND('[1]Pizza Sales Calculations'!G971=TRUE,'[1]Pizza Sales Calculations'!S971="TRUE"),T971*[1]Parameters!$B$40*2,0)</f>
        <v>0</v>
      </c>
      <c r="V971">
        <f>INDEX([1]Parameters!$A$3:$C$5,MATCH('[1]Pizza Sales Calculations'!D971,[1]Parameters!$A$3:$A$5,0),2)</f>
        <v>7</v>
      </c>
      <c r="W971">
        <f>INDEX([1]Parameters!$A$3:$C$5,MATCH('[1]Pizza Sales Calculations'!E971,[1]Parameters!$A$3:$A$5,0),2)</f>
        <v>14</v>
      </c>
      <c r="X971" t="e">
        <f>INDEX([1]Parameters!$A$3:$C$5,MATCH('[1]Pizza Sales Calculations'!F971,[1]Parameters!$A$3:$A$5,0),2)</f>
        <v>#N/A</v>
      </c>
    </row>
    <row r="972" spans="1:24" x14ac:dyDescent="0.3">
      <c r="A972">
        <v>971</v>
      </c>
      <c r="B972" s="14">
        <v>42380.478946759256</v>
      </c>
      <c r="C972" s="14">
        <v>42380.489363425928</v>
      </c>
      <c r="D972" t="s">
        <v>3</v>
      </c>
      <c r="E972" t="s">
        <v>4</v>
      </c>
      <c r="F972" t="s">
        <v>5</v>
      </c>
      <c r="G972" t="b">
        <v>1</v>
      </c>
      <c r="H972">
        <v>70804</v>
      </c>
      <c r="I972" s="5">
        <v>2.5904276121458398</v>
      </c>
      <c r="J972" s="14">
        <v>42380.498356481483</v>
      </c>
      <c r="K972">
        <v>33.93</v>
      </c>
      <c r="L972" s="5">
        <f>('[1]Pizza Sales Calculations'!$J972-'[1]Pizza Sales Calculations'!$C972)*24*60</f>
        <v>12.949999999254942</v>
      </c>
      <c r="M972">
        <f>COUNTA('[1]Pizza Sales Calculations'!$D972:$F972)</f>
        <v>3</v>
      </c>
      <c r="N972">
        <f>IFERROR(VLOOKUP(D972,[1]Parameters!$A$3:$C$5,3,FALSE),0)</f>
        <v>1</v>
      </c>
      <c r="O972">
        <f>IFERROR(VLOOKUP(E972,[1]Parameters!$A$3:$C$5,3,FALSE),0)</f>
        <v>1.7</v>
      </c>
      <c r="P972">
        <f>IFERROR(VLOOKUP(F972,[1]Parameters!$A$3:$C$5,3,FALSE),0)</f>
        <v>2.2999999999999998</v>
      </c>
      <c r="Q972">
        <f t="shared" si="15"/>
        <v>5</v>
      </c>
      <c r="R972" s="10">
        <f>IF('[1]Pizza Sales Calculations'!$G972=TRUE, [1]Parameters!$B$17*'[1]Pizza Sales Calculations'!$L972*2, 0)</f>
        <v>3.6691666664555669</v>
      </c>
      <c r="S972" t="str">
        <f>IF(I972&lt;[1]Parameters!$B$21,"TRUE","FALSE")</f>
        <v>TRUE</v>
      </c>
      <c r="T972" s="5">
        <f>(I972/[1]Parameters!$B$25)*60</f>
        <v>5.1808552242916797</v>
      </c>
      <c r="U972" s="10">
        <f>IF(AND('[1]Pizza Sales Calculations'!G972=TRUE,'[1]Pizza Sales Calculations'!S972="TRUE"),T972*[1]Parameters!$B$40*2,0)</f>
        <v>0.3234025989450669</v>
      </c>
      <c r="V972">
        <f>INDEX([1]Parameters!$A$3:$C$5,MATCH('[1]Pizza Sales Calculations'!D972,[1]Parameters!$A$3:$A$5,0),2)</f>
        <v>7</v>
      </c>
      <c r="W972">
        <f>INDEX([1]Parameters!$A$3:$C$5,MATCH('[1]Pizza Sales Calculations'!E972,[1]Parameters!$A$3:$A$5,0),2)</f>
        <v>10</v>
      </c>
      <c r="X972">
        <f>INDEX([1]Parameters!$A$3:$C$5,MATCH('[1]Pizza Sales Calculations'!F972,[1]Parameters!$A$3:$A$5,0),2)</f>
        <v>14</v>
      </c>
    </row>
    <row r="973" spans="1:24" x14ac:dyDescent="0.3">
      <c r="A973">
        <v>972</v>
      </c>
      <c r="B973" s="14">
        <v>42380.582465277781</v>
      </c>
      <c r="C973" s="14">
        <v>42380.592893518522</v>
      </c>
      <c r="D973" t="s">
        <v>3</v>
      </c>
      <c r="G973" t="b">
        <v>1</v>
      </c>
      <c r="H973">
        <v>70804</v>
      </c>
      <c r="I973" s="5">
        <v>1.94425431047178</v>
      </c>
      <c r="J973" s="14">
        <v>42380.599641203706</v>
      </c>
      <c r="K973">
        <v>7.99</v>
      </c>
      <c r="L973" s="5">
        <f>('[1]Pizza Sales Calculations'!$J973-'[1]Pizza Sales Calculations'!$C973)*24*60</f>
        <v>9.7166666644625366</v>
      </c>
      <c r="M973">
        <f>COUNTA('[1]Pizza Sales Calculations'!$D973:$F973)</f>
        <v>1</v>
      </c>
      <c r="N973">
        <f>IFERROR(VLOOKUP(D973,[1]Parameters!$A$3:$C$5,3,FALSE),0)</f>
        <v>1</v>
      </c>
      <c r="O973">
        <f>IFERROR(VLOOKUP(E973,[1]Parameters!$A$3:$C$5,3,FALSE),0)</f>
        <v>0</v>
      </c>
      <c r="P973">
        <f>IFERROR(VLOOKUP(F973,[1]Parameters!$A$3:$C$5,3,FALSE),0)</f>
        <v>0</v>
      </c>
      <c r="Q973">
        <f t="shared" si="15"/>
        <v>1</v>
      </c>
      <c r="R973" s="10">
        <f>IF('[1]Pizza Sales Calculations'!$G973=TRUE, [1]Parameters!$B$17*'[1]Pizza Sales Calculations'!$L973*2, 0)</f>
        <v>2.753055554931052</v>
      </c>
      <c r="S973" t="str">
        <f>IF(I973&lt;[1]Parameters!$B$21,"TRUE","FALSE")</f>
        <v>TRUE</v>
      </c>
      <c r="T973" s="5">
        <f>(I973/[1]Parameters!$B$25)*60</f>
        <v>3.8885086209435595</v>
      </c>
      <c r="U973" s="10">
        <f>IF(AND('[1]Pizza Sales Calculations'!G973=TRUE,'[1]Pizza Sales Calculations'!S973="TRUE"),T973*[1]Parameters!$B$40*2,0)</f>
        <v>0.24273092753819933</v>
      </c>
      <c r="V973">
        <f>INDEX([1]Parameters!$A$3:$C$5,MATCH('[1]Pizza Sales Calculations'!D973,[1]Parameters!$A$3:$A$5,0),2)</f>
        <v>7</v>
      </c>
      <c r="W973" t="e">
        <f>INDEX([1]Parameters!$A$3:$C$5,MATCH('[1]Pizza Sales Calculations'!E973,[1]Parameters!$A$3:$A$5,0),2)</f>
        <v>#N/A</v>
      </c>
      <c r="X973" t="e">
        <f>INDEX([1]Parameters!$A$3:$C$5,MATCH('[1]Pizza Sales Calculations'!F973,[1]Parameters!$A$3:$A$5,0),2)</f>
        <v>#N/A</v>
      </c>
    </row>
    <row r="974" spans="1:24" x14ac:dyDescent="0.3">
      <c r="A974">
        <v>973</v>
      </c>
      <c r="B974" s="14">
        <v>42380.490995370368</v>
      </c>
      <c r="C974" s="14">
        <v>42380.501400462963</v>
      </c>
      <c r="D974" t="s">
        <v>3</v>
      </c>
      <c r="E974" t="s">
        <v>4</v>
      </c>
      <c r="G974" t="b">
        <v>0</v>
      </c>
      <c r="H974">
        <v>70805</v>
      </c>
      <c r="I974" s="5">
        <v>0</v>
      </c>
      <c r="J974" s="14">
        <v>42380.503472222219</v>
      </c>
      <c r="K974">
        <v>19.579999999999998</v>
      </c>
      <c r="L974" s="5">
        <f>('[1]Pizza Sales Calculations'!$J974-'[1]Pizza Sales Calculations'!$C974)*24*60</f>
        <v>2.9833333287388086</v>
      </c>
      <c r="M974">
        <f>COUNTA('[1]Pizza Sales Calculations'!$D974:$F974)</f>
        <v>2</v>
      </c>
      <c r="N974">
        <f>IFERROR(VLOOKUP(D974,[1]Parameters!$A$3:$C$5,3,FALSE),0)</f>
        <v>1</v>
      </c>
      <c r="O974">
        <f>IFERROR(VLOOKUP(E974,[1]Parameters!$A$3:$C$5,3,FALSE),0)</f>
        <v>1.7</v>
      </c>
      <c r="P974">
        <f>IFERROR(VLOOKUP(F974,[1]Parameters!$A$3:$C$5,3,FALSE),0)</f>
        <v>0</v>
      </c>
      <c r="Q974">
        <f t="shared" si="15"/>
        <v>2.7</v>
      </c>
      <c r="R974" s="10">
        <f>IF('[1]Pizza Sales Calculations'!$G974=TRUE, [1]Parameters!$B$17*'[1]Pizza Sales Calculations'!$L974*2, 0)</f>
        <v>0</v>
      </c>
      <c r="S974" t="str">
        <f>IF(I974&lt;[1]Parameters!$B$21,"TRUE","FALSE")</f>
        <v>TRUE</v>
      </c>
      <c r="T974" s="5">
        <f>(I974/[1]Parameters!$B$25)*60</f>
        <v>0</v>
      </c>
      <c r="U974" s="10">
        <f>IF(AND('[1]Pizza Sales Calculations'!G974=TRUE,'[1]Pizza Sales Calculations'!S974="TRUE"),T974*[1]Parameters!$B$40*2,0)</f>
        <v>0</v>
      </c>
      <c r="V974">
        <f>INDEX([1]Parameters!$A$3:$C$5,MATCH('[1]Pizza Sales Calculations'!D974,[1]Parameters!$A$3:$A$5,0),2)</f>
        <v>7</v>
      </c>
      <c r="W974">
        <f>INDEX([1]Parameters!$A$3:$C$5,MATCH('[1]Pizza Sales Calculations'!E974,[1]Parameters!$A$3:$A$5,0),2)</f>
        <v>10</v>
      </c>
      <c r="X974" t="e">
        <f>INDEX([1]Parameters!$A$3:$C$5,MATCH('[1]Pizza Sales Calculations'!F974,[1]Parameters!$A$3:$A$5,0),2)</f>
        <v>#N/A</v>
      </c>
    </row>
    <row r="975" spans="1:24" x14ac:dyDescent="0.3">
      <c r="A975">
        <v>974</v>
      </c>
      <c r="B975" s="14">
        <v>42380.518217592595</v>
      </c>
      <c r="C975" s="14">
        <v>42380.528622685182</v>
      </c>
      <c r="D975" t="s">
        <v>3</v>
      </c>
      <c r="E975" t="s">
        <v>4</v>
      </c>
      <c r="G975" t="b">
        <v>1</v>
      </c>
      <c r="H975">
        <v>70805</v>
      </c>
      <c r="I975" s="5">
        <v>3.01970799804125</v>
      </c>
      <c r="J975" s="14">
        <v>42380.539097222223</v>
      </c>
      <c r="K975">
        <v>19.579999999999998</v>
      </c>
      <c r="L975" s="5">
        <f>('[1]Pizza Sales Calculations'!$J975-'[1]Pizza Sales Calculations'!$C975)*24*60</f>
        <v>15.083333338843659</v>
      </c>
      <c r="M975">
        <f>COUNTA('[1]Pizza Sales Calculations'!$D975:$F975)</f>
        <v>2</v>
      </c>
      <c r="N975">
        <f>IFERROR(VLOOKUP(D975,[1]Parameters!$A$3:$C$5,3,FALSE),0)</f>
        <v>1</v>
      </c>
      <c r="O975">
        <f>IFERROR(VLOOKUP(E975,[1]Parameters!$A$3:$C$5,3,FALSE),0)</f>
        <v>1.7</v>
      </c>
      <c r="P975">
        <f>IFERROR(VLOOKUP(F975,[1]Parameters!$A$3:$C$5,3,FALSE),0)</f>
        <v>0</v>
      </c>
      <c r="Q975">
        <f t="shared" si="15"/>
        <v>2.7</v>
      </c>
      <c r="R975" s="10">
        <f>IF('[1]Pizza Sales Calculations'!$G975=TRUE, [1]Parameters!$B$17*'[1]Pizza Sales Calculations'!$L975*2, 0)</f>
        <v>4.2736111126723699</v>
      </c>
      <c r="S975" t="str">
        <f>IF(I975&lt;[1]Parameters!$B$21,"TRUE","FALSE")</f>
        <v>TRUE</v>
      </c>
      <c r="T975" s="5">
        <f>(I975/[1]Parameters!$B$25)*60</f>
        <v>6.0394159960825</v>
      </c>
      <c r="U975" s="10">
        <f>IF(AND('[1]Pizza Sales Calculations'!G975=TRUE,'[1]Pizza Sales Calculations'!S975="TRUE"),T975*[1]Parameters!$B$40*2,0)</f>
        <v>0.37699621871030464</v>
      </c>
      <c r="V975">
        <f>INDEX([1]Parameters!$A$3:$C$5,MATCH('[1]Pizza Sales Calculations'!D975,[1]Parameters!$A$3:$A$5,0),2)</f>
        <v>7</v>
      </c>
      <c r="W975">
        <f>INDEX([1]Parameters!$A$3:$C$5,MATCH('[1]Pizza Sales Calculations'!E975,[1]Parameters!$A$3:$A$5,0),2)</f>
        <v>10</v>
      </c>
      <c r="X975" t="e">
        <f>INDEX([1]Parameters!$A$3:$C$5,MATCH('[1]Pizza Sales Calculations'!F975,[1]Parameters!$A$3:$A$5,0),2)</f>
        <v>#N/A</v>
      </c>
    </row>
    <row r="976" spans="1:24" x14ac:dyDescent="0.3">
      <c r="A976">
        <v>975</v>
      </c>
      <c r="B976" s="14">
        <v>42380.469641203701</v>
      </c>
      <c r="C976" s="14">
        <v>42380.480046296296</v>
      </c>
      <c r="D976" t="s">
        <v>3</v>
      </c>
      <c r="E976" t="s">
        <v>4</v>
      </c>
      <c r="G976" t="b">
        <v>1</v>
      </c>
      <c r="H976">
        <v>70805</v>
      </c>
      <c r="I976" s="5">
        <v>2.56196176503934</v>
      </c>
      <c r="J976" s="14">
        <v>42380.488935185182</v>
      </c>
      <c r="K976">
        <v>19.579999999999998</v>
      </c>
      <c r="L976" s="5">
        <f>('[1]Pizza Sales Calculations'!$J976-'[1]Pizza Sales Calculations'!$C976)*24*60</f>
        <v>12.799999995622784</v>
      </c>
      <c r="M976">
        <f>COUNTA('[1]Pizza Sales Calculations'!$D976:$F976)</f>
        <v>2</v>
      </c>
      <c r="N976">
        <f>IFERROR(VLOOKUP(D976,[1]Parameters!$A$3:$C$5,3,FALSE),0)</f>
        <v>1</v>
      </c>
      <c r="O976">
        <f>IFERROR(VLOOKUP(E976,[1]Parameters!$A$3:$C$5,3,FALSE),0)</f>
        <v>1.7</v>
      </c>
      <c r="P976">
        <f>IFERROR(VLOOKUP(F976,[1]Parameters!$A$3:$C$5,3,FALSE),0)</f>
        <v>0</v>
      </c>
      <c r="Q976">
        <f t="shared" si="15"/>
        <v>2.7</v>
      </c>
      <c r="R976" s="10">
        <f>IF('[1]Pizza Sales Calculations'!$G976=TRUE, [1]Parameters!$B$17*'[1]Pizza Sales Calculations'!$L976*2, 0)</f>
        <v>3.6266666654264554</v>
      </c>
      <c r="S976" t="str">
        <f>IF(I976&lt;[1]Parameters!$B$21,"TRUE","FALSE")</f>
        <v>TRUE</v>
      </c>
      <c r="T976" s="5">
        <f>(I976/[1]Parameters!$B$25)*60</f>
        <v>5.1239235300786801</v>
      </c>
      <c r="U976" s="10">
        <f>IF(AND('[1]Pizza Sales Calculations'!G976=TRUE,'[1]Pizza Sales Calculations'!S976="TRUE"),T976*[1]Parameters!$B$40*2,0)</f>
        <v>0.31984877296967551</v>
      </c>
      <c r="V976">
        <f>INDEX([1]Parameters!$A$3:$C$5,MATCH('[1]Pizza Sales Calculations'!D976,[1]Parameters!$A$3:$A$5,0),2)</f>
        <v>7</v>
      </c>
      <c r="W976">
        <f>INDEX([1]Parameters!$A$3:$C$5,MATCH('[1]Pizza Sales Calculations'!E976,[1]Parameters!$A$3:$A$5,0),2)</f>
        <v>10</v>
      </c>
      <c r="X976" t="e">
        <f>INDEX([1]Parameters!$A$3:$C$5,MATCH('[1]Pizza Sales Calculations'!F976,[1]Parameters!$A$3:$A$5,0),2)</f>
        <v>#N/A</v>
      </c>
    </row>
    <row r="977" spans="1:24" x14ac:dyDescent="0.3">
      <c r="A977">
        <v>976</v>
      </c>
      <c r="B977" s="14">
        <v>42380.522627314815</v>
      </c>
      <c r="C977" s="14">
        <v>42380.533043981479</v>
      </c>
      <c r="D977" t="s">
        <v>3</v>
      </c>
      <c r="G977" t="b">
        <v>1</v>
      </c>
      <c r="H977">
        <v>70808</v>
      </c>
      <c r="I977" s="5">
        <v>0.88712829595254095</v>
      </c>
      <c r="J977" s="14">
        <v>42380.536122685182</v>
      </c>
      <c r="K977">
        <v>7.99</v>
      </c>
      <c r="L977" s="5">
        <f>('[1]Pizza Sales Calculations'!$J977-'[1]Pizza Sales Calculations'!$C977)*24*60</f>
        <v>4.4333333324175328</v>
      </c>
      <c r="M977">
        <f>COUNTA('[1]Pizza Sales Calculations'!$D977:$F977)</f>
        <v>1</v>
      </c>
      <c r="N977">
        <f>IFERROR(VLOOKUP(D977,[1]Parameters!$A$3:$C$5,3,FALSE),0)</f>
        <v>1</v>
      </c>
      <c r="O977">
        <f>IFERROR(VLOOKUP(E977,[1]Parameters!$A$3:$C$5,3,FALSE),0)</f>
        <v>0</v>
      </c>
      <c r="P977">
        <f>IFERROR(VLOOKUP(F977,[1]Parameters!$A$3:$C$5,3,FALSE),0)</f>
        <v>0</v>
      </c>
      <c r="Q977">
        <f t="shared" si="15"/>
        <v>1</v>
      </c>
      <c r="R977" s="10">
        <f>IF('[1]Pizza Sales Calculations'!$G977=TRUE, [1]Parameters!$B$17*'[1]Pizza Sales Calculations'!$L977*2, 0)</f>
        <v>1.2561111108516343</v>
      </c>
      <c r="S977" t="str">
        <f>IF(I977&lt;[1]Parameters!$B$21,"TRUE","FALSE")</f>
        <v>TRUE</v>
      </c>
      <c r="T977" s="5">
        <f>(I977/[1]Parameters!$B$25)*60</f>
        <v>1.7742565919050819</v>
      </c>
      <c r="U977" s="10">
        <f>IF(AND('[1]Pizza Sales Calculations'!G977=TRUE,'[1]Pizza Sales Calculations'!S977="TRUE"),T977*[1]Parameters!$B$40*2,0)</f>
        <v>0.11075375940387711</v>
      </c>
      <c r="V977">
        <f>INDEX([1]Parameters!$A$3:$C$5,MATCH('[1]Pizza Sales Calculations'!D977,[1]Parameters!$A$3:$A$5,0),2)</f>
        <v>7</v>
      </c>
      <c r="W977" t="e">
        <f>INDEX([1]Parameters!$A$3:$C$5,MATCH('[1]Pizza Sales Calculations'!E977,[1]Parameters!$A$3:$A$5,0),2)</f>
        <v>#N/A</v>
      </c>
      <c r="X977" t="e">
        <f>INDEX([1]Parameters!$A$3:$C$5,MATCH('[1]Pizza Sales Calculations'!F977,[1]Parameters!$A$3:$A$5,0),2)</f>
        <v>#N/A</v>
      </c>
    </row>
    <row r="978" spans="1:24" x14ac:dyDescent="0.3">
      <c r="A978">
        <v>977</v>
      </c>
      <c r="B978" s="14">
        <v>42380.477025462962</v>
      </c>
      <c r="C978" s="14">
        <v>42380.487430555557</v>
      </c>
      <c r="D978" t="s">
        <v>4</v>
      </c>
      <c r="G978" t="b">
        <v>1</v>
      </c>
      <c r="H978">
        <v>70806</v>
      </c>
      <c r="I978" s="5">
        <v>3.9579237755916399</v>
      </c>
      <c r="J978" s="14">
        <v>42380.501168981478</v>
      </c>
      <c r="K978">
        <v>11.59</v>
      </c>
      <c r="L978" s="5">
        <f>('[1]Pizza Sales Calculations'!$J978-'[1]Pizza Sales Calculations'!$C978)*24*60</f>
        <v>19.78333332692273</v>
      </c>
      <c r="M978">
        <f>COUNTA('[1]Pizza Sales Calculations'!$D978:$F978)</f>
        <v>1</v>
      </c>
      <c r="N978">
        <f>IFERROR(VLOOKUP(D978,[1]Parameters!$A$3:$C$5,3,FALSE),0)</f>
        <v>1.7</v>
      </c>
      <c r="O978">
        <f>IFERROR(VLOOKUP(E978,[1]Parameters!$A$3:$C$5,3,FALSE),0)</f>
        <v>0</v>
      </c>
      <c r="P978">
        <f>IFERROR(VLOOKUP(F978,[1]Parameters!$A$3:$C$5,3,FALSE),0)</f>
        <v>0</v>
      </c>
      <c r="Q978">
        <f t="shared" si="15"/>
        <v>1.7</v>
      </c>
      <c r="R978" s="10">
        <f>IF('[1]Pizza Sales Calculations'!$G978=TRUE, [1]Parameters!$B$17*'[1]Pizza Sales Calculations'!$L978*2, 0)</f>
        <v>5.6052777759614401</v>
      </c>
      <c r="S978" t="str">
        <f>IF(I978&lt;[1]Parameters!$B$21,"TRUE","FALSE")</f>
        <v>FALSE</v>
      </c>
      <c r="T978" s="5">
        <f>(I978/[1]Parameters!$B$25)*60</f>
        <v>7.9158475511832807</v>
      </c>
      <c r="U978" s="10">
        <f>IF(AND('[1]Pizza Sales Calculations'!G978=TRUE,'[1]Pizza Sales Calculations'!S978="TRUE"),T978*[1]Parameters!$B$40*2,0)</f>
        <v>0</v>
      </c>
      <c r="V978">
        <f>INDEX([1]Parameters!$A$3:$C$5,MATCH('[1]Pizza Sales Calculations'!D978,[1]Parameters!$A$3:$A$5,0),2)</f>
        <v>10</v>
      </c>
      <c r="W978" t="e">
        <f>INDEX([1]Parameters!$A$3:$C$5,MATCH('[1]Pizza Sales Calculations'!E978,[1]Parameters!$A$3:$A$5,0),2)</f>
        <v>#N/A</v>
      </c>
      <c r="X978" t="e">
        <f>INDEX([1]Parameters!$A$3:$C$5,MATCH('[1]Pizza Sales Calculations'!F978,[1]Parameters!$A$3:$A$5,0),2)</f>
        <v>#N/A</v>
      </c>
    </row>
    <row r="979" spans="1:24" x14ac:dyDescent="0.3">
      <c r="A979">
        <v>978</v>
      </c>
      <c r="B979" s="14">
        <v>42380.442442129628</v>
      </c>
      <c r="C979" s="14">
        <v>42380.452847222223</v>
      </c>
      <c r="D979" t="s">
        <v>3</v>
      </c>
      <c r="G979" t="b">
        <v>0</v>
      </c>
      <c r="H979">
        <v>70805</v>
      </c>
      <c r="I979" s="5">
        <v>0</v>
      </c>
      <c r="J979" s="14">
        <v>42380.454918981479</v>
      </c>
      <c r="K979">
        <v>7.99</v>
      </c>
      <c r="L979" s="5">
        <f>('[1]Pizza Sales Calculations'!$J979-'[1]Pizza Sales Calculations'!$C979)*24*60</f>
        <v>2.9833333287388086</v>
      </c>
      <c r="M979">
        <f>COUNTA('[1]Pizza Sales Calculations'!$D979:$F979)</f>
        <v>1</v>
      </c>
      <c r="N979">
        <f>IFERROR(VLOOKUP(D979,[1]Parameters!$A$3:$C$5,3,FALSE),0)</f>
        <v>1</v>
      </c>
      <c r="O979">
        <f>IFERROR(VLOOKUP(E979,[1]Parameters!$A$3:$C$5,3,FALSE),0)</f>
        <v>0</v>
      </c>
      <c r="P979">
        <f>IFERROR(VLOOKUP(F979,[1]Parameters!$A$3:$C$5,3,FALSE),0)</f>
        <v>0</v>
      </c>
      <c r="Q979">
        <f t="shared" si="15"/>
        <v>1</v>
      </c>
      <c r="R979" s="10">
        <f>IF('[1]Pizza Sales Calculations'!$G979=TRUE, [1]Parameters!$B$17*'[1]Pizza Sales Calculations'!$L979*2, 0)</f>
        <v>0</v>
      </c>
      <c r="S979" t="str">
        <f>IF(I979&lt;[1]Parameters!$B$21,"TRUE","FALSE")</f>
        <v>TRUE</v>
      </c>
      <c r="T979" s="5">
        <f>(I979/[1]Parameters!$B$25)*60</f>
        <v>0</v>
      </c>
      <c r="U979" s="10">
        <f>IF(AND('[1]Pizza Sales Calculations'!G979=TRUE,'[1]Pizza Sales Calculations'!S979="TRUE"),T979*[1]Parameters!$B$40*2,0)</f>
        <v>0</v>
      </c>
      <c r="V979">
        <f>INDEX([1]Parameters!$A$3:$C$5,MATCH('[1]Pizza Sales Calculations'!D979,[1]Parameters!$A$3:$A$5,0),2)</f>
        <v>7</v>
      </c>
      <c r="W979" t="e">
        <f>INDEX([1]Parameters!$A$3:$C$5,MATCH('[1]Pizza Sales Calculations'!E979,[1]Parameters!$A$3:$A$5,0),2)</f>
        <v>#N/A</v>
      </c>
      <c r="X979" t="e">
        <f>INDEX([1]Parameters!$A$3:$C$5,MATCH('[1]Pizza Sales Calculations'!F979,[1]Parameters!$A$3:$A$5,0),2)</f>
        <v>#N/A</v>
      </c>
    </row>
    <row r="980" spans="1:24" x14ac:dyDescent="0.3">
      <c r="A980">
        <v>979</v>
      </c>
      <c r="B980" s="14">
        <v>42380.467766203707</v>
      </c>
      <c r="C980" s="14">
        <v>42380.478206018517</v>
      </c>
      <c r="D980" t="s">
        <v>3</v>
      </c>
      <c r="G980" t="b">
        <v>1</v>
      </c>
      <c r="H980">
        <v>70804</v>
      </c>
      <c r="I980" s="5">
        <v>1.70835536586235</v>
      </c>
      <c r="J980" s="14">
        <v>42380.484131944446</v>
      </c>
      <c r="K980">
        <v>7.99</v>
      </c>
      <c r="L980" s="5">
        <f>('[1]Pizza Sales Calculations'!$J980-'[1]Pizza Sales Calculations'!$C980)*24*60</f>
        <v>8.5333333374001086</v>
      </c>
      <c r="M980">
        <f>COUNTA('[1]Pizza Sales Calculations'!$D980:$F980)</f>
        <v>1</v>
      </c>
      <c r="N980">
        <f>IFERROR(VLOOKUP(D980,[1]Parameters!$A$3:$C$5,3,FALSE),0)</f>
        <v>1</v>
      </c>
      <c r="O980">
        <f>IFERROR(VLOOKUP(E980,[1]Parameters!$A$3:$C$5,3,FALSE),0)</f>
        <v>0</v>
      </c>
      <c r="P980">
        <f>IFERROR(VLOOKUP(F980,[1]Parameters!$A$3:$C$5,3,FALSE),0)</f>
        <v>0</v>
      </c>
      <c r="Q980">
        <f t="shared" si="15"/>
        <v>1</v>
      </c>
      <c r="R980" s="10">
        <f>IF('[1]Pizza Sales Calculations'!$G980=TRUE, [1]Parameters!$B$17*'[1]Pizza Sales Calculations'!$L980*2, 0)</f>
        <v>2.4177777789300308</v>
      </c>
      <c r="S980" t="str">
        <f>IF(I980&lt;[1]Parameters!$B$21,"TRUE","FALSE")</f>
        <v>TRUE</v>
      </c>
      <c r="T980" s="5">
        <f>(I980/[1]Parameters!$B$25)*60</f>
        <v>3.4167107317247001</v>
      </c>
      <c r="U980" s="10">
        <f>IF(AND('[1]Pizza Sales Calculations'!G980=TRUE,'[1]Pizza Sales Calculations'!S980="TRUE"),T980*[1]Parameters!$B$40*2,0)</f>
        <v>0.21328006335755886</v>
      </c>
      <c r="V980">
        <f>INDEX([1]Parameters!$A$3:$C$5,MATCH('[1]Pizza Sales Calculations'!D980,[1]Parameters!$A$3:$A$5,0),2)</f>
        <v>7</v>
      </c>
      <c r="W980" t="e">
        <f>INDEX([1]Parameters!$A$3:$C$5,MATCH('[1]Pizza Sales Calculations'!E980,[1]Parameters!$A$3:$A$5,0),2)</f>
        <v>#N/A</v>
      </c>
      <c r="X980" t="e">
        <f>INDEX([1]Parameters!$A$3:$C$5,MATCH('[1]Pizza Sales Calculations'!F980,[1]Parameters!$A$3:$A$5,0),2)</f>
        <v>#N/A</v>
      </c>
    </row>
    <row r="981" spans="1:24" x14ac:dyDescent="0.3">
      <c r="A981">
        <v>980</v>
      </c>
      <c r="B981" s="14">
        <v>42380.473657407405</v>
      </c>
      <c r="C981" s="14">
        <v>42380.4840625</v>
      </c>
      <c r="D981" t="s">
        <v>3</v>
      </c>
      <c r="E981" t="s">
        <v>4</v>
      </c>
      <c r="G981" t="b">
        <v>0</v>
      </c>
      <c r="H981">
        <v>70805</v>
      </c>
      <c r="I981" s="5">
        <v>0</v>
      </c>
      <c r="J981" s="14">
        <v>42380.486134259256</v>
      </c>
      <c r="K981">
        <v>19.579999999999998</v>
      </c>
      <c r="L981" s="5">
        <f>('[1]Pizza Sales Calculations'!$J981-'[1]Pizza Sales Calculations'!$C981)*24*60</f>
        <v>2.9833333287388086</v>
      </c>
      <c r="M981">
        <f>COUNTA('[1]Pizza Sales Calculations'!$D981:$F981)</f>
        <v>2</v>
      </c>
      <c r="N981">
        <f>IFERROR(VLOOKUP(D981,[1]Parameters!$A$3:$C$5,3,FALSE),0)</f>
        <v>1</v>
      </c>
      <c r="O981">
        <f>IFERROR(VLOOKUP(E981,[1]Parameters!$A$3:$C$5,3,FALSE),0)</f>
        <v>1.7</v>
      </c>
      <c r="P981">
        <f>IFERROR(VLOOKUP(F981,[1]Parameters!$A$3:$C$5,3,FALSE),0)</f>
        <v>0</v>
      </c>
      <c r="Q981">
        <f t="shared" si="15"/>
        <v>2.7</v>
      </c>
      <c r="R981" s="10">
        <f>IF('[1]Pizza Sales Calculations'!$G981=TRUE, [1]Parameters!$B$17*'[1]Pizza Sales Calculations'!$L981*2, 0)</f>
        <v>0</v>
      </c>
      <c r="S981" t="str">
        <f>IF(I981&lt;[1]Parameters!$B$21,"TRUE","FALSE")</f>
        <v>TRUE</v>
      </c>
      <c r="T981" s="5">
        <f>(I981/[1]Parameters!$B$25)*60</f>
        <v>0</v>
      </c>
      <c r="U981" s="10">
        <f>IF(AND('[1]Pizza Sales Calculations'!G981=TRUE,'[1]Pizza Sales Calculations'!S981="TRUE"),T981*[1]Parameters!$B$40*2,0)</f>
        <v>0</v>
      </c>
      <c r="V981">
        <f>INDEX([1]Parameters!$A$3:$C$5,MATCH('[1]Pizza Sales Calculations'!D981,[1]Parameters!$A$3:$A$5,0),2)</f>
        <v>7</v>
      </c>
      <c r="W981">
        <f>INDEX([1]Parameters!$A$3:$C$5,MATCH('[1]Pizza Sales Calculations'!E981,[1]Parameters!$A$3:$A$5,0),2)</f>
        <v>10</v>
      </c>
      <c r="X981" t="e">
        <f>INDEX([1]Parameters!$A$3:$C$5,MATCH('[1]Pizza Sales Calculations'!F981,[1]Parameters!$A$3:$A$5,0),2)</f>
        <v>#N/A</v>
      </c>
    </row>
    <row r="982" spans="1:24" x14ac:dyDescent="0.3">
      <c r="A982">
        <v>981</v>
      </c>
      <c r="B982" s="14">
        <v>42380.571400462963</v>
      </c>
      <c r="C982" s="14">
        <v>42380.581828703704</v>
      </c>
      <c r="D982" t="s">
        <v>3</v>
      </c>
      <c r="G982" t="b">
        <v>1</v>
      </c>
      <c r="H982">
        <v>70805</v>
      </c>
      <c r="I982" s="5">
        <v>4.9282707790035101</v>
      </c>
      <c r="J982" s="14">
        <v>42380.598935185182</v>
      </c>
      <c r="K982">
        <v>7.99</v>
      </c>
      <c r="L982" s="5">
        <f>('[1]Pizza Sales Calculations'!$J982-'[1]Pizza Sales Calculations'!$C982)*24*60</f>
        <v>24.633333329111338</v>
      </c>
      <c r="M982">
        <f>COUNTA('[1]Pizza Sales Calculations'!$D982:$F982)</f>
        <v>1</v>
      </c>
      <c r="N982">
        <f>IFERROR(VLOOKUP(D982,[1]Parameters!$A$3:$C$5,3,FALSE),0)</f>
        <v>1</v>
      </c>
      <c r="O982">
        <f>IFERROR(VLOOKUP(E982,[1]Parameters!$A$3:$C$5,3,FALSE),0)</f>
        <v>0</v>
      </c>
      <c r="P982">
        <f>IFERROR(VLOOKUP(F982,[1]Parameters!$A$3:$C$5,3,FALSE),0)</f>
        <v>0</v>
      </c>
      <c r="Q982">
        <f t="shared" si="15"/>
        <v>1</v>
      </c>
      <c r="R982" s="10">
        <f>IF('[1]Pizza Sales Calculations'!$G982=TRUE, [1]Parameters!$B$17*'[1]Pizza Sales Calculations'!$L982*2, 0)</f>
        <v>6.9794444432482123</v>
      </c>
      <c r="S982" t="str">
        <f>IF(I982&lt;[1]Parameters!$B$21,"TRUE","FALSE")</f>
        <v>FALSE</v>
      </c>
      <c r="T982" s="5">
        <f>(I982/[1]Parameters!$B$25)*60</f>
        <v>9.8565415580070201</v>
      </c>
      <c r="U982" s="10">
        <f>IF(AND('[1]Pizza Sales Calculations'!G982=TRUE,'[1]Pizza Sales Calculations'!S982="TRUE"),T982*[1]Parameters!$B$40*2,0)</f>
        <v>0</v>
      </c>
      <c r="V982">
        <f>INDEX([1]Parameters!$A$3:$C$5,MATCH('[1]Pizza Sales Calculations'!D982,[1]Parameters!$A$3:$A$5,0),2)</f>
        <v>7</v>
      </c>
      <c r="W982" t="e">
        <f>INDEX([1]Parameters!$A$3:$C$5,MATCH('[1]Pizza Sales Calculations'!E982,[1]Parameters!$A$3:$A$5,0),2)</f>
        <v>#N/A</v>
      </c>
      <c r="X982" t="e">
        <f>INDEX([1]Parameters!$A$3:$C$5,MATCH('[1]Pizza Sales Calculations'!F982,[1]Parameters!$A$3:$A$5,0),2)</f>
        <v>#N/A</v>
      </c>
    </row>
    <row r="983" spans="1:24" x14ac:dyDescent="0.3">
      <c r="A983">
        <v>982</v>
      </c>
      <c r="B983" s="14">
        <v>42380.480208333334</v>
      </c>
      <c r="C983" s="14">
        <v>42380.490601851852</v>
      </c>
      <c r="D983" t="s">
        <v>3</v>
      </c>
      <c r="G983" t="b">
        <v>0</v>
      </c>
      <c r="H983">
        <v>70804</v>
      </c>
      <c r="I983" s="5">
        <v>0</v>
      </c>
      <c r="J983" s="14">
        <v>42380.492673611108</v>
      </c>
      <c r="K983">
        <v>7.99</v>
      </c>
      <c r="L983" s="5">
        <f>('[1]Pizza Sales Calculations'!$J983-'[1]Pizza Sales Calculations'!$C983)*24*60</f>
        <v>2.9833333287388086</v>
      </c>
      <c r="M983">
        <f>COUNTA('[1]Pizza Sales Calculations'!$D983:$F983)</f>
        <v>1</v>
      </c>
      <c r="N983">
        <f>IFERROR(VLOOKUP(D983,[1]Parameters!$A$3:$C$5,3,FALSE),0)</f>
        <v>1</v>
      </c>
      <c r="O983">
        <f>IFERROR(VLOOKUP(E983,[1]Parameters!$A$3:$C$5,3,FALSE),0)</f>
        <v>0</v>
      </c>
      <c r="P983">
        <f>IFERROR(VLOOKUP(F983,[1]Parameters!$A$3:$C$5,3,FALSE),0)</f>
        <v>0</v>
      </c>
      <c r="Q983">
        <f t="shared" si="15"/>
        <v>1</v>
      </c>
      <c r="R983" s="10">
        <f>IF('[1]Pizza Sales Calculations'!$G983=TRUE, [1]Parameters!$B$17*'[1]Pizza Sales Calculations'!$L983*2, 0)</f>
        <v>0</v>
      </c>
      <c r="S983" t="str">
        <f>IF(I983&lt;[1]Parameters!$B$21,"TRUE","FALSE")</f>
        <v>TRUE</v>
      </c>
      <c r="T983" s="5">
        <f>(I983/[1]Parameters!$B$25)*60</f>
        <v>0</v>
      </c>
      <c r="U983" s="10">
        <f>IF(AND('[1]Pizza Sales Calculations'!G983=TRUE,'[1]Pizza Sales Calculations'!S983="TRUE"),T983*[1]Parameters!$B$40*2,0)</f>
        <v>0</v>
      </c>
      <c r="V983">
        <f>INDEX([1]Parameters!$A$3:$C$5,MATCH('[1]Pizza Sales Calculations'!D983,[1]Parameters!$A$3:$A$5,0),2)</f>
        <v>7</v>
      </c>
      <c r="W983" t="e">
        <f>INDEX([1]Parameters!$A$3:$C$5,MATCH('[1]Pizza Sales Calculations'!E983,[1]Parameters!$A$3:$A$5,0),2)</f>
        <v>#N/A</v>
      </c>
      <c r="X983" t="e">
        <f>INDEX([1]Parameters!$A$3:$C$5,MATCH('[1]Pizza Sales Calculations'!F983,[1]Parameters!$A$3:$A$5,0),2)</f>
        <v>#N/A</v>
      </c>
    </row>
    <row r="984" spans="1:24" x14ac:dyDescent="0.3">
      <c r="A984">
        <v>983</v>
      </c>
      <c r="B984" s="14">
        <v>42380.529456018521</v>
      </c>
      <c r="C984" s="14">
        <v>42380.539861111109</v>
      </c>
      <c r="D984" t="s">
        <v>4</v>
      </c>
      <c r="G984" t="b">
        <v>0</v>
      </c>
      <c r="H984">
        <v>70804</v>
      </c>
      <c r="I984" s="5">
        <v>0</v>
      </c>
      <c r="J984" s="14">
        <v>42380.541921296295</v>
      </c>
      <c r="K984">
        <v>11.59</v>
      </c>
      <c r="L984" s="5">
        <f>('[1]Pizza Sales Calculations'!$J984-'[1]Pizza Sales Calculations'!$C984)*24*60</f>
        <v>2.9666666686534882</v>
      </c>
      <c r="M984">
        <f>COUNTA('[1]Pizza Sales Calculations'!$D984:$F984)</f>
        <v>1</v>
      </c>
      <c r="N984">
        <f>IFERROR(VLOOKUP(D984,[1]Parameters!$A$3:$C$5,3,FALSE),0)</f>
        <v>1.7</v>
      </c>
      <c r="O984">
        <f>IFERROR(VLOOKUP(E984,[1]Parameters!$A$3:$C$5,3,FALSE),0)</f>
        <v>0</v>
      </c>
      <c r="P984">
        <f>IFERROR(VLOOKUP(F984,[1]Parameters!$A$3:$C$5,3,FALSE),0)</f>
        <v>0</v>
      </c>
      <c r="Q984">
        <f t="shared" si="15"/>
        <v>1.7</v>
      </c>
      <c r="R984" s="10">
        <f>IF('[1]Pizza Sales Calculations'!$G984=TRUE, [1]Parameters!$B$17*'[1]Pizza Sales Calculations'!$L984*2, 0)</f>
        <v>0</v>
      </c>
      <c r="S984" t="str">
        <f>IF(I984&lt;[1]Parameters!$B$21,"TRUE","FALSE")</f>
        <v>TRUE</v>
      </c>
      <c r="T984" s="5">
        <f>(I984/[1]Parameters!$B$25)*60</f>
        <v>0</v>
      </c>
      <c r="U984" s="10">
        <f>IF(AND('[1]Pizza Sales Calculations'!G984=TRUE,'[1]Pizza Sales Calculations'!S984="TRUE"),T984*[1]Parameters!$B$40*2,0)</f>
        <v>0</v>
      </c>
      <c r="V984">
        <f>INDEX([1]Parameters!$A$3:$C$5,MATCH('[1]Pizza Sales Calculations'!D984,[1]Parameters!$A$3:$A$5,0),2)</f>
        <v>10</v>
      </c>
      <c r="W984" t="e">
        <f>INDEX([1]Parameters!$A$3:$C$5,MATCH('[1]Pizza Sales Calculations'!E984,[1]Parameters!$A$3:$A$5,0),2)</f>
        <v>#N/A</v>
      </c>
      <c r="X984" t="e">
        <f>INDEX([1]Parameters!$A$3:$C$5,MATCH('[1]Pizza Sales Calculations'!F984,[1]Parameters!$A$3:$A$5,0),2)</f>
        <v>#N/A</v>
      </c>
    </row>
    <row r="985" spans="1:24" x14ac:dyDescent="0.3">
      <c r="A985">
        <v>984</v>
      </c>
      <c r="B985" s="14">
        <v>42380.469085648147</v>
      </c>
      <c r="C985" s="14">
        <v>42380.479502314818</v>
      </c>
      <c r="D985" t="s">
        <v>4</v>
      </c>
      <c r="G985" t="b">
        <v>1</v>
      </c>
      <c r="H985">
        <v>70805</v>
      </c>
      <c r="I985" s="5">
        <v>3.06105434523987</v>
      </c>
      <c r="J985" s="14">
        <v>42380.490127314813</v>
      </c>
      <c r="K985">
        <v>11.59</v>
      </c>
      <c r="L985" s="5">
        <f>('[1]Pizza Sales Calculations'!$J985-'[1]Pizza Sales Calculations'!$C985)*24*60</f>
        <v>15.299999993294477</v>
      </c>
      <c r="M985">
        <f>COUNTA('[1]Pizza Sales Calculations'!$D985:$F985)</f>
        <v>1</v>
      </c>
      <c r="N985">
        <f>IFERROR(VLOOKUP(D985,[1]Parameters!$A$3:$C$5,3,FALSE),0)</f>
        <v>1.7</v>
      </c>
      <c r="O985">
        <f>IFERROR(VLOOKUP(E985,[1]Parameters!$A$3:$C$5,3,FALSE),0)</f>
        <v>0</v>
      </c>
      <c r="P985">
        <f>IFERROR(VLOOKUP(F985,[1]Parameters!$A$3:$C$5,3,FALSE),0)</f>
        <v>0</v>
      </c>
      <c r="Q985">
        <f t="shared" si="15"/>
        <v>1.7</v>
      </c>
      <c r="R985" s="10">
        <f>IF('[1]Pizza Sales Calculations'!$G985=TRUE, [1]Parameters!$B$17*'[1]Pizza Sales Calculations'!$L985*2, 0)</f>
        <v>4.3349999981001019</v>
      </c>
      <c r="S985" t="str">
        <f>IF(I985&lt;[1]Parameters!$B$21,"TRUE","FALSE")</f>
        <v>TRUE</v>
      </c>
      <c r="T985" s="5">
        <f>(I985/[1]Parameters!$B$25)*60</f>
        <v>6.1221086904797399</v>
      </c>
      <c r="U985" s="10">
        <f>IF(AND('[1]Pizza Sales Calculations'!G985=TRUE,'[1]Pizza Sales Calculations'!S985="TRUE"),T985*[1]Parameters!$B$40*2,0)</f>
        <v>0.38215811401987565</v>
      </c>
      <c r="V985">
        <f>INDEX([1]Parameters!$A$3:$C$5,MATCH('[1]Pizza Sales Calculations'!D985,[1]Parameters!$A$3:$A$5,0),2)</f>
        <v>10</v>
      </c>
      <c r="W985" t="e">
        <f>INDEX([1]Parameters!$A$3:$C$5,MATCH('[1]Pizza Sales Calculations'!E985,[1]Parameters!$A$3:$A$5,0),2)</f>
        <v>#N/A</v>
      </c>
      <c r="X985" t="e">
        <f>INDEX([1]Parameters!$A$3:$C$5,MATCH('[1]Pizza Sales Calculations'!F985,[1]Parameters!$A$3:$A$5,0),2)</f>
        <v>#N/A</v>
      </c>
    </row>
    <row r="986" spans="1:24" x14ac:dyDescent="0.3">
      <c r="A986">
        <v>985</v>
      </c>
      <c r="B986" s="14">
        <v>42380.435231481482</v>
      </c>
      <c r="C986" s="14">
        <v>42380.445648148147</v>
      </c>
      <c r="D986" t="s">
        <v>5</v>
      </c>
      <c r="G986" t="b">
        <v>0</v>
      </c>
      <c r="H986">
        <v>70804</v>
      </c>
      <c r="I986" s="5">
        <v>0</v>
      </c>
      <c r="J986" s="14">
        <v>42380.44771990741</v>
      </c>
      <c r="K986">
        <v>15.35</v>
      </c>
      <c r="L986" s="5">
        <f>('[1]Pizza Sales Calculations'!$J986-'[1]Pizza Sales Calculations'!$C986)*24*60</f>
        <v>2.9833333392161876</v>
      </c>
      <c r="M986">
        <f>COUNTA('[1]Pizza Sales Calculations'!$D986:$F986)</f>
        <v>1</v>
      </c>
      <c r="N986">
        <f>IFERROR(VLOOKUP(D986,[1]Parameters!$A$3:$C$5,3,FALSE),0)</f>
        <v>2.2999999999999998</v>
      </c>
      <c r="O986">
        <f>IFERROR(VLOOKUP(E986,[1]Parameters!$A$3:$C$5,3,FALSE),0)</f>
        <v>0</v>
      </c>
      <c r="P986">
        <f>IFERROR(VLOOKUP(F986,[1]Parameters!$A$3:$C$5,3,FALSE),0)</f>
        <v>0</v>
      </c>
      <c r="Q986">
        <f t="shared" si="15"/>
        <v>2.2999999999999998</v>
      </c>
      <c r="R986" s="10">
        <f>IF('[1]Pizza Sales Calculations'!$G986=TRUE, [1]Parameters!$B$17*'[1]Pizza Sales Calculations'!$L986*2, 0)</f>
        <v>0</v>
      </c>
      <c r="S986" t="str">
        <f>IF(I986&lt;[1]Parameters!$B$21,"TRUE","FALSE")</f>
        <v>TRUE</v>
      </c>
      <c r="T986" s="5">
        <f>(I986/[1]Parameters!$B$25)*60</f>
        <v>0</v>
      </c>
      <c r="U986" s="10">
        <f>IF(AND('[1]Pizza Sales Calculations'!G986=TRUE,'[1]Pizza Sales Calculations'!S986="TRUE"),T986*[1]Parameters!$B$40*2,0)</f>
        <v>0</v>
      </c>
      <c r="V986">
        <f>INDEX([1]Parameters!$A$3:$C$5,MATCH('[1]Pizza Sales Calculations'!D986,[1]Parameters!$A$3:$A$5,0),2)</f>
        <v>14</v>
      </c>
      <c r="W986" t="e">
        <f>INDEX([1]Parameters!$A$3:$C$5,MATCH('[1]Pizza Sales Calculations'!E986,[1]Parameters!$A$3:$A$5,0),2)</f>
        <v>#N/A</v>
      </c>
      <c r="X986" t="e">
        <f>INDEX([1]Parameters!$A$3:$C$5,MATCH('[1]Pizza Sales Calculations'!F986,[1]Parameters!$A$3:$A$5,0),2)</f>
        <v>#N/A</v>
      </c>
    </row>
    <row r="987" spans="1:24" x14ac:dyDescent="0.3">
      <c r="A987">
        <v>986</v>
      </c>
      <c r="B987" s="14">
        <v>42380.461736111109</v>
      </c>
      <c r="C987" s="14">
        <v>42380.472141203703</v>
      </c>
      <c r="D987" t="s">
        <v>3</v>
      </c>
      <c r="E987" t="s">
        <v>4</v>
      </c>
      <c r="G987" t="b">
        <v>1</v>
      </c>
      <c r="H987">
        <v>70805</v>
      </c>
      <c r="I987" s="5">
        <v>1.74756379576123</v>
      </c>
      <c r="J987" s="14">
        <v>42380.478206018517</v>
      </c>
      <c r="K987">
        <v>19.579999999999998</v>
      </c>
      <c r="L987" s="5">
        <f>('[1]Pizza Sales Calculations'!$J987-'[1]Pizza Sales Calculations'!$C987)*24*60</f>
        <v>8.733333331765607</v>
      </c>
      <c r="M987">
        <f>COUNTA('[1]Pizza Sales Calculations'!$D987:$F987)</f>
        <v>2</v>
      </c>
      <c r="N987">
        <f>IFERROR(VLOOKUP(D987,[1]Parameters!$A$3:$C$5,3,FALSE),0)</f>
        <v>1</v>
      </c>
      <c r="O987">
        <f>IFERROR(VLOOKUP(E987,[1]Parameters!$A$3:$C$5,3,FALSE),0)</f>
        <v>1.7</v>
      </c>
      <c r="P987">
        <f>IFERROR(VLOOKUP(F987,[1]Parameters!$A$3:$C$5,3,FALSE),0)</f>
        <v>0</v>
      </c>
      <c r="Q987">
        <f t="shared" si="15"/>
        <v>2.7</v>
      </c>
      <c r="R987" s="10">
        <f>IF('[1]Pizza Sales Calculations'!$G987=TRUE, [1]Parameters!$B$17*'[1]Pizza Sales Calculations'!$L987*2, 0)</f>
        <v>2.4744444440002553</v>
      </c>
      <c r="S987" t="str">
        <f>IF(I987&lt;[1]Parameters!$B$21,"TRUE","FALSE")</f>
        <v>TRUE</v>
      </c>
      <c r="T987" s="5">
        <f>(I987/[1]Parameters!$B$25)*60</f>
        <v>3.49512759152246</v>
      </c>
      <c r="U987" s="10">
        <f>IF(AND('[1]Pizza Sales Calculations'!G987=TRUE,'[1]Pizza Sales Calculations'!S987="TRUE"),T987*[1]Parameters!$B$40*2,0)</f>
        <v>0.21817504983407707</v>
      </c>
      <c r="V987">
        <f>INDEX([1]Parameters!$A$3:$C$5,MATCH('[1]Pizza Sales Calculations'!D987,[1]Parameters!$A$3:$A$5,0),2)</f>
        <v>7</v>
      </c>
      <c r="W987">
        <f>INDEX([1]Parameters!$A$3:$C$5,MATCH('[1]Pizza Sales Calculations'!E987,[1]Parameters!$A$3:$A$5,0),2)</f>
        <v>10</v>
      </c>
      <c r="X987" t="e">
        <f>INDEX([1]Parameters!$A$3:$C$5,MATCH('[1]Pizza Sales Calculations'!F987,[1]Parameters!$A$3:$A$5,0),2)</f>
        <v>#N/A</v>
      </c>
    </row>
    <row r="988" spans="1:24" x14ac:dyDescent="0.3">
      <c r="A988">
        <v>987</v>
      </c>
      <c r="B988" s="14">
        <v>42380.474803240744</v>
      </c>
      <c r="C988" s="14">
        <v>42380.485208333332</v>
      </c>
      <c r="D988" t="s">
        <v>4</v>
      </c>
      <c r="G988" t="b">
        <v>1</v>
      </c>
      <c r="H988">
        <v>70803</v>
      </c>
      <c r="I988" s="5">
        <v>1.63707859158011</v>
      </c>
      <c r="J988" s="14">
        <v>42380.490891203706</v>
      </c>
      <c r="K988">
        <v>11.59</v>
      </c>
      <c r="L988" s="5">
        <f>('[1]Pizza Sales Calculations'!$J988-'[1]Pizza Sales Calculations'!$C988)*24*60</f>
        <v>8.1833333394024521</v>
      </c>
      <c r="M988">
        <f>COUNTA('[1]Pizza Sales Calculations'!$D988:$F988)</f>
        <v>1</v>
      </c>
      <c r="N988">
        <f>IFERROR(VLOOKUP(D988,[1]Parameters!$A$3:$C$5,3,FALSE),0)</f>
        <v>1.7</v>
      </c>
      <c r="O988">
        <f>IFERROR(VLOOKUP(E988,[1]Parameters!$A$3:$C$5,3,FALSE),0)</f>
        <v>0</v>
      </c>
      <c r="P988">
        <f>IFERROR(VLOOKUP(F988,[1]Parameters!$A$3:$C$5,3,FALSE),0)</f>
        <v>0</v>
      </c>
      <c r="Q988">
        <f t="shared" si="15"/>
        <v>1.7</v>
      </c>
      <c r="R988" s="10">
        <f>IF('[1]Pizza Sales Calculations'!$G988=TRUE, [1]Parameters!$B$17*'[1]Pizza Sales Calculations'!$L988*2, 0)</f>
        <v>2.3186111128306948</v>
      </c>
      <c r="S988" t="str">
        <f>IF(I988&lt;[1]Parameters!$B$21,"TRUE","FALSE")</f>
        <v>TRUE</v>
      </c>
      <c r="T988" s="5">
        <f>(I988/[1]Parameters!$B$25)*60</f>
        <v>3.2741571831602201</v>
      </c>
      <c r="U988" s="10">
        <f>IF(AND('[1]Pizza Sales Calculations'!G988=TRUE,'[1]Pizza Sales Calculations'!S988="TRUE"),T988*[1]Parameters!$B$40*2,0)</f>
        <v>0.2043814962101054</v>
      </c>
      <c r="V988">
        <f>INDEX([1]Parameters!$A$3:$C$5,MATCH('[1]Pizza Sales Calculations'!D988,[1]Parameters!$A$3:$A$5,0),2)</f>
        <v>10</v>
      </c>
      <c r="W988" t="e">
        <f>INDEX([1]Parameters!$A$3:$C$5,MATCH('[1]Pizza Sales Calculations'!E988,[1]Parameters!$A$3:$A$5,0),2)</f>
        <v>#N/A</v>
      </c>
      <c r="X988" t="e">
        <f>INDEX([1]Parameters!$A$3:$C$5,MATCH('[1]Pizza Sales Calculations'!F988,[1]Parameters!$A$3:$A$5,0),2)</f>
        <v>#N/A</v>
      </c>
    </row>
    <row r="989" spans="1:24" x14ac:dyDescent="0.3">
      <c r="A989">
        <v>988</v>
      </c>
      <c r="B989" s="14">
        <v>42380.469247685185</v>
      </c>
      <c r="C989" s="14">
        <v>42380.479664351849</v>
      </c>
      <c r="D989" t="s">
        <v>3</v>
      </c>
      <c r="E989" t="s">
        <v>4</v>
      </c>
      <c r="G989" t="b">
        <v>1</v>
      </c>
      <c r="H989">
        <v>70804</v>
      </c>
      <c r="I989" s="5">
        <v>2.4127197532775901</v>
      </c>
      <c r="J989" s="14">
        <v>42380.488032407404</v>
      </c>
      <c r="K989">
        <v>19.579999999999998</v>
      </c>
      <c r="L989" s="5">
        <f>('[1]Pizza Sales Calculations'!$J989-'[1]Pizza Sales Calculations'!$C989)*24*60</f>
        <v>12.049999998416752</v>
      </c>
      <c r="M989">
        <f>COUNTA('[1]Pizza Sales Calculations'!$D989:$F989)</f>
        <v>2</v>
      </c>
      <c r="N989">
        <f>IFERROR(VLOOKUP(D989,[1]Parameters!$A$3:$C$5,3,FALSE),0)</f>
        <v>1</v>
      </c>
      <c r="O989">
        <f>IFERROR(VLOOKUP(E989,[1]Parameters!$A$3:$C$5,3,FALSE),0)</f>
        <v>1.7</v>
      </c>
      <c r="P989">
        <f>IFERROR(VLOOKUP(F989,[1]Parameters!$A$3:$C$5,3,FALSE),0)</f>
        <v>0</v>
      </c>
      <c r="Q989">
        <f t="shared" si="15"/>
        <v>2.7</v>
      </c>
      <c r="R989" s="10">
        <f>IF('[1]Pizza Sales Calculations'!$G989=TRUE, [1]Parameters!$B$17*'[1]Pizza Sales Calculations'!$L989*2, 0)</f>
        <v>3.4141666662180796</v>
      </c>
      <c r="S989" t="str">
        <f>IF(I989&lt;[1]Parameters!$B$21,"TRUE","FALSE")</f>
        <v>TRUE</v>
      </c>
      <c r="T989" s="5">
        <f>(I989/[1]Parameters!$B$25)*60</f>
        <v>4.8254395065551803</v>
      </c>
      <c r="U989" s="10">
        <f>IF(AND('[1]Pizza Sales Calculations'!G989=TRUE,'[1]Pizza Sales Calculations'!S989="TRUE"),T989*[1]Parameters!$B$40*2,0)</f>
        <v>0.30121661577322001</v>
      </c>
      <c r="V989">
        <f>INDEX([1]Parameters!$A$3:$C$5,MATCH('[1]Pizza Sales Calculations'!D989,[1]Parameters!$A$3:$A$5,0),2)</f>
        <v>7</v>
      </c>
      <c r="W989">
        <f>INDEX([1]Parameters!$A$3:$C$5,MATCH('[1]Pizza Sales Calculations'!E989,[1]Parameters!$A$3:$A$5,0),2)</f>
        <v>10</v>
      </c>
      <c r="X989" t="e">
        <f>INDEX([1]Parameters!$A$3:$C$5,MATCH('[1]Pizza Sales Calculations'!F989,[1]Parameters!$A$3:$A$5,0),2)</f>
        <v>#N/A</v>
      </c>
    </row>
    <row r="990" spans="1:24" x14ac:dyDescent="0.3">
      <c r="A990">
        <v>989</v>
      </c>
      <c r="B990" s="14">
        <v>42380.46497685185</v>
      </c>
      <c r="C990" s="14">
        <v>42380.475381944445</v>
      </c>
      <c r="D990" t="s">
        <v>4</v>
      </c>
      <c r="G990" t="b">
        <v>0</v>
      </c>
      <c r="H990">
        <v>70803</v>
      </c>
      <c r="I990" s="5">
        <v>0</v>
      </c>
      <c r="J990" s="14">
        <v>42380.477476851855</v>
      </c>
      <c r="K990">
        <v>11.59</v>
      </c>
      <c r="L990" s="5">
        <f>('[1]Pizza Sales Calculations'!$J990-'[1]Pizza Sales Calculations'!$C990)*24*60</f>
        <v>3.0166666698642075</v>
      </c>
      <c r="M990">
        <f>COUNTA('[1]Pizza Sales Calculations'!$D990:$F990)</f>
        <v>1</v>
      </c>
      <c r="N990">
        <f>IFERROR(VLOOKUP(D990,[1]Parameters!$A$3:$C$5,3,FALSE),0)</f>
        <v>1.7</v>
      </c>
      <c r="O990">
        <f>IFERROR(VLOOKUP(E990,[1]Parameters!$A$3:$C$5,3,FALSE),0)</f>
        <v>0</v>
      </c>
      <c r="P990">
        <f>IFERROR(VLOOKUP(F990,[1]Parameters!$A$3:$C$5,3,FALSE),0)</f>
        <v>0</v>
      </c>
      <c r="Q990">
        <f t="shared" si="15"/>
        <v>1.7</v>
      </c>
      <c r="R990" s="10">
        <f>IF('[1]Pizza Sales Calculations'!$G990=TRUE, [1]Parameters!$B$17*'[1]Pizza Sales Calculations'!$L990*2, 0)</f>
        <v>0</v>
      </c>
      <c r="S990" t="str">
        <f>IF(I990&lt;[1]Parameters!$B$21,"TRUE","FALSE")</f>
        <v>TRUE</v>
      </c>
      <c r="T990" s="5">
        <f>(I990/[1]Parameters!$B$25)*60</f>
        <v>0</v>
      </c>
      <c r="U990" s="10">
        <f>IF(AND('[1]Pizza Sales Calculations'!G990=TRUE,'[1]Pizza Sales Calculations'!S990="TRUE"),T990*[1]Parameters!$B$40*2,0)</f>
        <v>0</v>
      </c>
      <c r="V990">
        <f>INDEX([1]Parameters!$A$3:$C$5,MATCH('[1]Pizza Sales Calculations'!D990,[1]Parameters!$A$3:$A$5,0),2)</f>
        <v>10</v>
      </c>
      <c r="W990" t="e">
        <f>INDEX([1]Parameters!$A$3:$C$5,MATCH('[1]Pizza Sales Calculations'!E990,[1]Parameters!$A$3:$A$5,0),2)</f>
        <v>#N/A</v>
      </c>
      <c r="X990" t="e">
        <f>INDEX([1]Parameters!$A$3:$C$5,MATCH('[1]Pizza Sales Calculations'!F990,[1]Parameters!$A$3:$A$5,0),2)</f>
        <v>#N/A</v>
      </c>
    </row>
    <row r="991" spans="1:24" x14ac:dyDescent="0.3">
      <c r="A991">
        <v>990</v>
      </c>
      <c r="B991" s="14">
        <v>42380.561423611114</v>
      </c>
      <c r="C991" s="14">
        <v>42380.571851851855</v>
      </c>
      <c r="D991" t="s">
        <v>4</v>
      </c>
      <c r="G991" t="b">
        <v>0</v>
      </c>
      <c r="H991">
        <v>70806</v>
      </c>
      <c r="I991" s="5">
        <v>0</v>
      </c>
      <c r="J991" s="14">
        <v>42380.573912037034</v>
      </c>
      <c r="K991">
        <v>11.59</v>
      </c>
      <c r="L991" s="5">
        <f>('[1]Pizza Sales Calculations'!$J991-'[1]Pizza Sales Calculations'!$C991)*24*60</f>
        <v>2.9666666581761092</v>
      </c>
      <c r="M991">
        <f>COUNTA('[1]Pizza Sales Calculations'!$D991:$F991)</f>
        <v>1</v>
      </c>
      <c r="N991">
        <f>IFERROR(VLOOKUP(D991,[1]Parameters!$A$3:$C$5,3,FALSE),0)</f>
        <v>1.7</v>
      </c>
      <c r="O991">
        <f>IFERROR(VLOOKUP(E991,[1]Parameters!$A$3:$C$5,3,FALSE),0)</f>
        <v>0</v>
      </c>
      <c r="P991">
        <f>IFERROR(VLOOKUP(F991,[1]Parameters!$A$3:$C$5,3,FALSE),0)</f>
        <v>0</v>
      </c>
      <c r="Q991">
        <f t="shared" si="15"/>
        <v>1.7</v>
      </c>
      <c r="R991" s="10">
        <f>IF('[1]Pizza Sales Calculations'!$G991=TRUE, [1]Parameters!$B$17*'[1]Pizza Sales Calculations'!$L991*2, 0)</f>
        <v>0</v>
      </c>
      <c r="S991" t="str">
        <f>IF(I991&lt;[1]Parameters!$B$21,"TRUE","FALSE")</f>
        <v>TRUE</v>
      </c>
      <c r="T991" s="5">
        <f>(I991/[1]Parameters!$B$25)*60</f>
        <v>0</v>
      </c>
      <c r="U991" s="10">
        <f>IF(AND('[1]Pizza Sales Calculations'!G991=TRUE,'[1]Pizza Sales Calculations'!S991="TRUE"),T991*[1]Parameters!$B$40*2,0)</f>
        <v>0</v>
      </c>
      <c r="V991">
        <f>INDEX([1]Parameters!$A$3:$C$5,MATCH('[1]Pizza Sales Calculations'!D991,[1]Parameters!$A$3:$A$5,0),2)</f>
        <v>10</v>
      </c>
      <c r="W991" t="e">
        <f>INDEX([1]Parameters!$A$3:$C$5,MATCH('[1]Pizza Sales Calculations'!E991,[1]Parameters!$A$3:$A$5,0),2)</f>
        <v>#N/A</v>
      </c>
      <c r="X991" t="e">
        <f>INDEX([1]Parameters!$A$3:$C$5,MATCH('[1]Pizza Sales Calculations'!F991,[1]Parameters!$A$3:$A$5,0),2)</f>
        <v>#N/A</v>
      </c>
    </row>
    <row r="992" spans="1:24" x14ac:dyDescent="0.3">
      <c r="A992">
        <v>991</v>
      </c>
      <c r="B992" s="14">
        <v>42380.476099537038</v>
      </c>
      <c r="C992" s="14">
        <v>42380.486504629633</v>
      </c>
      <c r="D992" t="s">
        <v>3</v>
      </c>
      <c r="E992" t="s">
        <v>5</v>
      </c>
      <c r="G992" t="b">
        <v>1</v>
      </c>
      <c r="H992">
        <v>70804</v>
      </c>
      <c r="I992" s="5">
        <v>2.0956189567229999</v>
      </c>
      <c r="J992" s="14">
        <v>42380.493773148148</v>
      </c>
      <c r="K992">
        <v>23.34</v>
      </c>
      <c r="L992" s="5">
        <f>('[1]Pizza Sales Calculations'!$J992-'[1]Pizza Sales Calculations'!$C992)*24*60</f>
        <v>10.466666661668569</v>
      </c>
      <c r="M992">
        <f>COUNTA('[1]Pizza Sales Calculations'!$D992:$F992)</f>
        <v>2</v>
      </c>
      <c r="N992">
        <f>IFERROR(VLOOKUP(D992,[1]Parameters!$A$3:$C$5,3,FALSE),0)</f>
        <v>1</v>
      </c>
      <c r="O992">
        <f>IFERROR(VLOOKUP(E992,[1]Parameters!$A$3:$C$5,3,FALSE),0)</f>
        <v>2.2999999999999998</v>
      </c>
      <c r="P992">
        <f>IFERROR(VLOOKUP(F992,[1]Parameters!$A$3:$C$5,3,FALSE),0)</f>
        <v>0</v>
      </c>
      <c r="Q992">
        <f t="shared" si="15"/>
        <v>3.3</v>
      </c>
      <c r="R992" s="10">
        <f>IF('[1]Pizza Sales Calculations'!$G992=TRUE, [1]Parameters!$B$17*'[1]Pizza Sales Calculations'!$L992*2, 0)</f>
        <v>2.9655555541394278</v>
      </c>
      <c r="S992" t="str">
        <f>IF(I992&lt;[1]Parameters!$B$21,"TRUE","FALSE")</f>
        <v>TRUE</v>
      </c>
      <c r="T992" s="5">
        <f>(I992/[1]Parameters!$B$25)*60</f>
        <v>4.1912379134459998</v>
      </c>
      <c r="U992" s="10">
        <f>IF(AND('[1]Pizza Sales Calculations'!G992=TRUE,'[1]Pizza Sales Calculations'!S992="TRUE"),T992*[1]Parameters!$B$40*2,0)</f>
        <v>0.26162808558134382</v>
      </c>
      <c r="V992">
        <f>INDEX([1]Parameters!$A$3:$C$5,MATCH('[1]Pizza Sales Calculations'!D992,[1]Parameters!$A$3:$A$5,0),2)</f>
        <v>7</v>
      </c>
      <c r="W992">
        <f>INDEX([1]Parameters!$A$3:$C$5,MATCH('[1]Pizza Sales Calculations'!E992,[1]Parameters!$A$3:$A$5,0),2)</f>
        <v>14</v>
      </c>
      <c r="X992" t="e">
        <f>INDEX([1]Parameters!$A$3:$C$5,MATCH('[1]Pizza Sales Calculations'!F992,[1]Parameters!$A$3:$A$5,0),2)</f>
        <v>#N/A</v>
      </c>
    </row>
    <row r="993" spans="1:24" x14ac:dyDescent="0.3">
      <c r="A993">
        <v>992</v>
      </c>
      <c r="B993" s="14">
        <v>42380.43608796296</v>
      </c>
      <c r="C993" s="14">
        <v>42380.446481481478</v>
      </c>
      <c r="D993" t="s">
        <v>5</v>
      </c>
      <c r="G993" t="b">
        <v>0</v>
      </c>
      <c r="H993">
        <v>70806</v>
      </c>
      <c r="I993" s="5">
        <v>0</v>
      </c>
      <c r="J993" s="14">
        <v>42380.448564814818</v>
      </c>
      <c r="K993">
        <v>15.35</v>
      </c>
      <c r="L993" s="5">
        <f>('[1]Pizza Sales Calculations'!$J993-'[1]Pizza Sales Calculations'!$C993)*24*60</f>
        <v>3.000000009778887</v>
      </c>
      <c r="M993">
        <f>COUNTA('[1]Pizza Sales Calculations'!$D993:$F993)</f>
        <v>1</v>
      </c>
      <c r="N993">
        <f>IFERROR(VLOOKUP(D993,[1]Parameters!$A$3:$C$5,3,FALSE),0)</f>
        <v>2.2999999999999998</v>
      </c>
      <c r="O993">
        <f>IFERROR(VLOOKUP(E993,[1]Parameters!$A$3:$C$5,3,FALSE),0)</f>
        <v>0</v>
      </c>
      <c r="P993">
        <f>IFERROR(VLOOKUP(F993,[1]Parameters!$A$3:$C$5,3,FALSE),0)</f>
        <v>0</v>
      </c>
      <c r="Q993">
        <f t="shared" si="15"/>
        <v>2.2999999999999998</v>
      </c>
      <c r="R993" s="10">
        <f>IF('[1]Pizza Sales Calculations'!$G993=TRUE, [1]Parameters!$B$17*'[1]Pizza Sales Calculations'!$L993*2, 0)</f>
        <v>0</v>
      </c>
      <c r="S993" t="str">
        <f>IF(I993&lt;[1]Parameters!$B$21,"TRUE","FALSE")</f>
        <v>TRUE</v>
      </c>
      <c r="T993" s="5">
        <f>(I993/[1]Parameters!$B$25)*60</f>
        <v>0</v>
      </c>
      <c r="U993" s="10">
        <f>IF(AND('[1]Pizza Sales Calculations'!G993=TRUE,'[1]Pizza Sales Calculations'!S993="TRUE"),T993*[1]Parameters!$B$40*2,0)</f>
        <v>0</v>
      </c>
      <c r="V993">
        <f>INDEX([1]Parameters!$A$3:$C$5,MATCH('[1]Pizza Sales Calculations'!D993,[1]Parameters!$A$3:$A$5,0),2)</f>
        <v>14</v>
      </c>
      <c r="W993" t="e">
        <f>INDEX([1]Parameters!$A$3:$C$5,MATCH('[1]Pizza Sales Calculations'!E993,[1]Parameters!$A$3:$A$5,0),2)</f>
        <v>#N/A</v>
      </c>
      <c r="X993" t="e">
        <f>INDEX([1]Parameters!$A$3:$C$5,MATCH('[1]Pizza Sales Calculations'!F993,[1]Parameters!$A$3:$A$5,0),2)</f>
        <v>#N/A</v>
      </c>
    </row>
    <row r="994" spans="1:24" x14ac:dyDescent="0.3">
      <c r="A994">
        <v>993</v>
      </c>
      <c r="B994" s="14">
        <v>42380.538206018522</v>
      </c>
      <c r="C994" s="14">
        <v>42380.54859953704</v>
      </c>
      <c r="D994" t="s">
        <v>3</v>
      </c>
      <c r="E994" t="s">
        <v>4</v>
      </c>
      <c r="G994" t="b">
        <v>0</v>
      </c>
      <c r="H994">
        <v>70807</v>
      </c>
      <c r="I994" s="5">
        <v>0</v>
      </c>
      <c r="J994" s="14">
        <v>42380.550682870373</v>
      </c>
      <c r="K994">
        <v>19.579999999999998</v>
      </c>
      <c r="L994" s="5">
        <f>('[1]Pizza Sales Calculations'!$J994-'[1]Pizza Sales Calculations'!$C994)*24*60</f>
        <v>2.9999999993015081</v>
      </c>
      <c r="M994">
        <f>COUNTA('[1]Pizza Sales Calculations'!$D994:$F994)</f>
        <v>2</v>
      </c>
      <c r="N994">
        <f>IFERROR(VLOOKUP(D994,[1]Parameters!$A$3:$C$5,3,FALSE),0)</f>
        <v>1</v>
      </c>
      <c r="O994">
        <f>IFERROR(VLOOKUP(E994,[1]Parameters!$A$3:$C$5,3,FALSE),0)</f>
        <v>1.7</v>
      </c>
      <c r="P994">
        <f>IFERROR(VLOOKUP(F994,[1]Parameters!$A$3:$C$5,3,FALSE),0)</f>
        <v>0</v>
      </c>
      <c r="Q994">
        <f t="shared" si="15"/>
        <v>2.7</v>
      </c>
      <c r="R994" s="10">
        <f>IF('[1]Pizza Sales Calculations'!$G994=TRUE, [1]Parameters!$B$17*'[1]Pizza Sales Calculations'!$L994*2, 0)</f>
        <v>0</v>
      </c>
      <c r="S994" t="str">
        <f>IF(I994&lt;[1]Parameters!$B$21,"TRUE","FALSE")</f>
        <v>TRUE</v>
      </c>
      <c r="T994" s="5">
        <f>(I994/[1]Parameters!$B$25)*60</f>
        <v>0</v>
      </c>
      <c r="U994" s="10">
        <f>IF(AND('[1]Pizza Sales Calculations'!G994=TRUE,'[1]Pizza Sales Calculations'!S994="TRUE"),T994*[1]Parameters!$B$40*2,0)</f>
        <v>0</v>
      </c>
      <c r="V994">
        <f>INDEX([1]Parameters!$A$3:$C$5,MATCH('[1]Pizza Sales Calculations'!D994,[1]Parameters!$A$3:$A$5,0),2)</f>
        <v>7</v>
      </c>
      <c r="W994">
        <f>INDEX([1]Parameters!$A$3:$C$5,MATCH('[1]Pizza Sales Calculations'!E994,[1]Parameters!$A$3:$A$5,0),2)</f>
        <v>10</v>
      </c>
      <c r="X994" t="e">
        <f>INDEX([1]Parameters!$A$3:$C$5,MATCH('[1]Pizza Sales Calculations'!F994,[1]Parameters!$A$3:$A$5,0),2)</f>
        <v>#N/A</v>
      </c>
    </row>
    <row r="995" spans="1:24" x14ac:dyDescent="0.3">
      <c r="A995">
        <v>994</v>
      </c>
      <c r="B995" s="14">
        <v>42380.428101851852</v>
      </c>
      <c r="C995" s="14">
        <v>42380.438506944447</v>
      </c>
      <c r="D995" t="s">
        <v>5</v>
      </c>
      <c r="G995" t="b">
        <v>1</v>
      </c>
      <c r="H995">
        <v>70805</v>
      </c>
      <c r="I995" s="5">
        <v>4.1060321902483103</v>
      </c>
      <c r="J995" s="14">
        <v>42380.45275462963</v>
      </c>
      <c r="K995">
        <v>15.35</v>
      </c>
      <c r="L995" s="5">
        <f>('[1]Pizza Sales Calculations'!$J995-'[1]Pizza Sales Calculations'!$C995)*24*60</f>
        <v>20.516666664043441</v>
      </c>
      <c r="M995">
        <f>COUNTA('[1]Pizza Sales Calculations'!$D995:$F995)</f>
        <v>1</v>
      </c>
      <c r="N995">
        <f>IFERROR(VLOOKUP(D995,[1]Parameters!$A$3:$C$5,3,FALSE),0)</f>
        <v>2.2999999999999998</v>
      </c>
      <c r="O995">
        <f>IFERROR(VLOOKUP(E995,[1]Parameters!$A$3:$C$5,3,FALSE),0)</f>
        <v>0</v>
      </c>
      <c r="P995">
        <f>IFERROR(VLOOKUP(F995,[1]Parameters!$A$3:$C$5,3,FALSE),0)</f>
        <v>0</v>
      </c>
      <c r="Q995">
        <f t="shared" si="15"/>
        <v>2.2999999999999998</v>
      </c>
      <c r="R995" s="10">
        <f>IF('[1]Pizza Sales Calculations'!$G995=TRUE, [1]Parameters!$B$17*'[1]Pizza Sales Calculations'!$L995*2, 0)</f>
        <v>5.8130555548123084</v>
      </c>
      <c r="S995" t="str">
        <f>IF(I995&lt;[1]Parameters!$B$21,"TRUE","FALSE")</f>
        <v>FALSE</v>
      </c>
      <c r="T995" s="5">
        <f>(I995/[1]Parameters!$B$25)*60</f>
        <v>8.2120643804966207</v>
      </c>
      <c r="U995" s="10">
        <f>IF(AND('[1]Pizza Sales Calculations'!G995=TRUE,'[1]Pizza Sales Calculations'!S995="TRUE"),T995*[1]Parameters!$B$40*2,0)</f>
        <v>0</v>
      </c>
      <c r="V995">
        <f>INDEX([1]Parameters!$A$3:$C$5,MATCH('[1]Pizza Sales Calculations'!D995,[1]Parameters!$A$3:$A$5,0),2)</f>
        <v>14</v>
      </c>
      <c r="W995" t="e">
        <f>INDEX([1]Parameters!$A$3:$C$5,MATCH('[1]Pizza Sales Calculations'!E995,[1]Parameters!$A$3:$A$5,0),2)</f>
        <v>#N/A</v>
      </c>
      <c r="X995" t="e">
        <f>INDEX([1]Parameters!$A$3:$C$5,MATCH('[1]Pizza Sales Calculations'!F995,[1]Parameters!$A$3:$A$5,0),2)</f>
        <v>#N/A</v>
      </c>
    </row>
    <row r="996" spans="1:24" x14ac:dyDescent="0.3">
      <c r="A996">
        <v>995</v>
      </c>
      <c r="B996" s="14">
        <v>42380.473587962966</v>
      </c>
      <c r="C996" s="14">
        <v>42380.48400462963</v>
      </c>
      <c r="D996" t="s">
        <v>4</v>
      </c>
      <c r="G996" t="b">
        <v>0</v>
      </c>
      <c r="H996">
        <v>70806</v>
      </c>
      <c r="I996" s="5">
        <v>0</v>
      </c>
      <c r="J996" s="14">
        <v>42380.486087962963</v>
      </c>
      <c r="K996">
        <v>11.59</v>
      </c>
      <c r="L996" s="5">
        <f>('[1]Pizza Sales Calculations'!$J996-'[1]Pizza Sales Calculations'!$C996)*24*60</f>
        <v>2.9999999993015081</v>
      </c>
      <c r="M996">
        <f>COUNTA('[1]Pizza Sales Calculations'!$D996:$F996)</f>
        <v>1</v>
      </c>
      <c r="N996">
        <f>IFERROR(VLOOKUP(D996,[1]Parameters!$A$3:$C$5,3,FALSE),0)</f>
        <v>1.7</v>
      </c>
      <c r="O996">
        <f>IFERROR(VLOOKUP(E996,[1]Parameters!$A$3:$C$5,3,FALSE),0)</f>
        <v>0</v>
      </c>
      <c r="P996">
        <f>IFERROR(VLOOKUP(F996,[1]Parameters!$A$3:$C$5,3,FALSE),0)</f>
        <v>0</v>
      </c>
      <c r="Q996">
        <f t="shared" si="15"/>
        <v>1.7</v>
      </c>
      <c r="R996" s="10">
        <f>IF('[1]Pizza Sales Calculations'!$G996=TRUE, [1]Parameters!$B$17*'[1]Pizza Sales Calculations'!$L996*2, 0)</f>
        <v>0</v>
      </c>
      <c r="S996" t="str">
        <f>IF(I996&lt;[1]Parameters!$B$21,"TRUE","FALSE")</f>
        <v>TRUE</v>
      </c>
      <c r="T996" s="5">
        <f>(I996/[1]Parameters!$B$25)*60</f>
        <v>0</v>
      </c>
      <c r="U996" s="10">
        <f>IF(AND('[1]Pizza Sales Calculations'!G996=TRUE,'[1]Pizza Sales Calculations'!S996="TRUE"),T996*[1]Parameters!$B$40*2,0)</f>
        <v>0</v>
      </c>
      <c r="V996">
        <f>INDEX([1]Parameters!$A$3:$C$5,MATCH('[1]Pizza Sales Calculations'!D996,[1]Parameters!$A$3:$A$5,0),2)</f>
        <v>10</v>
      </c>
      <c r="W996" t="e">
        <f>INDEX([1]Parameters!$A$3:$C$5,MATCH('[1]Pizza Sales Calculations'!E996,[1]Parameters!$A$3:$A$5,0),2)</f>
        <v>#N/A</v>
      </c>
      <c r="X996" t="e">
        <f>INDEX([1]Parameters!$A$3:$C$5,MATCH('[1]Pizza Sales Calculations'!F996,[1]Parameters!$A$3:$A$5,0),2)</f>
        <v>#N/A</v>
      </c>
    </row>
    <row r="997" spans="1:24" x14ac:dyDescent="0.3">
      <c r="A997">
        <v>996</v>
      </c>
      <c r="B997" s="14">
        <v>42380.439236111109</v>
      </c>
      <c r="C997" s="14">
        <v>42380.449641203704</v>
      </c>
      <c r="D997" t="s">
        <v>4</v>
      </c>
      <c r="G997" t="b">
        <v>0</v>
      </c>
      <c r="H997">
        <v>70804</v>
      </c>
      <c r="I997" s="5">
        <v>0</v>
      </c>
      <c r="J997" s="14">
        <v>42380.45171296296</v>
      </c>
      <c r="K997">
        <v>11.59</v>
      </c>
      <c r="L997" s="5">
        <f>('[1]Pizza Sales Calculations'!$J997-'[1]Pizza Sales Calculations'!$C997)*24*60</f>
        <v>2.9833333287388086</v>
      </c>
      <c r="M997">
        <f>COUNTA('[1]Pizza Sales Calculations'!$D997:$F997)</f>
        <v>1</v>
      </c>
      <c r="N997">
        <f>IFERROR(VLOOKUP(D997,[1]Parameters!$A$3:$C$5,3,FALSE),0)</f>
        <v>1.7</v>
      </c>
      <c r="O997">
        <f>IFERROR(VLOOKUP(E997,[1]Parameters!$A$3:$C$5,3,FALSE),0)</f>
        <v>0</v>
      </c>
      <c r="P997">
        <f>IFERROR(VLOOKUP(F997,[1]Parameters!$A$3:$C$5,3,FALSE),0)</f>
        <v>0</v>
      </c>
      <c r="Q997">
        <f t="shared" si="15"/>
        <v>1.7</v>
      </c>
      <c r="R997" s="10">
        <f>IF('[1]Pizza Sales Calculations'!$G997=TRUE, [1]Parameters!$B$17*'[1]Pizza Sales Calculations'!$L997*2, 0)</f>
        <v>0</v>
      </c>
      <c r="S997" t="str">
        <f>IF(I997&lt;[1]Parameters!$B$21,"TRUE","FALSE")</f>
        <v>TRUE</v>
      </c>
      <c r="T997" s="5">
        <f>(I997/[1]Parameters!$B$25)*60</f>
        <v>0</v>
      </c>
      <c r="U997" s="10">
        <f>IF(AND('[1]Pizza Sales Calculations'!G997=TRUE,'[1]Pizza Sales Calculations'!S997="TRUE"),T997*[1]Parameters!$B$40*2,0)</f>
        <v>0</v>
      </c>
      <c r="V997">
        <f>INDEX([1]Parameters!$A$3:$C$5,MATCH('[1]Pizza Sales Calculations'!D997,[1]Parameters!$A$3:$A$5,0),2)</f>
        <v>10</v>
      </c>
      <c r="W997" t="e">
        <f>INDEX([1]Parameters!$A$3:$C$5,MATCH('[1]Pizza Sales Calculations'!E997,[1]Parameters!$A$3:$A$5,0),2)</f>
        <v>#N/A</v>
      </c>
      <c r="X997" t="e">
        <f>INDEX([1]Parameters!$A$3:$C$5,MATCH('[1]Pizza Sales Calculations'!F997,[1]Parameters!$A$3:$A$5,0),2)</f>
        <v>#N/A</v>
      </c>
    </row>
    <row r="998" spans="1:24" x14ac:dyDescent="0.3">
      <c r="A998">
        <v>997</v>
      </c>
      <c r="B998" s="14">
        <v>42380.448414351849</v>
      </c>
      <c r="C998" s="14">
        <v>42380.458819444444</v>
      </c>
      <c r="D998" t="s">
        <v>4</v>
      </c>
      <c r="G998" t="b">
        <v>0</v>
      </c>
      <c r="H998">
        <v>70808</v>
      </c>
      <c r="I998" s="5">
        <v>0</v>
      </c>
      <c r="J998" s="14">
        <v>42380.4608912037</v>
      </c>
      <c r="K998">
        <v>11.59</v>
      </c>
      <c r="L998" s="5">
        <f>('[1]Pizza Sales Calculations'!$J998-'[1]Pizza Sales Calculations'!$C998)*24*60</f>
        <v>2.9833333287388086</v>
      </c>
      <c r="M998">
        <f>COUNTA('[1]Pizza Sales Calculations'!$D998:$F998)</f>
        <v>1</v>
      </c>
      <c r="N998">
        <f>IFERROR(VLOOKUP(D998,[1]Parameters!$A$3:$C$5,3,FALSE),0)</f>
        <v>1.7</v>
      </c>
      <c r="O998">
        <f>IFERROR(VLOOKUP(E998,[1]Parameters!$A$3:$C$5,3,FALSE),0)</f>
        <v>0</v>
      </c>
      <c r="P998">
        <f>IFERROR(VLOOKUP(F998,[1]Parameters!$A$3:$C$5,3,FALSE),0)</f>
        <v>0</v>
      </c>
      <c r="Q998">
        <f t="shared" si="15"/>
        <v>1.7</v>
      </c>
      <c r="R998" s="10">
        <f>IF('[1]Pizza Sales Calculations'!$G998=TRUE, [1]Parameters!$B$17*'[1]Pizza Sales Calculations'!$L998*2, 0)</f>
        <v>0</v>
      </c>
      <c r="S998" t="str">
        <f>IF(I998&lt;[1]Parameters!$B$21,"TRUE","FALSE")</f>
        <v>TRUE</v>
      </c>
      <c r="T998" s="5">
        <f>(I998/[1]Parameters!$B$25)*60</f>
        <v>0</v>
      </c>
      <c r="U998" s="10">
        <f>IF(AND('[1]Pizza Sales Calculations'!G998=TRUE,'[1]Pizza Sales Calculations'!S998="TRUE"),T998*[1]Parameters!$B$40*2,0)</f>
        <v>0</v>
      </c>
      <c r="V998">
        <f>INDEX([1]Parameters!$A$3:$C$5,MATCH('[1]Pizza Sales Calculations'!D998,[1]Parameters!$A$3:$A$5,0),2)</f>
        <v>10</v>
      </c>
      <c r="W998" t="e">
        <f>INDEX([1]Parameters!$A$3:$C$5,MATCH('[1]Pizza Sales Calculations'!E998,[1]Parameters!$A$3:$A$5,0),2)</f>
        <v>#N/A</v>
      </c>
      <c r="X998" t="e">
        <f>INDEX([1]Parameters!$A$3:$C$5,MATCH('[1]Pizza Sales Calculations'!F998,[1]Parameters!$A$3:$A$5,0),2)</f>
        <v>#N/A</v>
      </c>
    </row>
    <row r="999" spans="1:24" x14ac:dyDescent="0.3">
      <c r="A999">
        <v>998</v>
      </c>
      <c r="B999" s="14">
        <v>42380.494108796294</v>
      </c>
      <c r="C999" s="14">
        <v>42380.504513888889</v>
      </c>
      <c r="D999" t="s">
        <v>3</v>
      </c>
      <c r="G999" t="b">
        <v>1</v>
      </c>
      <c r="H999">
        <v>70804</v>
      </c>
      <c r="I999" s="5">
        <v>3.09713517372733</v>
      </c>
      <c r="J999" s="14">
        <v>42380.515266203707</v>
      </c>
      <c r="K999">
        <v>7.99</v>
      </c>
      <c r="L999" s="5">
        <f>('[1]Pizza Sales Calculations'!$J999-'[1]Pizza Sales Calculations'!$C999)*24*60</f>
        <v>15.483333338052034</v>
      </c>
      <c r="M999">
        <f>COUNTA('[1]Pizza Sales Calculations'!$D999:$F999)</f>
        <v>1</v>
      </c>
      <c r="N999">
        <f>IFERROR(VLOOKUP(D999,[1]Parameters!$A$3:$C$5,3,FALSE),0)</f>
        <v>1</v>
      </c>
      <c r="O999">
        <f>IFERROR(VLOOKUP(E999,[1]Parameters!$A$3:$C$5,3,FALSE),0)</f>
        <v>0</v>
      </c>
      <c r="P999">
        <f>IFERROR(VLOOKUP(F999,[1]Parameters!$A$3:$C$5,3,FALSE),0)</f>
        <v>0</v>
      </c>
      <c r="Q999">
        <f t="shared" si="15"/>
        <v>1</v>
      </c>
      <c r="R999" s="10">
        <f>IF('[1]Pizza Sales Calculations'!$G999=TRUE, [1]Parameters!$B$17*'[1]Pizza Sales Calculations'!$L999*2, 0)</f>
        <v>4.3869444457814097</v>
      </c>
      <c r="S999" t="str">
        <f>IF(I999&lt;[1]Parameters!$B$21,"TRUE","FALSE")</f>
        <v>TRUE</v>
      </c>
      <c r="T999" s="5">
        <f>(I999/[1]Parameters!$B$25)*60</f>
        <v>6.1942703474546601</v>
      </c>
      <c r="U999" s="10">
        <f>IF(AND('[1]Pizza Sales Calculations'!G999=TRUE,'[1]Pizza Sales Calculations'!S999="TRUE"),T999*[1]Parameters!$B$40*2,0)</f>
        <v>0.38666263429684639</v>
      </c>
      <c r="V999">
        <f>INDEX([1]Parameters!$A$3:$C$5,MATCH('[1]Pizza Sales Calculations'!D999,[1]Parameters!$A$3:$A$5,0),2)</f>
        <v>7</v>
      </c>
      <c r="W999" t="e">
        <f>INDEX([1]Parameters!$A$3:$C$5,MATCH('[1]Pizza Sales Calculations'!E999,[1]Parameters!$A$3:$A$5,0),2)</f>
        <v>#N/A</v>
      </c>
      <c r="X999" t="e">
        <f>INDEX([1]Parameters!$A$3:$C$5,MATCH('[1]Pizza Sales Calculations'!F999,[1]Parameters!$A$3:$A$5,0),2)</f>
        <v>#N/A</v>
      </c>
    </row>
    <row r="1000" spans="1:24" x14ac:dyDescent="0.3">
      <c r="A1000">
        <v>999</v>
      </c>
      <c r="B1000" s="14">
        <v>42380.478298611109</v>
      </c>
      <c r="C1000" s="14">
        <v>42380.488703703704</v>
      </c>
      <c r="D1000" t="s">
        <v>4</v>
      </c>
      <c r="G1000" t="b">
        <v>1</v>
      </c>
      <c r="H1000">
        <v>70804</v>
      </c>
      <c r="I1000" s="5">
        <v>3.7480151284650001</v>
      </c>
      <c r="J1000" s="14">
        <v>42380.501712962963</v>
      </c>
      <c r="K1000">
        <v>11.59</v>
      </c>
      <c r="L1000" s="5">
        <f>('[1]Pizza Sales Calculations'!$J1000-'[1]Pizza Sales Calculations'!$C1000)*24*60</f>
        <v>18.73333333292976</v>
      </c>
      <c r="M1000">
        <f>COUNTA('[1]Pizza Sales Calculations'!$D1000:$F1000)</f>
        <v>1</v>
      </c>
      <c r="N1000">
        <f>IFERROR(VLOOKUP(D1000,[1]Parameters!$A$3:$C$5,3,FALSE),0)</f>
        <v>1.7</v>
      </c>
      <c r="O1000">
        <f>IFERROR(VLOOKUP(E1000,[1]Parameters!$A$3:$C$5,3,FALSE),0)</f>
        <v>0</v>
      </c>
      <c r="P1000">
        <f>IFERROR(VLOOKUP(F1000,[1]Parameters!$A$3:$C$5,3,FALSE),0)</f>
        <v>0</v>
      </c>
      <c r="Q1000">
        <f t="shared" si="15"/>
        <v>1.7</v>
      </c>
      <c r="R1000" s="10">
        <f>IF('[1]Pizza Sales Calculations'!$G1000=TRUE, [1]Parameters!$B$17*'[1]Pizza Sales Calculations'!$L1000*2, 0)</f>
        <v>5.3077777776634321</v>
      </c>
      <c r="S1000" t="str">
        <f>IF(I1000&lt;[1]Parameters!$B$21,"TRUE","FALSE")</f>
        <v>FALSE</v>
      </c>
      <c r="T1000" s="5">
        <f>(I1000/[1]Parameters!$B$25)*60</f>
        <v>7.4960302569300001</v>
      </c>
      <c r="U1000" s="10">
        <f>IF(AND('[1]Pizza Sales Calculations'!G1000=TRUE,'[1]Pizza Sales Calculations'!S1000="TRUE"),T1000*[1]Parameters!$B$40*2,0)</f>
        <v>0</v>
      </c>
      <c r="V1000">
        <f>INDEX([1]Parameters!$A$3:$C$5,MATCH('[1]Pizza Sales Calculations'!D1000,[1]Parameters!$A$3:$A$5,0),2)</f>
        <v>10</v>
      </c>
      <c r="W1000" t="e">
        <f>INDEX([1]Parameters!$A$3:$C$5,MATCH('[1]Pizza Sales Calculations'!E1000,[1]Parameters!$A$3:$A$5,0),2)</f>
        <v>#N/A</v>
      </c>
      <c r="X1000" t="e">
        <f>INDEX([1]Parameters!$A$3:$C$5,MATCH('[1]Pizza Sales Calculations'!F1000,[1]Parameters!$A$3:$A$5,0),2)</f>
        <v>#N/A</v>
      </c>
    </row>
    <row r="1001" spans="1:24" x14ac:dyDescent="0.3">
      <c r="A1001">
        <v>1000</v>
      </c>
      <c r="B1001" s="14">
        <v>42380.53570601852</v>
      </c>
      <c r="C1001" s="14">
        <v>42380.546111111114</v>
      </c>
      <c r="D1001" t="s">
        <v>4</v>
      </c>
      <c r="G1001" t="b">
        <v>1</v>
      </c>
      <c r="H1001">
        <v>70805</v>
      </c>
      <c r="I1001" s="5">
        <v>2.4956274696621898</v>
      </c>
      <c r="J1001" s="14">
        <v>42380.554768518516</v>
      </c>
      <c r="K1001">
        <v>11.59</v>
      </c>
      <c r="L1001" s="5">
        <f>('[1]Pizza Sales Calculations'!$J1001-'[1]Pizza Sales Calculations'!$C1001)*24*60</f>
        <v>12.466666657710448</v>
      </c>
      <c r="M1001">
        <f>COUNTA('[1]Pizza Sales Calculations'!$D1001:$F1001)</f>
        <v>1</v>
      </c>
      <c r="N1001">
        <f>IFERROR(VLOOKUP(D1001,[1]Parameters!$A$3:$C$5,3,FALSE),0)</f>
        <v>1.7</v>
      </c>
      <c r="O1001">
        <f>IFERROR(VLOOKUP(E1001,[1]Parameters!$A$3:$C$5,3,FALSE),0)</f>
        <v>0</v>
      </c>
      <c r="P1001">
        <f>IFERROR(VLOOKUP(F1001,[1]Parameters!$A$3:$C$5,3,FALSE),0)</f>
        <v>0</v>
      </c>
      <c r="Q1001">
        <f t="shared" si="15"/>
        <v>1.7</v>
      </c>
      <c r="R1001" s="10">
        <f>IF('[1]Pizza Sales Calculations'!$G1001=TRUE, [1]Parameters!$B$17*'[1]Pizza Sales Calculations'!$L1001*2, 0)</f>
        <v>3.5322222196846269</v>
      </c>
      <c r="S1001" t="str">
        <f>IF(I1001&lt;[1]Parameters!$B$21,"TRUE","FALSE")</f>
        <v>TRUE</v>
      </c>
      <c r="T1001" s="5">
        <f>(I1001/[1]Parameters!$B$25)*60</f>
        <v>4.9912549393243797</v>
      </c>
      <c r="U1001" s="10">
        <f>IF(AND('[1]Pizza Sales Calculations'!G1001=TRUE,'[1]Pizza Sales Calculations'!S1001="TRUE"),T1001*[1]Parameters!$B$40*2,0)</f>
        <v>0.31156725086746584</v>
      </c>
      <c r="V1001">
        <f>INDEX([1]Parameters!$A$3:$C$5,MATCH('[1]Pizza Sales Calculations'!D1001,[1]Parameters!$A$3:$A$5,0),2)</f>
        <v>10</v>
      </c>
      <c r="W1001" t="e">
        <f>INDEX([1]Parameters!$A$3:$C$5,MATCH('[1]Pizza Sales Calculations'!E1001,[1]Parameters!$A$3:$A$5,0),2)</f>
        <v>#N/A</v>
      </c>
      <c r="X1001" t="e">
        <f>INDEX([1]Parameters!$A$3:$C$5,MATCH('[1]Pizza Sales Calculations'!F1001,[1]Parameters!$A$3:$A$5,0),2)</f>
        <v>#N/A</v>
      </c>
    </row>
    <row r="1002" spans="1:24" x14ac:dyDescent="0.3">
      <c r="A1002">
        <v>1001</v>
      </c>
      <c r="B1002" s="14">
        <v>42380.524606481478</v>
      </c>
      <c r="C1002" s="14">
        <v>42380.535034722219</v>
      </c>
      <c r="D1002" t="s">
        <v>4</v>
      </c>
      <c r="G1002" t="b">
        <v>0</v>
      </c>
      <c r="H1002">
        <v>70804</v>
      </c>
      <c r="I1002" s="5">
        <v>0</v>
      </c>
      <c r="J1002" s="14">
        <v>42380.537118055552</v>
      </c>
      <c r="K1002">
        <v>11.59</v>
      </c>
      <c r="L1002" s="5">
        <f>('[1]Pizza Sales Calculations'!$J1002-'[1]Pizza Sales Calculations'!$C1002)*24*60</f>
        <v>2.9999999993015081</v>
      </c>
      <c r="M1002">
        <f>COUNTA('[1]Pizza Sales Calculations'!$D1002:$F1002)</f>
        <v>1</v>
      </c>
      <c r="N1002">
        <f>IFERROR(VLOOKUP(D1002,[1]Parameters!$A$3:$C$5,3,FALSE),0)</f>
        <v>1.7</v>
      </c>
      <c r="O1002">
        <f>IFERROR(VLOOKUP(E1002,[1]Parameters!$A$3:$C$5,3,FALSE),0)</f>
        <v>0</v>
      </c>
      <c r="P1002">
        <f>IFERROR(VLOOKUP(F1002,[1]Parameters!$A$3:$C$5,3,FALSE),0)</f>
        <v>0</v>
      </c>
      <c r="Q1002">
        <f t="shared" si="15"/>
        <v>1.7</v>
      </c>
      <c r="R1002" s="10">
        <f>IF('[1]Pizza Sales Calculations'!$G1002=TRUE, [1]Parameters!$B$17*'[1]Pizza Sales Calculations'!$L1002*2, 0)</f>
        <v>0</v>
      </c>
      <c r="S1002" t="str">
        <f>IF(I1002&lt;[1]Parameters!$B$21,"TRUE","FALSE")</f>
        <v>TRUE</v>
      </c>
      <c r="T1002" s="5">
        <f>(I1002/[1]Parameters!$B$25)*60</f>
        <v>0</v>
      </c>
      <c r="U1002" s="10">
        <f>IF(AND('[1]Pizza Sales Calculations'!G1002=TRUE,'[1]Pizza Sales Calculations'!S1002="TRUE"),T1002*[1]Parameters!$B$40*2,0)</f>
        <v>0</v>
      </c>
      <c r="V1002">
        <f>INDEX([1]Parameters!$A$3:$C$5,MATCH('[1]Pizza Sales Calculations'!D1002,[1]Parameters!$A$3:$A$5,0),2)</f>
        <v>10</v>
      </c>
      <c r="W1002" t="e">
        <f>INDEX([1]Parameters!$A$3:$C$5,MATCH('[1]Pizza Sales Calculations'!E1002,[1]Parameters!$A$3:$A$5,0),2)</f>
        <v>#N/A</v>
      </c>
      <c r="X1002" t="e">
        <f>INDEX([1]Parameters!$A$3:$C$5,MATCH('[1]Pizza Sales Calculations'!F1002,[1]Parameters!$A$3:$A$5,0),2)</f>
        <v>#N/A</v>
      </c>
    </row>
    <row r="1003" spans="1:24" x14ac:dyDescent="0.3">
      <c r="A1003">
        <v>1002</v>
      </c>
      <c r="B1003" s="14">
        <v>42380.515879629631</v>
      </c>
      <c r="C1003" s="14">
        <v>42380.526296296295</v>
      </c>
      <c r="D1003" t="s">
        <v>5</v>
      </c>
      <c r="G1003" t="b">
        <v>1</v>
      </c>
      <c r="H1003">
        <v>70805</v>
      </c>
      <c r="I1003" s="5">
        <v>1.4968833848190199</v>
      </c>
      <c r="J1003" s="14">
        <v>42380.531493055554</v>
      </c>
      <c r="K1003">
        <v>15.35</v>
      </c>
      <c r="L1003" s="5">
        <f>('[1]Pizza Sales Calculations'!$J1003-'[1]Pizza Sales Calculations'!$C1003)*24*60</f>
        <v>7.4833333329297602</v>
      </c>
      <c r="M1003">
        <f>COUNTA('[1]Pizza Sales Calculations'!$D1003:$F1003)</f>
        <v>1</v>
      </c>
      <c r="N1003">
        <f>IFERROR(VLOOKUP(D1003,[1]Parameters!$A$3:$C$5,3,FALSE),0)</f>
        <v>2.2999999999999998</v>
      </c>
      <c r="O1003">
        <f>IFERROR(VLOOKUP(E1003,[1]Parameters!$A$3:$C$5,3,FALSE),0)</f>
        <v>0</v>
      </c>
      <c r="P1003">
        <f>IFERROR(VLOOKUP(F1003,[1]Parameters!$A$3:$C$5,3,FALSE),0)</f>
        <v>0</v>
      </c>
      <c r="Q1003">
        <f t="shared" si="15"/>
        <v>2.2999999999999998</v>
      </c>
      <c r="R1003" s="10">
        <f>IF('[1]Pizza Sales Calculations'!$G1003=TRUE, [1]Parameters!$B$17*'[1]Pizza Sales Calculations'!$L1003*2, 0)</f>
        <v>2.1202777776634321</v>
      </c>
      <c r="S1003" t="str">
        <f>IF(I1003&lt;[1]Parameters!$B$21,"TRUE","FALSE")</f>
        <v>TRUE</v>
      </c>
      <c r="T1003" s="5">
        <f>(I1003/[1]Parameters!$B$25)*60</f>
        <v>2.9937667696380399</v>
      </c>
      <c r="U1003" s="10">
        <f>IF(AND('[1]Pizza Sales Calculations'!G1003=TRUE,'[1]Pizza Sales Calculations'!S1003="TRUE"),T1003*[1]Parameters!$B$40*2,0)</f>
        <v>0.18687878970188548</v>
      </c>
      <c r="V1003">
        <f>INDEX([1]Parameters!$A$3:$C$5,MATCH('[1]Pizza Sales Calculations'!D1003,[1]Parameters!$A$3:$A$5,0),2)</f>
        <v>14</v>
      </c>
      <c r="W1003" t="e">
        <f>INDEX([1]Parameters!$A$3:$C$5,MATCH('[1]Pizza Sales Calculations'!E1003,[1]Parameters!$A$3:$A$5,0),2)</f>
        <v>#N/A</v>
      </c>
      <c r="X1003" t="e">
        <f>INDEX([1]Parameters!$A$3:$C$5,MATCH('[1]Pizza Sales Calculations'!F1003,[1]Parameters!$A$3:$A$5,0),2)</f>
        <v>#N/A</v>
      </c>
    </row>
    <row r="1004" spans="1:24" x14ac:dyDescent="0.3">
      <c r="A1004">
        <v>1003</v>
      </c>
      <c r="B1004" s="14">
        <v>42380.434351851851</v>
      </c>
      <c r="C1004" s="14">
        <v>42380.444780092592</v>
      </c>
      <c r="D1004" t="s">
        <v>3</v>
      </c>
      <c r="E1004" t="s">
        <v>5</v>
      </c>
      <c r="G1004" t="b">
        <v>0</v>
      </c>
      <c r="H1004">
        <v>70804</v>
      </c>
      <c r="I1004" s="5">
        <v>0</v>
      </c>
      <c r="J1004" s="14">
        <v>42380.446875000001</v>
      </c>
      <c r="K1004">
        <v>23.34</v>
      </c>
      <c r="L1004" s="5">
        <f>('[1]Pizza Sales Calculations'!$J1004-'[1]Pizza Sales Calculations'!$C1004)*24*60</f>
        <v>3.0166666698642075</v>
      </c>
      <c r="M1004">
        <f>COUNTA('[1]Pizza Sales Calculations'!$D1004:$F1004)</f>
        <v>2</v>
      </c>
      <c r="N1004">
        <f>IFERROR(VLOOKUP(D1004,[1]Parameters!$A$3:$C$5,3,FALSE),0)</f>
        <v>1</v>
      </c>
      <c r="O1004">
        <f>IFERROR(VLOOKUP(E1004,[1]Parameters!$A$3:$C$5,3,FALSE),0)</f>
        <v>2.2999999999999998</v>
      </c>
      <c r="P1004">
        <f>IFERROR(VLOOKUP(F1004,[1]Parameters!$A$3:$C$5,3,FALSE),0)</f>
        <v>0</v>
      </c>
      <c r="Q1004">
        <f t="shared" si="15"/>
        <v>3.3</v>
      </c>
      <c r="R1004" s="10">
        <f>IF('[1]Pizza Sales Calculations'!$G1004=TRUE, [1]Parameters!$B$17*'[1]Pizza Sales Calculations'!$L1004*2, 0)</f>
        <v>0</v>
      </c>
      <c r="S1004" t="str">
        <f>IF(I1004&lt;[1]Parameters!$B$21,"TRUE","FALSE")</f>
        <v>TRUE</v>
      </c>
      <c r="T1004" s="5">
        <f>(I1004/[1]Parameters!$B$25)*60</f>
        <v>0</v>
      </c>
      <c r="U1004" s="10">
        <f>IF(AND('[1]Pizza Sales Calculations'!G1004=TRUE,'[1]Pizza Sales Calculations'!S1004="TRUE"),T1004*[1]Parameters!$B$40*2,0)</f>
        <v>0</v>
      </c>
      <c r="V1004">
        <f>INDEX([1]Parameters!$A$3:$C$5,MATCH('[1]Pizza Sales Calculations'!D1004,[1]Parameters!$A$3:$A$5,0),2)</f>
        <v>7</v>
      </c>
      <c r="W1004">
        <f>INDEX([1]Parameters!$A$3:$C$5,MATCH('[1]Pizza Sales Calculations'!E1004,[1]Parameters!$A$3:$A$5,0),2)</f>
        <v>14</v>
      </c>
      <c r="X1004" t="e">
        <f>INDEX([1]Parameters!$A$3:$C$5,MATCH('[1]Pizza Sales Calculations'!F1004,[1]Parameters!$A$3:$A$5,0),2)</f>
        <v>#N/A</v>
      </c>
    </row>
    <row r="1005" spans="1:24" x14ac:dyDescent="0.3">
      <c r="A1005">
        <v>1004</v>
      </c>
      <c r="B1005" s="14">
        <v>42380.571273148147</v>
      </c>
      <c r="C1005" s="14">
        <v>42380.581689814811</v>
      </c>
      <c r="D1005" t="s">
        <v>4</v>
      </c>
      <c r="G1005" t="b">
        <v>0</v>
      </c>
      <c r="H1005">
        <v>70806</v>
      </c>
      <c r="I1005" s="5">
        <v>0</v>
      </c>
      <c r="J1005" s="14">
        <v>42380.583761574075</v>
      </c>
      <c r="K1005">
        <v>11.59</v>
      </c>
      <c r="L1005" s="5">
        <f>('[1]Pizza Sales Calculations'!$J1005-'[1]Pizza Sales Calculations'!$C1005)*24*60</f>
        <v>2.9833333392161876</v>
      </c>
      <c r="M1005">
        <f>COUNTA('[1]Pizza Sales Calculations'!$D1005:$F1005)</f>
        <v>1</v>
      </c>
      <c r="N1005">
        <f>IFERROR(VLOOKUP(D1005,[1]Parameters!$A$3:$C$5,3,FALSE),0)</f>
        <v>1.7</v>
      </c>
      <c r="O1005">
        <f>IFERROR(VLOOKUP(E1005,[1]Parameters!$A$3:$C$5,3,FALSE),0)</f>
        <v>0</v>
      </c>
      <c r="P1005">
        <f>IFERROR(VLOOKUP(F1005,[1]Parameters!$A$3:$C$5,3,FALSE),0)</f>
        <v>0</v>
      </c>
      <c r="Q1005">
        <f t="shared" si="15"/>
        <v>1.7</v>
      </c>
      <c r="R1005" s="10">
        <f>IF('[1]Pizza Sales Calculations'!$G1005=TRUE, [1]Parameters!$B$17*'[1]Pizza Sales Calculations'!$L1005*2, 0)</f>
        <v>0</v>
      </c>
      <c r="S1005" t="str">
        <f>IF(I1005&lt;[1]Parameters!$B$21,"TRUE","FALSE")</f>
        <v>TRUE</v>
      </c>
      <c r="T1005" s="5">
        <f>(I1005/[1]Parameters!$B$25)*60</f>
        <v>0</v>
      </c>
      <c r="U1005" s="10">
        <f>IF(AND('[1]Pizza Sales Calculations'!G1005=TRUE,'[1]Pizza Sales Calculations'!S1005="TRUE"),T1005*[1]Parameters!$B$40*2,0)</f>
        <v>0</v>
      </c>
      <c r="V1005">
        <f>INDEX([1]Parameters!$A$3:$C$5,MATCH('[1]Pizza Sales Calculations'!D1005,[1]Parameters!$A$3:$A$5,0),2)</f>
        <v>10</v>
      </c>
      <c r="W1005" t="e">
        <f>INDEX([1]Parameters!$A$3:$C$5,MATCH('[1]Pizza Sales Calculations'!E1005,[1]Parameters!$A$3:$A$5,0),2)</f>
        <v>#N/A</v>
      </c>
      <c r="X1005" t="e">
        <f>INDEX([1]Parameters!$A$3:$C$5,MATCH('[1]Pizza Sales Calculations'!F1005,[1]Parameters!$A$3:$A$5,0),2)</f>
        <v>#N/A</v>
      </c>
    </row>
    <row r="1006" spans="1:24" x14ac:dyDescent="0.3">
      <c r="A1006">
        <v>1005</v>
      </c>
      <c r="B1006" s="14">
        <v>42380.466365740744</v>
      </c>
      <c r="C1006" s="14">
        <v>42380.476793981485</v>
      </c>
      <c r="D1006" t="s">
        <v>3</v>
      </c>
      <c r="E1006" t="s">
        <v>5</v>
      </c>
      <c r="G1006" t="b">
        <v>1</v>
      </c>
      <c r="H1006">
        <v>70805</v>
      </c>
      <c r="I1006" s="5">
        <v>3.8917914303085799</v>
      </c>
      <c r="J1006" s="14">
        <v>42380.490300925929</v>
      </c>
      <c r="K1006">
        <v>23.34</v>
      </c>
      <c r="L1006" s="5">
        <f>('[1]Pizza Sales Calculations'!$J1006-'[1]Pizza Sales Calculations'!$C1006)*24*60</f>
        <v>19.449999999487773</v>
      </c>
      <c r="M1006">
        <f>COUNTA('[1]Pizza Sales Calculations'!$D1006:$F1006)</f>
        <v>2</v>
      </c>
      <c r="N1006">
        <f>IFERROR(VLOOKUP(D1006,[1]Parameters!$A$3:$C$5,3,FALSE),0)</f>
        <v>1</v>
      </c>
      <c r="O1006">
        <f>IFERROR(VLOOKUP(E1006,[1]Parameters!$A$3:$C$5,3,FALSE),0)</f>
        <v>2.2999999999999998</v>
      </c>
      <c r="P1006">
        <f>IFERROR(VLOOKUP(F1006,[1]Parameters!$A$3:$C$5,3,FALSE),0)</f>
        <v>0</v>
      </c>
      <c r="Q1006">
        <f t="shared" si="15"/>
        <v>3.3</v>
      </c>
      <c r="R1006" s="10">
        <f>IF('[1]Pizza Sales Calculations'!$G1006=TRUE, [1]Parameters!$B$17*'[1]Pizza Sales Calculations'!$L1006*2, 0)</f>
        <v>5.5108333331882022</v>
      </c>
      <c r="S1006" t="str">
        <f>IF(I1006&lt;[1]Parameters!$B$21,"TRUE","FALSE")</f>
        <v>FALSE</v>
      </c>
      <c r="T1006" s="5">
        <f>(I1006/[1]Parameters!$B$25)*60</f>
        <v>7.7835828606171598</v>
      </c>
      <c r="U1006" s="10">
        <f>IF(AND('[1]Pizza Sales Calculations'!G1006=TRUE,'[1]Pizza Sales Calculations'!S1006="TRUE"),T1006*[1]Parameters!$B$40*2,0)</f>
        <v>0</v>
      </c>
      <c r="V1006">
        <f>INDEX([1]Parameters!$A$3:$C$5,MATCH('[1]Pizza Sales Calculations'!D1006,[1]Parameters!$A$3:$A$5,0),2)</f>
        <v>7</v>
      </c>
      <c r="W1006">
        <f>INDEX([1]Parameters!$A$3:$C$5,MATCH('[1]Pizza Sales Calculations'!E1006,[1]Parameters!$A$3:$A$5,0),2)</f>
        <v>14</v>
      </c>
      <c r="X1006" t="e">
        <f>INDEX([1]Parameters!$A$3:$C$5,MATCH('[1]Pizza Sales Calculations'!F1006,[1]Parameters!$A$3:$A$5,0),2)</f>
        <v>#N/A</v>
      </c>
    </row>
    <row r="1007" spans="1:24" x14ac:dyDescent="0.3">
      <c r="A1007">
        <v>1006</v>
      </c>
      <c r="B1007" s="14">
        <v>42380.518599537034</v>
      </c>
      <c r="C1007" s="14">
        <v>42380.529016203705</v>
      </c>
      <c r="D1007" t="s">
        <v>3</v>
      </c>
      <c r="E1007" t="s">
        <v>4</v>
      </c>
      <c r="G1007" t="b">
        <v>1</v>
      </c>
      <c r="H1007">
        <v>70804</v>
      </c>
      <c r="I1007" s="5">
        <v>2.79604109235818</v>
      </c>
      <c r="J1007" s="14">
        <v>42380.538715277777</v>
      </c>
      <c r="K1007">
        <v>19.579999999999998</v>
      </c>
      <c r="L1007" s="5">
        <f>('[1]Pizza Sales Calculations'!$J1007-'[1]Pizza Sales Calculations'!$C1007)*24*60</f>
        <v>13.966666662599891</v>
      </c>
      <c r="M1007">
        <f>COUNTA('[1]Pizza Sales Calculations'!$D1007:$F1007)</f>
        <v>2</v>
      </c>
      <c r="N1007">
        <f>IFERROR(VLOOKUP(D1007,[1]Parameters!$A$3:$C$5,3,FALSE),0)</f>
        <v>1</v>
      </c>
      <c r="O1007">
        <f>IFERROR(VLOOKUP(E1007,[1]Parameters!$A$3:$C$5,3,FALSE),0)</f>
        <v>1.7</v>
      </c>
      <c r="P1007">
        <f>IFERROR(VLOOKUP(F1007,[1]Parameters!$A$3:$C$5,3,FALSE),0)</f>
        <v>0</v>
      </c>
      <c r="Q1007">
        <f t="shared" si="15"/>
        <v>2.7</v>
      </c>
      <c r="R1007" s="10">
        <f>IF('[1]Pizza Sales Calculations'!$G1007=TRUE, [1]Parameters!$B$17*'[1]Pizza Sales Calculations'!$L1007*2, 0)</f>
        <v>3.9572222210699692</v>
      </c>
      <c r="S1007" t="str">
        <f>IF(I1007&lt;[1]Parameters!$B$21,"TRUE","FALSE")</f>
        <v>TRUE</v>
      </c>
      <c r="T1007" s="5">
        <f>(I1007/[1]Parameters!$B$25)*60</f>
        <v>5.59208218471636</v>
      </c>
      <c r="U1007" s="10">
        <f>IF(AND('[1]Pizza Sales Calculations'!G1007=TRUE,'[1]Pizza Sales Calculations'!S1007="TRUE"),T1007*[1]Parameters!$B$40*2,0)</f>
        <v>0.34907246656345886</v>
      </c>
      <c r="V1007">
        <f>INDEX([1]Parameters!$A$3:$C$5,MATCH('[1]Pizza Sales Calculations'!D1007,[1]Parameters!$A$3:$A$5,0),2)</f>
        <v>7</v>
      </c>
      <c r="W1007">
        <f>INDEX([1]Parameters!$A$3:$C$5,MATCH('[1]Pizza Sales Calculations'!E1007,[1]Parameters!$A$3:$A$5,0),2)</f>
        <v>10</v>
      </c>
      <c r="X1007" t="e">
        <f>INDEX([1]Parameters!$A$3:$C$5,MATCH('[1]Pizza Sales Calculations'!F1007,[1]Parameters!$A$3:$A$5,0),2)</f>
        <v>#N/A</v>
      </c>
    </row>
    <row r="1008" spans="1:24" x14ac:dyDescent="0.3">
      <c r="A1008">
        <v>1007</v>
      </c>
      <c r="B1008" s="14">
        <v>42380.566504629627</v>
      </c>
      <c r="C1008" s="14">
        <v>42380.576909722222</v>
      </c>
      <c r="D1008" t="s">
        <v>4</v>
      </c>
      <c r="G1008" t="b">
        <v>0</v>
      </c>
      <c r="H1008">
        <v>70805</v>
      </c>
      <c r="I1008" s="5">
        <v>0</v>
      </c>
      <c r="J1008" s="14">
        <v>42380.578981481478</v>
      </c>
      <c r="K1008">
        <v>11.59</v>
      </c>
      <c r="L1008" s="5">
        <f>('[1]Pizza Sales Calculations'!$J1008-'[1]Pizza Sales Calculations'!$C1008)*24*60</f>
        <v>2.9833333287388086</v>
      </c>
      <c r="M1008">
        <f>COUNTA('[1]Pizza Sales Calculations'!$D1008:$F1008)</f>
        <v>1</v>
      </c>
      <c r="N1008">
        <f>IFERROR(VLOOKUP(D1008,[1]Parameters!$A$3:$C$5,3,FALSE),0)</f>
        <v>1.7</v>
      </c>
      <c r="O1008">
        <f>IFERROR(VLOOKUP(E1008,[1]Parameters!$A$3:$C$5,3,FALSE),0)</f>
        <v>0</v>
      </c>
      <c r="P1008">
        <f>IFERROR(VLOOKUP(F1008,[1]Parameters!$A$3:$C$5,3,FALSE),0)</f>
        <v>0</v>
      </c>
      <c r="Q1008">
        <f t="shared" si="15"/>
        <v>1.7</v>
      </c>
      <c r="R1008" s="10">
        <f>IF('[1]Pizza Sales Calculations'!$G1008=TRUE, [1]Parameters!$B$17*'[1]Pizza Sales Calculations'!$L1008*2, 0)</f>
        <v>0</v>
      </c>
      <c r="S1008" t="str">
        <f>IF(I1008&lt;[1]Parameters!$B$21,"TRUE","FALSE")</f>
        <v>TRUE</v>
      </c>
      <c r="T1008" s="5">
        <f>(I1008/[1]Parameters!$B$25)*60</f>
        <v>0</v>
      </c>
      <c r="U1008" s="10">
        <f>IF(AND('[1]Pizza Sales Calculations'!G1008=TRUE,'[1]Pizza Sales Calculations'!S1008="TRUE"),T1008*[1]Parameters!$B$40*2,0)</f>
        <v>0</v>
      </c>
      <c r="V1008">
        <f>INDEX([1]Parameters!$A$3:$C$5,MATCH('[1]Pizza Sales Calculations'!D1008,[1]Parameters!$A$3:$A$5,0),2)</f>
        <v>10</v>
      </c>
      <c r="W1008" t="e">
        <f>INDEX([1]Parameters!$A$3:$C$5,MATCH('[1]Pizza Sales Calculations'!E1008,[1]Parameters!$A$3:$A$5,0),2)</f>
        <v>#N/A</v>
      </c>
      <c r="X1008" t="e">
        <f>INDEX([1]Parameters!$A$3:$C$5,MATCH('[1]Pizza Sales Calculations'!F1008,[1]Parameters!$A$3:$A$5,0),2)</f>
        <v>#N/A</v>
      </c>
    </row>
    <row r="1009" spans="1:24" x14ac:dyDescent="0.3">
      <c r="A1009">
        <v>1008</v>
      </c>
      <c r="B1009" s="14">
        <v>42380.505879629629</v>
      </c>
      <c r="C1009" s="14">
        <v>42380.516296296293</v>
      </c>
      <c r="D1009" t="s">
        <v>3</v>
      </c>
      <c r="E1009" t="s">
        <v>4</v>
      </c>
      <c r="G1009" t="b">
        <v>0</v>
      </c>
      <c r="H1009">
        <v>70807</v>
      </c>
      <c r="I1009" s="5">
        <v>0</v>
      </c>
      <c r="J1009" s="14">
        <v>42380.518391203703</v>
      </c>
      <c r="K1009">
        <v>19.579999999999998</v>
      </c>
      <c r="L1009" s="5">
        <f>('[1]Pizza Sales Calculations'!$J1009-'[1]Pizza Sales Calculations'!$C1009)*24*60</f>
        <v>3.0166666698642075</v>
      </c>
      <c r="M1009">
        <f>COUNTA('[1]Pizza Sales Calculations'!$D1009:$F1009)</f>
        <v>2</v>
      </c>
      <c r="N1009">
        <f>IFERROR(VLOOKUP(D1009,[1]Parameters!$A$3:$C$5,3,FALSE),0)</f>
        <v>1</v>
      </c>
      <c r="O1009">
        <f>IFERROR(VLOOKUP(E1009,[1]Parameters!$A$3:$C$5,3,FALSE),0)</f>
        <v>1.7</v>
      </c>
      <c r="P1009">
        <f>IFERROR(VLOOKUP(F1009,[1]Parameters!$A$3:$C$5,3,FALSE),0)</f>
        <v>0</v>
      </c>
      <c r="Q1009">
        <f t="shared" si="15"/>
        <v>2.7</v>
      </c>
      <c r="R1009" s="10">
        <f>IF('[1]Pizza Sales Calculations'!$G1009=TRUE, [1]Parameters!$B$17*'[1]Pizza Sales Calculations'!$L1009*2, 0)</f>
        <v>0</v>
      </c>
      <c r="S1009" t="str">
        <f>IF(I1009&lt;[1]Parameters!$B$21,"TRUE","FALSE")</f>
        <v>TRUE</v>
      </c>
      <c r="T1009" s="5">
        <f>(I1009/[1]Parameters!$B$25)*60</f>
        <v>0</v>
      </c>
      <c r="U1009" s="10">
        <f>IF(AND('[1]Pizza Sales Calculations'!G1009=TRUE,'[1]Pizza Sales Calculations'!S1009="TRUE"),T1009*[1]Parameters!$B$40*2,0)</f>
        <v>0</v>
      </c>
      <c r="V1009">
        <f>INDEX([1]Parameters!$A$3:$C$5,MATCH('[1]Pizza Sales Calculations'!D1009,[1]Parameters!$A$3:$A$5,0),2)</f>
        <v>7</v>
      </c>
      <c r="W1009">
        <f>INDEX([1]Parameters!$A$3:$C$5,MATCH('[1]Pizza Sales Calculations'!E1009,[1]Parameters!$A$3:$A$5,0),2)</f>
        <v>10</v>
      </c>
      <c r="X1009" t="e">
        <f>INDEX([1]Parameters!$A$3:$C$5,MATCH('[1]Pizza Sales Calculations'!F1009,[1]Parameters!$A$3:$A$5,0),2)</f>
        <v>#N/A</v>
      </c>
    </row>
    <row r="1010" spans="1:24" x14ac:dyDescent="0.3">
      <c r="A1010">
        <v>1009</v>
      </c>
      <c r="B1010" s="14">
        <v>42380.477581018517</v>
      </c>
      <c r="C1010" s="14">
        <v>42380.487997685188</v>
      </c>
      <c r="D1010" t="s">
        <v>4</v>
      </c>
      <c r="G1010" t="b">
        <v>1</v>
      </c>
      <c r="H1010">
        <v>70805</v>
      </c>
      <c r="I1010" s="5">
        <v>1.9595570890155201</v>
      </c>
      <c r="J1010" s="14">
        <v>42380.494791666664</v>
      </c>
      <c r="K1010">
        <v>11.59</v>
      </c>
      <c r="L1010" s="5">
        <f>('[1]Pizza Sales Calculations'!$J1010-'[1]Pizza Sales Calculations'!$C1010)*24*60</f>
        <v>9.7833333257585764</v>
      </c>
      <c r="M1010">
        <f>COUNTA('[1]Pizza Sales Calculations'!$D1010:$F1010)</f>
        <v>1</v>
      </c>
      <c r="N1010">
        <f>IFERROR(VLOOKUP(D1010,[1]Parameters!$A$3:$C$5,3,FALSE),0)</f>
        <v>1.7</v>
      </c>
      <c r="O1010">
        <f>IFERROR(VLOOKUP(E1010,[1]Parameters!$A$3:$C$5,3,FALSE),0)</f>
        <v>0</v>
      </c>
      <c r="P1010">
        <f>IFERROR(VLOOKUP(F1010,[1]Parameters!$A$3:$C$5,3,FALSE),0)</f>
        <v>0</v>
      </c>
      <c r="Q1010">
        <f t="shared" si="15"/>
        <v>1.7</v>
      </c>
      <c r="R1010" s="10">
        <f>IF('[1]Pizza Sales Calculations'!$G1010=TRUE, [1]Parameters!$B$17*'[1]Pizza Sales Calculations'!$L1010*2, 0)</f>
        <v>2.7719444422982633</v>
      </c>
      <c r="S1010" t="str">
        <f>IF(I1010&lt;[1]Parameters!$B$21,"TRUE","FALSE")</f>
        <v>TRUE</v>
      </c>
      <c r="T1010" s="5">
        <f>(I1010/[1]Parameters!$B$25)*60</f>
        <v>3.9191141780310406</v>
      </c>
      <c r="U1010" s="10">
        <f>IF(AND('[1]Pizza Sales Calculations'!G1010=TRUE,'[1]Pizza Sales Calculations'!S1010="TRUE"),T1010*[1]Parameters!$B$40*2,0)</f>
        <v>0.24464140684629584</v>
      </c>
      <c r="V1010">
        <f>INDEX([1]Parameters!$A$3:$C$5,MATCH('[1]Pizza Sales Calculations'!D1010,[1]Parameters!$A$3:$A$5,0),2)</f>
        <v>10</v>
      </c>
      <c r="W1010" t="e">
        <f>INDEX([1]Parameters!$A$3:$C$5,MATCH('[1]Pizza Sales Calculations'!E1010,[1]Parameters!$A$3:$A$5,0),2)</f>
        <v>#N/A</v>
      </c>
      <c r="X1010" t="e">
        <f>INDEX([1]Parameters!$A$3:$C$5,MATCH('[1]Pizza Sales Calculations'!F1010,[1]Parameters!$A$3:$A$5,0),2)</f>
        <v>#N/A</v>
      </c>
    </row>
    <row r="1011" spans="1:24" x14ac:dyDescent="0.3">
      <c r="A1011">
        <v>1010</v>
      </c>
      <c r="B1011" s="14">
        <v>42380.468090277776</v>
      </c>
      <c r="C1011" s="14">
        <v>42380.478506944448</v>
      </c>
      <c r="D1011" t="s">
        <v>3</v>
      </c>
      <c r="E1011" t="s">
        <v>4</v>
      </c>
      <c r="G1011" t="b">
        <v>1</v>
      </c>
      <c r="H1011">
        <v>70808</v>
      </c>
      <c r="I1011" s="5">
        <v>1.8735961521715201</v>
      </c>
      <c r="J1011" s="14">
        <v>42380.485011574077</v>
      </c>
      <c r="K1011">
        <v>19.579999999999998</v>
      </c>
      <c r="L1011" s="5">
        <f>('[1]Pizza Sales Calculations'!$J1011-'[1]Pizza Sales Calculations'!$C1011)*24*60</f>
        <v>9.3666666664648801</v>
      </c>
      <c r="M1011">
        <f>COUNTA('[1]Pizza Sales Calculations'!$D1011:$F1011)</f>
        <v>2</v>
      </c>
      <c r="N1011">
        <f>IFERROR(VLOOKUP(D1011,[1]Parameters!$A$3:$C$5,3,FALSE),0)</f>
        <v>1</v>
      </c>
      <c r="O1011">
        <f>IFERROR(VLOOKUP(E1011,[1]Parameters!$A$3:$C$5,3,FALSE),0)</f>
        <v>1.7</v>
      </c>
      <c r="P1011">
        <f>IFERROR(VLOOKUP(F1011,[1]Parameters!$A$3:$C$5,3,FALSE),0)</f>
        <v>0</v>
      </c>
      <c r="Q1011">
        <f t="shared" si="15"/>
        <v>2.7</v>
      </c>
      <c r="R1011" s="10">
        <f>IF('[1]Pizza Sales Calculations'!$G1011=TRUE, [1]Parameters!$B$17*'[1]Pizza Sales Calculations'!$L1011*2, 0)</f>
        <v>2.653888888831716</v>
      </c>
      <c r="S1011" t="str">
        <f>IF(I1011&lt;[1]Parameters!$B$21,"TRUE","FALSE")</f>
        <v>TRUE</v>
      </c>
      <c r="T1011" s="5">
        <f>(I1011/[1]Parameters!$B$25)*60</f>
        <v>3.7471923043430402</v>
      </c>
      <c r="U1011" s="10">
        <f>IF(AND('[1]Pizza Sales Calculations'!G1011=TRUE,'[1]Pizza Sales Calculations'!S1011="TRUE"),T1011*[1]Parameters!$B$40*2,0)</f>
        <v>0.23390959166151498</v>
      </c>
      <c r="V1011">
        <f>INDEX([1]Parameters!$A$3:$C$5,MATCH('[1]Pizza Sales Calculations'!D1011,[1]Parameters!$A$3:$A$5,0),2)</f>
        <v>7</v>
      </c>
      <c r="W1011">
        <f>INDEX([1]Parameters!$A$3:$C$5,MATCH('[1]Pizza Sales Calculations'!E1011,[1]Parameters!$A$3:$A$5,0),2)</f>
        <v>10</v>
      </c>
      <c r="X1011" t="e">
        <f>INDEX([1]Parameters!$A$3:$C$5,MATCH('[1]Pizza Sales Calculations'!F1011,[1]Parameters!$A$3:$A$5,0),2)</f>
        <v>#N/A</v>
      </c>
    </row>
    <row r="1012" spans="1:24" x14ac:dyDescent="0.3">
      <c r="A1012">
        <v>1011</v>
      </c>
      <c r="B1012" s="14">
        <v>42380.46298611111</v>
      </c>
      <c r="C1012" s="14">
        <v>42380.473402777781</v>
      </c>
      <c r="D1012" t="s">
        <v>5</v>
      </c>
      <c r="G1012" t="b">
        <v>0</v>
      </c>
      <c r="H1012">
        <v>70805</v>
      </c>
      <c r="I1012" s="5">
        <v>0</v>
      </c>
      <c r="J1012" s="14">
        <v>42380.475497685184</v>
      </c>
      <c r="K1012">
        <v>15.35</v>
      </c>
      <c r="L1012" s="5">
        <f>('[1]Pizza Sales Calculations'!$J1012-'[1]Pizza Sales Calculations'!$C1012)*24*60</f>
        <v>3.0166666593868285</v>
      </c>
      <c r="M1012">
        <f>COUNTA('[1]Pizza Sales Calculations'!$D1012:$F1012)</f>
        <v>1</v>
      </c>
      <c r="N1012">
        <f>IFERROR(VLOOKUP(D1012,[1]Parameters!$A$3:$C$5,3,FALSE),0)</f>
        <v>2.2999999999999998</v>
      </c>
      <c r="O1012">
        <f>IFERROR(VLOOKUP(E1012,[1]Parameters!$A$3:$C$5,3,FALSE),0)</f>
        <v>0</v>
      </c>
      <c r="P1012">
        <f>IFERROR(VLOOKUP(F1012,[1]Parameters!$A$3:$C$5,3,FALSE),0)</f>
        <v>0</v>
      </c>
      <c r="Q1012">
        <f t="shared" si="15"/>
        <v>2.2999999999999998</v>
      </c>
      <c r="R1012" s="10">
        <f>IF('[1]Pizza Sales Calculations'!$G1012=TRUE, [1]Parameters!$B$17*'[1]Pizza Sales Calculations'!$L1012*2, 0)</f>
        <v>0</v>
      </c>
      <c r="S1012" t="str">
        <f>IF(I1012&lt;[1]Parameters!$B$21,"TRUE","FALSE")</f>
        <v>TRUE</v>
      </c>
      <c r="T1012" s="5">
        <f>(I1012/[1]Parameters!$B$25)*60</f>
        <v>0</v>
      </c>
      <c r="U1012" s="10">
        <f>IF(AND('[1]Pizza Sales Calculations'!G1012=TRUE,'[1]Pizza Sales Calculations'!S1012="TRUE"),T1012*[1]Parameters!$B$40*2,0)</f>
        <v>0</v>
      </c>
      <c r="V1012">
        <f>INDEX([1]Parameters!$A$3:$C$5,MATCH('[1]Pizza Sales Calculations'!D1012,[1]Parameters!$A$3:$A$5,0),2)</f>
        <v>14</v>
      </c>
      <c r="W1012" t="e">
        <f>INDEX([1]Parameters!$A$3:$C$5,MATCH('[1]Pizza Sales Calculations'!E1012,[1]Parameters!$A$3:$A$5,0),2)</f>
        <v>#N/A</v>
      </c>
      <c r="X1012" t="e">
        <f>INDEX([1]Parameters!$A$3:$C$5,MATCH('[1]Pizza Sales Calculations'!F1012,[1]Parameters!$A$3:$A$5,0),2)</f>
        <v>#N/A</v>
      </c>
    </row>
    <row r="1013" spans="1:24" x14ac:dyDescent="0.3">
      <c r="A1013">
        <v>1012</v>
      </c>
      <c r="B1013" s="14">
        <v>42380.519837962966</v>
      </c>
      <c r="C1013" s="14">
        <v>42380.530243055553</v>
      </c>
      <c r="D1013" t="s">
        <v>4</v>
      </c>
      <c r="G1013" t="b">
        <v>1</v>
      </c>
      <c r="H1013">
        <v>70805</v>
      </c>
      <c r="I1013" s="5">
        <v>3.8912597164256799</v>
      </c>
      <c r="J1013" s="14">
        <v>42380.543749999997</v>
      </c>
      <c r="K1013">
        <v>11.59</v>
      </c>
      <c r="L1013" s="5">
        <f>('[1]Pizza Sales Calculations'!$J1013-'[1]Pizza Sales Calculations'!$C1013)*24*60</f>
        <v>19.449999999487773</v>
      </c>
      <c r="M1013">
        <f>COUNTA('[1]Pizza Sales Calculations'!$D1013:$F1013)</f>
        <v>1</v>
      </c>
      <c r="N1013">
        <f>IFERROR(VLOOKUP(D1013,[1]Parameters!$A$3:$C$5,3,FALSE),0)</f>
        <v>1.7</v>
      </c>
      <c r="O1013">
        <f>IFERROR(VLOOKUP(E1013,[1]Parameters!$A$3:$C$5,3,FALSE),0)</f>
        <v>0</v>
      </c>
      <c r="P1013">
        <f>IFERROR(VLOOKUP(F1013,[1]Parameters!$A$3:$C$5,3,FALSE),0)</f>
        <v>0</v>
      </c>
      <c r="Q1013">
        <f t="shared" si="15"/>
        <v>1.7</v>
      </c>
      <c r="R1013" s="10">
        <f>IF('[1]Pizza Sales Calculations'!$G1013=TRUE, [1]Parameters!$B$17*'[1]Pizza Sales Calculations'!$L1013*2, 0)</f>
        <v>5.5108333331882022</v>
      </c>
      <c r="S1013" t="str">
        <f>IF(I1013&lt;[1]Parameters!$B$21,"TRUE","FALSE")</f>
        <v>FALSE</v>
      </c>
      <c r="T1013" s="5">
        <f>(I1013/[1]Parameters!$B$25)*60</f>
        <v>7.7825194328513607</v>
      </c>
      <c r="U1013" s="10">
        <f>IF(AND('[1]Pizza Sales Calculations'!G1013=TRUE,'[1]Pizza Sales Calculations'!S1013="TRUE"),T1013*[1]Parameters!$B$40*2,0)</f>
        <v>0</v>
      </c>
      <c r="V1013">
        <f>INDEX([1]Parameters!$A$3:$C$5,MATCH('[1]Pizza Sales Calculations'!D1013,[1]Parameters!$A$3:$A$5,0),2)</f>
        <v>10</v>
      </c>
      <c r="W1013" t="e">
        <f>INDEX([1]Parameters!$A$3:$C$5,MATCH('[1]Pizza Sales Calculations'!E1013,[1]Parameters!$A$3:$A$5,0),2)</f>
        <v>#N/A</v>
      </c>
      <c r="X1013" t="e">
        <f>INDEX([1]Parameters!$A$3:$C$5,MATCH('[1]Pizza Sales Calculations'!F1013,[1]Parameters!$A$3:$A$5,0),2)</f>
        <v>#N/A</v>
      </c>
    </row>
    <row r="1014" spans="1:24" x14ac:dyDescent="0.3">
      <c r="A1014">
        <v>1013</v>
      </c>
      <c r="B1014" s="14">
        <v>42380.507361111115</v>
      </c>
      <c r="C1014" s="14">
        <v>42380.517800925925</v>
      </c>
      <c r="D1014" t="s">
        <v>4</v>
      </c>
      <c r="G1014" t="b">
        <v>1</v>
      </c>
      <c r="H1014">
        <v>70805</v>
      </c>
      <c r="I1014" s="5">
        <v>0.92288771619889898</v>
      </c>
      <c r="J1014" s="14">
        <v>42380.520995370367</v>
      </c>
      <c r="K1014">
        <v>11.59</v>
      </c>
      <c r="L1014" s="5">
        <f>('[1]Pizza Sales Calculations'!$J1014-'[1]Pizza Sales Calculations'!$C1014)*24*60</f>
        <v>4.5999999961350113</v>
      </c>
      <c r="M1014">
        <f>COUNTA('[1]Pizza Sales Calculations'!$D1014:$F1014)</f>
        <v>1</v>
      </c>
      <c r="N1014">
        <f>IFERROR(VLOOKUP(D1014,[1]Parameters!$A$3:$C$5,3,FALSE),0)</f>
        <v>1.7</v>
      </c>
      <c r="O1014">
        <f>IFERROR(VLOOKUP(E1014,[1]Parameters!$A$3:$C$5,3,FALSE),0)</f>
        <v>0</v>
      </c>
      <c r="P1014">
        <f>IFERROR(VLOOKUP(F1014,[1]Parameters!$A$3:$C$5,3,FALSE),0)</f>
        <v>0</v>
      </c>
      <c r="Q1014">
        <f t="shared" si="15"/>
        <v>1.7</v>
      </c>
      <c r="R1014" s="10">
        <f>IF('[1]Pizza Sales Calculations'!$G1014=TRUE, [1]Parameters!$B$17*'[1]Pizza Sales Calculations'!$L1014*2, 0)</f>
        <v>1.3033333322382532</v>
      </c>
      <c r="S1014" t="str">
        <f>IF(I1014&lt;[1]Parameters!$B$21,"TRUE","FALSE")</f>
        <v>TRUE</v>
      </c>
      <c r="T1014" s="5">
        <f>(I1014/[1]Parameters!$B$25)*60</f>
        <v>1.845775432397798</v>
      </c>
      <c r="U1014" s="10">
        <f>IF(AND('[1]Pizza Sales Calculations'!G1014=TRUE,'[1]Pizza Sales Calculations'!S1014="TRUE"),T1014*[1]Parameters!$B$40*2,0)</f>
        <v>0.11521815338663779</v>
      </c>
      <c r="V1014">
        <f>INDEX([1]Parameters!$A$3:$C$5,MATCH('[1]Pizza Sales Calculations'!D1014,[1]Parameters!$A$3:$A$5,0),2)</f>
        <v>10</v>
      </c>
      <c r="W1014" t="e">
        <f>INDEX([1]Parameters!$A$3:$C$5,MATCH('[1]Pizza Sales Calculations'!E1014,[1]Parameters!$A$3:$A$5,0),2)</f>
        <v>#N/A</v>
      </c>
      <c r="X1014" t="e">
        <f>INDEX([1]Parameters!$A$3:$C$5,MATCH('[1]Pizza Sales Calculations'!F1014,[1]Parameters!$A$3:$A$5,0),2)</f>
        <v>#N/A</v>
      </c>
    </row>
    <row r="1015" spans="1:24" x14ac:dyDescent="0.3">
      <c r="A1015">
        <v>1014</v>
      </c>
      <c r="B1015" s="14">
        <v>42380.482395833336</v>
      </c>
      <c r="C1015" s="14">
        <v>42380.492824074077</v>
      </c>
      <c r="D1015" t="s">
        <v>4</v>
      </c>
      <c r="G1015" t="b">
        <v>0</v>
      </c>
      <c r="H1015">
        <v>70805</v>
      </c>
      <c r="I1015" s="5">
        <v>0</v>
      </c>
      <c r="J1015" s="14">
        <v>42380.494884259257</v>
      </c>
      <c r="K1015">
        <v>11.59</v>
      </c>
      <c r="L1015" s="5">
        <f>('[1]Pizza Sales Calculations'!$J1015-'[1]Pizza Sales Calculations'!$C1015)*24*60</f>
        <v>2.9666666581761092</v>
      </c>
      <c r="M1015">
        <f>COUNTA('[1]Pizza Sales Calculations'!$D1015:$F1015)</f>
        <v>1</v>
      </c>
      <c r="N1015">
        <f>IFERROR(VLOOKUP(D1015,[1]Parameters!$A$3:$C$5,3,FALSE),0)</f>
        <v>1.7</v>
      </c>
      <c r="O1015">
        <f>IFERROR(VLOOKUP(E1015,[1]Parameters!$A$3:$C$5,3,FALSE),0)</f>
        <v>0</v>
      </c>
      <c r="P1015">
        <f>IFERROR(VLOOKUP(F1015,[1]Parameters!$A$3:$C$5,3,FALSE),0)</f>
        <v>0</v>
      </c>
      <c r="Q1015">
        <f t="shared" si="15"/>
        <v>1.7</v>
      </c>
      <c r="R1015" s="10">
        <f>IF('[1]Pizza Sales Calculations'!$G1015=TRUE, [1]Parameters!$B$17*'[1]Pizza Sales Calculations'!$L1015*2, 0)</f>
        <v>0</v>
      </c>
      <c r="S1015" t="str">
        <f>IF(I1015&lt;[1]Parameters!$B$21,"TRUE","FALSE")</f>
        <v>TRUE</v>
      </c>
      <c r="T1015" s="5">
        <f>(I1015/[1]Parameters!$B$25)*60</f>
        <v>0</v>
      </c>
      <c r="U1015" s="10">
        <f>IF(AND('[1]Pizza Sales Calculations'!G1015=TRUE,'[1]Pizza Sales Calculations'!S1015="TRUE"),T1015*[1]Parameters!$B$40*2,0)</f>
        <v>0</v>
      </c>
      <c r="V1015">
        <f>INDEX([1]Parameters!$A$3:$C$5,MATCH('[1]Pizza Sales Calculations'!D1015,[1]Parameters!$A$3:$A$5,0),2)</f>
        <v>10</v>
      </c>
      <c r="W1015" t="e">
        <f>INDEX([1]Parameters!$A$3:$C$5,MATCH('[1]Pizza Sales Calculations'!E1015,[1]Parameters!$A$3:$A$5,0),2)</f>
        <v>#N/A</v>
      </c>
      <c r="X1015" t="e">
        <f>INDEX([1]Parameters!$A$3:$C$5,MATCH('[1]Pizza Sales Calculations'!F1015,[1]Parameters!$A$3:$A$5,0),2)</f>
        <v>#N/A</v>
      </c>
    </row>
    <row r="1016" spans="1:24" x14ac:dyDescent="0.3">
      <c r="A1016">
        <v>1015</v>
      </c>
      <c r="B1016" s="14">
        <v>42380.475983796299</v>
      </c>
      <c r="C1016" s="14">
        <v>42380.486388888887</v>
      </c>
      <c r="D1016" t="s">
        <v>3</v>
      </c>
      <c r="E1016" t="s">
        <v>4</v>
      </c>
      <c r="G1016" t="b">
        <v>0</v>
      </c>
      <c r="H1016">
        <v>70804</v>
      </c>
      <c r="I1016" s="5">
        <v>0</v>
      </c>
      <c r="J1016" s="14">
        <v>42380.48846064815</v>
      </c>
      <c r="K1016">
        <v>19.579999999999998</v>
      </c>
      <c r="L1016" s="5">
        <f>('[1]Pizza Sales Calculations'!$J1016-'[1]Pizza Sales Calculations'!$C1016)*24*60</f>
        <v>2.9833333392161876</v>
      </c>
      <c r="M1016">
        <f>COUNTA('[1]Pizza Sales Calculations'!$D1016:$F1016)</f>
        <v>2</v>
      </c>
      <c r="N1016">
        <f>IFERROR(VLOOKUP(D1016,[1]Parameters!$A$3:$C$5,3,FALSE),0)</f>
        <v>1</v>
      </c>
      <c r="O1016">
        <f>IFERROR(VLOOKUP(E1016,[1]Parameters!$A$3:$C$5,3,FALSE),0)</f>
        <v>1.7</v>
      </c>
      <c r="P1016">
        <f>IFERROR(VLOOKUP(F1016,[1]Parameters!$A$3:$C$5,3,FALSE),0)</f>
        <v>0</v>
      </c>
      <c r="Q1016">
        <f t="shared" si="15"/>
        <v>2.7</v>
      </c>
      <c r="R1016" s="10">
        <f>IF('[1]Pizza Sales Calculations'!$G1016=TRUE, [1]Parameters!$B$17*'[1]Pizza Sales Calculations'!$L1016*2, 0)</f>
        <v>0</v>
      </c>
      <c r="S1016" t="str">
        <f>IF(I1016&lt;[1]Parameters!$B$21,"TRUE","FALSE")</f>
        <v>TRUE</v>
      </c>
      <c r="T1016" s="5">
        <f>(I1016/[1]Parameters!$B$25)*60</f>
        <v>0</v>
      </c>
      <c r="U1016" s="10">
        <f>IF(AND('[1]Pizza Sales Calculations'!G1016=TRUE,'[1]Pizza Sales Calculations'!S1016="TRUE"),T1016*[1]Parameters!$B$40*2,0)</f>
        <v>0</v>
      </c>
      <c r="V1016">
        <f>INDEX([1]Parameters!$A$3:$C$5,MATCH('[1]Pizza Sales Calculations'!D1016,[1]Parameters!$A$3:$A$5,0),2)</f>
        <v>7</v>
      </c>
      <c r="W1016">
        <f>INDEX([1]Parameters!$A$3:$C$5,MATCH('[1]Pizza Sales Calculations'!E1016,[1]Parameters!$A$3:$A$5,0),2)</f>
        <v>10</v>
      </c>
      <c r="X1016" t="e">
        <f>INDEX([1]Parameters!$A$3:$C$5,MATCH('[1]Pizza Sales Calculations'!F1016,[1]Parameters!$A$3:$A$5,0),2)</f>
        <v>#N/A</v>
      </c>
    </row>
    <row r="1017" spans="1:24" x14ac:dyDescent="0.3">
      <c r="A1017">
        <v>1016</v>
      </c>
      <c r="B1017" s="14">
        <v>42380.538773148146</v>
      </c>
      <c r="C1017" s="14">
        <v>42380.549178240741</v>
      </c>
      <c r="D1017" t="s">
        <v>3</v>
      </c>
      <c r="E1017" t="s">
        <v>5</v>
      </c>
      <c r="G1017" t="b">
        <v>1</v>
      </c>
      <c r="H1017">
        <v>70803</v>
      </c>
      <c r="I1017" s="5">
        <v>1.71825832419332</v>
      </c>
      <c r="J1017" s="14">
        <v>42380.555138888885</v>
      </c>
      <c r="K1017">
        <v>23.34</v>
      </c>
      <c r="L1017" s="5">
        <f>('[1]Pizza Sales Calculations'!$J1017-'[1]Pizza Sales Calculations'!$C1017)*24*60</f>
        <v>8.583333328133449</v>
      </c>
      <c r="M1017">
        <f>COUNTA('[1]Pizza Sales Calculations'!$D1017:$F1017)</f>
        <v>2</v>
      </c>
      <c r="N1017">
        <f>IFERROR(VLOOKUP(D1017,[1]Parameters!$A$3:$C$5,3,FALSE),0)</f>
        <v>1</v>
      </c>
      <c r="O1017">
        <f>IFERROR(VLOOKUP(E1017,[1]Parameters!$A$3:$C$5,3,FALSE),0)</f>
        <v>2.2999999999999998</v>
      </c>
      <c r="P1017">
        <f>IFERROR(VLOOKUP(F1017,[1]Parameters!$A$3:$C$5,3,FALSE),0)</f>
        <v>0</v>
      </c>
      <c r="Q1017">
        <f t="shared" si="15"/>
        <v>3.3</v>
      </c>
      <c r="R1017" s="10">
        <f>IF('[1]Pizza Sales Calculations'!$G1017=TRUE, [1]Parameters!$B$17*'[1]Pizza Sales Calculations'!$L1017*2, 0)</f>
        <v>2.4319444429711439</v>
      </c>
      <c r="S1017" t="str">
        <f>IF(I1017&lt;[1]Parameters!$B$21,"TRUE","FALSE")</f>
        <v>TRUE</v>
      </c>
      <c r="T1017" s="5">
        <f>(I1017/[1]Parameters!$B$25)*60</f>
        <v>3.4365166483866401</v>
      </c>
      <c r="U1017" s="10">
        <f>IF(AND('[1]Pizza Sales Calculations'!G1017=TRUE,'[1]Pizza Sales Calculations'!S1017="TRUE"),T1017*[1]Parameters!$B$40*2,0)</f>
        <v>0.21451640072767647</v>
      </c>
      <c r="V1017">
        <f>INDEX([1]Parameters!$A$3:$C$5,MATCH('[1]Pizza Sales Calculations'!D1017,[1]Parameters!$A$3:$A$5,0),2)</f>
        <v>7</v>
      </c>
      <c r="W1017">
        <f>INDEX([1]Parameters!$A$3:$C$5,MATCH('[1]Pizza Sales Calculations'!E1017,[1]Parameters!$A$3:$A$5,0),2)</f>
        <v>14</v>
      </c>
      <c r="X1017" t="e">
        <f>INDEX([1]Parameters!$A$3:$C$5,MATCH('[1]Pizza Sales Calculations'!F1017,[1]Parameters!$A$3:$A$5,0),2)</f>
        <v>#N/A</v>
      </c>
    </row>
    <row r="1018" spans="1:24" x14ac:dyDescent="0.3">
      <c r="A1018">
        <v>1017</v>
      </c>
      <c r="B1018" s="14">
        <v>42380.464432870373</v>
      </c>
      <c r="C1018" s="14">
        <v>42380.474861111114</v>
      </c>
      <c r="D1018" t="s">
        <v>3</v>
      </c>
      <c r="E1018" t="s">
        <v>5</v>
      </c>
      <c r="G1018" t="b">
        <v>1</v>
      </c>
      <c r="H1018">
        <v>70805</v>
      </c>
      <c r="I1018" s="5">
        <v>2.66467987052035</v>
      </c>
      <c r="J1018" s="14">
        <v>42380.4841087963</v>
      </c>
      <c r="K1018">
        <v>23.34</v>
      </c>
      <c r="L1018" s="5">
        <f>('[1]Pizza Sales Calculations'!$J1018-'[1]Pizza Sales Calculations'!$C1018)*24*60</f>
        <v>13.316666667815298</v>
      </c>
      <c r="M1018">
        <f>COUNTA('[1]Pizza Sales Calculations'!$D1018:$F1018)</f>
        <v>2</v>
      </c>
      <c r="N1018">
        <f>IFERROR(VLOOKUP(D1018,[1]Parameters!$A$3:$C$5,3,FALSE),0)</f>
        <v>1</v>
      </c>
      <c r="O1018">
        <f>IFERROR(VLOOKUP(E1018,[1]Parameters!$A$3:$C$5,3,FALSE),0)</f>
        <v>2.2999999999999998</v>
      </c>
      <c r="P1018">
        <f>IFERROR(VLOOKUP(F1018,[1]Parameters!$A$3:$C$5,3,FALSE),0)</f>
        <v>0</v>
      </c>
      <c r="Q1018">
        <f t="shared" si="15"/>
        <v>3.3</v>
      </c>
      <c r="R1018" s="10">
        <f>IF('[1]Pizza Sales Calculations'!$G1018=TRUE, [1]Parameters!$B$17*'[1]Pizza Sales Calculations'!$L1018*2, 0)</f>
        <v>3.7730555558810011</v>
      </c>
      <c r="S1018" t="str">
        <f>IF(I1018&lt;[1]Parameters!$B$21,"TRUE","FALSE")</f>
        <v>TRUE</v>
      </c>
      <c r="T1018" s="5">
        <f>(I1018/[1]Parameters!$B$25)*60</f>
        <v>5.3293597410407001</v>
      </c>
      <c r="U1018" s="10">
        <f>IF(AND('[1]Pizza Sales Calculations'!G1018=TRUE,'[1]Pizza Sales Calculations'!S1018="TRUE"),T1018*[1]Parameters!$B$40*2,0)</f>
        <v>0.3326726411663839</v>
      </c>
      <c r="V1018">
        <f>INDEX([1]Parameters!$A$3:$C$5,MATCH('[1]Pizza Sales Calculations'!D1018,[1]Parameters!$A$3:$A$5,0),2)</f>
        <v>7</v>
      </c>
      <c r="W1018">
        <f>INDEX([1]Parameters!$A$3:$C$5,MATCH('[1]Pizza Sales Calculations'!E1018,[1]Parameters!$A$3:$A$5,0),2)</f>
        <v>14</v>
      </c>
      <c r="X1018" t="e">
        <f>INDEX([1]Parameters!$A$3:$C$5,MATCH('[1]Pizza Sales Calculations'!F1018,[1]Parameters!$A$3:$A$5,0),2)</f>
        <v>#N/A</v>
      </c>
    </row>
    <row r="1019" spans="1:24" x14ac:dyDescent="0.3">
      <c r="A1019">
        <v>1018</v>
      </c>
      <c r="B1019" s="14">
        <v>42380.530601851853</v>
      </c>
      <c r="C1019" s="14">
        <v>42380.540995370371</v>
      </c>
      <c r="D1019" t="s">
        <v>4</v>
      </c>
      <c r="G1019" t="b">
        <v>0</v>
      </c>
      <c r="H1019">
        <v>70804</v>
      </c>
      <c r="I1019" s="5">
        <v>0</v>
      </c>
      <c r="J1019" s="14">
        <v>42380.543055555558</v>
      </c>
      <c r="K1019">
        <v>11.59</v>
      </c>
      <c r="L1019" s="5">
        <f>('[1]Pizza Sales Calculations'!$J1019-'[1]Pizza Sales Calculations'!$C1019)*24*60</f>
        <v>2.9666666686534882</v>
      </c>
      <c r="M1019">
        <f>COUNTA('[1]Pizza Sales Calculations'!$D1019:$F1019)</f>
        <v>1</v>
      </c>
      <c r="N1019">
        <f>IFERROR(VLOOKUP(D1019,[1]Parameters!$A$3:$C$5,3,FALSE),0)</f>
        <v>1.7</v>
      </c>
      <c r="O1019">
        <f>IFERROR(VLOOKUP(E1019,[1]Parameters!$A$3:$C$5,3,FALSE),0)</f>
        <v>0</v>
      </c>
      <c r="P1019">
        <f>IFERROR(VLOOKUP(F1019,[1]Parameters!$A$3:$C$5,3,FALSE),0)</f>
        <v>0</v>
      </c>
      <c r="Q1019">
        <f t="shared" si="15"/>
        <v>1.7</v>
      </c>
      <c r="R1019" s="10">
        <f>IF('[1]Pizza Sales Calculations'!$G1019=TRUE, [1]Parameters!$B$17*'[1]Pizza Sales Calculations'!$L1019*2, 0)</f>
        <v>0</v>
      </c>
      <c r="S1019" t="str">
        <f>IF(I1019&lt;[1]Parameters!$B$21,"TRUE","FALSE")</f>
        <v>TRUE</v>
      </c>
      <c r="T1019" s="5">
        <f>(I1019/[1]Parameters!$B$25)*60</f>
        <v>0</v>
      </c>
      <c r="U1019" s="10">
        <f>IF(AND('[1]Pizza Sales Calculations'!G1019=TRUE,'[1]Pizza Sales Calculations'!S1019="TRUE"),T1019*[1]Parameters!$B$40*2,0)</f>
        <v>0</v>
      </c>
      <c r="V1019">
        <f>INDEX([1]Parameters!$A$3:$C$5,MATCH('[1]Pizza Sales Calculations'!D1019,[1]Parameters!$A$3:$A$5,0),2)</f>
        <v>10</v>
      </c>
      <c r="W1019" t="e">
        <f>INDEX([1]Parameters!$A$3:$C$5,MATCH('[1]Pizza Sales Calculations'!E1019,[1]Parameters!$A$3:$A$5,0),2)</f>
        <v>#N/A</v>
      </c>
      <c r="X1019" t="e">
        <f>INDEX([1]Parameters!$A$3:$C$5,MATCH('[1]Pizza Sales Calculations'!F1019,[1]Parameters!$A$3:$A$5,0),2)</f>
        <v>#N/A</v>
      </c>
    </row>
    <row r="1020" spans="1:24" x14ac:dyDescent="0.3">
      <c r="A1020">
        <v>1019</v>
      </c>
      <c r="B1020" s="14">
        <v>42380.530300925922</v>
      </c>
      <c r="C1020" s="14">
        <v>42380.540717592594</v>
      </c>
      <c r="D1020" t="s">
        <v>3</v>
      </c>
      <c r="E1020" t="s">
        <v>4</v>
      </c>
      <c r="G1020" t="b">
        <v>0</v>
      </c>
      <c r="H1020">
        <v>70806</v>
      </c>
      <c r="I1020" s="5">
        <v>0</v>
      </c>
      <c r="J1020" s="14">
        <v>42380.542800925927</v>
      </c>
      <c r="K1020">
        <v>19.579999999999998</v>
      </c>
      <c r="L1020" s="5">
        <f>('[1]Pizza Sales Calculations'!$J1020-'[1]Pizza Sales Calculations'!$C1020)*24*60</f>
        <v>2.9999999993015081</v>
      </c>
      <c r="M1020">
        <f>COUNTA('[1]Pizza Sales Calculations'!$D1020:$F1020)</f>
        <v>2</v>
      </c>
      <c r="N1020">
        <f>IFERROR(VLOOKUP(D1020,[1]Parameters!$A$3:$C$5,3,FALSE),0)</f>
        <v>1</v>
      </c>
      <c r="O1020">
        <f>IFERROR(VLOOKUP(E1020,[1]Parameters!$A$3:$C$5,3,FALSE),0)</f>
        <v>1.7</v>
      </c>
      <c r="P1020">
        <f>IFERROR(VLOOKUP(F1020,[1]Parameters!$A$3:$C$5,3,FALSE),0)</f>
        <v>0</v>
      </c>
      <c r="Q1020">
        <f t="shared" si="15"/>
        <v>2.7</v>
      </c>
      <c r="R1020" s="10">
        <f>IF('[1]Pizza Sales Calculations'!$G1020=TRUE, [1]Parameters!$B$17*'[1]Pizza Sales Calculations'!$L1020*2, 0)</f>
        <v>0</v>
      </c>
      <c r="S1020" t="str">
        <f>IF(I1020&lt;[1]Parameters!$B$21,"TRUE","FALSE")</f>
        <v>TRUE</v>
      </c>
      <c r="T1020" s="5">
        <f>(I1020/[1]Parameters!$B$25)*60</f>
        <v>0</v>
      </c>
      <c r="U1020" s="10">
        <f>IF(AND('[1]Pizza Sales Calculations'!G1020=TRUE,'[1]Pizza Sales Calculations'!S1020="TRUE"),T1020*[1]Parameters!$B$40*2,0)</f>
        <v>0</v>
      </c>
      <c r="V1020">
        <f>INDEX([1]Parameters!$A$3:$C$5,MATCH('[1]Pizza Sales Calculations'!D1020,[1]Parameters!$A$3:$A$5,0),2)</f>
        <v>7</v>
      </c>
      <c r="W1020">
        <f>INDEX([1]Parameters!$A$3:$C$5,MATCH('[1]Pizza Sales Calculations'!E1020,[1]Parameters!$A$3:$A$5,0),2)</f>
        <v>10</v>
      </c>
      <c r="X1020" t="e">
        <f>INDEX([1]Parameters!$A$3:$C$5,MATCH('[1]Pizza Sales Calculations'!F1020,[1]Parameters!$A$3:$A$5,0),2)</f>
        <v>#N/A</v>
      </c>
    </row>
    <row r="1021" spans="1:24" x14ac:dyDescent="0.3">
      <c r="A1021">
        <v>1020</v>
      </c>
      <c r="B1021" s="14">
        <v>42380.509340277778</v>
      </c>
      <c r="C1021" s="14">
        <v>42380.519756944443</v>
      </c>
      <c r="D1021" t="s">
        <v>4</v>
      </c>
      <c r="G1021" t="b">
        <v>0</v>
      </c>
      <c r="H1021">
        <v>70804</v>
      </c>
      <c r="I1021" s="5">
        <v>0</v>
      </c>
      <c r="J1021" s="14">
        <v>42380.521840277775</v>
      </c>
      <c r="K1021">
        <v>11.59</v>
      </c>
      <c r="L1021" s="5">
        <f>('[1]Pizza Sales Calculations'!$J1021-'[1]Pizza Sales Calculations'!$C1021)*24*60</f>
        <v>2.9999999993015081</v>
      </c>
      <c r="M1021">
        <f>COUNTA('[1]Pizza Sales Calculations'!$D1021:$F1021)</f>
        <v>1</v>
      </c>
      <c r="N1021">
        <f>IFERROR(VLOOKUP(D1021,[1]Parameters!$A$3:$C$5,3,FALSE),0)</f>
        <v>1.7</v>
      </c>
      <c r="O1021">
        <f>IFERROR(VLOOKUP(E1021,[1]Parameters!$A$3:$C$5,3,FALSE),0)</f>
        <v>0</v>
      </c>
      <c r="P1021">
        <f>IFERROR(VLOOKUP(F1021,[1]Parameters!$A$3:$C$5,3,FALSE),0)</f>
        <v>0</v>
      </c>
      <c r="Q1021">
        <f t="shared" si="15"/>
        <v>1.7</v>
      </c>
      <c r="R1021" s="10">
        <f>IF('[1]Pizza Sales Calculations'!$G1021=TRUE, [1]Parameters!$B$17*'[1]Pizza Sales Calculations'!$L1021*2, 0)</f>
        <v>0</v>
      </c>
      <c r="S1021" t="str">
        <f>IF(I1021&lt;[1]Parameters!$B$21,"TRUE","FALSE")</f>
        <v>TRUE</v>
      </c>
      <c r="T1021" s="5">
        <f>(I1021/[1]Parameters!$B$25)*60</f>
        <v>0</v>
      </c>
      <c r="U1021" s="10">
        <f>IF(AND('[1]Pizza Sales Calculations'!G1021=TRUE,'[1]Pizza Sales Calculations'!S1021="TRUE"),T1021*[1]Parameters!$B$40*2,0)</f>
        <v>0</v>
      </c>
      <c r="V1021">
        <f>INDEX([1]Parameters!$A$3:$C$5,MATCH('[1]Pizza Sales Calculations'!D1021,[1]Parameters!$A$3:$A$5,0),2)</f>
        <v>10</v>
      </c>
      <c r="W1021" t="e">
        <f>INDEX([1]Parameters!$A$3:$C$5,MATCH('[1]Pizza Sales Calculations'!E1021,[1]Parameters!$A$3:$A$5,0),2)</f>
        <v>#N/A</v>
      </c>
      <c r="X1021" t="e">
        <f>INDEX([1]Parameters!$A$3:$C$5,MATCH('[1]Pizza Sales Calculations'!F1021,[1]Parameters!$A$3:$A$5,0),2)</f>
        <v>#N/A</v>
      </c>
    </row>
    <row r="1022" spans="1:24" x14ac:dyDescent="0.3">
      <c r="A1022">
        <v>1021</v>
      </c>
      <c r="B1022" s="14">
        <v>42380.562858796293</v>
      </c>
      <c r="C1022" s="14">
        <v>42380.573275462964</v>
      </c>
      <c r="D1022" t="s">
        <v>5</v>
      </c>
      <c r="G1022" t="b">
        <v>0</v>
      </c>
      <c r="H1022">
        <v>70804</v>
      </c>
      <c r="I1022" s="5">
        <v>0</v>
      </c>
      <c r="J1022" s="14">
        <v>42380.57534722222</v>
      </c>
      <c r="K1022">
        <v>15.35</v>
      </c>
      <c r="L1022" s="5">
        <f>('[1]Pizza Sales Calculations'!$J1022-'[1]Pizza Sales Calculations'!$C1022)*24*60</f>
        <v>2.9833333287388086</v>
      </c>
      <c r="M1022">
        <f>COUNTA('[1]Pizza Sales Calculations'!$D1022:$F1022)</f>
        <v>1</v>
      </c>
      <c r="N1022">
        <f>IFERROR(VLOOKUP(D1022,[1]Parameters!$A$3:$C$5,3,FALSE),0)</f>
        <v>2.2999999999999998</v>
      </c>
      <c r="O1022">
        <f>IFERROR(VLOOKUP(E1022,[1]Parameters!$A$3:$C$5,3,FALSE),0)</f>
        <v>0</v>
      </c>
      <c r="P1022">
        <f>IFERROR(VLOOKUP(F1022,[1]Parameters!$A$3:$C$5,3,FALSE),0)</f>
        <v>0</v>
      </c>
      <c r="Q1022">
        <f t="shared" si="15"/>
        <v>2.2999999999999998</v>
      </c>
      <c r="R1022" s="10">
        <f>IF('[1]Pizza Sales Calculations'!$G1022=TRUE, [1]Parameters!$B$17*'[1]Pizza Sales Calculations'!$L1022*2, 0)</f>
        <v>0</v>
      </c>
      <c r="S1022" t="str">
        <f>IF(I1022&lt;[1]Parameters!$B$21,"TRUE","FALSE")</f>
        <v>TRUE</v>
      </c>
      <c r="T1022" s="5">
        <f>(I1022/[1]Parameters!$B$25)*60</f>
        <v>0</v>
      </c>
      <c r="U1022" s="10">
        <f>IF(AND('[1]Pizza Sales Calculations'!G1022=TRUE,'[1]Pizza Sales Calculations'!S1022="TRUE"),T1022*[1]Parameters!$B$40*2,0)</f>
        <v>0</v>
      </c>
      <c r="V1022">
        <f>INDEX([1]Parameters!$A$3:$C$5,MATCH('[1]Pizza Sales Calculations'!D1022,[1]Parameters!$A$3:$A$5,0),2)</f>
        <v>14</v>
      </c>
      <c r="W1022" t="e">
        <f>INDEX([1]Parameters!$A$3:$C$5,MATCH('[1]Pizza Sales Calculations'!E1022,[1]Parameters!$A$3:$A$5,0),2)</f>
        <v>#N/A</v>
      </c>
      <c r="X1022" t="e">
        <f>INDEX([1]Parameters!$A$3:$C$5,MATCH('[1]Pizza Sales Calculations'!F1022,[1]Parameters!$A$3:$A$5,0),2)</f>
        <v>#N/A</v>
      </c>
    </row>
    <row r="1023" spans="1:24" x14ac:dyDescent="0.3">
      <c r="A1023">
        <v>1022</v>
      </c>
      <c r="B1023" s="14">
        <v>42380.47320601852</v>
      </c>
      <c r="C1023" s="14">
        <v>42380.483611111114</v>
      </c>
      <c r="D1023" t="s">
        <v>4</v>
      </c>
      <c r="E1023" t="s">
        <v>5</v>
      </c>
      <c r="G1023" t="b">
        <v>0</v>
      </c>
      <c r="H1023">
        <v>70803</v>
      </c>
      <c r="I1023" s="5">
        <v>0</v>
      </c>
      <c r="J1023" s="14">
        <v>42380.485694444447</v>
      </c>
      <c r="K1023">
        <v>25.94</v>
      </c>
      <c r="L1023" s="5">
        <f>('[1]Pizza Sales Calculations'!$J1023-'[1]Pizza Sales Calculations'!$C1023)*24*60</f>
        <v>2.9999999993015081</v>
      </c>
      <c r="M1023">
        <f>COUNTA('[1]Pizza Sales Calculations'!$D1023:$F1023)</f>
        <v>2</v>
      </c>
      <c r="N1023">
        <f>IFERROR(VLOOKUP(D1023,[1]Parameters!$A$3:$C$5,3,FALSE),0)</f>
        <v>1.7</v>
      </c>
      <c r="O1023">
        <f>IFERROR(VLOOKUP(E1023,[1]Parameters!$A$3:$C$5,3,FALSE),0)</f>
        <v>2.2999999999999998</v>
      </c>
      <c r="P1023">
        <f>IFERROR(VLOOKUP(F1023,[1]Parameters!$A$3:$C$5,3,FALSE),0)</f>
        <v>0</v>
      </c>
      <c r="Q1023">
        <f t="shared" si="15"/>
        <v>4</v>
      </c>
      <c r="R1023" s="10">
        <f>IF('[1]Pizza Sales Calculations'!$G1023=TRUE, [1]Parameters!$B$17*'[1]Pizza Sales Calculations'!$L1023*2, 0)</f>
        <v>0</v>
      </c>
      <c r="S1023" t="str">
        <f>IF(I1023&lt;[1]Parameters!$B$21,"TRUE","FALSE")</f>
        <v>TRUE</v>
      </c>
      <c r="T1023" s="5">
        <f>(I1023/[1]Parameters!$B$25)*60</f>
        <v>0</v>
      </c>
      <c r="U1023" s="10">
        <f>IF(AND('[1]Pizza Sales Calculations'!G1023=TRUE,'[1]Pizza Sales Calculations'!S1023="TRUE"),T1023*[1]Parameters!$B$40*2,0)</f>
        <v>0</v>
      </c>
      <c r="V1023">
        <f>INDEX([1]Parameters!$A$3:$C$5,MATCH('[1]Pizza Sales Calculations'!D1023,[1]Parameters!$A$3:$A$5,0),2)</f>
        <v>10</v>
      </c>
      <c r="W1023">
        <f>INDEX([1]Parameters!$A$3:$C$5,MATCH('[1]Pizza Sales Calculations'!E1023,[1]Parameters!$A$3:$A$5,0),2)</f>
        <v>14</v>
      </c>
      <c r="X1023" t="e">
        <f>INDEX([1]Parameters!$A$3:$C$5,MATCH('[1]Pizza Sales Calculations'!F1023,[1]Parameters!$A$3:$A$5,0),2)</f>
        <v>#N/A</v>
      </c>
    </row>
    <row r="1024" spans="1:24" x14ac:dyDescent="0.3">
      <c r="A1024">
        <v>1023</v>
      </c>
      <c r="B1024" s="14">
        <v>42380.487824074073</v>
      </c>
      <c r="C1024" s="14">
        <v>42380.498240740744</v>
      </c>
      <c r="D1024" t="s">
        <v>5</v>
      </c>
      <c r="G1024" t="b">
        <v>0</v>
      </c>
      <c r="H1024">
        <v>70806</v>
      </c>
      <c r="I1024" s="5">
        <v>0</v>
      </c>
      <c r="J1024" s="14">
        <v>42380.5003125</v>
      </c>
      <c r="K1024">
        <v>15.35</v>
      </c>
      <c r="L1024" s="5">
        <f>('[1]Pizza Sales Calculations'!$J1024-'[1]Pizza Sales Calculations'!$C1024)*24*60</f>
        <v>2.9833333287388086</v>
      </c>
      <c r="M1024">
        <f>COUNTA('[1]Pizza Sales Calculations'!$D1024:$F1024)</f>
        <v>1</v>
      </c>
      <c r="N1024">
        <f>IFERROR(VLOOKUP(D1024,[1]Parameters!$A$3:$C$5,3,FALSE),0)</f>
        <v>2.2999999999999998</v>
      </c>
      <c r="O1024">
        <f>IFERROR(VLOOKUP(E1024,[1]Parameters!$A$3:$C$5,3,FALSE),0)</f>
        <v>0</v>
      </c>
      <c r="P1024">
        <f>IFERROR(VLOOKUP(F1024,[1]Parameters!$A$3:$C$5,3,FALSE),0)</f>
        <v>0</v>
      </c>
      <c r="Q1024">
        <f t="shared" si="15"/>
        <v>2.2999999999999998</v>
      </c>
      <c r="R1024" s="10">
        <f>IF('[1]Pizza Sales Calculations'!$G1024=TRUE, [1]Parameters!$B$17*'[1]Pizza Sales Calculations'!$L1024*2, 0)</f>
        <v>0</v>
      </c>
      <c r="S1024" t="str">
        <f>IF(I1024&lt;[1]Parameters!$B$21,"TRUE","FALSE")</f>
        <v>TRUE</v>
      </c>
      <c r="T1024" s="5">
        <f>(I1024/[1]Parameters!$B$25)*60</f>
        <v>0</v>
      </c>
      <c r="U1024" s="10">
        <f>IF(AND('[1]Pizza Sales Calculations'!G1024=TRUE,'[1]Pizza Sales Calculations'!S1024="TRUE"),T1024*[1]Parameters!$B$40*2,0)</f>
        <v>0</v>
      </c>
      <c r="V1024">
        <f>INDEX([1]Parameters!$A$3:$C$5,MATCH('[1]Pizza Sales Calculations'!D1024,[1]Parameters!$A$3:$A$5,0),2)</f>
        <v>14</v>
      </c>
      <c r="W1024" t="e">
        <f>INDEX([1]Parameters!$A$3:$C$5,MATCH('[1]Pizza Sales Calculations'!E1024,[1]Parameters!$A$3:$A$5,0),2)</f>
        <v>#N/A</v>
      </c>
      <c r="X1024" t="e">
        <f>INDEX([1]Parameters!$A$3:$C$5,MATCH('[1]Pizza Sales Calculations'!F1024,[1]Parameters!$A$3:$A$5,0),2)</f>
        <v>#N/A</v>
      </c>
    </row>
    <row r="1025" spans="1:24" x14ac:dyDescent="0.3">
      <c r="A1025">
        <v>1024</v>
      </c>
      <c r="B1025" s="14">
        <v>42380.507488425923</v>
      </c>
      <c r="C1025" s="14">
        <v>42380.517893518518</v>
      </c>
      <c r="D1025" t="s">
        <v>3</v>
      </c>
      <c r="E1025" t="s">
        <v>5</v>
      </c>
      <c r="G1025" t="b">
        <v>0</v>
      </c>
      <c r="H1025">
        <v>70803</v>
      </c>
      <c r="I1025" s="5">
        <v>0</v>
      </c>
      <c r="J1025" s="14">
        <v>42380.519976851851</v>
      </c>
      <c r="K1025">
        <v>23.34</v>
      </c>
      <c r="L1025" s="5">
        <f>('[1]Pizza Sales Calculations'!$J1025-'[1]Pizza Sales Calculations'!$C1025)*24*60</f>
        <v>2.9999999993015081</v>
      </c>
      <c r="M1025">
        <f>COUNTA('[1]Pizza Sales Calculations'!$D1025:$F1025)</f>
        <v>2</v>
      </c>
      <c r="N1025">
        <f>IFERROR(VLOOKUP(D1025,[1]Parameters!$A$3:$C$5,3,FALSE),0)</f>
        <v>1</v>
      </c>
      <c r="O1025">
        <f>IFERROR(VLOOKUP(E1025,[1]Parameters!$A$3:$C$5,3,FALSE),0)</f>
        <v>2.2999999999999998</v>
      </c>
      <c r="P1025">
        <f>IFERROR(VLOOKUP(F1025,[1]Parameters!$A$3:$C$5,3,FALSE),0)</f>
        <v>0</v>
      </c>
      <c r="Q1025">
        <f t="shared" si="15"/>
        <v>3.3</v>
      </c>
      <c r="R1025" s="10">
        <f>IF('[1]Pizza Sales Calculations'!$G1025=TRUE, [1]Parameters!$B$17*'[1]Pizza Sales Calculations'!$L1025*2, 0)</f>
        <v>0</v>
      </c>
      <c r="S1025" t="str">
        <f>IF(I1025&lt;[1]Parameters!$B$21,"TRUE","FALSE")</f>
        <v>TRUE</v>
      </c>
      <c r="T1025" s="5">
        <f>(I1025/[1]Parameters!$B$25)*60</f>
        <v>0</v>
      </c>
      <c r="U1025" s="10">
        <f>IF(AND('[1]Pizza Sales Calculations'!G1025=TRUE,'[1]Pizza Sales Calculations'!S1025="TRUE"),T1025*[1]Parameters!$B$40*2,0)</f>
        <v>0</v>
      </c>
      <c r="V1025">
        <f>INDEX([1]Parameters!$A$3:$C$5,MATCH('[1]Pizza Sales Calculations'!D1025,[1]Parameters!$A$3:$A$5,0),2)</f>
        <v>7</v>
      </c>
      <c r="W1025">
        <f>INDEX([1]Parameters!$A$3:$C$5,MATCH('[1]Pizza Sales Calculations'!E1025,[1]Parameters!$A$3:$A$5,0),2)</f>
        <v>14</v>
      </c>
      <c r="X1025" t="e">
        <f>INDEX([1]Parameters!$A$3:$C$5,MATCH('[1]Pizza Sales Calculations'!F1025,[1]Parameters!$A$3:$A$5,0),2)</f>
        <v>#N/A</v>
      </c>
    </row>
    <row r="1026" spans="1:24" x14ac:dyDescent="0.3">
      <c r="A1026">
        <v>1025</v>
      </c>
      <c r="B1026" s="14">
        <v>42380.519953703704</v>
      </c>
      <c r="C1026" s="14">
        <v>42380.530381944445</v>
      </c>
      <c r="D1026" t="s">
        <v>4</v>
      </c>
      <c r="G1026" t="b">
        <v>0</v>
      </c>
      <c r="H1026">
        <v>70803</v>
      </c>
      <c r="I1026" s="5">
        <v>0</v>
      </c>
      <c r="J1026" s="14">
        <v>42380.532476851855</v>
      </c>
      <c r="K1026">
        <v>11.59</v>
      </c>
      <c r="L1026" s="5">
        <f>('[1]Pizza Sales Calculations'!$J1026-'[1]Pizza Sales Calculations'!$C1026)*24*60</f>
        <v>3.0166666698642075</v>
      </c>
      <c r="M1026">
        <f>COUNTA('[1]Pizza Sales Calculations'!$D1026:$F1026)</f>
        <v>1</v>
      </c>
      <c r="N1026">
        <f>IFERROR(VLOOKUP(D1026,[1]Parameters!$A$3:$C$5,3,FALSE),0)</f>
        <v>1.7</v>
      </c>
      <c r="O1026">
        <f>IFERROR(VLOOKUP(E1026,[1]Parameters!$A$3:$C$5,3,FALSE),0)</f>
        <v>0</v>
      </c>
      <c r="P1026">
        <f>IFERROR(VLOOKUP(F1026,[1]Parameters!$A$3:$C$5,3,FALSE),0)</f>
        <v>0</v>
      </c>
      <c r="Q1026">
        <f t="shared" si="15"/>
        <v>1.7</v>
      </c>
      <c r="R1026" s="10">
        <f>IF('[1]Pizza Sales Calculations'!$G1026=TRUE, [1]Parameters!$B$17*'[1]Pizza Sales Calculations'!$L1026*2, 0)</f>
        <v>0</v>
      </c>
      <c r="S1026" t="str">
        <f>IF(I1026&lt;[1]Parameters!$B$21,"TRUE","FALSE")</f>
        <v>TRUE</v>
      </c>
      <c r="T1026" s="5">
        <f>(I1026/[1]Parameters!$B$25)*60</f>
        <v>0</v>
      </c>
      <c r="U1026" s="10">
        <f>IF(AND('[1]Pizza Sales Calculations'!G1026=TRUE,'[1]Pizza Sales Calculations'!S1026="TRUE"),T1026*[1]Parameters!$B$40*2,0)</f>
        <v>0</v>
      </c>
      <c r="V1026">
        <f>INDEX([1]Parameters!$A$3:$C$5,MATCH('[1]Pizza Sales Calculations'!D1026,[1]Parameters!$A$3:$A$5,0),2)</f>
        <v>10</v>
      </c>
      <c r="W1026" t="e">
        <f>INDEX([1]Parameters!$A$3:$C$5,MATCH('[1]Pizza Sales Calculations'!E1026,[1]Parameters!$A$3:$A$5,0),2)</f>
        <v>#N/A</v>
      </c>
      <c r="X1026" t="e">
        <f>INDEX([1]Parameters!$A$3:$C$5,MATCH('[1]Pizza Sales Calculations'!F1026,[1]Parameters!$A$3:$A$5,0),2)</f>
        <v>#N/A</v>
      </c>
    </row>
    <row r="1027" spans="1:24" x14ac:dyDescent="0.3">
      <c r="A1027">
        <v>1026</v>
      </c>
      <c r="B1027" s="14">
        <v>42380.514085648145</v>
      </c>
      <c r="C1027" s="14">
        <v>42380.52449074074</v>
      </c>
      <c r="D1027" t="s">
        <v>4</v>
      </c>
      <c r="G1027" t="b">
        <v>0</v>
      </c>
      <c r="H1027">
        <v>70805</v>
      </c>
      <c r="I1027" s="5">
        <v>0</v>
      </c>
      <c r="J1027" s="14">
        <v>42380.526550925926</v>
      </c>
      <c r="K1027">
        <v>11.59</v>
      </c>
      <c r="L1027" s="5">
        <f>('[1]Pizza Sales Calculations'!$J1027-'[1]Pizza Sales Calculations'!$C1027)*24*60</f>
        <v>2.9666666686534882</v>
      </c>
      <c r="M1027">
        <f>COUNTA('[1]Pizza Sales Calculations'!$D1027:$F1027)</f>
        <v>1</v>
      </c>
      <c r="N1027">
        <f>IFERROR(VLOOKUP(D1027,[1]Parameters!$A$3:$C$5,3,FALSE),0)</f>
        <v>1.7</v>
      </c>
      <c r="O1027">
        <f>IFERROR(VLOOKUP(E1027,[1]Parameters!$A$3:$C$5,3,FALSE),0)</f>
        <v>0</v>
      </c>
      <c r="P1027">
        <f>IFERROR(VLOOKUP(F1027,[1]Parameters!$A$3:$C$5,3,FALSE),0)</f>
        <v>0</v>
      </c>
      <c r="Q1027">
        <f t="shared" ref="Q1027:Q1090" si="16">SUM(N1027:P1027)</f>
        <v>1.7</v>
      </c>
      <c r="R1027" s="10">
        <f>IF('[1]Pizza Sales Calculations'!$G1027=TRUE, [1]Parameters!$B$17*'[1]Pizza Sales Calculations'!$L1027*2, 0)</f>
        <v>0</v>
      </c>
      <c r="S1027" t="str">
        <f>IF(I1027&lt;[1]Parameters!$B$21,"TRUE","FALSE")</f>
        <v>TRUE</v>
      </c>
      <c r="T1027" s="5">
        <f>(I1027/[1]Parameters!$B$25)*60</f>
        <v>0</v>
      </c>
      <c r="U1027" s="10">
        <f>IF(AND('[1]Pizza Sales Calculations'!G1027=TRUE,'[1]Pizza Sales Calculations'!S1027="TRUE"),T1027*[1]Parameters!$B$40*2,0)</f>
        <v>0</v>
      </c>
      <c r="V1027">
        <f>INDEX([1]Parameters!$A$3:$C$5,MATCH('[1]Pizza Sales Calculations'!D1027,[1]Parameters!$A$3:$A$5,0),2)</f>
        <v>10</v>
      </c>
      <c r="W1027" t="e">
        <f>INDEX([1]Parameters!$A$3:$C$5,MATCH('[1]Pizza Sales Calculations'!E1027,[1]Parameters!$A$3:$A$5,0),2)</f>
        <v>#N/A</v>
      </c>
      <c r="X1027" t="e">
        <f>INDEX([1]Parameters!$A$3:$C$5,MATCH('[1]Pizza Sales Calculations'!F1027,[1]Parameters!$A$3:$A$5,0),2)</f>
        <v>#N/A</v>
      </c>
    </row>
    <row r="1028" spans="1:24" x14ac:dyDescent="0.3">
      <c r="A1028">
        <v>1027</v>
      </c>
      <c r="B1028" s="14">
        <v>42380.520682870374</v>
      </c>
      <c r="C1028" s="14">
        <v>42380.531087962961</v>
      </c>
      <c r="D1028" t="s">
        <v>3</v>
      </c>
      <c r="G1028" t="b">
        <v>0</v>
      </c>
      <c r="H1028">
        <v>70806</v>
      </c>
      <c r="I1028" s="5">
        <v>0</v>
      </c>
      <c r="J1028" s="14">
        <v>42380.533159722225</v>
      </c>
      <c r="K1028">
        <v>7.99</v>
      </c>
      <c r="L1028" s="5">
        <f>('[1]Pizza Sales Calculations'!$J1028-'[1]Pizza Sales Calculations'!$C1028)*24*60</f>
        <v>2.9833333392161876</v>
      </c>
      <c r="M1028">
        <f>COUNTA('[1]Pizza Sales Calculations'!$D1028:$F1028)</f>
        <v>1</v>
      </c>
      <c r="N1028">
        <f>IFERROR(VLOOKUP(D1028,[1]Parameters!$A$3:$C$5,3,FALSE),0)</f>
        <v>1</v>
      </c>
      <c r="O1028">
        <f>IFERROR(VLOOKUP(E1028,[1]Parameters!$A$3:$C$5,3,FALSE),0)</f>
        <v>0</v>
      </c>
      <c r="P1028">
        <f>IFERROR(VLOOKUP(F1028,[1]Parameters!$A$3:$C$5,3,FALSE),0)</f>
        <v>0</v>
      </c>
      <c r="Q1028">
        <f t="shared" si="16"/>
        <v>1</v>
      </c>
      <c r="R1028" s="10">
        <f>IF('[1]Pizza Sales Calculations'!$G1028=TRUE, [1]Parameters!$B$17*'[1]Pizza Sales Calculations'!$L1028*2, 0)</f>
        <v>0</v>
      </c>
      <c r="S1028" t="str">
        <f>IF(I1028&lt;[1]Parameters!$B$21,"TRUE","FALSE")</f>
        <v>TRUE</v>
      </c>
      <c r="T1028" s="5">
        <f>(I1028/[1]Parameters!$B$25)*60</f>
        <v>0</v>
      </c>
      <c r="U1028" s="10">
        <f>IF(AND('[1]Pizza Sales Calculations'!G1028=TRUE,'[1]Pizza Sales Calculations'!S1028="TRUE"),T1028*[1]Parameters!$B$40*2,0)</f>
        <v>0</v>
      </c>
      <c r="V1028">
        <f>INDEX([1]Parameters!$A$3:$C$5,MATCH('[1]Pizza Sales Calculations'!D1028,[1]Parameters!$A$3:$A$5,0),2)</f>
        <v>7</v>
      </c>
      <c r="W1028" t="e">
        <f>INDEX([1]Parameters!$A$3:$C$5,MATCH('[1]Pizza Sales Calculations'!E1028,[1]Parameters!$A$3:$A$5,0),2)</f>
        <v>#N/A</v>
      </c>
      <c r="X1028" t="e">
        <f>INDEX([1]Parameters!$A$3:$C$5,MATCH('[1]Pizza Sales Calculations'!F1028,[1]Parameters!$A$3:$A$5,0),2)</f>
        <v>#N/A</v>
      </c>
    </row>
    <row r="1029" spans="1:24" x14ac:dyDescent="0.3">
      <c r="A1029">
        <v>1028</v>
      </c>
      <c r="B1029" s="14">
        <v>42380.502662037034</v>
      </c>
      <c r="C1029" s="14">
        <v>42380.513067129628</v>
      </c>
      <c r="D1029" t="s">
        <v>3</v>
      </c>
      <c r="E1029" t="s">
        <v>4</v>
      </c>
      <c r="G1029" t="b">
        <v>0</v>
      </c>
      <c r="H1029">
        <v>70804</v>
      </c>
      <c r="I1029" s="5">
        <v>0</v>
      </c>
      <c r="J1029" s="14">
        <v>42380.515150462961</v>
      </c>
      <c r="K1029">
        <v>19.579999999999998</v>
      </c>
      <c r="L1029" s="5">
        <f>('[1]Pizza Sales Calculations'!$J1029-'[1]Pizza Sales Calculations'!$C1029)*24*60</f>
        <v>2.9999999993015081</v>
      </c>
      <c r="M1029">
        <f>COUNTA('[1]Pizza Sales Calculations'!$D1029:$F1029)</f>
        <v>2</v>
      </c>
      <c r="N1029">
        <f>IFERROR(VLOOKUP(D1029,[1]Parameters!$A$3:$C$5,3,FALSE),0)</f>
        <v>1</v>
      </c>
      <c r="O1029">
        <f>IFERROR(VLOOKUP(E1029,[1]Parameters!$A$3:$C$5,3,FALSE),0)</f>
        <v>1.7</v>
      </c>
      <c r="P1029">
        <f>IFERROR(VLOOKUP(F1029,[1]Parameters!$A$3:$C$5,3,FALSE),0)</f>
        <v>0</v>
      </c>
      <c r="Q1029">
        <f t="shared" si="16"/>
        <v>2.7</v>
      </c>
      <c r="R1029" s="10">
        <f>IF('[1]Pizza Sales Calculations'!$G1029=TRUE, [1]Parameters!$B$17*'[1]Pizza Sales Calculations'!$L1029*2, 0)</f>
        <v>0</v>
      </c>
      <c r="S1029" t="str">
        <f>IF(I1029&lt;[1]Parameters!$B$21,"TRUE","FALSE")</f>
        <v>TRUE</v>
      </c>
      <c r="T1029" s="5">
        <f>(I1029/[1]Parameters!$B$25)*60</f>
        <v>0</v>
      </c>
      <c r="U1029" s="10">
        <f>IF(AND('[1]Pizza Sales Calculations'!G1029=TRUE,'[1]Pizza Sales Calculations'!S1029="TRUE"),T1029*[1]Parameters!$B$40*2,0)</f>
        <v>0</v>
      </c>
      <c r="V1029">
        <f>INDEX([1]Parameters!$A$3:$C$5,MATCH('[1]Pizza Sales Calculations'!D1029,[1]Parameters!$A$3:$A$5,0),2)</f>
        <v>7</v>
      </c>
      <c r="W1029">
        <f>INDEX([1]Parameters!$A$3:$C$5,MATCH('[1]Pizza Sales Calculations'!E1029,[1]Parameters!$A$3:$A$5,0),2)</f>
        <v>10</v>
      </c>
      <c r="X1029" t="e">
        <f>INDEX([1]Parameters!$A$3:$C$5,MATCH('[1]Pizza Sales Calculations'!F1029,[1]Parameters!$A$3:$A$5,0),2)</f>
        <v>#N/A</v>
      </c>
    </row>
    <row r="1030" spans="1:24" x14ac:dyDescent="0.3">
      <c r="A1030">
        <v>1029</v>
      </c>
      <c r="B1030" s="14">
        <v>42380.562511574077</v>
      </c>
      <c r="C1030" s="14">
        <v>42380.572916666664</v>
      </c>
      <c r="D1030" t="s">
        <v>5</v>
      </c>
      <c r="G1030" t="b">
        <v>0</v>
      </c>
      <c r="H1030">
        <v>70805</v>
      </c>
      <c r="I1030" s="5">
        <v>0</v>
      </c>
      <c r="J1030" s="14">
        <v>42380.574999999997</v>
      </c>
      <c r="K1030">
        <v>15.35</v>
      </c>
      <c r="L1030" s="5">
        <f>('[1]Pizza Sales Calculations'!$J1030-'[1]Pizza Sales Calculations'!$C1030)*24*60</f>
        <v>2.9999999993015081</v>
      </c>
      <c r="M1030">
        <f>COUNTA('[1]Pizza Sales Calculations'!$D1030:$F1030)</f>
        <v>1</v>
      </c>
      <c r="N1030">
        <f>IFERROR(VLOOKUP(D1030,[1]Parameters!$A$3:$C$5,3,FALSE),0)</f>
        <v>2.2999999999999998</v>
      </c>
      <c r="O1030">
        <f>IFERROR(VLOOKUP(E1030,[1]Parameters!$A$3:$C$5,3,FALSE),0)</f>
        <v>0</v>
      </c>
      <c r="P1030">
        <f>IFERROR(VLOOKUP(F1030,[1]Parameters!$A$3:$C$5,3,FALSE),0)</f>
        <v>0</v>
      </c>
      <c r="Q1030">
        <f t="shared" si="16"/>
        <v>2.2999999999999998</v>
      </c>
      <c r="R1030" s="10">
        <f>IF('[1]Pizza Sales Calculations'!$G1030=TRUE, [1]Parameters!$B$17*'[1]Pizza Sales Calculations'!$L1030*2, 0)</f>
        <v>0</v>
      </c>
      <c r="S1030" t="str">
        <f>IF(I1030&lt;[1]Parameters!$B$21,"TRUE","FALSE")</f>
        <v>TRUE</v>
      </c>
      <c r="T1030" s="5">
        <f>(I1030/[1]Parameters!$B$25)*60</f>
        <v>0</v>
      </c>
      <c r="U1030" s="10">
        <f>IF(AND('[1]Pizza Sales Calculations'!G1030=TRUE,'[1]Pizza Sales Calculations'!S1030="TRUE"),T1030*[1]Parameters!$B$40*2,0)</f>
        <v>0</v>
      </c>
      <c r="V1030">
        <f>INDEX([1]Parameters!$A$3:$C$5,MATCH('[1]Pizza Sales Calculations'!D1030,[1]Parameters!$A$3:$A$5,0),2)</f>
        <v>14</v>
      </c>
      <c r="W1030" t="e">
        <f>INDEX([1]Parameters!$A$3:$C$5,MATCH('[1]Pizza Sales Calculations'!E1030,[1]Parameters!$A$3:$A$5,0),2)</f>
        <v>#N/A</v>
      </c>
      <c r="X1030" t="e">
        <f>INDEX([1]Parameters!$A$3:$C$5,MATCH('[1]Pizza Sales Calculations'!F1030,[1]Parameters!$A$3:$A$5,0),2)</f>
        <v>#N/A</v>
      </c>
    </row>
    <row r="1031" spans="1:24" x14ac:dyDescent="0.3">
      <c r="A1031">
        <v>1030</v>
      </c>
      <c r="B1031" s="14">
        <v>42380.417592592596</v>
      </c>
      <c r="C1031" s="14">
        <v>42380.42800925926</v>
      </c>
      <c r="D1031" t="s">
        <v>5</v>
      </c>
      <c r="G1031" t="b">
        <v>0</v>
      </c>
      <c r="H1031">
        <v>70805</v>
      </c>
      <c r="I1031" s="5">
        <v>0</v>
      </c>
      <c r="J1031" s="14">
        <v>42380.430104166669</v>
      </c>
      <c r="K1031">
        <v>15.35</v>
      </c>
      <c r="L1031" s="5">
        <f>('[1]Pizza Sales Calculations'!$J1031-'[1]Pizza Sales Calculations'!$C1031)*24*60</f>
        <v>3.0166666698642075</v>
      </c>
      <c r="M1031">
        <f>COUNTA('[1]Pizza Sales Calculations'!$D1031:$F1031)</f>
        <v>1</v>
      </c>
      <c r="N1031">
        <f>IFERROR(VLOOKUP(D1031,[1]Parameters!$A$3:$C$5,3,FALSE),0)</f>
        <v>2.2999999999999998</v>
      </c>
      <c r="O1031">
        <f>IFERROR(VLOOKUP(E1031,[1]Parameters!$A$3:$C$5,3,FALSE),0)</f>
        <v>0</v>
      </c>
      <c r="P1031">
        <f>IFERROR(VLOOKUP(F1031,[1]Parameters!$A$3:$C$5,3,FALSE),0)</f>
        <v>0</v>
      </c>
      <c r="Q1031">
        <f t="shared" si="16"/>
        <v>2.2999999999999998</v>
      </c>
      <c r="R1031" s="10">
        <f>IF('[1]Pizza Sales Calculations'!$G1031=TRUE, [1]Parameters!$B$17*'[1]Pizza Sales Calculations'!$L1031*2, 0)</f>
        <v>0</v>
      </c>
      <c r="S1031" t="str">
        <f>IF(I1031&lt;[1]Parameters!$B$21,"TRUE","FALSE")</f>
        <v>TRUE</v>
      </c>
      <c r="T1031" s="5">
        <f>(I1031/[1]Parameters!$B$25)*60</f>
        <v>0</v>
      </c>
      <c r="U1031" s="10">
        <f>IF(AND('[1]Pizza Sales Calculations'!G1031=TRUE,'[1]Pizza Sales Calculations'!S1031="TRUE"),T1031*[1]Parameters!$B$40*2,0)</f>
        <v>0</v>
      </c>
      <c r="V1031">
        <f>INDEX([1]Parameters!$A$3:$C$5,MATCH('[1]Pizza Sales Calculations'!D1031,[1]Parameters!$A$3:$A$5,0),2)</f>
        <v>14</v>
      </c>
      <c r="W1031" t="e">
        <f>INDEX([1]Parameters!$A$3:$C$5,MATCH('[1]Pizza Sales Calculations'!E1031,[1]Parameters!$A$3:$A$5,0),2)</f>
        <v>#N/A</v>
      </c>
      <c r="X1031" t="e">
        <f>INDEX([1]Parameters!$A$3:$C$5,MATCH('[1]Pizza Sales Calculations'!F1031,[1]Parameters!$A$3:$A$5,0),2)</f>
        <v>#N/A</v>
      </c>
    </row>
    <row r="1032" spans="1:24" x14ac:dyDescent="0.3">
      <c r="A1032">
        <v>1031</v>
      </c>
      <c r="B1032" s="14">
        <v>42380.562118055554</v>
      </c>
      <c r="C1032" s="14">
        <v>42380.572523148148</v>
      </c>
      <c r="D1032" t="s">
        <v>3</v>
      </c>
      <c r="G1032" t="b">
        <v>1</v>
      </c>
      <c r="H1032">
        <v>70804</v>
      </c>
      <c r="I1032" s="5">
        <v>1.80069833455121</v>
      </c>
      <c r="J1032" s="14">
        <v>42380.578773148147</v>
      </c>
      <c r="K1032">
        <v>7.99</v>
      </c>
      <c r="L1032" s="5">
        <f>('[1]Pizza Sales Calculations'!$J1032-'[1]Pizza Sales Calculations'!$C1032)*24*60</f>
        <v>8.9999999979045242</v>
      </c>
      <c r="M1032">
        <f>COUNTA('[1]Pizza Sales Calculations'!$D1032:$F1032)</f>
        <v>1</v>
      </c>
      <c r="N1032">
        <f>IFERROR(VLOOKUP(D1032,[1]Parameters!$A$3:$C$5,3,FALSE),0)</f>
        <v>1</v>
      </c>
      <c r="O1032">
        <f>IFERROR(VLOOKUP(E1032,[1]Parameters!$A$3:$C$5,3,FALSE),0)</f>
        <v>0</v>
      </c>
      <c r="P1032">
        <f>IFERROR(VLOOKUP(F1032,[1]Parameters!$A$3:$C$5,3,FALSE),0)</f>
        <v>0</v>
      </c>
      <c r="Q1032">
        <f t="shared" si="16"/>
        <v>1</v>
      </c>
      <c r="R1032" s="10">
        <f>IF('[1]Pizza Sales Calculations'!$G1032=TRUE, [1]Parameters!$B$17*'[1]Pizza Sales Calculations'!$L1032*2, 0)</f>
        <v>2.5499999994062819</v>
      </c>
      <c r="S1032" t="str">
        <f>IF(I1032&lt;[1]Parameters!$B$21,"TRUE","FALSE")</f>
        <v>TRUE</v>
      </c>
      <c r="T1032" s="5">
        <f>(I1032/[1]Parameters!$B$25)*60</f>
        <v>3.60139666910242</v>
      </c>
      <c r="U1032" s="10">
        <f>IF(AND('[1]Pizza Sales Calculations'!G1032=TRUE,'[1]Pizza Sales Calculations'!S1032="TRUE"),T1032*[1]Parameters!$B$40*2,0)</f>
        <v>0.22480864494318431</v>
      </c>
      <c r="V1032">
        <f>INDEX([1]Parameters!$A$3:$C$5,MATCH('[1]Pizza Sales Calculations'!D1032,[1]Parameters!$A$3:$A$5,0),2)</f>
        <v>7</v>
      </c>
      <c r="W1032" t="e">
        <f>INDEX([1]Parameters!$A$3:$C$5,MATCH('[1]Pizza Sales Calculations'!E1032,[1]Parameters!$A$3:$A$5,0),2)</f>
        <v>#N/A</v>
      </c>
      <c r="X1032" t="e">
        <f>INDEX([1]Parameters!$A$3:$C$5,MATCH('[1]Pizza Sales Calculations'!F1032,[1]Parameters!$A$3:$A$5,0),2)</f>
        <v>#N/A</v>
      </c>
    </row>
    <row r="1033" spans="1:24" x14ac:dyDescent="0.3">
      <c r="A1033">
        <v>1032</v>
      </c>
      <c r="B1033" s="14">
        <v>42380.49046296296</v>
      </c>
      <c r="C1033" s="14">
        <v>42380.500879629632</v>
      </c>
      <c r="D1033" t="s">
        <v>3</v>
      </c>
      <c r="G1033" t="b">
        <v>0</v>
      </c>
      <c r="H1033">
        <v>70804</v>
      </c>
      <c r="I1033" s="5">
        <v>0</v>
      </c>
      <c r="J1033" s="14">
        <v>42380.502962962964</v>
      </c>
      <c r="K1033">
        <v>7.99</v>
      </c>
      <c r="L1033" s="5">
        <f>('[1]Pizza Sales Calculations'!$J1033-'[1]Pizza Sales Calculations'!$C1033)*24*60</f>
        <v>2.9999999993015081</v>
      </c>
      <c r="M1033">
        <f>COUNTA('[1]Pizza Sales Calculations'!$D1033:$F1033)</f>
        <v>1</v>
      </c>
      <c r="N1033">
        <f>IFERROR(VLOOKUP(D1033,[1]Parameters!$A$3:$C$5,3,FALSE),0)</f>
        <v>1</v>
      </c>
      <c r="O1033">
        <f>IFERROR(VLOOKUP(E1033,[1]Parameters!$A$3:$C$5,3,FALSE),0)</f>
        <v>0</v>
      </c>
      <c r="P1033">
        <f>IFERROR(VLOOKUP(F1033,[1]Parameters!$A$3:$C$5,3,FALSE),0)</f>
        <v>0</v>
      </c>
      <c r="Q1033">
        <f t="shared" si="16"/>
        <v>1</v>
      </c>
      <c r="R1033" s="10">
        <f>IF('[1]Pizza Sales Calculations'!$G1033=TRUE, [1]Parameters!$B$17*'[1]Pizza Sales Calculations'!$L1033*2, 0)</f>
        <v>0</v>
      </c>
      <c r="S1033" t="str">
        <f>IF(I1033&lt;[1]Parameters!$B$21,"TRUE","FALSE")</f>
        <v>TRUE</v>
      </c>
      <c r="T1033" s="5">
        <f>(I1033/[1]Parameters!$B$25)*60</f>
        <v>0</v>
      </c>
      <c r="U1033" s="10">
        <f>IF(AND('[1]Pizza Sales Calculations'!G1033=TRUE,'[1]Pizza Sales Calculations'!S1033="TRUE"),T1033*[1]Parameters!$B$40*2,0)</f>
        <v>0</v>
      </c>
      <c r="V1033">
        <f>INDEX([1]Parameters!$A$3:$C$5,MATCH('[1]Pizza Sales Calculations'!D1033,[1]Parameters!$A$3:$A$5,0),2)</f>
        <v>7</v>
      </c>
      <c r="W1033" t="e">
        <f>INDEX([1]Parameters!$A$3:$C$5,MATCH('[1]Pizza Sales Calculations'!E1033,[1]Parameters!$A$3:$A$5,0),2)</f>
        <v>#N/A</v>
      </c>
      <c r="X1033" t="e">
        <f>INDEX([1]Parameters!$A$3:$C$5,MATCH('[1]Pizza Sales Calculations'!F1033,[1]Parameters!$A$3:$A$5,0),2)</f>
        <v>#N/A</v>
      </c>
    </row>
    <row r="1034" spans="1:24" x14ac:dyDescent="0.3">
      <c r="A1034">
        <v>1033</v>
      </c>
      <c r="B1034" s="14">
        <v>42380.474050925928</v>
      </c>
      <c r="C1034" s="14">
        <v>42380.484479166669</v>
      </c>
      <c r="D1034" t="s">
        <v>4</v>
      </c>
      <c r="E1034" t="s">
        <v>5</v>
      </c>
      <c r="G1034" t="b">
        <v>1</v>
      </c>
      <c r="H1034">
        <v>70805</v>
      </c>
      <c r="I1034" s="5">
        <v>3.47148089091595</v>
      </c>
      <c r="J1034" s="14">
        <v>42380.496527777781</v>
      </c>
      <c r="K1034">
        <v>25.94</v>
      </c>
      <c r="L1034" s="5">
        <f>('[1]Pizza Sales Calculations'!$J1034-'[1]Pizza Sales Calculations'!$C1034)*24*60</f>
        <v>17.350000001024455</v>
      </c>
      <c r="M1034">
        <f>COUNTA('[1]Pizza Sales Calculations'!$D1034:$F1034)</f>
        <v>2</v>
      </c>
      <c r="N1034">
        <f>IFERROR(VLOOKUP(D1034,[1]Parameters!$A$3:$C$5,3,FALSE),0)</f>
        <v>1.7</v>
      </c>
      <c r="O1034">
        <f>IFERROR(VLOOKUP(E1034,[1]Parameters!$A$3:$C$5,3,FALSE),0)</f>
        <v>2.2999999999999998</v>
      </c>
      <c r="P1034">
        <f>IFERROR(VLOOKUP(F1034,[1]Parameters!$A$3:$C$5,3,FALSE),0)</f>
        <v>0</v>
      </c>
      <c r="Q1034">
        <f t="shared" si="16"/>
        <v>4</v>
      </c>
      <c r="R1034" s="10">
        <f>IF('[1]Pizza Sales Calculations'!$G1034=TRUE, [1]Parameters!$B$17*'[1]Pizza Sales Calculations'!$L1034*2, 0)</f>
        <v>4.9158333336235955</v>
      </c>
      <c r="S1034" t="str">
        <f>IF(I1034&lt;[1]Parameters!$B$21,"TRUE","FALSE")</f>
        <v>FALSE</v>
      </c>
      <c r="T1034" s="5">
        <f>(I1034/[1]Parameters!$B$25)*60</f>
        <v>6.9429617818319</v>
      </c>
      <c r="U1034" s="10">
        <f>IF(AND('[1]Pizza Sales Calculations'!G1034=TRUE,'[1]Pizza Sales Calculations'!S1034="TRUE"),T1034*[1]Parameters!$B$40*2,0)</f>
        <v>0</v>
      </c>
      <c r="V1034">
        <f>INDEX([1]Parameters!$A$3:$C$5,MATCH('[1]Pizza Sales Calculations'!D1034,[1]Parameters!$A$3:$A$5,0),2)</f>
        <v>10</v>
      </c>
      <c r="W1034">
        <f>INDEX([1]Parameters!$A$3:$C$5,MATCH('[1]Pizza Sales Calculations'!E1034,[1]Parameters!$A$3:$A$5,0),2)</f>
        <v>14</v>
      </c>
      <c r="X1034" t="e">
        <f>INDEX([1]Parameters!$A$3:$C$5,MATCH('[1]Pizza Sales Calculations'!F1034,[1]Parameters!$A$3:$A$5,0),2)</f>
        <v>#N/A</v>
      </c>
    </row>
    <row r="1035" spans="1:24" x14ac:dyDescent="0.3">
      <c r="A1035">
        <v>1034</v>
      </c>
      <c r="B1035" s="14">
        <v>42380.473194444443</v>
      </c>
      <c r="C1035" s="14">
        <v>42380.483611111114</v>
      </c>
      <c r="D1035" t="s">
        <v>3</v>
      </c>
      <c r="E1035" t="s">
        <v>4</v>
      </c>
      <c r="G1035" t="b">
        <v>1</v>
      </c>
      <c r="H1035">
        <v>70803</v>
      </c>
      <c r="I1035" s="5">
        <v>2.69124057712007</v>
      </c>
      <c r="J1035" s="14">
        <v>42380.492951388886</v>
      </c>
      <c r="K1035">
        <v>19.579999999999998</v>
      </c>
      <c r="L1035" s="5">
        <f>('[1]Pizza Sales Calculations'!$J1035-'[1]Pizza Sales Calculations'!$C1035)*24*60</f>
        <v>13.449999990407377</v>
      </c>
      <c r="M1035">
        <f>COUNTA('[1]Pizza Sales Calculations'!$D1035:$F1035)</f>
        <v>2</v>
      </c>
      <c r="N1035">
        <f>IFERROR(VLOOKUP(D1035,[1]Parameters!$A$3:$C$5,3,FALSE),0)</f>
        <v>1</v>
      </c>
      <c r="O1035">
        <f>IFERROR(VLOOKUP(E1035,[1]Parameters!$A$3:$C$5,3,FALSE),0)</f>
        <v>1.7</v>
      </c>
      <c r="P1035">
        <f>IFERROR(VLOOKUP(F1035,[1]Parameters!$A$3:$C$5,3,FALSE),0)</f>
        <v>0</v>
      </c>
      <c r="Q1035">
        <f t="shared" si="16"/>
        <v>2.7</v>
      </c>
      <c r="R1035" s="10">
        <f>IF('[1]Pizza Sales Calculations'!$G1035=TRUE, [1]Parameters!$B$17*'[1]Pizza Sales Calculations'!$L1035*2, 0)</f>
        <v>3.8108333306154236</v>
      </c>
      <c r="S1035" t="str">
        <f>IF(I1035&lt;[1]Parameters!$B$21,"TRUE","FALSE")</f>
        <v>TRUE</v>
      </c>
      <c r="T1035" s="5">
        <f>(I1035/[1]Parameters!$B$25)*60</f>
        <v>5.3824811542401401</v>
      </c>
      <c r="U1035" s="10">
        <f>IF(AND('[1]Pizza Sales Calculations'!G1035=TRUE,'[1]Pizza Sales Calculations'!S1035="TRUE"),T1035*[1]Parameters!$B$40*2,0)</f>
        <v>0.33598861938708052</v>
      </c>
      <c r="V1035">
        <f>INDEX([1]Parameters!$A$3:$C$5,MATCH('[1]Pizza Sales Calculations'!D1035,[1]Parameters!$A$3:$A$5,0),2)</f>
        <v>7</v>
      </c>
      <c r="W1035">
        <f>INDEX([1]Parameters!$A$3:$C$5,MATCH('[1]Pizza Sales Calculations'!E1035,[1]Parameters!$A$3:$A$5,0),2)</f>
        <v>10</v>
      </c>
      <c r="X1035" t="e">
        <f>INDEX([1]Parameters!$A$3:$C$5,MATCH('[1]Pizza Sales Calculations'!F1035,[1]Parameters!$A$3:$A$5,0),2)</f>
        <v>#N/A</v>
      </c>
    </row>
    <row r="1036" spans="1:24" x14ac:dyDescent="0.3">
      <c r="A1036">
        <v>1035</v>
      </c>
      <c r="B1036" s="14">
        <v>42380.458564814813</v>
      </c>
      <c r="C1036" s="14">
        <v>42380.468981481485</v>
      </c>
      <c r="D1036" t="s">
        <v>3</v>
      </c>
      <c r="E1036" t="s">
        <v>5</v>
      </c>
      <c r="G1036" t="b">
        <v>0</v>
      </c>
      <c r="H1036">
        <v>70804</v>
      </c>
      <c r="I1036" s="5">
        <v>0</v>
      </c>
      <c r="J1036" s="14">
        <v>42380.471076388887</v>
      </c>
      <c r="K1036">
        <v>23.34</v>
      </c>
      <c r="L1036" s="5">
        <f>('[1]Pizza Sales Calculations'!$J1036-'[1]Pizza Sales Calculations'!$C1036)*24*60</f>
        <v>3.0166666593868285</v>
      </c>
      <c r="M1036">
        <f>COUNTA('[1]Pizza Sales Calculations'!$D1036:$F1036)</f>
        <v>2</v>
      </c>
      <c r="N1036">
        <f>IFERROR(VLOOKUP(D1036,[1]Parameters!$A$3:$C$5,3,FALSE),0)</f>
        <v>1</v>
      </c>
      <c r="O1036">
        <f>IFERROR(VLOOKUP(E1036,[1]Parameters!$A$3:$C$5,3,FALSE),0)</f>
        <v>2.2999999999999998</v>
      </c>
      <c r="P1036">
        <f>IFERROR(VLOOKUP(F1036,[1]Parameters!$A$3:$C$5,3,FALSE),0)</f>
        <v>0</v>
      </c>
      <c r="Q1036">
        <f t="shared" si="16"/>
        <v>3.3</v>
      </c>
      <c r="R1036" s="10">
        <f>IF('[1]Pizza Sales Calculations'!$G1036=TRUE, [1]Parameters!$B$17*'[1]Pizza Sales Calculations'!$L1036*2, 0)</f>
        <v>0</v>
      </c>
      <c r="S1036" t="str">
        <f>IF(I1036&lt;[1]Parameters!$B$21,"TRUE","FALSE")</f>
        <v>TRUE</v>
      </c>
      <c r="T1036" s="5">
        <f>(I1036/[1]Parameters!$B$25)*60</f>
        <v>0</v>
      </c>
      <c r="U1036" s="10">
        <f>IF(AND('[1]Pizza Sales Calculations'!G1036=TRUE,'[1]Pizza Sales Calculations'!S1036="TRUE"),T1036*[1]Parameters!$B$40*2,0)</f>
        <v>0</v>
      </c>
      <c r="V1036">
        <f>INDEX([1]Parameters!$A$3:$C$5,MATCH('[1]Pizza Sales Calculations'!D1036,[1]Parameters!$A$3:$A$5,0),2)</f>
        <v>7</v>
      </c>
      <c r="W1036">
        <f>INDEX([1]Parameters!$A$3:$C$5,MATCH('[1]Pizza Sales Calculations'!E1036,[1]Parameters!$A$3:$A$5,0),2)</f>
        <v>14</v>
      </c>
      <c r="X1036" t="e">
        <f>INDEX([1]Parameters!$A$3:$C$5,MATCH('[1]Pizza Sales Calculations'!F1036,[1]Parameters!$A$3:$A$5,0),2)</f>
        <v>#N/A</v>
      </c>
    </row>
    <row r="1037" spans="1:24" x14ac:dyDescent="0.3">
      <c r="A1037">
        <v>1036</v>
      </c>
      <c r="B1037" s="14">
        <v>42380.529386574075</v>
      </c>
      <c r="C1037" s="14">
        <v>42380.539826388886</v>
      </c>
      <c r="D1037" t="s">
        <v>5</v>
      </c>
      <c r="G1037" t="b">
        <v>1</v>
      </c>
      <c r="H1037">
        <v>70805</v>
      </c>
      <c r="I1037" s="5">
        <v>1.47140063351807</v>
      </c>
      <c r="J1037" s="14">
        <v>42380.544930555552</v>
      </c>
      <c r="K1037">
        <v>15.35</v>
      </c>
      <c r="L1037" s="5">
        <f>('[1]Pizza Sales Calculations'!$J1037-'[1]Pizza Sales Calculations'!$C1037)*24*60</f>
        <v>7.3499999998603016</v>
      </c>
      <c r="M1037">
        <f>COUNTA('[1]Pizza Sales Calculations'!$D1037:$F1037)</f>
        <v>1</v>
      </c>
      <c r="N1037">
        <f>IFERROR(VLOOKUP(D1037,[1]Parameters!$A$3:$C$5,3,FALSE),0)</f>
        <v>2.2999999999999998</v>
      </c>
      <c r="O1037">
        <f>IFERROR(VLOOKUP(E1037,[1]Parameters!$A$3:$C$5,3,FALSE),0)</f>
        <v>0</v>
      </c>
      <c r="P1037">
        <f>IFERROR(VLOOKUP(F1037,[1]Parameters!$A$3:$C$5,3,FALSE),0)</f>
        <v>0</v>
      </c>
      <c r="Q1037">
        <f t="shared" si="16"/>
        <v>2.2999999999999998</v>
      </c>
      <c r="R1037" s="10">
        <f>IF('[1]Pizza Sales Calculations'!$G1037=TRUE, [1]Parameters!$B$17*'[1]Pizza Sales Calculations'!$L1037*2, 0)</f>
        <v>2.0824999999604188</v>
      </c>
      <c r="S1037" t="str">
        <f>IF(I1037&lt;[1]Parameters!$B$21,"TRUE","FALSE")</f>
        <v>TRUE</v>
      </c>
      <c r="T1037" s="5">
        <f>(I1037/[1]Parameters!$B$25)*60</f>
        <v>2.9428012670361401</v>
      </c>
      <c r="U1037" s="10">
        <f>IF(AND('[1]Pizza Sales Calculations'!G1037=TRUE,'[1]Pizza Sales Calculations'!S1037="TRUE"),T1037*[1]Parameters!$B$40*2,0)</f>
        <v>0.18369738908665223</v>
      </c>
      <c r="V1037">
        <f>INDEX([1]Parameters!$A$3:$C$5,MATCH('[1]Pizza Sales Calculations'!D1037,[1]Parameters!$A$3:$A$5,0),2)</f>
        <v>14</v>
      </c>
      <c r="W1037" t="e">
        <f>INDEX([1]Parameters!$A$3:$C$5,MATCH('[1]Pizza Sales Calculations'!E1037,[1]Parameters!$A$3:$A$5,0),2)</f>
        <v>#N/A</v>
      </c>
      <c r="X1037" t="e">
        <f>INDEX([1]Parameters!$A$3:$C$5,MATCH('[1]Pizza Sales Calculations'!F1037,[1]Parameters!$A$3:$A$5,0),2)</f>
        <v>#N/A</v>
      </c>
    </row>
    <row r="1038" spans="1:24" x14ac:dyDescent="0.3">
      <c r="A1038">
        <v>1037</v>
      </c>
      <c r="B1038" s="14">
        <v>42380.553541666668</v>
      </c>
      <c r="C1038" s="14">
        <v>42380.563946759263</v>
      </c>
      <c r="D1038" t="s">
        <v>4</v>
      </c>
      <c r="G1038" t="b">
        <v>1</v>
      </c>
      <c r="H1038">
        <v>70805</v>
      </c>
      <c r="I1038" s="5">
        <v>4.4197353147674496</v>
      </c>
      <c r="J1038" s="14">
        <v>42380.579282407409</v>
      </c>
      <c r="K1038">
        <v>11.59</v>
      </c>
      <c r="L1038" s="5">
        <f>('[1]Pizza Sales Calculations'!$J1038-'[1]Pizza Sales Calculations'!$C1038)*24*60</f>
        <v>22.083333330228925</v>
      </c>
      <c r="M1038">
        <f>COUNTA('[1]Pizza Sales Calculations'!$D1038:$F1038)</f>
        <v>1</v>
      </c>
      <c r="N1038">
        <f>IFERROR(VLOOKUP(D1038,[1]Parameters!$A$3:$C$5,3,FALSE),0)</f>
        <v>1.7</v>
      </c>
      <c r="O1038">
        <f>IFERROR(VLOOKUP(E1038,[1]Parameters!$A$3:$C$5,3,FALSE),0)</f>
        <v>0</v>
      </c>
      <c r="P1038">
        <f>IFERROR(VLOOKUP(F1038,[1]Parameters!$A$3:$C$5,3,FALSE),0)</f>
        <v>0</v>
      </c>
      <c r="Q1038">
        <f t="shared" si="16"/>
        <v>1.7</v>
      </c>
      <c r="R1038" s="10">
        <f>IF('[1]Pizza Sales Calculations'!$G1038=TRUE, [1]Parameters!$B$17*'[1]Pizza Sales Calculations'!$L1038*2, 0)</f>
        <v>6.256944443564862</v>
      </c>
      <c r="S1038" t="str">
        <f>IF(I1038&lt;[1]Parameters!$B$21,"TRUE","FALSE")</f>
        <v>FALSE</v>
      </c>
      <c r="T1038" s="5">
        <f>(I1038/[1]Parameters!$B$25)*60</f>
        <v>8.8394706295348993</v>
      </c>
      <c r="U1038" s="10">
        <f>IF(AND('[1]Pizza Sales Calculations'!G1038=TRUE,'[1]Pizza Sales Calculations'!S1038="TRUE"),T1038*[1]Parameters!$B$40*2,0)</f>
        <v>0</v>
      </c>
      <c r="V1038">
        <f>INDEX([1]Parameters!$A$3:$C$5,MATCH('[1]Pizza Sales Calculations'!D1038,[1]Parameters!$A$3:$A$5,0),2)</f>
        <v>10</v>
      </c>
      <c r="W1038" t="e">
        <f>INDEX([1]Parameters!$A$3:$C$5,MATCH('[1]Pizza Sales Calculations'!E1038,[1]Parameters!$A$3:$A$5,0),2)</f>
        <v>#N/A</v>
      </c>
      <c r="X1038" t="e">
        <f>INDEX([1]Parameters!$A$3:$C$5,MATCH('[1]Pizza Sales Calculations'!F1038,[1]Parameters!$A$3:$A$5,0),2)</f>
        <v>#N/A</v>
      </c>
    </row>
    <row r="1039" spans="1:24" x14ac:dyDescent="0.3">
      <c r="A1039">
        <v>1038</v>
      </c>
      <c r="B1039" s="14">
        <v>42380.512835648151</v>
      </c>
      <c r="C1039" s="14">
        <v>42380.523252314815</v>
      </c>
      <c r="D1039" t="s">
        <v>3</v>
      </c>
      <c r="E1039" t="s">
        <v>4</v>
      </c>
      <c r="G1039" t="b">
        <v>0</v>
      </c>
      <c r="H1039">
        <v>70806</v>
      </c>
      <c r="I1039" s="5">
        <v>0</v>
      </c>
      <c r="J1039" s="14">
        <v>42380.525347222225</v>
      </c>
      <c r="K1039">
        <v>19.579999999999998</v>
      </c>
      <c r="L1039" s="5">
        <f>('[1]Pizza Sales Calculations'!$J1039-'[1]Pizza Sales Calculations'!$C1039)*24*60</f>
        <v>3.0166666698642075</v>
      </c>
      <c r="M1039">
        <f>COUNTA('[1]Pizza Sales Calculations'!$D1039:$F1039)</f>
        <v>2</v>
      </c>
      <c r="N1039">
        <f>IFERROR(VLOOKUP(D1039,[1]Parameters!$A$3:$C$5,3,FALSE),0)</f>
        <v>1</v>
      </c>
      <c r="O1039">
        <f>IFERROR(VLOOKUP(E1039,[1]Parameters!$A$3:$C$5,3,FALSE),0)</f>
        <v>1.7</v>
      </c>
      <c r="P1039">
        <f>IFERROR(VLOOKUP(F1039,[1]Parameters!$A$3:$C$5,3,FALSE),0)</f>
        <v>0</v>
      </c>
      <c r="Q1039">
        <f t="shared" si="16"/>
        <v>2.7</v>
      </c>
      <c r="R1039" s="10">
        <f>IF('[1]Pizza Sales Calculations'!$G1039=TRUE, [1]Parameters!$B$17*'[1]Pizza Sales Calculations'!$L1039*2, 0)</f>
        <v>0</v>
      </c>
      <c r="S1039" t="str">
        <f>IF(I1039&lt;[1]Parameters!$B$21,"TRUE","FALSE")</f>
        <v>TRUE</v>
      </c>
      <c r="T1039" s="5">
        <f>(I1039/[1]Parameters!$B$25)*60</f>
        <v>0</v>
      </c>
      <c r="U1039" s="10">
        <f>IF(AND('[1]Pizza Sales Calculations'!G1039=TRUE,'[1]Pizza Sales Calculations'!S1039="TRUE"),T1039*[1]Parameters!$B$40*2,0)</f>
        <v>0</v>
      </c>
      <c r="V1039">
        <f>INDEX([1]Parameters!$A$3:$C$5,MATCH('[1]Pizza Sales Calculations'!D1039,[1]Parameters!$A$3:$A$5,0),2)</f>
        <v>7</v>
      </c>
      <c r="W1039">
        <f>INDEX([1]Parameters!$A$3:$C$5,MATCH('[1]Pizza Sales Calculations'!E1039,[1]Parameters!$A$3:$A$5,0),2)</f>
        <v>10</v>
      </c>
      <c r="X1039" t="e">
        <f>INDEX([1]Parameters!$A$3:$C$5,MATCH('[1]Pizza Sales Calculations'!F1039,[1]Parameters!$A$3:$A$5,0),2)</f>
        <v>#N/A</v>
      </c>
    </row>
    <row r="1040" spans="1:24" x14ac:dyDescent="0.3">
      <c r="A1040">
        <v>1039</v>
      </c>
      <c r="B1040" s="14">
        <v>42380.426238425927</v>
      </c>
      <c r="C1040" s="14">
        <v>42380.436643518522</v>
      </c>
      <c r="D1040" t="s">
        <v>5</v>
      </c>
      <c r="G1040" t="b">
        <v>1</v>
      </c>
      <c r="H1040">
        <v>70804</v>
      </c>
      <c r="I1040" s="5">
        <v>3.9443710126478901</v>
      </c>
      <c r="J1040" s="14">
        <v>42380.450335648151</v>
      </c>
      <c r="K1040">
        <v>15.35</v>
      </c>
      <c r="L1040" s="5">
        <f>('[1]Pizza Sales Calculations'!$J1040-'[1]Pizza Sales Calculations'!$C1040)*24*60</f>
        <v>19.71666666562669</v>
      </c>
      <c r="M1040">
        <f>COUNTA('[1]Pizza Sales Calculations'!$D1040:$F1040)</f>
        <v>1</v>
      </c>
      <c r="N1040">
        <f>IFERROR(VLOOKUP(D1040,[1]Parameters!$A$3:$C$5,3,FALSE),0)</f>
        <v>2.2999999999999998</v>
      </c>
      <c r="O1040">
        <f>IFERROR(VLOOKUP(E1040,[1]Parameters!$A$3:$C$5,3,FALSE),0)</f>
        <v>0</v>
      </c>
      <c r="P1040">
        <f>IFERROR(VLOOKUP(F1040,[1]Parameters!$A$3:$C$5,3,FALSE),0)</f>
        <v>0</v>
      </c>
      <c r="Q1040">
        <f t="shared" si="16"/>
        <v>2.2999999999999998</v>
      </c>
      <c r="R1040" s="10">
        <f>IF('[1]Pizza Sales Calculations'!$G1040=TRUE, [1]Parameters!$B$17*'[1]Pizza Sales Calculations'!$L1040*2, 0)</f>
        <v>5.5863888885942288</v>
      </c>
      <c r="S1040" t="str">
        <f>IF(I1040&lt;[1]Parameters!$B$21,"TRUE","FALSE")</f>
        <v>FALSE</v>
      </c>
      <c r="T1040" s="5">
        <f>(I1040/[1]Parameters!$B$25)*60</f>
        <v>7.8887420252957803</v>
      </c>
      <c r="U1040" s="10">
        <f>IF(AND('[1]Pizza Sales Calculations'!G1040=TRUE,'[1]Pizza Sales Calculations'!S1040="TRUE"),T1040*[1]Parameters!$B$40*2,0)</f>
        <v>0</v>
      </c>
      <c r="V1040">
        <f>INDEX([1]Parameters!$A$3:$C$5,MATCH('[1]Pizza Sales Calculations'!D1040,[1]Parameters!$A$3:$A$5,0),2)</f>
        <v>14</v>
      </c>
      <c r="W1040" t="e">
        <f>INDEX([1]Parameters!$A$3:$C$5,MATCH('[1]Pizza Sales Calculations'!E1040,[1]Parameters!$A$3:$A$5,0),2)</f>
        <v>#N/A</v>
      </c>
      <c r="X1040" t="e">
        <f>INDEX([1]Parameters!$A$3:$C$5,MATCH('[1]Pizza Sales Calculations'!F1040,[1]Parameters!$A$3:$A$5,0),2)</f>
        <v>#N/A</v>
      </c>
    </row>
    <row r="1041" spans="1:24" x14ac:dyDescent="0.3">
      <c r="A1041">
        <v>1040</v>
      </c>
      <c r="B1041" s="14">
        <v>42380.535416666666</v>
      </c>
      <c r="C1041" s="14">
        <v>42380.54582175926</v>
      </c>
      <c r="D1041" t="s">
        <v>5</v>
      </c>
      <c r="G1041" t="b">
        <v>0</v>
      </c>
      <c r="H1041">
        <v>70803</v>
      </c>
      <c r="I1041" s="5">
        <v>0</v>
      </c>
      <c r="J1041" s="14">
        <v>42380.547893518517</v>
      </c>
      <c r="K1041">
        <v>15.35</v>
      </c>
      <c r="L1041" s="5">
        <f>('[1]Pizza Sales Calculations'!$J1041-'[1]Pizza Sales Calculations'!$C1041)*24*60</f>
        <v>2.9833333287388086</v>
      </c>
      <c r="M1041">
        <f>COUNTA('[1]Pizza Sales Calculations'!$D1041:$F1041)</f>
        <v>1</v>
      </c>
      <c r="N1041">
        <f>IFERROR(VLOOKUP(D1041,[1]Parameters!$A$3:$C$5,3,FALSE),0)</f>
        <v>2.2999999999999998</v>
      </c>
      <c r="O1041">
        <f>IFERROR(VLOOKUP(E1041,[1]Parameters!$A$3:$C$5,3,FALSE),0)</f>
        <v>0</v>
      </c>
      <c r="P1041">
        <f>IFERROR(VLOOKUP(F1041,[1]Parameters!$A$3:$C$5,3,FALSE),0)</f>
        <v>0</v>
      </c>
      <c r="Q1041">
        <f t="shared" si="16"/>
        <v>2.2999999999999998</v>
      </c>
      <c r="R1041" s="10">
        <f>IF('[1]Pizza Sales Calculations'!$G1041=TRUE, [1]Parameters!$B$17*'[1]Pizza Sales Calculations'!$L1041*2, 0)</f>
        <v>0</v>
      </c>
      <c r="S1041" t="str">
        <f>IF(I1041&lt;[1]Parameters!$B$21,"TRUE","FALSE")</f>
        <v>TRUE</v>
      </c>
      <c r="T1041" s="5">
        <f>(I1041/[1]Parameters!$B$25)*60</f>
        <v>0</v>
      </c>
      <c r="U1041" s="10">
        <f>IF(AND('[1]Pizza Sales Calculations'!G1041=TRUE,'[1]Pizza Sales Calculations'!S1041="TRUE"),T1041*[1]Parameters!$B$40*2,0)</f>
        <v>0</v>
      </c>
      <c r="V1041">
        <f>INDEX([1]Parameters!$A$3:$C$5,MATCH('[1]Pizza Sales Calculations'!D1041,[1]Parameters!$A$3:$A$5,0),2)</f>
        <v>14</v>
      </c>
      <c r="W1041" t="e">
        <f>INDEX([1]Parameters!$A$3:$C$5,MATCH('[1]Pizza Sales Calculations'!E1041,[1]Parameters!$A$3:$A$5,0),2)</f>
        <v>#N/A</v>
      </c>
      <c r="X1041" t="e">
        <f>INDEX([1]Parameters!$A$3:$C$5,MATCH('[1]Pizza Sales Calculations'!F1041,[1]Parameters!$A$3:$A$5,0),2)</f>
        <v>#N/A</v>
      </c>
    </row>
    <row r="1042" spans="1:24" x14ac:dyDescent="0.3">
      <c r="A1042">
        <v>1041</v>
      </c>
      <c r="B1042" s="14">
        <v>42380.507939814815</v>
      </c>
      <c r="C1042" s="14">
        <v>42380.51835648148</v>
      </c>
      <c r="D1042" t="s">
        <v>3</v>
      </c>
      <c r="E1042" t="s">
        <v>5</v>
      </c>
      <c r="G1042" t="b">
        <v>1</v>
      </c>
      <c r="H1042">
        <v>70805</v>
      </c>
      <c r="I1042" s="5">
        <v>4.4174067075365198</v>
      </c>
      <c r="J1042" s="14">
        <v>42380.533692129633</v>
      </c>
      <c r="K1042">
        <v>23.34</v>
      </c>
      <c r="L1042" s="5">
        <f>('[1]Pizza Sales Calculations'!$J1042-'[1]Pizza Sales Calculations'!$C1042)*24*60</f>
        <v>22.083333340706304</v>
      </c>
      <c r="M1042">
        <f>COUNTA('[1]Pizza Sales Calculations'!$D1042:$F1042)</f>
        <v>2</v>
      </c>
      <c r="N1042">
        <f>IFERROR(VLOOKUP(D1042,[1]Parameters!$A$3:$C$5,3,FALSE),0)</f>
        <v>1</v>
      </c>
      <c r="O1042">
        <f>IFERROR(VLOOKUP(E1042,[1]Parameters!$A$3:$C$5,3,FALSE),0)</f>
        <v>2.2999999999999998</v>
      </c>
      <c r="P1042">
        <f>IFERROR(VLOOKUP(F1042,[1]Parameters!$A$3:$C$5,3,FALSE),0)</f>
        <v>0</v>
      </c>
      <c r="Q1042">
        <f t="shared" si="16"/>
        <v>3.3</v>
      </c>
      <c r="R1042" s="10">
        <f>IF('[1]Pizza Sales Calculations'!$G1042=TRUE, [1]Parameters!$B$17*'[1]Pizza Sales Calculations'!$L1042*2, 0)</f>
        <v>6.2569444465334527</v>
      </c>
      <c r="S1042" t="str">
        <f>IF(I1042&lt;[1]Parameters!$B$21,"TRUE","FALSE")</f>
        <v>FALSE</v>
      </c>
      <c r="T1042" s="5">
        <f>(I1042/[1]Parameters!$B$25)*60</f>
        <v>8.8348134150730395</v>
      </c>
      <c r="U1042" s="10">
        <f>IF(AND('[1]Pizza Sales Calculations'!G1042=TRUE,'[1]Pizza Sales Calculations'!S1042="TRUE"),T1042*[1]Parameters!$B$40*2,0)</f>
        <v>0</v>
      </c>
      <c r="V1042">
        <f>INDEX([1]Parameters!$A$3:$C$5,MATCH('[1]Pizza Sales Calculations'!D1042,[1]Parameters!$A$3:$A$5,0),2)</f>
        <v>7</v>
      </c>
      <c r="W1042">
        <f>INDEX([1]Parameters!$A$3:$C$5,MATCH('[1]Pizza Sales Calculations'!E1042,[1]Parameters!$A$3:$A$5,0),2)</f>
        <v>14</v>
      </c>
      <c r="X1042" t="e">
        <f>INDEX([1]Parameters!$A$3:$C$5,MATCH('[1]Pizza Sales Calculations'!F1042,[1]Parameters!$A$3:$A$5,0),2)</f>
        <v>#N/A</v>
      </c>
    </row>
    <row r="1043" spans="1:24" x14ac:dyDescent="0.3">
      <c r="A1043">
        <v>1042</v>
      </c>
      <c r="B1043" s="14">
        <v>42380.523726851854</v>
      </c>
      <c r="C1043" s="14">
        <v>42380.534108796295</v>
      </c>
      <c r="D1043" t="s">
        <v>5</v>
      </c>
      <c r="G1043" t="b">
        <v>0</v>
      </c>
      <c r="H1043">
        <v>70806</v>
      </c>
      <c r="I1043" s="5">
        <v>0</v>
      </c>
      <c r="J1043" s="14">
        <v>42380.536180555559</v>
      </c>
      <c r="K1043">
        <v>15.35</v>
      </c>
      <c r="L1043" s="5">
        <f>('[1]Pizza Sales Calculations'!$J1043-'[1]Pizza Sales Calculations'!$C1043)*24*60</f>
        <v>2.9833333392161876</v>
      </c>
      <c r="M1043">
        <f>COUNTA('[1]Pizza Sales Calculations'!$D1043:$F1043)</f>
        <v>1</v>
      </c>
      <c r="N1043">
        <f>IFERROR(VLOOKUP(D1043,[1]Parameters!$A$3:$C$5,3,FALSE),0)</f>
        <v>2.2999999999999998</v>
      </c>
      <c r="O1043">
        <f>IFERROR(VLOOKUP(E1043,[1]Parameters!$A$3:$C$5,3,FALSE),0)</f>
        <v>0</v>
      </c>
      <c r="P1043">
        <f>IFERROR(VLOOKUP(F1043,[1]Parameters!$A$3:$C$5,3,FALSE),0)</f>
        <v>0</v>
      </c>
      <c r="Q1043">
        <f t="shared" si="16"/>
        <v>2.2999999999999998</v>
      </c>
      <c r="R1043" s="10">
        <f>IF('[1]Pizza Sales Calculations'!$G1043=TRUE, [1]Parameters!$B$17*'[1]Pizza Sales Calculations'!$L1043*2, 0)</f>
        <v>0</v>
      </c>
      <c r="S1043" t="str">
        <f>IF(I1043&lt;[1]Parameters!$B$21,"TRUE","FALSE")</f>
        <v>TRUE</v>
      </c>
      <c r="T1043" s="5">
        <f>(I1043/[1]Parameters!$B$25)*60</f>
        <v>0</v>
      </c>
      <c r="U1043" s="10">
        <f>IF(AND('[1]Pizza Sales Calculations'!G1043=TRUE,'[1]Pizza Sales Calculations'!S1043="TRUE"),T1043*[1]Parameters!$B$40*2,0)</f>
        <v>0</v>
      </c>
      <c r="V1043">
        <f>INDEX([1]Parameters!$A$3:$C$5,MATCH('[1]Pizza Sales Calculations'!D1043,[1]Parameters!$A$3:$A$5,0),2)</f>
        <v>14</v>
      </c>
      <c r="W1043" t="e">
        <f>INDEX([1]Parameters!$A$3:$C$5,MATCH('[1]Pizza Sales Calculations'!E1043,[1]Parameters!$A$3:$A$5,0),2)</f>
        <v>#N/A</v>
      </c>
      <c r="X1043" t="e">
        <f>INDEX([1]Parameters!$A$3:$C$5,MATCH('[1]Pizza Sales Calculations'!F1043,[1]Parameters!$A$3:$A$5,0),2)</f>
        <v>#N/A</v>
      </c>
    </row>
    <row r="1044" spans="1:24" x14ac:dyDescent="0.3">
      <c r="A1044">
        <v>1043</v>
      </c>
      <c r="B1044" s="14">
        <v>42380.525995370372</v>
      </c>
      <c r="C1044" s="14">
        <v>42380.536412037036</v>
      </c>
      <c r="D1044" t="s">
        <v>4</v>
      </c>
      <c r="G1044" t="b">
        <v>0</v>
      </c>
      <c r="H1044">
        <v>70806</v>
      </c>
      <c r="I1044" s="5">
        <v>0</v>
      </c>
      <c r="J1044" s="14">
        <v>42380.538483796299</v>
      </c>
      <c r="K1044">
        <v>11.59</v>
      </c>
      <c r="L1044" s="5">
        <f>('[1]Pizza Sales Calculations'!$J1044-'[1]Pizza Sales Calculations'!$C1044)*24*60</f>
        <v>2.9833333392161876</v>
      </c>
      <c r="M1044">
        <f>COUNTA('[1]Pizza Sales Calculations'!$D1044:$F1044)</f>
        <v>1</v>
      </c>
      <c r="N1044">
        <f>IFERROR(VLOOKUP(D1044,[1]Parameters!$A$3:$C$5,3,FALSE),0)</f>
        <v>1.7</v>
      </c>
      <c r="O1044">
        <f>IFERROR(VLOOKUP(E1044,[1]Parameters!$A$3:$C$5,3,FALSE),0)</f>
        <v>0</v>
      </c>
      <c r="P1044">
        <f>IFERROR(VLOOKUP(F1044,[1]Parameters!$A$3:$C$5,3,FALSE),0)</f>
        <v>0</v>
      </c>
      <c r="Q1044">
        <f t="shared" si="16"/>
        <v>1.7</v>
      </c>
      <c r="R1044" s="10">
        <f>IF('[1]Pizza Sales Calculations'!$G1044=TRUE, [1]Parameters!$B$17*'[1]Pizza Sales Calculations'!$L1044*2, 0)</f>
        <v>0</v>
      </c>
      <c r="S1044" t="str">
        <f>IF(I1044&lt;[1]Parameters!$B$21,"TRUE","FALSE")</f>
        <v>TRUE</v>
      </c>
      <c r="T1044" s="5">
        <f>(I1044/[1]Parameters!$B$25)*60</f>
        <v>0</v>
      </c>
      <c r="U1044" s="10">
        <f>IF(AND('[1]Pizza Sales Calculations'!G1044=TRUE,'[1]Pizza Sales Calculations'!S1044="TRUE"),T1044*[1]Parameters!$B$40*2,0)</f>
        <v>0</v>
      </c>
      <c r="V1044">
        <f>INDEX([1]Parameters!$A$3:$C$5,MATCH('[1]Pizza Sales Calculations'!D1044,[1]Parameters!$A$3:$A$5,0),2)</f>
        <v>10</v>
      </c>
      <c r="W1044" t="e">
        <f>INDEX([1]Parameters!$A$3:$C$5,MATCH('[1]Pizza Sales Calculations'!E1044,[1]Parameters!$A$3:$A$5,0),2)</f>
        <v>#N/A</v>
      </c>
      <c r="X1044" t="e">
        <f>INDEX([1]Parameters!$A$3:$C$5,MATCH('[1]Pizza Sales Calculations'!F1044,[1]Parameters!$A$3:$A$5,0),2)</f>
        <v>#N/A</v>
      </c>
    </row>
    <row r="1045" spans="1:24" x14ac:dyDescent="0.3">
      <c r="A1045">
        <v>1044</v>
      </c>
      <c r="B1045" s="14">
        <v>42380.429224537038</v>
      </c>
      <c r="C1045" s="14">
        <v>42380.439641203702</v>
      </c>
      <c r="D1045" t="s">
        <v>5</v>
      </c>
      <c r="G1045" t="b">
        <v>1</v>
      </c>
      <c r="H1045">
        <v>70805</v>
      </c>
      <c r="I1045" s="5">
        <v>1.7892688407108399</v>
      </c>
      <c r="J1045" s="14">
        <v>42380.445844907408</v>
      </c>
      <c r="K1045">
        <v>15.35</v>
      </c>
      <c r="L1045" s="5">
        <f>('[1]Pizza Sales Calculations'!$J1045-'[1]Pizza Sales Calculations'!$C1045)*24*60</f>
        <v>8.9333333366084844</v>
      </c>
      <c r="M1045">
        <f>COUNTA('[1]Pizza Sales Calculations'!$D1045:$F1045)</f>
        <v>1</v>
      </c>
      <c r="N1045">
        <f>IFERROR(VLOOKUP(D1045,[1]Parameters!$A$3:$C$5,3,FALSE),0)</f>
        <v>2.2999999999999998</v>
      </c>
      <c r="O1045">
        <f>IFERROR(VLOOKUP(E1045,[1]Parameters!$A$3:$C$5,3,FALSE),0)</f>
        <v>0</v>
      </c>
      <c r="P1045">
        <f>IFERROR(VLOOKUP(F1045,[1]Parameters!$A$3:$C$5,3,FALSE),0)</f>
        <v>0</v>
      </c>
      <c r="Q1045">
        <f t="shared" si="16"/>
        <v>2.2999999999999998</v>
      </c>
      <c r="R1045" s="10">
        <f>IF('[1]Pizza Sales Calculations'!$G1045=TRUE, [1]Parameters!$B$17*'[1]Pizza Sales Calculations'!$L1045*2, 0)</f>
        <v>2.5311111120390706</v>
      </c>
      <c r="S1045" t="str">
        <f>IF(I1045&lt;[1]Parameters!$B$21,"TRUE","FALSE")</f>
        <v>TRUE</v>
      </c>
      <c r="T1045" s="5">
        <f>(I1045/[1]Parameters!$B$25)*60</f>
        <v>3.5785376814216798</v>
      </c>
      <c r="U1045" s="10">
        <f>IF(AND('[1]Pizza Sales Calculations'!G1045=TRUE,'[1]Pizza Sales Calculations'!S1045="TRUE"),T1045*[1]Parameters!$B$40*2,0)</f>
        <v>0.22338172685627419</v>
      </c>
      <c r="V1045">
        <f>INDEX([1]Parameters!$A$3:$C$5,MATCH('[1]Pizza Sales Calculations'!D1045,[1]Parameters!$A$3:$A$5,0),2)</f>
        <v>14</v>
      </c>
      <c r="W1045" t="e">
        <f>INDEX([1]Parameters!$A$3:$C$5,MATCH('[1]Pizza Sales Calculations'!E1045,[1]Parameters!$A$3:$A$5,0),2)</f>
        <v>#N/A</v>
      </c>
      <c r="X1045" t="e">
        <f>INDEX([1]Parameters!$A$3:$C$5,MATCH('[1]Pizza Sales Calculations'!F1045,[1]Parameters!$A$3:$A$5,0),2)</f>
        <v>#N/A</v>
      </c>
    </row>
    <row r="1046" spans="1:24" x14ac:dyDescent="0.3">
      <c r="A1046">
        <v>1045</v>
      </c>
      <c r="B1046" s="14">
        <v>42380.552488425928</v>
      </c>
      <c r="C1046" s="14">
        <v>42380.562905092593</v>
      </c>
      <c r="D1046" t="s">
        <v>5</v>
      </c>
      <c r="G1046" t="b">
        <v>1</v>
      </c>
      <c r="H1046">
        <v>70806</v>
      </c>
      <c r="I1046" s="5">
        <v>4.6413605475594304</v>
      </c>
      <c r="J1046" s="14">
        <v>42380.579016203701</v>
      </c>
      <c r="K1046">
        <v>15.35</v>
      </c>
      <c r="L1046" s="5">
        <f>('[1]Pizza Sales Calculations'!$J1046-'[1]Pizza Sales Calculations'!$C1046)*24*60</f>
        <v>23.199999995995313</v>
      </c>
      <c r="M1046">
        <f>COUNTA('[1]Pizza Sales Calculations'!$D1046:$F1046)</f>
        <v>1</v>
      </c>
      <c r="N1046">
        <f>IFERROR(VLOOKUP(D1046,[1]Parameters!$A$3:$C$5,3,FALSE),0)</f>
        <v>2.2999999999999998</v>
      </c>
      <c r="O1046">
        <f>IFERROR(VLOOKUP(E1046,[1]Parameters!$A$3:$C$5,3,FALSE),0)</f>
        <v>0</v>
      </c>
      <c r="P1046">
        <f>IFERROR(VLOOKUP(F1046,[1]Parameters!$A$3:$C$5,3,FALSE),0)</f>
        <v>0</v>
      </c>
      <c r="Q1046">
        <f t="shared" si="16"/>
        <v>2.2999999999999998</v>
      </c>
      <c r="R1046" s="10">
        <f>IF('[1]Pizza Sales Calculations'!$G1046=TRUE, [1]Parameters!$B$17*'[1]Pizza Sales Calculations'!$L1046*2, 0)</f>
        <v>6.573333332198672</v>
      </c>
      <c r="S1046" t="str">
        <f>IF(I1046&lt;[1]Parameters!$B$21,"TRUE","FALSE")</f>
        <v>FALSE</v>
      </c>
      <c r="T1046" s="5">
        <f>(I1046/[1]Parameters!$B$25)*60</f>
        <v>9.2827210951188608</v>
      </c>
      <c r="U1046" s="10">
        <f>IF(AND('[1]Pizza Sales Calculations'!G1046=TRUE,'[1]Pizza Sales Calculations'!S1046="TRUE"),T1046*[1]Parameters!$B$40*2,0)</f>
        <v>0</v>
      </c>
      <c r="V1046">
        <f>INDEX([1]Parameters!$A$3:$C$5,MATCH('[1]Pizza Sales Calculations'!D1046,[1]Parameters!$A$3:$A$5,0),2)</f>
        <v>14</v>
      </c>
      <c r="W1046" t="e">
        <f>INDEX([1]Parameters!$A$3:$C$5,MATCH('[1]Pizza Sales Calculations'!E1046,[1]Parameters!$A$3:$A$5,0),2)</f>
        <v>#N/A</v>
      </c>
      <c r="X1046" t="e">
        <f>INDEX([1]Parameters!$A$3:$C$5,MATCH('[1]Pizza Sales Calculations'!F1046,[1]Parameters!$A$3:$A$5,0),2)</f>
        <v>#N/A</v>
      </c>
    </row>
    <row r="1047" spans="1:24" x14ac:dyDescent="0.3">
      <c r="A1047">
        <v>1046</v>
      </c>
      <c r="B1047" s="14">
        <v>42380.494768518518</v>
      </c>
      <c r="C1047" s="14">
        <v>42380.505196759259</v>
      </c>
      <c r="D1047" t="s">
        <v>5</v>
      </c>
      <c r="G1047" t="b">
        <v>1</v>
      </c>
      <c r="H1047">
        <v>70806</v>
      </c>
      <c r="I1047" s="5">
        <v>1.96122431781192</v>
      </c>
      <c r="J1047" s="14">
        <v>42380.512002314812</v>
      </c>
      <c r="K1047">
        <v>15.35</v>
      </c>
      <c r="L1047" s="5">
        <f>('[1]Pizza Sales Calculations'!$J1047-'[1]Pizza Sales Calculations'!$C1047)*24*60</f>
        <v>9.7999999963212758</v>
      </c>
      <c r="M1047">
        <f>COUNTA('[1]Pizza Sales Calculations'!$D1047:$F1047)</f>
        <v>1</v>
      </c>
      <c r="N1047">
        <f>IFERROR(VLOOKUP(D1047,[1]Parameters!$A$3:$C$5,3,FALSE),0)</f>
        <v>2.2999999999999998</v>
      </c>
      <c r="O1047">
        <f>IFERROR(VLOOKUP(E1047,[1]Parameters!$A$3:$C$5,3,FALSE),0)</f>
        <v>0</v>
      </c>
      <c r="P1047">
        <f>IFERROR(VLOOKUP(F1047,[1]Parameters!$A$3:$C$5,3,FALSE),0)</f>
        <v>0</v>
      </c>
      <c r="Q1047">
        <f t="shared" si="16"/>
        <v>2.2999999999999998</v>
      </c>
      <c r="R1047" s="10">
        <f>IF('[1]Pizza Sales Calculations'!$G1047=TRUE, [1]Parameters!$B$17*'[1]Pizza Sales Calculations'!$L1047*2, 0)</f>
        <v>2.7766666656243615</v>
      </c>
      <c r="S1047" t="str">
        <f>IF(I1047&lt;[1]Parameters!$B$21,"TRUE","FALSE")</f>
        <v>TRUE</v>
      </c>
      <c r="T1047" s="5">
        <f>(I1047/[1]Parameters!$B$25)*60</f>
        <v>3.9224486356238404</v>
      </c>
      <c r="U1047" s="10">
        <f>IF(AND('[1]Pizza Sales Calculations'!G1047=TRUE,'[1]Pizza Sales Calculations'!S1047="TRUE"),T1047*[1]Parameters!$B$40*2,0)</f>
        <v>0.24484955245255163</v>
      </c>
      <c r="V1047">
        <f>INDEX([1]Parameters!$A$3:$C$5,MATCH('[1]Pizza Sales Calculations'!D1047,[1]Parameters!$A$3:$A$5,0),2)</f>
        <v>14</v>
      </c>
      <c r="W1047" t="e">
        <f>INDEX([1]Parameters!$A$3:$C$5,MATCH('[1]Pizza Sales Calculations'!E1047,[1]Parameters!$A$3:$A$5,0),2)</f>
        <v>#N/A</v>
      </c>
      <c r="X1047" t="e">
        <f>INDEX([1]Parameters!$A$3:$C$5,MATCH('[1]Pizza Sales Calculations'!F1047,[1]Parameters!$A$3:$A$5,0),2)</f>
        <v>#N/A</v>
      </c>
    </row>
    <row r="1048" spans="1:24" x14ac:dyDescent="0.3">
      <c r="A1048">
        <v>1047</v>
      </c>
      <c r="B1048" s="14">
        <v>42380.523263888892</v>
      </c>
      <c r="C1048" s="14">
        <v>42380.533668981479</v>
      </c>
      <c r="D1048" t="s">
        <v>3</v>
      </c>
      <c r="E1048" t="s">
        <v>4</v>
      </c>
      <c r="G1048" t="b">
        <v>1</v>
      </c>
      <c r="H1048">
        <v>70805</v>
      </c>
      <c r="I1048" s="5">
        <v>3.1597813876807401</v>
      </c>
      <c r="J1048" s="14">
        <v>42380.544629629629</v>
      </c>
      <c r="K1048">
        <v>19.579999999999998</v>
      </c>
      <c r="L1048" s="5">
        <f>('[1]Pizza Sales Calculations'!$J1048-'[1]Pizza Sales Calculations'!$C1048)*24*60</f>
        <v>15.783333334838971</v>
      </c>
      <c r="M1048">
        <f>COUNTA('[1]Pizza Sales Calculations'!$D1048:$F1048)</f>
        <v>2</v>
      </c>
      <c r="N1048">
        <f>IFERROR(VLOOKUP(D1048,[1]Parameters!$A$3:$C$5,3,FALSE),0)</f>
        <v>1</v>
      </c>
      <c r="O1048">
        <f>IFERROR(VLOOKUP(E1048,[1]Parameters!$A$3:$C$5,3,FALSE),0)</f>
        <v>1.7</v>
      </c>
      <c r="P1048">
        <f>IFERROR(VLOOKUP(F1048,[1]Parameters!$A$3:$C$5,3,FALSE),0)</f>
        <v>0</v>
      </c>
      <c r="Q1048">
        <f t="shared" si="16"/>
        <v>2.7</v>
      </c>
      <c r="R1048" s="10">
        <f>IF('[1]Pizza Sales Calculations'!$G1048=TRUE, [1]Parameters!$B$17*'[1]Pizza Sales Calculations'!$L1048*2, 0)</f>
        <v>4.4719444448710419</v>
      </c>
      <c r="S1048" t="str">
        <f>IF(I1048&lt;[1]Parameters!$B$21,"TRUE","FALSE")</f>
        <v>TRUE</v>
      </c>
      <c r="T1048" s="5">
        <f>(I1048/[1]Parameters!$B$25)*60</f>
        <v>6.3195627753614803</v>
      </c>
      <c r="U1048" s="10">
        <f>IF(AND('[1]Pizza Sales Calculations'!G1048=TRUE,'[1]Pizza Sales Calculations'!S1048="TRUE"),T1048*[1]Parameters!$B$40*2,0)</f>
        <v>0.39448371692876705</v>
      </c>
      <c r="V1048">
        <f>INDEX([1]Parameters!$A$3:$C$5,MATCH('[1]Pizza Sales Calculations'!D1048,[1]Parameters!$A$3:$A$5,0),2)</f>
        <v>7</v>
      </c>
      <c r="W1048">
        <f>INDEX([1]Parameters!$A$3:$C$5,MATCH('[1]Pizza Sales Calculations'!E1048,[1]Parameters!$A$3:$A$5,0),2)</f>
        <v>10</v>
      </c>
      <c r="X1048" t="e">
        <f>INDEX([1]Parameters!$A$3:$C$5,MATCH('[1]Pizza Sales Calculations'!F1048,[1]Parameters!$A$3:$A$5,0),2)</f>
        <v>#N/A</v>
      </c>
    </row>
    <row r="1049" spans="1:24" x14ac:dyDescent="0.3">
      <c r="A1049">
        <v>1048</v>
      </c>
      <c r="B1049" s="14">
        <v>42380.615694444445</v>
      </c>
      <c r="C1049" s="14">
        <v>42380.626111111109</v>
      </c>
      <c r="D1049" t="s">
        <v>3</v>
      </c>
      <c r="E1049" t="s">
        <v>4</v>
      </c>
      <c r="G1049" t="b">
        <v>0</v>
      </c>
      <c r="H1049">
        <v>70804</v>
      </c>
      <c r="I1049" s="5">
        <v>0</v>
      </c>
      <c r="J1049" s="14">
        <v>42380.628182870372</v>
      </c>
      <c r="K1049">
        <v>19.579999999999998</v>
      </c>
      <c r="L1049" s="5">
        <f>('[1]Pizza Sales Calculations'!$J1049-'[1]Pizza Sales Calculations'!$C1049)*24*60</f>
        <v>2.9833333392161876</v>
      </c>
      <c r="M1049">
        <f>COUNTA('[1]Pizza Sales Calculations'!$D1049:$F1049)</f>
        <v>2</v>
      </c>
      <c r="N1049">
        <f>IFERROR(VLOOKUP(D1049,[1]Parameters!$A$3:$C$5,3,FALSE),0)</f>
        <v>1</v>
      </c>
      <c r="O1049">
        <f>IFERROR(VLOOKUP(E1049,[1]Parameters!$A$3:$C$5,3,FALSE),0)</f>
        <v>1.7</v>
      </c>
      <c r="P1049">
        <f>IFERROR(VLOOKUP(F1049,[1]Parameters!$A$3:$C$5,3,FALSE),0)</f>
        <v>0</v>
      </c>
      <c r="Q1049">
        <f t="shared" si="16"/>
        <v>2.7</v>
      </c>
      <c r="R1049" s="10">
        <f>IF('[1]Pizza Sales Calculations'!$G1049=TRUE, [1]Parameters!$B$17*'[1]Pizza Sales Calculations'!$L1049*2, 0)</f>
        <v>0</v>
      </c>
      <c r="S1049" t="str">
        <f>IF(I1049&lt;[1]Parameters!$B$21,"TRUE","FALSE")</f>
        <v>TRUE</v>
      </c>
      <c r="T1049" s="5">
        <f>(I1049/[1]Parameters!$B$25)*60</f>
        <v>0</v>
      </c>
      <c r="U1049" s="10">
        <f>IF(AND('[1]Pizza Sales Calculations'!G1049=TRUE,'[1]Pizza Sales Calculations'!S1049="TRUE"),T1049*[1]Parameters!$B$40*2,0)</f>
        <v>0</v>
      </c>
      <c r="V1049">
        <f>INDEX([1]Parameters!$A$3:$C$5,MATCH('[1]Pizza Sales Calculations'!D1049,[1]Parameters!$A$3:$A$5,0),2)</f>
        <v>7</v>
      </c>
      <c r="W1049">
        <f>INDEX([1]Parameters!$A$3:$C$5,MATCH('[1]Pizza Sales Calculations'!E1049,[1]Parameters!$A$3:$A$5,0),2)</f>
        <v>10</v>
      </c>
      <c r="X1049" t="e">
        <f>INDEX([1]Parameters!$A$3:$C$5,MATCH('[1]Pizza Sales Calculations'!F1049,[1]Parameters!$A$3:$A$5,0),2)</f>
        <v>#N/A</v>
      </c>
    </row>
    <row r="1050" spans="1:24" x14ac:dyDescent="0.3">
      <c r="A1050">
        <v>1049</v>
      </c>
      <c r="B1050" s="14">
        <v>42380.530787037038</v>
      </c>
      <c r="C1050" s="14">
        <v>42380.541192129633</v>
      </c>
      <c r="D1050" t="s">
        <v>3</v>
      </c>
      <c r="G1050" t="b">
        <v>1</v>
      </c>
      <c r="H1050">
        <v>70805</v>
      </c>
      <c r="I1050" s="5">
        <v>3.92893299886186</v>
      </c>
      <c r="J1050" s="14">
        <v>42380.554826388892</v>
      </c>
      <c r="K1050">
        <v>7.99</v>
      </c>
      <c r="L1050" s="5">
        <f>('[1]Pizza Sales Calculations'!$J1050-'[1]Pizza Sales Calculations'!$C1050)*24*60</f>
        <v>19.633333333767951</v>
      </c>
      <c r="M1050">
        <f>COUNTA('[1]Pizza Sales Calculations'!$D1050:$F1050)</f>
        <v>1</v>
      </c>
      <c r="N1050">
        <f>IFERROR(VLOOKUP(D1050,[1]Parameters!$A$3:$C$5,3,FALSE),0)</f>
        <v>1</v>
      </c>
      <c r="O1050">
        <f>IFERROR(VLOOKUP(E1050,[1]Parameters!$A$3:$C$5,3,FALSE),0)</f>
        <v>0</v>
      </c>
      <c r="P1050">
        <f>IFERROR(VLOOKUP(F1050,[1]Parameters!$A$3:$C$5,3,FALSE),0)</f>
        <v>0</v>
      </c>
      <c r="Q1050">
        <f t="shared" si="16"/>
        <v>1</v>
      </c>
      <c r="R1050" s="10">
        <f>IF('[1]Pizza Sales Calculations'!$G1050=TRUE, [1]Parameters!$B$17*'[1]Pizza Sales Calculations'!$L1050*2, 0)</f>
        <v>5.5627777779009193</v>
      </c>
      <c r="S1050" t="str">
        <f>IF(I1050&lt;[1]Parameters!$B$21,"TRUE","FALSE")</f>
        <v>FALSE</v>
      </c>
      <c r="T1050" s="5">
        <f>(I1050/[1]Parameters!$B$25)*60</f>
        <v>7.85786599772372</v>
      </c>
      <c r="U1050" s="10">
        <f>IF(AND('[1]Pizza Sales Calculations'!G1050=TRUE,'[1]Pizza Sales Calculations'!S1050="TRUE"),T1050*[1]Parameters!$B$40*2,0)</f>
        <v>0</v>
      </c>
      <c r="V1050">
        <f>INDEX([1]Parameters!$A$3:$C$5,MATCH('[1]Pizza Sales Calculations'!D1050,[1]Parameters!$A$3:$A$5,0),2)</f>
        <v>7</v>
      </c>
      <c r="W1050" t="e">
        <f>INDEX([1]Parameters!$A$3:$C$5,MATCH('[1]Pizza Sales Calculations'!E1050,[1]Parameters!$A$3:$A$5,0),2)</f>
        <v>#N/A</v>
      </c>
      <c r="X1050" t="e">
        <f>INDEX([1]Parameters!$A$3:$C$5,MATCH('[1]Pizza Sales Calculations'!F1050,[1]Parameters!$A$3:$A$5,0),2)</f>
        <v>#N/A</v>
      </c>
    </row>
    <row r="1051" spans="1:24" x14ac:dyDescent="0.3">
      <c r="A1051">
        <v>1050</v>
      </c>
      <c r="B1051" s="14">
        <v>42380.487222222226</v>
      </c>
      <c r="C1051" s="14">
        <v>42380.49763888889</v>
      </c>
      <c r="D1051" t="s">
        <v>4</v>
      </c>
      <c r="G1051" t="b">
        <v>1</v>
      </c>
      <c r="H1051">
        <v>70806</v>
      </c>
      <c r="I1051" s="5">
        <v>2.4682333351030699</v>
      </c>
      <c r="J1051" s="14">
        <v>42380.506203703706</v>
      </c>
      <c r="K1051">
        <v>11.59</v>
      </c>
      <c r="L1051" s="5">
        <f>('[1]Pizza Sales Calculations'!$J1051-'[1]Pizza Sales Calculations'!$C1051)*24*60</f>
        <v>12.333333335118368</v>
      </c>
      <c r="M1051">
        <f>COUNTA('[1]Pizza Sales Calculations'!$D1051:$F1051)</f>
        <v>1</v>
      </c>
      <c r="N1051">
        <f>IFERROR(VLOOKUP(D1051,[1]Parameters!$A$3:$C$5,3,FALSE),0)</f>
        <v>1.7</v>
      </c>
      <c r="O1051">
        <f>IFERROR(VLOOKUP(E1051,[1]Parameters!$A$3:$C$5,3,FALSE),0)</f>
        <v>0</v>
      </c>
      <c r="P1051">
        <f>IFERROR(VLOOKUP(F1051,[1]Parameters!$A$3:$C$5,3,FALSE),0)</f>
        <v>0</v>
      </c>
      <c r="Q1051">
        <f t="shared" si="16"/>
        <v>1.7</v>
      </c>
      <c r="R1051" s="10">
        <f>IF('[1]Pizza Sales Calculations'!$G1051=TRUE, [1]Parameters!$B$17*'[1]Pizza Sales Calculations'!$L1051*2, 0)</f>
        <v>3.4944444449502043</v>
      </c>
      <c r="S1051" t="str">
        <f>IF(I1051&lt;[1]Parameters!$B$21,"TRUE","FALSE")</f>
        <v>TRUE</v>
      </c>
      <c r="T1051" s="5">
        <f>(I1051/[1]Parameters!$B$25)*60</f>
        <v>4.9364666702061397</v>
      </c>
      <c r="U1051" s="10">
        <f>IF(AND('[1]Pizza Sales Calculations'!G1051=TRUE,'[1]Pizza Sales Calculations'!S1051="TRUE"),T1051*[1]Parameters!$B$40*2,0)</f>
        <v>0.30814722311964104</v>
      </c>
      <c r="V1051">
        <f>INDEX([1]Parameters!$A$3:$C$5,MATCH('[1]Pizza Sales Calculations'!D1051,[1]Parameters!$A$3:$A$5,0),2)</f>
        <v>10</v>
      </c>
      <c r="W1051" t="e">
        <f>INDEX([1]Parameters!$A$3:$C$5,MATCH('[1]Pizza Sales Calculations'!E1051,[1]Parameters!$A$3:$A$5,0),2)</f>
        <v>#N/A</v>
      </c>
      <c r="X1051" t="e">
        <f>INDEX([1]Parameters!$A$3:$C$5,MATCH('[1]Pizza Sales Calculations'!F1051,[1]Parameters!$A$3:$A$5,0),2)</f>
        <v>#N/A</v>
      </c>
    </row>
    <row r="1052" spans="1:24" x14ac:dyDescent="0.3">
      <c r="A1052">
        <v>1051</v>
      </c>
      <c r="B1052" s="14">
        <v>42380.519548611112</v>
      </c>
      <c r="C1052" s="14">
        <v>42380.529976851853</v>
      </c>
      <c r="D1052" t="s">
        <v>4</v>
      </c>
      <c r="G1052" t="b">
        <v>0</v>
      </c>
      <c r="H1052">
        <v>70803</v>
      </c>
      <c r="I1052" s="5">
        <v>0</v>
      </c>
      <c r="J1052" s="14">
        <v>42380.532048611109</v>
      </c>
      <c r="K1052">
        <v>11.59</v>
      </c>
      <c r="L1052" s="5">
        <f>('[1]Pizza Sales Calculations'!$J1052-'[1]Pizza Sales Calculations'!$C1052)*24*60</f>
        <v>2.9833333287388086</v>
      </c>
      <c r="M1052">
        <f>COUNTA('[1]Pizza Sales Calculations'!$D1052:$F1052)</f>
        <v>1</v>
      </c>
      <c r="N1052">
        <f>IFERROR(VLOOKUP(D1052,[1]Parameters!$A$3:$C$5,3,FALSE),0)</f>
        <v>1.7</v>
      </c>
      <c r="O1052">
        <f>IFERROR(VLOOKUP(E1052,[1]Parameters!$A$3:$C$5,3,FALSE),0)</f>
        <v>0</v>
      </c>
      <c r="P1052">
        <f>IFERROR(VLOOKUP(F1052,[1]Parameters!$A$3:$C$5,3,FALSE),0)</f>
        <v>0</v>
      </c>
      <c r="Q1052">
        <f t="shared" si="16"/>
        <v>1.7</v>
      </c>
      <c r="R1052" s="10">
        <f>IF('[1]Pizza Sales Calculations'!$G1052=TRUE, [1]Parameters!$B$17*'[1]Pizza Sales Calculations'!$L1052*2, 0)</f>
        <v>0</v>
      </c>
      <c r="S1052" t="str">
        <f>IF(I1052&lt;[1]Parameters!$B$21,"TRUE","FALSE")</f>
        <v>TRUE</v>
      </c>
      <c r="T1052" s="5">
        <f>(I1052/[1]Parameters!$B$25)*60</f>
        <v>0</v>
      </c>
      <c r="U1052" s="10">
        <f>IF(AND('[1]Pizza Sales Calculations'!G1052=TRUE,'[1]Pizza Sales Calculations'!S1052="TRUE"),T1052*[1]Parameters!$B$40*2,0)</f>
        <v>0</v>
      </c>
      <c r="V1052">
        <f>INDEX([1]Parameters!$A$3:$C$5,MATCH('[1]Pizza Sales Calculations'!D1052,[1]Parameters!$A$3:$A$5,0),2)</f>
        <v>10</v>
      </c>
      <c r="W1052" t="e">
        <f>INDEX([1]Parameters!$A$3:$C$5,MATCH('[1]Pizza Sales Calculations'!E1052,[1]Parameters!$A$3:$A$5,0),2)</f>
        <v>#N/A</v>
      </c>
      <c r="X1052" t="e">
        <f>INDEX([1]Parameters!$A$3:$C$5,MATCH('[1]Pizza Sales Calculations'!F1052,[1]Parameters!$A$3:$A$5,0),2)</f>
        <v>#N/A</v>
      </c>
    </row>
    <row r="1053" spans="1:24" x14ac:dyDescent="0.3">
      <c r="A1053">
        <v>1052</v>
      </c>
      <c r="B1053" s="14">
        <v>42380.518761574072</v>
      </c>
      <c r="C1053" s="14">
        <v>42380.529189814813</v>
      </c>
      <c r="D1053" t="s">
        <v>4</v>
      </c>
      <c r="G1053" t="b">
        <v>1</v>
      </c>
      <c r="H1053">
        <v>70805</v>
      </c>
      <c r="I1053" s="5">
        <v>3.0995608183440901</v>
      </c>
      <c r="J1053" s="14">
        <v>42380.539942129632</v>
      </c>
      <c r="K1053">
        <v>11.59</v>
      </c>
      <c r="L1053" s="5">
        <f>('[1]Pizza Sales Calculations'!$J1053-'[1]Pizza Sales Calculations'!$C1053)*24*60</f>
        <v>15.483333338052034</v>
      </c>
      <c r="M1053">
        <f>COUNTA('[1]Pizza Sales Calculations'!$D1053:$F1053)</f>
        <v>1</v>
      </c>
      <c r="N1053">
        <f>IFERROR(VLOOKUP(D1053,[1]Parameters!$A$3:$C$5,3,FALSE),0)</f>
        <v>1.7</v>
      </c>
      <c r="O1053">
        <f>IFERROR(VLOOKUP(E1053,[1]Parameters!$A$3:$C$5,3,FALSE),0)</f>
        <v>0</v>
      </c>
      <c r="P1053">
        <f>IFERROR(VLOOKUP(F1053,[1]Parameters!$A$3:$C$5,3,FALSE),0)</f>
        <v>0</v>
      </c>
      <c r="Q1053">
        <f t="shared" si="16"/>
        <v>1.7</v>
      </c>
      <c r="R1053" s="10">
        <f>IF('[1]Pizza Sales Calculations'!$G1053=TRUE, [1]Parameters!$B$17*'[1]Pizza Sales Calculations'!$L1053*2, 0)</f>
        <v>4.3869444457814097</v>
      </c>
      <c r="S1053" t="str">
        <f>IF(I1053&lt;[1]Parameters!$B$21,"TRUE","FALSE")</f>
        <v>TRUE</v>
      </c>
      <c r="T1053" s="5">
        <f>(I1053/[1]Parameters!$B$25)*60</f>
        <v>6.1991216366881803</v>
      </c>
      <c r="U1053" s="10">
        <f>IF(AND('[1]Pizza Sales Calculations'!G1053=TRUE,'[1]Pizza Sales Calculations'!S1053="TRUE"),T1053*[1]Parameters!$B$40*2,0)</f>
        <v>0.38696546452051261</v>
      </c>
      <c r="V1053">
        <f>INDEX([1]Parameters!$A$3:$C$5,MATCH('[1]Pizza Sales Calculations'!D1053,[1]Parameters!$A$3:$A$5,0),2)</f>
        <v>10</v>
      </c>
      <c r="W1053" t="e">
        <f>INDEX([1]Parameters!$A$3:$C$5,MATCH('[1]Pizza Sales Calculations'!E1053,[1]Parameters!$A$3:$A$5,0),2)</f>
        <v>#N/A</v>
      </c>
      <c r="X1053" t="e">
        <f>INDEX([1]Parameters!$A$3:$C$5,MATCH('[1]Pizza Sales Calculations'!F1053,[1]Parameters!$A$3:$A$5,0),2)</f>
        <v>#N/A</v>
      </c>
    </row>
    <row r="1054" spans="1:24" x14ac:dyDescent="0.3">
      <c r="A1054">
        <v>1053</v>
      </c>
      <c r="B1054" s="14">
        <v>42380.468217592592</v>
      </c>
      <c r="C1054" s="14">
        <v>42380.478634259256</v>
      </c>
      <c r="D1054" t="s">
        <v>3</v>
      </c>
      <c r="G1054" t="b">
        <v>0</v>
      </c>
      <c r="H1054">
        <v>70805</v>
      </c>
      <c r="I1054" s="5">
        <v>0</v>
      </c>
      <c r="J1054" s="14">
        <v>42380.480706018519</v>
      </c>
      <c r="K1054">
        <v>7.99</v>
      </c>
      <c r="L1054" s="5">
        <f>('[1]Pizza Sales Calculations'!$J1054-'[1]Pizza Sales Calculations'!$C1054)*24*60</f>
        <v>2.9833333392161876</v>
      </c>
      <c r="M1054">
        <f>COUNTA('[1]Pizza Sales Calculations'!$D1054:$F1054)</f>
        <v>1</v>
      </c>
      <c r="N1054">
        <f>IFERROR(VLOOKUP(D1054,[1]Parameters!$A$3:$C$5,3,FALSE),0)</f>
        <v>1</v>
      </c>
      <c r="O1054">
        <f>IFERROR(VLOOKUP(E1054,[1]Parameters!$A$3:$C$5,3,FALSE),0)</f>
        <v>0</v>
      </c>
      <c r="P1054">
        <f>IFERROR(VLOOKUP(F1054,[1]Parameters!$A$3:$C$5,3,FALSE),0)</f>
        <v>0</v>
      </c>
      <c r="Q1054">
        <f t="shared" si="16"/>
        <v>1</v>
      </c>
      <c r="R1054" s="10">
        <f>IF('[1]Pizza Sales Calculations'!$G1054=TRUE, [1]Parameters!$B$17*'[1]Pizza Sales Calculations'!$L1054*2, 0)</f>
        <v>0</v>
      </c>
      <c r="S1054" t="str">
        <f>IF(I1054&lt;[1]Parameters!$B$21,"TRUE","FALSE")</f>
        <v>TRUE</v>
      </c>
      <c r="T1054" s="5">
        <f>(I1054/[1]Parameters!$B$25)*60</f>
        <v>0</v>
      </c>
      <c r="U1054" s="10">
        <f>IF(AND('[1]Pizza Sales Calculations'!G1054=TRUE,'[1]Pizza Sales Calculations'!S1054="TRUE"),T1054*[1]Parameters!$B$40*2,0)</f>
        <v>0</v>
      </c>
      <c r="V1054">
        <f>INDEX([1]Parameters!$A$3:$C$5,MATCH('[1]Pizza Sales Calculations'!D1054,[1]Parameters!$A$3:$A$5,0),2)</f>
        <v>7</v>
      </c>
      <c r="W1054" t="e">
        <f>INDEX([1]Parameters!$A$3:$C$5,MATCH('[1]Pizza Sales Calculations'!E1054,[1]Parameters!$A$3:$A$5,0),2)</f>
        <v>#N/A</v>
      </c>
      <c r="X1054" t="e">
        <f>INDEX([1]Parameters!$A$3:$C$5,MATCH('[1]Pizza Sales Calculations'!F1054,[1]Parameters!$A$3:$A$5,0),2)</f>
        <v>#N/A</v>
      </c>
    </row>
    <row r="1055" spans="1:24" x14ac:dyDescent="0.3">
      <c r="A1055">
        <v>1054</v>
      </c>
      <c r="B1055" s="14">
        <v>42380.47142361111</v>
      </c>
      <c r="C1055" s="14">
        <v>42380.481828703705</v>
      </c>
      <c r="D1055" t="s">
        <v>3</v>
      </c>
      <c r="E1055" t="s">
        <v>4</v>
      </c>
      <c r="G1055" t="b">
        <v>1</v>
      </c>
      <c r="H1055">
        <v>70803</v>
      </c>
      <c r="I1055" s="5">
        <v>2.9050772180635702</v>
      </c>
      <c r="J1055" s="14">
        <v>42380.491909722223</v>
      </c>
      <c r="K1055">
        <v>19.579999999999998</v>
      </c>
      <c r="L1055" s="5">
        <f>('[1]Pizza Sales Calculations'!$J1055-'[1]Pizza Sales Calculations'!$C1055)*24*60</f>
        <v>14.516666665440425</v>
      </c>
      <c r="M1055">
        <f>COUNTA('[1]Pizza Sales Calculations'!$D1055:$F1055)</f>
        <v>2</v>
      </c>
      <c r="N1055">
        <f>IFERROR(VLOOKUP(D1055,[1]Parameters!$A$3:$C$5,3,FALSE),0)</f>
        <v>1</v>
      </c>
      <c r="O1055">
        <f>IFERROR(VLOOKUP(E1055,[1]Parameters!$A$3:$C$5,3,FALSE),0)</f>
        <v>1.7</v>
      </c>
      <c r="P1055">
        <f>IFERROR(VLOOKUP(F1055,[1]Parameters!$A$3:$C$5,3,FALSE),0)</f>
        <v>0</v>
      </c>
      <c r="Q1055">
        <f t="shared" si="16"/>
        <v>2.7</v>
      </c>
      <c r="R1055" s="10">
        <f>IF('[1]Pizza Sales Calculations'!$G1055=TRUE, [1]Parameters!$B$17*'[1]Pizza Sales Calculations'!$L1055*2, 0)</f>
        <v>4.1130555552081205</v>
      </c>
      <c r="S1055" t="str">
        <f>IF(I1055&lt;[1]Parameters!$B$21,"TRUE","FALSE")</f>
        <v>TRUE</v>
      </c>
      <c r="T1055" s="5">
        <f>(I1055/[1]Parameters!$B$25)*60</f>
        <v>5.8101544361271404</v>
      </c>
      <c r="U1055" s="10">
        <f>IF(AND('[1]Pizza Sales Calculations'!G1055=TRUE,'[1]Pizza Sales Calculations'!S1055="TRUE"),T1055*[1]Parameters!$B$40*2,0)</f>
        <v>0.36268510961385225</v>
      </c>
      <c r="V1055">
        <f>INDEX([1]Parameters!$A$3:$C$5,MATCH('[1]Pizza Sales Calculations'!D1055,[1]Parameters!$A$3:$A$5,0),2)</f>
        <v>7</v>
      </c>
      <c r="W1055">
        <f>INDEX([1]Parameters!$A$3:$C$5,MATCH('[1]Pizza Sales Calculations'!E1055,[1]Parameters!$A$3:$A$5,0),2)</f>
        <v>10</v>
      </c>
      <c r="X1055" t="e">
        <f>INDEX([1]Parameters!$A$3:$C$5,MATCH('[1]Pizza Sales Calculations'!F1055,[1]Parameters!$A$3:$A$5,0),2)</f>
        <v>#N/A</v>
      </c>
    </row>
    <row r="1056" spans="1:24" x14ac:dyDescent="0.3">
      <c r="A1056">
        <v>1055</v>
      </c>
      <c r="B1056" s="14">
        <v>42380.546747685185</v>
      </c>
      <c r="C1056" s="14">
        <v>42380.557141203702</v>
      </c>
      <c r="D1056" t="s">
        <v>3</v>
      </c>
      <c r="G1056" t="b">
        <v>1</v>
      </c>
      <c r="H1056">
        <v>70805</v>
      </c>
      <c r="I1056" s="5">
        <v>3.31177772055617</v>
      </c>
      <c r="J1056" s="14">
        <v>42380.56863425926</v>
      </c>
      <c r="K1056">
        <v>7.99</v>
      </c>
      <c r="L1056" s="5">
        <f>('[1]Pizza Sales Calculations'!$J1056-'[1]Pizza Sales Calculations'!$C1056)*24*60</f>
        <v>16.550000002607703</v>
      </c>
      <c r="M1056">
        <f>COUNTA('[1]Pizza Sales Calculations'!$D1056:$F1056)</f>
        <v>1</v>
      </c>
      <c r="N1056">
        <f>IFERROR(VLOOKUP(D1056,[1]Parameters!$A$3:$C$5,3,FALSE),0)</f>
        <v>1</v>
      </c>
      <c r="O1056">
        <f>IFERROR(VLOOKUP(E1056,[1]Parameters!$A$3:$C$5,3,FALSE),0)</f>
        <v>0</v>
      </c>
      <c r="P1056">
        <f>IFERROR(VLOOKUP(F1056,[1]Parameters!$A$3:$C$5,3,FALSE),0)</f>
        <v>0</v>
      </c>
      <c r="Q1056">
        <f t="shared" si="16"/>
        <v>1</v>
      </c>
      <c r="R1056" s="10">
        <f>IF('[1]Pizza Sales Calculations'!$G1056=TRUE, [1]Parameters!$B$17*'[1]Pizza Sales Calculations'!$L1056*2, 0)</f>
        <v>4.6891666674055159</v>
      </c>
      <c r="S1056" t="str">
        <f>IF(I1056&lt;[1]Parameters!$B$21,"TRUE","FALSE")</f>
        <v>FALSE</v>
      </c>
      <c r="T1056" s="5">
        <f>(I1056/[1]Parameters!$B$25)*60</f>
        <v>6.6235554411123401</v>
      </c>
      <c r="U1056" s="10">
        <f>IF(AND('[1]Pizza Sales Calculations'!G1056=TRUE,'[1]Pizza Sales Calculations'!S1056="TRUE"),T1056*[1]Parameters!$B$40*2,0)</f>
        <v>0</v>
      </c>
      <c r="V1056">
        <f>INDEX([1]Parameters!$A$3:$C$5,MATCH('[1]Pizza Sales Calculations'!D1056,[1]Parameters!$A$3:$A$5,0),2)</f>
        <v>7</v>
      </c>
      <c r="W1056" t="e">
        <f>INDEX([1]Parameters!$A$3:$C$5,MATCH('[1]Pizza Sales Calculations'!E1056,[1]Parameters!$A$3:$A$5,0),2)</f>
        <v>#N/A</v>
      </c>
      <c r="X1056" t="e">
        <f>INDEX([1]Parameters!$A$3:$C$5,MATCH('[1]Pizza Sales Calculations'!F1056,[1]Parameters!$A$3:$A$5,0),2)</f>
        <v>#N/A</v>
      </c>
    </row>
    <row r="1057" spans="1:24" x14ac:dyDescent="0.3">
      <c r="A1057">
        <v>1056</v>
      </c>
      <c r="B1057" s="14">
        <v>42380.449780092589</v>
      </c>
      <c r="C1057" s="14">
        <v>42380.460196759261</v>
      </c>
      <c r="D1057" t="s">
        <v>4</v>
      </c>
      <c r="G1057" t="b">
        <v>1</v>
      </c>
      <c r="H1057">
        <v>70808</v>
      </c>
      <c r="I1057" s="5">
        <v>3.2433501561889302</v>
      </c>
      <c r="J1057" s="14">
        <v>42380.471458333333</v>
      </c>
      <c r="K1057">
        <v>11.59</v>
      </c>
      <c r="L1057" s="5">
        <f>('[1]Pizza Sales Calculations'!$J1057-'[1]Pizza Sales Calculations'!$C1057)*24*60</f>
        <v>16.216666664695367</v>
      </c>
      <c r="M1057">
        <f>COUNTA('[1]Pizza Sales Calculations'!$D1057:$F1057)</f>
        <v>1</v>
      </c>
      <c r="N1057">
        <f>IFERROR(VLOOKUP(D1057,[1]Parameters!$A$3:$C$5,3,FALSE),0)</f>
        <v>1.7</v>
      </c>
      <c r="O1057">
        <f>IFERROR(VLOOKUP(E1057,[1]Parameters!$A$3:$C$5,3,FALSE),0)</f>
        <v>0</v>
      </c>
      <c r="P1057">
        <f>IFERROR(VLOOKUP(F1057,[1]Parameters!$A$3:$C$5,3,FALSE),0)</f>
        <v>0</v>
      </c>
      <c r="Q1057">
        <f t="shared" si="16"/>
        <v>1.7</v>
      </c>
      <c r="R1057" s="10">
        <f>IF('[1]Pizza Sales Calculations'!$G1057=TRUE, [1]Parameters!$B$17*'[1]Pizza Sales Calculations'!$L1057*2, 0)</f>
        <v>4.5947222216636874</v>
      </c>
      <c r="S1057" t="str">
        <f>IF(I1057&lt;[1]Parameters!$B$21,"TRUE","FALSE")</f>
        <v>FALSE</v>
      </c>
      <c r="T1057" s="5">
        <f>(I1057/[1]Parameters!$B$25)*60</f>
        <v>6.4867003123778604</v>
      </c>
      <c r="U1057" s="10">
        <f>IF(AND('[1]Pizza Sales Calculations'!G1057=TRUE,'[1]Pizza Sales Calculations'!S1057="TRUE"),T1057*[1]Parameters!$B$40*2,0)</f>
        <v>0</v>
      </c>
      <c r="V1057">
        <f>INDEX([1]Parameters!$A$3:$C$5,MATCH('[1]Pizza Sales Calculations'!D1057,[1]Parameters!$A$3:$A$5,0),2)</f>
        <v>10</v>
      </c>
      <c r="W1057" t="e">
        <f>INDEX([1]Parameters!$A$3:$C$5,MATCH('[1]Pizza Sales Calculations'!E1057,[1]Parameters!$A$3:$A$5,0),2)</f>
        <v>#N/A</v>
      </c>
      <c r="X1057" t="e">
        <f>INDEX([1]Parameters!$A$3:$C$5,MATCH('[1]Pizza Sales Calculations'!F1057,[1]Parameters!$A$3:$A$5,0),2)</f>
        <v>#N/A</v>
      </c>
    </row>
    <row r="1058" spans="1:24" x14ac:dyDescent="0.3">
      <c r="A1058">
        <v>1057</v>
      </c>
      <c r="B1058" s="14">
        <v>42380.52039351852</v>
      </c>
      <c r="C1058" s="14">
        <v>42380.530798611115</v>
      </c>
      <c r="D1058" t="s">
        <v>4</v>
      </c>
      <c r="G1058" t="b">
        <v>1</v>
      </c>
      <c r="H1058">
        <v>70803</v>
      </c>
      <c r="I1058" s="5">
        <v>3.3767469409949902</v>
      </c>
      <c r="J1058" s="14">
        <v>42380.542523148149</v>
      </c>
      <c r="K1058">
        <v>11.59</v>
      </c>
      <c r="L1058" s="5">
        <f>('[1]Pizza Sales Calculations'!$J1058-'[1]Pizza Sales Calculations'!$C1058)*24*60</f>
        <v>16.88333333004266</v>
      </c>
      <c r="M1058">
        <f>COUNTA('[1]Pizza Sales Calculations'!$D1058:$F1058)</f>
        <v>1</v>
      </c>
      <c r="N1058">
        <f>IFERROR(VLOOKUP(D1058,[1]Parameters!$A$3:$C$5,3,FALSE),0)</f>
        <v>1.7</v>
      </c>
      <c r="O1058">
        <f>IFERROR(VLOOKUP(E1058,[1]Parameters!$A$3:$C$5,3,FALSE),0)</f>
        <v>0</v>
      </c>
      <c r="P1058">
        <f>IFERROR(VLOOKUP(F1058,[1]Parameters!$A$3:$C$5,3,FALSE),0)</f>
        <v>0</v>
      </c>
      <c r="Q1058">
        <f t="shared" si="16"/>
        <v>1.7</v>
      </c>
      <c r="R1058" s="10">
        <f>IF('[1]Pizza Sales Calculations'!$G1058=TRUE, [1]Parameters!$B$17*'[1]Pizza Sales Calculations'!$L1058*2, 0)</f>
        <v>4.7836111101787537</v>
      </c>
      <c r="S1058" t="str">
        <f>IF(I1058&lt;[1]Parameters!$B$21,"TRUE","FALSE")</f>
        <v>FALSE</v>
      </c>
      <c r="T1058" s="5">
        <f>(I1058/[1]Parameters!$B$25)*60</f>
        <v>6.7534938819899804</v>
      </c>
      <c r="U1058" s="10">
        <f>IF(AND('[1]Pizza Sales Calculations'!G1058=TRUE,'[1]Pizza Sales Calculations'!S1058="TRUE"),T1058*[1]Parameters!$B$40*2,0)</f>
        <v>0</v>
      </c>
      <c r="V1058">
        <f>INDEX([1]Parameters!$A$3:$C$5,MATCH('[1]Pizza Sales Calculations'!D1058,[1]Parameters!$A$3:$A$5,0),2)</f>
        <v>10</v>
      </c>
      <c r="W1058" t="e">
        <f>INDEX([1]Parameters!$A$3:$C$5,MATCH('[1]Pizza Sales Calculations'!E1058,[1]Parameters!$A$3:$A$5,0),2)</f>
        <v>#N/A</v>
      </c>
      <c r="X1058" t="e">
        <f>INDEX([1]Parameters!$A$3:$C$5,MATCH('[1]Pizza Sales Calculations'!F1058,[1]Parameters!$A$3:$A$5,0),2)</f>
        <v>#N/A</v>
      </c>
    </row>
    <row r="1059" spans="1:24" x14ac:dyDescent="0.3">
      <c r="A1059">
        <v>1058</v>
      </c>
      <c r="B1059" s="14">
        <v>42380.532592592594</v>
      </c>
      <c r="C1059" s="14">
        <v>42380.542974537035</v>
      </c>
      <c r="D1059" t="s">
        <v>5</v>
      </c>
      <c r="G1059" t="b">
        <v>1</v>
      </c>
      <c r="H1059">
        <v>70805</v>
      </c>
      <c r="I1059" s="5">
        <v>3.02554281507425</v>
      </c>
      <c r="J1059" s="14">
        <v>42380.553472222222</v>
      </c>
      <c r="K1059">
        <v>15.35</v>
      </c>
      <c r="L1059" s="5">
        <f>('[1]Pizza Sales Calculations'!$J1059-'[1]Pizza Sales Calculations'!$C1059)*24*60</f>
        <v>15.116666669491678</v>
      </c>
      <c r="M1059">
        <f>COUNTA('[1]Pizza Sales Calculations'!$D1059:$F1059)</f>
        <v>1</v>
      </c>
      <c r="N1059">
        <f>IFERROR(VLOOKUP(D1059,[1]Parameters!$A$3:$C$5,3,FALSE),0)</f>
        <v>2.2999999999999998</v>
      </c>
      <c r="O1059">
        <f>IFERROR(VLOOKUP(E1059,[1]Parameters!$A$3:$C$5,3,FALSE),0)</f>
        <v>0</v>
      </c>
      <c r="P1059">
        <f>IFERROR(VLOOKUP(F1059,[1]Parameters!$A$3:$C$5,3,FALSE),0)</f>
        <v>0</v>
      </c>
      <c r="Q1059">
        <f t="shared" si="16"/>
        <v>2.2999999999999998</v>
      </c>
      <c r="R1059" s="10">
        <f>IF('[1]Pizza Sales Calculations'!$G1059=TRUE, [1]Parameters!$B$17*'[1]Pizza Sales Calculations'!$L1059*2, 0)</f>
        <v>4.2830555563559756</v>
      </c>
      <c r="S1059" t="str">
        <f>IF(I1059&lt;[1]Parameters!$B$21,"TRUE","FALSE")</f>
        <v>TRUE</v>
      </c>
      <c r="T1059" s="5">
        <f>(I1059/[1]Parameters!$B$25)*60</f>
        <v>6.0510856301485001</v>
      </c>
      <c r="U1059" s="10">
        <f>IF(AND('[1]Pizza Sales Calculations'!G1059=TRUE,'[1]Pizza Sales Calculations'!S1059="TRUE"),T1059*[1]Parameters!$B$40*2,0)</f>
        <v>0.37772466793775789</v>
      </c>
      <c r="V1059">
        <f>INDEX([1]Parameters!$A$3:$C$5,MATCH('[1]Pizza Sales Calculations'!D1059,[1]Parameters!$A$3:$A$5,0),2)</f>
        <v>14</v>
      </c>
      <c r="W1059" t="e">
        <f>INDEX([1]Parameters!$A$3:$C$5,MATCH('[1]Pizza Sales Calculations'!E1059,[1]Parameters!$A$3:$A$5,0),2)</f>
        <v>#N/A</v>
      </c>
      <c r="X1059" t="e">
        <f>INDEX([1]Parameters!$A$3:$C$5,MATCH('[1]Pizza Sales Calculations'!F1059,[1]Parameters!$A$3:$A$5,0),2)</f>
        <v>#N/A</v>
      </c>
    </row>
    <row r="1060" spans="1:24" x14ac:dyDescent="0.3">
      <c r="A1060">
        <v>1059</v>
      </c>
      <c r="B1060" s="14">
        <v>42380.482523148145</v>
      </c>
      <c r="C1060" s="14">
        <v>42380.492939814816</v>
      </c>
      <c r="D1060" t="s">
        <v>5</v>
      </c>
      <c r="G1060" t="b">
        <v>0</v>
      </c>
      <c r="H1060">
        <v>70804</v>
      </c>
      <c r="I1060" s="5">
        <v>0</v>
      </c>
      <c r="J1060" s="14">
        <v>42380.495011574072</v>
      </c>
      <c r="K1060">
        <v>15.35</v>
      </c>
      <c r="L1060" s="5">
        <f>('[1]Pizza Sales Calculations'!$J1060-'[1]Pizza Sales Calculations'!$C1060)*24*60</f>
        <v>2.9833333287388086</v>
      </c>
      <c r="M1060">
        <f>COUNTA('[1]Pizza Sales Calculations'!$D1060:$F1060)</f>
        <v>1</v>
      </c>
      <c r="N1060">
        <f>IFERROR(VLOOKUP(D1060,[1]Parameters!$A$3:$C$5,3,FALSE),0)</f>
        <v>2.2999999999999998</v>
      </c>
      <c r="O1060">
        <f>IFERROR(VLOOKUP(E1060,[1]Parameters!$A$3:$C$5,3,FALSE),0)</f>
        <v>0</v>
      </c>
      <c r="P1060">
        <f>IFERROR(VLOOKUP(F1060,[1]Parameters!$A$3:$C$5,3,FALSE),0)</f>
        <v>0</v>
      </c>
      <c r="Q1060">
        <f t="shared" si="16"/>
        <v>2.2999999999999998</v>
      </c>
      <c r="R1060" s="10">
        <f>IF('[1]Pizza Sales Calculations'!$G1060=TRUE, [1]Parameters!$B$17*'[1]Pizza Sales Calculations'!$L1060*2, 0)</f>
        <v>0</v>
      </c>
      <c r="S1060" t="str">
        <f>IF(I1060&lt;[1]Parameters!$B$21,"TRUE","FALSE")</f>
        <v>TRUE</v>
      </c>
      <c r="T1060" s="5">
        <f>(I1060/[1]Parameters!$B$25)*60</f>
        <v>0</v>
      </c>
      <c r="U1060" s="10">
        <f>IF(AND('[1]Pizza Sales Calculations'!G1060=TRUE,'[1]Pizza Sales Calculations'!S1060="TRUE"),T1060*[1]Parameters!$B$40*2,0)</f>
        <v>0</v>
      </c>
      <c r="V1060">
        <f>INDEX([1]Parameters!$A$3:$C$5,MATCH('[1]Pizza Sales Calculations'!D1060,[1]Parameters!$A$3:$A$5,0),2)</f>
        <v>14</v>
      </c>
      <c r="W1060" t="e">
        <f>INDEX([1]Parameters!$A$3:$C$5,MATCH('[1]Pizza Sales Calculations'!E1060,[1]Parameters!$A$3:$A$5,0),2)</f>
        <v>#N/A</v>
      </c>
      <c r="X1060" t="e">
        <f>INDEX([1]Parameters!$A$3:$C$5,MATCH('[1]Pizza Sales Calculations'!F1060,[1]Parameters!$A$3:$A$5,0),2)</f>
        <v>#N/A</v>
      </c>
    </row>
    <row r="1061" spans="1:24" x14ac:dyDescent="0.3">
      <c r="A1061">
        <v>1060</v>
      </c>
      <c r="B1061" s="14">
        <v>42380.575023148151</v>
      </c>
      <c r="C1061" s="14">
        <v>42380.585439814815</v>
      </c>
      <c r="D1061" t="s">
        <v>3</v>
      </c>
      <c r="E1061" t="s">
        <v>5</v>
      </c>
      <c r="G1061" t="b">
        <v>0</v>
      </c>
      <c r="H1061">
        <v>70805</v>
      </c>
      <c r="I1061" s="5">
        <v>0</v>
      </c>
      <c r="J1061" s="14">
        <v>42380.587523148148</v>
      </c>
      <c r="K1061">
        <v>23.34</v>
      </c>
      <c r="L1061" s="5">
        <f>('[1]Pizza Sales Calculations'!$J1061-'[1]Pizza Sales Calculations'!$C1061)*24*60</f>
        <v>2.9999999993015081</v>
      </c>
      <c r="M1061">
        <f>COUNTA('[1]Pizza Sales Calculations'!$D1061:$F1061)</f>
        <v>2</v>
      </c>
      <c r="N1061">
        <f>IFERROR(VLOOKUP(D1061,[1]Parameters!$A$3:$C$5,3,FALSE),0)</f>
        <v>1</v>
      </c>
      <c r="O1061">
        <f>IFERROR(VLOOKUP(E1061,[1]Parameters!$A$3:$C$5,3,FALSE),0)</f>
        <v>2.2999999999999998</v>
      </c>
      <c r="P1061">
        <f>IFERROR(VLOOKUP(F1061,[1]Parameters!$A$3:$C$5,3,FALSE),0)</f>
        <v>0</v>
      </c>
      <c r="Q1061">
        <f t="shared" si="16"/>
        <v>3.3</v>
      </c>
      <c r="R1061" s="10">
        <f>IF('[1]Pizza Sales Calculations'!$G1061=TRUE, [1]Parameters!$B$17*'[1]Pizza Sales Calculations'!$L1061*2, 0)</f>
        <v>0</v>
      </c>
      <c r="S1061" t="str">
        <f>IF(I1061&lt;[1]Parameters!$B$21,"TRUE","FALSE")</f>
        <v>TRUE</v>
      </c>
      <c r="T1061" s="5">
        <f>(I1061/[1]Parameters!$B$25)*60</f>
        <v>0</v>
      </c>
      <c r="U1061" s="10">
        <f>IF(AND('[1]Pizza Sales Calculations'!G1061=TRUE,'[1]Pizza Sales Calculations'!S1061="TRUE"),T1061*[1]Parameters!$B$40*2,0)</f>
        <v>0</v>
      </c>
      <c r="V1061">
        <f>INDEX([1]Parameters!$A$3:$C$5,MATCH('[1]Pizza Sales Calculations'!D1061,[1]Parameters!$A$3:$A$5,0),2)</f>
        <v>7</v>
      </c>
      <c r="W1061">
        <f>INDEX([1]Parameters!$A$3:$C$5,MATCH('[1]Pizza Sales Calculations'!E1061,[1]Parameters!$A$3:$A$5,0),2)</f>
        <v>14</v>
      </c>
      <c r="X1061" t="e">
        <f>INDEX([1]Parameters!$A$3:$C$5,MATCH('[1]Pizza Sales Calculations'!F1061,[1]Parameters!$A$3:$A$5,0),2)</f>
        <v>#N/A</v>
      </c>
    </row>
    <row r="1062" spans="1:24" x14ac:dyDescent="0.3">
      <c r="A1062">
        <v>1061</v>
      </c>
      <c r="B1062" s="14">
        <v>42380.50644675926</v>
      </c>
      <c r="C1062" s="14">
        <v>42380.516851851855</v>
      </c>
      <c r="D1062" t="s">
        <v>4</v>
      </c>
      <c r="G1062" t="b">
        <v>1</v>
      </c>
      <c r="H1062">
        <v>70803</v>
      </c>
      <c r="I1062" s="5">
        <v>2.7736722899243298</v>
      </c>
      <c r="J1062" s="14">
        <v>42380.52648148148</v>
      </c>
      <c r="K1062">
        <v>11.59</v>
      </c>
      <c r="L1062" s="5">
        <f>('[1]Pizza Sales Calculations'!$J1062-'[1]Pizza Sales Calculations'!$C1062)*24*60</f>
        <v>13.866666660178453</v>
      </c>
      <c r="M1062">
        <f>COUNTA('[1]Pizza Sales Calculations'!$D1062:$F1062)</f>
        <v>1</v>
      </c>
      <c r="N1062">
        <f>IFERROR(VLOOKUP(D1062,[1]Parameters!$A$3:$C$5,3,FALSE),0)</f>
        <v>1.7</v>
      </c>
      <c r="O1062">
        <f>IFERROR(VLOOKUP(E1062,[1]Parameters!$A$3:$C$5,3,FALSE),0)</f>
        <v>0</v>
      </c>
      <c r="P1062">
        <f>IFERROR(VLOOKUP(F1062,[1]Parameters!$A$3:$C$5,3,FALSE),0)</f>
        <v>0</v>
      </c>
      <c r="Q1062">
        <f t="shared" si="16"/>
        <v>1.7</v>
      </c>
      <c r="R1062" s="10">
        <f>IF('[1]Pizza Sales Calculations'!$G1062=TRUE, [1]Parameters!$B$17*'[1]Pizza Sales Calculations'!$L1062*2, 0)</f>
        <v>3.9288888870505616</v>
      </c>
      <c r="S1062" t="str">
        <f>IF(I1062&lt;[1]Parameters!$B$21,"TRUE","FALSE")</f>
        <v>TRUE</v>
      </c>
      <c r="T1062" s="5">
        <f>(I1062/[1]Parameters!$B$25)*60</f>
        <v>5.5473445798486596</v>
      </c>
      <c r="U1062" s="10">
        <f>IF(AND('[1]Pizza Sales Calculations'!G1062=TRUE,'[1]Pizza Sales Calculations'!S1062="TRUE"),T1062*[1]Parameters!$B$40*2,0)</f>
        <v>0.34627982769237947</v>
      </c>
      <c r="V1062">
        <f>INDEX([1]Parameters!$A$3:$C$5,MATCH('[1]Pizza Sales Calculations'!D1062,[1]Parameters!$A$3:$A$5,0),2)</f>
        <v>10</v>
      </c>
      <c r="W1062" t="e">
        <f>INDEX([1]Parameters!$A$3:$C$5,MATCH('[1]Pizza Sales Calculations'!E1062,[1]Parameters!$A$3:$A$5,0),2)</f>
        <v>#N/A</v>
      </c>
      <c r="X1062" t="e">
        <f>INDEX([1]Parameters!$A$3:$C$5,MATCH('[1]Pizza Sales Calculations'!F1062,[1]Parameters!$A$3:$A$5,0),2)</f>
        <v>#N/A</v>
      </c>
    </row>
    <row r="1063" spans="1:24" x14ac:dyDescent="0.3">
      <c r="A1063">
        <v>1062</v>
      </c>
      <c r="B1063" s="14">
        <v>42380.481851851851</v>
      </c>
      <c r="C1063" s="14">
        <v>42380.492291666669</v>
      </c>
      <c r="D1063" t="s">
        <v>5</v>
      </c>
      <c r="G1063" t="b">
        <v>0</v>
      </c>
      <c r="H1063">
        <v>70805</v>
      </c>
      <c r="I1063" s="5">
        <v>0</v>
      </c>
      <c r="J1063" s="14">
        <v>42380.494375000002</v>
      </c>
      <c r="K1063">
        <v>15.35</v>
      </c>
      <c r="L1063" s="5">
        <f>('[1]Pizza Sales Calculations'!$J1063-'[1]Pizza Sales Calculations'!$C1063)*24*60</f>
        <v>2.9999999993015081</v>
      </c>
      <c r="M1063">
        <f>COUNTA('[1]Pizza Sales Calculations'!$D1063:$F1063)</f>
        <v>1</v>
      </c>
      <c r="N1063">
        <f>IFERROR(VLOOKUP(D1063,[1]Parameters!$A$3:$C$5,3,FALSE),0)</f>
        <v>2.2999999999999998</v>
      </c>
      <c r="O1063">
        <f>IFERROR(VLOOKUP(E1063,[1]Parameters!$A$3:$C$5,3,FALSE),0)</f>
        <v>0</v>
      </c>
      <c r="P1063">
        <f>IFERROR(VLOOKUP(F1063,[1]Parameters!$A$3:$C$5,3,FALSE),0)</f>
        <v>0</v>
      </c>
      <c r="Q1063">
        <f t="shared" si="16"/>
        <v>2.2999999999999998</v>
      </c>
      <c r="R1063" s="10">
        <f>IF('[1]Pizza Sales Calculations'!$G1063=TRUE, [1]Parameters!$B$17*'[1]Pizza Sales Calculations'!$L1063*2, 0)</f>
        <v>0</v>
      </c>
      <c r="S1063" t="str">
        <f>IF(I1063&lt;[1]Parameters!$B$21,"TRUE","FALSE")</f>
        <v>TRUE</v>
      </c>
      <c r="T1063" s="5">
        <f>(I1063/[1]Parameters!$B$25)*60</f>
        <v>0</v>
      </c>
      <c r="U1063" s="10">
        <f>IF(AND('[1]Pizza Sales Calculations'!G1063=TRUE,'[1]Pizza Sales Calculations'!S1063="TRUE"),T1063*[1]Parameters!$B$40*2,0)</f>
        <v>0</v>
      </c>
      <c r="V1063">
        <f>INDEX([1]Parameters!$A$3:$C$5,MATCH('[1]Pizza Sales Calculations'!D1063,[1]Parameters!$A$3:$A$5,0),2)</f>
        <v>14</v>
      </c>
      <c r="W1063" t="e">
        <f>INDEX([1]Parameters!$A$3:$C$5,MATCH('[1]Pizza Sales Calculations'!E1063,[1]Parameters!$A$3:$A$5,0),2)</f>
        <v>#N/A</v>
      </c>
      <c r="X1063" t="e">
        <f>INDEX([1]Parameters!$A$3:$C$5,MATCH('[1]Pizza Sales Calculations'!F1063,[1]Parameters!$A$3:$A$5,0),2)</f>
        <v>#N/A</v>
      </c>
    </row>
    <row r="1064" spans="1:24" x14ac:dyDescent="0.3">
      <c r="A1064">
        <v>1063</v>
      </c>
      <c r="B1064" s="14">
        <v>42380.521898148145</v>
      </c>
      <c r="C1064" s="14">
        <v>42380.53229166667</v>
      </c>
      <c r="D1064" t="s">
        <v>3</v>
      </c>
      <c r="E1064" t="s">
        <v>4</v>
      </c>
      <c r="G1064" t="b">
        <v>0</v>
      </c>
      <c r="H1064">
        <v>70806</v>
      </c>
      <c r="I1064" s="5">
        <v>0</v>
      </c>
      <c r="J1064" s="14">
        <v>42380.534375000003</v>
      </c>
      <c r="K1064">
        <v>19.579999999999998</v>
      </c>
      <c r="L1064" s="5">
        <f>('[1]Pizza Sales Calculations'!$J1064-'[1]Pizza Sales Calculations'!$C1064)*24*60</f>
        <v>2.9999999993015081</v>
      </c>
      <c r="M1064">
        <f>COUNTA('[1]Pizza Sales Calculations'!$D1064:$F1064)</f>
        <v>2</v>
      </c>
      <c r="N1064">
        <f>IFERROR(VLOOKUP(D1064,[1]Parameters!$A$3:$C$5,3,FALSE),0)</f>
        <v>1</v>
      </c>
      <c r="O1064">
        <f>IFERROR(VLOOKUP(E1064,[1]Parameters!$A$3:$C$5,3,FALSE),0)</f>
        <v>1.7</v>
      </c>
      <c r="P1064">
        <f>IFERROR(VLOOKUP(F1064,[1]Parameters!$A$3:$C$5,3,FALSE),0)</f>
        <v>0</v>
      </c>
      <c r="Q1064">
        <f t="shared" si="16"/>
        <v>2.7</v>
      </c>
      <c r="R1064" s="10">
        <f>IF('[1]Pizza Sales Calculations'!$G1064=TRUE, [1]Parameters!$B$17*'[1]Pizza Sales Calculations'!$L1064*2, 0)</f>
        <v>0</v>
      </c>
      <c r="S1064" t="str">
        <f>IF(I1064&lt;[1]Parameters!$B$21,"TRUE","FALSE")</f>
        <v>TRUE</v>
      </c>
      <c r="T1064" s="5">
        <f>(I1064/[1]Parameters!$B$25)*60</f>
        <v>0</v>
      </c>
      <c r="U1064" s="10">
        <f>IF(AND('[1]Pizza Sales Calculations'!G1064=TRUE,'[1]Pizza Sales Calculations'!S1064="TRUE"),T1064*[1]Parameters!$B$40*2,0)</f>
        <v>0</v>
      </c>
      <c r="V1064">
        <f>INDEX([1]Parameters!$A$3:$C$5,MATCH('[1]Pizza Sales Calculations'!D1064,[1]Parameters!$A$3:$A$5,0),2)</f>
        <v>7</v>
      </c>
      <c r="W1064">
        <f>INDEX([1]Parameters!$A$3:$C$5,MATCH('[1]Pizza Sales Calculations'!E1064,[1]Parameters!$A$3:$A$5,0),2)</f>
        <v>10</v>
      </c>
      <c r="X1064" t="e">
        <f>INDEX([1]Parameters!$A$3:$C$5,MATCH('[1]Pizza Sales Calculations'!F1064,[1]Parameters!$A$3:$A$5,0),2)</f>
        <v>#N/A</v>
      </c>
    </row>
    <row r="1065" spans="1:24" x14ac:dyDescent="0.3">
      <c r="A1065">
        <v>1064</v>
      </c>
      <c r="B1065" s="14">
        <v>42380.480185185188</v>
      </c>
      <c r="C1065" s="14">
        <v>42380.490601851852</v>
      </c>
      <c r="D1065" t="s">
        <v>4</v>
      </c>
      <c r="G1065" t="b">
        <v>1</v>
      </c>
      <c r="H1065">
        <v>70805</v>
      </c>
      <c r="I1065" s="5">
        <v>5.1963751196643804</v>
      </c>
      <c r="J1065" s="14">
        <v>42380.508634259262</v>
      </c>
      <c r="K1065">
        <v>11.59</v>
      </c>
      <c r="L1065" s="5">
        <f>('[1]Pizza Sales Calculations'!$J1065-'[1]Pizza Sales Calculations'!$C1065)*24*60</f>
        <v>25.966666670283303</v>
      </c>
      <c r="M1065">
        <f>COUNTA('[1]Pizza Sales Calculations'!$D1065:$F1065)</f>
        <v>1</v>
      </c>
      <c r="N1065">
        <f>IFERROR(VLOOKUP(D1065,[1]Parameters!$A$3:$C$5,3,FALSE),0)</f>
        <v>1.7</v>
      </c>
      <c r="O1065">
        <f>IFERROR(VLOOKUP(E1065,[1]Parameters!$A$3:$C$5,3,FALSE),0)</f>
        <v>0</v>
      </c>
      <c r="P1065">
        <f>IFERROR(VLOOKUP(F1065,[1]Parameters!$A$3:$C$5,3,FALSE),0)</f>
        <v>0</v>
      </c>
      <c r="Q1065">
        <f t="shared" si="16"/>
        <v>1.7</v>
      </c>
      <c r="R1065" s="10">
        <f>IF('[1]Pizza Sales Calculations'!$G1065=TRUE, [1]Parameters!$B$17*'[1]Pizza Sales Calculations'!$L1065*2, 0)</f>
        <v>7.3572222232469358</v>
      </c>
      <c r="S1065" t="str">
        <f>IF(I1065&lt;[1]Parameters!$B$21,"TRUE","FALSE")</f>
        <v>FALSE</v>
      </c>
      <c r="T1065" s="5">
        <f>(I1065/[1]Parameters!$B$25)*60</f>
        <v>10.392750239328761</v>
      </c>
      <c r="U1065" s="10">
        <f>IF(AND('[1]Pizza Sales Calculations'!G1065=TRUE,'[1]Pizza Sales Calculations'!S1065="TRUE"),T1065*[1]Parameters!$B$40*2,0)</f>
        <v>0</v>
      </c>
      <c r="V1065">
        <f>INDEX([1]Parameters!$A$3:$C$5,MATCH('[1]Pizza Sales Calculations'!D1065,[1]Parameters!$A$3:$A$5,0),2)</f>
        <v>10</v>
      </c>
      <c r="W1065" t="e">
        <f>INDEX([1]Parameters!$A$3:$C$5,MATCH('[1]Pizza Sales Calculations'!E1065,[1]Parameters!$A$3:$A$5,0),2)</f>
        <v>#N/A</v>
      </c>
      <c r="X1065" t="e">
        <f>INDEX([1]Parameters!$A$3:$C$5,MATCH('[1]Pizza Sales Calculations'!F1065,[1]Parameters!$A$3:$A$5,0),2)</f>
        <v>#N/A</v>
      </c>
    </row>
    <row r="1066" spans="1:24" x14ac:dyDescent="0.3">
      <c r="A1066">
        <v>1065</v>
      </c>
      <c r="B1066" s="14">
        <v>42380.507974537039</v>
      </c>
      <c r="C1066" s="14">
        <v>42380.518391203703</v>
      </c>
      <c r="D1066" t="s">
        <v>4</v>
      </c>
      <c r="G1066" t="b">
        <v>0</v>
      </c>
      <c r="H1066">
        <v>70805</v>
      </c>
      <c r="I1066" s="5">
        <v>0</v>
      </c>
      <c r="J1066" s="14">
        <v>42380.520451388889</v>
      </c>
      <c r="K1066">
        <v>11.59</v>
      </c>
      <c r="L1066" s="5">
        <f>('[1]Pizza Sales Calculations'!$J1066-'[1]Pizza Sales Calculations'!$C1066)*24*60</f>
        <v>2.9666666686534882</v>
      </c>
      <c r="M1066">
        <f>COUNTA('[1]Pizza Sales Calculations'!$D1066:$F1066)</f>
        <v>1</v>
      </c>
      <c r="N1066">
        <f>IFERROR(VLOOKUP(D1066,[1]Parameters!$A$3:$C$5,3,FALSE),0)</f>
        <v>1.7</v>
      </c>
      <c r="O1066">
        <f>IFERROR(VLOOKUP(E1066,[1]Parameters!$A$3:$C$5,3,FALSE),0)</f>
        <v>0</v>
      </c>
      <c r="P1066">
        <f>IFERROR(VLOOKUP(F1066,[1]Parameters!$A$3:$C$5,3,FALSE),0)</f>
        <v>0</v>
      </c>
      <c r="Q1066">
        <f t="shared" si="16"/>
        <v>1.7</v>
      </c>
      <c r="R1066" s="10">
        <f>IF('[1]Pizza Sales Calculations'!$G1066=TRUE, [1]Parameters!$B$17*'[1]Pizza Sales Calculations'!$L1066*2, 0)</f>
        <v>0</v>
      </c>
      <c r="S1066" t="str">
        <f>IF(I1066&lt;[1]Parameters!$B$21,"TRUE","FALSE")</f>
        <v>TRUE</v>
      </c>
      <c r="T1066" s="5">
        <f>(I1066/[1]Parameters!$B$25)*60</f>
        <v>0</v>
      </c>
      <c r="U1066" s="10">
        <f>IF(AND('[1]Pizza Sales Calculations'!G1066=TRUE,'[1]Pizza Sales Calculations'!S1066="TRUE"),T1066*[1]Parameters!$B$40*2,0)</f>
        <v>0</v>
      </c>
      <c r="V1066">
        <f>INDEX([1]Parameters!$A$3:$C$5,MATCH('[1]Pizza Sales Calculations'!D1066,[1]Parameters!$A$3:$A$5,0),2)</f>
        <v>10</v>
      </c>
      <c r="W1066" t="e">
        <f>INDEX([1]Parameters!$A$3:$C$5,MATCH('[1]Pizza Sales Calculations'!E1066,[1]Parameters!$A$3:$A$5,0),2)</f>
        <v>#N/A</v>
      </c>
      <c r="X1066" t="e">
        <f>INDEX([1]Parameters!$A$3:$C$5,MATCH('[1]Pizza Sales Calculations'!F1066,[1]Parameters!$A$3:$A$5,0),2)</f>
        <v>#N/A</v>
      </c>
    </row>
    <row r="1067" spans="1:24" x14ac:dyDescent="0.3">
      <c r="A1067">
        <v>1066</v>
      </c>
      <c r="B1067" s="14">
        <v>42380.4452662037</v>
      </c>
      <c r="C1067" s="14">
        <v>42380.455671296295</v>
      </c>
      <c r="D1067" t="s">
        <v>5</v>
      </c>
      <c r="G1067" t="b">
        <v>0</v>
      </c>
      <c r="H1067">
        <v>70806</v>
      </c>
      <c r="I1067" s="5">
        <v>0</v>
      </c>
      <c r="J1067" s="14">
        <v>42380.457743055558</v>
      </c>
      <c r="K1067">
        <v>15.35</v>
      </c>
      <c r="L1067" s="5">
        <f>('[1]Pizza Sales Calculations'!$J1067-'[1]Pizza Sales Calculations'!$C1067)*24*60</f>
        <v>2.9833333392161876</v>
      </c>
      <c r="M1067">
        <f>COUNTA('[1]Pizza Sales Calculations'!$D1067:$F1067)</f>
        <v>1</v>
      </c>
      <c r="N1067">
        <f>IFERROR(VLOOKUP(D1067,[1]Parameters!$A$3:$C$5,3,FALSE),0)</f>
        <v>2.2999999999999998</v>
      </c>
      <c r="O1067">
        <f>IFERROR(VLOOKUP(E1067,[1]Parameters!$A$3:$C$5,3,FALSE),0)</f>
        <v>0</v>
      </c>
      <c r="P1067">
        <f>IFERROR(VLOOKUP(F1067,[1]Parameters!$A$3:$C$5,3,FALSE),0)</f>
        <v>0</v>
      </c>
      <c r="Q1067">
        <f t="shared" si="16"/>
        <v>2.2999999999999998</v>
      </c>
      <c r="R1067" s="10">
        <f>IF('[1]Pizza Sales Calculations'!$G1067=TRUE, [1]Parameters!$B$17*'[1]Pizza Sales Calculations'!$L1067*2, 0)</f>
        <v>0</v>
      </c>
      <c r="S1067" t="str">
        <f>IF(I1067&lt;[1]Parameters!$B$21,"TRUE","FALSE")</f>
        <v>TRUE</v>
      </c>
      <c r="T1067" s="5">
        <f>(I1067/[1]Parameters!$B$25)*60</f>
        <v>0</v>
      </c>
      <c r="U1067" s="10">
        <f>IF(AND('[1]Pizza Sales Calculations'!G1067=TRUE,'[1]Pizza Sales Calculations'!S1067="TRUE"),T1067*[1]Parameters!$B$40*2,0)</f>
        <v>0</v>
      </c>
      <c r="V1067">
        <f>INDEX([1]Parameters!$A$3:$C$5,MATCH('[1]Pizza Sales Calculations'!D1067,[1]Parameters!$A$3:$A$5,0),2)</f>
        <v>14</v>
      </c>
      <c r="W1067" t="e">
        <f>INDEX([1]Parameters!$A$3:$C$5,MATCH('[1]Pizza Sales Calculations'!E1067,[1]Parameters!$A$3:$A$5,0),2)</f>
        <v>#N/A</v>
      </c>
      <c r="X1067" t="e">
        <f>INDEX([1]Parameters!$A$3:$C$5,MATCH('[1]Pizza Sales Calculations'!F1067,[1]Parameters!$A$3:$A$5,0),2)</f>
        <v>#N/A</v>
      </c>
    </row>
    <row r="1068" spans="1:24" x14ac:dyDescent="0.3">
      <c r="A1068">
        <v>1067</v>
      </c>
      <c r="B1068" s="14">
        <v>42381.493518518517</v>
      </c>
      <c r="C1068" s="14">
        <v>42381.503935185188</v>
      </c>
      <c r="D1068" t="s">
        <v>4</v>
      </c>
      <c r="G1068" t="b">
        <v>1</v>
      </c>
      <c r="H1068">
        <v>70804</v>
      </c>
      <c r="I1068" s="5">
        <v>2.8808286075674001</v>
      </c>
      <c r="J1068" s="14">
        <v>42381.513935185183</v>
      </c>
      <c r="K1068">
        <v>11.59</v>
      </c>
      <c r="L1068" s="5">
        <f>('[1]Pizza Sales Calculations'!$J1068-'[1]Pizza Sales Calculations'!$C1068)*24*60</f>
        <v>14.399999992456287</v>
      </c>
      <c r="M1068">
        <f>COUNTA('[1]Pizza Sales Calculations'!$D1068:$F1068)</f>
        <v>1</v>
      </c>
      <c r="N1068">
        <f>IFERROR(VLOOKUP(D1068,[1]Parameters!$A$3:$C$5,3,FALSE),0)</f>
        <v>1.7</v>
      </c>
      <c r="O1068">
        <f>IFERROR(VLOOKUP(E1068,[1]Parameters!$A$3:$C$5,3,FALSE),0)</f>
        <v>0</v>
      </c>
      <c r="P1068">
        <f>IFERROR(VLOOKUP(F1068,[1]Parameters!$A$3:$C$5,3,FALSE),0)</f>
        <v>0</v>
      </c>
      <c r="Q1068">
        <f t="shared" si="16"/>
        <v>1.7</v>
      </c>
      <c r="R1068" s="10">
        <f>IF('[1]Pizza Sales Calculations'!$G1068=TRUE, [1]Parameters!$B$17*'[1]Pizza Sales Calculations'!$L1068*2, 0)</f>
        <v>4.0799999978626147</v>
      </c>
      <c r="S1068" t="str">
        <f>IF(I1068&lt;[1]Parameters!$B$21,"TRUE","FALSE")</f>
        <v>TRUE</v>
      </c>
      <c r="T1068" s="5">
        <f>(I1068/[1]Parameters!$B$25)*60</f>
        <v>5.7616572151348002</v>
      </c>
      <c r="U1068" s="10">
        <f>IF(AND('[1]Pizza Sales Calculations'!G1068=TRUE,'[1]Pizza Sales Calculations'!S1068="TRUE"),T1068*[1]Parameters!$B$40*2,0)</f>
        <v>0.35965778562359729</v>
      </c>
      <c r="V1068">
        <f>INDEX([1]Parameters!$A$3:$C$5,MATCH('[1]Pizza Sales Calculations'!D1068,[1]Parameters!$A$3:$A$5,0),2)</f>
        <v>10</v>
      </c>
      <c r="W1068" t="e">
        <f>INDEX([1]Parameters!$A$3:$C$5,MATCH('[1]Pizza Sales Calculations'!E1068,[1]Parameters!$A$3:$A$5,0),2)</f>
        <v>#N/A</v>
      </c>
      <c r="X1068" t="e">
        <f>INDEX([1]Parameters!$A$3:$C$5,MATCH('[1]Pizza Sales Calculations'!F1068,[1]Parameters!$A$3:$A$5,0),2)</f>
        <v>#N/A</v>
      </c>
    </row>
    <row r="1069" spans="1:24" x14ac:dyDescent="0.3">
      <c r="A1069">
        <v>1068</v>
      </c>
      <c r="B1069" s="14">
        <v>42381.492997685185</v>
      </c>
      <c r="C1069" s="14">
        <v>42381.50340277778</v>
      </c>
      <c r="D1069" t="s">
        <v>4</v>
      </c>
      <c r="G1069" t="b">
        <v>1</v>
      </c>
      <c r="H1069">
        <v>70805</v>
      </c>
      <c r="I1069" s="5">
        <v>4.1406875820225997</v>
      </c>
      <c r="J1069" s="14">
        <v>42381.517777777779</v>
      </c>
      <c r="K1069">
        <v>11.59</v>
      </c>
      <c r="L1069" s="5">
        <f>('[1]Pizza Sales Calculations'!$J1069-'[1]Pizza Sales Calculations'!$C1069)*24*60</f>
        <v>20.699999998323619</v>
      </c>
      <c r="M1069">
        <f>COUNTA('[1]Pizza Sales Calculations'!$D1069:$F1069)</f>
        <v>1</v>
      </c>
      <c r="N1069">
        <f>IFERROR(VLOOKUP(D1069,[1]Parameters!$A$3:$C$5,3,FALSE),0)</f>
        <v>1.7</v>
      </c>
      <c r="O1069">
        <f>IFERROR(VLOOKUP(E1069,[1]Parameters!$A$3:$C$5,3,FALSE),0)</f>
        <v>0</v>
      </c>
      <c r="P1069">
        <f>IFERROR(VLOOKUP(F1069,[1]Parameters!$A$3:$C$5,3,FALSE),0)</f>
        <v>0</v>
      </c>
      <c r="Q1069">
        <f t="shared" si="16"/>
        <v>1.7</v>
      </c>
      <c r="R1069" s="10">
        <f>IF('[1]Pizza Sales Calculations'!$G1069=TRUE, [1]Parameters!$B$17*'[1]Pizza Sales Calculations'!$L1069*2, 0)</f>
        <v>5.8649999995250255</v>
      </c>
      <c r="S1069" t="str">
        <f>IF(I1069&lt;[1]Parameters!$B$21,"TRUE","FALSE")</f>
        <v>FALSE</v>
      </c>
      <c r="T1069" s="5">
        <f>(I1069/[1]Parameters!$B$25)*60</f>
        <v>8.2813751640451994</v>
      </c>
      <c r="U1069" s="10">
        <f>IF(AND('[1]Pizza Sales Calculations'!G1069=TRUE,'[1]Pizza Sales Calculations'!S1069="TRUE"),T1069*[1]Parameters!$B$40*2,0)</f>
        <v>0</v>
      </c>
      <c r="V1069">
        <f>INDEX([1]Parameters!$A$3:$C$5,MATCH('[1]Pizza Sales Calculations'!D1069,[1]Parameters!$A$3:$A$5,0),2)</f>
        <v>10</v>
      </c>
      <c r="W1069" t="e">
        <f>INDEX([1]Parameters!$A$3:$C$5,MATCH('[1]Pizza Sales Calculations'!E1069,[1]Parameters!$A$3:$A$5,0),2)</f>
        <v>#N/A</v>
      </c>
      <c r="X1069" t="e">
        <f>INDEX([1]Parameters!$A$3:$C$5,MATCH('[1]Pizza Sales Calculations'!F1069,[1]Parameters!$A$3:$A$5,0),2)</f>
        <v>#N/A</v>
      </c>
    </row>
    <row r="1070" spans="1:24" x14ac:dyDescent="0.3">
      <c r="A1070">
        <v>1069</v>
      </c>
      <c r="B1070" s="14">
        <v>42381.479050925926</v>
      </c>
      <c r="C1070" s="14">
        <v>42381.48945601852</v>
      </c>
      <c r="D1070" t="s">
        <v>4</v>
      </c>
      <c r="G1070" t="b">
        <v>1</v>
      </c>
      <c r="H1070">
        <v>70805</v>
      </c>
      <c r="I1070" s="5">
        <v>1.6673817068354599</v>
      </c>
      <c r="J1070" s="14">
        <v>42381.495243055557</v>
      </c>
      <c r="K1070">
        <v>11.59</v>
      </c>
      <c r="L1070" s="5">
        <f>('[1]Pizza Sales Calculations'!$J1070-'[1]Pizza Sales Calculations'!$C1070)*24*60</f>
        <v>8.3333333325572312</v>
      </c>
      <c r="M1070">
        <f>COUNTA('[1]Pizza Sales Calculations'!$D1070:$F1070)</f>
        <v>1</v>
      </c>
      <c r="N1070">
        <f>IFERROR(VLOOKUP(D1070,[1]Parameters!$A$3:$C$5,3,FALSE),0)</f>
        <v>1.7</v>
      </c>
      <c r="O1070">
        <f>IFERROR(VLOOKUP(E1070,[1]Parameters!$A$3:$C$5,3,FALSE),0)</f>
        <v>0</v>
      </c>
      <c r="P1070">
        <f>IFERROR(VLOOKUP(F1070,[1]Parameters!$A$3:$C$5,3,FALSE),0)</f>
        <v>0</v>
      </c>
      <c r="Q1070">
        <f t="shared" si="16"/>
        <v>1.7</v>
      </c>
      <c r="R1070" s="10">
        <f>IF('[1]Pizza Sales Calculations'!$G1070=TRUE, [1]Parameters!$B$17*'[1]Pizza Sales Calculations'!$L1070*2, 0)</f>
        <v>2.3611111108912155</v>
      </c>
      <c r="S1070" t="str">
        <f>IF(I1070&lt;[1]Parameters!$B$21,"TRUE","FALSE")</f>
        <v>TRUE</v>
      </c>
      <c r="T1070" s="5">
        <f>(I1070/[1]Parameters!$B$25)*60</f>
        <v>3.3347634136709199</v>
      </c>
      <c r="U1070" s="10">
        <f>IF(AND('[1]Pizza Sales Calculations'!G1070=TRUE,'[1]Pizza Sales Calculations'!S1070="TRUE"),T1070*[1]Parameters!$B$40*2,0)</f>
        <v>0.20816469639827584</v>
      </c>
      <c r="V1070">
        <f>INDEX([1]Parameters!$A$3:$C$5,MATCH('[1]Pizza Sales Calculations'!D1070,[1]Parameters!$A$3:$A$5,0),2)</f>
        <v>10</v>
      </c>
      <c r="W1070" t="e">
        <f>INDEX([1]Parameters!$A$3:$C$5,MATCH('[1]Pizza Sales Calculations'!E1070,[1]Parameters!$A$3:$A$5,0),2)</f>
        <v>#N/A</v>
      </c>
      <c r="X1070" t="e">
        <f>INDEX([1]Parameters!$A$3:$C$5,MATCH('[1]Pizza Sales Calculations'!F1070,[1]Parameters!$A$3:$A$5,0),2)</f>
        <v>#N/A</v>
      </c>
    </row>
    <row r="1071" spans="1:24" x14ac:dyDescent="0.3">
      <c r="A1071">
        <v>1070</v>
      </c>
      <c r="B1071" s="14">
        <v>42381.449282407404</v>
      </c>
      <c r="C1071" s="14">
        <v>42381.459687499999</v>
      </c>
      <c r="D1071" t="s">
        <v>4</v>
      </c>
      <c r="G1071" t="b">
        <v>1</v>
      </c>
      <c r="H1071">
        <v>70805</v>
      </c>
      <c r="I1071" s="5">
        <v>2.28297191816897</v>
      </c>
      <c r="J1071" s="14">
        <v>42381.467604166668</v>
      </c>
      <c r="K1071">
        <v>11.59</v>
      </c>
      <c r="L1071" s="5">
        <f>('[1]Pizza Sales Calculations'!$J1071-'[1]Pizza Sales Calculations'!$C1071)*24*60</f>
        <v>11.400000003632158</v>
      </c>
      <c r="M1071">
        <f>COUNTA('[1]Pizza Sales Calculations'!$D1071:$F1071)</f>
        <v>1</v>
      </c>
      <c r="N1071">
        <f>IFERROR(VLOOKUP(D1071,[1]Parameters!$A$3:$C$5,3,FALSE),0)</f>
        <v>1.7</v>
      </c>
      <c r="O1071">
        <f>IFERROR(VLOOKUP(E1071,[1]Parameters!$A$3:$C$5,3,FALSE),0)</f>
        <v>0</v>
      </c>
      <c r="P1071">
        <f>IFERROR(VLOOKUP(F1071,[1]Parameters!$A$3:$C$5,3,FALSE),0)</f>
        <v>0</v>
      </c>
      <c r="Q1071">
        <f t="shared" si="16"/>
        <v>1.7</v>
      </c>
      <c r="R1071" s="10">
        <f>IF('[1]Pizza Sales Calculations'!$G1071=TRUE, [1]Parameters!$B$17*'[1]Pizza Sales Calculations'!$L1071*2, 0)</f>
        <v>3.2300000010291114</v>
      </c>
      <c r="S1071" t="str">
        <f>IF(I1071&lt;[1]Parameters!$B$21,"TRUE","FALSE")</f>
        <v>TRUE</v>
      </c>
      <c r="T1071" s="5">
        <f>(I1071/[1]Parameters!$B$25)*60</f>
        <v>4.5659438363379401</v>
      </c>
      <c r="U1071" s="10">
        <f>IF(AND('[1]Pizza Sales Calculations'!G1071=TRUE,'[1]Pizza Sales Calculations'!S1071="TRUE"),T1071*[1]Parameters!$B$40*2,0)</f>
        <v>0.2850182140557273</v>
      </c>
      <c r="V1071">
        <f>INDEX([1]Parameters!$A$3:$C$5,MATCH('[1]Pizza Sales Calculations'!D1071,[1]Parameters!$A$3:$A$5,0),2)</f>
        <v>10</v>
      </c>
      <c r="W1071" t="e">
        <f>INDEX([1]Parameters!$A$3:$C$5,MATCH('[1]Pizza Sales Calculations'!E1071,[1]Parameters!$A$3:$A$5,0),2)</f>
        <v>#N/A</v>
      </c>
      <c r="X1071" t="e">
        <f>INDEX([1]Parameters!$A$3:$C$5,MATCH('[1]Pizza Sales Calculations'!F1071,[1]Parameters!$A$3:$A$5,0),2)</f>
        <v>#N/A</v>
      </c>
    </row>
    <row r="1072" spans="1:24" x14ac:dyDescent="0.3">
      <c r="A1072">
        <v>1071</v>
      </c>
      <c r="B1072" s="14">
        <v>42381.600983796299</v>
      </c>
      <c r="C1072" s="14">
        <v>42381.61141203704</v>
      </c>
      <c r="D1072" t="s">
        <v>5</v>
      </c>
      <c r="G1072" t="b">
        <v>0</v>
      </c>
      <c r="H1072">
        <v>70803</v>
      </c>
      <c r="I1072" s="5">
        <v>0</v>
      </c>
      <c r="J1072" s="14">
        <v>42381.613483796296</v>
      </c>
      <c r="K1072">
        <v>15.35</v>
      </c>
      <c r="L1072" s="5">
        <f>('[1]Pizza Sales Calculations'!$J1072-'[1]Pizza Sales Calculations'!$C1072)*24*60</f>
        <v>2.9833333287388086</v>
      </c>
      <c r="M1072">
        <f>COUNTA('[1]Pizza Sales Calculations'!$D1072:$F1072)</f>
        <v>1</v>
      </c>
      <c r="N1072">
        <f>IFERROR(VLOOKUP(D1072,[1]Parameters!$A$3:$C$5,3,FALSE),0)</f>
        <v>2.2999999999999998</v>
      </c>
      <c r="O1072">
        <f>IFERROR(VLOOKUP(E1072,[1]Parameters!$A$3:$C$5,3,FALSE),0)</f>
        <v>0</v>
      </c>
      <c r="P1072">
        <f>IFERROR(VLOOKUP(F1072,[1]Parameters!$A$3:$C$5,3,FALSE),0)</f>
        <v>0</v>
      </c>
      <c r="Q1072">
        <f t="shared" si="16"/>
        <v>2.2999999999999998</v>
      </c>
      <c r="R1072" s="10">
        <f>IF('[1]Pizza Sales Calculations'!$G1072=TRUE, [1]Parameters!$B$17*'[1]Pizza Sales Calculations'!$L1072*2, 0)</f>
        <v>0</v>
      </c>
      <c r="S1072" t="str">
        <f>IF(I1072&lt;[1]Parameters!$B$21,"TRUE","FALSE")</f>
        <v>TRUE</v>
      </c>
      <c r="T1072" s="5">
        <f>(I1072/[1]Parameters!$B$25)*60</f>
        <v>0</v>
      </c>
      <c r="U1072" s="10">
        <f>IF(AND('[1]Pizza Sales Calculations'!G1072=TRUE,'[1]Pizza Sales Calculations'!S1072="TRUE"),T1072*[1]Parameters!$B$40*2,0)</f>
        <v>0</v>
      </c>
      <c r="V1072">
        <f>INDEX([1]Parameters!$A$3:$C$5,MATCH('[1]Pizza Sales Calculations'!D1072,[1]Parameters!$A$3:$A$5,0),2)</f>
        <v>14</v>
      </c>
      <c r="W1072" t="e">
        <f>INDEX([1]Parameters!$A$3:$C$5,MATCH('[1]Pizza Sales Calculations'!E1072,[1]Parameters!$A$3:$A$5,0),2)</f>
        <v>#N/A</v>
      </c>
      <c r="X1072" t="e">
        <f>INDEX([1]Parameters!$A$3:$C$5,MATCH('[1]Pizza Sales Calculations'!F1072,[1]Parameters!$A$3:$A$5,0),2)</f>
        <v>#N/A</v>
      </c>
    </row>
    <row r="1073" spans="1:24" x14ac:dyDescent="0.3">
      <c r="A1073">
        <v>1072</v>
      </c>
      <c r="B1073" s="14">
        <v>42381.453738425924</v>
      </c>
      <c r="C1073" s="14">
        <v>42381.464143518519</v>
      </c>
      <c r="D1073" t="s">
        <v>5</v>
      </c>
      <c r="G1073" t="b">
        <v>1</v>
      </c>
      <c r="H1073">
        <v>70804</v>
      </c>
      <c r="I1073" s="5">
        <v>1.41203102819736</v>
      </c>
      <c r="J1073" s="14">
        <v>42381.469039351854</v>
      </c>
      <c r="K1073">
        <v>15.35</v>
      </c>
      <c r="L1073" s="5">
        <f>('[1]Pizza Sales Calculations'!$J1073-'[1]Pizza Sales Calculations'!$C1073)*24*60</f>
        <v>7.0500000030733645</v>
      </c>
      <c r="M1073">
        <f>COUNTA('[1]Pizza Sales Calculations'!$D1073:$F1073)</f>
        <v>1</v>
      </c>
      <c r="N1073">
        <f>IFERROR(VLOOKUP(D1073,[1]Parameters!$A$3:$C$5,3,FALSE),0)</f>
        <v>2.2999999999999998</v>
      </c>
      <c r="O1073">
        <f>IFERROR(VLOOKUP(E1073,[1]Parameters!$A$3:$C$5,3,FALSE),0)</f>
        <v>0</v>
      </c>
      <c r="P1073">
        <f>IFERROR(VLOOKUP(F1073,[1]Parameters!$A$3:$C$5,3,FALSE),0)</f>
        <v>0</v>
      </c>
      <c r="Q1073">
        <f t="shared" si="16"/>
        <v>2.2999999999999998</v>
      </c>
      <c r="R1073" s="10">
        <f>IF('[1]Pizza Sales Calculations'!$G1073=TRUE, [1]Parameters!$B$17*'[1]Pizza Sales Calculations'!$L1073*2, 0)</f>
        <v>1.9975000008707866</v>
      </c>
      <c r="S1073" t="str">
        <f>IF(I1073&lt;[1]Parameters!$B$21,"TRUE","FALSE")</f>
        <v>TRUE</v>
      </c>
      <c r="T1073" s="5">
        <f>(I1073/[1]Parameters!$B$25)*60</f>
        <v>2.8240620563947201</v>
      </c>
      <c r="U1073" s="10">
        <f>IF(AND('[1]Pizza Sales Calculations'!G1073=TRUE,'[1]Pizza Sales Calculations'!S1073="TRUE"),T1073*[1]Parameters!$B$40*2,0)</f>
        <v>0.17628537549899767</v>
      </c>
      <c r="V1073">
        <f>INDEX([1]Parameters!$A$3:$C$5,MATCH('[1]Pizza Sales Calculations'!D1073,[1]Parameters!$A$3:$A$5,0),2)</f>
        <v>14</v>
      </c>
      <c r="W1073" t="e">
        <f>INDEX([1]Parameters!$A$3:$C$5,MATCH('[1]Pizza Sales Calculations'!E1073,[1]Parameters!$A$3:$A$5,0),2)</f>
        <v>#N/A</v>
      </c>
      <c r="X1073" t="e">
        <f>INDEX([1]Parameters!$A$3:$C$5,MATCH('[1]Pizza Sales Calculations'!F1073,[1]Parameters!$A$3:$A$5,0),2)</f>
        <v>#N/A</v>
      </c>
    </row>
    <row r="1074" spans="1:24" x14ac:dyDescent="0.3">
      <c r="A1074">
        <v>1073</v>
      </c>
      <c r="B1074" s="14">
        <v>42381.480856481481</v>
      </c>
      <c r="C1074" s="14">
        <v>42381.491284722222</v>
      </c>
      <c r="D1074" t="s">
        <v>3</v>
      </c>
      <c r="E1074" t="s">
        <v>4</v>
      </c>
      <c r="G1074" t="b">
        <v>0</v>
      </c>
      <c r="H1074">
        <v>70805</v>
      </c>
      <c r="I1074" s="5">
        <v>0</v>
      </c>
      <c r="J1074" s="14">
        <v>42381.493356481478</v>
      </c>
      <c r="K1074">
        <v>19.579999999999998</v>
      </c>
      <c r="L1074" s="5">
        <f>('[1]Pizza Sales Calculations'!$J1074-'[1]Pizza Sales Calculations'!$C1074)*24*60</f>
        <v>2.9833333287388086</v>
      </c>
      <c r="M1074">
        <f>COUNTA('[1]Pizza Sales Calculations'!$D1074:$F1074)</f>
        <v>2</v>
      </c>
      <c r="N1074">
        <f>IFERROR(VLOOKUP(D1074,[1]Parameters!$A$3:$C$5,3,FALSE),0)</f>
        <v>1</v>
      </c>
      <c r="O1074">
        <f>IFERROR(VLOOKUP(E1074,[1]Parameters!$A$3:$C$5,3,FALSE),0)</f>
        <v>1.7</v>
      </c>
      <c r="P1074">
        <f>IFERROR(VLOOKUP(F1074,[1]Parameters!$A$3:$C$5,3,FALSE),0)</f>
        <v>0</v>
      </c>
      <c r="Q1074">
        <f t="shared" si="16"/>
        <v>2.7</v>
      </c>
      <c r="R1074" s="10">
        <f>IF('[1]Pizza Sales Calculations'!$G1074=TRUE, [1]Parameters!$B$17*'[1]Pizza Sales Calculations'!$L1074*2, 0)</f>
        <v>0</v>
      </c>
      <c r="S1074" t="str">
        <f>IF(I1074&lt;[1]Parameters!$B$21,"TRUE","FALSE")</f>
        <v>TRUE</v>
      </c>
      <c r="T1074" s="5">
        <f>(I1074/[1]Parameters!$B$25)*60</f>
        <v>0</v>
      </c>
      <c r="U1074" s="10">
        <f>IF(AND('[1]Pizza Sales Calculations'!G1074=TRUE,'[1]Pizza Sales Calculations'!S1074="TRUE"),T1074*[1]Parameters!$B$40*2,0)</f>
        <v>0</v>
      </c>
      <c r="V1074">
        <f>INDEX([1]Parameters!$A$3:$C$5,MATCH('[1]Pizza Sales Calculations'!D1074,[1]Parameters!$A$3:$A$5,0),2)</f>
        <v>7</v>
      </c>
      <c r="W1074">
        <f>INDEX([1]Parameters!$A$3:$C$5,MATCH('[1]Pizza Sales Calculations'!E1074,[1]Parameters!$A$3:$A$5,0),2)</f>
        <v>10</v>
      </c>
      <c r="X1074" t="e">
        <f>INDEX([1]Parameters!$A$3:$C$5,MATCH('[1]Pizza Sales Calculations'!F1074,[1]Parameters!$A$3:$A$5,0),2)</f>
        <v>#N/A</v>
      </c>
    </row>
    <row r="1075" spans="1:24" x14ac:dyDescent="0.3">
      <c r="A1075">
        <v>1074</v>
      </c>
      <c r="B1075" s="14">
        <v>42381.456990740742</v>
      </c>
      <c r="C1075" s="14">
        <v>42381.467407407406</v>
      </c>
      <c r="D1075" t="s">
        <v>4</v>
      </c>
      <c r="G1075" t="b">
        <v>0</v>
      </c>
      <c r="H1075">
        <v>70805</v>
      </c>
      <c r="I1075" s="5">
        <v>0</v>
      </c>
      <c r="J1075" s="14">
        <v>42381.46947916667</v>
      </c>
      <c r="K1075">
        <v>11.59</v>
      </c>
      <c r="L1075" s="5">
        <f>('[1]Pizza Sales Calculations'!$J1075-'[1]Pizza Sales Calculations'!$C1075)*24*60</f>
        <v>2.9833333392161876</v>
      </c>
      <c r="M1075">
        <f>COUNTA('[1]Pizza Sales Calculations'!$D1075:$F1075)</f>
        <v>1</v>
      </c>
      <c r="N1075">
        <f>IFERROR(VLOOKUP(D1075,[1]Parameters!$A$3:$C$5,3,FALSE),0)</f>
        <v>1.7</v>
      </c>
      <c r="O1075">
        <f>IFERROR(VLOOKUP(E1075,[1]Parameters!$A$3:$C$5,3,FALSE),0)</f>
        <v>0</v>
      </c>
      <c r="P1075">
        <f>IFERROR(VLOOKUP(F1075,[1]Parameters!$A$3:$C$5,3,FALSE),0)</f>
        <v>0</v>
      </c>
      <c r="Q1075">
        <f t="shared" si="16"/>
        <v>1.7</v>
      </c>
      <c r="R1075" s="10">
        <f>IF('[1]Pizza Sales Calculations'!$G1075=TRUE, [1]Parameters!$B$17*'[1]Pizza Sales Calculations'!$L1075*2, 0)</f>
        <v>0</v>
      </c>
      <c r="S1075" t="str">
        <f>IF(I1075&lt;[1]Parameters!$B$21,"TRUE","FALSE")</f>
        <v>TRUE</v>
      </c>
      <c r="T1075" s="5">
        <f>(I1075/[1]Parameters!$B$25)*60</f>
        <v>0</v>
      </c>
      <c r="U1075" s="10">
        <f>IF(AND('[1]Pizza Sales Calculations'!G1075=TRUE,'[1]Pizza Sales Calculations'!S1075="TRUE"),T1075*[1]Parameters!$B$40*2,0)</f>
        <v>0</v>
      </c>
      <c r="V1075">
        <f>INDEX([1]Parameters!$A$3:$C$5,MATCH('[1]Pizza Sales Calculations'!D1075,[1]Parameters!$A$3:$A$5,0),2)</f>
        <v>10</v>
      </c>
      <c r="W1075" t="e">
        <f>INDEX([1]Parameters!$A$3:$C$5,MATCH('[1]Pizza Sales Calculations'!E1075,[1]Parameters!$A$3:$A$5,0),2)</f>
        <v>#N/A</v>
      </c>
      <c r="X1075" t="e">
        <f>INDEX([1]Parameters!$A$3:$C$5,MATCH('[1]Pizza Sales Calculations'!F1075,[1]Parameters!$A$3:$A$5,0),2)</f>
        <v>#N/A</v>
      </c>
    </row>
    <row r="1076" spans="1:24" x14ac:dyDescent="0.3">
      <c r="A1076">
        <v>1075</v>
      </c>
      <c r="B1076" s="14">
        <v>42381.440243055556</v>
      </c>
      <c r="C1076" s="14">
        <v>42381.450659722221</v>
      </c>
      <c r="D1076" t="s">
        <v>5</v>
      </c>
      <c r="G1076" t="b">
        <v>1</v>
      </c>
      <c r="H1076">
        <v>70808</v>
      </c>
      <c r="I1076" s="5">
        <v>3.3426306697128201</v>
      </c>
      <c r="J1076" s="14">
        <v>42381.462256944447</v>
      </c>
      <c r="K1076">
        <v>15.35</v>
      </c>
      <c r="L1076" s="5">
        <f>('[1]Pizza Sales Calculations'!$J1076-'[1]Pizza Sales Calculations'!$C1076)*24*60</f>
        <v>16.700000006239861</v>
      </c>
      <c r="M1076">
        <f>COUNTA('[1]Pizza Sales Calculations'!$D1076:$F1076)</f>
        <v>1</v>
      </c>
      <c r="N1076">
        <f>IFERROR(VLOOKUP(D1076,[1]Parameters!$A$3:$C$5,3,FALSE),0)</f>
        <v>2.2999999999999998</v>
      </c>
      <c r="O1076">
        <f>IFERROR(VLOOKUP(E1076,[1]Parameters!$A$3:$C$5,3,FALSE),0)</f>
        <v>0</v>
      </c>
      <c r="P1076">
        <f>IFERROR(VLOOKUP(F1076,[1]Parameters!$A$3:$C$5,3,FALSE),0)</f>
        <v>0</v>
      </c>
      <c r="Q1076">
        <f t="shared" si="16"/>
        <v>2.2999999999999998</v>
      </c>
      <c r="R1076" s="10">
        <f>IF('[1]Pizza Sales Calculations'!$G1076=TRUE, [1]Parameters!$B$17*'[1]Pizza Sales Calculations'!$L1076*2, 0)</f>
        <v>4.7316666684346274</v>
      </c>
      <c r="S1076" t="str">
        <f>IF(I1076&lt;[1]Parameters!$B$21,"TRUE","FALSE")</f>
        <v>FALSE</v>
      </c>
      <c r="T1076" s="5">
        <f>(I1076/[1]Parameters!$B$25)*60</f>
        <v>6.6852613394256402</v>
      </c>
      <c r="U1076" s="10">
        <f>IF(AND('[1]Pizza Sales Calculations'!G1076=TRUE,'[1]Pizza Sales Calculations'!S1076="TRUE"),T1076*[1]Parameters!$B$40*2,0)</f>
        <v>0</v>
      </c>
      <c r="V1076">
        <f>INDEX([1]Parameters!$A$3:$C$5,MATCH('[1]Pizza Sales Calculations'!D1076,[1]Parameters!$A$3:$A$5,0),2)</f>
        <v>14</v>
      </c>
      <c r="W1076" t="e">
        <f>INDEX([1]Parameters!$A$3:$C$5,MATCH('[1]Pizza Sales Calculations'!E1076,[1]Parameters!$A$3:$A$5,0),2)</f>
        <v>#N/A</v>
      </c>
      <c r="X1076" t="e">
        <f>INDEX([1]Parameters!$A$3:$C$5,MATCH('[1]Pizza Sales Calculations'!F1076,[1]Parameters!$A$3:$A$5,0),2)</f>
        <v>#N/A</v>
      </c>
    </row>
    <row r="1077" spans="1:24" x14ac:dyDescent="0.3">
      <c r="A1077">
        <v>1076</v>
      </c>
      <c r="B1077" s="14">
        <v>42381.534039351849</v>
      </c>
      <c r="C1077" s="14">
        <v>42381.544444444444</v>
      </c>
      <c r="D1077" t="s">
        <v>3</v>
      </c>
      <c r="G1077" t="b">
        <v>1</v>
      </c>
      <c r="H1077">
        <v>70805</v>
      </c>
      <c r="I1077" s="5">
        <v>2.3746878313540498</v>
      </c>
      <c r="J1077" s="14">
        <v>42381.552685185183</v>
      </c>
      <c r="K1077">
        <v>7.99</v>
      </c>
      <c r="L1077" s="5">
        <f>('[1]Pizza Sales Calculations'!$J1077-'[1]Pizza Sales Calculations'!$C1077)*24*60</f>
        <v>11.866666664136574</v>
      </c>
      <c r="M1077">
        <f>COUNTA('[1]Pizza Sales Calculations'!$D1077:$F1077)</f>
        <v>1</v>
      </c>
      <c r="N1077">
        <f>IFERROR(VLOOKUP(D1077,[1]Parameters!$A$3:$C$5,3,FALSE),0)</f>
        <v>1</v>
      </c>
      <c r="O1077">
        <f>IFERROR(VLOOKUP(E1077,[1]Parameters!$A$3:$C$5,3,FALSE),0)</f>
        <v>0</v>
      </c>
      <c r="P1077">
        <f>IFERROR(VLOOKUP(F1077,[1]Parameters!$A$3:$C$5,3,FALSE),0)</f>
        <v>0</v>
      </c>
      <c r="Q1077">
        <f t="shared" si="16"/>
        <v>1</v>
      </c>
      <c r="R1077" s="10">
        <f>IF('[1]Pizza Sales Calculations'!$G1077=TRUE, [1]Parameters!$B$17*'[1]Pizza Sales Calculations'!$L1077*2, 0)</f>
        <v>3.3622222215053625</v>
      </c>
      <c r="S1077" t="str">
        <f>IF(I1077&lt;[1]Parameters!$B$21,"TRUE","FALSE")</f>
        <v>TRUE</v>
      </c>
      <c r="T1077" s="5">
        <f>(I1077/[1]Parameters!$B$25)*60</f>
        <v>4.7493756627080996</v>
      </c>
      <c r="U1077" s="10">
        <f>IF(AND('[1]Pizza Sales Calculations'!G1077=TRUE,'[1]Pizza Sales Calculations'!S1077="TRUE"),T1077*[1]Parameters!$B$40*2,0)</f>
        <v>0.29646851073632224</v>
      </c>
      <c r="V1077">
        <f>INDEX([1]Parameters!$A$3:$C$5,MATCH('[1]Pizza Sales Calculations'!D1077,[1]Parameters!$A$3:$A$5,0),2)</f>
        <v>7</v>
      </c>
      <c r="W1077" t="e">
        <f>INDEX([1]Parameters!$A$3:$C$5,MATCH('[1]Pizza Sales Calculations'!E1077,[1]Parameters!$A$3:$A$5,0),2)</f>
        <v>#N/A</v>
      </c>
      <c r="X1077" t="e">
        <f>INDEX([1]Parameters!$A$3:$C$5,MATCH('[1]Pizza Sales Calculations'!F1077,[1]Parameters!$A$3:$A$5,0),2)</f>
        <v>#N/A</v>
      </c>
    </row>
    <row r="1078" spans="1:24" x14ac:dyDescent="0.3">
      <c r="A1078">
        <v>1077</v>
      </c>
      <c r="B1078" s="14">
        <v>42381.578680555554</v>
      </c>
      <c r="C1078" s="14">
        <v>42381.589085648149</v>
      </c>
      <c r="D1078" t="s">
        <v>5</v>
      </c>
      <c r="G1078" t="b">
        <v>0</v>
      </c>
      <c r="H1078">
        <v>70803</v>
      </c>
      <c r="I1078" s="5">
        <v>0</v>
      </c>
      <c r="J1078" s="14">
        <v>42381.591168981482</v>
      </c>
      <c r="K1078">
        <v>15.35</v>
      </c>
      <c r="L1078" s="5">
        <f>('[1]Pizza Sales Calculations'!$J1078-'[1]Pizza Sales Calculations'!$C1078)*24*60</f>
        <v>2.9999999993015081</v>
      </c>
      <c r="M1078">
        <f>COUNTA('[1]Pizza Sales Calculations'!$D1078:$F1078)</f>
        <v>1</v>
      </c>
      <c r="N1078">
        <f>IFERROR(VLOOKUP(D1078,[1]Parameters!$A$3:$C$5,3,FALSE),0)</f>
        <v>2.2999999999999998</v>
      </c>
      <c r="O1078">
        <f>IFERROR(VLOOKUP(E1078,[1]Parameters!$A$3:$C$5,3,FALSE),0)</f>
        <v>0</v>
      </c>
      <c r="P1078">
        <f>IFERROR(VLOOKUP(F1078,[1]Parameters!$A$3:$C$5,3,FALSE),0)</f>
        <v>0</v>
      </c>
      <c r="Q1078">
        <f t="shared" si="16"/>
        <v>2.2999999999999998</v>
      </c>
      <c r="R1078" s="10">
        <f>IF('[1]Pizza Sales Calculations'!$G1078=TRUE, [1]Parameters!$B$17*'[1]Pizza Sales Calculations'!$L1078*2, 0)</f>
        <v>0</v>
      </c>
      <c r="S1078" t="str">
        <f>IF(I1078&lt;[1]Parameters!$B$21,"TRUE","FALSE")</f>
        <v>TRUE</v>
      </c>
      <c r="T1078" s="5">
        <f>(I1078/[1]Parameters!$B$25)*60</f>
        <v>0</v>
      </c>
      <c r="U1078" s="10">
        <f>IF(AND('[1]Pizza Sales Calculations'!G1078=TRUE,'[1]Pizza Sales Calculations'!S1078="TRUE"),T1078*[1]Parameters!$B$40*2,0)</f>
        <v>0</v>
      </c>
      <c r="V1078">
        <f>INDEX([1]Parameters!$A$3:$C$5,MATCH('[1]Pizza Sales Calculations'!D1078,[1]Parameters!$A$3:$A$5,0),2)</f>
        <v>14</v>
      </c>
      <c r="W1078" t="e">
        <f>INDEX([1]Parameters!$A$3:$C$5,MATCH('[1]Pizza Sales Calculations'!E1078,[1]Parameters!$A$3:$A$5,0),2)</f>
        <v>#N/A</v>
      </c>
      <c r="X1078" t="e">
        <f>INDEX([1]Parameters!$A$3:$C$5,MATCH('[1]Pizza Sales Calculations'!F1078,[1]Parameters!$A$3:$A$5,0),2)</f>
        <v>#N/A</v>
      </c>
    </row>
    <row r="1079" spans="1:24" x14ac:dyDescent="0.3">
      <c r="A1079">
        <v>1078</v>
      </c>
      <c r="B1079" s="14">
        <v>42381.525972222225</v>
      </c>
      <c r="C1079" s="14">
        <v>42381.53638888889</v>
      </c>
      <c r="D1079" t="s">
        <v>5</v>
      </c>
      <c r="G1079" t="b">
        <v>1</v>
      </c>
      <c r="H1079">
        <v>70804</v>
      </c>
      <c r="I1079" s="5">
        <v>3.7932380702744601</v>
      </c>
      <c r="J1079" s="14">
        <v>42381.54954861111</v>
      </c>
      <c r="K1079">
        <v>15.35</v>
      </c>
      <c r="L1079" s="5">
        <f>('[1]Pizza Sales Calculations'!$J1079-'[1]Pizza Sales Calculations'!$C1079)*24*60</f>
        <v>18.949999997857958</v>
      </c>
      <c r="M1079">
        <f>COUNTA('[1]Pizza Sales Calculations'!$D1079:$F1079)</f>
        <v>1</v>
      </c>
      <c r="N1079">
        <f>IFERROR(VLOOKUP(D1079,[1]Parameters!$A$3:$C$5,3,FALSE),0)</f>
        <v>2.2999999999999998</v>
      </c>
      <c r="O1079">
        <f>IFERROR(VLOOKUP(E1079,[1]Parameters!$A$3:$C$5,3,FALSE),0)</f>
        <v>0</v>
      </c>
      <c r="P1079">
        <f>IFERROR(VLOOKUP(F1079,[1]Parameters!$A$3:$C$5,3,FALSE),0)</f>
        <v>0</v>
      </c>
      <c r="Q1079">
        <f t="shared" si="16"/>
        <v>2.2999999999999998</v>
      </c>
      <c r="R1079" s="10">
        <f>IF('[1]Pizza Sales Calculations'!$G1079=TRUE, [1]Parameters!$B$17*'[1]Pizza Sales Calculations'!$L1079*2, 0)</f>
        <v>5.3691666660597548</v>
      </c>
      <c r="S1079" t="str">
        <f>IF(I1079&lt;[1]Parameters!$B$21,"TRUE","FALSE")</f>
        <v>FALSE</v>
      </c>
      <c r="T1079" s="5">
        <f>(I1079/[1]Parameters!$B$25)*60</f>
        <v>7.5864761405489203</v>
      </c>
      <c r="U1079" s="10">
        <f>IF(AND('[1]Pizza Sales Calculations'!G1079=TRUE,'[1]Pizza Sales Calculations'!S1079="TRUE"),T1079*[1]Parameters!$B$40*2,0)</f>
        <v>0</v>
      </c>
      <c r="V1079">
        <f>INDEX([1]Parameters!$A$3:$C$5,MATCH('[1]Pizza Sales Calculations'!D1079,[1]Parameters!$A$3:$A$5,0),2)</f>
        <v>14</v>
      </c>
      <c r="W1079" t="e">
        <f>INDEX([1]Parameters!$A$3:$C$5,MATCH('[1]Pizza Sales Calculations'!E1079,[1]Parameters!$A$3:$A$5,0),2)</f>
        <v>#N/A</v>
      </c>
      <c r="X1079" t="e">
        <f>INDEX([1]Parameters!$A$3:$C$5,MATCH('[1]Pizza Sales Calculations'!F1079,[1]Parameters!$A$3:$A$5,0),2)</f>
        <v>#N/A</v>
      </c>
    </row>
    <row r="1080" spans="1:24" x14ac:dyDescent="0.3">
      <c r="A1080">
        <v>1079</v>
      </c>
      <c r="B1080" s="14">
        <v>42381.492361111108</v>
      </c>
      <c r="C1080" s="14">
        <v>42381.502754629626</v>
      </c>
      <c r="D1080" t="s">
        <v>4</v>
      </c>
      <c r="G1080" t="b">
        <v>1</v>
      </c>
      <c r="H1080">
        <v>70803</v>
      </c>
      <c r="I1080" s="5">
        <v>4.1979388085134604</v>
      </c>
      <c r="J1080" s="14">
        <v>42381.517326388886</v>
      </c>
      <c r="K1080">
        <v>11.59</v>
      </c>
      <c r="L1080" s="5">
        <f>('[1]Pizza Sales Calculations'!$J1080-'[1]Pizza Sales Calculations'!$C1080)*24*60</f>
        <v>20.983333335025236</v>
      </c>
      <c r="M1080">
        <f>COUNTA('[1]Pizza Sales Calculations'!$D1080:$F1080)</f>
        <v>1</v>
      </c>
      <c r="N1080">
        <f>IFERROR(VLOOKUP(D1080,[1]Parameters!$A$3:$C$5,3,FALSE),0)</f>
        <v>1.7</v>
      </c>
      <c r="O1080">
        <f>IFERROR(VLOOKUP(E1080,[1]Parameters!$A$3:$C$5,3,FALSE),0)</f>
        <v>0</v>
      </c>
      <c r="P1080">
        <f>IFERROR(VLOOKUP(F1080,[1]Parameters!$A$3:$C$5,3,FALSE),0)</f>
        <v>0</v>
      </c>
      <c r="Q1080">
        <f t="shared" si="16"/>
        <v>1.7</v>
      </c>
      <c r="R1080" s="10">
        <f>IF('[1]Pizza Sales Calculations'!$G1080=TRUE, [1]Parameters!$B$17*'[1]Pizza Sales Calculations'!$L1080*2, 0)</f>
        <v>5.9452777782571502</v>
      </c>
      <c r="S1080" t="str">
        <f>IF(I1080&lt;[1]Parameters!$B$21,"TRUE","FALSE")</f>
        <v>FALSE</v>
      </c>
      <c r="T1080" s="5">
        <f>(I1080/[1]Parameters!$B$25)*60</f>
        <v>8.3958776170269207</v>
      </c>
      <c r="U1080" s="10">
        <f>IF(AND('[1]Pizza Sales Calculations'!G1080=TRUE,'[1]Pizza Sales Calculations'!S1080="TRUE"),T1080*[1]Parameters!$B$40*2,0)</f>
        <v>0</v>
      </c>
      <c r="V1080">
        <f>INDEX([1]Parameters!$A$3:$C$5,MATCH('[1]Pizza Sales Calculations'!D1080,[1]Parameters!$A$3:$A$5,0),2)</f>
        <v>10</v>
      </c>
      <c r="W1080" t="e">
        <f>INDEX([1]Parameters!$A$3:$C$5,MATCH('[1]Pizza Sales Calculations'!E1080,[1]Parameters!$A$3:$A$5,0),2)</f>
        <v>#N/A</v>
      </c>
      <c r="X1080" t="e">
        <f>INDEX([1]Parameters!$A$3:$C$5,MATCH('[1]Pizza Sales Calculations'!F1080,[1]Parameters!$A$3:$A$5,0),2)</f>
        <v>#N/A</v>
      </c>
    </row>
    <row r="1081" spans="1:24" x14ac:dyDescent="0.3">
      <c r="A1081">
        <v>1080</v>
      </c>
      <c r="B1081" s="14">
        <v>42381.491400462961</v>
      </c>
      <c r="C1081" s="14">
        <v>42381.501828703702</v>
      </c>
      <c r="D1081" t="s">
        <v>3</v>
      </c>
      <c r="E1081" t="s">
        <v>4</v>
      </c>
      <c r="G1081" t="b">
        <v>1</v>
      </c>
      <c r="H1081">
        <v>70804</v>
      </c>
      <c r="I1081" s="5">
        <v>1.6667947869811399</v>
      </c>
      <c r="J1081" s="14">
        <v>42381.507615740738</v>
      </c>
      <c r="K1081">
        <v>19.579999999999998</v>
      </c>
      <c r="L1081" s="5">
        <f>('[1]Pizza Sales Calculations'!$J1081-'[1]Pizza Sales Calculations'!$C1081)*24*60</f>
        <v>8.3333333325572312</v>
      </c>
      <c r="M1081">
        <f>COUNTA('[1]Pizza Sales Calculations'!$D1081:$F1081)</f>
        <v>2</v>
      </c>
      <c r="N1081">
        <f>IFERROR(VLOOKUP(D1081,[1]Parameters!$A$3:$C$5,3,FALSE),0)</f>
        <v>1</v>
      </c>
      <c r="O1081">
        <f>IFERROR(VLOOKUP(E1081,[1]Parameters!$A$3:$C$5,3,FALSE),0)</f>
        <v>1.7</v>
      </c>
      <c r="P1081">
        <f>IFERROR(VLOOKUP(F1081,[1]Parameters!$A$3:$C$5,3,FALSE),0)</f>
        <v>0</v>
      </c>
      <c r="Q1081">
        <f t="shared" si="16"/>
        <v>2.7</v>
      </c>
      <c r="R1081" s="10">
        <f>IF('[1]Pizza Sales Calculations'!$G1081=TRUE, [1]Parameters!$B$17*'[1]Pizza Sales Calculations'!$L1081*2, 0)</f>
        <v>2.3611111108912155</v>
      </c>
      <c r="S1081" t="str">
        <f>IF(I1081&lt;[1]Parameters!$B$21,"TRUE","FALSE")</f>
        <v>TRUE</v>
      </c>
      <c r="T1081" s="5">
        <f>(I1081/[1]Parameters!$B$25)*60</f>
        <v>3.3335895739622798</v>
      </c>
      <c r="U1081" s="10">
        <f>IF(AND('[1]Pizza Sales Calculations'!G1081=TRUE,'[1]Pizza Sales Calculations'!S1081="TRUE"),T1081*[1]Parameters!$B$40*2,0)</f>
        <v>0.20809142223868551</v>
      </c>
      <c r="V1081">
        <f>INDEX([1]Parameters!$A$3:$C$5,MATCH('[1]Pizza Sales Calculations'!D1081,[1]Parameters!$A$3:$A$5,0),2)</f>
        <v>7</v>
      </c>
      <c r="W1081">
        <f>INDEX([1]Parameters!$A$3:$C$5,MATCH('[1]Pizza Sales Calculations'!E1081,[1]Parameters!$A$3:$A$5,0),2)</f>
        <v>10</v>
      </c>
      <c r="X1081" t="e">
        <f>INDEX([1]Parameters!$A$3:$C$5,MATCH('[1]Pizza Sales Calculations'!F1081,[1]Parameters!$A$3:$A$5,0),2)</f>
        <v>#N/A</v>
      </c>
    </row>
    <row r="1082" spans="1:24" x14ac:dyDescent="0.3">
      <c r="A1082">
        <v>1081</v>
      </c>
      <c r="B1082" s="14">
        <v>42381.489791666667</v>
      </c>
      <c r="C1082" s="14">
        <v>42381.500185185185</v>
      </c>
      <c r="D1082" t="s">
        <v>3</v>
      </c>
      <c r="E1082" t="s">
        <v>5</v>
      </c>
      <c r="G1082" t="b">
        <v>0</v>
      </c>
      <c r="H1082">
        <v>70806</v>
      </c>
      <c r="I1082" s="5">
        <v>0</v>
      </c>
      <c r="J1082" s="14">
        <v>42381.502268518518</v>
      </c>
      <c r="K1082">
        <v>23.34</v>
      </c>
      <c r="L1082" s="5">
        <f>('[1]Pizza Sales Calculations'!$J1082-'[1]Pizza Sales Calculations'!$C1082)*24*60</f>
        <v>2.9999999993015081</v>
      </c>
      <c r="M1082">
        <f>COUNTA('[1]Pizza Sales Calculations'!$D1082:$F1082)</f>
        <v>2</v>
      </c>
      <c r="N1082">
        <f>IFERROR(VLOOKUP(D1082,[1]Parameters!$A$3:$C$5,3,FALSE),0)</f>
        <v>1</v>
      </c>
      <c r="O1082">
        <f>IFERROR(VLOOKUP(E1082,[1]Parameters!$A$3:$C$5,3,FALSE),0)</f>
        <v>2.2999999999999998</v>
      </c>
      <c r="P1082">
        <f>IFERROR(VLOOKUP(F1082,[1]Parameters!$A$3:$C$5,3,FALSE),0)</f>
        <v>0</v>
      </c>
      <c r="Q1082">
        <f t="shared" si="16"/>
        <v>3.3</v>
      </c>
      <c r="R1082" s="10">
        <f>IF('[1]Pizza Sales Calculations'!$G1082=TRUE, [1]Parameters!$B$17*'[1]Pizza Sales Calculations'!$L1082*2, 0)</f>
        <v>0</v>
      </c>
      <c r="S1082" t="str">
        <f>IF(I1082&lt;[1]Parameters!$B$21,"TRUE","FALSE")</f>
        <v>TRUE</v>
      </c>
      <c r="T1082" s="5">
        <f>(I1082/[1]Parameters!$B$25)*60</f>
        <v>0</v>
      </c>
      <c r="U1082" s="10">
        <f>IF(AND('[1]Pizza Sales Calculations'!G1082=TRUE,'[1]Pizza Sales Calculations'!S1082="TRUE"),T1082*[1]Parameters!$B$40*2,0)</f>
        <v>0</v>
      </c>
      <c r="V1082">
        <f>INDEX([1]Parameters!$A$3:$C$5,MATCH('[1]Pizza Sales Calculations'!D1082,[1]Parameters!$A$3:$A$5,0),2)</f>
        <v>7</v>
      </c>
      <c r="W1082">
        <f>INDEX([1]Parameters!$A$3:$C$5,MATCH('[1]Pizza Sales Calculations'!E1082,[1]Parameters!$A$3:$A$5,0),2)</f>
        <v>14</v>
      </c>
      <c r="X1082" t="e">
        <f>INDEX([1]Parameters!$A$3:$C$5,MATCH('[1]Pizza Sales Calculations'!F1082,[1]Parameters!$A$3:$A$5,0),2)</f>
        <v>#N/A</v>
      </c>
    </row>
    <row r="1083" spans="1:24" x14ac:dyDescent="0.3">
      <c r="A1083">
        <v>1082</v>
      </c>
      <c r="B1083" s="14">
        <v>42381.499421296299</v>
      </c>
      <c r="C1083" s="14">
        <v>42381.509826388887</v>
      </c>
      <c r="D1083" t="s">
        <v>5</v>
      </c>
      <c r="G1083" t="b">
        <v>1</v>
      </c>
      <c r="H1083">
        <v>70806</v>
      </c>
      <c r="I1083" s="5">
        <v>4.38264169789056</v>
      </c>
      <c r="J1083" s="14">
        <v>42381.525034722225</v>
      </c>
      <c r="K1083">
        <v>15.35</v>
      </c>
      <c r="L1083" s="5">
        <f>('[1]Pizza Sales Calculations'!$J1083-'[1]Pizza Sales Calculations'!$C1083)*24*60</f>
        <v>21.900000006426126</v>
      </c>
      <c r="M1083">
        <f>COUNTA('[1]Pizza Sales Calculations'!$D1083:$F1083)</f>
        <v>1</v>
      </c>
      <c r="N1083">
        <f>IFERROR(VLOOKUP(D1083,[1]Parameters!$A$3:$C$5,3,FALSE),0)</f>
        <v>2.2999999999999998</v>
      </c>
      <c r="O1083">
        <f>IFERROR(VLOOKUP(E1083,[1]Parameters!$A$3:$C$5,3,FALSE),0)</f>
        <v>0</v>
      </c>
      <c r="P1083">
        <f>IFERROR(VLOOKUP(F1083,[1]Parameters!$A$3:$C$5,3,FALSE),0)</f>
        <v>0</v>
      </c>
      <c r="Q1083">
        <f t="shared" si="16"/>
        <v>2.2999999999999998</v>
      </c>
      <c r="R1083" s="10">
        <f>IF('[1]Pizza Sales Calculations'!$G1083=TRUE, [1]Parameters!$B$17*'[1]Pizza Sales Calculations'!$L1083*2, 0)</f>
        <v>6.2050000018207356</v>
      </c>
      <c r="S1083" t="str">
        <f>IF(I1083&lt;[1]Parameters!$B$21,"TRUE","FALSE")</f>
        <v>FALSE</v>
      </c>
      <c r="T1083" s="5">
        <f>(I1083/[1]Parameters!$B$25)*60</f>
        <v>8.76528339578112</v>
      </c>
      <c r="U1083" s="10">
        <f>IF(AND('[1]Pizza Sales Calculations'!G1083=TRUE,'[1]Pizza Sales Calculations'!S1083="TRUE"),T1083*[1]Parameters!$B$40*2,0)</f>
        <v>0</v>
      </c>
      <c r="V1083">
        <f>INDEX([1]Parameters!$A$3:$C$5,MATCH('[1]Pizza Sales Calculations'!D1083,[1]Parameters!$A$3:$A$5,0),2)</f>
        <v>14</v>
      </c>
      <c r="W1083" t="e">
        <f>INDEX([1]Parameters!$A$3:$C$5,MATCH('[1]Pizza Sales Calculations'!E1083,[1]Parameters!$A$3:$A$5,0),2)</f>
        <v>#N/A</v>
      </c>
      <c r="X1083" t="e">
        <f>INDEX([1]Parameters!$A$3:$C$5,MATCH('[1]Pizza Sales Calculations'!F1083,[1]Parameters!$A$3:$A$5,0),2)</f>
        <v>#N/A</v>
      </c>
    </row>
    <row r="1084" spans="1:24" x14ac:dyDescent="0.3">
      <c r="A1084">
        <v>1083</v>
      </c>
      <c r="B1084" s="14">
        <v>42381.507928240739</v>
      </c>
      <c r="C1084" s="14">
        <v>42381.518321759257</v>
      </c>
      <c r="D1084" t="s">
        <v>4</v>
      </c>
      <c r="G1084" t="b">
        <v>1</v>
      </c>
      <c r="H1084">
        <v>70804</v>
      </c>
      <c r="I1084" s="5">
        <v>3.3098200725698801</v>
      </c>
      <c r="J1084" s="14">
        <v>42381.529803240737</v>
      </c>
      <c r="K1084">
        <v>11.59</v>
      </c>
      <c r="L1084" s="5">
        <f>('[1]Pizza Sales Calculations'!$J1084-'[1]Pizza Sales Calculations'!$C1084)*24*60</f>
        <v>16.533333332045004</v>
      </c>
      <c r="M1084">
        <f>COUNTA('[1]Pizza Sales Calculations'!$D1084:$F1084)</f>
        <v>1</v>
      </c>
      <c r="N1084">
        <f>IFERROR(VLOOKUP(D1084,[1]Parameters!$A$3:$C$5,3,FALSE),0)</f>
        <v>1.7</v>
      </c>
      <c r="O1084">
        <f>IFERROR(VLOOKUP(E1084,[1]Parameters!$A$3:$C$5,3,FALSE),0)</f>
        <v>0</v>
      </c>
      <c r="P1084">
        <f>IFERROR(VLOOKUP(F1084,[1]Parameters!$A$3:$C$5,3,FALSE),0)</f>
        <v>0</v>
      </c>
      <c r="Q1084">
        <f t="shared" si="16"/>
        <v>1.7</v>
      </c>
      <c r="R1084" s="10">
        <f>IF('[1]Pizza Sales Calculations'!$G1084=TRUE, [1]Parameters!$B$17*'[1]Pizza Sales Calculations'!$L1084*2, 0)</f>
        <v>4.6844444440794177</v>
      </c>
      <c r="S1084" t="str">
        <f>IF(I1084&lt;[1]Parameters!$B$21,"TRUE","FALSE")</f>
        <v>FALSE</v>
      </c>
      <c r="T1084" s="5">
        <f>(I1084/[1]Parameters!$B$25)*60</f>
        <v>6.6196401451397602</v>
      </c>
      <c r="U1084" s="10">
        <f>IF(AND('[1]Pizza Sales Calculations'!G1084=TRUE,'[1]Pizza Sales Calculations'!S1084="TRUE"),T1084*[1]Parameters!$B$40*2,0)</f>
        <v>0</v>
      </c>
      <c r="V1084">
        <f>INDEX([1]Parameters!$A$3:$C$5,MATCH('[1]Pizza Sales Calculations'!D1084,[1]Parameters!$A$3:$A$5,0),2)</f>
        <v>10</v>
      </c>
      <c r="W1084" t="e">
        <f>INDEX([1]Parameters!$A$3:$C$5,MATCH('[1]Pizza Sales Calculations'!E1084,[1]Parameters!$A$3:$A$5,0),2)</f>
        <v>#N/A</v>
      </c>
      <c r="X1084" t="e">
        <f>INDEX([1]Parameters!$A$3:$C$5,MATCH('[1]Pizza Sales Calculations'!F1084,[1]Parameters!$A$3:$A$5,0),2)</f>
        <v>#N/A</v>
      </c>
    </row>
    <row r="1085" spans="1:24" x14ac:dyDescent="0.3">
      <c r="A1085">
        <v>1084</v>
      </c>
      <c r="B1085" s="14">
        <v>42381.510763888888</v>
      </c>
      <c r="C1085" s="14">
        <v>42381.521180555559</v>
      </c>
      <c r="D1085" t="s">
        <v>4</v>
      </c>
      <c r="G1085" t="b">
        <v>0</v>
      </c>
      <c r="H1085">
        <v>70804</v>
      </c>
      <c r="I1085" s="5">
        <v>0</v>
      </c>
      <c r="J1085" s="14">
        <v>42381.523252314815</v>
      </c>
      <c r="K1085">
        <v>11.59</v>
      </c>
      <c r="L1085" s="5">
        <f>('[1]Pizza Sales Calculations'!$J1085-'[1]Pizza Sales Calculations'!$C1085)*24*60</f>
        <v>2.9833333287388086</v>
      </c>
      <c r="M1085">
        <f>COUNTA('[1]Pizza Sales Calculations'!$D1085:$F1085)</f>
        <v>1</v>
      </c>
      <c r="N1085">
        <f>IFERROR(VLOOKUP(D1085,[1]Parameters!$A$3:$C$5,3,FALSE),0)</f>
        <v>1.7</v>
      </c>
      <c r="O1085">
        <f>IFERROR(VLOOKUP(E1085,[1]Parameters!$A$3:$C$5,3,FALSE),0)</f>
        <v>0</v>
      </c>
      <c r="P1085">
        <f>IFERROR(VLOOKUP(F1085,[1]Parameters!$A$3:$C$5,3,FALSE),0)</f>
        <v>0</v>
      </c>
      <c r="Q1085">
        <f t="shared" si="16"/>
        <v>1.7</v>
      </c>
      <c r="R1085" s="10">
        <f>IF('[1]Pizza Sales Calculations'!$G1085=TRUE, [1]Parameters!$B$17*'[1]Pizza Sales Calculations'!$L1085*2, 0)</f>
        <v>0</v>
      </c>
      <c r="S1085" t="str">
        <f>IF(I1085&lt;[1]Parameters!$B$21,"TRUE","FALSE")</f>
        <v>TRUE</v>
      </c>
      <c r="T1085" s="5">
        <f>(I1085/[1]Parameters!$B$25)*60</f>
        <v>0</v>
      </c>
      <c r="U1085" s="10">
        <f>IF(AND('[1]Pizza Sales Calculations'!G1085=TRUE,'[1]Pizza Sales Calculations'!S1085="TRUE"),T1085*[1]Parameters!$B$40*2,0)</f>
        <v>0</v>
      </c>
      <c r="V1085">
        <f>INDEX([1]Parameters!$A$3:$C$5,MATCH('[1]Pizza Sales Calculations'!D1085,[1]Parameters!$A$3:$A$5,0),2)</f>
        <v>10</v>
      </c>
      <c r="W1085" t="e">
        <f>INDEX([1]Parameters!$A$3:$C$5,MATCH('[1]Pizza Sales Calculations'!E1085,[1]Parameters!$A$3:$A$5,0),2)</f>
        <v>#N/A</v>
      </c>
      <c r="X1085" t="e">
        <f>INDEX([1]Parameters!$A$3:$C$5,MATCH('[1]Pizza Sales Calculations'!F1085,[1]Parameters!$A$3:$A$5,0),2)</f>
        <v>#N/A</v>
      </c>
    </row>
    <row r="1086" spans="1:24" x14ac:dyDescent="0.3">
      <c r="A1086">
        <v>1085</v>
      </c>
      <c r="B1086" s="14">
        <v>42381.515787037039</v>
      </c>
      <c r="C1086" s="14">
        <v>42381.526192129626</v>
      </c>
      <c r="D1086" t="s">
        <v>3</v>
      </c>
      <c r="E1086" t="s">
        <v>4</v>
      </c>
      <c r="G1086" t="b">
        <v>0</v>
      </c>
      <c r="H1086">
        <v>70808</v>
      </c>
      <c r="I1086" s="5">
        <v>0</v>
      </c>
      <c r="J1086" s="14">
        <v>42381.528287037036</v>
      </c>
      <c r="K1086">
        <v>19.579999999999998</v>
      </c>
      <c r="L1086" s="5">
        <f>('[1]Pizza Sales Calculations'!$J1086-'[1]Pizza Sales Calculations'!$C1086)*24*60</f>
        <v>3.0166666698642075</v>
      </c>
      <c r="M1086">
        <f>COUNTA('[1]Pizza Sales Calculations'!$D1086:$F1086)</f>
        <v>2</v>
      </c>
      <c r="N1086">
        <f>IFERROR(VLOOKUP(D1086,[1]Parameters!$A$3:$C$5,3,FALSE),0)</f>
        <v>1</v>
      </c>
      <c r="O1086">
        <f>IFERROR(VLOOKUP(E1086,[1]Parameters!$A$3:$C$5,3,FALSE),0)</f>
        <v>1.7</v>
      </c>
      <c r="P1086">
        <f>IFERROR(VLOOKUP(F1086,[1]Parameters!$A$3:$C$5,3,FALSE),0)</f>
        <v>0</v>
      </c>
      <c r="Q1086">
        <f t="shared" si="16"/>
        <v>2.7</v>
      </c>
      <c r="R1086" s="10">
        <f>IF('[1]Pizza Sales Calculations'!$G1086=TRUE, [1]Parameters!$B$17*'[1]Pizza Sales Calculations'!$L1086*2, 0)</f>
        <v>0</v>
      </c>
      <c r="S1086" t="str">
        <f>IF(I1086&lt;[1]Parameters!$B$21,"TRUE","FALSE")</f>
        <v>TRUE</v>
      </c>
      <c r="T1086" s="5">
        <f>(I1086/[1]Parameters!$B$25)*60</f>
        <v>0</v>
      </c>
      <c r="U1086" s="10">
        <f>IF(AND('[1]Pizza Sales Calculations'!G1086=TRUE,'[1]Pizza Sales Calculations'!S1086="TRUE"),T1086*[1]Parameters!$B$40*2,0)</f>
        <v>0</v>
      </c>
      <c r="V1086">
        <f>INDEX([1]Parameters!$A$3:$C$5,MATCH('[1]Pizza Sales Calculations'!D1086,[1]Parameters!$A$3:$A$5,0),2)</f>
        <v>7</v>
      </c>
      <c r="W1086">
        <f>INDEX([1]Parameters!$A$3:$C$5,MATCH('[1]Pizza Sales Calculations'!E1086,[1]Parameters!$A$3:$A$5,0),2)</f>
        <v>10</v>
      </c>
      <c r="X1086" t="e">
        <f>INDEX([1]Parameters!$A$3:$C$5,MATCH('[1]Pizza Sales Calculations'!F1086,[1]Parameters!$A$3:$A$5,0),2)</f>
        <v>#N/A</v>
      </c>
    </row>
    <row r="1087" spans="1:24" x14ac:dyDescent="0.3">
      <c r="A1087">
        <v>1086</v>
      </c>
      <c r="B1087" s="14">
        <v>42381.433113425926</v>
      </c>
      <c r="C1087" s="14">
        <v>42381.443506944444</v>
      </c>
      <c r="D1087" t="s">
        <v>3</v>
      </c>
      <c r="G1087" t="b">
        <v>1</v>
      </c>
      <c r="H1087">
        <v>70804</v>
      </c>
      <c r="I1087" s="5">
        <v>3.7466325935879898</v>
      </c>
      <c r="J1087" s="14">
        <v>42381.456504629627</v>
      </c>
      <c r="K1087">
        <v>7.99</v>
      </c>
      <c r="L1087" s="5">
        <f>('[1]Pizza Sales Calculations'!$J1087-'[1]Pizza Sales Calculations'!$C1087)*24*60</f>
        <v>18.716666662367061</v>
      </c>
      <c r="M1087">
        <f>COUNTA('[1]Pizza Sales Calculations'!$D1087:$F1087)</f>
        <v>1</v>
      </c>
      <c r="N1087">
        <f>IFERROR(VLOOKUP(D1087,[1]Parameters!$A$3:$C$5,3,FALSE),0)</f>
        <v>1</v>
      </c>
      <c r="O1087">
        <f>IFERROR(VLOOKUP(E1087,[1]Parameters!$A$3:$C$5,3,FALSE),0)</f>
        <v>0</v>
      </c>
      <c r="P1087">
        <f>IFERROR(VLOOKUP(F1087,[1]Parameters!$A$3:$C$5,3,FALSE),0)</f>
        <v>0</v>
      </c>
      <c r="Q1087">
        <f t="shared" si="16"/>
        <v>1</v>
      </c>
      <c r="R1087" s="10">
        <f>IF('[1]Pizza Sales Calculations'!$G1087=TRUE, [1]Parameters!$B$17*'[1]Pizza Sales Calculations'!$L1087*2, 0)</f>
        <v>5.3030555543373339</v>
      </c>
      <c r="S1087" t="str">
        <f>IF(I1087&lt;[1]Parameters!$B$21,"TRUE","FALSE")</f>
        <v>FALSE</v>
      </c>
      <c r="T1087" s="5">
        <f>(I1087/[1]Parameters!$B$25)*60</f>
        <v>7.4932651871759797</v>
      </c>
      <c r="U1087" s="10">
        <f>IF(AND('[1]Pizza Sales Calculations'!G1087=TRUE,'[1]Pizza Sales Calculations'!S1087="TRUE"),T1087*[1]Parameters!$B$40*2,0)</f>
        <v>0</v>
      </c>
      <c r="V1087">
        <f>INDEX([1]Parameters!$A$3:$C$5,MATCH('[1]Pizza Sales Calculations'!D1087,[1]Parameters!$A$3:$A$5,0),2)</f>
        <v>7</v>
      </c>
      <c r="W1087" t="e">
        <f>INDEX([1]Parameters!$A$3:$C$5,MATCH('[1]Pizza Sales Calculations'!E1087,[1]Parameters!$A$3:$A$5,0),2)</f>
        <v>#N/A</v>
      </c>
      <c r="X1087" t="e">
        <f>INDEX([1]Parameters!$A$3:$C$5,MATCH('[1]Pizza Sales Calculations'!F1087,[1]Parameters!$A$3:$A$5,0),2)</f>
        <v>#N/A</v>
      </c>
    </row>
    <row r="1088" spans="1:24" x14ac:dyDescent="0.3">
      <c r="A1088">
        <v>1087</v>
      </c>
      <c r="B1088" s="14">
        <v>42381.512638888889</v>
      </c>
      <c r="C1088" s="14">
        <v>42381.523043981484</v>
      </c>
      <c r="D1088" t="s">
        <v>4</v>
      </c>
      <c r="G1088" t="b">
        <v>0</v>
      </c>
      <c r="H1088">
        <v>70804</v>
      </c>
      <c r="I1088" s="5">
        <v>0</v>
      </c>
      <c r="J1088" s="14">
        <v>42381.525138888886</v>
      </c>
      <c r="K1088">
        <v>11.59</v>
      </c>
      <c r="L1088" s="5">
        <f>('[1]Pizza Sales Calculations'!$J1088-'[1]Pizza Sales Calculations'!$C1088)*24*60</f>
        <v>3.0166666593868285</v>
      </c>
      <c r="M1088">
        <f>COUNTA('[1]Pizza Sales Calculations'!$D1088:$F1088)</f>
        <v>1</v>
      </c>
      <c r="N1088">
        <f>IFERROR(VLOOKUP(D1088,[1]Parameters!$A$3:$C$5,3,FALSE),0)</f>
        <v>1.7</v>
      </c>
      <c r="O1088">
        <f>IFERROR(VLOOKUP(E1088,[1]Parameters!$A$3:$C$5,3,FALSE),0)</f>
        <v>0</v>
      </c>
      <c r="P1088">
        <f>IFERROR(VLOOKUP(F1088,[1]Parameters!$A$3:$C$5,3,FALSE),0)</f>
        <v>0</v>
      </c>
      <c r="Q1088">
        <f t="shared" si="16"/>
        <v>1.7</v>
      </c>
      <c r="R1088" s="10">
        <f>IF('[1]Pizza Sales Calculations'!$G1088=TRUE, [1]Parameters!$B$17*'[1]Pizza Sales Calculations'!$L1088*2, 0)</f>
        <v>0</v>
      </c>
      <c r="S1088" t="str">
        <f>IF(I1088&lt;[1]Parameters!$B$21,"TRUE","FALSE")</f>
        <v>TRUE</v>
      </c>
      <c r="T1088" s="5">
        <f>(I1088/[1]Parameters!$B$25)*60</f>
        <v>0</v>
      </c>
      <c r="U1088" s="10">
        <f>IF(AND('[1]Pizza Sales Calculations'!G1088=TRUE,'[1]Pizza Sales Calculations'!S1088="TRUE"),T1088*[1]Parameters!$B$40*2,0)</f>
        <v>0</v>
      </c>
      <c r="V1088">
        <f>INDEX([1]Parameters!$A$3:$C$5,MATCH('[1]Pizza Sales Calculations'!D1088,[1]Parameters!$A$3:$A$5,0),2)</f>
        <v>10</v>
      </c>
      <c r="W1088" t="e">
        <f>INDEX([1]Parameters!$A$3:$C$5,MATCH('[1]Pizza Sales Calculations'!E1088,[1]Parameters!$A$3:$A$5,0),2)</f>
        <v>#N/A</v>
      </c>
      <c r="X1088" t="e">
        <f>INDEX([1]Parameters!$A$3:$C$5,MATCH('[1]Pizza Sales Calculations'!F1088,[1]Parameters!$A$3:$A$5,0),2)</f>
        <v>#N/A</v>
      </c>
    </row>
    <row r="1089" spans="1:24" x14ac:dyDescent="0.3">
      <c r="A1089">
        <v>1088</v>
      </c>
      <c r="B1089" s="14">
        <v>42381.44363425926</v>
      </c>
      <c r="C1089" s="14">
        <v>42381.454074074078</v>
      </c>
      <c r="D1089" t="s">
        <v>4</v>
      </c>
      <c r="G1089" t="b">
        <v>1</v>
      </c>
      <c r="H1089">
        <v>70804</v>
      </c>
      <c r="I1089" s="5">
        <v>2.74246590847428</v>
      </c>
      <c r="J1089" s="14">
        <v>42381.463587962964</v>
      </c>
      <c r="K1089">
        <v>11.59</v>
      </c>
      <c r="L1089" s="5">
        <f>('[1]Pizza Sales Calculations'!$J1089-'[1]Pizza Sales Calculations'!$C1089)*24*60</f>
        <v>13.699999996460974</v>
      </c>
      <c r="M1089">
        <f>COUNTA('[1]Pizza Sales Calculations'!$D1089:$F1089)</f>
        <v>1</v>
      </c>
      <c r="N1089">
        <f>IFERROR(VLOOKUP(D1089,[1]Parameters!$A$3:$C$5,3,FALSE),0)</f>
        <v>1.7</v>
      </c>
      <c r="O1089">
        <f>IFERROR(VLOOKUP(E1089,[1]Parameters!$A$3:$C$5,3,FALSE),0)</f>
        <v>0</v>
      </c>
      <c r="P1089">
        <f>IFERROR(VLOOKUP(F1089,[1]Parameters!$A$3:$C$5,3,FALSE),0)</f>
        <v>0</v>
      </c>
      <c r="Q1089">
        <f t="shared" si="16"/>
        <v>1.7</v>
      </c>
      <c r="R1089" s="10">
        <f>IF('[1]Pizza Sales Calculations'!$G1089=TRUE, [1]Parameters!$B$17*'[1]Pizza Sales Calculations'!$L1089*2, 0)</f>
        <v>3.8816666656639427</v>
      </c>
      <c r="S1089" t="str">
        <f>IF(I1089&lt;[1]Parameters!$B$21,"TRUE","FALSE")</f>
        <v>TRUE</v>
      </c>
      <c r="T1089" s="5">
        <f>(I1089/[1]Parameters!$B$25)*60</f>
        <v>5.4849318169485599</v>
      </c>
      <c r="U1089" s="10">
        <f>IF(AND('[1]Pizza Sales Calculations'!G1089=TRUE,'[1]Pizza Sales Calculations'!S1089="TRUE"),T1089*[1]Parameters!$B$40*2,0)</f>
        <v>0.34238385900470125</v>
      </c>
      <c r="V1089">
        <f>INDEX([1]Parameters!$A$3:$C$5,MATCH('[1]Pizza Sales Calculations'!D1089,[1]Parameters!$A$3:$A$5,0),2)</f>
        <v>10</v>
      </c>
      <c r="W1089" t="e">
        <f>INDEX([1]Parameters!$A$3:$C$5,MATCH('[1]Pizza Sales Calculations'!E1089,[1]Parameters!$A$3:$A$5,0),2)</f>
        <v>#N/A</v>
      </c>
      <c r="X1089" t="e">
        <f>INDEX([1]Parameters!$A$3:$C$5,MATCH('[1]Pizza Sales Calculations'!F1089,[1]Parameters!$A$3:$A$5,0),2)</f>
        <v>#N/A</v>
      </c>
    </row>
    <row r="1090" spans="1:24" x14ac:dyDescent="0.3">
      <c r="A1090">
        <v>1089</v>
      </c>
      <c r="B1090" s="14">
        <v>42381.517824074072</v>
      </c>
      <c r="C1090" s="14">
        <v>42381.528240740743</v>
      </c>
      <c r="D1090" t="s">
        <v>3</v>
      </c>
      <c r="E1090" t="s">
        <v>4</v>
      </c>
      <c r="G1090" t="b">
        <v>0</v>
      </c>
      <c r="H1090">
        <v>70804</v>
      </c>
      <c r="I1090" s="5">
        <v>0</v>
      </c>
      <c r="J1090" s="14">
        <v>42381.530312499999</v>
      </c>
      <c r="K1090">
        <v>19.579999999999998</v>
      </c>
      <c r="L1090" s="5">
        <f>('[1]Pizza Sales Calculations'!$J1090-'[1]Pizza Sales Calculations'!$C1090)*24*60</f>
        <v>2.9833333287388086</v>
      </c>
      <c r="M1090">
        <f>COUNTA('[1]Pizza Sales Calculations'!$D1090:$F1090)</f>
        <v>2</v>
      </c>
      <c r="N1090">
        <f>IFERROR(VLOOKUP(D1090,[1]Parameters!$A$3:$C$5,3,FALSE),0)</f>
        <v>1</v>
      </c>
      <c r="O1090">
        <f>IFERROR(VLOOKUP(E1090,[1]Parameters!$A$3:$C$5,3,FALSE),0)</f>
        <v>1.7</v>
      </c>
      <c r="P1090">
        <f>IFERROR(VLOOKUP(F1090,[1]Parameters!$A$3:$C$5,3,FALSE),0)</f>
        <v>0</v>
      </c>
      <c r="Q1090">
        <f t="shared" si="16"/>
        <v>2.7</v>
      </c>
      <c r="R1090" s="10">
        <f>IF('[1]Pizza Sales Calculations'!$G1090=TRUE, [1]Parameters!$B$17*'[1]Pizza Sales Calculations'!$L1090*2, 0)</f>
        <v>0</v>
      </c>
      <c r="S1090" t="str">
        <f>IF(I1090&lt;[1]Parameters!$B$21,"TRUE","FALSE")</f>
        <v>TRUE</v>
      </c>
      <c r="T1090" s="5">
        <f>(I1090/[1]Parameters!$B$25)*60</f>
        <v>0</v>
      </c>
      <c r="U1090" s="10">
        <f>IF(AND('[1]Pizza Sales Calculations'!G1090=TRUE,'[1]Pizza Sales Calculations'!S1090="TRUE"),T1090*[1]Parameters!$B$40*2,0)</f>
        <v>0</v>
      </c>
      <c r="V1090">
        <f>INDEX([1]Parameters!$A$3:$C$5,MATCH('[1]Pizza Sales Calculations'!D1090,[1]Parameters!$A$3:$A$5,0),2)</f>
        <v>7</v>
      </c>
      <c r="W1090">
        <f>INDEX([1]Parameters!$A$3:$C$5,MATCH('[1]Pizza Sales Calculations'!E1090,[1]Parameters!$A$3:$A$5,0),2)</f>
        <v>10</v>
      </c>
      <c r="X1090" t="e">
        <f>INDEX([1]Parameters!$A$3:$C$5,MATCH('[1]Pizza Sales Calculations'!F1090,[1]Parameters!$A$3:$A$5,0),2)</f>
        <v>#N/A</v>
      </c>
    </row>
    <row r="1091" spans="1:24" x14ac:dyDescent="0.3">
      <c r="A1091">
        <v>1090</v>
      </c>
      <c r="B1091" s="14">
        <v>42381.522800925923</v>
      </c>
      <c r="C1091" s="14">
        <v>42381.533229166664</v>
      </c>
      <c r="D1091" t="s">
        <v>3</v>
      </c>
      <c r="E1091" t="s">
        <v>4</v>
      </c>
      <c r="G1091" t="b">
        <v>1</v>
      </c>
      <c r="H1091">
        <v>70808</v>
      </c>
      <c r="I1091" s="5">
        <v>1.5988477288799201</v>
      </c>
      <c r="J1091" s="14">
        <v>42381.538773148146</v>
      </c>
      <c r="K1091">
        <v>19.579999999999998</v>
      </c>
      <c r="L1091" s="5">
        <f>('[1]Pizza Sales Calculations'!$J1091-'[1]Pizza Sales Calculations'!$C1091)*24*60</f>
        <v>7.9833333345595747</v>
      </c>
      <c r="M1091">
        <f>COUNTA('[1]Pizza Sales Calculations'!$D1091:$F1091)</f>
        <v>2</v>
      </c>
      <c r="N1091">
        <f>IFERROR(VLOOKUP(D1091,[1]Parameters!$A$3:$C$5,3,FALSE),0)</f>
        <v>1</v>
      </c>
      <c r="O1091">
        <f>IFERROR(VLOOKUP(E1091,[1]Parameters!$A$3:$C$5,3,FALSE),0)</f>
        <v>1.7</v>
      </c>
      <c r="P1091">
        <f>IFERROR(VLOOKUP(F1091,[1]Parameters!$A$3:$C$5,3,FALSE),0)</f>
        <v>0</v>
      </c>
      <c r="Q1091">
        <f t="shared" ref="Q1091:Q1154" si="17">SUM(N1091:P1091)</f>
        <v>2.7</v>
      </c>
      <c r="R1091" s="10">
        <f>IF('[1]Pizza Sales Calculations'!$G1091=TRUE, [1]Parameters!$B$17*'[1]Pizza Sales Calculations'!$L1091*2, 0)</f>
        <v>2.2619444447918795</v>
      </c>
      <c r="S1091" t="str">
        <f>IF(I1091&lt;[1]Parameters!$B$21,"TRUE","FALSE")</f>
        <v>TRUE</v>
      </c>
      <c r="T1091" s="5">
        <f>(I1091/[1]Parameters!$B$25)*60</f>
        <v>3.1976954577598402</v>
      </c>
      <c r="U1091" s="10">
        <f>IF(AND('[1]Pizza Sales Calculations'!G1091=TRUE,'[1]Pizza Sales Calculations'!S1091="TRUE"),T1091*[1]Parameters!$B$40*2,0)</f>
        <v>0.19960855436097513</v>
      </c>
      <c r="V1091">
        <f>INDEX([1]Parameters!$A$3:$C$5,MATCH('[1]Pizza Sales Calculations'!D1091,[1]Parameters!$A$3:$A$5,0),2)</f>
        <v>7</v>
      </c>
      <c r="W1091">
        <f>INDEX([1]Parameters!$A$3:$C$5,MATCH('[1]Pizza Sales Calculations'!E1091,[1]Parameters!$A$3:$A$5,0),2)</f>
        <v>10</v>
      </c>
      <c r="X1091" t="e">
        <f>INDEX([1]Parameters!$A$3:$C$5,MATCH('[1]Pizza Sales Calculations'!F1091,[1]Parameters!$A$3:$A$5,0),2)</f>
        <v>#N/A</v>
      </c>
    </row>
    <row r="1092" spans="1:24" x14ac:dyDescent="0.3">
      <c r="A1092">
        <v>1091</v>
      </c>
      <c r="B1092" s="14">
        <v>42381.480312500003</v>
      </c>
      <c r="C1092" s="14">
        <v>42381.490729166668</v>
      </c>
      <c r="D1092" t="s">
        <v>5</v>
      </c>
      <c r="G1092" t="b">
        <v>1</v>
      </c>
      <c r="H1092">
        <v>70806</v>
      </c>
      <c r="I1092" s="5">
        <v>3.7245432057616501</v>
      </c>
      <c r="J1092" s="14">
        <v>42381.503657407404</v>
      </c>
      <c r="K1092">
        <v>15.35</v>
      </c>
      <c r="L1092" s="5">
        <f>('[1]Pizza Sales Calculations'!$J1092-'[1]Pizza Sales Calculations'!$C1092)*24*60</f>
        <v>18.616666659945622</v>
      </c>
      <c r="M1092">
        <f>COUNTA('[1]Pizza Sales Calculations'!$D1092:$F1092)</f>
        <v>1</v>
      </c>
      <c r="N1092">
        <f>IFERROR(VLOOKUP(D1092,[1]Parameters!$A$3:$C$5,3,FALSE),0)</f>
        <v>2.2999999999999998</v>
      </c>
      <c r="O1092">
        <f>IFERROR(VLOOKUP(E1092,[1]Parameters!$A$3:$C$5,3,FALSE),0)</f>
        <v>0</v>
      </c>
      <c r="P1092">
        <f>IFERROR(VLOOKUP(F1092,[1]Parameters!$A$3:$C$5,3,FALSE),0)</f>
        <v>0</v>
      </c>
      <c r="Q1092">
        <f t="shared" si="17"/>
        <v>2.2999999999999998</v>
      </c>
      <c r="R1092" s="10">
        <f>IF('[1]Pizza Sales Calculations'!$G1092=TRUE, [1]Parameters!$B$17*'[1]Pizza Sales Calculations'!$L1092*2, 0)</f>
        <v>5.2747222203179263</v>
      </c>
      <c r="S1092" t="str">
        <f>IF(I1092&lt;[1]Parameters!$B$21,"TRUE","FALSE")</f>
        <v>FALSE</v>
      </c>
      <c r="T1092" s="5">
        <f>(I1092/[1]Parameters!$B$25)*60</f>
        <v>7.4490864115233002</v>
      </c>
      <c r="U1092" s="10">
        <f>IF(AND('[1]Pizza Sales Calculations'!G1092=TRUE,'[1]Pizza Sales Calculations'!S1092="TRUE"),T1092*[1]Parameters!$B$40*2,0)</f>
        <v>0</v>
      </c>
      <c r="V1092">
        <f>INDEX([1]Parameters!$A$3:$C$5,MATCH('[1]Pizza Sales Calculations'!D1092,[1]Parameters!$A$3:$A$5,0),2)</f>
        <v>14</v>
      </c>
      <c r="W1092" t="e">
        <f>INDEX([1]Parameters!$A$3:$C$5,MATCH('[1]Pizza Sales Calculations'!E1092,[1]Parameters!$A$3:$A$5,0),2)</f>
        <v>#N/A</v>
      </c>
      <c r="X1092" t="e">
        <f>INDEX([1]Parameters!$A$3:$C$5,MATCH('[1]Pizza Sales Calculations'!F1092,[1]Parameters!$A$3:$A$5,0),2)</f>
        <v>#N/A</v>
      </c>
    </row>
    <row r="1093" spans="1:24" x14ac:dyDescent="0.3">
      <c r="A1093">
        <v>1092</v>
      </c>
      <c r="B1093" s="14">
        <v>42381.465682870374</v>
      </c>
      <c r="C1093" s="14">
        <v>42381.476076388892</v>
      </c>
      <c r="D1093" t="s">
        <v>3</v>
      </c>
      <c r="E1093" t="s">
        <v>5</v>
      </c>
      <c r="G1093" t="b">
        <v>1</v>
      </c>
      <c r="H1093">
        <v>70805</v>
      </c>
      <c r="I1093" s="5">
        <v>0.56447470376956899</v>
      </c>
      <c r="J1093" s="14">
        <v>42381.478032407409</v>
      </c>
      <c r="K1093">
        <v>23.34</v>
      </c>
      <c r="L1093" s="5">
        <f>('[1]Pizza Sales Calculations'!$J1093-'[1]Pizza Sales Calculations'!$C1093)*24*60</f>
        <v>2.8166666650213301</v>
      </c>
      <c r="M1093">
        <f>COUNTA('[1]Pizza Sales Calculations'!$D1093:$F1093)</f>
        <v>2</v>
      </c>
      <c r="N1093">
        <f>IFERROR(VLOOKUP(D1093,[1]Parameters!$A$3:$C$5,3,FALSE),0)</f>
        <v>1</v>
      </c>
      <c r="O1093">
        <f>IFERROR(VLOOKUP(E1093,[1]Parameters!$A$3:$C$5,3,FALSE),0)</f>
        <v>2.2999999999999998</v>
      </c>
      <c r="P1093">
        <f>IFERROR(VLOOKUP(F1093,[1]Parameters!$A$3:$C$5,3,FALSE),0)</f>
        <v>0</v>
      </c>
      <c r="Q1093">
        <f t="shared" si="17"/>
        <v>3.3</v>
      </c>
      <c r="R1093" s="10">
        <f>IF('[1]Pizza Sales Calculations'!$G1093=TRUE, [1]Parameters!$B$17*'[1]Pizza Sales Calculations'!$L1093*2, 0)</f>
        <v>0.79805555508937687</v>
      </c>
      <c r="S1093" t="str">
        <f>IF(I1093&lt;[1]Parameters!$B$21,"TRUE","FALSE")</f>
        <v>TRUE</v>
      </c>
      <c r="T1093" s="5">
        <f>(I1093/[1]Parameters!$B$25)*60</f>
        <v>1.128949407539138</v>
      </c>
      <c r="U1093" s="10">
        <f>IF(AND('[1]Pizza Sales Calculations'!G1093=TRUE,'[1]Pizza Sales Calculations'!S1093="TRUE"),T1093*[1]Parameters!$B$40*2,0)</f>
        <v>7.0471989019065373E-2</v>
      </c>
      <c r="V1093">
        <f>INDEX([1]Parameters!$A$3:$C$5,MATCH('[1]Pizza Sales Calculations'!D1093,[1]Parameters!$A$3:$A$5,0),2)</f>
        <v>7</v>
      </c>
      <c r="W1093">
        <f>INDEX([1]Parameters!$A$3:$C$5,MATCH('[1]Pizza Sales Calculations'!E1093,[1]Parameters!$A$3:$A$5,0),2)</f>
        <v>14</v>
      </c>
      <c r="X1093" t="e">
        <f>INDEX([1]Parameters!$A$3:$C$5,MATCH('[1]Pizza Sales Calculations'!F1093,[1]Parameters!$A$3:$A$5,0),2)</f>
        <v>#N/A</v>
      </c>
    </row>
    <row r="1094" spans="1:24" x14ac:dyDescent="0.3">
      <c r="A1094">
        <v>1093</v>
      </c>
      <c r="B1094" s="14">
        <v>42381.477638888886</v>
      </c>
      <c r="C1094" s="14">
        <v>42381.488055555557</v>
      </c>
      <c r="D1094" t="s">
        <v>5</v>
      </c>
      <c r="G1094" t="b">
        <v>1</v>
      </c>
      <c r="H1094">
        <v>70804</v>
      </c>
      <c r="I1094" s="5">
        <v>2.72737606218644</v>
      </c>
      <c r="J1094" s="14">
        <v>42381.497523148151</v>
      </c>
      <c r="K1094">
        <v>15.35</v>
      </c>
      <c r="L1094" s="5">
        <f>('[1]Pizza Sales Calculations'!$J1094-'[1]Pizza Sales Calculations'!$C1094)*24*60</f>
        <v>13.633333335164934</v>
      </c>
      <c r="M1094">
        <f>COUNTA('[1]Pizza Sales Calculations'!$D1094:$F1094)</f>
        <v>1</v>
      </c>
      <c r="N1094">
        <f>IFERROR(VLOOKUP(D1094,[1]Parameters!$A$3:$C$5,3,FALSE),0)</f>
        <v>2.2999999999999998</v>
      </c>
      <c r="O1094">
        <f>IFERROR(VLOOKUP(E1094,[1]Parameters!$A$3:$C$5,3,FALSE),0)</f>
        <v>0</v>
      </c>
      <c r="P1094">
        <f>IFERROR(VLOOKUP(F1094,[1]Parameters!$A$3:$C$5,3,FALSE),0)</f>
        <v>0</v>
      </c>
      <c r="Q1094">
        <f t="shared" si="17"/>
        <v>2.2999999999999998</v>
      </c>
      <c r="R1094" s="10">
        <f>IF('[1]Pizza Sales Calculations'!$G1094=TRUE, [1]Parameters!$B$17*'[1]Pizza Sales Calculations'!$L1094*2, 0)</f>
        <v>3.8627777782967314</v>
      </c>
      <c r="S1094" t="str">
        <f>IF(I1094&lt;[1]Parameters!$B$21,"TRUE","FALSE")</f>
        <v>TRUE</v>
      </c>
      <c r="T1094" s="5">
        <f>(I1094/[1]Parameters!$B$25)*60</f>
        <v>5.45475212437288</v>
      </c>
      <c r="U1094" s="10">
        <f>IF(AND('[1]Pizza Sales Calculations'!G1094=TRUE,'[1]Pizza Sales Calculations'!S1094="TRUE"),T1094*[1]Parameters!$B$40*2,0)</f>
        <v>0.34049996327864912</v>
      </c>
      <c r="V1094">
        <f>INDEX([1]Parameters!$A$3:$C$5,MATCH('[1]Pizza Sales Calculations'!D1094,[1]Parameters!$A$3:$A$5,0),2)</f>
        <v>14</v>
      </c>
      <c r="W1094" t="e">
        <f>INDEX([1]Parameters!$A$3:$C$5,MATCH('[1]Pizza Sales Calculations'!E1094,[1]Parameters!$A$3:$A$5,0),2)</f>
        <v>#N/A</v>
      </c>
      <c r="X1094" t="e">
        <f>INDEX([1]Parameters!$A$3:$C$5,MATCH('[1]Pizza Sales Calculations'!F1094,[1]Parameters!$A$3:$A$5,0),2)</f>
        <v>#N/A</v>
      </c>
    </row>
    <row r="1095" spans="1:24" x14ac:dyDescent="0.3">
      <c r="A1095">
        <v>1094</v>
      </c>
      <c r="B1095" s="14">
        <v>42381.508645833332</v>
      </c>
      <c r="C1095" s="14">
        <v>42381.519074074073</v>
      </c>
      <c r="D1095" t="s">
        <v>5</v>
      </c>
      <c r="G1095" t="b">
        <v>0</v>
      </c>
      <c r="H1095">
        <v>70804</v>
      </c>
      <c r="I1095" s="5">
        <v>0</v>
      </c>
      <c r="J1095" s="14">
        <v>42381.521157407406</v>
      </c>
      <c r="K1095">
        <v>15.35</v>
      </c>
      <c r="L1095" s="5">
        <f>('[1]Pizza Sales Calculations'!$J1095-'[1]Pizza Sales Calculations'!$C1095)*24*60</f>
        <v>2.9999999993015081</v>
      </c>
      <c r="M1095">
        <f>COUNTA('[1]Pizza Sales Calculations'!$D1095:$F1095)</f>
        <v>1</v>
      </c>
      <c r="N1095">
        <f>IFERROR(VLOOKUP(D1095,[1]Parameters!$A$3:$C$5,3,FALSE),0)</f>
        <v>2.2999999999999998</v>
      </c>
      <c r="O1095">
        <f>IFERROR(VLOOKUP(E1095,[1]Parameters!$A$3:$C$5,3,FALSE),0)</f>
        <v>0</v>
      </c>
      <c r="P1095">
        <f>IFERROR(VLOOKUP(F1095,[1]Parameters!$A$3:$C$5,3,FALSE),0)</f>
        <v>0</v>
      </c>
      <c r="Q1095">
        <f t="shared" si="17"/>
        <v>2.2999999999999998</v>
      </c>
      <c r="R1095" s="10">
        <f>IF('[1]Pizza Sales Calculations'!$G1095=TRUE, [1]Parameters!$B$17*'[1]Pizza Sales Calculations'!$L1095*2, 0)</f>
        <v>0</v>
      </c>
      <c r="S1095" t="str">
        <f>IF(I1095&lt;[1]Parameters!$B$21,"TRUE","FALSE")</f>
        <v>TRUE</v>
      </c>
      <c r="T1095" s="5">
        <f>(I1095/[1]Parameters!$B$25)*60</f>
        <v>0</v>
      </c>
      <c r="U1095" s="10">
        <f>IF(AND('[1]Pizza Sales Calculations'!G1095=TRUE,'[1]Pizza Sales Calculations'!S1095="TRUE"),T1095*[1]Parameters!$B$40*2,0)</f>
        <v>0</v>
      </c>
      <c r="V1095">
        <f>INDEX([1]Parameters!$A$3:$C$5,MATCH('[1]Pizza Sales Calculations'!D1095,[1]Parameters!$A$3:$A$5,0),2)</f>
        <v>14</v>
      </c>
      <c r="W1095" t="e">
        <f>INDEX([1]Parameters!$A$3:$C$5,MATCH('[1]Pizza Sales Calculations'!E1095,[1]Parameters!$A$3:$A$5,0),2)</f>
        <v>#N/A</v>
      </c>
      <c r="X1095" t="e">
        <f>INDEX([1]Parameters!$A$3:$C$5,MATCH('[1]Pizza Sales Calculations'!F1095,[1]Parameters!$A$3:$A$5,0),2)</f>
        <v>#N/A</v>
      </c>
    </row>
    <row r="1096" spans="1:24" x14ac:dyDescent="0.3">
      <c r="A1096">
        <v>1095</v>
      </c>
      <c r="B1096" s="14">
        <v>42381.521215277775</v>
      </c>
      <c r="C1096" s="14">
        <v>42381.53162037037</v>
      </c>
      <c r="D1096" t="s">
        <v>3</v>
      </c>
      <c r="G1096" t="b">
        <v>0</v>
      </c>
      <c r="H1096">
        <v>70804</v>
      </c>
      <c r="I1096" s="5">
        <v>0</v>
      </c>
      <c r="J1096" s="14">
        <v>42381.533680555556</v>
      </c>
      <c r="K1096">
        <v>7.99</v>
      </c>
      <c r="L1096" s="5">
        <f>('[1]Pizza Sales Calculations'!$J1096-'[1]Pizza Sales Calculations'!$C1096)*24*60</f>
        <v>2.9666666686534882</v>
      </c>
      <c r="M1096">
        <f>COUNTA('[1]Pizza Sales Calculations'!$D1096:$F1096)</f>
        <v>1</v>
      </c>
      <c r="N1096">
        <f>IFERROR(VLOOKUP(D1096,[1]Parameters!$A$3:$C$5,3,FALSE),0)</f>
        <v>1</v>
      </c>
      <c r="O1096">
        <f>IFERROR(VLOOKUP(E1096,[1]Parameters!$A$3:$C$5,3,FALSE),0)</f>
        <v>0</v>
      </c>
      <c r="P1096">
        <f>IFERROR(VLOOKUP(F1096,[1]Parameters!$A$3:$C$5,3,FALSE),0)</f>
        <v>0</v>
      </c>
      <c r="Q1096">
        <f t="shared" si="17"/>
        <v>1</v>
      </c>
      <c r="R1096" s="10">
        <f>IF('[1]Pizza Sales Calculations'!$G1096=TRUE, [1]Parameters!$B$17*'[1]Pizza Sales Calculations'!$L1096*2, 0)</f>
        <v>0</v>
      </c>
      <c r="S1096" t="str">
        <f>IF(I1096&lt;[1]Parameters!$B$21,"TRUE","FALSE")</f>
        <v>TRUE</v>
      </c>
      <c r="T1096" s="5">
        <f>(I1096/[1]Parameters!$B$25)*60</f>
        <v>0</v>
      </c>
      <c r="U1096" s="10">
        <f>IF(AND('[1]Pizza Sales Calculations'!G1096=TRUE,'[1]Pizza Sales Calculations'!S1096="TRUE"),T1096*[1]Parameters!$B$40*2,0)</f>
        <v>0</v>
      </c>
      <c r="V1096">
        <f>INDEX([1]Parameters!$A$3:$C$5,MATCH('[1]Pizza Sales Calculations'!D1096,[1]Parameters!$A$3:$A$5,0),2)</f>
        <v>7</v>
      </c>
      <c r="W1096" t="e">
        <f>INDEX([1]Parameters!$A$3:$C$5,MATCH('[1]Pizza Sales Calculations'!E1096,[1]Parameters!$A$3:$A$5,0),2)</f>
        <v>#N/A</v>
      </c>
      <c r="X1096" t="e">
        <f>INDEX([1]Parameters!$A$3:$C$5,MATCH('[1]Pizza Sales Calculations'!F1096,[1]Parameters!$A$3:$A$5,0),2)</f>
        <v>#N/A</v>
      </c>
    </row>
    <row r="1097" spans="1:24" x14ac:dyDescent="0.3">
      <c r="A1097">
        <v>1096</v>
      </c>
      <c r="B1097" s="14">
        <v>42381.558831018519</v>
      </c>
      <c r="C1097" s="14">
        <v>42381.569224537037</v>
      </c>
      <c r="D1097" t="s">
        <v>3</v>
      </c>
      <c r="E1097" t="s">
        <v>5</v>
      </c>
      <c r="G1097" t="b">
        <v>0</v>
      </c>
      <c r="H1097">
        <v>70804</v>
      </c>
      <c r="I1097" s="5">
        <v>0</v>
      </c>
      <c r="J1097" s="14">
        <v>42381.571296296293</v>
      </c>
      <c r="K1097">
        <v>23.34</v>
      </c>
      <c r="L1097" s="5">
        <f>('[1]Pizza Sales Calculations'!$J1097-'[1]Pizza Sales Calculations'!$C1097)*24*60</f>
        <v>2.9833333287388086</v>
      </c>
      <c r="M1097">
        <f>COUNTA('[1]Pizza Sales Calculations'!$D1097:$F1097)</f>
        <v>2</v>
      </c>
      <c r="N1097">
        <f>IFERROR(VLOOKUP(D1097,[1]Parameters!$A$3:$C$5,3,FALSE),0)</f>
        <v>1</v>
      </c>
      <c r="O1097">
        <f>IFERROR(VLOOKUP(E1097,[1]Parameters!$A$3:$C$5,3,FALSE),0)</f>
        <v>2.2999999999999998</v>
      </c>
      <c r="P1097">
        <f>IFERROR(VLOOKUP(F1097,[1]Parameters!$A$3:$C$5,3,FALSE),0)</f>
        <v>0</v>
      </c>
      <c r="Q1097">
        <f t="shared" si="17"/>
        <v>3.3</v>
      </c>
      <c r="R1097" s="10">
        <f>IF('[1]Pizza Sales Calculations'!$G1097=TRUE, [1]Parameters!$B$17*'[1]Pizza Sales Calculations'!$L1097*2, 0)</f>
        <v>0</v>
      </c>
      <c r="S1097" t="str">
        <f>IF(I1097&lt;[1]Parameters!$B$21,"TRUE","FALSE")</f>
        <v>TRUE</v>
      </c>
      <c r="T1097" s="5">
        <f>(I1097/[1]Parameters!$B$25)*60</f>
        <v>0</v>
      </c>
      <c r="U1097" s="10">
        <f>IF(AND('[1]Pizza Sales Calculations'!G1097=TRUE,'[1]Pizza Sales Calculations'!S1097="TRUE"),T1097*[1]Parameters!$B$40*2,0)</f>
        <v>0</v>
      </c>
      <c r="V1097">
        <f>INDEX([1]Parameters!$A$3:$C$5,MATCH('[1]Pizza Sales Calculations'!D1097,[1]Parameters!$A$3:$A$5,0),2)</f>
        <v>7</v>
      </c>
      <c r="W1097">
        <f>INDEX([1]Parameters!$A$3:$C$5,MATCH('[1]Pizza Sales Calculations'!E1097,[1]Parameters!$A$3:$A$5,0),2)</f>
        <v>14</v>
      </c>
      <c r="X1097" t="e">
        <f>INDEX([1]Parameters!$A$3:$C$5,MATCH('[1]Pizza Sales Calculations'!F1097,[1]Parameters!$A$3:$A$5,0),2)</f>
        <v>#N/A</v>
      </c>
    </row>
    <row r="1098" spans="1:24" x14ac:dyDescent="0.3">
      <c r="A1098">
        <v>1097</v>
      </c>
      <c r="B1098" s="14">
        <v>42381.529756944445</v>
      </c>
      <c r="C1098" s="14">
        <v>42381.540150462963</v>
      </c>
      <c r="D1098" t="s">
        <v>4</v>
      </c>
      <c r="E1098" t="s">
        <v>5</v>
      </c>
      <c r="G1098" t="b">
        <v>1</v>
      </c>
      <c r="H1098">
        <v>70804</v>
      </c>
      <c r="I1098" s="5">
        <v>4.4176507503456701</v>
      </c>
      <c r="J1098" s="14">
        <v>42381.555486111109</v>
      </c>
      <c r="K1098">
        <v>25.94</v>
      </c>
      <c r="L1098" s="5">
        <f>('[1]Pizza Sales Calculations'!$J1098-'[1]Pizza Sales Calculations'!$C1098)*24*60</f>
        <v>22.083333330228925</v>
      </c>
      <c r="M1098">
        <f>COUNTA('[1]Pizza Sales Calculations'!$D1098:$F1098)</f>
        <v>2</v>
      </c>
      <c r="N1098">
        <f>IFERROR(VLOOKUP(D1098,[1]Parameters!$A$3:$C$5,3,FALSE),0)</f>
        <v>1.7</v>
      </c>
      <c r="O1098">
        <f>IFERROR(VLOOKUP(E1098,[1]Parameters!$A$3:$C$5,3,FALSE),0)</f>
        <v>2.2999999999999998</v>
      </c>
      <c r="P1098">
        <f>IFERROR(VLOOKUP(F1098,[1]Parameters!$A$3:$C$5,3,FALSE),0)</f>
        <v>0</v>
      </c>
      <c r="Q1098">
        <f t="shared" si="17"/>
        <v>4</v>
      </c>
      <c r="R1098" s="10">
        <f>IF('[1]Pizza Sales Calculations'!$G1098=TRUE, [1]Parameters!$B$17*'[1]Pizza Sales Calculations'!$L1098*2, 0)</f>
        <v>6.256944443564862</v>
      </c>
      <c r="S1098" t="str">
        <f>IF(I1098&lt;[1]Parameters!$B$21,"TRUE","FALSE")</f>
        <v>FALSE</v>
      </c>
      <c r="T1098" s="5">
        <f>(I1098/[1]Parameters!$B$25)*60</f>
        <v>8.8353015006913402</v>
      </c>
      <c r="U1098" s="10">
        <f>IF(AND('[1]Pizza Sales Calculations'!G1098=TRUE,'[1]Pizza Sales Calculations'!S1098="TRUE"),T1098*[1]Parameters!$B$40*2,0)</f>
        <v>0</v>
      </c>
      <c r="V1098">
        <f>INDEX([1]Parameters!$A$3:$C$5,MATCH('[1]Pizza Sales Calculations'!D1098,[1]Parameters!$A$3:$A$5,0),2)</f>
        <v>10</v>
      </c>
      <c r="W1098">
        <f>INDEX([1]Parameters!$A$3:$C$5,MATCH('[1]Pizza Sales Calculations'!E1098,[1]Parameters!$A$3:$A$5,0),2)</f>
        <v>14</v>
      </c>
      <c r="X1098" t="e">
        <f>INDEX([1]Parameters!$A$3:$C$5,MATCH('[1]Pizza Sales Calculations'!F1098,[1]Parameters!$A$3:$A$5,0),2)</f>
        <v>#N/A</v>
      </c>
    </row>
    <row r="1099" spans="1:24" x14ac:dyDescent="0.3">
      <c r="A1099">
        <v>1098</v>
      </c>
      <c r="B1099" s="14">
        <v>42381.489895833336</v>
      </c>
      <c r="C1099" s="14">
        <v>42381.5003125</v>
      </c>
      <c r="D1099" t="s">
        <v>5</v>
      </c>
      <c r="G1099" t="b">
        <v>1</v>
      </c>
      <c r="H1099">
        <v>70805</v>
      </c>
      <c r="I1099" s="5">
        <v>3.3463877901419599</v>
      </c>
      <c r="J1099" s="14">
        <v>42381.511921296296</v>
      </c>
      <c r="K1099">
        <v>15.35</v>
      </c>
      <c r="L1099" s="5">
        <f>('[1]Pizza Sales Calculations'!$J1099-'[1]Pizza Sales Calculations'!$C1099)*24*60</f>
        <v>16.716666666325182</v>
      </c>
      <c r="M1099">
        <f>COUNTA('[1]Pizza Sales Calculations'!$D1099:$F1099)</f>
        <v>1</v>
      </c>
      <c r="N1099">
        <f>IFERROR(VLOOKUP(D1099,[1]Parameters!$A$3:$C$5,3,FALSE),0)</f>
        <v>2.2999999999999998</v>
      </c>
      <c r="O1099">
        <f>IFERROR(VLOOKUP(E1099,[1]Parameters!$A$3:$C$5,3,FALSE),0)</f>
        <v>0</v>
      </c>
      <c r="P1099">
        <f>IFERROR(VLOOKUP(F1099,[1]Parameters!$A$3:$C$5,3,FALSE),0)</f>
        <v>0</v>
      </c>
      <c r="Q1099">
        <f t="shared" si="17"/>
        <v>2.2999999999999998</v>
      </c>
      <c r="R1099" s="10">
        <f>IF('[1]Pizza Sales Calculations'!$G1099=TRUE, [1]Parameters!$B$17*'[1]Pizza Sales Calculations'!$L1099*2, 0)</f>
        <v>4.7363888887921348</v>
      </c>
      <c r="S1099" t="str">
        <f>IF(I1099&lt;[1]Parameters!$B$21,"TRUE","FALSE")</f>
        <v>FALSE</v>
      </c>
      <c r="T1099" s="5">
        <f>(I1099/[1]Parameters!$B$25)*60</f>
        <v>6.6927755802839197</v>
      </c>
      <c r="U1099" s="10">
        <f>IF(AND('[1]Pizza Sales Calculations'!G1099=TRUE,'[1]Pizza Sales Calculations'!S1099="TRUE"),T1099*[1]Parameters!$B$40*2,0)</f>
        <v>0</v>
      </c>
      <c r="V1099">
        <f>INDEX([1]Parameters!$A$3:$C$5,MATCH('[1]Pizza Sales Calculations'!D1099,[1]Parameters!$A$3:$A$5,0),2)</f>
        <v>14</v>
      </c>
      <c r="W1099" t="e">
        <f>INDEX([1]Parameters!$A$3:$C$5,MATCH('[1]Pizza Sales Calculations'!E1099,[1]Parameters!$A$3:$A$5,0),2)</f>
        <v>#N/A</v>
      </c>
      <c r="X1099" t="e">
        <f>INDEX([1]Parameters!$A$3:$C$5,MATCH('[1]Pizza Sales Calculations'!F1099,[1]Parameters!$A$3:$A$5,0),2)</f>
        <v>#N/A</v>
      </c>
    </row>
    <row r="1100" spans="1:24" x14ac:dyDescent="0.3">
      <c r="A1100">
        <v>1099</v>
      </c>
      <c r="B1100" s="14">
        <v>42381.482824074075</v>
      </c>
      <c r="C1100" s="14">
        <v>42381.49324074074</v>
      </c>
      <c r="D1100" t="s">
        <v>5</v>
      </c>
      <c r="G1100" t="b">
        <v>0</v>
      </c>
      <c r="H1100">
        <v>70806</v>
      </c>
      <c r="I1100" s="5">
        <v>0</v>
      </c>
      <c r="J1100" s="14">
        <v>42381.495289351849</v>
      </c>
      <c r="K1100">
        <v>15.35</v>
      </c>
      <c r="L1100" s="5">
        <f>('[1]Pizza Sales Calculations'!$J1100-'[1]Pizza Sales Calculations'!$C1100)*24*60</f>
        <v>2.9499999980907887</v>
      </c>
      <c r="M1100">
        <f>COUNTA('[1]Pizza Sales Calculations'!$D1100:$F1100)</f>
        <v>1</v>
      </c>
      <c r="N1100">
        <f>IFERROR(VLOOKUP(D1100,[1]Parameters!$A$3:$C$5,3,FALSE),0)</f>
        <v>2.2999999999999998</v>
      </c>
      <c r="O1100">
        <f>IFERROR(VLOOKUP(E1100,[1]Parameters!$A$3:$C$5,3,FALSE),0)</f>
        <v>0</v>
      </c>
      <c r="P1100">
        <f>IFERROR(VLOOKUP(F1100,[1]Parameters!$A$3:$C$5,3,FALSE),0)</f>
        <v>0</v>
      </c>
      <c r="Q1100">
        <f t="shared" si="17"/>
        <v>2.2999999999999998</v>
      </c>
      <c r="R1100" s="10">
        <f>IF('[1]Pizza Sales Calculations'!$G1100=TRUE, [1]Parameters!$B$17*'[1]Pizza Sales Calculations'!$L1100*2, 0)</f>
        <v>0</v>
      </c>
      <c r="S1100" t="str">
        <f>IF(I1100&lt;[1]Parameters!$B$21,"TRUE","FALSE")</f>
        <v>TRUE</v>
      </c>
      <c r="T1100" s="5">
        <f>(I1100/[1]Parameters!$B$25)*60</f>
        <v>0</v>
      </c>
      <c r="U1100" s="10">
        <f>IF(AND('[1]Pizza Sales Calculations'!G1100=TRUE,'[1]Pizza Sales Calculations'!S1100="TRUE"),T1100*[1]Parameters!$B$40*2,0)</f>
        <v>0</v>
      </c>
      <c r="V1100">
        <f>INDEX([1]Parameters!$A$3:$C$5,MATCH('[1]Pizza Sales Calculations'!D1100,[1]Parameters!$A$3:$A$5,0),2)</f>
        <v>14</v>
      </c>
      <c r="W1100" t="e">
        <f>INDEX([1]Parameters!$A$3:$C$5,MATCH('[1]Pizza Sales Calculations'!E1100,[1]Parameters!$A$3:$A$5,0),2)</f>
        <v>#N/A</v>
      </c>
      <c r="X1100" t="e">
        <f>INDEX([1]Parameters!$A$3:$C$5,MATCH('[1]Pizza Sales Calculations'!F1100,[1]Parameters!$A$3:$A$5,0),2)</f>
        <v>#N/A</v>
      </c>
    </row>
    <row r="1101" spans="1:24" x14ac:dyDescent="0.3">
      <c r="A1101">
        <v>1100</v>
      </c>
      <c r="B1101" s="14">
        <v>42381.437060185184</v>
      </c>
      <c r="C1101" s="14">
        <v>42381.447465277779</v>
      </c>
      <c r="D1101" t="s">
        <v>4</v>
      </c>
      <c r="G1101" t="b">
        <v>0</v>
      </c>
      <c r="H1101">
        <v>70808</v>
      </c>
      <c r="I1101" s="5">
        <v>0</v>
      </c>
      <c r="J1101" s="14">
        <v>42381.449548611112</v>
      </c>
      <c r="K1101">
        <v>11.59</v>
      </c>
      <c r="L1101" s="5">
        <f>('[1]Pizza Sales Calculations'!$J1101-'[1]Pizza Sales Calculations'!$C1101)*24*60</f>
        <v>2.9999999993015081</v>
      </c>
      <c r="M1101">
        <f>COUNTA('[1]Pizza Sales Calculations'!$D1101:$F1101)</f>
        <v>1</v>
      </c>
      <c r="N1101">
        <f>IFERROR(VLOOKUP(D1101,[1]Parameters!$A$3:$C$5,3,FALSE),0)</f>
        <v>1.7</v>
      </c>
      <c r="O1101">
        <f>IFERROR(VLOOKUP(E1101,[1]Parameters!$A$3:$C$5,3,FALSE),0)</f>
        <v>0</v>
      </c>
      <c r="P1101">
        <f>IFERROR(VLOOKUP(F1101,[1]Parameters!$A$3:$C$5,3,FALSE),0)</f>
        <v>0</v>
      </c>
      <c r="Q1101">
        <f t="shared" si="17"/>
        <v>1.7</v>
      </c>
      <c r="R1101" s="10">
        <f>IF('[1]Pizza Sales Calculations'!$G1101=TRUE, [1]Parameters!$B$17*'[1]Pizza Sales Calculations'!$L1101*2, 0)</f>
        <v>0</v>
      </c>
      <c r="S1101" t="str">
        <f>IF(I1101&lt;[1]Parameters!$B$21,"TRUE","FALSE")</f>
        <v>TRUE</v>
      </c>
      <c r="T1101" s="5">
        <f>(I1101/[1]Parameters!$B$25)*60</f>
        <v>0</v>
      </c>
      <c r="U1101" s="10">
        <f>IF(AND('[1]Pizza Sales Calculations'!G1101=TRUE,'[1]Pizza Sales Calculations'!S1101="TRUE"),T1101*[1]Parameters!$B$40*2,0)</f>
        <v>0</v>
      </c>
      <c r="V1101">
        <f>INDEX([1]Parameters!$A$3:$C$5,MATCH('[1]Pizza Sales Calculations'!D1101,[1]Parameters!$A$3:$A$5,0),2)</f>
        <v>10</v>
      </c>
      <c r="W1101" t="e">
        <f>INDEX([1]Parameters!$A$3:$C$5,MATCH('[1]Pizza Sales Calculations'!E1101,[1]Parameters!$A$3:$A$5,0),2)</f>
        <v>#N/A</v>
      </c>
      <c r="X1101" t="e">
        <f>INDEX([1]Parameters!$A$3:$C$5,MATCH('[1]Pizza Sales Calculations'!F1101,[1]Parameters!$A$3:$A$5,0),2)</f>
        <v>#N/A</v>
      </c>
    </row>
    <row r="1102" spans="1:24" x14ac:dyDescent="0.3">
      <c r="A1102">
        <v>1101</v>
      </c>
      <c r="B1102" s="14">
        <v>42381.508900462963</v>
      </c>
      <c r="C1102" s="14">
        <v>42381.519328703704</v>
      </c>
      <c r="D1102" t="s">
        <v>5</v>
      </c>
      <c r="G1102" t="b">
        <v>1</v>
      </c>
      <c r="H1102">
        <v>70803</v>
      </c>
      <c r="I1102" s="5">
        <v>4.0938711846218796</v>
      </c>
      <c r="J1102" s="14">
        <v>42381.533541666664</v>
      </c>
      <c r="K1102">
        <v>15.35</v>
      </c>
      <c r="L1102" s="5">
        <f>('[1]Pizza Sales Calculations'!$J1102-'[1]Pizza Sales Calculations'!$C1102)*24*60</f>
        <v>20.466666662832722</v>
      </c>
      <c r="M1102">
        <f>COUNTA('[1]Pizza Sales Calculations'!$D1102:$F1102)</f>
        <v>1</v>
      </c>
      <c r="N1102">
        <f>IFERROR(VLOOKUP(D1102,[1]Parameters!$A$3:$C$5,3,FALSE),0)</f>
        <v>2.2999999999999998</v>
      </c>
      <c r="O1102">
        <f>IFERROR(VLOOKUP(E1102,[1]Parameters!$A$3:$C$5,3,FALSE),0)</f>
        <v>0</v>
      </c>
      <c r="P1102">
        <f>IFERROR(VLOOKUP(F1102,[1]Parameters!$A$3:$C$5,3,FALSE),0)</f>
        <v>0</v>
      </c>
      <c r="Q1102">
        <f t="shared" si="17"/>
        <v>2.2999999999999998</v>
      </c>
      <c r="R1102" s="10">
        <f>IF('[1]Pizza Sales Calculations'!$G1102=TRUE, [1]Parameters!$B$17*'[1]Pizza Sales Calculations'!$L1102*2, 0)</f>
        <v>5.7988888878026046</v>
      </c>
      <c r="S1102" t="str">
        <f>IF(I1102&lt;[1]Parameters!$B$21,"TRUE","FALSE")</f>
        <v>FALSE</v>
      </c>
      <c r="T1102" s="5">
        <f>(I1102/[1]Parameters!$B$25)*60</f>
        <v>8.1877423692437592</v>
      </c>
      <c r="U1102" s="10">
        <f>IF(AND('[1]Pizza Sales Calculations'!G1102=TRUE,'[1]Pizza Sales Calculations'!S1102="TRUE"),T1102*[1]Parameters!$B$40*2,0)</f>
        <v>0</v>
      </c>
      <c r="V1102">
        <f>INDEX([1]Parameters!$A$3:$C$5,MATCH('[1]Pizza Sales Calculations'!D1102,[1]Parameters!$A$3:$A$5,0),2)</f>
        <v>14</v>
      </c>
      <c r="W1102" t="e">
        <f>INDEX([1]Parameters!$A$3:$C$5,MATCH('[1]Pizza Sales Calculations'!E1102,[1]Parameters!$A$3:$A$5,0),2)</f>
        <v>#N/A</v>
      </c>
      <c r="X1102" t="e">
        <f>INDEX([1]Parameters!$A$3:$C$5,MATCH('[1]Pizza Sales Calculations'!F1102,[1]Parameters!$A$3:$A$5,0),2)</f>
        <v>#N/A</v>
      </c>
    </row>
    <row r="1103" spans="1:24" x14ac:dyDescent="0.3">
      <c r="A1103">
        <v>1102</v>
      </c>
      <c r="B1103" s="14">
        <v>42381.613217592596</v>
      </c>
      <c r="C1103" s="14">
        <v>42381.623645833337</v>
      </c>
      <c r="D1103" t="s">
        <v>5</v>
      </c>
      <c r="G1103" t="b">
        <v>1</v>
      </c>
      <c r="H1103">
        <v>70806</v>
      </c>
      <c r="I1103" s="5">
        <v>3.3575348201255601</v>
      </c>
      <c r="J1103" s="14">
        <v>42381.635300925926</v>
      </c>
      <c r="K1103">
        <v>15.35</v>
      </c>
      <c r="L1103" s="5">
        <f>('[1]Pizza Sales Calculations'!$J1103-'[1]Pizza Sales Calculations'!$C1103)*24*60</f>
        <v>16.783333327621222</v>
      </c>
      <c r="M1103">
        <f>COUNTA('[1]Pizza Sales Calculations'!$D1103:$F1103)</f>
        <v>1</v>
      </c>
      <c r="N1103">
        <f>IFERROR(VLOOKUP(D1103,[1]Parameters!$A$3:$C$5,3,FALSE),0)</f>
        <v>2.2999999999999998</v>
      </c>
      <c r="O1103">
        <f>IFERROR(VLOOKUP(E1103,[1]Parameters!$A$3:$C$5,3,FALSE),0)</f>
        <v>0</v>
      </c>
      <c r="P1103">
        <f>IFERROR(VLOOKUP(F1103,[1]Parameters!$A$3:$C$5,3,FALSE),0)</f>
        <v>0</v>
      </c>
      <c r="Q1103">
        <f t="shared" si="17"/>
        <v>2.2999999999999998</v>
      </c>
      <c r="R1103" s="10">
        <f>IF('[1]Pizza Sales Calculations'!$G1103=TRUE, [1]Parameters!$B$17*'[1]Pizza Sales Calculations'!$L1103*2, 0)</f>
        <v>4.7552777761593461</v>
      </c>
      <c r="S1103" t="str">
        <f>IF(I1103&lt;[1]Parameters!$B$21,"TRUE","FALSE")</f>
        <v>FALSE</v>
      </c>
      <c r="T1103" s="5">
        <f>(I1103/[1]Parameters!$B$25)*60</f>
        <v>6.7150696402511203</v>
      </c>
      <c r="U1103" s="10">
        <f>IF(AND('[1]Pizza Sales Calculations'!G1103=TRUE,'[1]Pizza Sales Calculations'!S1103="TRUE"),T1103*[1]Parameters!$B$40*2,0)</f>
        <v>0</v>
      </c>
      <c r="V1103">
        <f>INDEX([1]Parameters!$A$3:$C$5,MATCH('[1]Pizza Sales Calculations'!D1103,[1]Parameters!$A$3:$A$5,0),2)</f>
        <v>14</v>
      </c>
      <c r="W1103" t="e">
        <f>INDEX([1]Parameters!$A$3:$C$5,MATCH('[1]Pizza Sales Calculations'!E1103,[1]Parameters!$A$3:$A$5,0),2)</f>
        <v>#N/A</v>
      </c>
      <c r="X1103" t="e">
        <f>INDEX([1]Parameters!$A$3:$C$5,MATCH('[1]Pizza Sales Calculations'!F1103,[1]Parameters!$A$3:$A$5,0),2)</f>
        <v>#N/A</v>
      </c>
    </row>
    <row r="1104" spans="1:24" x14ac:dyDescent="0.3">
      <c r="A1104">
        <v>1103</v>
      </c>
      <c r="B1104" s="14">
        <v>42381.518726851849</v>
      </c>
      <c r="C1104" s="14">
        <v>42381.529143518521</v>
      </c>
      <c r="D1104" t="s">
        <v>3</v>
      </c>
      <c r="E1104" t="s">
        <v>4</v>
      </c>
      <c r="G1104" t="b">
        <v>1</v>
      </c>
      <c r="H1104">
        <v>70803</v>
      </c>
      <c r="I1104" s="5">
        <v>5.1312441956947001</v>
      </c>
      <c r="J1104" s="14">
        <v>42381.546956018516</v>
      </c>
      <c r="K1104">
        <v>19.579999999999998</v>
      </c>
      <c r="L1104" s="5">
        <f>('[1]Pizza Sales Calculations'!$J1104-'[1]Pizza Sales Calculations'!$C1104)*24*60</f>
        <v>25.649999992456287</v>
      </c>
      <c r="M1104">
        <f>COUNTA('[1]Pizza Sales Calculations'!$D1104:$F1104)</f>
        <v>2</v>
      </c>
      <c r="N1104">
        <f>IFERROR(VLOOKUP(D1104,[1]Parameters!$A$3:$C$5,3,FALSE),0)</f>
        <v>1</v>
      </c>
      <c r="O1104">
        <f>IFERROR(VLOOKUP(E1104,[1]Parameters!$A$3:$C$5,3,FALSE),0)</f>
        <v>1.7</v>
      </c>
      <c r="P1104">
        <f>IFERROR(VLOOKUP(F1104,[1]Parameters!$A$3:$C$5,3,FALSE),0)</f>
        <v>0</v>
      </c>
      <c r="Q1104">
        <f t="shared" si="17"/>
        <v>2.7</v>
      </c>
      <c r="R1104" s="10">
        <f>IF('[1]Pizza Sales Calculations'!$G1104=TRUE, [1]Parameters!$B$17*'[1]Pizza Sales Calculations'!$L1104*2, 0)</f>
        <v>7.2674999978626147</v>
      </c>
      <c r="S1104" t="str">
        <f>IF(I1104&lt;[1]Parameters!$B$21,"TRUE","FALSE")</f>
        <v>FALSE</v>
      </c>
      <c r="T1104" s="5">
        <f>(I1104/[1]Parameters!$B$25)*60</f>
        <v>10.2624883913894</v>
      </c>
      <c r="U1104" s="10">
        <f>IF(AND('[1]Pizza Sales Calculations'!G1104=TRUE,'[1]Pizza Sales Calculations'!S1104="TRUE"),T1104*[1]Parameters!$B$40*2,0)</f>
        <v>0</v>
      </c>
      <c r="V1104">
        <f>INDEX([1]Parameters!$A$3:$C$5,MATCH('[1]Pizza Sales Calculations'!D1104,[1]Parameters!$A$3:$A$5,0),2)</f>
        <v>7</v>
      </c>
      <c r="W1104">
        <f>INDEX([1]Parameters!$A$3:$C$5,MATCH('[1]Pizza Sales Calculations'!E1104,[1]Parameters!$A$3:$A$5,0),2)</f>
        <v>10</v>
      </c>
      <c r="X1104" t="e">
        <f>INDEX([1]Parameters!$A$3:$C$5,MATCH('[1]Pizza Sales Calculations'!F1104,[1]Parameters!$A$3:$A$5,0),2)</f>
        <v>#N/A</v>
      </c>
    </row>
    <row r="1105" spans="1:24" x14ac:dyDescent="0.3">
      <c r="A1105">
        <v>1104</v>
      </c>
      <c r="B1105" s="14">
        <v>42381.531053240738</v>
      </c>
      <c r="C1105" s="14">
        <v>42381.541446759256</v>
      </c>
      <c r="D1105" t="s">
        <v>5</v>
      </c>
      <c r="G1105" t="b">
        <v>1</v>
      </c>
      <c r="H1105">
        <v>70806</v>
      </c>
      <c r="I1105" s="5">
        <v>2.8814140906533998</v>
      </c>
      <c r="J1105" s="14">
        <v>42381.551446759258</v>
      </c>
      <c r="K1105">
        <v>15.35</v>
      </c>
      <c r="L1105" s="5">
        <f>('[1]Pizza Sales Calculations'!$J1105-'[1]Pizza Sales Calculations'!$C1105)*24*60</f>
        <v>14.400000002933666</v>
      </c>
      <c r="M1105">
        <f>COUNTA('[1]Pizza Sales Calculations'!$D1105:$F1105)</f>
        <v>1</v>
      </c>
      <c r="N1105">
        <f>IFERROR(VLOOKUP(D1105,[1]Parameters!$A$3:$C$5,3,FALSE),0)</f>
        <v>2.2999999999999998</v>
      </c>
      <c r="O1105">
        <f>IFERROR(VLOOKUP(E1105,[1]Parameters!$A$3:$C$5,3,FALSE),0)</f>
        <v>0</v>
      </c>
      <c r="P1105">
        <f>IFERROR(VLOOKUP(F1105,[1]Parameters!$A$3:$C$5,3,FALSE),0)</f>
        <v>0</v>
      </c>
      <c r="Q1105">
        <f t="shared" si="17"/>
        <v>2.2999999999999998</v>
      </c>
      <c r="R1105" s="10">
        <f>IF('[1]Pizza Sales Calculations'!$G1105=TRUE, [1]Parameters!$B$17*'[1]Pizza Sales Calculations'!$L1105*2, 0)</f>
        <v>4.0800000008312054</v>
      </c>
      <c r="S1105" t="str">
        <f>IF(I1105&lt;[1]Parameters!$B$21,"TRUE","FALSE")</f>
        <v>TRUE</v>
      </c>
      <c r="T1105" s="5">
        <f>(I1105/[1]Parameters!$B$25)*60</f>
        <v>5.7628281813067996</v>
      </c>
      <c r="U1105" s="10">
        <f>IF(AND('[1]Pizza Sales Calculations'!G1105=TRUE,'[1]Pizza Sales Calculations'!S1105="TRUE"),T1105*[1]Parameters!$B$40*2,0)</f>
        <v>0.35973088040947854</v>
      </c>
      <c r="V1105">
        <f>INDEX([1]Parameters!$A$3:$C$5,MATCH('[1]Pizza Sales Calculations'!D1105,[1]Parameters!$A$3:$A$5,0),2)</f>
        <v>14</v>
      </c>
      <c r="W1105" t="e">
        <f>INDEX([1]Parameters!$A$3:$C$5,MATCH('[1]Pizza Sales Calculations'!E1105,[1]Parameters!$A$3:$A$5,0),2)</f>
        <v>#N/A</v>
      </c>
      <c r="X1105" t="e">
        <f>INDEX([1]Parameters!$A$3:$C$5,MATCH('[1]Pizza Sales Calculations'!F1105,[1]Parameters!$A$3:$A$5,0),2)</f>
        <v>#N/A</v>
      </c>
    </row>
    <row r="1106" spans="1:24" x14ac:dyDescent="0.3">
      <c r="A1106">
        <v>1105</v>
      </c>
      <c r="B1106" s="14">
        <v>42381.497534722221</v>
      </c>
      <c r="C1106" s="14">
        <v>42381.507962962962</v>
      </c>
      <c r="D1106" t="s">
        <v>5</v>
      </c>
      <c r="G1106" t="b">
        <v>1</v>
      </c>
      <c r="H1106">
        <v>70806</v>
      </c>
      <c r="I1106" s="5">
        <v>1.42307126887312</v>
      </c>
      <c r="J1106" s="14">
        <v>42381.51289351852</v>
      </c>
      <c r="K1106">
        <v>15.35</v>
      </c>
      <c r="L1106" s="5">
        <f>('[1]Pizza Sales Calculations'!$J1106-'[1]Pizza Sales Calculations'!$C1106)*24*60</f>
        <v>7.1000000042840838</v>
      </c>
      <c r="M1106">
        <f>COUNTA('[1]Pizza Sales Calculations'!$D1106:$F1106)</f>
        <v>1</v>
      </c>
      <c r="N1106">
        <f>IFERROR(VLOOKUP(D1106,[1]Parameters!$A$3:$C$5,3,FALSE),0)</f>
        <v>2.2999999999999998</v>
      </c>
      <c r="O1106">
        <f>IFERROR(VLOOKUP(E1106,[1]Parameters!$A$3:$C$5,3,FALSE),0)</f>
        <v>0</v>
      </c>
      <c r="P1106">
        <f>IFERROR(VLOOKUP(F1106,[1]Parameters!$A$3:$C$5,3,FALSE),0)</f>
        <v>0</v>
      </c>
      <c r="Q1106">
        <f t="shared" si="17"/>
        <v>2.2999999999999998</v>
      </c>
      <c r="R1106" s="10">
        <f>IF('[1]Pizza Sales Calculations'!$G1106=TRUE, [1]Parameters!$B$17*'[1]Pizza Sales Calculations'!$L1106*2, 0)</f>
        <v>2.0116666678804904</v>
      </c>
      <c r="S1106" t="str">
        <f>IF(I1106&lt;[1]Parameters!$B$21,"TRUE","FALSE")</f>
        <v>TRUE</v>
      </c>
      <c r="T1106" s="5">
        <f>(I1106/[1]Parameters!$B$25)*60</f>
        <v>2.8461425377462399</v>
      </c>
      <c r="U1106" s="10">
        <f>IF(AND('[1]Pizza Sales Calculations'!G1106=TRUE,'[1]Pizza Sales Calculations'!S1106="TRUE"),T1106*[1]Parameters!$B$40*2,0)</f>
        <v>0.17766369717483951</v>
      </c>
      <c r="V1106">
        <f>INDEX([1]Parameters!$A$3:$C$5,MATCH('[1]Pizza Sales Calculations'!D1106,[1]Parameters!$A$3:$A$5,0),2)</f>
        <v>14</v>
      </c>
      <c r="W1106" t="e">
        <f>INDEX([1]Parameters!$A$3:$C$5,MATCH('[1]Pizza Sales Calculations'!E1106,[1]Parameters!$A$3:$A$5,0),2)</f>
        <v>#N/A</v>
      </c>
      <c r="X1106" t="e">
        <f>INDEX([1]Parameters!$A$3:$C$5,MATCH('[1]Pizza Sales Calculations'!F1106,[1]Parameters!$A$3:$A$5,0),2)</f>
        <v>#N/A</v>
      </c>
    </row>
    <row r="1107" spans="1:24" x14ac:dyDescent="0.3">
      <c r="A1107">
        <v>1106</v>
      </c>
      <c r="B1107" s="14">
        <v>42381.500648148147</v>
      </c>
      <c r="C1107" s="14">
        <v>42381.511064814818</v>
      </c>
      <c r="D1107" t="s">
        <v>3</v>
      </c>
      <c r="G1107" t="b">
        <v>1</v>
      </c>
      <c r="H1107">
        <v>70804</v>
      </c>
      <c r="I1107" s="5">
        <v>3.9887029192671402</v>
      </c>
      <c r="J1107" s="14">
        <v>42381.524907407409</v>
      </c>
      <c r="K1107">
        <v>7.99</v>
      </c>
      <c r="L1107" s="5">
        <f>('[1]Pizza Sales Calculations'!$J1107-'[1]Pizza Sales Calculations'!$C1107)*24*60</f>
        <v>19.933333330554888</v>
      </c>
      <c r="M1107">
        <f>COUNTA('[1]Pizza Sales Calculations'!$D1107:$F1107)</f>
        <v>1</v>
      </c>
      <c r="N1107">
        <f>IFERROR(VLOOKUP(D1107,[1]Parameters!$A$3:$C$5,3,FALSE),0)</f>
        <v>1</v>
      </c>
      <c r="O1107">
        <f>IFERROR(VLOOKUP(E1107,[1]Parameters!$A$3:$C$5,3,FALSE),0)</f>
        <v>0</v>
      </c>
      <c r="P1107">
        <f>IFERROR(VLOOKUP(F1107,[1]Parameters!$A$3:$C$5,3,FALSE),0)</f>
        <v>0</v>
      </c>
      <c r="Q1107">
        <f t="shared" si="17"/>
        <v>1</v>
      </c>
      <c r="R1107" s="10">
        <f>IF('[1]Pizza Sales Calculations'!$G1107=TRUE, [1]Parameters!$B$17*'[1]Pizza Sales Calculations'!$L1107*2, 0)</f>
        <v>5.6477777769905515</v>
      </c>
      <c r="S1107" t="str">
        <f>IF(I1107&lt;[1]Parameters!$B$21,"TRUE","FALSE")</f>
        <v>FALSE</v>
      </c>
      <c r="T1107" s="5">
        <f>(I1107/[1]Parameters!$B$25)*60</f>
        <v>7.9774058385342812</v>
      </c>
      <c r="U1107" s="10">
        <f>IF(AND('[1]Pizza Sales Calculations'!G1107=TRUE,'[1]Pizza Sales Calculations'!S1107="TRUE"),T1107*[1]Parameters!$B$40*2,0)</f>
        <v>0</v>
      </c>
      <c r="V1107">
        <f>INDEX([1]Parameters!$A$3:$C$5,MATCH('[1]Pizza Sales Calculations'!D1107,[1]Parameters!$A$3:$A$5,0),2)</f>
        <v>7</v>
      </c>
      <c r="W1107" t="e">
        <f>INDEX([1]Parameters!$A$3:$C$5,MATCH('[1]Pizza Sales Calculations'!E1107,[1]Parameters!$A$3:$A$5,0),2)</f>
        <v>#N/A</v>
      </c>
      <c r="X1107" t="e">
        <f>INDEX([1]Parameters!$A$3:$C$5,MATCH('[1]Pizza Sales Calculations'!F1107,[1]Parameters!$A$3:$A$5,0),2)</f>
        <v>#N/A</v>
      </c>
    </row>
    <row r="1108" spans="1:24" x14ac:dyDescent="0.3">
      <c r="A1108">
        <v>1107</v>
      </c>
      <c r="B1108" s="14">
        <v>42381.492488425924</v>
      </c>
      <c r="C1108" s="14">
        <v>42381.502893518518</v>
      </c>
      <c r="D1108" t="s">
        <v>5</v>
      </c>
      <c r="G1108" t="b">
        <v>0</v>
      </c>
      <c r="H1108">
        <v>70806</v>
      </c>
      <c r="I1108" s="5">
        <v>0</v>
      </c>
      <c r="J1108" s="14">
        <v>42381.504988425928</v>
      </c>
      <c r="K1108">
        <v>15.35</v>
      </c>
      <c r="L1108" s="5">
        <f>('[1]Pizza Sales Calculations'!$J1108-'[1]Pizza Sales Calculations'!$C1108)*24*60</f>
        <v>3.0166666698642075</v>
      </c>
      <c r="M1108">
        <f>COUNTA('[1]Pizza Sales Calculations'!$D1108:$F1108)</f>
        <v>1</v>
      </c>
      <c r="N1108">
        <f>IFERROR(VLOOKUP(D1108,[1]Parameters!$A$3:$C$5,3,FALSE),0)</f>
        <v>2.2999999999999998</v>
      </c>
      <c r="O1108">
        <f>IFERROR(VLOOKUP(E1108,[1]Parameters!$A$3:$C$5,3,FALSE),0)</f>
        <v>0</v>
      </c>
      <c r="P1108">
        <f>IFERROR(VLOOKUP(F1108,[1]Parameters!$A$3:$C$5,3,FALSE),0)</f>
        <v>0</v>
      </c>
      <c r="Q1108">
        <f t="shared" si="17"/>
        <v>2.2999999999999998</v>
      </c>
      <c r="R1108" s="10">
        <f>IF('[1]Pizza Sales Calculations'!$G1108=TRUE, [1]Parameters!$B$17*'[1]Pizza Sales Calculations'!$L1108*2, 0)</f>
        <v>0</v>
      </c>
      <c r="S1108" t="str">
        <f>IF(I1108&lt;[1]Parameters!$B$21,"TRUE","FALSE")</f>
        <v>TRUE</v>
      </c>
      <c r="T1108" s="5">
        <f>(I1108/[1]Parameters!$B$25)*60</f>
        <v>0</v>
      </c>
      <c r="U1108" s="10">
        <f>IF(AND('[1]Pizza Sales Calculations'!G1108=TRUE,'[1]Pizza Sales Calculations'!S1108="TRUE"),T1108*[1]Parameters!$B$40*2,0)</f>
        <v>0</v>
      </c>
      <c r="V1108">
        <f>INDEX([1]Parameters!$A$3:$C$5,MATCH('[1]Pizza Sales Calculations'!D1108,[1]Parameters!$A$3:$A$5,0),2)</f>
        <v>14</v>
      </c>
      <c r="W1108" t="e">
        <f>INDEX([1]Parameters!$A$3:$C$5,MATCH('[1]Pizza Sales Calculations'!E1108,[1]Parameters!$A$3:$A$5,0),2)</f>
        <v>#N/A</v>
      </c>
      <c r="X1108" t="e">
        <f>INDEX([1]Parameters!$A$3:$C$5,MATCH('[1]Pizza Sales Calculations'!F1108,[1]Parameters!$A$3:$A$5,0),2)</f>
        <v>#N/A</v>
      </c>
    </row>
    <row r="1109" spans="1:24" x14ac:dyDescent="0.3">
      <c r="A1109">
        <v>1108</v>
      </c>
      <c r="B1109" s="14">
        <v>42381.478715277779</v>
      </c>
      <c r="C1109" s="14">
        <v>42381.489131944443</v>
      </c>
      <c r="D1109" t="s">
        <v>3</v>
      </c>
      <c r="E1109" t="s">
        <v>4</v>
      </c>
      <c r="G1109" t="b">
        <v>0</v>
      </c>
      <c r="H1109">
        <v>70804</v>
      </c>
      <c r="I1109" s="5">
        <v>0</v>
      </c>
      <c r="J1109" s="14">
        <v>42381.491215277776</v>
      </c>
      <c r="K1109">
        <v>19.579999999999998</v>
      </c>
      <c r="L1109" s="5">
        <f>('[1]Pizza Sales Calculations'!$J1109-'[1]Pizza Sales Calculations'!$C1109)*24*60</f>
        <v>2.9999999993015081</v>
      </c>
      <c r="M1109">
        <f>COUNTA('[1]Pizza Sales Calculations'!$D1109:$F1109)</f>
        <v>2</v>
      </c>
      <c r="N1109">
        <f>IFERROR(VLOOKUP(D1109,[1]Parameters!$A$3:$C$5,3,FALSE),0)</f>
        <v>1</v>
      </c>
      <c r="O1109">
        <f>IFERROR(VLOOKUP(E1109,[1]Parameters!$A$3:$C$5,3,FALSE),0)</f>
        <v>1.7</v>
      </c>
      <c r="P1109">
        <f>IFERROR(VLOOKUP(F1109,[1]Parameters!$A$3:$C$5,3,FALSE),0)</f>
        <v>0</v>
      </c>
      <c r="Q1109">
        <f t="shared" si="17"/>
        <v>2.7</v>
      </c>
      <c r="R1109" s="10">
        <f>IF('[1]Pizza Sales Calculations'!$G1109=TRUE, [1]Parameters!$B$17*'[1]Pizza Sales Calculations'!$L1109*2, 0)</f>
        <v>0</v>
      </c>
      <c r="S1109" t="str">
        <f>IF(I1109&lt;[1]Parameters!$B$21,"TRUE","FALSE")</f>
        <v>TRUE</v>
      </c>
      <c r="T1109" s="5">
        <f>(I1109/[1]Parameters!$B$25)*60</f>
        <v>0</v>
      </c>
      <c r="U1109" s="10">
        <f>IF(AND('[1]Pizza Sales Calculations'!G1109=TRUE,'[1]Pizza Sales Calculations'!S1109="TRUE"),T1109*[1]Parameters!$B$40*2,0)</f>
        <v>0</v>
      </c>
      <c r="V1109">
        <f>INDEX([1]Parameters!$A$3:$C$5,MATCH('[1]Pizza Sales Calculations'!D1109,[1]Parameters!$A$3:$A$5,0),2)</f>
        <v>7</v>
      </c>
      <c r="W1109">
        <f>INDEX([1]Parameters!$A$3:$C$5,MATCH('[1]Pizza Sales Calculations'!E1109,[1]Parameters!$A$3:$A$5,0),2)</f>
        <v>10</v>
      </c>
      <c r="X1109" t="e">
        <f>INDEX([1]Parameters!$A$3:$C$5,MATCH('[1]Pizza Sales Calculations'!F1109,[1]Parameters!$A$3:$A$5,0),2)</f>
        <v>#N/A</v>
      </c>
    </row>
    <row r="1110" spans="1:24" x14ac:dyDescent="0.3">
      <c r="A1110">
        <v>1109</v>
      </c>
      <c r="B1110" s="14">
        <v>42381.482812499999</v>
      </c>
      <c r="C1110" s="14">
        <v>42381.49324074074</v>
      </c>
      <c r="D1110" t="s">
        <v>4</v>
      </c>
      <c r="G1110" t="b">
        <v>1</v>
      </c>
      <c r="H1110">
        <v>70807</v>
      </c>
      <c r="I1110" s="5">
        <v>3.8524290859392898</v>
      </c>
      <c r="J1110" s="14">
        <v>42381.506608796299</v>
      </c>
      <c r="K1110">
        <v>11.59</v>
      </c>
      <c r="L1110" s="5">
        <f>('[1]Pizza Sales Calculations'!$J1110-'[1]Pizza Sales Calculations'!$C1110)*24*60</f>
        <v>19.250000005122274</v>
      </c>
      <c r="M1110">
        <f>COUNTA('[1]Pizza Sales Calculations'!$D1110:$F1110)</f>
        <v>1</v>
      </c>
      <c r="N1110">
        <f>IFERROR(VLOOKUP(D1110,[1]Parameters!$A$3:$C$5,3,FALSE),0)</f>
        <v>1.7</v>
      </c>
      <c r="O1110">
        <f>IFERROR(VLOOKUP(E1110,[1]Parameters!$A$3:$C$5,3,FALSE),0)</f>
        <v>0</v>
      </c>
      <c r="P1110">
        <f>IFERROR(VLOOKUP(F1110,[1]Parameters!$A$3:$C$5,3,FALSE),0)</f>
        <v>0</v>
      </c>
      <c r="Q1110">
        <f t="shared" si="17"/>
        <v>1.7</v>
      </c>
      <c r="R1110" s="10">
        <f>IF('[1]Pizza Sales Calculations'!$G1110=TRUE, [1]Parameters!$B$17*'[1]Pizza Sales Calculations'!$L1110*2, 0)</f>
        <v>5.4541666681179777</v>
      </c>
      <c r="S1110" t="str">
        <f>IF(I1110&lt;[1]Parameters!$B$21,"TRUE","FALSE")</f>
        <v>FALSE</v>
      </c>
      <c r="T1110" s="5">
        <f>(I1110/[1]Parameters!$B$25)*60</f>
        <v>7.7048581718785805</v>
      </c>
      <c r="U1110" s="10">
        <f>IF(AND('[1]Pizza Sales Calculations'!G1110=TRUE,'[1]Pizza Sales Calculations'!S1110="TRUE"),T1110*[1]Parameters!$B$40*2,0)</f>
        <v>0</v>
      </c>
      <c r="V1110">
        <f>INDEX([1]Parameters!$A$3:$C$5,MATCH('[1]Pizza Sales Calculations'!D1110,[1]Parameters!$A$3:$A$5,0),2)</f>
        <v>10</v>
      </c>
      <c r="W1110" t="e">
        <f>INDEX([1]Parameters!$A$3:$C$5,MATCH('[1]Pizza Sales Calculations'!E1110,[1]Parameters!$A$3:$A$5,0),2)</f>
        <v>#N/A</v>
      </c>
      <c r="X1110" t="e">
        <f>INDEX([1]Parameters!$A$3:$C$5,MATCH('[1]Pizza Sales Calculations'!F1110,[1]Parameters!$A$3:$A$5,0),2)</f>
        <v>#N/A</v>
      </c>
    </row>
    <row r="1111" spans="1:24" x14ac:dyDescent="0.3">
      <c r="A1111">
        <v>1110</v>
      </c>
      <c r="B1111" s="14">
        <v>42381.534733796296</v>
      </c>
      <c r="C1111" s="14">
        <v>42381.545162037037</v>
      </c>
      <c r="D1111" t="s">
        <v>5</v>
      </c>
      <c r="G1111" t="b">
        <v>1</v>
      </c>
      <c r="H1111">
        <v>70805</v>
      </c>
      <c r="I1111" s="5">
        <v>4.0204124251681099</v>
      </c>
      <c r="J1111" s="14">
        <v>42381.559120370373</v>
      </c>
      <c r="K1111">
        <v>15.35</v>
      </c>
      <c r="L1111" s="5">
        <f>('[1]Pizza Sales Calculations'!$J1111-'[1]Pizza Sales Calculations'!$C1111)*24*60</f>
        <v>20.100000004749745</v>
      </c>
      <c r="M1111">
        <f>COUNTA('[1]Pizza Sales Calculations'!$D1111:$F1111)</f>
        <v>1</v>
      </c>
      <c r="N1111">
        <f>IFERROR(VLOOKUP(D1111,[1]Parameters!$A$3:$C$5,3,FALSE),0)</f>
        <v>2.2999999999999998</v>
      </c>
      <c r="O1111">
        <f>IFERROR(VLOOKUP(E1111,[1]Parameters!$A$3:$C$5,3,FALSE),0)</f>
        <v>0</v>
      </c>
      <c r="P1111">
        <f>IFERROR(VLOOKUP(F1111,[1]Parameters!$A$3:$C$5,3,FALSE),0)</f>
        <v>0</v>
      </c>
      <c r="Q1111">
        <f t="shared" si="17"/>
        <v>2.2999999999999998</v>
      </c>
      <c r="R1111" s="10">
        <f>IF('[1]Pizza Sales Calculations'!$G1111=TRUE, [1]Parameters!$B$17*'[1]Pizza Sales Calculations'!$L1111*2, 0)</f>
        <v>5.6950000013457611</v>
      </c>
      <c r="S1111" t="str">
        <f>IF(I1111&lt;[1]Parameters!$B$21,"TRUE","FALSE")</f>
        <v>FALSE</v>
      </c>
      <c r="T1111" s="5">
        <f>(I1111/[1]Parameters!$B$25)*60</f>
        <v>8.0408248503362199</v>
      </c>
      <c r="U1111" s="10">
        <f>IF(AND('[1]Pizza Sales Calculations'!G1111=TRUE,'[1]Pizza Sales Calculations'!S1111="TRUE"),T1111*[1]Parameters!$B$40*2,0)</f>
        <v>0</v>
      </c>
      <c r="V1111">
        <f>INDEX([1]Parameters!$A$3:$C$5,MATCH('[1]Pizza Sales Calculations'!D1111,[1]Parameters!$A$3:$A$5,0),2)</f>
        <v>14</v>
      </c>
      <c r="W1111" t="e">
        <f>INDEX([1]Parameters!$A$3:$C$5,MATCH('[1]Pizza Sales Calculations'!E1111,[1]Parameters!$A$3:$A$5,0),2)</f>
        <v>#N/A</v>
      </c>
      <c r="X1111" t="e">
        <f>INDEX([1]Parameters!$A$3:$C$5,MATCH('[1]Pizza Sales Calculations'!F1111,[1]Parameters!$A$3:$A$5,0),2)</f>
        <v>#N/A</v>
      </c>
    </row>
    <row r="1112" spans="1:24" x14ac:dyDescent="0.3">
      <c r="A1112">
        <v>1111</v>
      </c>
      <c r="B1112" s="14">
        <v>42381.469108796293</v>
      </c>
      <c r="C1112" s="14">
        <v>42381.479537037034</v>
      </c>
      <c r="D1112" t="s">
        <v>3</v>
      </c>
      <c r="E1112" t="s">
        <v>5</v>
      </c>
      <c r="G1112" t="b">
        <v>0</v>
      </c>
      <c r="H1112">
        <v>70805</v>
      </c>
      <c r="I1112" s="5">
        <v>0</v>
      </c>
      <c r="J1112" s="14">
        <v>42381.481620370374</v>
      </c>
      <c r="K1112">
        <v>23.34</v>
      </c>
      <c r="L1112" s="5">
        <f>('[1]Pizza Sales Calculations'!$J1112-'[1]Pizza Sales Calculations'!$C1112)*24*60</f>
        <v>3.000000009778887</v>
      </c>
      <c r="M1112">
        <f>COUNTA('[1]Pizza Sales Calculations'!$D1112:$F1112)</f>
        <v>2</v>
      </c>
      <c r="N1112">
        <f>IFERROR(VLOOKUP(D1112,[1]Parameters!$A$3:$C$5,3,FALSE),0)</f>
        <v>1</v>
      </c>
      <c r="O1112">
        <f>IFERROR(VLOOKUP(E1112,[1]Parameters!$A$3:$C$5,3,FALSE),0)</f>
        <v>2.2999999999999998</v>
      </c>
      <c r="P1112">
        <f>IFERROR(VLOOKUP(F1112,[1]Parameters!$A$3:$C$5,3,FALSE),0)</f>
        <v>0</v>
      </c>
      <c r="Q1112">
        <f t="shared" si="17"/>
        <v>3.3</v>
      </c>
      <c r="R1112" s="10">
        <f>IF('[1]Pizza Sales Calculations'!$G1112=TRUE, [1]Parameters!$B$17*'[1]Pizza Sales Calculations'!$L1112*2, 0)</f>
        <v>0</v>
      </c>
      <c r="S1112" t="str">
        <f>IF(I1112&lt;[1]Parameters!$B$21,"TRUE","FALSE")</f>
        <v>TRUE</v>
      </c>
      <c r="T1112" s="5">
        <f>(I1112/[1]Parameters!$B$25)*60</f>
        <v>0</v>
      </c>
      <c r="U1112" s="10">
        <f>IF(AND('[1]Pizza Sales Calculations'!G1112=TRUE,'[1]Pizza Sales Calculations'!S1112="TRUE"),T1112*[1]Parameters!$B$40*2,0)</f>
        <v>0</v>
      </c>
      <c r="V1112">
        <f>INDEX([1]Parameters!$A$3:$C$5,MATCH('[1]Pizza Sales Calculations'!D1112,[1]Parameters!$A$3:$A$5,0),2)</f>
        <v>7</v>
      </c>
      <c r="W1112">
        <f>INDEX([1]Parameters!$A$3:$C$5,MATCH('[1]Pizza Sales Calculations'!E1112,[1]Parameters!$A$3:$A$5,0),2)</f>
        <v>14</v>
      </c>
      <c r="X1112" t="e">
        <f>INDEX([1]Parameters!$A$3:$C$5,MATCH('[1]Pizza Sales Calculations'!F1112,[1]Parameters!$A$3:$A$5,0),2)</f>
        <v>#N/A</v>
      </c>
    </row>
    <row r="1113" spans="1:24" x14ac:dyDescent="0.3">
      <c r="A1113">
        <v>1112</v>
      </c>
      <c r="B1113" s="14">
        <v>42381.46361111111</v>
      </c>
      <c r="C1113" s="14">
        <v>42381.474016203705</v>
      </c>
      <c r="D1113" t="s">
        <v>5</v>
      </c>
      <c r="G1113" t="b">
        <v>1</v>
      </c>
      <c r="H1113">
        <v>70805</v>
      </c>
      <c r="I1113" s="5">
        <v>3.7333103372069201</v>
      </c>
      <c r="J1113" s="14">
        <v>42381.486967592595</v>
      </c>
      <c r="K1113">
        <v>15.35</v>
      </c>
      <c r="L1113" s="5">
        <f>('[1]Pizza Sales Calculations'!$J1113-'[1]Pizza Sales Calculations'!$C1113)*24*60</f>
        <v>18.650000001071021</v>
      </c>
      <c r="M1113">
        <f>COUNTA('[1]Pizza Sales Calculations'!$D1113:$F1113)</f>
        <v>1</v>
      </c>
      <c r="N1113">
        <f>IFERROR(VLOOKUP(D1113,[1]Parameters!$A$3:$C$5,3,FALSE),0)</f>
        <v>2.2999999999999998</v>
      </c>
      <c r="O1113">
        <f>IFERROR(VLOOKUP(E1113,[1]Parameters!$A$3:$C$5,3,FALSE),0)</f>
        <v>0</v>
      </c>
      <c r="P1113">
        <f>IFERROR(VLOOKUP(F1113,[1]Parameters!$A$3:$C$5,3,FALSE),0)</f>
        <v>0</v>
      </c>
      <c r="Q1113">
        <f t="shared" si="17"/>
        <v>2.2999999999999998</v>
      </c>
      <c r="R1113" s="10">
        <f>IF('[1]Pizza Sales Calculations'!$G1113=TRUE, [1]Parameters!$B$17*'[1]Pizza Sales Calculations'!$L1113*2, 0)</f>
        <v>5.2841666669701226</v>
      </c>
      <c r="S1113" t="str">
        <f>IF(I1113&lt;[1]Parameters!$B$21,"TRUE","FALSE")</f>
        <v>FALSE</v>
      </c>
      <c r="T1113" s="5">
        <f>(I1113/[1]Parameters!$B$25)*60</f>
        <v>7.4666206744138401</v>
      </c>
      <c r="U1113" s="10">
        <f>IF(AND('[1]Pizza Sales Calculations'!G1113=TRUE,'[1]Pizza Sales Calculations'!S1113="TRUE"),T1113*[1]Parameters!$B$40*2,0)</f>
        <v>0</v>
      </c>
      <c r="V1113">
        <f>INDEX([1]Parameters!$A$3:$C$5,MATCH('[1]Pizza Sales Calculations'!D1113,[1]Parameters!$A$3:$A$5,0),2)</f>
        <v>14</v>
      </c>
      <c r="W1113" t="e">
        <f>INDEX([1]Parameters!$A$3:$C$5,MATCH('[1]Pizza Sales Calculations'!E1113,[1]Parameters!$A$3:$A$5,0),2)</f>
        <v>#N/A</v>
      </c>
      <c r="X1113" t="e">
        <f>INDEX([1]Parameters!$A$3:$C$5,MATCH('[1]Pizza Sales Calculations'!F1113,[1]Parameters!$A$3:$A$5,0),2)</f>
        <v>#N/A</v>
      </c>
    </row>
    <row r="1114" spans="1:24" x14ac:dyDescent="0.3">
      <c r="A1114">
        <v>1113</v>
      </c>
      <c r="B1114" s="14">
        <v>42381.58121527778</v>
      </c>
      <c r="C1114" s="14">
        <v>42381.591608796298</v>
      </c>
      <c r="D1114" t="s">
        <v>5</v>
      </c>
      <c r="G1114" t="b">
        <v>0</v>
      </c>
      <c r="H1114">
        <v>70807</v>
      </c>
      <c r="I1114" s="5">
        <v>0</v>
      </c>
      <c r="J1114" s="14">
        <v>42381.593680555554</v>
      </c>
      <c r="K1114">
        <v>15.35</v>
      </c>
      <c r="L1114" s="5">
        <f>('[1]Pizza Sales Calculations'!$J1114-'[1]Pizza Sales Calculations'!$C1114)*24*60</f>
        <v>2.9833333287388086</v>
      </c>
      <c r="M1114">
        <f>COUNTA('[1]Pizza Sales Calculations'!$D1114:$F1114)</f>
        <v>1</v>
      </c>
      <c r="N1114">
        <f>IFERROR(VLOOKUP(D1114,[1]Parameters!$A$3:$C$5,3,FALSE),0)</f>
        <v>2.2999999999999998</v>
      </c>
      <c r="O1114">
        <f>IFERROR(VLOOKUP(E1114,[1]Parameters!$A$3:$C$5,3,FALSE),0)</f>
        <v>0</v>
      </c>
      <c r="P1114">
        <f>IFERROR(VLOOKUP(F1114,[1]Parameters!$A$3:$C$5,3,FALSE),0)</f>
        <v>0</v>
      </c>
      <c r="Q1114">
        <f t="shared" si="17"/>
        <v>2.2999999999999998</v>
      </c>
      <c r="R1114" s="10">
        <f>IF('[1]Pizza Sales Calculations'!$G1114=TRUE, [1]Parameters!$B$17*'[1]Pizza Sales Calculations'!$L1114*2, 0)</f>
        <v>0</v>
      </c>
      <c r="S1114" t="str">
        <f>IF(I1114&lt;[1]Parameters!$B$21,"TRUE","FALSE")</f>
        <v>TRUE</v>
      </c>
      <c r="T1114" s="5">
        <f>(I1114/[1]Parameters!$B$25)*60</f>
        <v>0</v>
      </c>
      <c r="U1114" s="10">
        <f>IF(AND('[1]Pizza Sales Calculations'!G1114=TRUE,'[1]Pizza Sales Calculations'!S1114="TRUE"),T1114*[1]Parameters!$B$40*2,0)</f>
        <v>0</v>
      </c>
      <c r="V1114">
        <f>INDEX([1]Parameters!$A$3:$C$5,MATCH('[1]Pizza Sales Calculations'!D1114,[1]Parameters!$A$3:$A$5,0),2)</f>
        <v>14</v>
      </c>
      <c r="W1114" t="e">
        <f>INDEX([1]Parameters!$A$3:$C$5,MATCH('[1]Pizza Sales Calculations'!E1114,[1]Parameters!$A$3:$A$5,0),2)</f>
        <v>#N/A</v>
      </c>
      <c r="X1114" t="e">
        <f>INDEX([1]Parameters!$A$3:$C$5,MATCH('[1]Pizza Sales Calculations'!F1114,[1]Parameters!$A$3:$A$5,0),2)</f>
        <v>#N/A</v>
      </c>
    </row>
    <row r="1115" spans="1:24" x14ac:dyDescent="0.3">
      <c r="A1115">
        <v>1114</v>
      </c>
      <c r="B1115" s="14">
        <v>42381.517164351855</v>
      </c>
      <c r="C1115" s="14">
        <v>42381.527592592596</v>
      </c>
      <c r="D1115" t="s">
        <v>4</v>
      </c>
      <c r="G1115" t="b">
        <v>0</v>
      </c>
      <c r="H1115">
        <v>70804</v>
      </c>
      <c r="I1115" s="5">
        <v>0</v>
      </c>
      <c r="J1115" s="14">
        <v>42381.529664351852</v>
      </c>
      <c r="K1115">
        <v>11.59</v>
      </c>
      <c r="L1115" s="5">
        <f>('[1]Pizza Sales Calculations'!$J1115-'[1]Pizza Sales Calculations'!$C1115)*24*60</f>
        <v>2.9833333287388086</v>
      </c>
      <c r="M1115">
        <f>COUNTA('[1]Pizza Sales Calculations'!$D1115:$F1115)</f>
        <v>1</v>
      </c>
      <c r="N1115">
        <f>IFERROR(VLOOKUP(D1115,[1]Parameters!$A$3:$C$5,3,FALSE),0)</f>
        <v>1.7</v>
      </c>
      <c r="O1115">
        <f>IFERROR(VLOOKUP(E1115,[1]Parameters!$A$3:$C$5,3,FALSE),0)</f>
        <v>0</v>
      </c>
      <c r="P1115">
        <f>IFERROR(VLOOKUP(F1115,[1]Parameters!$A$3:$C$5,3,FALSE),0)</f>
        <v>0</v>
      </c>
      <c r="Q1115">
        <f t="shared" si="17"/>
        <v>1.7</v>
      </c>
      <c r="R1115" s="10">
        <f>IF('[1]Pizza Sales Calculations'!$G1115=TRUE, [1]Parameters!$B$17*'[1]Pizza Sales Calculations'!$L1115*2, 0)</f>
        <v>0</v>
      </c>
      <c r="S1115" t="str">
        <f>IF(I1115&lt;[1]Parameters!$B$21,"TRUE","FALSE")</f>
        <v>TRUE</v>
      </c>
      <c r="T1115" s="5">
        <f>(I1115/[1]Parameters!$B$25)*60</f>
        <v>0</v>
      </c>
      <c r="U1115" s="10">
        <f>IF(AND('[1]Pizza Sales Calculations'!G1115=TRUE,'[1]Pizza Sales Calculations'!S1115="TRUE"),T1115*[1]Parameters!$B$40*2,0)</f>
        <v>0</v>
      </c>
      <c r="V1115">
        <f>INDEX([1]Parameters!$A$3:$C$5,MATCH('[1]Pizza Sales Calculations'!D1115,[1]Parameters!$A$3:$A$5,0),2)</f>
        <v>10</v>
      </c>
      <c r="W1115" t="e">
        <f>INDEX([1]Parameters!$A$3:$C$5,MATCH('[1]Pizza Sales Calculations'!E1115,[1]Parameters!$A$3:$A$5,0),2)</f>
        <v>#N/A</v>
      </c>
      <c r="X1115" t="e">
        <f>INDEX([1]Parameters!$A$3:$C$5,MATCH('[1]Pizza Sales Calculations'!F1115,[1]Parameters!$A$3:$A$5,0),2)</f>
        <v>#N/A</v>
      </c>
    </row>
    <row r="1116" spans="1:24" x14ac:dyDescent="0.3">
      <c r="A1116">
        <v>1115</v>
      </c>
      <c r="B1116" s="14">
        <v>42381.517569444448</v>
      </c>
      <c r="C1116" s="14">
        <v>42381.527974537035</v>
      </c>
      <c r="D1116" t="s">
        <v>4</v>
      </c>
      <c r="G1116" t="b">
        <v>0</v>
      </c>
      <c r="H1116">
        <v>70806</v>
      </c>
      <c r="I1116" s="5">
        <v>0</v>
      </c>
      <c r="J1116" s="14">
        <v>42381.530057870368</v>
      </c>
      <c r="K1116">
        <v>11.59</v>
      </c>
      <c r="L1116" s="5">
        <f>('[1]Pizza Sales Calculations'!$J1116-'[1]Pizza Sales Calculations'!$C1116)*24*60</f>
        <v>2.9999999993015081</v>
      </c>
      <c r="M1116">
        <f>COUNTA('[1]Pizza Sales Calculations'!$D1116:$F1116)</f>
        <v>1</v>
      </c>
      <c r="N1116">
        <f>IFERROR(VLOOKUP(D1116,[1]Parameters!$A$3:$C$5,3,FALSE),0)</f>
        <v>1.7</v>
      </c>
      <c r="O1116">
        <f>IFERROR(VLOOKUP(E1116,[1]Parameters!$A$3:$C$5,3,FALSE),0)</f>
        <v>0</v>
      </c>
      <c r="P1116">
        <f>IFERROR(VLOOKUP(F1116,[1]Parameters!$A$3:$C$5,3,FALSE),0)</f>
        <v>0</v>
      </c>
      <c r="Q1116">
        <f t="shared" si="17"/>
        <v>1.7</v>
      </c>
      <c r="R1116" s="10">
        <f>IF('[1]Pizza Sales Calculations'!$G1116=TRUE, [1]Parameters!$B$17*'[1]Pizza Sales Calculations'!$L1116*2, 0)</f>
        <v>0</v>
      </c>
      <c r="S1116" t="str">
        <f>IF(I1116&lt;[1]Parameters!$B$21,"TRUE","FALSE")</f>
        <v>TRUE</v>
      </c>
      <c r="T1116" s="5">
        <f>(I1116/[1]Parameters!$B$25)*60</f>
        <v>0</v>
      </c>
      <c r="U1116" s="10">
        <f>IF(AND('[1]Pizza Sales Calculations'!G1116=TRUE,'[1]Pizza Sales Calculations'!S1116="TRUE"),T1116*[1]Parameters!$B$40*2,0)</f>
        <v>0</v>
      </c>
      <c r="V1116">
        <f>INDEX([1]Parameters!$A$3:$C$5,MATCH('[1]Pizza Sales Calculations'!D1116,[1]Parameters!$A$3:$A$5,0),2)</f>
        <v>10</v>
      </c>
      <c r="W1116" t="e">
        <f>INDEX([1]Parameters!$A$3:$C$5,MATCH('[1]Pizza Sales Calculations'!E1116,[1]Parameters!$A$3:$A$5,0),2)</f>
        <v>#N/A</v>
      </c>
      <c r="X1116" t="e">
        <f>INDEX([1]Parameters!$A$3:$C$5,MATCH('[1]Pizza Sales Calculations'!F1116,[1]Parameters!$A$3:$A$5,0),2)</f>
        <v>#N/A</v>
      </c>
    </row>
    <row r="1117" spans="1:24" x14ac:dyDescent="0.3">
      <c r="A1117">
        <v>1116</v>
      </c>
      <c r="B1117" s="14">
        <v>42381.559872685182</v>
      </c>
      <c r="C1117" s="14">
        <v>42381.570289351854</v>
      </c>
      <c r="D1117" t="s">
        <v>3</v>
      </c>
      <c r="G1117" t="b">
        <v>1</v>
      </c>
      <c r="H1117">
        <v>70805</v>
      </c>
      <c r="I1117" s="5">
        <v>2.8280466933444699</v>
      </c>
      <c r="J1117" s="14">
        <v>42381.580104166664</v>
      </c>
      <c r="K1117">
        <v>7.99</v>
      </c>
      <c r="L1117" s="5">
        <f>('[1]Pizza Sales Calculations'!$J1117-'[1]Pizza Sales Calculations'!$C1117)*24*60</f>
        <v>14.13333332631737</v>
      </c>
      <c r="M1117">
        <f>COUNTA('[1]Pizza Sales Calculations'!$D1117:$F1117)</f>
        <v>1</v>
      </c>
      <c r="N1117">
        <f>IFERROR(VLOOKUP(D1117,[1]Parameters!$A$3:$C$5,3,FALSE),0)</f>
        <v>1</v>
      </c>
      <c r="O1117">
        <f>IFERROR(VLOOKUP(E1117,[1]Parameters!$A$3:$C$5,3,FALSE),0)</f>
        <v>0</v>
      </c>
      <c r="P1117">
        <f>IFERROR(VLOOKUP(F1117,[1]Parameters!$A$3:$C$5,3,FALSE),0)</f>
        <v>0</v>
      </c>
      <c r="Q1117">
        <f t="shared" si="17"/>
        <v>1</v>
      </c>
      <c r="R1117" s="10">
        <f>IF('[1]Pizza Sales Calculations'!$G1117=TRUE, [1]Parameters!$B$17*'[1]Pizza Sales Calculations'!$L1117*2, 0)</f>
        <v>4.0044444424565881</v>
      </c>
      <c r="S1117" t="str">
        <f>IF(I1117&lt;[1]Parameters!$B$21,"TRUE","FALSE")</f>
        <v>TRUE</v>
      </c>
      <c r="T1117" s="5">
        <f>(I1117/[1]Parameters!$B$25)*60</f>
        <v>5.6560933866889398</v>
      </c>
      <c r="U1117" s="10">
        <f>IF(AND('[1]Pizza Sales Calculations'!G1117=TRUE,'[1]Pizza Sales Calculations'!S1117="TRUE"),T1117*[1]Parameters!$B$40*2,0)</f>
        <v>0.35306821401891109</v>
      </c>
      <c r="V1117">
        <f>INDEX([1]Parameters!$A$3:$C$5,MATCH('[1]Pizza Sales Calculations'!D1117,[1]Parameters!$A$3:$A$5,0),2)</f>
        <v>7</v>
      </c>
      <c r="W1117" t="e">
        <f>INDEX([1]Parameters!$A$3:$C$5,MATCH('[1]Pizza Sales Calculations'!E1117,[1]Parameters!$A$3:$A$5,0),2)</f>
        <v>#N/A</v>
      </c>
      <c r="X1117" t="e">
        <f>INDEX([1]Parameters!$A$3:$C$5,MATCH('[1]Pizza Sales Calculations'!F1117,[1]Parameters!$A$3:$A$5,0),2)</f>
        <v>#N/A</v>
      </c>
    </row>
    <row r="1118" spans="1:24" x14ac:dyDescent="0.3">
      <c r="A1118">
        <v>1117</v>
      </c>
      <c r="B1118" s="14">
        <v>42381.530763888892</v>
      </c>
      <c r="C1118" s="14">
        <v>42381.541192129633</v>
      </c>
      <c r="D1118" t="s">
        <v>4</v>
      </c>
      <c r="G1118" t="b">
        <v>0</v>
      </c>
      <c r="H1118">
        <v>70807</v>
      </c>
      <c r="I1118" s="5">
        <v>0</v>
      </c>
      <c r="J1118" s="14">
        <v>42381.543263888889</v>
      </c>
      <c r="K1118">
        <v>11.59</v>
      </c>
      <c r="L1118" s="5">
        <f>('[1]Pizza Sales Calculations'!$J1118-'[1]Pizza Sales Calculations'!$C1118)*24*60</f>
        <v>2.9833333287388086</v>
      </c>
      <c r="M1118">
        <f>COUNTA('[1]Pizza Sales Calculations'!$D1118:$F1118)</f>
        <v>1</v>
      </c>
      <c r="N1118">
        <f>IFERROR(VLOOKUP(D1118,[1]Parameters!$A$3:$C$5,3,FALSE),0)</f>
        <v>1.7</v>
      </c>
      <c r="O1118">
        <f>IFERROR(VLOOKUP(E1118,[1]Parameters!$A$3:$C$5,3,FALSE),0)</f>
        <v>0</v>
      </c>
      <c r="P1118">
        <f>IFERROR(VLOOKUP(F1118,[1]Parameters!$A$3:$C$5,3,FALSE),0)</f>
        <v>0</v>
      </c>
      <c r="Q1118">
        <f t="shared" si="17"/>
        <v>1.7</v>
      </c>
      <c r="R1118" s="10">
        <f>IF('[1]Pizza Sales Calculations'!$G1118=TRUE, [1]Parameters!$B$17*'[1]Pizza Sales Calculations'!$L1118*2, 0)</f>
        <v>0</v>
      </c>
      <c r="S1118" t="str">
        <f>IF(I1118&lt;[1]Parameters!$B$21,"TRUE","FALSE")</f>
        <v>TRUE</v>
      </c>
      <c r="T1118" s="5">
        <f>(I1118/[1]Parameters!$B$25)*60</f>
        <v>0</v>
      </c>
      <c r="U1118" s="10">
        <f>IF(AND('[1]Pizza Sales Calculations'!G1118=TRUE,'[1]Pizza Sales Calculations'!S1118="TRUE"),T1118*[1]Parameters!$B$40*2,0)</f>
        <v>0</v>
      </c>
      <c r="V1118">
        <f>INDEX([1]Parameters!$A$3:$C$5,MATCH('[1]Pizza Sales Calculations'!D1118,[1]Parameters!$A$3:$A$5,0),2)</f>
        <v>10</v>
      </c>
      <c r="W1118" t="e">
        <f>INDEX([1]Parameters!$A$3:$C$5,MATCH('[1]Pizza Sales Calculations'!E1118,[1]Parameters!$A$3:$A$5,0),2)</f>
        <v>#N/A</v>
      </c>
      <c r="X1118" t="e">
        <f>INDEX([1]Parameters!$A$3:$C$5,MATCH('[1]Pizza Sales Calculations'!F1118,[1]Parameters!$A$3:$A$5,0),2)</f>
        <v>#N/A</v>
      </c>
    </row>
    <row r="1119" spans="1:24" x14ac:dyDescent="0.3">
      <c r="A1119">
        <v>1118</v>
      </c>
      <c r="B1119" s="14">
        <v>42381.437974537039</v>
      </c>
      <c r="C1119" s="14">
        <v>42381.448379629626</v>
      </c>
      <c r="D1119" t="s">
        <v>3</v>
      </c>
      <c r="E1119" t="s">
        <v>4</v>
      </c>
      <c r="G1119" t="b">
        <v>0</v>
      </c>
      <c r="H1119">
        <v>70805</v>
      </c>
      <c r="I1119" s="5">
        <v>0</v>
      </c>
      <c r="J1119" s="14">
        <v>42381.450439814813</v>
      </c>
      <c r="K1119">
        <v>19.579999999999998</v>
      </c>
      <c r="L1119" s="5">
        <f>('[1]Pizza Sales Calculations'!$J1119-'[1]Pizza Sales Calculations'!$C1119)*24*60</f>
        <v>2.9666666686534882</v>
      </c>
      <c r="M1119">
        <f>COUNTA('[1]Pizza Sales Calculations'!$D1119:$F1119)</f>
        <v>2</v>
      </c>
      <c r="N1119">
        <f>IFERROR(VLOOKUP(D1119,[1]Parameters!$A$3:$C$5,3,FALSE),0)</f>
        <v>1</v>
      </c>
      <c r="O1119">
        <f>IFERROR(VLOOKUP(E1119,[1]Parameters!$A$3:$C$5,3,FALSE),0)</f>
        <v>1.7</v>
      </c>
      <c r="P1119">
        <f>IFERROR(VLOOKUP(F1119,[1]Parameters!$A$3:$C$5,3,FALSE),0)</f>
        <v>0</v>
      </c>
      <c r="Q1119">
        <f t="shared" si="17"/>
        <v>2.7</v>
      </c>
      <c r="R1119" s="10">
        <f>IF('[1]Pizza Sales Calculations'!$G1119=TRUE, [1]Parameters!$B$17*'[1]Pizza Sales Calculations'!$L1119*2, 0)</f>
        <v>0</v>
      </c>
      <c r="S1119" t="str">
        <f>IF(I1119&lt;[1]Parameters!$B$21,"TRUE","FALSE")</f>
        <v>TRUE</v>
      </c>
      <c r="T1119" s="5">
        <f>(I1119/[1]Parameters!$B$25)*60</f>
        <v>0</v>
      </c>
      <c r="U1119" s="10">
        <f>IF(AND('[1]Pizza Sales Calculations'!G1119=TRUE,'[1]Pizza Sales Calculations'!S1119="TRUE"),T1119*[1]Parameters!$B$40*2,0)</f>
        <v>0</v>
      </c>
      <c r="V1119">
        <f>INDEX([1]Parameters!$A$3:$C$5,MATCH('[1]Pizza Sales Calculations'!D1119,[1]Parameters!$A$3:$A$5,0),2)</f>
        <v>7</v>
      </c>
      <c r="W1119">
        <f>INDEX([1]Parameters!$A$3:$C$5,MATCH('[1]Pizza Sales Calculations'!E1119,[1]Parameters!$A$3:$A$5,0),2)</f>
        <v>10</v>
      </c>
      <c r="X1119" t="e">
        <f>INDEX([1]Parameters!$A$3:$C$5,MATCH('[1]Pizza Sales Calculations'!F1119,[1]Parameters!$A$3:$A$5,0),2)</f>
        <v>#N/A</v>
      </c>
    </row>
    <row r="1120" spans="1:24" x14ac:dyDescent="0.3">
      <c r="A1120">
        <v>1119</v>
      </c>
      <c r="B1120" s="14">
        <v>42381.52171296296</v>
      </c>
      <c r="C1120" s="14">
        <v>42381.532129629632</v>
      </c>
      <c r="D1120" t="s">
        <v>3</v>
      </c>
      <c r="E1120" t="s">
        <v>4</v>
      </c>
      <c r="G1120" t="b">
        <v>1</v>
      </c>
      <c r="H1120">
        <v>70805</v>
      </c>
      <c r="I1120" s="5">
        <v>3.5389578277735301</v>
      </c>
      <c r="J1120" s="14">
        <v>42381.544409722221</v>
      </c>
      <c r="K1120">
        <v>19.579999999999998</v>
      </c>
      <c r="L1120" s="5">
        <f>('[1]Pizza Sales Calculations'!$J1120-'[1]Pizza Sales Calculations'!$C1120)*24*60</f>
        <v>17.683333328459412</v>
      </c>
      <c r="M1120">
        <f>COUNTA('[1]Pizza Sales Calculations'!$D1120:$F1120)</f>
        <v>2</v>
      </c>
      <c r="N1120">
        <f>IFERROR(VLOOKUP(D1120,[1]Parameters!$A$3:$C$5,3,FALSE),0)</f>
        <v>1</v>
      </c>
      <c r="O1120">
        <f>IFERROR(VLOOKUP(E1120,[1]Parameters!$A$3:$C$5,3,FALSE),0)</f>
        <v>1.7</v>
      </c>
      <c r="P1120">
        <f>IFERROR(VLOOKUP(F1120,[1]Parameters!$A$3:$C$5,3,FALSE),0)</f>
        <v>0</v>
      </c>
      <c r="Q1120">
        <f t="shared" si="17"/>
        <v>2.7</v>
      </c>
      <c r="R1120" s="10">
        <f>IF('[1]Pizza Sales Calculations'!$G1120=TRUE, [1]Parameters!$B$17*'[1]Pizza Sales Calculations'!$L1120*2, 0)</f>
        <v>5.0102777763968334</v>
      </c>
      <c r="S1120" t="str">
        <f>IF(I1120&lt;[1]Parameters!$B$21,"TRUE","FALSE")</f>
        <v>FALSE</v>
      </c>
      <c r="T1120" s="5">
        <f>(I1120/[1]Parameters!$B$25)*60</f>
        <v>7.0779156555470601</v>
      </c>
      <c r="U1120" s="10">
        <f>IF(AND('[1]Pizza Sales Calculations'!G1120=TRUE,'[1]Pizza Sales Calculations'!S1120="TRUE"),T1120*[1]Parameters!$B$40*2,0)</f>
        <v>0</v>
      </c>
      <c r="V1120">
        <f>INDEX([1]Parameters!$A$3:$C$5,MATCH('[1]Pizza Sales Calculations'!D1120,[1]Parameters!$A$3:$A$5,0),2)</f>
        <v>7</v>
      </c>
      <c r="W1120">
        <f>INDEX([1]Parameters!$A$3:$C$5,MATCH('[1]Pizza Sales Calculations'!E1120,[1]Parameters!$A$3:$A$5,0),2)</f>
        <v>10</v>
      </c>
      <c r="X1120" t="e">
        <f>INDEX([1]Parameters!$A$3:$C$5,MATCH('[1]Pizza Sales Calculations'!F1120,[1]Parameters!$A$3:$A$5,0),2)</f>
        <v>#N/A</v>
      </c>
    </row>
    <row r="1121" spans="1:24" x14ac:dyDescent="0.3">
      <c r="A1121">
        <v>1120</v>
      </c>
      <c r="B1121" s="14">
        <v>42381.466562499998</v>
      </c>
      <c r="C1121" s="14">
        <v>42381.476979166669</v>
      </c>
      <c r="D1121" t="s">
        <v>5</v>
      </c>
      <c r="G1121" t="b">
        <v>0</v>
      </c>
      <c r="H1121">
        <v>70804</v>
      </c>
      <c r="I1121" s="5">
        <v>0</v>
      </c>
      <c r="J1121" s="14">
        <v>42381.479039351849</v>
      </c>
      <c r="K1121">
        <v>15.35</v>
      </c>
      <c r="L1121" s="5">
        <f>('[1]Pizza Sales Calculations'!$J1121-'[1]Pizza Sales Calculations'!$C1121)*24*60</f>
        <v>2.9666666581761092</v>
      </c>
      <c r="M1121">
        <f>COUNTA('[1]Pizza Sales Calculations'!$D1121:$F1121)</f>
        <v>1</v>
      </c>
      <c r="N1121">
        <f>IFERROR(VLOOKUP(D1121,[1]Parameters!$A$3:$C$5,3,FALSE),0)</f>
        <v>2.2999999999999998</v>
      </c>
      <c r="O1121">
        <f>IFERROR(VLOOKUP(E1121,[1]Parameters!$A$3:$C$5,3,FALSE),0)</f>
        <v>0</v>
      </c>
      <c r="P1121">
        <f>IFERROR(VLOOKUP(F1121,[1]Parameters!$A$3:$C$5,3,FALSE),0)</f>
        <v>0</v>
      </c>
      <c r="Q1121">
        <f t="shared" si="17"/>
        <v>2.2999999999999998</v>
      </c>
      <c r="R1121" s="10">
        <f>IF('[1]Pizza Sales Calculations'!$G1121=TRUE, [1]Parameters!$B$17*'[1]Pizza Sales Calculations'!$L1121*2, 0)</f>
        <v>0</v>
      </c>
      <c r="S1121" t="str">
        <f>IF(I1121&lt;[1]Parameters!$B$21,"TRUE","FALSE")</f>
        <v>TRUE</v>
      </c>
      <c r="T1121" s="5">
        <f>(I1121/[1]Parameters!$B$25)*60</f>
        <v>0</v>
      </c>
      <c r="U1121" s="10">
        <f>IF(AND('[1]Pizza Sales Calculations'!G1121=TRUE,'[1]Pizza Sales Calculations'!S1121="TRUE"),T1121*[1]Parameters!$B$40*2,0)</f>
        <v>0</v>
      </c>
      <c r="V1121">
        <f>INDEX([1]Parameters!$A$3:$C$5,MATCH('[1]Pizza Sales Calculations'!D1121,[1]Parameters!$A$3:$A$5,0),2)</f>
        <v>14</v>
      </c>
      <c r="W1121" t="e">
        <f>INDEX([1]Parameters!$A$3:$C$5,MATCH('[1]Pizza Sales Calculations'!E1121,[1]Parameters!$A$3:$A$5,0),2)</f>
        <v>#N/A</v>
      </c>
      <c r="X1121" t="e">
        <f>INDEX([1]Parameters!$A$3:$C$5,MATCH('[1]Pizza Sales Calculations'!F1121,[1]Parameters!$A$3:$A$5,0),2)</f>
        <v>#N/A</v>
      </c>
    </row>
    <row r="1122" spans="1:24" x14ac:dyDescent="0.3">
      <c r="A1122">
        <v>1121</v>
      </c>
      <c r="B1122" s="14">
        <v>42381.53707175926</v>
      </c>
      <c r="C1122" s="14">
        <v>42381.547488425924</v>
      </c>
      <c r="D1122" t="s">
        <v>4</v>
      </c>
      <c r="G1122" t="b">
        <v>1</v>
      </c>
      <c r="H1122">
        <v>70806</v>
      </c>
      <c r="I1122" s="5">
        <v>3.37228450871048</v>
      </c>
      <c r="J1122" s="14">
        <v>42381.559189814812</v>
      </c>
      <c r="K1122">
        <v>11.59</v>
      </c>
      <c r="L1122" s="5">
        <f>('[1]Pizza Sales Calculations'!$J1122-'[1]Pizza Sales Calculations'!$C1122)*24*60</f>
        <v>16.84999999939464</v>
      </c>
      <c r="M1122">
        <f>COUNTA('[1]Pizza Sales Calculations'!$D1122:$F1122)</f>
        <v>1</v>
      </c>
      <c r="N1122">
        <f>IFERROR(VLOOKUP(D1122,[1]Parameters!$A$3:$C$5,3,FALSE),0)</f>
        <v>1.7</v>
      </c>
      <c r="O1122">
        <f>IFERROR(VLOOKUP(E1122,[1]Parameters!$A$3:$C$5,3,FALSE),0)</f>
        <v>0</v>
      </c>
      <c r="P1122">
        <f>IFERROR(VLOOKUP(F1122,[1]Parameters!$A$3:$C$5,3,FALSE),0)</f>
        <v>0</v>
      </c>
      <c r="Q1122">
        <f t="shared" si="17"/>
        <v>1.7</v>
      </c>
      <c r="R1122" s="10">
        <f>IF('[1]Pizza Sales Calculations'!$G1122=TRUE, [1]Parameters!$B$17*'[1]Pizza Sales Calculations'!$L1122*2, 0)</f>
        <v>4.7741666664951481</v>
      </c>
      <c r="S1122" t="str">
        <f>IF(I1122&lt;[1]Parameters!$B$21,"TRUE","FALSE")</f>
        <v>FALSE</v>
      </c>
      <c r="T1122" s="5">
        <f>(I1122/[1]Parameters!$B$25)*60</f>
        <v>6.74456901742096</v>
      </c>
      <c r="U1122" s="10">
        <f>IF(AND('[1]Pizza Sales Calculations'!G1122=TRUE,'[1]Pizza Sales Calculations'!S1122="TRUE"),T1122*[1]Parameters!$B$40*2,0)</f>
        <v>0</v>
      </c>
      <c r="V1122">
        <f>INDEX([1]Parameters!$A$3:$C$5,MATCH('[1]Pizza Sales Calculations'!D1122,[1]Parameters!$A$3:$A$5,0),2)</f>
        <v>10</v>
      </c>
      <c r="W1122" t="e">
        <f>INDEX([1]Parameters!$A$3:$C$5,MATCH('[1]Pizza Sales Calculations'!E1122,[1]Parameters!$A$3:$A$5,0),2)</f>
        <v>#N/A</v>
      </c>
      <c r="X1122" t="e">
        <f>INDEX([1]Parameters!$A$3:$C$5,MATCH('[1]Pizza Sales Calculations'!F1122,[1]Parameters!$A$3:$A$5,0),2)</f>
        <v>#N/A</v>
      </c>
    </row>
    <row r="1123" spans="1:24" x14ac:dyDescent="0.3">
      <c r="A1123">
        <v>1122</v>
      </c>
      <c r="B1123" s="14">
        <v>42381.559884259259</v>
      </c>
      <c r="C1123" s="14">
        <v>42381.570277777777</v>
      </c>
      <c r="D1123" t="s">
        <v>5</v>
      </c>
      <c r="G1123" t="b">
        <v>0</v>
      </c>
      <c r="H1123">
        <v>70805</v>
      </c>
      <c r="I1123" s="5">
        <v>0</v>
      </c>
      <c r="J1123" s="14">
        <v>42381.57236111111</v>
      </c>
      <c r="K1123">
        <v>15.35</v>
      </c>
      <c r="L1123" s="5">
        <f>('[1]Pizza Sales Calculations'!$J1123-'[1]Pizza Sales Calculations'!$C1123)*24*60</f>
        <v>2.9999999993015081</v>
      </c>
      <c r="M1123">
        <f>COUNTA('[1]Pizza Sales Calculations'!$D1123:$F1123)</f>
        <v>1</v>
      </c>
      <c r="N1123">
        <f>IFERROR(VLOOKUP(D1123,[1]Parameters!$A$3:$C$5,3,FALSE),0)</f>
        <v>2.2999999999999998</v>
      </c>
      <c r="O1123">
        <f>IFERROR(VLOOKUP(E1123,[1]Parameters!$A$3:$C$5,3,FALSE),0)</f>
        <v>0</v>
      </c>
      <c r="P1123">
        <f>IFERROR(VLOOKUP(F1123,[1]Parameters!$A$3:$C$5,3,FALSE),0)</f>
        <v>0</v>
      </c>
      <c r="Q1123">
        <f t="shared" si="17"/>
        <v>2.2999999999999998</v>
      </c>
      <c r="R1123" s="10">
        <f>IF('[1]Pizza Sales Calculations'!$G1123=TRUE, [1]Parameters!$B$17*'[1]Pizza Sales Calculations'!$L1123*2, 0)</f>
        <v>0</v>
      </c>
      <c r="S1123" t="str">
        <f>IF(I1123&lt;[1]Parameters!$B$21,"TRUE","FALSE")</f>
        <v>TRUE</v>
      </c>
      <c r="T1123" s="5">
        <f>(I1123/[1]Parameters!$B$25)*60</f>
        <v>0</v>
      </c>
      <c r="U1123" s="10">
        <f>IF(AND('[1]Pizza Sales Calculations'!G1123=TRUE,'[1]Pizza Sales Calculations'!S1123="TRUE"),T1123*[1]Parameters!$B$40*2,0)</f>
        <v>0</v>
      </c>
      <c r="V1123">
        <f>INDEX([1]Parameters!$A$3:$C$5,MATCH('[1]Pizza Sales Calculations'!D1123,[1]Parameters!$A$3:$A$5,0),2)</f>
        <v>14</v>
      </c>
      <c r="W1123" t="e">
        <f>INDEX([1]Parameters!$A$3:$C$5,MATCH('[1]Pizza Sales Calculations'!E1123,[1]Parameters!$A$3:$A$5,0),2)</f>
        <v>#N/A</v>
      </c>
      <c r="X1123" t="e">
        <f>INDEX([1]Parameters!$A$3:$C$5,MATCH('[1]Pizza Sales Calculations'!F1123,[1]Parameters!$A$3:$A$5,0),2)</f>
        <v>#N/A</v>
      </c>
    </row>
    <row r="1124" spans="1:24" x14ac:dyDescent="0.3">
      <c r="A1124">
        <v>1123</v>
      </c>
      <c r="B1124" s="14">
        <v>42381.421643518515</v>
      </c>
      <c r="C1124" s="14">
        <v>42381.43204861111</v>
      </c>
      <c r="D1124" t="s">
        <v>3</v>
      </c>
      <c r="E1124" t="s">
        <v>5</v>
      </c>
      <c r="G1124" t="b">
        <v>1</v>
      </c>
      <c r="H1124">
        <v>70804</v>
      </c>
      <c r="I1124" s="5">
        <v>2.1033815236784998</v>
      </c>
      <c r="J1124" s="14">
        <v>42381.439351851855</v>
      </c>
      <c r="K1124">
        <v>23.34</v>
      </c>
      <c r="L1124" s="5">
        <f>('[1]Pizza Sales Calculations'!$J1124-'[1]Pizza Sales Calculations'!$C1124)*24*60</f>
        <v>10.516666673356667</v>
      </c>
      <c r="M1124">
        <f>COUNTA('[1]Pizza Sales Calculations'!$D1124:$F1124)</f>
        <v>2</v>
      </c>
      <c r="N1124">
        <f>IFERROR(VLOOKUP(D1124,[1]Parameters!$A$3:$C$5,3,FALSE),0)</f>
        <v>1</v>
      </c>
      <c r="O1124">
        <f>IFERROR(VLOOKUP(E1124,[1]Parameters!$A$3:$C$5,3,FALSE),0)</f>
        <v>2.2999999999999998</v>
      </c>
      <c r="P1124">
        <f>IFERROR(VLOOKUP(F1124,[1]Parameters!$A$3:$C$5,3,FALSE),0)</f>
        <v>0</v>
      </c>
      <c r="Q1124">
        <f t="shared" si="17"/>
        <v>3.3</v>
      </c>
      <c r="R1124" s="10">
        <f>IF('[1]Pizza Sales Calculations'!$G1124=TRUE, [1]Parameters!$B$17*'[1]Pizza Sales Calculations'!$L1124*2, 0)</f>
        <v>2.9797222241177224</v>
      </c>
      <c r="S1124" t="str">
        <f>IF(I1124&lt;[1]Parameters!$B$21,"TRUE","FALSE")</f>
        <v>TRUE</v>
      </c>
      <c r="T1124" s="5">
        <f>(I1124/[1]Parameters!$B$25)*60</f>
        <v>4.2067630473569997</v>
      </c>
      <c r="U1124" s="10">
        <f>IF(AND('[1]Pizza Sales Calculations'!G1124=TRUE,'[1]Pizza Sales Calculations'!S1124="TRUE"),T1124*[1]Parameters!$B$40*2,0)</f>
        <v>0.2625972052417902</v>
      </c>
      <c r="V1124">
        <f>INDEX([1]Parameters!$A$3:$C$5,MATCH('[1]Pizza Sales Calculations'!D1124,[1]Parameters!$A$3:$A$5,0),2)</f>
        <v>7</v>
      </c>
      <c r="W1124">
        <f>INDEX([1]Parameters!$A$3:$C$5,MATCH('[1]Pizza Sales Calculations'!E1124,[1]Parameters!$A$3:$A$5,0),2)</f>
        <v>14</v>
      </c>
      <c r="X1124" t="e">
        <f>INDEX([1]Parameters!$A$3:$C$5,MATCH('[1]Pizza Sales Calculations'!F1124,[1]Parameters!$A$3:$A$5,0),2)</f>
        <v>#N/A</v>
      </c>
    </row>
    <row r="1125" spans="1:24" x14ac:dyDescent="0.3">
      <c r="A1125">
        <v>1124</v>
      </c>
      <c r="B1125" s="14">
        <v>42381.536446759259</v>
      </c>
      <c r="C1125" s="14">
        <v>42381.546851851854</v>
      </c>
      <c r="D1125" t="s">
        <v>4</v>
      </c>
      <c r="G1125" t="b">
        <v>1</v>
      </c>
      <c r="H1125">
        <v>70803</v>
      </c>
      <c r="I1125" s="5">
        <v>3.9939006629182199</v>
      </c>
      <c r="J1125" s="14">
        <v>42381.560717592591</v>
      </c>
      <c r="K1125">
        <v>11.59</v>
      </c>
      <c r="L1125" s="5">
        <f>('[1]Pizza Sales Calculations'!$J1125-'[1]Pizza Sales Calculations'!$C1125)*24*60</f>
        <v>19.966666661202908</v>
      </c>
      <c r="M1125">
        <f>COUNTA('[1]Pizza Sales Calculations'!$D1125:$F1125)</f>
        <v>1</v>
      </c>
      <c r="N1125">
        <f>IFERROR(VLOOKUP(D1125,[1]Parameters!$A$3:$C$5,3,FALSE),0)</f>
        <v>1.7</v>
      </c>
      <c r="O1125">
        <f>IFERROR(VLOOKUP(E1125,[1]Parameters!$A$3:$C$5,3,FALSE),0)</f>
        <v>0</v>
      </c>
      <c r="P1125">
        <f>IFERROR(VLOOKUP(F1125,[1]Parameters!$A$3:$C$5,3,FALSE),0)</f>
        <v>0</v>
      </c>
      <c r="Q1125">
        <f t="shared" si="17"/>
        <v>1.7</v>
      </c>
      <c r="R1125" s="10">
        <f>IF('[1]Pizza Sales Calculations'!$G1125=TRUE, [1]Parameters!$B$17*'[1]Pizza Sales Calculations'!$L1125*2, 0)</f>
        <v>5.6572222206741571</v>
      </c>
      <c r="S1125" t="str">
        <f>IF(I1125&lt;[1]Parameters!$B$21,"TRUE","FALSE")</f>
        <v>FALSE</v>
      </c>
      <c r="T1125" s="5">
        <f>(I1125/[1]Parameters!$B$25)*60</f>
        <v>7.9878013258364406</v>
      </c>
      <c r="U1125" s="10">
        <f>IF(AND('[1]Pizza Sales Calculations'!G1125=TRUE,'[1]Pizza Sales Calculations'!S1125="TRUE"),T1125*[1]Parameters!$B$40*2,0)</f>
        <v>0</v>
      </c>
      <c r="V1125">
        <f>INDEX([1]Parameters!$A$3:$C$5,MATCH('[1]Pizza Sales Calculations'!D1125,[1]Parameters!$A$3:$A$5,0),2)</f>
        <v>10</v>
      </c>
      <c r="W1125" t="e">
        <f>INDEX([1]Parameters!$A$3:$C$5,MATCH('[1]Pizza Sales Calculations'!E1125,[1]Parameters!$A$3:$A$5,0),2)</f>
        <v>#N/A</v>
      </c>
      <c r="X1125" t="e">
        <f>INDEX([1]Parameters!$A$3:$C$5,MATCH('[1]Pizza Sales Calculations'!F1125,[1]Parameters!$A$3:$A$5,0),2)</f>
        <v>#N/A</v>
      </c>
    </row>
    <row r="1126" spans="1:24" x14ac:dyDescent="0.3">
      <c r="A1126">
        <v>1125</v>
      </c>
      <c r="B1126" s="14">
        <v>42381.485682870371</v>
      </c>
      <c r="C1126" s="14">
        <v>42381.496099537035</v>
      </c>
      <c r="D1126" t="s">
        <v>4</v>
      </c>
      <c r="G1126" t="b">
        <v>0</v>
      </c>
      <c r="H1126">
        <v>70805</v>
      </c>
      <c r="I1126" s="5">
        <v>0</v>
      </c>
      <c r="J1126" s="14">
        <v>42381.498194444444</v>
      </c>
      <c r="K1126">
        <v>11.59</v>
      </c>
      <c r="L1126" s="5">
        <f>('[1]Pizza Sales Calculations'!$J1126-'[1]Pizza Sales Calculations'!$C1126)*24*60</f>
        <v>3.0166666698642075</v>
      </c>
      <c r="M1126">
        <f>COUNTA('[1]Pizza Sales Calculations'!$D1126:$F1126)</f>
        <v>1</v>
      </c>
      <c r="N1126">
        <f>IFERROR(VLOOKUP(D1126,[1]Parameters!$A$3:$C$5,3,FALSE),0)</f>
        <v>1.7</v>
      </c>
      <c r="O1126">
        <f>IFERROR(VLOOKUP(E1126,[1]Parameters!$A$3:$C$5,3,FALSE),0)</f>
        <v>0</v>
      </c>
      <c r="P1126">
        <f>IFERROR(VLOOKUP(F1126,[1]Parameters!$A$3:$C$5,3,FALSE),0)</f>
        <v>0</v>
      </c>
      <c r="Q1126">
        <f t="shared" si="17"/>
        <v>1.7</v>
      </c>
      <c r="R1126" s="10">
        <f>IF('[1]Pizza Sales Calculations'!$G1126=TRUE, [1]Parameters!$B$17*'[1]Pizza Sales Calculations'!$L1126*2, 0)</f>
        <v>0</v>
      </c>
      <c r="S1126" t="str">
        <f>IF(I1126&lt;[1]Parameters!$B$21,"TRUE","FALSE")</f>
        <v>TRUE</v>
      </c>
      <c r="T1126" s="5">
        <f>(I1126/[1]Parameters!$B$25)*60</f>
        <v>0</v>
      </c>
      <c r="U1126" s="10">
        <f>IF(AND('[1]Pizza Sales Calculations'!G1126=TRUE,'[1]Pizza Sales Calculations'!S1126="TRUE"),T1126*[1]Parameters!$B$40*2,0)</f>
        <v>0</v>
      </c>
      <c r="V1126">
        <f>INDEX([1]Parameters!$A$3:$C$5,MATCH('[1]Pizza Sales Calculations'!D1126,[1]Parameters!$A$3:$A$5,0),2)</f>
        <v>10</v>
      </c>
      <c r="W1126" t="e">
        <f>INDEX([1]Parameters!$A$3:$C$5,MATCH('[1]Pizza Sales Calculations'!E1126,[1]Parameters!$A$3:$A$5,0),2)</f>
        <v>#N/A</v>
      </c>
      <c r="X1126" t="e">
        <f>INDEX([1]Parameters!$A$3:$C$5,MATCH('[1]Pizza Sales Calculations'!F1126,[1]Parameters!$A$3:$A$5,0),2)</f>
        <v>#N/A</v>
      </c>
    </row>
    <row r="1127" spans="1:24" x14ac:dyDescent="0.3">
      <c r="A1127">
        <v>1126</v>
      </c>
      <c r="B1127" s="14">
        <v>42381.527465277781</v>
      </c>
      <c r="C1127" s="14">
        <v>42381.537870370368</v>
      </c>
      <c r="D1127" t="s">
        <v>3</v>
      </c>
      <c r="G1127" t="b">
        <v>0</v>
      </c>
      <c r="H1127">
        <v>70807</v>
      </c>
      <c r="I1127" s="5">
        <v>0</v>
      </c>
      <c r="J1127" s="14">
        <v>42381.539942129632</v>
      </c>
      <c r="K1127">
        <v>7.99</v>
      </c>
      <c r="L1127" s="5">
        <f>('[1]Pizza Sales Calculations'!$J1127-'[1]Pizza Sales Calculations'!$C1127)*24*60</f>
        <v>2.9833333392161876</v>
      </c>
      <c r="M1127">
        <f>COUNTA('[1]Pizza Sales Calculations'!$D1127:$F1127)</f>
        <v>1</v>
      </c>
      <c r="N1127">
        <f>IFERROR(VLOOKUP(D1127,[1]Parameters!$A$3:$C$5,3,FALSE),0)</f>
        <v>1</v>
      </c>
      <c r="O1127">
        <f>IFERROR(VLOOKUP(E1127,[1]Parameters!$A$3:$C$5,3,FALSE),0)</f>
        <v>0</v>
      </c>
      <c r="P1127">
        <f>IFERROR(VLOOKUP(F1127,[1]Parameters!$A$3:$C$5,3,FALSE),0)</f>
        <v>0</v>
      </c>
      <c r="Q1127">
        <f t="shared" si="17"/>
        <v>1</v>
      </c>
      <c r="R1127" s="10">
        <f>IF('[1]Pizza Sales Calculations'!$G1127=TRUE, [1]Parameters!$B$17*'[1]Pizza Sales Calculations'!$L1127*2, 0)</f>
        <v>0</v>
      </c>
      <c r="S1127" t="str">
        <f>IF(I1127&lt;[1]Parameters!$B$21,"TRUE","FALSE")</f>
        <v>TRUE</v>
      </c>
      <c r="T1127" s="5">
        <f>(I1127/[1]Parameters!$B$25)*60</f>
        <v>0</v>
      </c>
      <c r="U1127" s="10">
        <f>IF(AND('[1]Pizza Sales Calculations'!G1127=TRUE,'[1]Pizza Sales Calculations'!S1127="TRUE"),T1127*[1]Parameters!$B$40*2,0)</f>
        <v>0</v>
      </c>
      <c r="V1127">
        <f>INDEX([1]Parameters!$A$3:$C$5,MATCH('[1]Pizza Sales Calculations'!D1127,[1]Parameters!$A$3:$A$5,0),2)</f>
        <v>7</v>
      </c>
      <c r="W1127" t="e">
        <f>INDEX([1]Parameters!$A$3:$C$5,MATCH('[1]Pizza Sales Calculations'!E1127,[1]Parameters!$A$3:$A$5,0),2)</f>
        <v>#N/A</v>
      </c>
      <c r="X1127" t="e">
        <f>INDEX([1]Parameters!$A$3:$C$5,MATCH('[1]Pizza Sales Calculations'!F1127,[1]Parameters!$A$3:$A$5,0),2)</f>
        <v>#N/A</v>
      </c>
    </row>
    <row r="1128" spans="1:24" x14ac:dyDescent="0.3">
      <c r="A1128">
        <v>1127</v>
      </c>
      <c r="B1128" s="14">
        <v>42381.528113425928</v>
      </c>
      <c r="C1128" s="14">
        <v>42381.538518518515</v>
      </c>
      <c r="D1128" t="s">
        <v>5</v>
      </c>
      <c r="G1128" t="b">
        <v>1</v>
      </c>
      <c r="H1128">
        <v>70804</v>
      </c>
      <c r="I1128" s="5">
        <v>3.4056420268776799</v>
      </c>
      <c r="J1128" s="14">
        <v>42381.550335648149</v>
      </c>
      <c r="K1128">
        <v>15.35</v>
      </c>
      <c r="L1128" s="5">
        <f>('[1]Pizza Sales Calculations'!$J1128-'[1]Pizza Sales Calculations'!$C1128)*24*60</f>
        <v>17.016666673589498</v>
      </c>
      <c r="M1128">
        <f>COUNTA('[1]Pizza Sales Calculations'!$D1128:$F1128)</f>
        <v>1</v>
      </c>
      <c r="N1128">
        <f>IFERROR(VLOOKUP(D1128,[1]Parameters!$A$3:$C$5,3,FALSE),0)</f>
        <v>2.2999999999999998</v>
      </c>
      <c r="O1128">
        <f>IFERROR(VLOOKUP(E1128,[1]Parameters!$A$3:$C$5,3,FALSE),0)</f>
        <v>0</v>
      </c>
      <c r="P1128">
        <f>IFERROR(VLOOKUP(F1128,[1]Parameters!$A$3:$C$5,3,FALSE),0)</f>
        <v>0</v>
      </c>
      <c r="Q1128">
        <f t="shared" si="17"/>
        <v>2.2999999999999998</v>
      </c>
      <c r="R1128" s="10">
        <f>IF('[1]Pizza Sales Calculations'!$G1128=TRUE, [1]Parameters!$B$17*'[1]Pizza Sales Calculations'!$L1128*2, 0)</f>
        <v>4.8213888908503577</v>
      </c>
      <c r="S1128" t="str">
        <f>IF(I1128&lt;[1]Parameters!$B$21,"TRUE","FALSE")</f>
        <v>FALSE</v>
      </c>
      <c r="T1128" s="5">
        <f>(I1128/[1]Parameters!$B$25)*60</f>
        <v>6.8112840537553598</v>
      </c>
      <c r="U1128" s="10">
        <f>IF(AND('[1]Pizza Sales Calculations'!G1128=TRUE,'[1]Pizza Sales Calculations'!S1128="TRUE"),T1128*[1]Parameters!$B$40*2,0)</f>
        <v>0</v>
      </c>
      <c r="V1128">
        <f>INDEX([1]Parameters!$A$3:$C$5,MATCH('[1]Pizza Sales Calculations'!D1128,[1]Parameters!$A$3:$A$5,0),2)</f>
        <v>14</v>
      </c>
      <c r="W1128" t="e">
        <f>INDEX([1]Parameters!$A$3:$C$5,MATCH('[1]Pizza Sales Calculations'!E1128,[1]Parameters!$A$3:$A$5,0),2)</f>
        <v>#N/A</v>
      </c>
      <c r="X1128" t="e">
        <f>INDEX([1]Parameters!$A$3:$C$5,MATCH('[1]Pizza Sales Calculations'!F1128,[1]Parameters!$A$3:$A$5,0),2)</f>
        <v>#N/A</v>
      </c>
    </row>
    <row r="1129" spans="1:24" x14ac:dyDescent="0.3">
      <c r="A1129">
        <v>1128</v>
      </c>
      <c r="B1129" s="14">
        <v>42381.516087962962</v>
      </c>
      <c r="C1129" s="14">
        <v>42381.526493055557</v>
      </c>
      <c r="D1129" t="s">
        <v>3</v>
      </c>
      <c r="E1129" t="s">
        <v>4</v>
      </c>
      <c r="G1129" t="b">
        <v>0</v>
      </c>
      <c r="H1129">
        <v>70804</v>
      </c>
      <c r="I1129" s="5">
        <v>0</v>
      </c>
      <c r="J1129" s="14">
        <v>42381.52857638889</v>
      </c>
      <c r="K1129">
        <v>19.579999999999998</v>
      </c>
      <c r="L1129" s="5">
        <f>('[1]Pizza Sales Calculations'!$J1129-'[1]Pizza Sales Calculations'!$C1129)*24*60</f>
        <v>2.9999999993015081</v>
      </c>
      <c r="M1129">
        <f>COUNTA('[1]Pizza Sales Calculations'!$D1129:$F1129)</f>
        <v>2</v>
      </c>
      <c r="N1129">
        <f>IFERROR(VLOOKUP(D1129,[1]Parameters!$A$3:$C$5,3,FALSE),0)</f>
        <v>1</v>
      </c>
      <c r="O1129">
        <f>IFERROR(VLOOKUP(E1129,[1]Parameters!$A$3:$C$5,3,FALSE),0)</f>
        <v>1.7</v>
      </c>
      <c r="P1129">
        <f>IFERROR(VLOOKUP(F1129,[1]Parameters!$A$3:$C$5,3,FALSE),0)</f>
        <v>0</v>
      </c>
      <c r="Q1129">
        <f t="shared" si="17"/>
        <v>2.7</v>
      </c>
      <c r="R1129" s="10">
        <f>IF('[1]Pizza Sales Calculations'!$G1129=TRUE, [1]Parameters!$B$17*'[1]Pizza Sales Calculations'!$L1129*2, 0)</f>
        <v>0</v>
      </c>
      <c r="S1129" t="str">
        <f>IF(I1129&lt;[1]Parameters!$B$21,"TRUE","FALSE")</f>
        <v>TRUE</v>
      </c>
      <c r="T1129" s="5">
        <f>(I1129/[1]Parameters!$B$25)*60</f>
        <v>0</v>
      </c>
      <c r="U1129" s="10">
        <f>IF(AND('[1]Pizza Sales Calculations'!G1129=TRUE,'[1]Pizza Sales Calculations'!S1129="TRUE"),T1129*[1]Parameters!$B$40*2,0)</f>
        <v>0</v>
      </c>
      <c r="V1129">
        <f>INDEX([1]Parameters!$A$3:$C$5,MATCH('[1]Pizza Sales Calculations'!D1129,[1]Parameters!$A$3:$A$5,0),2)</f>
        <v>7</v>
      </c>
      <c r="W1129">
        <f>INDEX([1]Parameters!$A$3:$C$5,MATCH('[1]Pizza Sales Calculations'!E1129,[1]Parameters!$A$3:$A$5,0),2)</f>
        <v>10</v>
      </c>
      <c r="X1129" t="e">
        <f>INDEX([1]Parameters!$A$3:$C$5,MATCH('[1]Pizza Sales Calculations'!F1129,[1]Parameters!$A$3:$A$5,0),2)</f>
        <v>#N/A</v>
      </c>
    </row>
    <row r="1130" spans="1:24" x14ac:dyDescent="0.3">
      <c r="A1130">
        <v>1129</v>
      </c>
      <c r="B1130" s="14">
        <v>42381.56523148148</v>
      </c>
      <c r="C1130" s="14">
        <v>42381.575659722221</v>
      </c>
      <c r="D1130" t="s">
        <v>3</v>
      </c>
      <c r="G1130" t="b">
        <v>0</v>
      </c>
      <c r="H1130">
        <v>70804</v>
      </c>
      <c r="I1130" s="5">
        <v>0</v>
      </c>
      <c r="J1130" s="14">
        <v>42381.577743055554</v>
      </c>
      <c r="K1130">
        <v>7.99</v>
      </c>
      <c r="L1130" s="5">
        <f>('[1]Pizza Sales Calculations'!$J1130-'[1]Pizza Sales Calculations'!$C1130)*24*60</f>
        <v>2.9999999993015081</v>
      </c>
      <c r="M1130">
        <f>COUNTA('[1]Pizza Sales Calculations'!$D1130:$F1130)</f>
        <v>1</v>
      </c>
      <c r="N1130">
        <f>IFERROR(VLOOKUP(D1130,[1]Parameters!$A$3:$C$5,3,FALSE),0)</f>
        <v>1</v>
      </c>
      <c r="O1130">
        <f>IFERROR(VLOOKUP(E1130,[1]Parameters!$A$3:$C$5,3,FALSE),0)</f>
        <v>0</v>
      </c>
      <c r="P1130">
        <f>IFERROR(VLOOKUP(F1130,[1]Parameters!$A$3:$C$5,3,FALSE),0)</f>
        <v>0</v>
      </c>
      <c r="Q1130">
        <f t="shared" si="17"/>
        <v>1</v>
      </c>
      <c r="R1130" s="10">
        <f>IF('[1]Pizza Sales Calculations'!$G1130=TRUE, [1]Parameters!$B$17*'[1]Pizza Sales Calculations'!$L1130*2, 0)</f>
        <v>0</v>
      </c>
      <c r="S1130" t="str">
        <f>IF(I1130&lt;[1]Parameters!$B$21,"TRUE","FALSE")</f>
        <v>TRUE</v>
      </c>
      <c r="T1130" s="5">
        <f>(I1130/[1]Parameters!$B$25)*60</f>
        <v>0</v>
      </c>
      <c r="U1130" s="10">
        <f>IF(AND('[1]Pizza Sales Calculations'!G1130=TRUE,'[1]Pizza Sales Calculations'!S1130="TRUE"),T1130*[1]Parameters!$B$40*2,0)</f>
        <v>0</v>
      </c>
      <c r="V1130">
        <f>INDEX([1]Parameters!$A$3:$C$5,MATCH('[1]Pizza Sales Calculations'!D1130,[1]Parameters!$A$3:$A$5,0),2)</f>
        <v>7</v>
      </c>
      <c r="W1130" t="e">
        <f>INDEX([1]Parameters!$A$3:$C$5,MATCH('[1]Pizza Sales Calculations'!E1130,[1]Parameters!$A$3:$A$5,0),2)</f>
        <v>#N/A</v>
      </c>
      <c r="X1130" t="e">
        <f>INDEX([1]Parameters!$A$3:$C$5,MATCH('[1]Pizza Sales Calculations'!F1130,[1]Parameters!$A$3:$A$5,0),2)</f>
        <v>#N/A</v>
      </c>
    </row>
    <row r="1131" spans="1:24" x14ac:dyDescent="0.3">
      <c r="A1131">
        <v>1130</v>
      </c>
      <c r="B1131" s="14">
        <v>42381.422407407408</v>
      </c>
      <c r="C1131" s="14">
        <v>42381.432824074072</v>
      </c>
      <c r="D1131" t="s">
        <v>5</v>
      </c>
      <c r="G1131" t="b">
        <v>1</v>
      </c>
      <c r="H1131">
        <v>70805</v>
      </c>
      <c r="I1131" s="5">
        <v>3.2821086101749501</v>
      </c>
      <c r="J1131" s="14">
        <v>42381.444212962961</v>
      </c>
      <c r="K1131">
        <v>15.35</v>
      </c>
      <c r="L1131" s="5">
        <f>('[1]Pizza Sales Calculations'!$J1131-'[1]Pizza Sales Calculations'!$C1131)*24*60</f>
        <v>16.399999998975545</v>
      </c>
      <c r="M1131">
        <f>COUNTA('[1]Pizza Sales Calculations'!$D1131:$F1131)</f>
        <v>1</v>
      </c>
      <c r="N1131">
        <f>IFERROR(VLOOKUP(D1131,[1]Parameters!$A$3:$C$5,3,FALSE),0)</f>
        <v>2.2999999999999998</v>
      </c>
      <c r="O1131">
        <f>IFERROR(VLOOKUP(E1131,[1]Parameters!$A$3:$C$5,3,FALSE),0)</f>
        <v>0</v>
      </c>
      <c r="P1131">
        <f>IFERROR(VLOOKUP(F1131,[1]Parameters!$A$3:$C$5,3,FALSE),0)</f>
        <v>0</v>
      </c>
      <c r="Q1131">
        <f t="shared" si="17"/>
        <v>2.2999999999999998</v>
      </c>
      <c r="R1131" s="10">
        <f>IF('[1]Pizza Sales Calculations'!$G1131=TRUE, [1]Parameters!$B$17*'[1]Pizza Sales Calculations'!$L1131*2, 0)</f>
        <v>4.6466666663764045</v>
      </c>
      <c r="S1131" t="str">
        <f>IF(I1131&lt;[1]Parameters!$B$21,"TRUE","FALSE")</f>
        <v>FALSE</v>
      </c>
      <c r="T1131" s="5">
        <f>(I1131/[1]Parameters!$B$25)*60</f>
        <v>6.5642172203499003</v>
      </c>
      <c r="U1131" s="10">
        <f>IF(AND('[1]Pizza Sales Calculations'!G1131=TRUE,'[1]Pizza Sales Calculations'!S1131="TRUE"),T1131*[1]Parameters!$B$40*2,0)</f>
        <v>0</v>
      </c>
      <c r="V1131">
        <f>INDEX([1]Parameters!$A$3:$C$5,MATCH('[1]Pizza Sales Calculations'!D1131,[1]Parameters!$A$3:$A$5,0),2)</f>
        <v>14</v>
      </c>
      <c r="W1131" t="e">
        <f>INDEX([1]Parameters!$A$3:$C$5,MATCH('[1]Pizza Sales Calculations'!E1131,[1]Parameters!$A$3:$A$5,0),2)</f>
        <v>#N/A</v>
      </c>
      <c r="X1131" t="e">
        <f>INDEX([1]Parameters!$A$3:$C$5,MATCH('[1]Pizza Sales Calculations'!F1131,[1]Parameters!$A$3:$A$5,0),2)</f>
        <v>#N/A</v>
      </c>
    </row>
    <row r="1132" spans="1:24" x14ac:dyDescent="0.3">
      <c r="A1132">
        <v>1131</v>
      </c>
      <c r="B1132" s="14">
        <v>42381.523078703707</v>
      </c>
      <c r="C1132" s="14">
        <v>42381.533506944441</v>
      </c>
      <c r="D1132" t="s">
        <v>4</v>
      </c>
      <c r="G1132" t="b">
        <v>0</v>
      </c>
      <c r="H1132">
        <v>70805</v>
      </c>
      <c r="I1132" s="5">
        <v>0</v>
      </c>
      <c r="J1132" s="14">
        <v>42381.535601851851</v>
      </c>
      <c r="K1132">
        <v>11.59</v>
      </c>
      <c r="L1132" s="5">
        <f>('[1]Pizza Sales Calculations'!$J1132-'[1]Pizza Sales Calculations'!$C1132)*24*60</f>
        <v>3.0166666698642075</v>
      </c>
      <c r="M1132">
        <f>COUNTA('[1]Pizza Sales Calculations'!$D1132:$F1132)</f>
        <v>1</v>
      </c>
      <c r="N1132">
        <f>IFERROR(VLOOKUP(D1132,[1]Parameters!$A$3:$C$5,3,FALSE),0)</f>
        <v>1.7</v>
      </c>
      <c r="O1132">
        <f>IFERROR(VLOOKUP(E1132,[1]Parameters!$A$3:$C$5,3,FALSE),0)</f>
        <v>0</v>
      </c>
      <c r="P1132">
        <f>IFERROR(VLOOKUP(F1132,[1]Parameters!$A$3:$C$5,3,FALSE),0)</f>
        <v>0</v>
      </c>
      <c r="Q1132">
        <f t="shared" si="17"/>
        <v>1.7</v>
      </c>
      <c r="R1132" s="10">
        <f>IF('[1]Pizza Sales Calculations'!$G1132=TRUE, [1]Parameters!$B$17*'[1]Pizza Sales Calculations'!$L1132*2, 0)</f>
        <v>0</v>
      </c>
      <c r="S1132" t="str">
        <f>IF(I1132&lt;[1]Parameters!$B$21,"TRUE","FALSE")</f>
        <v>TRUE</v>
      </c>
      <c r="T1132" s="5">
        <f>(I1132/[1]Parameters!$B$25)*60</f>
        <v>0</v>
      </c>
      <c r="U1132" s="10">
        <f>IF(AND('[1]Pizza Sales Calculations'!G1132=TRUE,'[1]Pizza Sales Calculations'!S1132="TRUE"),T1132*[1]Parameters!$B$40*2,0)</f>
        <v>0</v>
      </c>
      <c r="V1132">
        <f>INDEX([1]Parameters!$A$3:$C$5,MATCH('[1]Pizza Sales Calculations'!D1132,[1]Parameters!$A$3:$A$5,0),2)</f>
        <v>10</v>
      </c>
      <c r="W1132" t="e">
        <f>INDEX([1]Parameters!$A$3:$C$5,MATCH('[1]Pizza Sales Calculations'!E1132,[1]Parameters!$A$3:$A$5,0),2)</f>
        <v>#N/A</v>
      </c>
      <c r="X1132" t="e">
        <f>INDEX([1]Parameters!$A$3:$C$5,MATCH('[1]Pizza Sales Calculations'!F1132,[1]Parameters!$A$3:$A$5,0),2)</f>
        <v>#N/A</v>
      </c>
    </row>
    <row r="1133" spans="1:24" x14ac:dyDescent="0.3">
      <c r="A1133">
        <v>1132</v>
      </c>
      <c r="B1133" s="14">
        <v>42381.59642361111</v>
      </c>
      <c r="C1133" s="14">
        <v>42381.606863425928</v>
      </c>
      <c r="D1133" t="s">
        <v>4</v>
      </c>
      <c r="E1133" t="s">
        <v>5</v>
      </c>
      <c r="G1133" t="b">
        <v>1</v>
      </c>
      <c r="H1133">
        <v>70805</v>
      </c>
      <c r="I1133" s="5">
        <v>2.6985372707335902</v>
      </c>
      <c r="J1133" s="14">
        <v>42381.616226851853</v>
      </c>
      <c r="K1133">
        <v>25.94</v>
      </c>
      <c r="L1133" s="5">
        <f>('[1]Pizza Sales Calculations'!$J1133-'[1]Pizza Sales Calculations'!$C1133)*24*60</f>
        <v>13.483333331532776</v>
      </c>
      <c r="M1133">
        <f>COUNTA('[1]Pizza Sales Calculations'!$D1133:$F1133)</f>
        <v>2</v>
      </c>
      <c r="N1133">
        <f>IFERROR(VLOOKUP(D1133,[1]Parameters!$A$3:$C$5,3,FALSE),0)</f>
        <v>1.7</v>
      </c>
      <c r="O1133">
        <f>IFERROR(VLOOKUP(E1133,[1]Parameters!$A$3:$C$5,3,FALSE),0)</f>
        <v>2.2999999999999998</v>
      </c>
      <c r="P1133">
        <f>IFERROR(VLOOKUP(F1133,[1]Parameters!$A$3:$C$5,3,FALSE),0)</f>
        <v>0</v>
      </c>
      <c r="Q1133">
        <f t="shared" si="17"/>
        <v>4</v>
      </c>
      <c r="R1133" s="10">
        <f>IF('[1]Pizza Sales Calculations'!$G1133=TRUE, [1]Parameters!$B$17*'[1]Pizza Sales Calculations'!$L1133*2, 0)</f>
        <v>3.82027777726762</v>
      </c>
      <c r="S1133" t="str">
        <f>IF(I1133&lt;[1]Parameters!$B$21,"TRUE","FALSE")</f>
        <v>TRUE</v>
      </c>
      <c r="T1133" s="5">
        <f>(I1133/[1]Parameters!$B$25)*60</f>
        <v>5.3970745414671804</v>
      </c>
      <c r="U1133" s="10">
        <f>IF(AND('[1]Pizza Sales Calculations'!G1133=TRUE,'[1]Pizza Sales Calculations'!S1133="TRUE"),T1133*[1]Parameters!$B$40*2,0)</f>
        <v>0.33689957697078365</v>
      </c>
      <c r="V1133">
        <f>INDEX([1]Parameters!$A$3:$C$5,MATCH('[1]Pizza Sales Calculations'!D1133,[1]Parameters!$A$3:$A$5,0),2)</f>
        <v>10</v>
      </c>
      <c r="W1133">
        <f>INDEX([1]Parameters!$A$3:$C$5,MATCH('[1]Pizza Sales Calculations'!E1133,[1]Parameters!$A$3:$A$5,0),2)</f>
        <v>14</v>
      </c>
      <c r="X1133" t="e">
        <f>INDEX([1]Parameters!$A$3:$C$5,MATCH('[1]Pizza Sales Calculations'!F1133,[1]Parameters!$A$3:$A$5,0),2)</f>
        <v>#N/A</v>
      </c>
    </row>
    <row r="1134" spans="1:24" x14ac:dyDescent="0.3">
      <c r="A1134">
        <v>1133</v>
      </c>
      <c r="B1134" s="14">
        <v>42381.535925925928</v>
      </c>
      <c r="C1134" s="14">
        <v>42381.546342592592</v>
      </c>
      <c r="D1134" t="s">
        <v>5</v>
      </c>
      <c r="G1134" t="b">
        <v>1</v>
      </c>
      <c r="H1134">
        <v>70806</v>
      </c>
      <c r="I1134" s="5">
        <v>2.3821901090442399</v>
      </c>
      <c r="J1134" s="14">
        <v>42381.554606481484</v>
      </c>
      <c r="K1134">
        <v>15.35</v>
      </c>
      <c r="L1134" s="5">
        <f>('[1]Pizza Sales Calculations'!$J1134-'[1]Pizza Sales Calculations'!$C1134)*24*60</f>
        <v>11.900000005261973</v>
      </c>
      <c r="M1134">
        <f>COUNTA('[1]Pizza Sales Calculations'!$D1134:$F1134)</f>
        <v>1</v>
      </c>
      <c r="N1134">
        <f>IFERROR(VLOOKUP(D1134,[1]Parameters!$A$3:$C$5,3,FALSE),0)</f>
        <v>2.2999999999999998</v>
      </c>
      <c r="O1134">
        <f>IFERROR(VLOOKUP(E1134,[1]Parameters!$A$3:$C$5,3,FALSE),0)</f>
        <v>0</v>
      </c>
      <c r="P1134">
        <f>IFERROR(VLOOKUP(F1134,[1]Parameters!$A$3:$C$5,3,FALSE),0)</f>
        <v>0</v>
      </c>
      <c r="Q1134">
        <f t="shared" si="17"/>
        <v>2.2999999999999998</v>
      </c>
      <c r="R1134" s="10">
        <f>IF('[1]Pizza Sales Calculations'!$G1134=TRUE, [1]Parameters!$B$17*'[1]Pizza Sales Calculations'!$L1134*2, 0)</f>
        <v>3.3716666681575589</v>
      </c>
      <c r="S1134" t="str">
        <f>IF(I1134&lt;[1]Parameters!$B$21,"TRUE","FALSE")</f>
        <v>TRUE</v>
      </c>
      <c r="T1134" s="5">
        <f>(I1134/[1]Parameters!$B$25)*60</f>
        <v>4.7643802180884798</v>
      </c>
      <c r="U1134" s="10">
        <f>IF(AND('[1]Pizza Sales Calculations'!G1134=TRUE,'[1]Pizza Sales Calculations'!S1134="TRUE"),T1134*[1]Parameters!$B$40*2,0)</f>
        <v>0.29740513451675099</v>
      </c>
      <c r="V1134">
        <f>INDEX([1]Parameters!$A$3:$C$5,MATCH('[1]Pizza Sales Calculations'!D1134,[1]Parameters!$A$3:$A$5,0),2)</f>
        <v>14</v>
      </c>
      <c r="W1134" t="e">
        <f>INDEX([1]Parameters!$A$3:$C$5,MATCH('[1]Pizza Sales Calculations'!E1134,[1]Parameters!$A$3:$A$5,0),2)</f>
        <v>#N/A</v>
      </c>
      <c r="X1134" t="e">
        <f>INDEX([1]Parameters!$A$3:$C$5,MATCH('[1]Pizza Sales Calculations'!F1134,[1]Parameters!$A$3:$A$5,0),2)</f>
        <v>#N/A</v>
      </c>
    </row>
    <row r="1135" spans="1:24" x14ac:dyDescent="0.3">
      <c r="A1135">
        <v>1134</v>
      </c>
      <c r="B1135" s="14">
        <v>42381.484120370369</v>
      </c>
      <c r="C1135" s="14">
        <v>42381.494537037041</v>
      </c>
      <c r="D1135" t="s">
        <v>3</v>
      </c>
      <c r="E1135" t="s">
        <v>4</v>
      </c>
      <c r="G1135" t="b">
        <v>1</v>
      </c>
      <c r="H1135">
        <v>70803</v>
      </c>
      <c r="I1135" s="5">
        <v>2.78353897059392</v>
      </c>
      <c r="J1135" s="14">
        <v>42381.504201388889</v>
      </c>
      <c r="K1135">
        <v>19.579999999999998</v>
      </c>
      <c r="L1135" s="5">
        <f>('[1]Pizza Sales Calculations'!$J1135-'[1]Pizza Sales Calculations'!$C1135)*24*60</f>
        <v>13.916666661389172</v>
      </c>
      <c r="M1135">
        <f>COUNTA('[1]Pizza Sales Calculations'!$D1135:$F1135)</f>
        <v>2</v>
      </c>
      <c r="N1135">
        <f>IFERROR(VLOOKUP(D1135,[1]Parameters!$A$3:$C$5,3,FALSE),0)</f>
        <v>1</v>
      </c>
      <c r="O1135">
        <f>IFERROR(VLOOKUP(E1135,[1]Parameters!$A$3:$C$5,3,FALSE),0)</f>
        <v>1.7</v>
      </c>
      <c r="P1135">
        <f>IFERROR(VLOOKUP(F1135,[1]Parameters!$A$3:$C$5,3,FALSE),0)</f>
        <v>0</v>
      </c>
      <c r="Q1135">
        <f t="shared" si="17"/>
        <v>2.7</v>
      </c>
      <c r="R1135" s="10">
        <f>IF('[1]Pizza Sales Calculations'!$G1135=TRUE, [1]Parameters!$B$17*'[1]Pizza Sales Calculations'!$L1135*2, 0)</f>
        <v>3.9430555540602654</v>
      </c>
      <c r="S1135" t="str">
        <f>IF(I1135&lt;[1]Parameters!$B$21,"TRUE","FALSE")</f>
        <v>TRUE</v>
      </c>
      <c r="T1135" s="5">
        <f>(I1135/[1]Parameters!$B$25)*60</f>
        <v>5.5670779411878399</v>
      </c>
      <c r="U1135" s="10">
        <f>IF(AND('[1]Pizza Sales Calculations'!G1135=TRUE,'[1]Pizza Sales Calculations'!S1135="TRUE"),T1135*[1]Parameters!$B$40*2,0)</f>
        <v>0.34751163596856721</v>
      </c>
      <c r="V1135">
        <f>INDEX([1]Parameters!$A$3:$C$5,MATCH('[1]Pizza Sales Calculations'!D1135,[1]Parameters!$A$3:$A$5,0),2)</f>
        <v>7</v>
      </c>
      <c r="W1135">
        <f>INDEX([1]Parameters!$A$3:$C$5,MATCH('[1]Pizza Sales Calculations'!E1135,[1]Parameters!$A$3:$A$5,0),2)</f>
        <v>10</v>
      </c>
      <c r="X1135" t="e">
        <f>INDEX([1]Parameters!$A$3:$C$5,MATCH('[1]Pizza Sales Calculations'!F1135,[1]Parameters!$A$3:$A$5,0),2)</f>
        <v>#N/A</v>
      </c>
    </row>
    <row r="1136" spans="1:24" x14ac:dyDescent="0.3">
      <c r="A1136">
        <v>1135</v>
      </c>
      <c r="B1136" s="14">
        <v>42381.533807870372</v>
      </c>
      <c r="C1136" s="14">
        <v>42381.544212962966</v>
      </c>
      <c r="D1136" t="s">
        <v>3</v>
      </c>
      <c r="E1136" t="s">
        <v>4</v>
      </c>
      <c r="G1136" t="b">
        <v>1</v>
      </c>
      <c r="H1136">
        <v>70803</v>
      </c>
      <c r="I1136" s="5">
        <v>0.58841113329234895</v>
      </c>
      <c r="J1136" s="14">
        <v>42381.546249999999</v>
      </c>
      <c r="K1136">
        <v>19.579999999999998</v>
      </c>
      <c r="L1136" s="5">
        <f>('[1]Pizza Sales Calculations'!$J1136-'[1]Pizza Sales Calculations'!$C1136)*24*60</f>
        <v>2.9333333275280893</v>
      </c>
      <c r="M1136">
        <f>COUNTA('[1]Pizza Sales Calculations'!$D1136:$F1136)</f>
        <v>2</v>
      </c>
      <c r="N1136">
        <f>IFERROR(VLOOKUP(D1136,[1]Parameters!$A$3:$C$5,3,FALSE),0)</f>
        <v>1</v>
      </c>
      <c r="O1136">
        <f>IFERROR(VLOOKUP(E1136,[1]Parameters!$A$3:$C$5,3,FALSE),0)</f>
        <v>1.7</v>
      </c>
      <c r="P1136">
        <f>IFERROR(VLOOKUP(F1136,[1]Parameters!$A$3:$C$5,3,FALSE),0)</f>
        <v>0</v>
      </c>
      <c r="Q1136">
        <f t="shared" si="17"/>
        <v>2.7</v>
      </c>
      <c r="R1136" s="10">
        <f>IF('[1]Pizza Sales Calculations'!$G1136=TRUE, [1]Parameters!$B$17*'[1]Pizza Sales Calculations'!$L1136*2, 0)</f>
        <v>0.83111110946629196</v>
      </c>
      <c r="S1136" t="str">
        <f>IF(I1136&lt;[1]Parameters!$B$21,"TRUE","FALSE")</f>
        <v>TRUE</v>
      </c>
      <c r="T1136" s="5">
        <f>(I1136/[1]Parameters!$B$25)*60</f>
        <v>1.1768222665846979</v>
      </c>
      <c r="U1136" s="10">
        <f>IF(AND('[1]Pizza Sales Calculations'!G1136=TRUE,'[1]Pizza Sales Calculations'!S1136="TRUE"),T1136*[1]Parameters!$B$40*2,0)</f>
        <v>7.3460338695711988E-2</v>
      </c>
      <c r="V1136">
        <f>INDEX([1]Parameters!$A$3:$C$5,MATCH('[1]Pizza Sales Calculations'!D1136,[1]Parameters!$A$3:$A$5,0),2)</f>
        <v>7</v>
      </c>
      <c r="W1136">
        <f>INDEX([1]Parameters!$A$3:$C$5,MATCH('[1]Pizza Sales Calculations'!E1136,[1]Parameters!$A$3:$A$5,0),2)</f>
        <v>10</v>
      </c>
      <c r="X1136" t="e">
        <f>INDEX([1]Parameters!$A$3:$C$5,MATCH('[1]Pizza Sales Calculations'!F1136,[1]Parameters!$A$3:$A$5,0),2)</f>
        <v>#N/A</v>
      </c>
    </row>
    <row r="1137" spans="1:24" x14ac:dyDescent="0.3">
      <c r="A1137">
        <v>1136</v>
      </c>
      <c r="B1137" s="14">
        <v>42381.46775462963</v>
      </c>
      <c r="C1137" s="14">
        <v>42381.478159722225</v>
      </c>
      <c r="D1137" t="s">
        <v>5</v>
      </c>
      <c r="G1137" t="b">
        <v>1</v>
      </c>
      <c r="H1137">
        <v>70803</v>
      </c>
      <c r="I1137" s="5">
        <v>2.2109623085488601</v>
      </c>
      <c r="J1137" s="14">
        <v>42381.485833333332</v>
      </c>
      <c r="K1137">
        <v>15.35</v>
      </c>
      <c r="L1137" s="5">
        <f>('[1]Pizza Sales Calculations'!$J1137-'[1]Pizza Sales Calculations'!$C1137)*24*60</f>
        <v>11.049999995157123</v>
      </c>
      <c r="M1137">
        <f>COUNTA('[1]Pizza Sales Calculations'!$D1137:$F1137)</f>
        <v>1</v>
      </c>
      <c r="N1137">
        <f>IFERROR(VLOOKUP(D1137,[1]Parameters!$A$3:$C$5,3,FALSE),0)</f>
        <v>2.2999999999999998</v>
      </c>
      <c r="O1137">
        <f>IFERROR(VLOOKUP(E1137,[1]Parameters!$A$3:$C$5,3,FALSE),0)</f>
        <v>0</v>
      </c>
      <c r="P1137">
        <f>IFERROR(VLOOKUP(F1137,[1]Parameters!$A$3:$C$5,3,FALSE),0)</f>
        <v>0</v>
      </c>
      <c r="Q1137">
        <f t="shared" si="17"/>
        <v>2.2999999999999998</v>
      </c>
      <c r="R1137" s="10">
        <f>IF('[1]Pizza Sales Calculations'!$G1137=TRUE, [1]Parameters!$B$17*'[1]Pizza Sales Calculations'!$L1137*2, 0)</f>
        <v>3.1308333319611847</v>
      </c>
      <c r="S1137" t="str">
        <f>IF(I1137&lt;[1]Parameters!$B$21,"TRUE","FALSE")</f>
        <v>TRUE</v>
      </c>
      <c r="T1137" s="5">
        <f>(I1137/[1]Parameters!$B$25)*60</f>
        <v>4.4219246170977202</v>
      </c>
      <c r="U1137" s="10">
        <f>IF(AND('[1]Pizza Sales Calculations'!G1137=TRUE,'[1]Pizza Sales Calculations'!S1137="TRUE"),T1137*[1]Parameters!$B$40*2,0)</f>
        <v>0.27602815589275398</v>
      </c>
      <c r="V1137">
        <f>INDEX([1]Parameters!$A$3:$C$5,MATCH('[1]Pizza Sales Calculations'!D1137,[1]Parameters!$A$3:$A$5,0),2)</f>
        <v>14</v>
      </c>
      <c r="W1137" t="e">
        <f>INDEX([1]Parameters!$A$3:$C$5,MATCH('[1]Pizza Sales Calculations'!E1137,[1]Parameters!$A$3:$A$5,0),2)</f>
        <v>#N/A</v>
      </c>
      <c r="X1137" t="e">
        <f>INDEX([1]Parameters!$A$3:$C$5,MATCH('[1]Pizza Sales Calculations'!F1137,[1]Parameters!$A$3:$A$5,0),2)</f>
        <v>#N/A</v>
      </c>
    </row>
    <row r="1138" spans="1:24" x14ac:dyDescent="0.3">
      <c r="A1138">
        <v>1137</v>
      </c>
      <c r="B1138" s="14">
        <v>42381.498425925929</v>
      </c>
      <c r="C1138" s="14">
        <v>42381.50885416667</v>
      </c>
      <c r="D1138" t="s">
        <v>5</v>
      </c>
      <c r="G1138" t="b">
        <v>0</v>
      </c>
      <c r="H1138">
        <v>70804</v>
      </c>
      <c r="I1138" s="5">
        <v>0</v>
      </c>
      <c r="J1138" s="14">
        <v>42381.510891203703</v>
      </c>
      <c r="K1138">
        <v>15.35</v>
      </c>
      <c r="L1138" s="5">
        <f>('[1]Pizza Sales Calculations'!$J1138-'[1]Pizza Sales Calculations'!$C1138)*24*60</f>
        <v>2.9333333275280893</v>
      </c>
      <c r="M1138">
        <f>COUNTA('[1]Pizza Sales Calculations'!$D1138:$F1138)</f>
        <v>1</v>
      </c>
      <c r="N1138">
        <f>IFERROR(VLOOKUP(D1138,[1]Parameters!$A$3:$C$5,3,FALSE),0)</f>
        <v>2.2999999999999998</v>
      </c>
      <c r="O1138">
        <f>IFERROR(VLOOKUP(E1138,[1]Parameters!$A$3:$C$5,3,FALSE),0)</f>
        <v>0</v>
      </c>
      <c r="P1138">
        <f>IFERROR(VLOOKUP(F1138,[1]Parameters!$A$3:$C$5,3,FALSE),0)</f>
        <v>0</v>
      </c>
      <c r="Q1138">
        <f t="shared" si="17"/>
        <v>2.2999999999999998</v>
      </c>
      <c r="R1138" s="10">
        <f>IF('[1]Pizza Sales Calculations'!$G1138=TRUE, [1]Parameters!$B$17*'[1]Pizza Sales Calculations'!$L1138*2, 0)</f>
        <v>0</v>
      </c>
      <c r="S1138" t="str">
        <f>IF(I1138&lt;[1]Parameters!$B$21,"TRUE","FALSE")</f>
        <v>TRUE</v>
      </c>
      <c r="T1138" s="5">
        <f>(I1138/[1]Parameters!$B$25)*60</f>
        <v>0</v>
      </c>
      <c r="U1138" s="10">
        <f>IF(AND('[1]Pizza Sales Calculations'!G1138=TRUE,'[1]Pizza Sales Calculations'!S1138="TRUE"),T1138*[1]Parameters!$B$40*2,0)</f>
        <v>0</v>
      </c>
      <c r="V1138">
        <f>INDEX([1]Parameters!$A$3:$C$5,MATCH('[1]Pizza Sales Calculations'!D1138,[1]Parameters!$A$3:$A$5,0),2)</f>
        <v>14</v>
      </c>
      <c r="W1138" t="e">
        <f>INDEX([1]Parameters!$A$3:$C$5,MATCH('[1]Pizza Sales Calculations'!E1138,[1]Parameters!$A$3:$A$5,0),2)</f>
        <v>#N/A</v>
      </c>
      <c r="X1138" t="e">
        <f>INDEX([1]Parameters!$A$3:$C$5,MATCH('[1]Pizza Sales Calculations'!F1138,[1]Parameters!$A$3:$A$5,0),2)</f>
        <v>#N/A</v>
      </c>
    </row>
    <row r="1139" spans="1:24" x14ac:dyDescent="0.3">
      <c r="A1139">
        <v>1138</v>
      </c>
      <c r="B1139" s="14">
        <v>42381.457002314812</v>
      </c>
      <c r="C1139" s="14">
        <v>42381.467395833337</v>
      </c>
      <c r="D1139" t="s">
        <v>4</v>
      </c>
      <c r="G1139" t="b">
        <v>1</v>
      </c>
      <c r="H1139">
        <v>70805</v>
      </c>
      <c r="I1139" s="5">
        <v>1.55988152163801</v>
      </c>
      <c r="J1139" s="14">
        <v>42381.472800925927</v>
      </c>
      <c r="K1139">
        <v>11.59</v>
      </c>
      <c r="L1139" s="5">
        <f>('[1]Pizza Sales Calculations'!$J1139-'[1]Pizza Sales Calculations'!$C1139)*24*60</f>
        <v>7.7833333297166973</v>
      </c>
      <c r="M1139">
        <f>COUNTA('[1]Pizza Sales Calculations'!$D1139:$F1139)</f>
        <v>1</v>
      </c>
      <c r="N1139">
        <f>IFERROR(VLOOKUP(D1139,[1]Parameters!$A$3:$C$5,3,FALSE),0)</f>
        <v>1.7</v>
      </c>
      <c r="O1139">
        <f>IFERROR(VLOOKUP(E1139,[1]Parameters!$A$3:$C$5,3,FALSE),0)</f>
        <v>0</v>
      </c>
      <c r="P1139">
        <f>IFERROR(VLOOKUP(F1139,[1]Parameters!$A$3:$C$5,3,FALSE),0)</f>
        <v>0</v>
      </c>
      <c r="Q1139">
        <f t="shared" si="17"/>
        <v>1.7</v>
      </c>
      <c r="R1139" s="10">
        <f>IF('[1]Pizza Sales Calculations'!$G1139=TRUE, [1]Parameters!$B$17*'[1]Pizza Sales Calculations'!$L1139*2, 0)</f>
        <v>2.2052777767530642</v>
      </c>
      <c r="S1139" t="str">
        <f>IF(I1139&lt;[1]Parameters!$B$21,"TRUE","FALSE")</f>
        <v>TRUE</v>
      </c>
      <c r="T1139" s="5">
        <f>(I1139/[1]Parameters!$B$25)*60</f>
        <v>3.1197630432760199</v>
      </c>
      <c r="U1139" s="10">
        <f>IF(AND('[1]Pizza Sales Calculations'!G1139=TRUE,'[1]Pizza Sales Calculations'!S1139="TRUE"),T1139*[1]Parameters!$B$40*2,0)</f>
        <v>0.19474380823412743</v>
      </c>
      <c r="V1139">
        <f>INDEX([1]Parameters!$A$3:$C$5,MATCH('[1]Pizza Sales Calculations'!D1139,[1]Parameters!$A$3:$A$5,0),2)</f>
        <v>10</v>
      </c>
      <c r="W1139" t="e">
        <f>INDEX([1]Parameters!$A$3:$C$5,MATCH('[1]Pizza Sales Calculations'!E1139,[1]Parameters!$A$3:$A$5,0),2)</f>
        <v>#N/A</v>
      </c>
      <c r="X1139" t="e">
        <f>INDEX([1]Parameters!$A$3:$C$5,MATCH('[1]Pizza Sales Calculations'!F1139,[1]Parameters!$A$3:$A$5,0),2)</f>
        <v>#N/A</v>
      </c>
    </row>
    <row r="1140" spans="1:24" x14ac:dyDescent="0.3">
      <c r="A1140">
        <v>1139</v>
      </c>
      <c r="B1140" s="14">
        <v>42381.530798611115</v>
      </c>
      <c r="C1140" s="14">
        <v>42381.541203703702</v>
      </c>
      <c r="D1140" t="s">
        <v>4</v>
      </c>
      <c r="G1140" t="b">
        <v>1</v>
      </c>
      <c r="H1140">
        <v>70806</v>
      </c>
      <c r="I1140" s="5">
        <v>3.0507717518782802</v>
      </c>
      <c r="J1140" s="14">
        <v>42381.551793981482</v>
      </c>
      <c r="K1140">
        <v>11.59</v>
      </c>
      <c r="L1140" s="5">
        <f>('[1]Pizza Sales Calculations'!$J1140-'[1]Pizza Sales Calculations'!$C1140)*24*60</f>
        <v>15.250000002561137</v>
      </c>
      <c r="M1140">
        <f>COUNTA('[1]Pizza Sales Calculations'!$D1140:$F1140)</f>
        <v>1</v>
      </c>
      <c r="N1140">
        <f>IFERROR(VLOOKUP(D1140,[1]Parameters!$A$3:$C$5,3,FALSE),0)</f>
        <v>1.7</v>
      </c>
      <c r="O1140">
        <f>IFERROR(VLOOKUP(E1140,[1]Parameters!$A$3:$C$5,3,FALSE),0)</f>
        <v>0</v>
      </c>
      <c r="P1140">
        <f>IFERROR(VLOOKUP(F1140,[1]Parameters!$A$3:$C$5,3,FALSE),0)</f>
        <v>0</v>
      </c>
      <c r="Q1140">
        <f t="shared" si="17"/>
        <v>1.7</v>
      </c>
      <c r="R1140" s="10">
        <f>IF('[1]Pizza Sales Calculations'!$G1140=TRUE, [1]Parameters!$B$17*'[1]Pizza Sales Calculations'!$L1140*2, 0)</f>
        <v>4.3208333340589888</v>
      </c>
      <c r="S1140" t="str">
        <f>IF(I1140&lt;[1]Parameters!$B$21,"TRUE","FALSE")</f>
        <v>TRUE</v>
      </c>
      <c r="T1140" s="5">
        <f>(I1140/[1]Parameters!$B$25)*60</f>
        <v>6.1015435037565604</v>
      </c>
      <c r="U1140" s="10">
        <f>IF(AND('[1]Pizza Sales Calculations'!G1140=TRUE,'[1]Pizza Sales Calculations'!S1140="TRUE"),T1140*[1]Parameters!$B$40*2,0)</f>
        <v>0.38087438101709209</v>
      </c>
      <c r="V1140">
        <f>INDEX([1]Parameters!$A$3:$C$5,MATCH('[1]Pizza Sales Calculations'!D1140,[1]Parameters!$A$3:$A$5,0),2)</f>
        <v>10</v>
      </c>
      <c r="W1140" t="e">
        <f>INDEX([1]Parameters!$A$3:$C$5,MATCH('[1]Pizza Sales Calculations'!E1140,[1]Parameters!$A$3:$A$5,0),2)</f>
        <v>#N/A</v>
      </c>
      <c r="X1140" t="e">
        <f>INDEX([1]Parameters!$A$3:$C$5,MATCH('[1]Pizza Sales Calculations'!F1140,[1]Parameters!$A$3:$A$5,0),2)</f>
        <v>#N/A</v>
      </c>
    </row>
    <row r="1141" spans="1:24" x14ac:dyDescent="0.3">
      <c r="A1141">
        <v>1140</v>
      </c>
      <c r="B1141" s="14">
        <v>42381.620405092595</v>
      </c>
      <c r="C1141" s="14">
        <v>42381.63082175926</v>
      </c>
      <c r="D1141" t="s">
        <v>4</v>
      </c>
      <c r="G1141" t="b">
        <v>1</v>
      </c>
      <c r="H1141">
        <v>70805</v>
      </c>
      <c r="I1141" s="5">
        <v>3.7535614742122601</v>
      </c>
      <c r="J1141" s="14">
        <v>42381.643854166665</v>
      </c>
      <c r="K1141">
        <v>11.59</v>
      </c>
      <c r="L1141" s="5">
        <f>('[1]Pizza Sales Calculations'!$J1141-'[1]Pizza Sales Calculations'!$C1141)*24*60</f>
        <v>18.76666666357778</v>
      </c>
      <c r="M1141">
        <f>COUNTA('[1]Pizza Sales Calculations'!$D1141:$F1141)</f>
        <v>1</v>
      </c>
      <c r="N1141">
        <f>IFERROR(VLOOKUP(D1141,[1]Parameters!$A$3:$C$5,3,FALSE),0)</f>
        <v>1.7</v>
      </c>
      <c r="O1141">
        <f>IFERROR(VLOOKUP(E1141,[1]Parameters!$A$3:$C$5,3,FALSE),0)</f>
        <v>0</v>
      </c>
      <c r="P1141">
        <f>IFERROR(VLOOKUP(F1141,[1]Parameters!$A$3:$C$5,3,FALSE),0)</f>
        <v>0</v>
      </c>
      <c r="Q1141">
        <f t="shared" si="17"/>
        <v>1.7</v>
      </c>
      <c r="R1141" s="10">
        <f>IF('[1]Pizza Sales Calculations'!$G1141=TRUE, [1]Parameters!$B$17*'[1]Pizza Sales Calculations'!$L1141*2, 0)</f>
        <v>5.3172222213470377</v>
      </c>
      <c r="S1141" t="str">
        <f>IF(I1141&lt;[1]Parameters!$B$21,"TRUE","FALSE")</f>
        <v>FALSE</v>
      </c>
      <c r="T1141" s="5">
        <f>(I1141/[1]Parameters!$B$25)*60</f>
        <v>7.5071229484245201</v>
      </c>
      <c r="U1141" s="10">
        <f>IF(AND('[1]Pizza Sales Calculations'!G1141=TRUE,'[1]Pizza Sales Calculations'!S1141="TRUE"),T1141*[1]Parameters!$B$40*2,0)</f>
        <v>0</v>
      </c>
      <c r="V1141">
        <f>INDEX([1]Parameters!$A$3:$C$5,MATCH('[1]Pizza Sales Calculations'!D1141,[1]Parameters!$A$3:$A$5,0),2)</f>
        <v>10</v>
      </c>
      <c r="W1141" t="e">
        <f>INDEX([1]Parameters!$A$3:$C$5,MATCH('[1]Pizza Sales Calculations'!E1141,[1]Parameters!$A$3:$A$5,0),2)</f>
        <v>#N/A</v>
      </c>
      <c r="X1141" t="e">
        <f>INDEX([1]Parameters!$A$3:$C$5,MATCH('[1]Pizza Sales Calculations'!F1141,[1]Parameters!$A$3:$A$5,0),2)</f>
        <v>#N/A</v>
      </c>
    </row>
    <row r="1142" spans="1:24" x14ac:dyDescent="0.3">
      <c r="A1142">
        <v>1141</v>
      </c>
      <c r="B1142" s="14">
        <v>42381.485520833332</v>
      </c>
      <c r="C1142" s="14">
        <v>42381.495937500003</v>
      </c>
      <c r="D1142" t="s">
        <v>3</v>
      </c>
      <c r="E1142" t="s">
        <v>4</v>
      </c>
      <c r="G1142" t="b">
        <v>1</v>
      </c>
      <c r="H1142">
        <v>70805</v>
      </c>
      <c r="I1142" s="5">
        <v>3.7931249623855101</v>
      </c>
      <c r="J1142" s="14">
        <v>42381.509097222224</v>
      </c>
      <c r="K1142">
        <v>19.579999999999998</v>
      </c>
      <c r="L1142" s="5">
        <f>('[1]Pizza Sales Calculations'!$J1142-'[1]Pizza Sales Calculations'!$C1142)*24*60</f>
        <v>18.949999997857958</v>
      </c>
      <c r="M1142">
        <f>COUNTA('[1]Pizza Sales Calculations'!$D1142:$F1142)</f>
        <v>2</v>
      </c>
      <c r="N1142">
        <f>IFERROR(VLOOKUP(D1142,[1]Parameters!$A$3:$C$5,3,FALSE),0)</f>
        <v>1</v>
      </c>
      <c r="O1142">
        <f>IFERROR(VLOOKUP(E1142,[1]Parameters!$A$3:$C$5,3,FALSE),0)</f>
        <v>1.7</v>
      </c>
      <c r="P1142">
        <f>IFERROR(VLOOKUP(F1142,[1]Parameters!$A$3:$C$5,3,FALSE),0)</f>
        <v>0</v>
      </c>
      <c r="Q1142">
        <f t="shared" si="17"/>
        <v>2.7</v>
      </c>
      <c r="R1142" s="10">
        <f>IF('[1]Pizza Sales Calculations'!$G1142=TRUE, [1]Parameters!$B$17*'[1]Pizza Sales Calculations'!$L1142*2, 0)</f>
        <v>5.3691666660597548</v>
      </c>
      <c r="S1142" t="str">
        <f>IF(I1142&lt;[1]Parameters!$B$21,"TRUE","FALSE")</f>
        <v>FALSE</v>
      </c>
      <c r="T1142" s="5">
        <f>(I1142/[1]Parameters!$B$25)*60</f>
        <v>7.5862499247710211</v>
      </c>
      <c r="U1142" s="10">
        <f>IF(AND('[1]Pizza Sales Calculations'!G1142=TRUE,'[1]Pizza Sales Calculations'!S1142="TRUE"),T1142*[1]Parameters!$B$40*2,0)</f>
        <v>0</v>
      </c>
      <c r="V1142">
        <f>INDEX([1]Parameters!$A$3:$C$5,MATCH('[1]Pizza Sales Calculations'!D1142,[1]Parameters!$A$3:$A$5,0),2)</f>
        <v>7</v>
      </c>
      <c r="W1142">
        <f>INDEX([1]Parameters!$A$3:$C$5,MATCH('[1]Pizza Sales Calculations'!E1142,[1]Parameters!$A$3:$A$5,0),2)</f>
        <v>10</v>
      </c>
      <c r="X1142" t="e">
        <f>INDEX([1]Parameters!$A$3:$C$5,MATCH('[1]Pizza Sales Calculations'!F1142,[1]Parameters!$A$3:$A$5,0),2)</f>
        <v>#N/A</v>
      </c>
    </row>
    <row r="1143" spans="1:24" x14ac:dyDescent="0.3">
      <c r="A1143">
        <v>1142</v>
      </c>
      <c r="B1143" s="14">
        <v>42381.530358796299</v>
      </c>
      <c r="C1143" s="14">
        <v>42381.540763888886</v>
      </c>
      <c r="D1143" t="s">
        <v>4</v>
      </c>
      <c r="G1143" t="b">
        <v>0</v>
      </c>
      <c r="H1143">
        <v>70804</v>
      </c>
      <c r="I1143" s="5">
        <v>0</v>
      </c>
      <c r="J1143" s="14">
        <v>42381.542847222219</v>
      </c>
      <c r="K1143">
        <v>11.59</v>
      </c>
      <c r="L1143" s="5">
        <f>('[1]Pizza Sales Calculations'!$J1143-'[1]Pizza Sales Calculations'!$C1143)*24*60</f>
        <v>2.9999999993015081</v>
      </c>
      <c r="M1143">
        <f>COUNTA('[1]Pizza Sales Calculations'!$D1143:$F1143)</f>
        <v>1</v>
      </c>
      <c r="N1143">
        <f>IFERROR(VLOOKUP(D1143,[1]Parameters!$A$3:$C$5,3,FALSE),0)</f>
        <v>1.7</v>
      </c>
      <c r="O1143">
        <f>IFERROR(VLOOKUP(E1143,[1]Parameters!$A$3:$C$5,3,FALSE),0)</f>
        <v>0</v>
      </c>
      <c r="P1143">
        <f>IFERROR(VLOOKUP(F1143,[1]Parameters!$A$3:$C$5,3,FALSE),0)</f>
        <v>0</v>
      </c>
      <c r="Q1143">
        <f t="shared" si="17"/>
        <v>1.7</v>
      </c>
      <c r="R1143" s="10">
        <f>IF('[1]Pizza Sales Calculations'!$G1143=TRUE, [1]Parameters!$B$17*'[1]Pizza Sales Calculations'!$L1143*2, 0)</f>
        <v>0</v>
      </c>
      <c r="S1143" t="str">
        <f>IF(I1143&lt;[1]Parameters!$B$21,"TRUE","FALSE")</f>
        <v>TRUE</v>
      </c>
      <c r="T1143" s="5">
        <f>(I1143/[1]Parameters!$B$25)*60</f>
        <v>0</v>
      </c>
      <c r="U1143" s="10">
        <f>IF(AND('[1]Pizza Sales Calculations'!G1143=TRUE,'[1]Pizza Sales Calculations'!S1143="TRUE"),T1143*[1]Parameters!$B$40*2,0)</f>
        <v>0</v>
      </c>
      <c r="V1143">
        <f>INDEX([1]Parameters!$A$3:$C$5,MATCH('[1]Pizza Sales Calculations'!D1143,[1]Parameters!$A$3:$A$5,0),2)</f>
        <v>10</v>
      </c>
      <c r="W1143" t="e">
        <f>INDEX([1]Parameters!$A$3:$C$5,MATCH('[1]Pizza Sales Calculations'!E1143,[1]Parameters!$A$3:$A$5,0),2)</f>
        <v>#N/A</v>
      </c>
      <c r="X1143" t="e">
        <f>INDEX([1]Parameters!$A$3:$C$5,MATCH('[1]Pizza Sales Calculations'!F1143,[1]Parameters!$A$3:$A$5,0),2)</f>
        <v>#N/A</v>
      </c>
    </row>
    <row r="1144" spans="1:24" x14ac:dyDescent="0.3">
      <c r="A1144">
        <v>1143</v>
      </c>
      <c r="B1144" s="14">
        <v>42381.477141203701</v>
      </c>
      <c r="C1144" s="14">
        <v>42381.487557870372</v>
      </c>
      <c r="D1144" t="s">
        <v>3</v>
      </c>
      <c r="G1144" t="b">
        <v>0</v>
      </c>
      <c r="H1144">
        <v>70803</v>
      </c>
      <c r="I1144" s="5">
        <v>0</v>
      </c>
      <c r="J1144" s="14">
        <v>42381.489641203705</v>
      </c>
      <c r="K1144">
        <v>7.99</v>
      </c>
      <c r="L1144" s="5">
        <f>('[1]Pizza Sales Calculations'!$J1144-'[1]Pizza Sales Calculations'!$C1144)*24*60</f>
        <v>2.9999999993015081</v>
      </c>
      <c r="M1144">
        <f>COUNTA('[1]Pizza Sales Calculations'!$D1144:$F1144)</f>
        <v>1</v>
      </c>
      <c r="N1144">
        <f>IFERROR(VLOOKUP(D1144,[1]Parameters!$A$3:$C$5,3,FALSE),0)</f>
        <v>1</v>
      </c>
      <c r="O1144">
        <f>IFERROR(VLOOKUP(E1144,[1]Parameters!$A$3:$C$5,3,FALSE),0)</f>
        <v>0</v>
      </c>
      <c r="P1144">
        <f>IFERROR(VLOOKUP(F1144,[1]Parameters!$A$3:$C$5,3,FALSE),0)</f>
        <v>0</v>
      </c>
      <c r="Q1144">
        <f t="shared" si="17"/>
        <v>1</v>
      </c>
      <c r="R1144" s="10">
        <f>IF('[1]Pizza Sales Calculations'!$G1144=TRUE, [1]Parameters!$B$17*'[1]Pizza Sales Calculations'!$L1144*2, 0)</f>
        <v>0</v>
      </c>
      <c r="S1144" t="str">
        <f>IF(I1144&lt;[1]Parameters!$B$21,"TRUE","FALSE")</f>
        <v>TRUE</v>
      </c>
      <c r="T1144" s="5">
        <f>(I1144/[1]Parameters!$B$25)*60</f>
        <v>0</v>
      </c>
      <c r="U1144" s="10">
        <f>IF(AND('[1]Pizza Sales Calculations'!G1144=TRUE,'[1]Pizza Sales Calculations'!S1144="TRUE"),T1144*[1]Parameters!$B$40*2,0)</f>
        <v>0</v>
      </c>
      <c r="V1144">
        <f>INDEX([1]Parameters!$A$3:$C$5,MATCH('[1]Pizza Sales Calculations'!D1144,[1]Parameters!$A$3:$A$5,0),2)</f>
        <v>7</v>
      </c>
      <c r="W1144" t="e">
        <f>INDEX([1]Parameters!$A$3:$C$5,MATCH('[1]Pizza Sales Calculations'!E1144,[1]Parameters!$A$3:$A$5,0),2)</f>
        <v>#N/A</v>
      </c>
      <c r="X1144" t="e">
        <f>INDEX([1]Parameters!$A$3:$C$5,MATCH('[1]Pizza Sales Calculations'!F1144,[1]Parameters!$A$3:$A$5,0),2)</f>
        <v>#N/A</v>
      </c>
    </row>
    <row r="1145" spans="1:24" x14ac:dyDescent="0.3">
      <c r="A1145">
        <v>1144</v>
      </c>
      <c r="B1145" s="14">
        <v>42381.428136574075</v>
      </c>
      <c r="C1145" s="14">
        <v>42381.43854166667</v>
      </c>
      <c r="D1145" t="s">
        <v>5</v>
      </c>
      <c r="G1145" t="b">
        <v>1</v>
      </c>
      <c r="H1145">
        <v>70804</v>
      </c>
      <c r="I1145" s="5">
        <v>5.3819089435210099</v>
      </c>
      <c r="J1145" s="14">
        <v>42381.45722222222</v>
      </c>
      <c r="K1145">
        <v>15.35</v>
      </c>
      <c r="L1145" s="5">
        <f>('[1]Pizza Sales Calculations'!$J1145-'[1]Pizza Sales Calculations'!$C1145)*24*60</f>
        <v>26.899999991292134</v>
      </c>
      <c r="M1145">
        <f>COUNTA('[1]Pizza Sales Calculations'!$D1145:$F1145)</f>
        <v>1</v>
      </c>
      <c r="N1145">
        <f>IFERROR(VLOOKUP(D1145,[1]Parameters!$A$3:$C$5,3,FALSE),0)</f>
        <v>2.2999999999999998</v>
      </c>
      <c r="O1145">
        <f>IFERROR(VLOOKUP(E1145,[1]Parameters!$A$3:$C$5,3,FALSE),0)</f>
        <v>0</v>
      </c>
      <c r="P1145">
        <f>IFERROR(VLOOKUP(F1145,[1]Parameters!$A$3:$C$5,3,FALSE),0)</f>
        <v>0</v>
      </c>
      <c r="Q1145">
        <f t="shared" si="17"/>
        <v>2.2999999999999998</v>
      </c>
      <c r="R1145" s="10">
        <f>IF('[1]Pizza Sales Calculations'!$G1145=TRUE, [1]Parameters!$B$17*'[1]Pizza Sales Calculations'!$L1145*2, 0)</f>
        <v>7.6216666641994379</v>
      </c>
      <c r="S1145" t="str">
        <f>IF(I1145&lt;[1]Parameters!$B$21,"TRUE","FALSE")</f>
        <v>FALSE</v>
      </c>
      <c r="T1145" s="5">
        <f>(I1145/[1]Parameters!$B$25)*60</f>
        <v>10.76381788704202</v>
      </c>
      <c r="U1145" s="10">
        <f>IF(AND('[1]Pizza Sales Calculations'!G1145=TRUE,'[1]Pizza Sales Calculations'!S1145="TRUE"),T1145*[1]Parameters!$B$40*2,0)</f>
        <v>0</v>
      </c>
      <c r="V1145">
        <f>INDEX([1]Parameters!$A$3:$C$5,MATCH('[1]Pizza Sales Calculations'!D1145,[1]Parameters!$A$3:$A$5,0),2)</f>
        <v>14</v>
      </c>
      <c r="W1145" t="e">
        <f>INDEX([1]Parameters!$A$3:$C$5,MATCH('[1]Pizza Sales Calculations'!E1145,[1]Parameters!$A$3:$A$5,0),2)</f>
        <v>#N/A</v>
      </c>
      <c r="X1145" t="e">
        <f>INDEX([1]Parameters!$A$3:$C$5,MATCH('[1]Pizza Sales Calculations'!F1145,[1]Parameters!$A$3:$A$5,0),2)</f>
        <v>#N/A</v>
      </c>
    </row>
    <row r="1146" spans="1:24" x14ac:dyDescent="0.3">
      <c r="A1146">
        <v>1145</v>
      </c>
      <c r="B1146" s="14">
        <v>42381.492835648147</v>
      </c>
      <c r="C1146" s="14">
        <v>42381.503263888888</v>
      </c>
      <c r="D1146" t="s">
        <v>4</v>
      </c>
      <c r="G1146" t="b">
        <v>0</v>
      </c>
      <c r="H1146">
        <v>70803</v>
      </c>
      <c r="I1146" s="5">
        <v>0</v>
      </c>
      <c r="J1146" s="14">
        <v>42381.505358796298</v>
      </c>
      <c r="K1146">
        <v>11.59</v>
      </c>
      <c r="L1146" s="5">
        <f>('[1]Pizza Sales Calculations'!$J1146-'[1]Pizza Sales Calculations'!$C1146)*24*60</f>
        <v>3.0166666698642075</v>
      </c>
      <c r="M1146">
        <f>COUNTA('[1]Pizza Sales Calculations'!$D1146:$F1146)</f>
        <v>1</v>
      </c>
      <c r="N1146">
        <f>IFERROR(VLOOKUP(D1146,[1]Parameters!$A$3:$C$5,3,FALSE),0)</f>
        <v>1.7</v>
      </c>
      <c r="O1146">
        <f>IFERROR(VLOOKUP(E1146,[1]Parameters!$A$3:$C$5,3,FALSE),0)</f>
        <v>0</v>
      </c>
      <c r="P1146">
        <f>IFERROR(VLOOKUP(F1146,[1]Parameters!$A$3:$C$5,3,FALSE),0)</f>
        <v>0</v>
      </c>
      <c r="Q1146">
        <f t="shared" si="17"/>
        <v>1.7</v>
      </c>
      <c r="R1146" s="10">
        <f>IF('[1]Pizza Sales Calculations'!$G1146=TRUE, [1]Parameters!$B$17*'[1]Pizza Sales Calculations'!$L1146*2, 0)</f>
        <v>0</v>
      </c>
      <c r="S1146" t="str">
        <f>IF(I1146&lt;[1]Parameters!$B$21,"TRUE","FALSE")</f>
        <v>TRUE</v>
      </c>
      <c r="T1146" s="5">
        <f>(I1146/[1]Parameters!$B$25)*60</f>
        <v>0</v>
      </c>
      <c r="U1146" s="10">
        <f>IF(AND('[1]Pizza Sales Calculations'!G1146=TRUE,'[1]Pizza Sales Calculations'!S1146="TRUE"),T1146*[1]Parameters!$B$40*2,0)</f>
        <v>0</v>
      </c>
      <c r="V1146">
        <f>INDEX([1]Parameters!$A$3:$C$5,MATCH('[1]Pizza Sales Calculations'!D1146,[1]Parameters!$A$3:$A$5,0),2)</f>
        <v>10</v>
      </c>
      <c r="W1146" t="e">
        <f>INDEX([1]Parameters!$A$3:$C$5,MATCH('[1]Pizza Sales Calculations'!E1146,[1]Parameters!$A$3:$A$5,0),2)</f>
        <v>#N/A</v>
      </c>
      <c r="X1146" t="e">
        <f>INDEX([1]Parameters!$A$3:$C$5,MATCH('[1]Pizza Sales Calculations'!F1146,[1]Parameters!$A$3:$A$5,0),2)</f>
        <v>#N/A</v>
      </c>
    </row>
    <row r="1147" spans="1:24" x14ac:dyDescent="0.3">
      <c r="A1147">
        <v>1146</v>
      </c>
      <c r="B1147" s="14">
        <v>42381.457511574074</v>
      </c>
      <c r="C1147" s="14">
        <v>42381.467916666668</v>
      </c>
      <c r="D1147" t="s">
        <v>4</v>
      </c>
      <c r="G1147" t="b">
        <v>1</v>
      </c>
      <c r="H1147">
        <v>70804</v>
      </c>
      <c r="I1147" s="5">
        <v>2.6996363531395802</v>
      </c>
      <c r="J1147" s="14">
        <v>42381.477280092593</v>
      </c>
      <c r="K1147">
        <v>11.59</v>
      </c>
      <c r="L1147" s="5">
        <f>('[1]Pizza Sales Calculations'!$J1147-'[1]Pizza Sales Calculations'!$C1147)*24*60</f>
        <v>13.483333331532776</v>
      </c>
      <c r="M1147">
        <f>COUNTA('[1]Pizza Sales Calculations'!$D1147:$F1147)</f>
        <v>1</v>
      </c>
      <c r="N1147">
        <f>IFERROR(VLOOKUP(D1147,[1]Parameters!$A$3:$C$5,3,FALSE),0)</f>
        <v>1.7</v>
      </c>
      <c r="O1147">
        <f>IFERROR(VLOOKUP(E1147,[1]Parameters!$A$3:$C$5,3,FALSE),0)</f>
        <v>0</v>
      </c>
      <c r="P1147">
        <f>IFERROR(VLOOKUP(F1147,[1]Parameters!$A$3:$C$5,3,FALSE),0)</f>
        <v>0</v>
      </c>
      <c r="Q1147">
        <f t="shared" si="17"/>
        <v>1.7</v>
      </c>
      <c r="R1147" s="10">
        <f>IF('[1]Pizza Sales Calculations'!$G1147=TRUE, [1]Parameters!$B$17*'[1]Pizza Sales Calculations'!$L1147*2, 0)</f>
        <v>3.82027777726762</v>
      </c>
      <c r="S1147" t="str">
        <f>IF(I1147&lt;[1]Parameters!$B$21,"TRUE","FALSE")</f>
        <v>TRUE</v>
      </c>
      <c r="T1147" s="5">
        <f>(I1147/[1]Parameters!$B$25)*60</f>
        <v>5.3992727062791603</v>
      </c>
      <c r="U1147" s="10">
        <f>IF(AND('[1]Pizza Sales Calculations'!G1147=TRUE,'[1]Pizza Sales Calculations'!S1147="TRUE"),T1147*[1]Parameters!$B$40*2,0)</f>
        <v>0.33703679219536103</v>
      </c>
      <c r="V1147">
        <f>INDEX([1]Parameters!$A$3:$C$5,MATCH('[1]Pizza Sales Calculations'!D1147,[1]Parameters!$A$3:$A$5,0),2)</f>
        <v>10</v>
      </c>
      <c r="W1147" t="e">
        <f>INDEX([1]Parameters!$A$3:$C$5,MATCH('[1]Pizza Sales Calculations'!E1147,[1]Parameters!$A$3:$A$5,0),2)</f>
        <v>#N/A</v>
      </c>
      <c r="X1147" t="e">
        <f>INDEX([1]Parameters!$A$3:$C$5,MATCH('[1]Pizza Sales Calculations'!F1147,[1]Parameters!$A$3:$A$5,0),2)</f>
        <v>#N/A</v>
      </c>
    </row>
    <row r="1148" spans="1:24" x14ac:dyDescent="0.3">
      <c r="A1148">
        <v>1147</v>
      </c>
      <c r="B1148" s="14">
        <v>42381.504583333335</v>
      </c>
      <c r="C1148" s="14">
        <v>42381.514988425923</v>
      </c>
      <c r="D1148" t="s">
        <v>3</v>
      </c>
      <c r="E1148" t="s">
        <v>5</v>
      </c>
      <c r="G1148" t="b">
        <v>0</v>
      </c>
      <c r="H1148">
        <v>70804</v>
      </c>
      <c r="I1148" s="5">
        <v>0</v>
      </c>
      <c r="J1148" s="14">
        <v>42381.517071759263</v>
      </c>
      <c r="K1148">
        <v>23.34</v>
      </c>
      <c r="L1148" s="5">
        <f>('[1]Pizza Sales Calculations'!$J1148-'[1]Pizza Sales Calculations'!$C1148)*24*60</f>
        <v>3.000000009778887</v>
      </c>
      <c r="M1148">
        <f>COUNTA('[1]Pizza Sales Calculations'!$D1148:$F1148)</f>
        <v>2</v>
      </c>
      <c r="N1148">
        <f>IFERROR(VLOOKUP(D1148,[1]Parameters!$A$3:$C$5,3,FALSE),0)</f>
        <v>1</v>
      </c>
      <c r="O1148">
        <f>IFERROR(VLOOKUP(E1148,[1]Parameters!$A$3:$C$5,3,FALSE),0)</f>
        <v>2.2999999999999998</v>
      </c>
      <c r="P1148">
        <f>IFERROR(VLOOKUP(F1148,[1]Parameters!$A$3:$C$5,3,FALSE),0)</f>
        <v>0</v>
      </c>
      <c r="Q1148">
        <f t="shared" si="17"/>
        <v>3.3</v>
      </c>
      <c r="R1148" s="10">
        <f>IF('[1]Pizza Sales Calculations'!$G1148=TRUE, [1]Parameters!$B$17*'[1]Pizza Sales Calculations'!$L1148*2, 0)</f>
        <v>0</v>
      </c>
      <c r="S1148" t="str">
        <f>IF(I1148&lt;[1]Parameters!$B$21,"TRUE","FALSE")</f>
        <v>TRUE</v>
      </c>
      <c r="T1148" s="5">
        <f>(I1148/[1]Parameters!$B$25)*60</f>
        <v>0</v>
      </c>
      <c r="U1148" s="10">
        <f>IF(AND('[1]Pizza Sales Calculations'!G1148=TRUE,'[1]Pizza Sales Calculations'!S1148="TRUE"),T1148*[1]Parameters!$B$40*2,0)</f>
        <v>0</v>
      </c>
      <c r="V1148">
        <f>INDEX([1]Parameters!$A$3:$C$5,MATCH('[1]Pizza Sales Calculations'!D1148,[1]Parameters!$A$3:$A$5,0),2)</f>
        <v>7</v>
      </c>
      <c r="W1148">
        <f>INDEX([1]Parameters!$A$3:$C$5,MATCH('[1]Pizza Sales Calculations'!E1148,[1]Parameters!$A$3:$A$5,0),2)</f>
        <v>14</v>
      </c>
      <c r="X1148" t="e">
        <f>INDEX([1]Parameters!$A$3:$C$5,MATCH('[1]Pizza Sales Calculations'!F1148,[1]Parameters!$A$3:$A$5,0),2)</f>
        <v>#N/A</v>
      </c>
    </row>
    <row r="1149" spans="1:24" x14ac:dyDescent="0.3">
      <c r="A1149">
        <v>1148</v>
      </c>
      <c r="B1149" s="14">
        <v>42381.424988425926</v>
      </c>
      <c r="C1149" s="14">
        <v>42381.435393518521</v>
      </c>
      <c r="D1149" t="s">
        <v>3</v>
      </c>
      <c r="G1149" t="b">
        <v>0</v>
      </c>
      <c r="H1149">
        <v>70806</v>
      </c>
      <c r="I1149" s="5">
        <v>0</v>
      </c>
      <c r="J1149" s="14">
        <v>42381.437476851854</v>
      </c>
      <c r="K1149">
        <v>7.99</v>
      </c>
      <c r="L1149" s="5">
        <f>('[1]Pizza Sales Calculations'!$J1149-'[1]Pizza Sales Calculations'!$C1149)*24*60</f>
        <v>2.9999999993015081</v>
      </c>
      <c r="M1149">
        <f>COUNTA('[1]Pizza Sales Calculations'!$D1149:$F1149)</f>
        <v>1</v>
      </c>
      <c r="N1149">
        <f>IFERROR(VLOOKUP(D1149,[1]Parameters!$A$3:$C$5,3,FALSE),0)</f>
        <v>1</v>
      </c>
      <c r="O1149">
        <f>IFERROR(VLOOKUP(E1149,[1]Parameters!$A$3:$C$5,3,FALSE),0)</f>
        <v>0</v>
      </c>
      <c r="P1149">
        <f>IFERROR(VLOOKUP(F1149,[1]Parameters!$A$3:$C$5,3,FALSE),0)</f>
        <v>0</v>
      </c>
      <c r="Q1149">
        <f t="shared" si="17"/>
        <v>1</v>
      </c>
      <c r="R1149" s="10">
        <f>IF('[1]Pizza Sales Calculations'!$G1149=TRUE, [1]Parameters!$B$17*'[1]Pizza Sales Calculations'!$L1149*2, 0)</f>
        <v>0</v>
      </c>
      <c r="S1149" t="str">
        <f>IF(I1149&lt;[1]Parameters!$B$21,"TRUE","FALSE")</f>
        <v>TRUE</v>
      </c>
      <c r="T1149" s="5">
        <f>(I1149/[1]Parameters!$B$25)*60</f>
        <v>0</v>
      </c>
      <c r="U1149" s="10">
        <f>IF(AND('[1]Pizza Sales Calculations'!G1149=TRUE,'[1]Pizza Sales Calculations'!S1149="TRUE"),T1149*[1]Parameters!$B$40*2,0)</f>
        <v>0</v>
      </c>
      <c r="V1149">
        <f>INDEX([1]Parameters!$A$3:$C$5,MATCH('[1]Pizza Sales Calculations'!D1149,[1]Parameters!$A$3:$A$5,0),2)</f>
        <v>7</v>
      </c>
      <c r="W1149" t="e">
        <f>INDEX([1]Parameters!$A$3:$C$5,MATCH('[1]Pizza Sales Calculations'!E1149,[1]Parameters!$A$3:$A$5,0),2)</f>
        <v>#N/A</v>
      </c>
      <c r="X1149" t="e">
        <f>INDEX([1]Parameters!$A$3:$C$5,MATCH('[1]Pizza Sales Calculations'!F1149,[1]Parameters!$A$3:$A$5,0),2)</f>
        <v>#N/A</v>
      </c>
    </row>
    <row r="1150" spans="1:24" x14ac:dyDescent="0.3">
      <c r="A1150">
        <v>1149</v>
      </c>
      <c r="B1150" s="14">
        <v>42381.537291666667</v>
      </c>
      <c r="C1150" s="14">
        <v>42381.547685185185</v>
      </c>
      <c r="D1150" t="s">
        <v>3</v>
      </c>
      <c r="G1150" t="b">
        <v>1</v>
      </c>
      <c r="H1150">
        <v>70803</v>
      </c>
      <c r="I1150" s="5">
        <v>2.7910737267099401</v>
      </c>
      <c r="J1150" s="14">
        <v>42381.557372685187</v>
      </c>
      <c r="K1150">
        <v>7.99</v>
      </c>
      <c r="L1150" s="5">
        <f>('[1]Pizza Sales Calculations'!$J1150-'[1]Pizza Sales Calculations'!$C1150)*24*60</f>
        <v>13.950000002514571</v>
      </c>
      <c r="M1150">
        <f>COUNTA('[1]Pizza Sales Calculations'!$D1150:$F1150)</f>
        <v>1</v>
      </c>
      <c r="N1150">
        <f>IFERROR(VLOOKUP(D1150,[1]Parameters!$A$3:$C$5,3,FALSE),0)</f>
        <v>1</v>
      </c>
      <c r="O1150">
        <f>IFERROR(VLOOKUP(E1150,[1]Parameters!$A$3:$C$5,3,FALSE),0)</f>
        <v>0</v>
      </c>
      <c r="P1150">
        <f>IFERROR(VLOOKUP(F1150,[1]Parameters!$A$3:$C$5,3,FALSE),0)</f>
        <v>0</v>
      </c>
      <c r="Q1150">
        <f t="shared" si="17"/>
        <v>1</v>
      </c>
      <c r="R1150" s="10">
        <f>IF('[1]Pizza Sales Calculations'!$G1150=TRUE, [1]Parameters!$B$17*'[1]Pizza Sales Calculations'!$L1150*2, 0)</f>
        <v>3.9525000007124618</v>
      </c>
      <c r="S1150" t="str">
        <f>IF(I1150&lt;[1]Parameters!$B$21,"TRUE","FALSE")</f>
        <v>TRUE</v>
      </c>
      <c r="T1150" s="5">
        <f>(I1150/[1]Parameters!$B$25)*60</f>
        <v>5.5821474534198803</v>
      </c>
      <c r="U1150" s="10">
        <f>IF(AND('[1]Pizza Sales Calculations'!G1150=TRUE,'[1]Pizza Sales Calculations'!S1150="TRUE"),T1150*[1]Parameters!$B$40*2,0)</f>
        <v>0.34845231452639019</v>
      </c>
      <c r="V1150">
        <f>INDEX([1]Parameters!$A$3:$C$5,MATCH('[1]Pizza Sales Calculations'!D1150,[1]Parameters!$A$3:$A$5,0),2)</f>
        <v>7</v>
      </c>
      <c r="W1150" t="e">
        <f>INDEX([1]Parameters!$A$3:$C$5,MATCH('[1]Pizza Sales Calculations'!E1150,[1]Parameters!$A$3:$A$5,0),2)</f>
        <v>#N/A</v>
      </c>
      <c r="X1150" t="e">
        <f>INDEX([1]Parameters!$A$3:$C$5,MATCH('[1]Pizza Sales Calculations'!F1150,[1]Parameters!$A$3:$A$5,0),2)</f>
        <v>#N/A</v>
      </c>
    </row>
    <row r="1151" spans="1:24" x14ac:dyDescent="0.3">
      <c r="A1151">
        <v>1150</v>
      </c>
      <c r="B1151" s="14">
        <v>42381.462789351855</v>
      </c>
      <c r="C1151" s="14">
        <v>42381.473194444443</v>
      </c>
      <c r="D1151" t="s">
        <v>5</v>
      </c>
      <c r="G1151" t="b">
        <v>0</v>
      </c>
      <c r="H1151">
        <v>70805</v>
      </c>
      <c r="I1151" s="5">
        <v>0</v>
      </c>
      <c r="J1151" s="14">
        <v>42381.475266203706</v>
      </c>
      <c r="K1151">
        <v>15.35</v>
      </c>
      <c r="L1151" s="5">
        <f>('[1]Pizza Sales Calculations'!$J1151-'[1]Pizza Sales Calculations'!$C1151)*24*60</f>
        <v>2.9833333392161876</v>
      </c>
      <c r="M1151">
        <f>COUNTA('[1]Pizza Sales Calculations'!$D1151:$F1151)</f>
        <v>1</v>
      </c>
      <c r="N1151">
        <f>IFERROR(VLOOKUP(D1151,[1]Parameters!$A$3:$C$5,3,FALSE),0)</f>
        <v>2.2999999999999998</v>
      </c>
      <c r="O1151">
        <f>IFERROR(VLOOKUP(E1151,[1]Parameters!$A$3:$C$5,3,FALSE),0)</f>
        <v>0</v>
      </c>
      <c r="P1151">
        <f>IFERROR(VLOOKUP(F1151,[1]Parameters!$A$3:$C$5,3,FALSE),0)</f>
        <v>0</v>
      </c>
      <c r="Q1151">
        <f t="shared" si="17"/>
        <v>2.2999999999999998</v>
      </c>
      <c r="R1151" s="10">
        <f>IF('[1]Pizza Sales Calculations'!$G1151=TRUE, [1]Parameters!$B$17*'[1]Pizza Sales Calculations'!$L1151*2, 0)</f>
        <v>0</v>
      </c>
      <c r="S1151" t="str">
        <f>IF(I1151&lt;[1]Parameters!$B$21,"TRUE","FALSE")</f>
        <v>TRUE</v>
      </c>
      <c r="T1151" s="5">
        <f>(I1151/[1]Parameters!$B$25)*60</f>
        <v>0</v>
      </c>
      <c r="U1151" s="10">
        <f>IF(AND('[1]Pizza Sales Calculations'!G1151=TRUE,'[1]Pizza Sales Calculations'!S1151="TRUE"),T1151*[1]Parameters!$B$40*2,0)</f>
        <v>0</v>
      </c>
      <c r="V1151">
        <f>INDEX([1]Parameters!$A$3:$C$5,MATCH('[1]Pizza Sales Calculations'!D1151,[1]Parameters!$A$3:$A$5,0),2)</f>
        <v>14</v>
      </c>
      <c r="W1151" t="e">
        <f>INDEX([1]Parameters!$A$3:$C$5,MATCH('[1]Pizza Sales Calculations'!E1151,[1]Parameters!$A$3:$A$5,0),2)</f>
        <v>#N/A</v>
      </c>
      <c r="X1151" t="e">
        <f>INDEX([1]Parameters!$A$3:$C$5,MATCH('[1]Pizza Sales Calculations'!F1151,[1]Parameters!$A$3:$A$5,0),2)</f>
        <v>#N/A</v>
      </c>
    </row>
    <row r="1152" spans="1:24" x14ac:dyDescent="0.3">
      <c r="A1152">
        <v>1151</v>
      </c>
      <c r="B1152" s="14">
        <v>42381.576423611114</v>
      </c>
      <c r="C1152" s="14">
        <v>42381.586817129632</v>
      </c>
      <c r="D1152" t="s">
        <v>3</v>
      </c>
      <c r="E1152" t="s">
        <v>4</v>
      </c>
      <c r="G1152" t="b">
        <v>0</v>
      </c>
      <c r="H1152">
        <v>70805</v>
      </c>
      <c r="I1152" s="5">
        <v>0</v>
      </c>
      <c r="J1152" s="14">
        <v>42381.588900462964</v>
      </c>
      <c r="K1152">
        <v>19.579999999999998</v>
      </c>
      <c r="L1152" s="5">
        <f>('[1]Pizza Sales Calculations'!$J1152-'[1]Pizza Sales Calculations'!$C1152)*24*60</f>
        <v>2.9999999993015081</v>
      </c>
      <c r="M1152">
        <f>COUNTA('[1]Pizza Sales Calculations'!$D1152:$F1152)</f>
        <v>2</v>
      </c>
      <c r="N1152">
        <f>IFERROR(VLOOKUP(D1152,[1]Parameters!$A$3:$C$5,3,FALSE),0)</f>
        <v>1</v>
      </c>
      <c r="O1152">
        <f>IFERROR(VLOOKUP(E1152,[1]Parameters!$A$3:$C$5,3,FALSE),0)</f>
        <v>1.7</v>
      </c>
      <c r="P1152">
        <f>IFERROR(VLOOKUP(F1152,[1]Parameters!$A$3:$C$5,3,FALSE),0)</f>
        <v>0</v>
      </c>
      <c r="Q1152">
        <f t="shared" si="17"/>
        <v>2.7</v>
      </c>
      <c r="R1152" s="10">
        <f>IF('[1]Pizza Sales Calculations'!$G1152=TRUE, [1]Parameters!$B$17*'[1]Pizza Sales Calculations'!$L1152*2, 0)</f>
        <v>0</v>
      </c>
      <c r="S1152" t="str">
        <f>IF(I1152&lt;[1]Parameters!$B$21,"TRUE","FALSE")</f>
        <v>TRUE</v>
      </c>
      <c r="T1152" s="5">
        <f>(I1152/[1]Parameters!$B$25)*60</f>
        <v>0</v>
      </c>
      <c r="U1152" s="10">
        <f>IF(AND('[1]Pizza Sales Calculations'!G1152=TRUE,'[1]Pizza Sales Calculations'!S1152="TRUE"),T1152*[1]Parameters!$B$40*2,0)</f>
        <v>0</v>
      </c>
      <c r="V1152">
        <f>INDEX([1]Parameters!$A$3:$C$5,MATCH('[1]Pizza Sales Calculations'!D1152,[1]Parameters!$A$3:$A$5,0),2)</f>
        <v>7</v>
      </c>
      <c r="W1152">
        <f>INDEX([1]Parameters!$A$3:$C$5,MATCH('[1]Pizza Sales Calculations'!E1152,[1]Parameters!$A$3:$A$5,0),2)</f>
        <v>10</v>
      </c>
      <c r="X1152" t="e">
        <f>INDEX([1]Parameters!$A$3:$C$5,MATCH('[1]Pizza Sales Calculations'!F1152,[1]Parameters!$A$3:$A$5,0),2)</f>
        <v>#N/A</v>
      </c>
    </row>
    <row r="1153" spans="1:24" x14ac:dyDescent="0.3">
      <c r="A1153">
        <v>1152</v>
      </c>
      <c r="B1153" s="14">
        <v>42381.467210648145</v>
      </c>
      <c r="C1153" s="14">
        <v>42381.477638888886</v>
      </c>
      <c r="D1153" t="s">
        <v>3</v>
      </c>
      <c r="G1153" t="b">
        <v>0</v>
      </c>
      <c r="H1153">
        <v>70804</v>
      </c>
      <c r="I1153" s="5">
        <v>0</v>
      </c>
      <c r="J1153" s="14">
        <v>42381.479710648149</v>
      </c>
      <c r="K1153">
        <v>7.99</v>
      </c>
      <c r="L1153" s="5">
        <f>('[1]Pizza Sales Calculations'!$J1153-'[1]Pizza Sales Calculations'!$C1153)*24*60</f>
        <v>2.9833333392161876</v>
      </c>
      <c r="M1153">
        <f>COUNTA('[1]Pizza Sales Calculations'!$D1153:$F1153)</f>
        <v>1</v>
      </c>
      <c r="N1153">
        <f>IFERROR(VLOOKUP(D1153,[1]Parameters!$A$3:$C$5,3,FALSE),0)</f>
        <v>1</v>
      </c>
      <c r="O1153">
        <f>IFERROR(VLOOKUP(E1153,[1]Parameters!$A$3:$C$5,3,FALSE),0)</f>
        <v>0</v>
      </c>
      <c r="P1153">
        <f>IFERROR(VLOOKUP(F1153,[1]Parameters!$A$3:$C$5,3,FALSE),0)</f>
        <v>0</v>
      </c>
      <c r="Q1153">
        <f t="shared" si="17"/>
        <v>1</v>
      </c>
      <c r="R1153" s="10">
        <f>IF('[1]Pizza Sales Calculations'!$G1153=TRUE, [1]Parameters!$B$17*'[1]Pizza Sales Calculations'!$L1153*2, 0)</f>
        <v>0</v>
      </c>
      <c r="S1153" t="str">
        <f>IF(I1153&lt;[1]Parameters!$B$21,"TRUE","FALSE")</f>
        <v>TRUE</v>
      </c>
      <c r="T1153" s="5">
        <f>(I1153/[1]Parameters!$B$25)*60</f>
        <v>0</v>
      </c>
      <c r="U1153" s="10">
        <f>IF(AND('[1]Pizza Sales Calculations'!G1153=TRUE,'[1]Pizza Sales Calculations'!S1153="TRUE"),T1153*[1]Parameters!$B$40*2,0)</f>
        <v>0</v>
      </c>
      <c r="V1153">
        <f>INDEX([1]Parameters!$A$3:$C$5,MATCH('[1]Pizza Sales Calculations'!D1153,[1]Parameters!$A$3:$A$5,0),2)</f>
        <v>7</v>
      </c>
      <c r="W1153" t="e">
        <f>INDEX([1]Parameters!$A$3:$C$5,MATCH('[1]Pizza Sales Calculations'!E1153,[1]Parameters!$A$3:$A$5,0),2)</f>
        <v>#N/A</v>
      </c>
      <c r="X1153" t="e">
        <f>INDEX([1]Parameters!$A$3:$C$5,MATCH('[1]Pizza Sales Calculations'!F1153,[1]Parameters!$A$3:$A$5,0),2)</f>
        <v>#N/A</v>
      </c>
    </row>
    <row r="1154" spans="1:24" x14ac:dyDescent="0.3">
      <c r="A1154">
        <v>1153</v>
      </c>
      <c r="B1154" s="14">
        <v>42381.531550925924</v>
      </c>
      <c r="C1154" s="14">
        <v>42381.541979166665</v>
      </c>
      <c r="D1154" t="s">
        <v>5</v>
      </c>
      <c r="G1154" t="b">
        <v>0</v>
      </c>
      <c r="H1154">
        <v>70804</v>
      </c>
      <c r="I1154" s="5">
        <v>0</v>
      </c>
      <c r="J1154" s="14">
        <v>42381.544050925928</v>
      </c>
      <c r="K1154">
        <v>15.35</v>
      </c>
      <c r="L1154" s="5">
        <f>('[1]Pizza Sales Calculations'!$J1154-'[1]Pizza Sales Calculations'!$C1154)*24*60</f>
        <v>2.9833333392161876</v>
      </c>
      <c r="M1154">
        <f>COUNTA('[1]Pizza Sales Calculations'!$D1154:$F1154)</f>
        <v>1</v>
      </c>
      <c r="N1154">
        <f>IFERROR(VLOOKUP(D1154,[1]Parameters!$A$3:$C$5,3,FALSE),0)</f>
        <v>2.2999999999999998</v>
      </c>
      <c r="O1154">
        <f>IFERROR(VLOOKUP(E1154,[1]Parameters!$A$3:$C$5,3,FALSE),0)</f>
        <v>0</v>
      </c>
      <c r="P1154">
        <f>IFERROR(VLOOKUP(F1154,[1]Parameters!$A$3:$C$5,3,FALSE),0)</f>
        <v>0</v>
      </c>
      <c r="Q1154">
        <f t="shared" si="17"/>
        <v>2.2999999999999998</v>
      </c>
      <c r="R1154" s="10">
        <f>IF('[1]Pizza Sales Calculations'!$G1154=TRUE, [1]Parameters!$B$17*'[1]Pizza Sales Calculations'!$L1154*2, 0)</f>
        <v>0</v>
      </c>
      <c r="S1154" t="str">
        <f>IF(I1154&lt;[1]Parameters!$B$21,"TRUE","FALSE")</f>
        <v>TRUE</v>
      </c>
      <c r="T1154" s="5">
        <f>(I1154/[1]Parameters!$B$25)*60</f>
        <v>0</v>
      </c>
      <c r="U1154" s="10">
        <f>IF(AND('[1]Pizza Sales Calculations'!G1154=TRUE,'[1]Pizza Sales Calculations'!S1154="TRUE"),T1154*[1]Parameters!$B$40*2,0)</f>
        <v>0</v>
      </c>
      <c r="V1154">
        <f>INDEX([1]Parameters!$A$3:$C$5,MATCH('[1]Pizza Sales Calculations'!D1154,[1]Parameters!$A$3:$A$5,0),2)</f>
        <v>14</v>
      </c>
      <c r="W1154" t="e">
        <f>INDEX([1]Parameters!$A$3:$C$5,MATCH('[1]Pizza Sales Calculations'!E1154,[1]Parameters!$A$3:$A$5,0),2)</f>
        <v>#N/A</v>
      </c>
      <c r="X1154" t="e">
        <f>INDEX([1]Parameters!$A$3:$C$5,MATCH('[1]Pizza Sales Calculations'!F1154,[1]Parameters!$A$3:$A$5,0),2)</f>
        <v>#N/A</v>
      </c>
    </row>
    <row r="1155" spans="1:24" x14ac:dyDescent="0.3">
      <c r="A1155">
        <v>1154</v>
      </c>
      <c r="B1155" s="14">
        <v>42381.536203703705</v>
      </c>
      <c r="C1155" s="14">
        <v>42381.546620370369</v>
      </c>
      <c r="D1155" t="s">
        <v>5</v>
      </c>
      <c r="G1155" t="b">
        <v>1</v>
      </c>
      <c r="H1155">
        <v>70805</v>
      </c>
      <c r="I1155" s="5">
        <v>2.86643234886348</v>
      </c>
      <c r="J1155" s="14">
        <v>42381.556562500002</v>
      </c>
      <c r="K1155">
        <v>15.35</v>
      </c>
      <c r="L1155" s="5">
        <f>('[1]Pizza Sales Calculations'!$J1155-'[1]Pizza Sales Calculations'!$C1155)*24*60</f>
        <v>14.316666671074927</v>
      </c>
      <c r="M1155">
        <f>COUNTA('[1]Pizza Sales Calculations'!$D1155:$F1155)</f>
        <v>1</v>
      </c>
      <c r="N1155">
        <f>IFERROR(VLOOKUP(D1155,[1]Parameters!$A$3:$C$5,3,FALSE),0)</f>
        <v>2.2999999999999998</v>
      </c>
      <c r="O1155">
        <f>IFERROR(VLOOKUP(E1155,[1]Parameters!$A$3:$C$5,3,FALSE),0)</f>
        <v>0</v>
      </c>
      <c r="P1155">
        <f>IFERROR(VLOOKUP(F1155,[1]Parameters!$A$3:$C$5,3,FALSE),0)</f>
        <v>0</v>
      </c>
      <c r="Q1155">
        <f t="shared" ref="Q1155:Q1218" si="18">SUM(N1155:P1155)</f>
        <v>2.2999999999999998</v>
      </c>
      <c r="R1155" s="10">
        <f>IF('[1]Pizza Sales Calculations'!$G1155=TRUE, [1]Parameters!$B$17*'[1]Pizza Sales Calculations'!$L1155*2, 0)</f>
        <v>4.0563888901378959</v>
      </c>
      <c r="S1155" t="str">
        <f>IF(I1155&lt;[1]Parameters!$B$21,"TRUE","FALSE")</f>
        <v>TRUE</v>
      </c>
      <c r="T1155" s="5">
        <f>(I1155/[1]Parameters!$B$25)*60</f>
        <v>5.7328646977269599</v>
      </c>
      <c r="U1155" s="10">
        <f>IF(AND('[1]Pizza Sales Calculations'!G1155=TRUE,'[1]Pizza Sales Calculations'!S1155="TRUE"),T1155*[1]Parameters!$B$40*2,0)</f>
        <v>0.35786048101716722</v>
      </c>
      <c r="V1155">
        <f>INDEX([1]Parameters!$A$3:$C$5,MATCH('[1]Pizza Sales Calculations'!D1155,[1]Parameters!$A$3:$A$5,0),2)</f>
        <v>14</v>
      </c>
      <c r="W1155" t="e">
        <f>INDEX([1]Parameters!$A$3:$C$5,MATCH('[1]Pizza Sales Calculations'!E1155,[1]Parameters!$A$3:$A$5,0),2)</f>
        <v>#N/A</v>
      </c>
      <c r="X1155" t="e">
        <f>INDEX([1]Parameters!$A$3:$C$5,MATCH('[1]Pizza Sales Calculations'!F1155,[1]Parameters!$A$3:$A$5,0),2)</f>
        <v>#N/A</v>
      </c>
    </row>
    <row r="1156" spans="1:24" x14ac:dyDescent="0.3">
      <c r="A1156">
        <v>1155</v>
      </c>
      <c r="B1156" s="14">
        <v>42381.547152777777</v>
      </c>
      <c r="C1156" s="14">
        <v>42381.557569444441</v>
      </c>
      <c r="D1156" t="s">
        <v>3</v>
      </c>
      <c r="E1156" t="s">
        <v>5</v>
      </c>
      <c r="G1156" t="b">
        <v>1</v>
      </c>
      <c r="H1156">
        <v>70806</v>
      </c>
      <c r="I1156" s="5">
        <v>3.9161564119549399</v>
      </c>
      <c r="J1156" s="14">
        <v>42381.571157407408</v>
      </c>
      <c r="K1156">
        <v>23.34</v>
      </c>
      <c r="L1156" s="5">
        <f>('[1]Pizza Sales Calculations'!$J1156-'[1]Pizza Sales Calculations'!$C1156)*24*60</f>
        <v>19.566666672471911</v>
      </c>
      <c r="M1156">
        <f>COUNTA('[1]Pizza Sales Calculations'!$D1156:$F1156)</f>
        <v>2</v>
      </c>
      <c r="N1156">
        <f>IFERROR(VLOOKUP(D1156,[1]Parameters!$A$3:$C$5,3,FALSE),0)</f>
        <v>1</v>
      </c>
      <c r="O1156">
        <f>IFERROR(VLOOKUP(E1156,[1]Parameters!$A$3:$C$5,3,FALSE),0)</f>
        <v>2.2999999999999998</v>
      </c>
      <c r="P1156">
        <f>IFERROR(VLOOKUP(F1156,[1]Parameters!$A$3:$C$5,3,FALSE),0)</f>
        <v>0</v>
      </c>
      <c r="Q1156">
        <f t="shared" si="18"/>
        <v>3.3</v>
      </c>
      <c r="R1156" s="10">
        <f>IF('[1]Pizza Sales Calculations'!$G1156=TRUE, [1]Parameters!$B$17*'[1]Pizza Sales Calculations'!$L1156*2, 0)</f>
        <v>5.543888890533708</v>
      </c>
      <c r="S1156" t="str">
        <f>IF(I1156&lt;[1]Parameters!$B$21,"TRUE","FALSE")</f>
        <v>FALSE</v>
      </c>
      <c r="T1156" s="5">
        <f>(I1156/[1]Parameters!$B$25)*60</f>
        <v>7.8323128239098789</v>
      </c>
      <c r="U1156" s="10">
        <f>IF(AND('[1]Pizza Sales Calculations'!G1156=TRUE,'[1]Pizza Sales Calculations'!S1156="TRUE"),T1156*[1]Parameters!$B$40*2,0)</f>
        <v>0</v>
      </c>
      <c r="V1156">
        <f>INDEX([1]Parameters!$A$3:$C$5,MATCH('[1]Pizza Sales Calculations'!D1156,[1]Parameters!$A$3:$A$5,0),2)</f>
        <v>7</v>
      </c>
      <c r="W1156">
        <f>INDEX([1]Parameters!$A$3:$C$5,MATCH('[1]Pizza Sales Calculations'!E1156,[1]Parameters!$A$3:$A$5,0),2)</f>
        <v>14</v>
      </c>
      <c r="X1156" t="e">
        <f>INDEX([1]Parameters!$A$3:$C$5,MATCH('[1]Pizza Sales Calculations'!F1156,[1]Parameters!$A$3:$A$5,0),2)</f>
        <v>#N/A</v>
      </c>
    </row>
    <row r="1157" spans="1:24" x14ac:dyDescent="0.3">
      <c r="A1157">
        <v>1156</v>
      </c>
      <c r="B1157" s="14">
        <v>42381.475428240738</v>
      </c>
      <c r="C1157" s="14">
        <v>42381.485821759263</v>
      </c>
      <c r="D1157" t="s">
        <v>5</v>
      </c>
      <c r="G1157" t="b">
        <v>0</v>
      </c>
      <c r="H1157">
        <v>70804</v>
      </c>
      <c r="I1157" s="5">
        <v>0</v>
      </c>
      <c r="J1157" s="14">
        <v>42381.487893518519</v>
      </c>
      <c r="K1157">
        <v>15.35</v>
      </c>
      <c r="L1157" s="5">
        <f>('[1]Pizza Sales Calculations'!$J1157-'[1]Pizza Sales Calculations'!$C1157)*24*60</f>
        <v>2.9833333287388086</v>
      </c>
      <c r="M1157">
        <f>COUNTA('[1]Pizza Sales Calculations'!$D1157:$F1157)</f>
        <v>1</v>
      </c>
      <c r="N1157">
        <f>IFERROR(VLOOKUP(D1157,[1]Parameters!$A$3:$C$5,3,FALSE),0)</f>
        <v>2.2999999999999998</v>
      </c>
      <c r="O1157">
        <f>IFERROR(VLOOKUP(E1157,[1]Parameters!$A$3:$C$5,3,FALSE),0)</f>
        <v>0</v>
      </c>
      <c r="P1157">
        <f>IFERROR(VLOOKUP(F1157,[1]Parameters!$A$3:$C$5,3,FALSE),0)</f>
        <v>0</v>
      </c>
      <c r="Q1157">
        <f t="shared" si="18"/>
        <v>2.2999999999999998</v>
      </c>
      <c r="R1157" s="10">
        <f>IF('[1]Pizza Sales Calculations'!$G1157=TRUE, [1]Parameters!$B$17*'[1]Pizza Sales Calculations'!$L1157*2, 0)</f>
        <v>0</v>
      </c>
      <c r="S1157" t="str">
        <f>IF(I1157&lt;[1]Parameters!$B$21,"TRUE","FALSE")</f>
        <v>TRUE</v>
      </c>
      <c r="T1157" s="5">
        <f>(I1157/[1]Parameters!$B$25)*60</f>
        <v>0</v>
      </c>
      <c r="U1157" s="10">
        <f>IF(AND('[1]Pizza Sales Calculations'!G1157=TRUE,'[1]Pizza Sales Calculations'!S1157="TRUE"),T1157*[1]Parameters!$B$40*2,0)</f>
        <v>0</v>
      </c>
      <c r="V1157">
        <f>INDEX([1]Parameters!$A$3:$C$5,MATCH('[1]Pizza Sales Calculations'!D1157,[1]Parameters!$A$3:$A$5,0),2)</f>
        <v>14</v>
      </c>
      <c r="W1157" t="e">
        <f>INDEX([1]Parameters!$A$3:$C$5,MATCH('[1]Pizza Sales Calculations'!E1157,[1]Parameters!$A$3:$A$5,0),2)</f>
        <v>#N/A</v>
      </c>
      <c r="X1157" t="e">
        <f>INDEX([1]Parameters!$A$3:$C$5,MATCH('[1]Pizza Sales Calculations'!F1157,[1]Parameters!$A$3:$A$5,0),2)</f>
        <v>#N/A</v>
      </c>
    </row>
    <row r="1158" spans="1:24" x14ac:dyDescent="0.3">
      <c r="A1158">
        <v>1157</v>
      </c>
      <c r="B1158" s="14">
        <v>42381.458877314813</v>
      </c>
      <c r="C1158" s="14">
        <v>42381.469270833331</v>
      </c>
      <c r="D1158" t="s">
        <v>4</v>
      </c>
      <c r="G1158" t="b">
        <v>0</v>
      </c>
      <c r="H1158">
        <v>70807</v>
      </c>
      <c r="I1158" s="5">
        <v>0</v>
      </c>
      <c r="J1158" s="14">
        <v>42381.471354166664</v>
      </c>
      <c r="K1158">
        <v>11.59</v>
      </c>
      <c r="L1158" s="5">
        <f>('[1]Pizza Sales Calculations'!$J1158-'[1]Pizza Sales Calculations'!$C1158)*24*60</f>
        <v>2.9999999993015081</v>
      </c>
      <c r="M1158">
        <f>COUNTA('[1]Pizza Sales Calculations'!$D1158:$F1158)</f>
        <v>1</v>
      </c>
      <c r="N1158">
        <f>IFERROR(VLOOKUP(D1158,[1]Parameters!$A$3:$C$5,3,FALSE),0)</f>
        <v>1.7</v>
      </c>
      <c r="O1158">
        <f>IFERROR(VLOOKUP(E1158,[1]Parameters!$A$3:$C$5,3,FALSE),0)</f>
        <v>0</v>
      </c>
      <c r="P1158">
        <f>IFERROR(VLOOKUP(F1158,[1]Parameters!$A$3:$C$5,3,FALSE),0)</f>
        <v>0</v>
      </c>
      <c r="Q1158">
        <f t="shared" si="18"/>
        <v>1.7</v>
      </c>
      <c r="R1158" s="10">
        <f>IF('[1]Pizza Sales Calculations'!$G1158=TRUE, [1]Parameters!$B$17*'[1]Pizza Sales Calculations'!$L1158*2, 0)</f>
        <v>0</v>
      </c>
      <c r="S1158" t="str">
        <f>IF(I1158&lt;[1]Parameters!$B$21,"TRUE","FALSE")</f>
        <v>TRUE</v>
      </c>
      <c r="T1158" s="5">
        <f>(I1158/[1]Parameters!$B$25)*60</f>
        <v>0</v>
      </c>
      <c r="U1158" s="10">
        <f>IF(AND('[1]Pizza Sales Calculations'!G1158=TRUE,'[1]Pizza Sales Calculations'!S1158="TRUE"),T1158*[1]Parameters!$B$40*2,0)</f>
        <v>0</v>
      </c>
      <c r="V1158">
        <f>INDEX([1]Parameters!$A$3:$C$5,MATCH('[1]Pizza Sales Calculations'!D1158,[1]Parameters!$A$3:$A$5,0),2)</f>
        <v>10</v>
      </c>
      <c r="W1158" t="e">
        <f>INDEX([1]Parameters!$A$3:$C$5,MATCH('[1]Pizza Sales Calculations'!E1158,[1]Parameters!$A$3:$A$5,0),2)</f>
        <v>#N/A</v>
      </c>
      <c r="X1158" t="e">
        <f>INDEX([1]Parameters!$A$3:$C$5,MATCH('[1]Pizza Sales Calculations'!F1158,[1]Parameters!$A$3:$A$5,0),2)</f>
        <v>#N/A</v>
      </c>
    </row>
    <row r="1159" spans="1:24" x14ac:dyDescent="0.3">
      <c r="A1159">
        <v>1158</v>
      </c>
      <c r="B1159" s="14">
        <v>42381.472291666665</v>
      </c>
      <c r="C1159" s="14">
        <v>42381.48269675926</v>
      </c>
      <c r="D1159" t="s">
        <v>4</v>
      </c>
      <c r="G1159" t="b">
        <v>0</v>
      </c>
      <c r="H1159">
        <v>70803</v>
      </c>
      <c r="I1159" s="5">
        <v>0</v>
      </c>
      <c r="J1159" s="14">
        <v>42381.484733796293</v>
      </c>
      <c r="K1159">
        <v>11.59</v>
      </c>
      <c r="L1159" s="5">
        <f>('[1]Pizza Sales Calculations'!$J1159-'[1]Pizza Sales Calculations'!$C1159)*24*60</f>
        <v>2.9333333275280893</v>
      </c>
      <c r="M1159">
        <f>COUNTA('[1]Pizza Sales Calculations'!$D1159:$F1159)</f>
        <v>1</v>
      </c>
      <c r="N1159">
        <f>IFERROR(VLOOKUP(D1159,[1]Parameters!$A$3:$C$5,3,FALSE),0)</f>
        <v>1.7</v>
      </c>
      <c r="O1159">
        <f>IFERROR(VLOOKUP(E1159,[1]Parameters!$A$3:$C$5,3,FALSE),0)</f>
        <v>0</v>
      </c>
      <c r="P1159">
        <f>IFERROR(VLOOKUP(F1159,[1]Parameters!$A$3:$C$5,3,FALSE),0)</f>
        <v>0</v>
      </c>
      <c r="Q1159">
        <f t="shared" si="18"/>
        <v>1.7</v>
      </c>
      <c r="R1159" s="10">
        <f>IF('[1]Pizza Sales Calculations'!$G1159=TRUE, [1]Parameters!$B$17*'[1]Pizza Sales Calculations'!$L1159*2, 0)</f>
        <v>0</v>
      </c>
      <c r="S1159" t="str">
        <f>IF(I1159&lt;[1]Parameters!$B$21,"TRUE","FALSE")</f>
        <v>TRUE</v>
      </c>
      <c r="T1159" s="5">
        <f>(I1159/[1]Parameters!$B$25)*60</f>
        <v>0</v>
      </c>
      <c r="U1159" s="10">
        <f>IF(AND('[1]Pizza Sales Calculations'!G1159=TRUE,'[1]Pizza Sales Calculations'!S1159="TRUE"),T1159*[1]Parameters!$B$40*2,0)</f>
        <v>0</v>
      </c>
      <c r="V1159">
        <f>INDEX([1]Parameters!$A$3:$C$5,MATCH('[1]Pizza Sales Calculations'!D1159,[1]Parameters!$A$3:$A$5,0),2)</f>
        <v>10</v>
      </c>
      <c r="W1159" t="e">
        <f>INDEX([1]Parameters!$A$3:$C$5,MATCH('[1]Pizza Sales Calculations'!E1159,[1]Parameters!$A$3:$A$5,0),2)</f>
        <v>#N/A</v>
      </c>
      <c r="X1159" t="e">
        <f>INDEX([1]Parameters!$A$3:$C$5,MATCH('[1]Pizza Sales Calculations'!F1159,[1]Parameters!$A$3:$A$5,0),2)</f>
        <v>#N/A</v>
      </c>
    </row>
    <row r="1160" spans="1:24" x14ac:dyDescent="0.3">
      <c r="A1160">
        <v>1159</v>
      </c>
      <c r="B1160" s="14">
        <v>42381.559571759259</v>
      </c>
      <c r="C1160" s="14">
        <v>42381.569976851853</v>
      </c>
      <c r="D1160" t="s">
        <v>4</v>
      </c>
      <c r="G1160" t="b">
        <v>1</v>
      </c>
      <c r="H1160">
        <v>70804</v>
      </c>
      <c r="I1160" s="5">
        <v>2.0142192796397</v>
      </c>
      <c r="J1160" s="14">
        <v>42381.576967592591</v>
      </c>
      <c r="K1160">
        <v>11.59</v>
      </c>
      <c r="L1160" s="5">
        <f>('[1]Pizza Sales Calculations'!$J1160-'[1]Pizza Sales Calculations'!$C1160)*24*60</f>
        <v>10.066666662460193</v>
      </c>
      <c r="M1160">
        <f>COUNTA('[1]Pizza Sales Calculations'!$D1160:$F1160)</f>
        <v>1</v>
      </c>
      <c r="N1160">
        <f>IFERROR(VLOOKUP(D1160,[1]Parameters!$A$3:$C$5,3,FALSE),0)</f>
        <v>1.7</v>
      </c>
      <c r="O1160">
        <f>IFERROR(VLOOKUP(E1160,[1]Parameters!$A$3:$C$5,3,FALSE),0)</f>
        <v>0</v>
      </c>
      <c r="P1160">
        <f>IFERROR(VLOOKUP(F1160,[1]Parameters!$A$3:$C$5,3,FALSE),0)</f>
        <v>0</v>
      </c>
      <c r="Q1160">
        <f t="shared" si="18"/>
        <v>1.7</v>
      </c>
      <c r="R1160" s="10">
        <f>IF('[1]Pizza Sales Calculations'!$G1160=TRUE, [1]Parameters!$B$17*'[1]Pizza Sales Calculations'!$L1160*2, 0)</f>
        <v>2.852222221030388</v>
      </c>
      <c r="S1160" t="str">
        <f>IF(I1160&lt;[1]Parameters!$B$21,"TRUE","FALSE")</f>
        <v>TRUE</v>
      </c>
      <c r="T1160" s="5">
        <f>(I1160/[1]Parameters!$B$25)*60</f>
        <v>4.0284385592794001</v>
      </c>
      <c r="U1160" s="10">
        <f>IF(AND('[1]Pizza Sales Calculations'!G1160=TRUE,'[1]Pizza Sales Calculations'!S1160="TRUE"),T1160*[1]Parameters!$B$40*2,0)</f>
        <v>0.25146572204005124</v>
      </c>
      <c r="V1160">
        <f>INDEX([1]Parameters!$A$3:$C$5,MATCH('[1]Pizza Sales Calculations'!D1160,[1]Parameters!$A$3:$A$5,0),2)</f>
        <v>10</v>
      </c>
      <c r="W1160" t="e">
        <f>INDEX([1]Parameters!$A$3:$C$5,MATCH('[1]Pizza Sales Calculations'!E1160,[1]Parameters!$A$3:$A$5,0),2)</f>
        <v>#N/A</v>
      </c>
      <c r="X1160" t="e">
        <f>INDEX([1]Parameters!$A$3:$C$5,MATCH('[1]Pizza Sales Calculations'!F1160,[1]Parameters!$A$3:$A$5,0),2)</f>
        <v>#N/A</v>
      </c>
    </row>
    <row r="1161" spans="1:24" x14ac:dyDescent="0.3">
      <c r="A1161">
        <v>1160</v>
      </c>
      <c r="B1161" s="14">
        <v>42382.476875</v>
      </c>
      <c r="C1161" s="14">
        <v>42382.487303240741</v>
      </c>
      <c r="D1161" t="s">
        <v>3</v>
      </c>
      <c r="G1161" t="b">
        <v>0</v>
      </c>
      <c r="H1161">
        <v>70803</v>
      </c>
      <c r="I1161" s="5">
        <v>0</v>
      </c>
      <c r="J1161" s="14">
        <v>42382.48940972222</v>
      </c>
      <c r="K1161">
        <v>7.99</v>
      </c>
      <c r="L1161" s="5">
        <f>('[1]Pizza Sales Calculations'!$J1161-'[1]Pizza Sales Calculations'!$C1161)*24*60</f>
        <v>3.033333329949528</v>
      </c>
      <c r="M1161">
        <f>COUNTA('[1]Pizza Sales Calculations'!$D1161:$F1161)</f>
        <v>1</v>
      </c>
      <c r="N1161">
        <f>IFERROR(VLOOKUP(D1161,[1]Parameters!$A$3:$C$5,3,FALSE),0)</f>
        <v>1</v>
      </c>
      <c r="O1161">
        <f>IFERROR(VLOOKUP(E1161,[1]Parameters!$A$3:$C$5,3,FALSE),0)</f>
        <v>0</v>
      </c>
      <c r="P1161">
        <f>IFERROR(VLOOKUP(F1161,[1]Parameters!$A$3:$C$5,3,FALSE),0)</f>
        <v>0</v>
      </c>
      <c r="Q1161">
        <f t="shared" si="18"/>
        <v>1</v>
      </c>
      <c r="R1161" s="10">
        <f>IF('[1]Pizza Sales Calculations'!$G1161=TRUE, [1]Parameters!$B$17*'[1]Pizza Sales Calculations'!$L1161*2, 0)</f>
        <v>0</v>
      </c>
      <c r="S1161" t="str">
        <f>IF(I1161&lt;[1]Parameters!$B$21,"TRUE","FALSE")</f>
        <v>TRUE</v>
      </c>
      <c r="T1161" s="5">
        <f>(I1161/[1]Parameters!$B$25)*60</f>
        <v>0</v>
      </c>
      <c r="U1161" s="10">
        <f>IF(AND('[1]Pizza Sales Calculations'!G1161=TRUE,'[1]Pizza Sales Calculations'!S1161="TRUE"),T1161*[1]Parameters!$B$40*2,0)</f>
        <v>0</v>
      </c>
      <c r="V1161">
        <f>INDEX([1]Parameters!$A$3:$C$5,MATCH('[1]Pizza Sales Calculations'!D1161,[1]Parameters!$A$3:$A$5,0),2)</f>
        <v>7</v>
      </c>
      <c r="W1161" t="e">
        <f>INDEX([1]Parameters!$A$3:$C$5,MATCH('[1]Pizza Sales Calculations'!E1161,[1]Parameters!$A$3:$A$5,0),2)</f>
        <v>#N/A</v>
      </c>
      <c r="X1161" t="e">
        <f>INDEX([1]Parameters!$A$3:$C$5,MATCH('[1]Pizza Sales Calculations'!F1161,[1]Parameters!$A$3:$A$5,0),2)</f>
        <v>#N/A</v>
      </c>
    </row>
    <row r="1162" spans="1:24" x14ac:dyDescent="0.3">
      <c r="A1162">
        <v>1161</v>
      </c>
      <c r="B1162" s="14">
        <v>42382.447650462964</v>
      </c>
      <c r="C1162" s="14">
        <v>42382.458055555559</v>
      </c>
      <c r="D1162" t="s">
        <v>3</v>
      </c>
      <c r="E1162" t="s">
        <v>4</v>
      </c>
      <c r="G1162" t="b">
        <v>1</v>
      </c>
      <c r="H1162">
        <v>70804</v>
      </c>
      <c r="I1162" s="5">
        <v>1.9675562975721901</v>
      </c>
      <c r="J1162" s="14">
        <v>42382.464884259258</v>
      </c>
      <c r="K1162">
        <v>19.579999999999998</v>
      </c>
      <c r="L1162" s="5">
        <f>('[1]Pizza Sales Calculations'!$J1162-'[1]Pizza Sales Calculations'!$C1162)*24*60</f>
        <v>9.8333333269692957</v>
      </c>
      <c r="M1162">
        <f>COUNTA('[1]Pizza Sales Calculations'!$D1162:$F1162)</f>
        <v>2</v>
      </c>
      <c r="N1162">
        <f>IFERROR(VLOOKUP(D1162,[1]Parameters!$A$3:$C$5,3,FALSE),0)</f>
        <v>1</v>
      </c>
      <c r="O1162">
        <f>IFERROR(VLOOKUP(E1162,[1]Parameters!$A$3:$C$5,3,FALSE),0)</f>
        <v>1.7</v>
      </c>
      <c r="P1162">
        <f>IFERROR(VLOOKUP(F1162,[1]Parameters!$A$3:$C$5,3,FALSE),0)</f>
        <v>0</v>
      </c>
      <c r="Q1162">
        <f t="shared" si="18"/>
        <v>2.7</v>
      </c>
      <c r="R1162" s="10">
        <f>IF('[1]Pizza Sales Calculations'!$G1162=TRUE, [1]Parameters!$B$17*'[1]Pizza Sales Calculations'!$L1162*2, 0)</f>
        <v>2.7861111093079671</v>
      </c>
      <c r="S1162" t="str">
        <f>IF(I1162&lt;[1]Parameters!$B$21,"TRUE","FALSE")</f>
        <v>TRUE</v>
      </c>
      <c r="T1162" s="5">
        <f>(I1162/[1]Parameters!$B$25)*60</f>
        <v>3.9351125951443802</v>
      </c>
      <c r="U1162" s="10">
        <f>IF(AND('[1]Pizza Sales Calculations'!G1162=TRUE,'[1]Pizza Sales Calculations'!S1162="TRUE"),T1162*[1]Parameters!$B$40*2,0)</f>
        <v>0.24564007008807148</v>
      </c>
      <c r="V1162">
        <f>INDEX([1]Parameters!$A$3:$C$5,MATCH('[1]Pizza Sales Calculations'!D1162,[1]Parameters!$A$3:$A$5,0),2)</f>
        <v>7</v>
      </c>
      <c r="W1162">
        <f>INDEX([1]Parameters!$A$3:$C$5,MATCH('[1]Pizza Sales Calculations'!E1162,[1]Parameters!$A$3:$A$5,0),2)</f>
        <v>10</v>
      </c>
      <c r="X1162" t="e">
        <f>INDEX([1]Parameters!$A$3:$C$5,MATCH('[1]Pizza Sales Calculations'!F1162,[1]Parameters!$A$3:$A$5,0),2)</f>
        <v>#N/A</v>
      </c>
    </row>
    <row r="1163" spans="1:24" x14ac:dyDescent="0.3">
      <c r="A1163">
        <v>1162</v>
      </c>
      <c r="B1163" s="14">
        <v>42382.510138888887</v>
      </c>
      <c r="C1163" s="14">
        <v>42382.520555555559</v>
      </c>
      <c r="D1163" t="s">
        <v>4</v>
      </c>
      <c r="G1163" t="b">
        <v>0</v>
      </c>
      <c r="H1163">
        <v>70805</v>
      </c>
      <c r="I1163" s="5">
        <v>0</v>
      </c>
      <c r="J1163" s="14">
        <v>42382.522627314815</v>
      </c>
      <c r="K1163">
        <v>11.59</v>
      </c>
      <c r="L1163" s="5">
        <f>('[1]Pizza Sales Calculations'!$J1163-'[1]Pizza Sales Calculations'!$C1163)*24*60</f>
        <v>2.9833333287388086</v>
      </c>
      <c r="M1163">
        <f>COUNTA('[1]Pizza Sales Calculations'!$D1163:$F1163)</f>
        <v>1</v>
      </c>
      <c r="N1163">
        <f>IFERROR(VLOOKUP(D1163,[1]Parameters!$A$3:$C$5,3,FALSE),0)</f>
        <v>1.7</v>
      </c>
      <c r="O1163">
        <f>IFERROR(VLOOKUP(E1163,[1]Parameters!$A$3:$C$5,3,FALSE),0)</f>
        <v>0</v>
      </c>
      <c r="P1163">
        <f>IFERROR(VLOOKUP(F1163,[1]Parameters!$A$3:$C$5,3,FALSE),0)</f>
        <v>0</v>
      </c>
      <c r="Q1163">
        <f t="shared" si="18"/>
        <v>1.7</v>
      </c>
      <c r="R1163" s="10">
        <f>IF('[1]Pizza Sales Calculations'!$G1163=TRUE, [1]Parameters!$B$17*'[1]Pizza Sales Calculations'!$L1163*2, 0)</f>
        <v>0</v>
      </c>
      <c r="S1163" t="str">
        <f>IF(I1163&lt;[1]Parameters!$B$21,"TRUE","FALSE")</f>
        <v>TRUE</v>
      </c>
      <c r="T1163" s="5">
        <f>(I1163/[1]Parameters!$B$25)*60</f>
        <v>0</v>
      </c>
      <c r="U1163" s="10">
        <f>IF(AND('[1]Pizza Sales Calculations'!G1163=TRUE,'[1]Pizza Sales Calculations'!S1163="TRUE"),T1163*[1]Parameters!$B$40*2,0)</f>
        <v>0</v>
      </c>
      <c r="V1163">
        <f>INDEX([1]Parameters!$A$3:$C$5,MATCH('[1]Pizza Sales Calculations'!D1163,[1]Parameters!$A$3:$A$5,0),2)</f>
        <v>10</v>
      </c>
      <c r="W1163" t="e">
        <f>INDEX([1]Parameters!$A$3:$C$5,MATCH('[1]Pizza Sales Calculations'!E1163,[1]Parameters!$A$3:$A$5,0),2)</f>
        <v>#N/A</v>
      </c>
      <c r="X1163" t="e">
        <f>INDEX([1]Parameters!$A$3:$C$5,MATCH('[1]Pizza Sales Calculations'!F1163,[1]Parameters!$A$3:$A$5,0),2)</f>
        <v>#N/A</v>
      </c>
    </row>
    <row r="1164" spans="1:24" x14ac:dyDescent="0.3">
      <c r="A1164">
        <v>1163</v>
      </c>
      <c r="B1164" s="14">
        <v>42382.514317129629</v>
      </c>
      <c r="C1164" s="14">
        <v>42382.524722222224</v>
      </c>
      <c r="D1164" t="s">
        <v>3</v>
      </c>
      <c r="E1164" t="s">
        <v>4</v>
      </c>
      <c r="G1164" t="b">
        <v>1</v>
      </c>
      <c r="H1164">
        <v>70804</v>
      </c>
      <c r="I1164" s="5">
        <v>2.6534439736269002</v>
      </c>
      <c r="J1164" s="14">
        <v>42382.533935185187</v>
      </c>
      <c r="K1164">
        <v>19.579999999999998</v>
      </c>
      <c r="L1164" s="5">
        <f>('[1]Pizza Sales Calculations'!$J1164-'[1]Pizza Sales Calculations'!$C1164)*24*60</f>
        <v>13.266666666604578</v>
      </c>
      <c r="M1164">
        <f>COUNTA('[1]Pizza Sales Calculations'!$D1164:$F1164)</f>
        <v>2</v>
      </c>
      <c r="N1164">
        <f>IFERROR(VLOOKUP(D1164,[1]Parameters!$A$3:$C$5,3,FALSE),0)</f>
        <v>1</v>
      </c>
      <c r="O1164">
        <f>IFERROR(VLOOKUP(E1164,[1]Parameters!$A$3:$C$5,3,FALSE),0)</f>
        <v>1.7</v>
      </c>
      <c r="P1164">
        <f>IFERROR(VLOOKUP(F1164,[1]Parameters!$A$3:$C$5,3,FALSE),0)</f>
        <v>0</v>
      </c>
      <c r="Q1164">
        <f t="shared" si="18"/>
        <v>2.7</v>
      </c>
      <c r="R1164" s="10">
        <f>IF('[1]Pizza Sales Calculations'!$G1164=TRUE, [1]Parameters!$B$17*'[1]Pizza Sales Calculations'!$L1164*2, 0)</f>
        <v>3.7588888888712972</v>
      </c>
      <c r="S1164" t="str">
        <f>IF(I1164&lt;[1]Parameters!$B$21,"TRUE","FALSE")</f>
        <v>TRUE</v>
      </c>
      <c r="T1164" s="5">
        <f>(I1164/[1]Parameters!$B$25)*60</f>
        <v>5.3068879472538004</v>
      </c>
      <c r="U1164" s="10">
        <f>IF(AND('[1]Pizza Sales Calculations'!G1164=TRUE,'[1]Pizza Sales Calculations'!S1164="TRUE"),T1164*[1]Parameters!$B$40*2,0)</f>
        <v>0.33126989273991447</v>
      </c>
      <c r="V1164">
        <f>INDEX([1]Parameters!$A$3:$C$5,MATCH('[1]Pizza Sales Calculations'!D1164,[1]Parameters!$A$3:$A$5,0),2)</f>
        <v>7</v>
      </c>
      <c r="W1164">
        <f>INDEX([1]Parameters!$A$3:$C$5,MATCH('[1]Pizza Sales Calculations'!E1164,[1]Parameters!$A$3:$A$5,0),2)</f>
        <v>10</v>
      </c>
      <c r="X1164" t="e">
        <f>INDEX([1]Parameters!$A$3:$C$5,MATCH('[1]Pizza Sales Calculations'!F1164,[1]Parameters!$A$3:$A$5,0),2)</f>
        <v>#N/A</v>
      </c>
    </row>
    <row r="1165" spans="1:24" x14ac:dyDescent="0.3">
      <c r="A1165">
        <v>1164</v>
      </c>
      <c r="B1165" s="14">
        <v>42382.426655092589</v>
      </c>
      <c r="C1165" s="14">
        <v>42382.437048611115</v>
      </c>
      <c r="D1165" t="s">
        <v>3</v>
      </c>
      <c r="E1165" t="s">
        <v>4</v>
      </c>
      <c r="G1165" t="b">
        <v>1</v>
      </c>
      <c r="H1165">
        <v>70803</v>
      </c>
      <c r="I1165" s="5">
        <v>2.9921372792493699</v>
      </c>
      <c r="J1165" s="14">
        <v>42382.447430555556</v>
      </c>
      <c r="K1165">
        <v>19.579999999999998</v>
      </c>
      <c r="L1165" s="5">
        <f>('[1]Pizza Sales Calculations'!$J1165-'[1]Pizza Sales Calculations'!$C1165)*24*60</f>
        <v>14.949999995296821</v>
      </c>
      <c r="M1165">
        <f>COUNTA('[1]Pizza Sales Calculations'!$D1165:$F1165)</f>
        <v>2</v>
      </c>
      <c r="N1165">
        <f>IFERROR(VLOOKUP(D1165,[1]Parameters!$A$3:$C$5,3,FALSE),0)</f>
        <v>1</v>
      </c>
      <c r="O1165">
        <f>IFERROR(VLOOKUP(E1165,[1]Parameters!$A$3:$C$5,3,FALSE),0)</f>
        <v>1.7</v>
      </c>
      <c r="P1165">
        <f>IFERROR(VLOOKUP(F1165,[1]Parameters!$A$3:$C$5,3,FALSE),0)</f>
        <v>0</v>
      </c>
      <c r="Q1165">
        <f t="shared" si="18"/>
        <v>2.7</v>
      </c>
      <c r="R1165" s="10">
        <f>IF('[1]Pizza Sales Calculations'!$G1165=TRUE, [1]Parameters!$B$17*'[1]Pizza Sales Calculations'!$L1165*2, 0)</f>
        <v>4.2358333320007659</v>
      </c>
      <c r="S1165" t="str">
        <f>IF(I1165&lt;[1]Parameters!$B$21,"TRUE","FALSE")</f>
        <v>TRUE</v>
      </c>
      <c r="T1165" s="5">
        <f>(I1165/[1]Parameters!$B$25)*60</f>
        <v>5.9842745584987398</v>
      </c>
      <c r="U1165" s="10">
        <f>IF(AND('[1]Pizza Sales Calculations'!G1165=TRUE,'[1]Pizza Sales Calculations'!S1165="TRUE"),T1165*[1]Parameters!$B$40*2,0)</f>
        <v>0.3735541452586974</v>
      </c>
      <c r="V1165">
        <f>INDEX([1]Parameters!$A$3:$C$5,MATCH('[1]Pizza Sales Calculations'!D1165,[1]Parameters!$A$3:$A$5,0),2)</f>
        <v>7</v>
      </c>
      <c r="W1165">
        <f>INDEX([1]Parameters!$A$3:$C$5,MATCH('[1]Pizza Sales Calculations'!E1165,[1]Parameters!$A$3:$A$5,0),2)</f>
        <v>10</v>
      </c>
      <c r="X1165" t="e">
        <f>INDEX([1]Parameters!$A$3:$C$5,MATCH('[1]Pizza Sales Calculations'!F1165,[1]Parameters!$A$3:$A$5,0),2)</f>
        <v>#N/A</v>
      </c>
    </row>
    <row r="1166" spans="1:24" x14ac:dyDescent="0.3">
      <c r="A1166">
        <v>1165</v>
      </c>
      <c r="B1166" s="14">
        <v>42382.564363425925</v>
      </c>
      <c r="C1166" s="14">
        <v>42382.57476851852</v>
      </c>
      <c r="D1166" t="s">
        <v>3</v>
      </c>
      <c r="G1166" t="b">
        <v>1</v>
      </c>
      <c r="H1166">
        <v>70808</v>
      </c>
      <c r="I1166" s="5">
        <v>3.5297198052762999</v>
      </c>
      <c r="J1166" s="14">
        <v>42382.587013888886</v>
      </c>
      <c r="K1166">
        <v>7.99</v>
      </c>
      <c r="L1166" s="5">
        <f>('[1]Pizza Sales Calculations'!$J1166-'[1]Pizza Sales Calculations'!$C1166)*24*60</f>
        <v>17.633333327248693</v>
      </c>
      <c r="M1166">
        <f>COUNTA('[1]Pizza Sales Calculations'!$D1166:$F1166)</f>
        <v>1</v>
      </c>
      <c r="N1166">
        <f>IFERROR(VLOOKUP(D1166,[1]Parameters!$A$3:$C$5,3,FALSE),0)</f>
        <v>1</v>
      </c>
      <c r="O1166">
        <f>IFERROR(VLOOKUP(E1166,[1]Parameters!$A$3:$C$5,3,FALSE),0)</f>
        <v>0</v>
      </c>
      <c r="P1166">
        <f>IFERROR(VLOOKUP(F1166,[1]Parameters!$A$3:$C$5,3,FALSE),0)</f>
        <v>0</v>
      </c>
      <c r="Q1166">
        <f t="shared" si="18"/>
        <v>1</v>
      </c>
      <c r="R1166" s="10">
        <f>IF('[1]Pizza Sales Calculations'!$G1166=TRUE, [1]Parameters!$B$17*'[1]Pizza Sales Calculations'!$L1166*2, 0)</f>
        <v>4.9961111093871295</v>
      </c>
      <c r="S1166" t="str">
        <f>IF(I1166&lt;[1]Parameters!$B$21,"TRUE","FALSE")</f>
        <v>FALSE</v>
      </c>
      <c r="T1166" s="5">
        <f>(I1166/[1]Parameters!$B$25)*60</f>
        <v>7.0594396105525998</v>
      </c>
      <c r="U1166" s="10">
        <f>IF(AND('[1]Pizza Sales Calculations'!G1166=TRUE,'[1]Pizza Sales Calculations'!S1166="TRUE"),T1166*[1]Parameters!$B$40*2,0)</f>
        <v>0</v>
      </c>
      <c r="V1166">
        <f>INDEX([1]Parameters!$A$3:$C$5,MATCH('[1]Pizza Sales Calculations'!D1166,[1]Parameters!$A$3:$A$5,0),2)</f>
        <v>7</v>
      </c>
      <c r="W1166" t="e">
        <f>INDEX([1]Parameters!$A$3:$C$5,MATCH('[1]Pizza Sales Calculations'!E1166,[1]Parameters!$A$3:$A$5,0),2)</f>
        <v>#N/A</v>
      </c>
      <c r="X1166" t="e">
        <f>INDEX([1]Parameters!$A$3:$C$5,MATCH('[1]Pizza Sales Calculations'!F1166,[1]Parameters!$A$3:$A$5,0),2)</f>
        <v>#N/A</v>
      </c>
    </row>
    <row r="1167" spans="1:24" x14ac:dyDescent="0.3">
      <c r="A1167">
        <v>1166</v>
      </c>
      <c r="B1167" s="14">
        <v>42382.497499999998</v>
      </c>
      <c r="C1167" s="14">
        <v>42382.507905092592</v>
      </c>
      <c r="D1167" t="s">
        <v>4</v>
      </c>
      <c r="G1167" t="b">
        <v>0</v>
      </c>
      <c r="H1167">
        <v>70805</v>
      </c>
      <c r="I1167" s="5">
        <v>0</v>
      </c>
      <c r="J1167" s="14">
        <v>42382.509965277779</v>
      </c>
      <c r="K1167">
        <v>11.59</v>
      </c>
      <c r="L1167" s="5">
        <f>('[1]Pizza Sales Calculations'!$J1167-'[1]Pizza Sales Calculations'!$C1167)*24*60</f>
        <v>2.9666666686534882</v>
      </c>
      <c r="M1167">
        <f>COUNTA('[1]Pizza Sales Calculations'!$D1167:$F1167)</f>
        <v>1</v>
      </c>
      <c r="N1167">
        <f>IFERROR(VLOOKUP(D1167,[1]Parameters!$A$3:$C$5,3,FALSE),0)</f>
        <v>1.7</v>
      </c>
      <c r="O1167">
        <f>IFERROR(VLOOKUP(E1167,[1]Parameters!$A$3:$C$5,3,FALSE),0)</f>
        <v>0</v>
      </c>
      <c r="P1167">
        <f>IFERROR(VLOOKUP(F1167,[1]Parameters!$A$3:$C$5,3,FALSE),0)</f>
        <v>0</v>
      </c>
      <c r="Q1167">
        <f t="shared" si="18"/>
        <v>1.7</v>
      </c>
      <c r="R1167" s="10">
        <f>IF('[1]Pizza Sales Calculations'!$G1167=TRUE, [1]Parameters!$B$17*'[1]Pizza Sales Calculations'!$L1167*2, 0)</f>
        <v>0</v>
      </c>
      <c r="S1167" t="str">
        <f>IF(I1167&lt;[1]Parameters!$B$21,"TRUE","FALSE")</f>
        <v>TRUE</v>
      </c>
      <c r="T1167" s="5">
        <f>(I1167/[1]Parameters!$B$25)*60</f>
        <v>0</v>
      </c>
      <c r="U1167" s="10">
        <f>IF(AND('[1]Pizza Sales Calculations'!G1167=TRUE,'[1]Pizza Sales Calculations'!S1167="TRUE"),T1167*[1]Parameters!$B$40*2,0)</f>
        <v>0</v>
      </c>
      <c r="V1167">
        <f>INDEX([1]Parameters!$A$3:$C$5,MATCH('[1]Pizza Sales Calculations'!D1167,[1]Parameters!$A$3:$A$5,0),2)</f>
        <v>10</v>
      </c>
      <c r="W1167" t="e">
        <f>INDEX([1]Parameters!$A$3:$C$5,MATCH('[1]Pizza Sales Calculations'!E1167,[1]Parameters!$A$3:$A$5,0),2)</f>
        <v>#N/A</v>
      </c>
      <c r="X1167" t="e">
        <f>INDEX([1]Parameters!$A$3:$C$5,MATCH('[1]Pizza Sales Calculations'!F1167,[1]Parameters!$A$3:$A$5,0),2)</f>
        <v>#N/A</v>
      </c>
    </row>
    <row r="1168" spans="1:24" x14ac:dyDescent="0.3">
      <c r="A1168">
        <v>1167</v>
      </c>
      <c r="B1168" s="14">
        <v>42382.489884259259</v>
      </c>
      <c r="C1168" s="14">
        <v>42382.500277777777</v>
      </c>
      <c r="D1168" t="s">
        <v>3</v>
      </c>
      <c r="E1168" t="s">
        <v>4</v>
      </c>
      <c r="G1168" t="b">
        <v>1</v>
      </c>
      <c r="H1168">
        <v>70805</v>
      </c>
      <c r="I1168" s="5">
        <v>3.4544310162489098</v>
      </c>
      <c r="J1168" s="14">
        <v>42382.51226851852</v>
      </c>
      <c r="K1168">
        <v>19.579999999999998</v>
      </c>
      <c r="L1168" s="5">
        <f>('[1]Pizza Sales Calculations'!$J1168-'[1]Pizza Sales Calculations'!$C1168)*24*60</f>
        <v>17.266666669165716</v>
      </c>
      <c r="M1168">
        <f>COUNTA('[1]Pizza Sales Calculations'!$D1168:$F1168)</f>
        <v>2</v>
      </c>
      <c r="N1168">
        <f>IFERROR(VLOOKUP(D1168,[1]Parameters!$A$3:$C$5,3,FALSE),0)</f>
        <v>1</v>
      </c>
      <c r="O1168">
        <f>IFERROR(VLOOKUP(E1168,[1]Parameters!$A$3:$C$5,3,FALSE),0)</f>
        <v>1.7</v>
      </c>
      <c r="P1168">
        <f>IFERROR(VLOOKUP(F1168,[1]Parameters!$A$3:$C$5,3,FALSE),0)</f>
        <v>0</v>
      </c>
      <c r="Q1168">
        <f t="shared" si="18"/>
        <v>2.7</v>
      </c>
      <c r="R1168" s="10">
        <f>IF('[1]Pizza Sales Calculations'!$G1168=TRUE, [1]Parameters!$B$17*'[1]Pizza Sales Calculations'!$L1168*2, 0)</f>
        <v>4.8922222229302861</v>
      </c>
      <c r="S1168" t="str">
        <f>IF(I1168&lt;[1]Parameters!$B$21,"TRUE","FALSE")</f>
        <v>FALSE</v>
      </c>
      <c r="T1168" s="5">
        <f>(I1168/[1]Parameters!$B$25)*60</f>
        <v>6.9088620324978196</v>
      </c>
      <c r="U1168" s="10">
        <f>IF(AND('[1]Pizza Sales Calculations'!G1168=TRUE,'[1]Pizza Sales Calculations'!S1168="TRUE"),T1168*[1]Parameters!$B$40*2,0)</f>
        <v>0</v>
      </c>
      <c r="V1168">
        <f>INDEX([1]Parameters!$A$3:$C$5,MATCH('[1]Pizza Sales Calculations'!D1168,[1]Parameters!$A$3:$A$5,0),2)</f>
        <v>7</v>
      </c>
      <c r="W1168">
        <f>INDEX([1]Parameters!$A$3:$C$5,MATCH('[1]Pizza Sales Calculations'!E1168,[1]Parameters!$A$3:$A$5,0),2)</f>
        <v>10</v>
      </c>
      <c r="X1168" t="e">
        <f>INDEX([1]Parameters!$A$3:$C$5,MATCH('[1]Pizza Sales Calculations'!F1168,[1]Parameters!$A$3:$A$5,0),2)</f>
        <v>#N/A</v>
      </c>
    </row>
    <row r="1169" spans="1:24" x14ac:dyDescent="0.3">
      <c r="A1169">
        <v>1168</v>
      </c>
      <c r="B1169" s="14">
        <v>42382.515324074076</v>
      </c>
      <c r="C1169" s="14">
        <v>42382.525752314818</v>
      </c>
      <c r="D1169" t="s">
        <v>5</v>
      </c>
      <c r="G1169" t="b">
        <v>1</v>
      </c>
      <c r="H1169">
        <v>70808</v>
      </c>
      <c r="I1169" s="5">
        <v>2.54360658327179</v>
      </c>
      <c r="J1169" s="14">
        <v>42382.534583333334</v>
      </c>
      <c r="K1169">
        <v>15.35</v>
      </c>
      <c r="L1169" s="5">
        <f>('[1]Pizza Sales Calculations'!$J1169-'[1]Pizza Sales Calculations'!$C1169)*24*60</f>
        <v>12.716666663764045</v>
      </c>
      <c r="M1169">
        <f>COUNTA('[1]Pizza Sales Calculations'!$D1169:$F1169)</f>
        <v>1</v>
      </c>
      <c r="N1169">
        <f>IFERROR(VLOOKUP(D1169,[1]Parameters!$A$3:$C$5,3,FALSE),0)</f>
        <v>2.2999999999999998</v>
      </c>
      <c r="O1169">
        <f>IFERROR(VLOOKUP(E1169,[1]Parameters!$A$3:$C$5,3,FALSE),0)</f>
        <v>0</v>
      </c>
      <c r="P1169">
        <f>IFERROR(VLOOKUP(F1169,[1]Parameters!$A$3:$C$5,3,FALSE),0)</f>
        <v>0</v>
      </c>
      <c r="Q1169">
        <f t="shared" si="18"/>
        <v>2.2999999999999998</v>
      </c>
      <c r="R1169" s="10">
        <f>IF('[1]Pizza Sales Calculations'!$G1169=TRUE, [1]Parameters!$B$17*'[1]Pizza Sales Calculations'!$L1169*2, 0)</f>
        <v>3.603055554733146</v>
      </c>
      <c r="S1169" t="str">
        <f>IF(I1169&lt;[1]Parameters!$B$21,"TRUE","FALSE")</f>
        <v>TRUE</v>
      </c>
      <c r="T1169" s="5">
        <f>(I1169/[1]Parameters!$B$25)*60</f>
        <v>5.08721316654358</v>
      </c>
      <c r="U1169" s="10">
        <f>IF(AND('[1]Pizza Sales Calculations'!G1169=TRUE,'[1]Pizza Sales Calculations'!S1169="TRUE"),T1169*[1]Parameters!$B$40*2,0)</f>
        <v>0.31755721559903066</v>
      </c>
      <c r="V1169">
        <f>INDEX([1]Parameters!$A$3:$C$5,MATCH('[1]Pizza Sales Calculations'!D1169,[1]Parameters!$A$3:$A$5,0),2)</f>
        <v>14</v>
      </c>
      <c r="W1169" t="e">
        <f>INDEX([1]Parameters!$A$3:$C$5,MATCH('[1]Pizza Sales Calculations'!E1169,[1]Parameters!$A$3:$A$5,0),2)</f>
        <v>#N/A</v>
      </c>
      <c r="X1169" t="e">
        <f>INDEX([1]Parameters!$A$3:$C$5,MATCH('[1]Pizza Sales Calculations'!F1169,[1]Parameters!$A$3:$A$5,0),2)</f>
        <v>#N/A</v>
      </c>
    </row>
    <row r="1170" spans="1:24" x14ac:dyDescent="0.3">
      <c r="A1170">
        <v>1169</v>
      </c>
      <c r="B1170" s="14">
        <v>42382.570740740739</v>
      </c>
      <c r="C1170" s="14">
        <v>42382.58116898148</v>
      </c>
      <c r="D1170" t="s">
        <v>3</v>
      </c>
      <c r="E1170" t="s">
        <v>4</v>
      </c>
      <c r="G1170" t="b">
        <v>0</v>
      </c>
      <c r="H1170">
        <v>70806</v>
      </c>
      <c r="I1170" s="5">
        <v>0</v>
      </c>
      <c r="J1170" s="14">
        <v>42382.583252314813</v>
      </c>
      <c r="K1170">
        <v>19.579999999999998</v>
      </c>
      <c r="L1170" s="5">
        <f>('[1]Pizza Sales Calculations'!$J1170-'[1]Pizza Sales Calculations'!$C1170)*24*60</f>
        <v>2.9999999993015081</v>
      </c>
      <c r="M1170">
        <f>COUNTA('[1]Pizza Sales Calculations'!$D1170:$F1170)</f>
        <v>2</v>
      </c>
      <c r="N1170">
        <f>IFERROR(VLOOKUP(D1170,[1]Parameters!$A$3:$C$5,3,FALSE),0)</f>
        <v>1</v>
      </c>
      <c r="O1170">
        <f>IFERROR(VLOOKUP(E1170,[1]Parameters!$A$3:$C$5,3,FALSE),0)</f>
        <v>1.7</v>
      </c>
      <c r="P1170">
        <f>IFERROR(VLOOKUP(F1170,[1]Parameters!$A$3:$C$5,3,FALSE),0)</f>
        <v>0</v>
      </c>
      <c r="Q1170">
        <f t="shared" si="18"/>
        <v>2.7</v>
      </c>
      <c r="R1170" s="10">
        <f>IF('[1]Pizza Sales Calculations'!$G1170=TRUE, [1]Parameters!$B$17*'[1]Pizza Sales Calculations'!$L1170*2, 0)</f>
        <v>0</v>
      </c>
      <c r="S1170" t="str">
        <f>IF(I1170&lt;[1]Parameters!$B$21,"TRUE","FALSE")</f>
        <v>TRUE</v>
      </c>
      <c r="T1170" s="5">
        <f>(I1170/[1]Parameters!$B$25)*60</f>
        <v>0</v>
      </c>
      <c r="U1170" s="10">
        <f>IF(AND('[1]Pizza Sales Calculations'!G1170=TRUE,'[1]Pizza Sales Calculations'!S1170="TRUE"),T1170*[1]Parameters!$B$40*2,0)</f>
        <v>0</v>
      </c>
      <c r="V1170">
        <f>INDEX([1]Parameters!$A$3:$C$5,MATCH('[1]Pizza Sales Calculations'!D1170,[1]Parameters!$A$3:$A$5,0),2)</f>
        <v>7</v>
      </c>
      <c r="W1170">
        <f>INDEX([1]Parameters!$A$3:$C$5,MATCH('[1]Pizza Sales Calculations'!E1170,[1]Parameters!$A$3:$A$5,0),2)</f>
        <v>10</v>
      </c>
      <c r="X1170" t="e">
        <f>INDEX([1]Parameters!$A$3:$C$5,MATCH('[1]Pizza Sales Calculations'!F1170,[1]Parameters!$A$3:$A$5,0),2)</f>
        <v>#N/A</v>
      </c>
    </row>
    <row r="1171" spans="1:24" x14ac:dyDescent="0.3">
      <c r="A1171">
        <v>1170</v>
      </c>
      <c r="B1171" s="14">
        <v>42382.466435185182</v>
      </c>
      <c r="C1171" s="14">
        <v>42382.476840277777</v>
      </c>
      <c r="D1171" t="s">
        <v>4</v>
      </c>
      <c r="G1171" t="b">
        <v>0</v>
      </c>
      <c r="H1171">
        <v>70807</v>
      </c>
      <c r="I1171" s="5">
        <v>0</v>
      </c>
      <c r="J1171" s="14">
        <v>42382.47892361111</v>
      </c>
      <c r="K1171">
        <v>11.59</v>
      </c>
      <c r="L1171" s="5">
        <f>('[1]Pizza Sales Calculations'!$J1171-'[1]Pizza Sales Calculations'!$C1171)*24*60</f>
        <v>2.9999999993015081</v>
      </c>
      <c r="M1171">
        <f>COUNTA('[1]Pizza Sales Calculations'!$D1171:$F1171)</f>
        <v>1</v>
      </c>
      <c r="N1171">
        <f>IFERROR(VLOOKUP(D1171,[1]Parameters!$A$3:$C$5,3,FALSE),0)</f>
        <v>1.7</v>
      </c>
      <c r="O1171">
        <f>IFERROR(VLOOKUP(E1171,[1]Parameters!$A$3:$C$5,3,FALSE),0)</f>
        <v>0</v>
      </c>
      <c r="P1171">
        <f>IFERROR(VLOOKUP(F1171,[1]Parameters!$A$3:$C$5,3,FALSE),0)</f>
        <v>0</v>
      </c>
      <c r="Q1171">
        <f t="shared" si="18"/>
        <v>1.7</v>
      </c>
      <c r="R1171" s="10">
        <f>IF('[1]Pizza Sales Calculations'!$G1171=TRUE, [1]Parameters!$B$17*'[1]Pizza Sales Calculations'!$L1171*2, 0)</f>
        <v>0</v>
      </c>
      <c r="S1171" t="str">
        <f>IF(I1171&lt;[1]Parameters!$B$21,"TRUE","FALSE")</f>
        <v>TRUE</v>
      </c>
      <c r="T1171" s="5">
        <f>(I1171/[1]Parameters!$B$25)*60</f>
        <v>0</v>
      </c>
      <c r="U1171" s="10">
        <f>IF(AND('[1]Pizza Sales Calculations'!G1171=TRUE,'[1]Pizza Sales Calculations'!S1171="TRUE"),T1171*[1]Parameters!$B$40*2,0)</f>
        <v>0</v>
      </c>
      <c r="V1171">
        <f>INDEX([1]Parameters!$A$3:$C$5,MATCH('[1]Pizza Sales Calculations'!D1171,[1]Parameters!$A$3:$A$5,0),2)</f>
        <v>10</v>
      </c>
      <c r="W1171" t="e">
        <f>INDEX([1]Parameters!$A$3:$C$5,MATCH('[1]Pizza Sales Calculations'!E1171,[1]Parameters!$A$3:$A$5,0),2)</f>
        <v>#N/A</v>
      </c>
      <c r="X1171" t="e">
        <f>INDEX([1]Parameters!$A$3:$C$5,MATCH('[1]Pizza Sales Calculations'!F1171,[1]Parameters!$A$3:$A$5,0),2)</f>
        <v>#N/A</v>
      </c>
    </row>
    <row r="1172" spans="1:24" x14ac:dyDescent="0.3">
      <c r="A1172">
        <v>1171</v>
      </c>
      <c r="B1172" s="14">
        <v>42382.50335648148</v>
      </c>
      <c r="C1172" s="14">
        <v>42382.513761574075</v>
      </c>
      <c r="D1172" t="s">
        <v>4</v>
      </c>
      <c r="E1172" t="s">
        <v>5</v>
      </c>
      <c r="G1172" t="b">
        <v>1</v>
      </c>
      <c r="H1172">
        <v>70806</v>
      </c>
      <c r="I1172" s="5">
        <v>2.40931406043928</v>
      </c>
      <c r="J1172" s="14">
        <v>42382.522118055553</v>
      </c>
      <c r="K1172">
        <v>25.94</v>
      </c>
      <c r="L1172" s="5">
        <f>('[1]Pizza Sales Calculations'!$J1172-'[1]Pizza Sales Calculations'!$C1172)*24*60</f>
        <v>12.033333327854052</v>
      </c>
      <c r="M1172">
        <f>COUNTA('[1]Pizza Sales Calculations'!$D1172:$F1172)</f>
        <v>2</v>
      </c>
      <c r="N1172">
        <f>IFERROR(VLOOKUP(D1172,[1]Parameters!$A$3:$C$5,3,FALSE),0)</f>
        <v>1.7</v>
      </c>
      <c r="O1172">
        <f>IFERROR(VLOOKUP(E1172,[1]Parameters!$A$3:$C$5,3,FALSE),0)</f>
        <v>2.2999999999999998</v>
      </c>
      <c r="P1172">
        <f>IFERROR(VLOOKUP(F1172,[1]Parameters!$A$3:$C$5,3,FALSE),0)</f>
        <v>0</v>
      </c>
      <c r="Q1172">
        <f t="shared" si="18"/>
        <v>4</v>
      </c>
      <c r="R1172" s="10">
        <f>IF('[1]Pizza Sales Calculations'!$G1172=TRUE, [1]Parameters!$B$17*'[1]Pizza Sales Calculations'!$L1172*2, 0)</f>
        <v>3.4094444428919815</v>
      </c>
      <c r="S1172" t="str">
        <f>IF(I1172&lt;[1]Parameters!$B$21,"TRUE","FALSE")</f>
        <v>TRUE</v>
      </c>
      <c r="T1172" s="5">
        <f>(I1172/[1]Parameters!$B$25)*60</f>
        <v>4.81862812087856</v>
      </c>
      <c r="U1172" s="10">
        <f>IF(AND('[1]Pizza Sales Calculations'!G1172=TRUE,'[1]Pizza Sales Calculations'!S1172="TRUE"),T1172*[1]Parameters!$B$40*2,0)</f>
        <v>0.30079143117823121</v>
      </c>
      <c r="V1172">
        <f>INDEX([1]Parameters!$A$3:$C$5,MATCH('[1]Pizza Sales Calculations'!D1172,[1]Parameters!$A$3:$A$5,0),2)</f>
        <v>10</v>
      </c>
      <c r="W1172">
        <f>INDEX([1]Parameters!$A$3:$C$5,MATCH('[1]Pizza Sales Calculations'!E1172,[1]Parameters!$A$3:$A$5,0),2)</f>
        <v>14</v>
      </c>
      <c r="X1172" t="e">
        <f>INDEX([1]Parameters!$A$3:$C$5,MATCH('[1]Pizza Sales Calculations'!F1172,[1]Parameters!$A$3:$A$5,0),2)</f>
        <v>#N/A</v>
      </c>
    </row>
    <row r="1173" spans="1:24" x14ac:dyDescent="0.3">
      <c r="A1173">
        <v>1172</v>
      </c>
      <c r="B1173" s="14">
        <v>42382.528680555559</v>
      </c>
      <c r="C1173" s="14">
        <v>42382.539074074077</v>
      </c>
      <c r="D1173" t="s">
        <v>3</v>
      </c>
      <c r="G1173" t="b">
        <v>1</v>
      </c>
      <c r="H1173">
        <v>70805</v>
      </c>
      <c r="I1173" s="5">
        <v>2.5940128852450801</v>
      </c>
      <c r="J1173" s="14">
        <v>42382.548078703701</v>
      </c>
      <c r="K1173">
        <v>7.99</v>
      </c>
      <c r="L1173" s="5">
        <f>('[1]Pizza Sales Calculations'!$J1173-'[1]Pizza Sales Calculations'!$C1173)*24*60</f>
        <v>12.966666659340262</v>
      </c>
      <c r="M1173">
        <f>COUNTA('[1]Pizza Sales Calculations'!$D1173:$F1173)</f>
        <v>1</v>
      </c>
      <c r="N1173">
        <f>IFERROR(VLOOKUP(D1173,[1]Parameters!$A$3:$C$5,3,FALSE),0)</f>
        <v>1</v>
      </c>
      <c r="O1173">
        <f>IFERROR(VLOOKUP(E1173,[1]Parameters!$A$3:$C$5,3,FALSE),0)</f>
        <v>0</v>
      </c>
      <c r="P1173">
        <f>IFERROR(VLOOKUP(F1173,[1]Parameters!$A$3:$C$5,3,FALSE),0)</f>
        <v>0</v>
      </c>
      <c r="Q1173">
        <f t="shared" si="18"/>
        <v>1</v>
      </c>
      <c r="R1173" s="10">
        <f>IF('[1]Pizza Sales Calculations'!$G1173=TRUE, [1]Parameters!$B$17*'[1]Pizza Sales Calculations'!$L1173*2, 0)</f>
        <v>3.6738888868130744</v>
      </c>
      <c r="S1173" t="str">
        <f>IF(I1173&lt;[1]Parameters!$B$21,"TRUE","FALSE")</f>
        <v>TRUE</v>
      </c>
      <c r="T1173" s="5">
        <f>(I1173/[1]Parameters!$B$25)*60</f>
        <v>5.1880257704901602</v>
      </c>
      <c r="U1173" s="10">
        <f>IF(AND('[1]Pizza Sales Calculations'!G1173=TRUE,'[1]Pizza Sales Calculations'!S1173="TRUE"),T1173*[1]Parameters!$B$40*2,0)</f>
        <v>0.32385020328374275</v>
      </c>
      <c r="V1173">
        <f>INDEX([1]Parameters!$A$3:$C$5,MATCH('[1]Pizza Sales Calculations'!D1173,[1]Parameters!$A$3:$A$5,0),2)</f>
        <v>7</v>
      </c>
      <c r="W1173" t="e">
        <f>INDEX([1]Parameters!$A$3:$C$5,MATCH('[1]Pizza Sales Calculations'!E1173,[1]Parameters!$A$3:$A$5,0),2)</f>
        <v>#N/A</v>
      </c>
      <c r="X1173" t="e">
        <f>INDEX([1]Parameters!$A$3:$C$5,MATCH('[1]Pizza Sales Calculations'!F1173,[1]Parameters!$A$3:$A$5,0),2)</f>
        <v>#N/A</v>
      </c>
    </row>
    <row r="1174" spans="1:24" x14ac:dyDescent="0.3">
      <c r="A1174">
        <v>1173</v>
      </c>
      <c r="B1174" s="14">
        <v>42382.543738425928</v>
      </c>
      <c r="C1174" s="14">
        <v>42382.554155092592</v>
      </c>
      <c r="D1174" t="s">
        <v>4</v>
      </c>
      <c r="G1174" t="b">
        <v>0</v>
      </c>
      <c r="H1174">
        <v>70805</v>
      </c>
      <c r="I1174" s="5">
        <v>0</v>
      </c>
      <c r="J1174" s="14">
        <v>42382.556261574071</v>
      </c>
      <c r="K1174">
        <v>11.59</v>
      </c>
      <c r="L1174" s="5">
        <f>('[1]Pizza Sales Calculations'!$J1174-'[1]Pizza Sales Calculations'!$C1174)*24*60</f>
        <v>3.033333329949528</v>
      </c>
      <c r="M1174">
        <f>COUNTA('[1]Pizza Sales Calculations'!$D1174:$F1174)</f>
        <v>1</v>
      </c>
      <c r="N1174">
        <f>IFERROR(VLOOKUP(D1174,[1]Parameters!$A$3:$C$5,3,FALSE),0)</f>
        <v>1.7</v>
      </c>
      <c r="O1174">
        <f>IFERROR(VLOOKUP(E1174,[1]Parameters!$A$3:$C$5,3,FALSE),0)</f>
        <v>0</v>
      </c>
      <c r="P1174">
        <f>IFERROR(VLOOKUP(F1174,[1]Parameters!$A$3:$C$5,3,FALSE),0)</f>
        <v>0</v>
      </c>
      <c r="Q1174">
        <f t="shared" si="18"/>
        <v>1.7</v>
      </c>
      <c r="R1174" s="10">
        <f>IF('[1]Pizza Sales Calculations'!$G1174=TRUE, [1]Parameters!$B$17*'[1]Pizza Sales Calculations'!$L1174*2, 0)</f>
        <v>0</v>
      </c>
      <c r="S1174" t="str">
        <f>IF(I1174&lt;[1]Parameters!$B$21,"TRUE","FALSE")</f>
        <v>TRUE</v>
      </c>
      <c r="T1174" s="5">
        <f>(I1174/[1]Parameters!$B$25)*60</f>
        <v>0</v>
      </c>
      <c r="U1174" s="10">
        <f>IF(AND('[1]Pizza Sales Calculations'!G1174=TRUE,'[1]Pizza Sales Calculations'!S1174="TRUE"),T1174*[1]Parameters!$B$40*2,0)</f>
        <v>0</v>
      </c>
      <c r="V1174">
        <f>INDEX([1]Parameters!$A$3:$C$5,MATCH('[1]Pizza Sales Calculations'!D1174,[1]Parameters!$A$3:$A$5,0),2)</f>
        <v>10</v>
      </c>
      <c r="W1174" t="e">
        <f>INDEX([1]Parameters!$A$3:$C$5,MATCH('[1]Pizza Sales Calculations'!E1174,[1]Parameters!$A$3:$A$5,0),2)</f>
        <v>#N/A</v>
      </c>
      <c r="X1174" t="e">
        <f>INDEX([1]Parameters!$A$3:$C$5,MATCH('[1]Pizza Sales Calculations'!F1174,[1]Parameters!$A$3:$A$5,0),2)</f>
        <v>#N/A</v>
      </c>
    </row>
    <row r="1175" spans="1:24" x14ac:dyDescent="0.3">
      <c r="A1175">
        <v>1174</v>
      </c>
      <c r="B1175" s="14">
        <v>42382.483182870368</v>
      </c>
      <c r="C1175" s="14">
        <v>42382.49359953704</v>
      </c>
      <c r="D1175" t="s">
        <v>3</v>
      </c>
      <c r="E1175" t="s">
        <v>5</v>
      </c>
      <c r="G1175" t="b">
        <v>0</v>
      </c>
      <c r="H1175">
        <v>70803</v>
      </c>
      <c r="I1175" s="5">
        <v>0</v>
      </c>
      <c r="J1175" s="14">
        <v>42382.495671296296</v>
      </c>
      <c r="K1175">
        <v>23.34</v>
      </c>
      <c r="L1175" s="5">
        <f>('[1]Pizza Sales Calculations'!$J1175-'[1]Pizza Sales Calculations'!$C1175)*24*60</f>
        <v>2.9833333287388086</v>
      </c>
      <c r="M1175">
        <f>COUNTA('[1]Pizza Sales Calculations'!$D1175:$F1175)</f>
        <v>2</v>
      </c>
      <c r="N1175">
        <f>IFERROR(VLOOKUP(D1175,[1]Parameters!$A$3:$C$5,3,FALSE),0)</f>
        <v>1</v>
      </c>
      <c r="O1175">
        <f>IFERROR(VLOOKUP(E1175,[1]Parameters!$A$3:$C$5,3,FALSE),0)</f>
        <v>2.2999999999999998</v>
      </c>
      <c r="P1175">
        <f>IFERROR(VLOOKUP(F1175,[1]Parameters!$A$3:$C$5,3,FALSE),0)</f>
        <v>0</v>
      </c>
      <c r="Q1175">
        <f t="shared" si="18"/>
        <v>3.3</v>
      </c>
      <c r="R1175" s="10">
        <f>IF('[1]Pizza Sales Calculations'!$G1175=TRUE, [1]Parameters!$B$17*'[1]Pizza Sales Calculations'!$L1175*2, 0)</f>
        <v>0</v>
      </c>
      <c r="S1175" t="str">
        <f>IF(I1175&lt;[1]Parameters!$B$21,"TRUE","FALSE")</f>
        <v>TRUE</v>
      </c>
      <c r="T1175" s="5">
        <f>(I1175/[1]Parameters!$B$25)*60</f>
        <v>0</v>
      </c>
      <c r="U1175" s="10">
        <f>IF(AND('[1]Pizza Sales Calculations'!G1175=TRUE,'[1]Pizza Sales Calculations'!S1175="TRUE"),T1175*[1]Parameters!$B$40*2,0)</f>
        <v>0</v>
      </c>
      <c r="V1175">
        <f>INDEX([1]Parameters!$A$3:$C$5,MATCH('[1]Pizza Sales Calculations'!D1175,[1]Parameters!$A$3:$A$5,0),2)</f>
        <v>7</v>
      </c>
      <c r="W1175">
        <f>INDEX([1]Parameters!$A$3:$C$5,MATCH('[1]Pizza Sales Calculations'!E1175,[1]Parameters!$A$3:$A$5,0),2)</f>
        <v>14</v>
      </c>
      <c r="X1175" t="e">
        <f>INDEX([1]Parameters!$A$3:$C$5,MATCH('[1]Pizza Sales Calculations'!F1175,[1]Parameters!$A$3:$A$5,0),2)</f>
        <v>#N/A</v>
      </c>
    </row>
    <row r="1176" spans="1:24" x14ac:dyDescent="0.3">
      <c r="A1176">
        <v>1175</v>
      </c>
      <c r="B1176" s="14">
        <v>42382.487974537034</v>
      </c>
      <c r="C1176" s="14">
        <v>42382.498368055552</v>
      </c>
      <c r="D1176" t="s">
        <v>5</v>
      </c>
      <c r="G1176" t="b">
        <v>1</v>
      </c>
      <c r="H1176">
        <v>70805</v>
      </c>
      <c r="I1176" s="5">
        <v>4.3503869114279796</v>
      </c>
      <c r="J1176" s="14">
        <v>42382.513472222221</v>
      </c>
      <c r="K1176">
        <v>15.35</v>
      </c>
      <c r="L1176" s="5">
        <f>('[1]Pizza Sales Calculations'!$J1176-'[1]Pizza Sales Calculations'!$C1176)*24*60</f>
        <v>21.750000002793968</v>
      </c>
      <c r="M1176">
        <f>COUNTA('[1]Pizza Sales Calculations'!$D1176:$F1176)</f>
        <v>1</v>
      </c>
      <c r="N1176">
        <f>IFERROR(VLOOKUP(D1176,[1]Parameters!$A$3:$C$5,3,FALSE),0)</f>
        <v>2.2999999999999998</v>
      </c>
      <c r="O1176">
        <f>IFERROR(VLOOKUP(E1176,[1]Parameters!$A$3:$C$5,3,FALSE),0)</f>
        <v>0</v>
      </c>
      <c r="P1176">
        <f>IFERROR(VLOOKUP(F1176,[1]Parameters!$A$3:$C$5,3,FALSE),0)</f>
        <v>0</v>
      </c>
      <c r="Q1176">
        <f t="shared" si="18"/>
        <v>2.2999999999999998</v>
      </c>
      <c r="R1176" s="10">
        <f>IF('[1]Pizza Sales Calculations'!$G1176=TRUE, [1]Parameters!$B$17*'[1]Pizza Sales Calculations'!$L1176*2, 0)</f>
        <v>6.1625000007916242</v>
      </c>
      <c r="S1176" t="str">
        <f>IF(I1176&lt;[1]Parameters!$B$21,"TRUE","FALSE")</f>
        <v>FALSE</v>
      </c>
      <c r="T1176" s="5">
        <f>(I1176/[1]Parameters!$B$25)*60</f>
        <v>8.7007738228559592</v>
      </c>
      <c r="U1176" s="10">
        <f>IF(AND('[1]Pizza Sales Calculations'!G1176=TRUE,'[1]Pizza Sales Calculations'!S1176="TRUE"),T1176*[1]Parameters!$B$40*2,0)</f>
        <v>0</v>
      </c>
      <c r="V1176">
        <f>INDEX([1]Parameters!$A$3:$C$5,MATCH('[1]Pizza Sales Calculations'!D1176,[1]Parameters!$A$3:$A$5,0),2)</f>
        <v>14</v>
      </c>
      <c r="W1176" t="e">
        <f>INDEX([1]Parameters!$A$3:$C$5,MATCH('[1]Pizza Sales Calculations'!E1176,[1]Parameters!$A$3:$A$5,0),2)</f>
        <v>#N/A</v>
      </c>
      <c r="X1176" t="e">
        <f>INDEX([1]Parameters!$A$3:$C$5,MATCH('[1]Pizza Sales Calculations'!F1176,[1]Parameters!$A$3:$A$5,0),2)</f>
        <v>#N/A</v>
      </c>
    </row>
    <row r="1177" spans="1:24" x14ac:dyDescent="0.3">
      <c r="A1177">
        <v>1176</v>
      </c>
      <c r="B1177" s="14">
        <v>42382.533090277779</v>
      </c>
      <c r="C1177" s="14">
        <v>42382.543495370373</v>
      </c>
      <c r="D1177" t="s">
        <v>3</v>
      </c>
      <c r="G1177" t="b">
        <v>0</v>
      </c>
      <c r="H1177">
        <v>70805</v>
      </c>
      <c r="I1177" s="5">
        <v>0</v>
      </c>
      <c r="J1177" s="14">
        <v>42382.545567129629</v>
      </c>
      <c r="K1177">
        <v>7.99</v>
      </c>
      <c r="L1177" s="5">
        <f>('[1]Pizza Sales Calculations'!$J1177-'[1]Pizza Sales Calculations'!$C1177)*24*60</f>
        <v>2.9833333287388086</v>
      </c>
      <c r="M1177">
        <f>COUNTA('[1]Pizza Sales Calculations'!$D1177:$F1177)</f>
        <v>1</v>
      </c>
      <c r="N1177">
        <f>IFERROR(VLOOKUP(D1177,[1]Parameters!$A$3:$C$5,3,FALSE),0)</f>
        <v>1</v>
      </c>
      <c r="O1177">
        <f>IFERROR(VLOOKUP(E1177,[1]Parameters!$A$3:$C$5,3,FALSE),0)</f>
        <v>0</v>
      </c>
      <c r="P1177">
        <f>IFERROR(VLOOKUP(F1177,[1]Parameters!$A$3:$C$5,3,FALSE),0)</f>
        <v>0</v>
      </c>
      <c r="Q1177">
        <f t="shared" si="18"/>
        <v>1</v>
      </c>
      <c r="R1177" s="10">
        <f>IF('[1]Pizza Sales Calculations'!$G1177=TRUE, [1]Parameters!$B$17*'[1]Pizza Sales Calculations'!$L1177*2, 0)</f>
        <v>0</v>
      </c>
      <c r="S1177" t="str">
        <f>IF(I1177&lt;[1]Parameters!$B$21,"TRUE","FALSE")</f>
        <v>TRUE</v>
      </c>
      <c r="T1177" s="5">
        <f>(I1177/[1]Parameters!$B$25)*60</f>
        <v>0</v>
      </c>
      <c r="U1177" s="10">
        <f>IF(AND('[1]Pizza Sales Calculations'!G1177=TRUE,'[1]Pizza Sales Calculations'!S1177="TRUE"),T1177*[1]Parameters!$B$40*2,0)</f>
        <v>0</v>
      </c>
      <c r="V1177">
        <f>INDEX([1]Parameters!$A$3:$C$5,MATCH('[1]Pizza Sales Calculations'!D1177,[1]Parameters!$A$3:$A$5,0),2)</f>
        <v>7</v>
      </c>
      <c r="W1177" t="e">
        <f>INDEX([1]Parameters!$A$3:$C$5,MATCH('[1]Pizza Sales Calculations'!E1177,[1]Parameters!$A$3:$A$5,0),2)</f>
        <v>#N/A</v>
      </c>
      <c r="X1177" t="e">
        <f>INDEX([1]Parameters!$A$3:$C$5,MATCH('[1]Pizza Sales Calculations'!F1177,[1]Parameters!$A$3:$A$5,0),2)</f>
        <v>#N/A</v>
      </c>
    </row>
    <row r="1178" spans="1:24" x14ac:dyDescent="0.3">
      <c r="A1178">
        <v>1177</v>
      </c>
      <c r="B1178" s="14">
        <v>42382.488449074073</v>
      </c>
      <c r="C1178" s="14">
        <v>42382.498854166668</v>
      </c>
      <c r="D1178" t="s">
        <v>3</v>
      </c>
      <c r="G1178" t="b">
        <v>0</v>
      </c>
      <c r="H1178">
        <v>70803</v>
      </c>
      <c r="I1178" s="5">
        <v>0</v>
      </c>
      <c r="J1178" s="14">
        <v>42382.500949074078</v>
      </c>
      <c r="K1178">
        <v>7.99</v>
      </c>
      <c r="L1178" s="5">
        <f>('[1]Pizza Sales Calculations'!$J1178-'[1]Pizza Sales Calculations'!$C1178)*24*60</f>
        <v>3.0166666698642075</v>
      </c>
      <c r="M1178">
        <f>COUNTA('[1]Pizza Sales Calculations'!$D1178:$F1178)</f>
        <v>1</v>
      </c>
      <c r="N1178">
        <f>IFERROR(VLOOKUP(D1178,[1]Parameters!$A$3:$C$5,3,FALSE),0)</f>
        <v>1</v>
      </c>
      <c r="O1178">
        <f>IFERROR(VLOOKUP(E1178,[1]Parameters!$A$3:$C$5,3,FALSE),0)</f>
        <v>0</v>
      </c>
      <c r="P1178">
        <f>IFERROR(VLOOKUP(F1178,[1]Parameters!$A$3:$C$5,3,FALSE),0)</f>
        <v>0</v>
      </c>
      <c r="Q1178">
        <f t="shared" si="18"/>
        <v>1</v>
      </c>
      <c r="R1178" s="10">
        <f>IF('[1]Pizza Sales Calculations'!$G1178=TRUE, [1]Parameters!$B$17*'[1]Pizza Sales Calculations'!$L1178*2, 0)</f>
        <v>0</v>
      </c>
      <c r="S1178" t="str">
        <f>IF(I1178&lt;[1]Parameters!$B$21,"TRUE","FALSE")</f>
        <v>TRUE</v>
      </c>
      <c r="T1178" s="5">
        <f>(I1178/[1]Parameters!$B$25)*60</f>
        <v>0</v>
      </c>
      <c r="U1178" s="10">
        <f>IF(AND('[1]Pizza Sales Calculations'!G1178=TRUE,'[1]Pizza Sales Calculations'!S1178="TRUE"),T1178*[1]Parameters!$B$40*2,0)</f>
        <v>0</v>
      </c>
      <c r="V1178">
        <f>INDEX([1]Parameters!$A$3:$C$5,MATCH('[1]Pizza Sales Calculations'!D1178,[1]Parameters!$A$3:$A$5,0),2)</f>
        <v>7</v>
      </c>
      <c r="W1178" t="e">
        <f>INDEX([1]Parameters!$A$3:$C$5,MATCH('[1]Pizza Sales Calculations'!E1178,[1]Parameters!$A$3:$A$5,0),2)</f>
        <v>#N/A</v>
      </c>
      <c r="X1178" t="e">
        <f>INDEX([1]Parameters!$A$3:$C$5,MATCH('[1]Pizza Sales Calculations'!F1178,[1]Parameters!$A$3:$A$5,0),2)</f>
        <v>#N/A</v>
      </c>
    </row>
    <row r="1179" spans="1:24" x14ac:dyDescent="0.3">
      <c r="A1179">
        <v>1178</v>
      </c>
      <c r="B1179" s="14">
        <v>42382.442789351851</v>
      </c>
      <c r="C1179" s="14">
        <v>42382.453182870369</v>
      </c>
      <c r="D1179" t="s">
        <v>3</v>
      </c>
      <c r="G1179" t="b">
        <v>0</v>
      </c>
      <c r="H1179">
        <v>70806</v>
      </c>
      <c r="I1179" s="5">
        <v>0</v>
      </c>
      <c r="J1179" s="14">
        <v>42382.455243055556</v>
      </c>
      <c r="K1179">
        <v>7.99</v>
      </c>
      <c r="L1179" s="5">
        <f>('[1]Pizza Sales Calculations'!$J1179-'[1]Pizza Sales Calculations'!$C1179)*24*60</f>
        <v>2.9666666686534882</v>
      </c>
      <c r="M1179">
        <f>COUNTA('[1]Pizza Sales Calculations'!$D1179:$F1179)</f>
        <v>1</v>
      </c>
      <c r="N1179">
        <f>IFERROR(VLOOKUP(D1179,[1]Parameters!$A$3:$C$5,3,FALSE),0)</f>
        <v>1</v>
      </c>
      <c r="O1179">
        <f>IFERROR(VLOOKUP(E1179,[1]Parameters!$A$3:$C$5,3,FALSE),0)</f>
        <v>0</v>
      </c>
      <c r="P1179">
        <f>IFERROR(VLOOKUP(F1179,[1]Parameters!$A$3:$C$5,3,FALSE),0)</f>
        <v>0</v>
      </c>
      <c r="Q1179">
        <f t="shared" si="18"/>
        <v>1</v>
      </c>
      <c r="R1179" s="10">
        <f>IF('[1]Pizza Sales Calculations'!$G1179=TRUE, [1]Parameters!$B$17*'[1]Pizza Sales Calculations'!$L1179*2, 0)</f>
        <v>0</v>
      </c>
      <c r="S1179" t="str">
        <f>IF(I1179&lt;[1]Parameters!$B$21,"TRUE","FALSE")</f>
        <v>TRUE</v>
      </c>
      <c r="T1179" s="5">
        <f>(I1179/[1]Parameters!$B$25)*60</f>
        <v>0</v>
      </c>
      <c r="U1179" s="10">
        <f>IF(AND('[1]Pizza Sales Calculations'!G1179=TRUE,'[1]Pizza Sales Calculations'!S1179="TRUE"),T1179*[1]Parameters!$B$40*2,0)</f>
        <v>0</v>
      </c>
      <c r="V1179">
        <f>INDEX([1]Parameters!$A$3:$C$5,MATCH('[1]Pizza Sales Calculations'!D1179,[1]Parameters!$A$3:$A$5,0),2)</f>
        <v>7</v>
      </c>
      <c r="W1179" t="e">
        <f>INDEX([1]Parameters!$A$3:$C$5,MATCH('[1]Pizza Sales Calculations'!E1179,[1]Parameters!$A$3:$A$5,0),2)</f>
        <v>#N/A</v>
      </c>
      <c r="X1179" t="e">
        <f>INDEX([1]Parameters!$A$3:$C$5,MATCH('[1]Pizza Sales Calculations'!F1179,[1]Parameters!$A$3:$A$5,0),2)</f>
        <v>#N/A</v>
      </c>
    </row>
    <row r="1180" spans="1:24" x14ac:dyDescent="0.3">
      <c r="A1180">
        <v>1179</v>
      </c>
      <c r="B1180" s="14">
        <v>42382.486666666664</v>
      </c>
      <c r="C1180" s="14">
        <v>42382.497083333335</v>
      </c>
      <c r="D1180" t="s">
        <v>5</v>
      </c>
      <c r="G1180" t="b">
        <v>1</v>
      </c>
      <c r="H1180">
        <v>70803</v>
      </c>
      <c r="I1180" s="5">
        <v>3.7309273318098599</v>
      </c>
      <c r="J1180" s="14">
        <v>42382.510034722225</v>
      </c>
      <c r="K1180">
        <v>15.35</v>
      </c>
      <c r="L1180" s="5">
        <f>('[1]Pizza Sales Calculations'!$J1180-'[1]Pizza Sales Calculations'!$C1180)*24*60</f>
        <v>18.650000001071021</v>
      </c>
      <c r="M1180">
        <f>COUNTA('[1]Pizza Sales Calculations'!$D1180:$F1180)</f>
        <v>1</v>
      </c>
      <c r="N1180">
        <f>IFERROR(VLOOKUP(D1180,[1]Parameters!$A$3:$C$5,3,FALSE),0)</f>
        <v>2.2999999999999998</v>
      </c>
      <c r="O1180">
        <f>IFERROR(VLOOKUP(E1180,[1]Parameters!$A$3:$C$5,3,FALSE),0)</f>
        <v>0</v>
      </c>
      <c r="P1180">
        <f>IFERROR(VLOOKUP(F1180,[1]Parameters!$A$3:$C$5,3,FALSE),0)</f>
        <v>0</v>
      </c>
      <c r="Q1180">
        <f t="shared" si="18"/>
        <v>2.2999999999999998</v>
      </c>
      <c r="R1180" s="10">
        <f>IF('[1]Pizza Sales Calculations'!$G1180=TRUE, [1]Parameters!$B$17*'[1]Pizza Sales Calculations'!$L1180*2, 0)</f>
        <v>5.2841666669701226</v>
      </c>
      <c r="S1180" t="str">
        <f>IF(I1180&lt;[1]Parameters!$B$21,"TRUE","FALSE")</f>
        <v>FALSE</v>
      </c>
      <c r="T1180" s="5">
        <f>(I1180/[1]Parameters!$B$25)*60</f>
        <v>7.4618546636197198</v>
      </c>
      <c r="U1180" s="10">
        <f>IF(AND('[1]Pizza Sales Calculations'!G1180=TRUE,'[1]Pizza Sales Calculations'!S1180="TRUE"),T1180*[1]Parameters!$B$40*2,0)</f>
        <v>0</v>
      </c>
      <c r="V1180">
        <f>INDEX([1]Parameters!$A$3:$C$5,MATCH('[1]Pizza Sales Calculations'!D1180,[1]Parameters!$A$3:$A$5,0),2)</f>
        <v>14</v>
      </c>
      <c r="W1180" t="e">
        <f>INDEX([1]Parameters!$A$3:$C$5,MATCH('[1]Pizza Sales Calculations'!E1180,[1]Parameters!$A$3:$A$5,0),2)</f>
        <v>#N/A</v>
      </c>
      <c r="X1180" t="e">
        <f>INDEX([1]Parameters!$A$3:$C$5,MATCH('[1]Pizza Sales Calculations'!F1180,[1]Parameters!$A$3:$A$5,0),2)</f>
        <v>#N/A</v>
      </c>
    </row>
    <row r="1181" spans="1:24" x14ac:dyDescent="0.3">
      <c r="A1181">
        <v>1180</v>
      </c>
      <c r="B1181" s="14">
        <v>42382.559548611112</v>
      </c>
      <c r="C1181" s="14">
        <v>42382.569953703707</v>
      </c>
      <c r="D1181" t="s">
        <v>4</v>
      </c>
      <c r="G1181" t="b">
        <v>0</v>
      </c>
      <c r="H1181">
        <v>70805</v>
      </c>
      <c r="I1181" s="5">
        <v>0</v>
      </c>
      <c r="J1181" s="14">
        <v>42382.57203703704</v>
      </c>
      <c r="K1181">
        <v>11.59</v>
      </c>
      <c r="L1181" s="5">
        <f>('[1]Pizza Sales Calculations'!$J1181-'[1]Pizza Sales Calculations'!$C1181)*24*60</f>
        <v>2.9999999993015081</v>
      </c>
      <c r="M1181">
        <f>COUNTA('[1]Pizza Sales Calculations'!$D1181:$F1181)</f>
        <v>1</v>
      </c>
      <c r="N1181">
        <f>IFERROR(VLOOKUP(D1181,[1]Parameters!$A$3:$C$5,3,FALSE),0)</f>
        <v>1.7</v>
      </c>
      <c r="O1181">
        <f>IFERROR(VLOOKUP(E1181,[1]Parameters!$A$3:$C$5,3,FALSE),0)</f>
        <v>0</v>
      </c>
      <c r="P1181">
        <f>IFERROR(VLOOKUP(F1181,[1]Parameters!$A$3:$C$5,3,FALSE),0)</f>
        <v>0</v>
      </c>
      <c r="Q1181">
        <f t="shared" si="18"/>
        <v>1.7</v>
      </c>
      <c r="R1181" s="10">
        <f>IF('[1]Pizza Sales Calculations'!$G1181=TRUE, [1]Parameters!$B$17*'[1]Pizza Sales Calculations'!$L1181*2, 0)</f>
        <v>0</v>
      </c>
      <c r="S1181" t="str">
        <f>IF(I1181&lt;[1]Parameters!$B$21,"TRUE","FALSE")</f>
        <v>TRUE</v>
      </c>
      <c r="T1181" s="5">
        <f>(I1181/[1]Parameters!$B$25)*60</f>
        <v>0</v>
      </c>
      <c r="U1181" s="10">
        <f>IF(AND('[1]Pizza Sales Calculations'!G1181=TRUE,'[1]Pizza Sales Calculations'!S1181="TRUE"),T1181*[1]Parameters!$B$40*2,0)</f>
        <v>0</v>
      </c>
      <c r="V1181">
        <f>INDEX([1]Parameters!$A$3:$C$5,MATCH('[1]Pizza Sales Calculations'!D1181,[1]Parameters!$A$3:$A$5,0),2)</f>
        <v>10</v>
      </c>
      <c r="W1181" t="e">
        <f>INDEX([1]Parameters!$A$3:$C$5,MATCH('[1]Pizza Sales Calculations'!E1181,[1]Parameters!$A$3:$A$5,0),2)</f>
        <v>#N/A</v>
      </c>
      <c r="X1181" t="e">
        <f>INDEX([1]Parameters!$A$3:$C$5,MATCH('[1]Pizza Sales Calculations'!F1181,[1]Parameters!$A$3:$A$5,0),2)</f>
        <v>#N/A</v>
      </c>
    </row>
    <row r="1182" spans="1:24" x14ac:dyDescent="0.3">
      <c r="A1182">
        <v>1181</v>
      </c>
      <c r="B1182" s="14">
        <v>42382.515555555554</v>
      </c>
      <c r="C1182" s="14">
        <v>42382.525972222225</v>
      </c>
      <c r="D1182" t="s">
        <v>3</v>
      </c>
      <c r="E1182" t="s">
        <v>4</v>
      </c>
      <c r="G1182" t="b">
        <v>1</v>
      </c>
      <c r="H1182">
        <v>70804</v>
      </c>
      <c r="I1182" s="5">
        <v>2.6650403580201201</v>
      </c>
      <c r="J1182" s="14">
        <v>42382.535219907404</v>
      </c>
      <c r="K1182">
        <v>19.579999999999998</v>
      </c>
      <c r="L1182" s="5">
        <f>('[1]Pizza Sales Calculations'!$J1182-'[1]Pizza Sales Calculations'!$C1182)*24*60</f>
        <v>13.316666657337919</v>
      </c>
      <c r="M1182">
        <f>COUNTA('[1]Pizza Sales Calculations'!$D1182:$F1182)</f>
        <v>2</v>
      </c>
      <c r="N1182">
        <f>IFERROR(VLOOKUP(D1182,[1]Parameters!$A$3:$C$5,3,FALSE),0)</f>
        <v>1</v>
      </c>
      <c r="O1182">
        <f>IFERROR(VLOOKUP(E1182,[1]Parameters!$A$3:$C$5,3,FALSE),0)</f>
        <v>1.7</v>
      </c>
      <c r="P1182">
        <f>IFERROR(VLOOKUP(F1182,[1]Parameters!$A$3:$C$5,3,FALSE),0)</f>
        <v>0</v>
      </c>
      <c r="Q1182">
        <f t="shared" si="18"/>
        <v>2.7</v>
      </c>
      <c r="R1182" s="10">
        <f>IF('[1]Pizza Sales Calculations'!$G1182=TRUE, [1]Parameters!$B$17*'[1]Pizza Sales Calculations'!$L1182*2, 0)</f>
        <v>3.7730555529124103</v>
      </c>
      <c r="S1182" t="str">
        <f>IF(I1182&lt;[1]Parameters!$B$21,"TRUE","FALSE")</f>
        <v>TRUE</v>
      </c>
      <c r="T1182" s="5">
        <f>(I1182/[1]Parameters!$B$25)*60</f>
        <v>5.3300807160402401</v>
      </c>
      <c r="U1182" s="10">
        <f>IF(AND('[1]Pizza Sales Calculations'!G1182=TRUE,'[1]Pizza Sales Calculations'!S1182="TRUE"),T1182*[1]Parameters!$B$40*2,0)</f>
        <v>0.33271764632065504</v>
      </c>
      <c r="V1182">
        <f>INDEX([1]Parameters!$A$3:$C$5,MATCH('[1]Pizza Sales Calculations'!D1182,[1]Parameters!$A$3:$A$5,0),2)</f>
        <v>7</v>
      </c>
      <c r="W1182">
        <f>INDEX([1]Parameters!$A$3:$C$5,MATCH('[1]Pizza Sales Calculations'!E1182,[1]Parameters!$A$3:$A$5,0),2)</f>
        <v>10</v>
      </c>
      <c r="X1182" t="e">
        <f>INDEX([1]Parameters!$A$3:$C$5,MATCH('[1]Pizza Sales Calculations'!F1182,[1]Parameters!$A$3:$A$5,0),2)</f>
        <v>#N/A</v>
      </c>
    </row>
    <row r="1183" spans="1:24" x14ac:dyDescent="0.3">
      <c r="A1183">
        <v>1182</v>
      </c>
      <c r="B1183" s="14">
        <v>42382.526967592596</v>
      </c>
      <c r="C1183" s="14">
        <v>42382.53738425926</v>
      </c>
      <c r="D1183" t="s">
        <v>4</v>
      </c>
      <c r="G1183" t="b">
        <v>0</v>
      </c>
      <c r="H1183">
        <v>70804</v>
      </c>
      <c r="I1183" s="5">
        <v>0</v>
      </c>
      <c r="J1183" s="14">
        <v>42382.539456018516</v>
      </c>
      <c r="K1183">
        <v>11.59</v>
      </c>
      <c r="L1183" s="5">
        <f>('[1]Pizza Sales Calculations'!$J1183-'[1]Pizza Sales Calculations'!$C1183)*24*60</f>
        <v>2.9833333287388086</v>
      </c>
      <c r="M1183">
        <f>COUNTA('[1]Pizza Sales Calculations'!$D1183:$F1183)</f>
        <v>1</v>
      </c>
      <c r="N1183">
        <f>IFERROR(VLOOKUP(D1183,[1]Parameters!$A$3:$C$5,3,FALSE),0)</f>
        <v>1.7</v>
      </c>
      <c r="O1183">
        <f>IFERROR(VLOOKUP(E1183,[1]Parameters!$A$3:$C$5,3,FALSE),0)</f>
        <v>0</v>
      </c>
      <c r="P1183">
        <f>IFERROR(VLOOKUP(F1183,[1]Parameters!$A$3:$C$5,3,FALSE),0)</f>
        <v>0</v>
      </c>
      <c r="Q1183">
        <f t="shared" si="18"/>
        <v>1.7</v>
      </c>
      <c r="R1183" s="10">
        <f>IF('[1]Pizza Sales Calculations'!$G1183=TRUE, [1]Parameters!$B$17*'[1]Pizza Sales Calculations'!$L1183*2, 0)</f>
        <v>0</v>
      </c>
      <c r="S1183" t="str">
        <f>IF(I1183&lt;[1]Parameters!$B$21,"TRUE","FALSE")</f>
        <v>TRUE</v>
      </c>
      <c r="T1183" s="5">
        <f>(I1183/[1]Parameters!$B$25)*60</f>
        <v>0</v>
      </c>
      <c r="U1183" s="10">
        <f>IF(AND('[1]Pizza Sales Calculations'!G1183=TRUE,'[1]Pizza Sales Calculations'!S1183="TRUE"),T1183*[1]Parameters!$B$40*2,0)</f>
        <v>0</v>
      </c>
      <c r="V1183">
        <f>INDEX([1]Parameters!$A$3:$C$5,MATCH('[1]Pizza Sales Calculations'!D1183,[1]Parameters!$A$3:$A$5,0),2)</f>
        <v>10</v>
      </c>
      <c r="W1183" t="e">
        <f>INDEX([1]Parameters!$A$3:$C$5,MATCH('[1]Pizza Sales Calculations'!E1183,[1]Parameters!$A$3:$A$5,0),2)</f>
        <v>#N/A</v>
      </c>
      <c r="X1183" t="e">
        <f>INDEX([1]Parameters!$A$3:$C$5,MATCH('[1]Pizza Sales Calculations'!F1183,[1]Parameters!$A$3:$A$5,0),2)</f>
        <v>#N/A</v>
      </c>
    </row>
    <row r="1184" spans="1:24" x14ac:dyDescent="0.3">
      <c r="A1184">
        <v>1183</v>
      </c>
      <c r="B1184" s="14">
        <v>42382.493194444447</v>
      </c>
      <c r="C1184" s="14">
        <v>42382.503622685188</v>
      </c>
      <c r="D1184" t="s">
        <v>3</v>
      </c>
      <c r="G1184" t="b">
        <v>1</v>
      </c>
      <c r="H1184">
        <v>70805</v>
      </c>
      <c r="I1184" s="5">
        <v>4.04015551092506</v>
      </c>
      <c r="J1184" s="14">
        <v>42382.517650462964</v>
      </c>
      <c r="K1184">
        <v>7.99</v>
      </c>
      <c r="L1184" s="5">
        <f>('[1]Pizza Sales Calculations'!$J1184-'[1]Pizza Sales Calculations'!$C1184)*24*60</f>
        <v>20.199999996693805</v>
      </c>
      <c r="M1184">
        <f>COUNTA('[1]Pizza Sales Calculations'!$D1184:$F1184)</f>
        <v>1</v>
      </c>
      <c r="N1184">
        <f>IFERROR(VLOOKUP(D1184,[1]Parameters!$A$3:$C$5,3,FALSE),0)</f>
        <v>1</v>
      </c>
      <c r="O1184">
        <f>IFERROR(VLOOKUP(E1184,[1]Parameters!$A$3:$C$5,3,FALSE),0)</f>
        <v>0</v>
      </c>
      <c r="P1184">
        <f>IFERROR(VLOOKUP(F1184,[1]Parameters!$A$3:$C$5,3,FALSE),0)</f>
        <v>0</v>
      </c>
      <c r="Q1184">
        <f t="shared" si="18"/>
        <v>1</v>
      </c>
      <c r="R1184" s="10">
        <f>IF('[1]Pizza Sales Calculations'!$G1184=TRUE, [1]Parameters!$B$17*'[1]Pizza Sales Calculations'!$L1184*2, 0)</f>
        <v>5.723333332396578</v>
      </c>
      <c r="S1184" t="str">
        <f>IF(I1184&lt;[1]Parameters!$B$21,"TRUE","FALSE")</f>
        <v>FALSE</v>
      </c>
      <c r="T1184" s="5">
        <f>(I1184/[1]Parameters!$B$25)*60</f>
        <v>8.08031102185012</v>
      </c>
      <c r="U1184" s="10">
        <f>IF(AND('[1]Pizza Sales Calculations'!G1184=TRUE,'[1]Pizza Sales Calculations'!S1184="TRUE"),T1184*[1]Parameters!$B$40*2,0)</f>
        <v>0</v>
      </c>
      <c r="V1184">
        <f>INDEX([1]Parameters!$A$3:$C$5,MATCH('[1]Pizza Sales Calculations'!D1184,[1]Parameters!$A$3:$A$5,0),2)</f>
        <v>7</v>
      </c>
      <c r="W1184" t="e">
        <f>INDEX([1]Parameters!$A$3:$C$5,MATCH('[1]Pizza Sales Calculations'!E1184,[1]Parameters!$A$3:$A$5,0),2)</f>
        <v>#N/A</v>
      </c>
      <c r="X1184" t="e">
        <f>INDEX([1]Parameters!$A$3:$C$5,MATCH('[1]Pizza Sales Calculations'!F1184,[1]Parameters!$A$3:$A$5,0),2)</f>
        <v>#N/A</v>
      </c>
    </row>
    <row r="1185" spans="1:24" x14ac:dyDescent="0.3">
      <c r="A1185">
        <v>1184</v>
      </c>
      <c r="B1185" s="14">
        <v>42382.518703703703</v>
      </c>
      <c r="C1185" s="14">
        <v>42382.529131944444</v>
      </c>
      <c r="D1185" t="s">
        <v>4</v>
      </c>
      <c r="G1185" t="b">
        <v>0</v>
      </c>
      <c r="H1185">
        <v>70805</v>
      </c>
      <c r="I1185" s="5">
        <v>0</v>
      </c>
      <c r="J1185" s="14">
        <v>42382.531215277777</v>
      </c>
      <c r="K1185">
        <v>11.59</v>
      </c>
      <c r="L1185" s="5">
        <f>('[1]Pizza Sales Calculations'!$J1185-'[1]Pizza Sales Calculations'!$C1185)*24*60</f>
        <v>2.9999999993015081</v>
      </c>
      <c r="M1185">
        <f>COUNTA('[1]Pizza Sales Calculations'!$D1185:$F1185)</f>
        <v>1</v>
      </c>
      <c r="N1185">
        <f>IFERROR(VLOOKUP(D1185,[1]Parameters!$A$3:$C$5,3,FALSE),0)</f>
        <v>1.7</v>
      </c>
      <c r="O1185">
        <f>IFERROR(VLOOKUP(E1185,[1]Parameters!$A$3:$C$5,3,FALSE),0)</f>
        <v>0</v>
      </c>
      <c r="P1185">
        <f>IFERROR(VLOOKUP(F1185,[1]Parameters!$A$3:$C$5,3,FALSE),0)</f>
        <v>0</v>
      </c>
      <c r="Q1185">
        <f t="shared" si="18"/>
        <v>1.7</v>
      </c>
      <c r="R1185" s="10">
        <f>IF('[1]Pizza Sales Calculations'!$G1185=TRUE, [1]Parameters!$B$17*'[1]Pizza Sales Calculations'!$L1185*2, 0)</f>
        <v>0</v>
      </c>
      <c r="S1185" t="str">
        <f>IF(I1185&lt;[1]Parameters!$B$21,"TRUE","FALSE")</f>
        <v>TRUE</v>
      </c>
      <c r="T1185" s="5">
        <f>(I1185/[1]Parameters!$B$25)*60</f>
        <v>0</v>
      </c>
      <c r="U1185" s="10">
        <f>IF(AND('[1]Pizza Sales Calculations'!G1185=TRUE,'[1]Pizza Sales Calculations'!S1185="TRUE"),T1185*[1]Parameters!$B$40*2,0)</f>
        <v>0</v>
      </c>
      <c r="V1185">
        <f>INDEX([1]Parameters!$A$3:$C$5,MATCH('[1]Pizza Sales Calculations'!D1185,[1]Parameters!$A$3:$A$5,0),2)</f>
        <v>10</v>
      </c>
      <c r="W1185" t="e">
        <f>INDEX([1]Parameters!$A$3:$C$5,MATCH('[1]Pizza Sales Calculations'!E1185,[1]Parameters!$A$3:$A$5,0),2)</f>
        <v>#N/A</v>
      </c>
      <c r="X1185" t="e">
        <f>INDEX([1]Parameters!$A$3:$C$5,MATCH('[1]Pizza Sales Calculations'!F1185,[1]Parameters!$A$3:$A$5,0),2)</f>
        <v>#N/A</v>
      </c>
    </row>
    <row r="1186" spans="1:24" x14ac:dyDescent="0.3">
      <c r="A1186">
        <v>1185</v>
      </c>
      <c r="B1186" s="14">
        <v>42382.517083333332</v>
      </c>
      <c r="C1186" s="14">
        <v>42382.527511574073</v>
      </c>
      <c r="D1186" t="s">
        <v>3</v>
      </c>
      <c r="E1186" t="s">
        <v>5</v>
      </c>
      <c r="G1186" t="b">
        <v>1</v>
      </c>
      <c r="H1186">
        <v>70804</v>
      </c>
      <c r="I1186" s="5">
        <v>2.8084128216128899</v>
      </c>
      <c r="J1186" s="14">
        <v>42382.537256944444</v>
      </c>
      <c r="K1186">
        <v>23.34</v>
      </c>
      <c r="L1186" s="5">
        <f>('[1]Pizza Sales Calculations'!$J1186-'[1]Pizza Sales Calculations'!$C1186)*24*60</f>
        <v>14.03333333437331</v>
      </c>
      <c r="M1186">
        <f>COUNTA('[1]Pizza Sales Calculations'!$D1186:$F1186)</f>
        <v>2</v>
      </c>
      <c r="N1186">
        <f>IFERROR(VLOOKUP(D1186,[1]Parameters!$A$3:$C$5,3,FALSE),0)</f>
        <v>1</v>
      </c>
      <c r="O1186">
        <f>IFERROR(VLOOKUP(E1186,[1]Parameters!$A$3:$C$5,3,FALSE),0)</f>
        <v>2.2999999999999998</v>
      </c>
      <c r="P1186">
        <f>IFERROR(VLOOKUP(F1186,[1]Parameters!$A$3:$C$5,3,FALSE),0)</f>
        <v>0</v>
      </c>
      <c r="Q1186">
        <f t="shared" si="18"/>
        <v>3.3</v>
      </c>
      <c r="R1186" s="10">
        <f>IF('[1]Pizza Sales Calculations'!$G1186=TRUE, [1]Parameters!$B$17*'[1]Pizza Sales Calculations'!$L1186*2, 0)</f>
        <v>3.9761111114057712</v>
      </c>
      <c r="S1186" t="str">
        <f>IF(I1186&lt;[1]Parameters!$B$21,"TRUE","FALSE")</f>
        <v>TRUE</v>
      </c>
      <c r="T1186" s="5">
        <f>(I1186/[1]Parameters!$B$25)*60</f>
        <v>5.6168256432257797</v>
      </c>
      <c r="U1186" s="10">
        <f>IF(AND('[1]Pizza Sales Calculations'!G1186=TRUE,'[1]Pizza Sales Calculations'!S1186="TRUE"),T1186*[1]Parameters!$B$40*2,0)</f>
        <v>0.35061701827208719</v>
      </c>
      <c r="V1186">
        <f>INDEX([1]Parameters!$A$3:$C$5,MATCH('[1]Pizza Sales Calculations'!D1186,[1]Parameters!$A$3:$A$5,0),2)</f>
        <v>7</v>
      </c>
      <c r="W1186">
        <f>INDEX([1]Parameters!$A$3:$C$5,MATCH('[1]Pizza Sales Calculations'!E1186,[1]Parameters!$A$3:$A$5,0),2)</f>
        <v>14</v>
      </c>
      <c r="X1186" t="e">
        <f>INDEX([1]Parameters!$A$3:$C$5,MATCH('[1]Pizza Sales Calculations'!F1186,[1]Parameters!$A$3:$A$5,0),2)</f>
        <v>#N/A</v>
      </c>
    </row>
    <row r="1187" spans="1:24" x14ac:dyDescent="0.3">
      <c r="A1187">
        <v>1186</v>
      </c>
      <c r="B1187" s="14">
        <v>42382.469733796293</v>
      </c>
      <c r="C1187" s="14">
        <v>42382.480138888888</v>
      </c>
      <c r="D1187" t="s">
        <v>3</v>
      </c>
      <c r="E1187" t="s">
        <v>4</v>
      </c>
      <c r="G1187" t="b">
        <v>1</v>
      </c>
      <c r="H1187">
        <v>70804</v>
      </c>
      <c r="I1187" s="5">
        <v>1.86948525715975</v>
      </c>
      <c r="J1187" s="14">
        <v>42382.486620370371</v>
      </c>
      <c r="K1187">
        <v>19.579999999999998</v>
      </c>
      <c r="L1187" s="5">
        <f>('[1]Pizza Sales Calculations'!$J1187-'[1]Pizza Sales Calculations'!$C1187)*24*60</f>
        <v>9.3333333358168602</v>
      </c>
      <c r="M1187">
        <f>COUNTA('[1]Pizza Sales Calculations'!$D1187:$F1187)</f>
        <v>2</v>
      </c>
      <c r="N1187">
        <f>IFERROR(VLOOKUP(D1187,[1]Parameters!$A$3:$C$5,3,FALSE),0)</f>
        <v>1</v>
      </c>
      <c r="O1187">
        <f>IFERROR(VLOOKUP(E1187,[1]Parameters!$A$3:$C$5,3,FALSE),0)</f>
        <v>1.7</v>
      </c>
      <c r="P1187">
        <f>IFERROR(VLOOKUP(F1187,[1]Parameters!$A$3:$C$5,3,FALSE),0)</f>
        <v>0</v>
      </c>
      <c r="Q1187">
        <f t="shared" si="18"/>
        <v>2.7</v>
      </c>
      <c r="R1187" s="10">
        <f>IF('[1]Pizza Sales Calculations'!$G1187=TRUE, [1]Parameters!$B$17*'[1]Pizza Sales Calculations'!$L1187*2, 0)</f>
        <v>2.6444444451481104</v>
      </c>
      <c r="S1187" t="str">
        <f>IF(I1187&lt;[1]Parameters!$B$21,"TRUE","FALSE")</f>
        <v>TRUE</v>
      </c>
      <c r="T1187" s="5">
        <f>(I1187/[1]Parameters!$B$25)*60</f>
        <v>3.7389705143195</v>
      </c>
      <c r="U1187" s="10">
        <f>IF(AND('[1]Pizza Sales Calculations'!G1187=TRUE,'[1]Pizza Sales Calculations'!S1187="TRUE"),T1187*[1]Parameters!$B$40*2,0)</f>
        <v>0.23339636592049709</v>
      </c>
      <c r="V1187">
        <f>INDEX([1]Parameters!$A$3:$C$5,MATCH('[1]Pizza Sales Calculations'!D1187,[1]Parameters!$A$3:$A$5,0),2)</f>
        <v>7</v>
      </c>
      <c r="W1187">
        <f>INDEX([1]Parameters!$A$3:$C$5,MATCH('[1]Pizza Sales Calculations'!E1187,[1]Parameters!$A$3:$A$5,0),2)</f>
        <v>10</v>
      </c>
      <c r="X1187" t="e">
        <f>INDEX([1]Parameters!$A$3:$C$5,MATCH('[1]Pizza Sales Calculations'!F1187,[1]Parameters!$A$3:$A$5,0),2)</f>
        <v>#N/A</v>
      </c>
    </row>
    <row r="1188" spans="1:24" x14ac:dyDescent="0.3">
      <c r="A1188">
        <v>1187</v>
      </c>
      <c r="B1188" s="14">
        <v>42382.513124999998</v>
      </c>
      <c r="C1188" s="14">
        <v>42382.523541666669</v>
      </c>
      <c r="D1188" t="s">
        <v>3</v>
      </c>
      <c r="E1188" t="s">
        <v>5</v>
      </c>
      <c r="G1188" t="b">
        <v>0</v>
      </c>
      <c r="H1188">
        <v>70803</v>
      </c>
      <c r="I1188" s="5">
        <v>0</v>
      </c>
      <c r="J1188" s="14">
        <v>42382.525625000002</v>
      </c>
      <c r="K1188">
        <v>23.34</v>
      </c>
      <c r="L1188" s="5">
        <f>('[1]Pizza Sales Calculations'!$J1188-'[1]Pizza Sales Calculations'!$C1188)*24*60</f>
        <v>2.9999999993015081</v>
      </c>
      <c r="M1188">
        <f>COUNTA('[1]Pizza Sales Calculations'!$D1188:$F1188)</f>
        <v>2</v>
      </c>
      <c r="N1188">
        <f>IFERROR(VLOOKUP(D1188,[1]Parameters!$A$3:$C$5,3,FALSE),0)</f>
        <v>1</v>
      </c>
      <c r="O1188">
        <f>IFERROR(VLOOKUP(E1188,[1]Parameters!$A$3:$C$5,3,FALSE),0)</f>
        <v>2.2999999999999998</v>
      </c>
      <c r="P1188">
        <f>IFERROR(VLOOKUP(F1188,[1]Parameters!$A$3:$C$5,3,FALSE),0)</f>
        <v>0</v>
      </c>
      <c r="Q1188">
        <f t="shared" si="18"/>
        <v>3.3</v>
      </c>
      <c r="R1188" s="10">
        <f>IF('[1]Pizza Sales Calculations'!$G1188=TRUE, [1]Parameters!$B$17*'[1]Pizza Sales Calculations'!$L1188*2, 0)</f>
        <v>0</v>
      </c>
      <c r="S1188" t="str">
        <f>IF(I1188&lt;[1]Parameters!$B$21,"TRUE","FALSE")</f>
        <v>TRUE</v>
      </c>
      <c r="T1188" s="5">
        <f>(I1188/[1]Parameters!$B$25)*60</f>
        <v>0</v>
      </c>
      <c r="U1188" s="10">
        <f>IF(AND('[1]Pizza Sales Calculations'!G1188=TRUE,'[1]Pizza Sales Calculations'!S1188="TRUE"),T1188*[1]Parameters!$B$40*2,0)</f>
        <v>0</v>
      </c>
      <c r="V1188">
        <f>INDEX([1]Parameters!$A$3:$C$5,MATCH('[1]Pizza Sales Calculations'!D1188,[1]Parameters!$A$3:$A$5,0),2)</f>
        <v>7</v>
      </c>
      <c r="W1188">
        <f>INDEX([1]Parameters!$A$3:$C$5,MATCH('[1]Pizza Sales Calculations'!E1188,[1]Parameters!$A$3:$A$5,0),2)</f>
        <v>14</v>
      </c>
      <c r="X1188" t="e">
        <f>INDEX([1]Parameters!$A$3:$C$5,MATCH('[1]Pizza Sales Calculations'!F1188,[1]Parameters!$A$3:$A$5,0),2)</f>
        <v>#N/A</v>
      </c>
    </row>
    <row r="1189" spans="1:24" x14ac:dyDescent="0.3">
      <c r="A1189">
        <v>1188</v>
      </c>
      <c r="B1189" s="14">
        <v>42382.527129629627</v>
      </c>
      <c r="C1189" s="14">
        <v>42382.537569444445</v>
      </c>
      <c r="D1189" t="s">
        <v>4</v>
      </c>
      <c r="G1189" t="b">
        <v>0</v>
      </c>
      <c r="H1189">
        <v>70805</v>
      </c>
      <c r="I1189" s="5">
        <v>0</v>
      </c>
      <c r="J1189" s="14">
        <v>42382.539652777778</v>
      </c>
      <c r="K1189">
        <v>11.59</v>
      </c>
      <c r="L1189" s="5">
        <f>('[1]Pizza Sales Calculations'!$J1189-'[1]Pizza Sales Calculations'!$C1189)*24*60</f>
        <v>2.9999999993015081</v>
      </c>
      <c r="M1189">
        <f>COUNTA('[1]Pizza Sales Calculations'!$D1189:$F1189)</f>
        <v>1</v>
      </c>
      <c r="N1189">
        <f>IFERROR(VLOOKUP(D1189,[1]Parameters!$A$3:$C$5,3,FALSE),0)</f>
        <v>1.7</v>
      </c>
      <c r="O1189">
        <f>IFERROR(VLOOKUP(E1189,[1]Parameters!$A$3:$C$5,3,FALSE),0)</f>
        <v>0</v>
      </c>
      <c r="P1189">
        <f>IFERROR(VLOOKUP(F1189,[1]Parameters!$A$3:$C$5,3,FALSE),0)</f>
        <v>0</v>
      </c>
      <c r="Q1189">
        <f t="shared" si="18"/>
        <v>1.7</v>
      </c>
      <c r="R1189" s="10">
        <f>IF('[1]Pizza Sales Calculations'!$G1189=TRUE, [1]Parameters!$B$17*'[1]Pizza Sales Calculations'!$L1189*2, 0)</f>
        <v>0</v>
      </c>
      <c r="S1189" t="str">
        <f>IF(I1189&lt;[1]Parameters!$B$21,"TRUE","FALSE")</f>
        <v>TRUE</v>
      </c>
      <c r="T1189" s="5">
        <f>(I1189/[1]Parameters!$B$25)*60</f>
        <v>0</v>
      </c>
      <c r="U1189" s="10">
        <f>IF(AND('[1]Pizza Sales Calculations'!G1189=TRUE,'[1]Pizza Sales Calculations'!S1189="TRUE"),T1189*[1]Parameters!$B$40*2,0)</f>
        <v>0</v>
      </c>
      <c r="V1189">
        <f>INDEX([1]Parameters!$A$3:$C$5,MATCH('[1]Pizza Sales Calculations'!D1189,[1]Parameters!$A$3:$A$5,0),2)</f>
        <v>10</v>
      </c>
      <c r="W1189" t="e">
        <f>INDEX([1]Parameters!$A$3:$C$5,MATCH('[1]Pizza Sales Calculations'!E1189,[1]Parameters!$A$3:$A$5,0),2)</f>
        <v>#N/A</v>
      </c>
      <c r="X1189" t="e">
        <f>INDEX([1]Parameters!$A$3:$C$5,MATCH('[1]Pizza Sales Calculations'!F1189,[1]Parameters!$A$3:$A$5,0),2)</f>
        <v>#N/A</v>
      </c>
    </row>
    <row r="1190" spans="1:24" x14ac:dyDescent="0.3">
      <c r="A1190">
        <v>1189</v>
      </c>
      <c r="B1190" s="14">
        <v>42382.477430555555</v>
      </c>
      <c r="C1190" s="14">
        <v>42382.487847222219</v>
      </c>
      <c r="D1190" t="s">
        <v>5</v>
      </c>
      <c r="G1190" t="b">
        <v>0</v>
      </c>
      <c r="H1190">
        <v>70805</v>
      </c>
      <c r="I1190" s="5">
        <v>0</v>
      </c>
      <c r="J1190" s="14">
        <v>42382.489918981482</v>
      </c>
      <c r="K1190">
        <v>15.35</v>
      </c>
      <c r="L1190" s="5">
        <f>('[1]Pizza Sales Calculations'!$J1190-'[1]Pizza Sales Calculations'!$C1190)*24*60</f>
        <v>2.9833333392161876</v>
      </c>
      <c r="M1190">
        <f>COUNTA('[1]Pizza Sales Calculations'!$D1190:$F1190)</f>
        <v>1</v>
      </c>
      <c r="N1190">
        <f>IFERROR(VLOOKUP(D1190,[1]Parameters!$A$3:$C$5,3,FALSE),0)</f>
        <v>2.2999999999999998</v>
      </c>
      <c r="O1190">
        <f>IFERROR(VLOOKUP(E1190,[1]Parameters!$A$3:$C$5,3,FALSE),0)</f>
        <v>0</v>
      </c>
      <c r="P1190">
        <f>IFERROR(VLOOKUP(F1190,[1]Parameters!$A$3:$C$5,3,FALSE),0)</f>
        <v>0</v>
      </c>
      <c r="Q1190">
        <f t="shared" si="18"/>
        <v>2.2999999999999998</v>
      </c>
      <c r="R1190" s="10">
        <f>IF('[1]Pizza Sales Calculations'!$G1190=TRUE, [1]Parameters!$B$17*'[1]Pizza Sales Calculations'!$L1190*2, 0)</f>
        <v>0</v>
      </c>
      <c r="S1190" t="str">
        <f>IF(I1190&lt;[1]Parameters!$B$21,"TRUE","FALSE")</f>
        <v>TRUE</v>
      </c>
      <c r="T1190" s="5">
        <f>(I1190/[1]Parameters!$B$25)*60</f>
        <v>0</v>
      </c>
      <c r="U1190" s="10">
        <f>IF(AND('[1]Pizza Sales Calculations'!G1190=TRUE,'[1]Pizza Sales Calculations'!S1190="TRUE"),T1190*[1]Parameters!$B$40*2,0)</f>
        <v>0</v>
      </c>
      <c r="V1190">
        <f>INDEX([1]Parameters!$A$3:$C$5,MATCH('[1]Pizza Sales Calculations'!D1190,[1]Parameters!$A$3:$A$5,0),2)</f>
        <v>14</v>
      </c>
      <c r="W1190" t="e">
        <f>INDEX([1]Parameters!$A$3:$C$5,MATCH('[1]Pizza Sales Calculations'!E1190,[1]Parameters!$A$3:$A$5,0),2)</f>
        <v>#N/A</v>
      </c>
      <c r="X1190" t="e">
        <f>INDEX([1]Parameters!$A$3:$C$5,MATCH('[1]Pizza Sales Calculations'!F1190,[1]Parameters!$A$3:$A$5,0),2)</f>
        <v>#N/A</v>
      </c>
    </row>
    <row r="1191" spans="1:24" x14ac:dyDescent="0.3">
      <c r="A1191">
        <v>1190</v>
      </c>
      <c r="B1191" s="14">
        <v>42382.610925925925</v>
      </c>
      <c r="C1191" s="14">
        <v>42382.621331018519</v>
      </c>
      <c r="D1191" t="s">
        <v>4</v>
      </c>
      <c r="G1191" t="b">
        <v>1</v>
      </c>
      <c r="H1191">
        <v>70807</v>
      </c>
      <c r="I1191" s="5">
        <v>1.3617271658500301</v>
      </c>
      <c r="J1191" s="14">
        <v>42382.62605324074</v>
      </c>
      <c r="K1191">
        <v>11.59</v>
      </c>
      <c r="L1191" s="5">
        <f>('[1]Pizza Sales Calculations'!$J1191-'[1]Pizza Sales Calculations'!$C1191)*24*60</f>
        <v>6.7999999970197678</v>
      </c>
      <c r="M1191">
        <f>COUNTA('[1]Pizza Sales Calculations'!$D1191:$F1191)</f>
        <v>1</v>
      </c>
      <c r="N1191">
        <f>IFERROR(VLOOKUP(D1191,[1]Parameters!$A$3:$C$5,3,FALSE),0)</f>
        <v>1.7</v>
      </c>
      <c r="O1191">
        <f>IFERROR(VLOOKUP(E1191,[1]Parameters!$A$3:$C$5,3,FALSE),0)</f>
        <v>0</v>
      </c>
      <c r="P1191">
        <f>IFERROR(VLOOKUP(F1191,[1]Parameters!$A$3:$C$5,3,FALSE),0)</f>
        <v>0</v>
      </c>
      <c r="Q1191">
        <f t="shared" si="18"/>
        <v>1.7</v>
      </c>
      <c r="R1191" s="10">
        <f>IF('[1]Pizza Sales Calculations'!$G1191=TRUE, [1]Parameters!$B$17*'[1]Pizza Sales Calculations'!$L1191*2, 0)</f>
        <v>1.9266666658222675</v>
      </c>
      <c r="S1191" t="str">
        <f>IF(I1191&lt;[1]Parameters!$B$21,"TRUE","FALSE")</f>
        <v>TRUE</v>
      </c>
      <c r="T1191" s="5">
        <f>(I1191/[1]Parameters!$B$25)*60</f>
        <v>2.7234543317000601</v>
      </c>
      <c r="U1191" s="10">
        <f>IF(AND('[1]Pizza Sales Calculations'!G1191=TRUE,'[1]Pizza Sales Calculations'!S1191="TRUE"),T1191*[1]Parameters!$B$40*2,0)</f>
        <v>0.17000517691563519</v>
      </c>
      <c r="V1191">
        <f>INDEX([1]Parameters!$A$3:$C$5,MATCH('[1]Pizza Sales Calculations'!D1191,[1]Parameters!$A$3:$A$5,0),2)</f>
        <v>10</v>
      </c>
      <c r="W1191" t="e">
        <f>INDEX([1]Parameters!$A$3:$C$5,MATCH('[1]Pizza Sales Calculations'!E1191,[1]Parameters!$A$3:$A$5,0),2)</f>
        <v>#N/A</v>
      </c>
      <c r="X1191" t="e">
        <f>INDEX([1]Parameters!$A$3:$C$5,MATCH('[1]Pizza Sales Calculations'!F1191,[1]Parameters!$A$3:$A$5,0),2)</f>
        <v>#N/A</v>
      </c>
    </row>
    <row r="1192" spans="1:24" x14ac:dyDescent="0.3">
      <c r="A1192">
        <v>1191</v>
      </c>
      <c r="B1192" s="14">
        <v>42382.493333333332</v>
      </c>
      <c r="C1192" s="14">
        <v>42382.503750000003</v>
      </c>
      <c r="D1192" t="s">
        <v>4</v>
      </c>
      <c r="G1192" t="b">
        <v>0</v>
      </c>
      <c r="H1192">
        <v>70805</v>
      </c>
      <c r="I1192" s="5">
        <v>0</v>
      </c>
      <c r="J1192" s="14">
        <v>42382.50582175926</v>
      </c>
      <c r="K1192">
        <v>11.59</v>
      </c>
      <c r="L1192" s="5">
        <f>('[1]Pizza Sales Calculations'!$J1192-'[1]Pizza Sales Calculations'!$C1192)*24*60</f>
        <v>2.9833333287388086</v>
      </c>
      <c r="M1192">
        <f>COUNTA('[1]Pizza Sales Calculations'!$D1192:$F1192)</f>
        <v>1</v>
      </c>
      <c r="N1192">
        <f>IFERROR(VLOOKUP(D1192,[1]Parameters!$A$3:$C$5,3,FALSE),0)</f>
        <v>1.7</v>
      </c>
      <c r="O1192">
        <f>IFERROR(VLOOKUP(E1192,[1]Parameters!$A$3:$C$5,3,FALSE),0)</f>
        <v>0</v>
      </c>
      <c r="P1192">
        <f>IFERROR(VLOOKUP(F1192,[1]Parameters!$A$3:$C$5,3,FALSE),0)</f>
        <v>0</v>
      </c>
      <c r="Q1192">
        <f t="shared" si="18"/>
        <v>1.7</v>
      </c>
      <c r="R1192" s="10">
        <f>IF('[1]Pizza Sales Calculations'!$G1192=TRUE, [1]Parameters!$B$17*'[1]Pizza Sales Calculations'!$L1192*2, 0)</f>
        <v>0</v>
      </c>
      <c r="S1192" t="str">
        <f>IF(I1192&lt;[1]Parameters!$B$21,"TRUE","FALSE")</f>
        <v>TRUE</v>
      </c>
      <c r="T1192" s="5">
        <f>(I1192/[1]Parameters!$B$25)*60</f>
        <v>0</v>
      </c>
      <c r="U1192" s="10">
        <f>IF(AND('[1]Pizza Sales Calculations'!G1192=TRUE,'[1]Pizza Sales Calculations'!S1192="TRUE"),T1192*[1]Parameters!$B$40*2,0)</f>
        <v>0</v>
      </c>
      <c r="V1192">
        <f>INDEX([1]Parameters!$A$3:$C$5,MATCH('[1]Pizza Sales Calculations'!D1192,[1]Parameters!$A$3:$A$5,0),2)</f>
        <v>10</v>
      </c>
      <c r="W1192" t="e">
        <f>INDEX([1]Parameters!$A$3:$C$5,MATCH('[1]Pizza Sales Calculations'!E1192,[1]Parameters!$A$3:$A$5,0),2)</f>
        <v>#N/A</v>
      </c>
      <c r="X1192" t="e">
        <f>INDEX([1]Parameters!$A$3:$C$5,MATCH('[1]Pizza Sales Calculations'!F1192,[1]Parameters!$A$3:$A$5,0),2)</f>
        <v>#N/A</v>
      </c>
    </row>
    <row r="1193" spans="1:24" x14ac:dyDescent="0.3">
      <c r="A1193">
        <v>1192</v>
      </c>
      <c r="B1193" s="14">
        <v>42382.473657407405</v>
      </c>
      <c r="C1193" s="14">
        <v>42382.4840625</v>
      </c>
      <c r="D1193" t="s">
        <v>3</v>
      </c>
      <c r="E1193" t="s">
        <v>4</v>
      </c>
      <c r="G1193" t="b">
        <v>0</v>
      </c>
      <c r="H1193">
        <v>70804</v>
      </c>
      <c r="I1193" s="5">
        <v>0</v>
      </c>
      <c r="J1193" s="14">
        <v>42382.486122685186</v>
      </c>
      <c r="K1193">
        <v>19.579999999999998</v>
      </c>
      <c r="L1193" s="5">
        <f>('[1]Pizza Sales Calculations'!$J1193-'[1]Pizza Sales Calculations'!$C1193)*24*60</f>
        <v>2.9666666686534882</v>
      </c>
      <c r="M1193">
        <f>COUNTA('[1]Pizza Sales Calculations'!$D1193:$F1193)</f>
        <v>2</v>
      </c>
      <c r="N1193">
        <f>IFERROR(VLOOKUP(D1193,[1]Parameters!$A$3:$C$5,3,FALSE),0)</f>
        <v>1</v>
      </c>
      <c r="O1193">
        <f>IFERROR(VLOOKUP(E1193,[1]Parameters!$A$3:$C$5,3,FALSE),0)</f>
        <v>1.7</v>
      </c>
      <c r="P1193">
        <f>IFERROR(VLOOKUP(F1193,[1]Parameters!$A$3:$C$5,3,FALSE),0)</f>
        <v>0</v>
      </c>
      <c r="Q1193">
        <f t="shared" si="18"/>
        <v>2.7</v>
      </c>
      <c r="R1193" s="10">
        <f>IF('[1]Pizza Sales Calculations'!$G1193=TRUE, [1]Parameters!$B$17*'[1]Pizza Sales Calculations'!$L1193*2, 0)</f>
        <v>0</v>
      </c>
      <c r="S1193" t="str">
        <f>IF(I1193&lt;[1]Parameters!$B$21,"TRUE","FALSE")</f>
        <v>TRUE</v>
      </c>
      <c r="T1193" s="5">
        <f>(I1193/[1]Parameters!$B$25)*60</f>
        <v>0</v>
      </c>
      <c r="U1193" s="10">
        <f>IF(AND('[1]Pizza Sales Calculations'!G1193=TRUE,'[1]Pizza Sales Calculations'!S1193="TRUE"),T1193*[1]Parameters!$B$40*2,0)</f>
        <v>0</v>
      </c>
      <c r="V1193">
        <f>INDEX([1]Parameters!$A$3:$C$5,MATCH('[1]Pizza Sales Calculations'!D1193,[1]Parameters!$A$3:$A$5,0),2)</f>
        <v>7</v>
      </c>
      <c r="W1193">
        <f>INDEX([1]Parameters!$A$3:$C$5,MATCH('[1]Pizza Sales Calculations'!E1193,[1]Parameters!$A$3:$A$5,0),2)</f>
        <v>10</v>
      </c>
      <c r="X1193" t="e">
        <f>INDEX([1]Parameters!$A$3:$C$5,MATCH('[1]Pizza Sales Calculations'!F1193,[1]Parameters!$A$3:$A$5,0),2)</f>
        <v>#N/A</v>
      </c>
    </row>
    <row r="1194" spans="1:24" x14ac:dyDescent="0.3">
      <c r="A1194">
        <v>1193</v>
      </c>
      <c r="B1194" s="14">
        <v>42382.476099537038</v>
      </c>
      <c r="C1194" s="14">
        <v>42382.486504629633</v>
      </c>
      <c r="D1194" t="s">
        <v>3</v>
      </c>
      <c r="E1194" t="s">
        <v>4</v>
      </c>
      <c r="G1194" t="b">
        <v>0</v>
      </c>
      <c r="H1194">
        <v>70805</v>
      </c>
      <c r="I1194" s="5">
        <v>0</v>
      </c>
      <c r="J1194" s="14">
        <v>42382.488587962966</v>
      </c>
      <c r="K1194">
        <v>19.579999999999998</v>
      </c>
      <c r="L1194" s="5">
        <f>('[1]Pizza Sales Calculations'!$J1194-'[1]Pizza Sales Calculations'!$C1194)*24*60</f>
        <v>2.9999999993015081</v>
      </c>
      <c r="M1194">
        <f>COUNTA('[1]Pizza Sales Calculations'!$D1194:$F1194)</f>
        <v>2</v>
      </c>
      <c r="N1194">
        <f>IFERROR(VLOOKUP(D1194,[1]Parameters!$A$3:$C$5,3,FALSE),0)</f>
        <v>1</v>
      </c>
      <c r="O1194">
        <f>IFERROR(VLOOKUP(E1194,[1]Parameters!$A$3:$C$5,3,FALSE),0)</f>
        <v>1.7</v>
      </c>
      <c r="P1194">
        <f>IFERROR(VLOOKUP(F1194,[1]Parameters!$A$3:$C$5,3,FALSE),0)</f>
        <v>0</v>
      </c>
      <c r="Q1194">
        <f t="shared" si="18"/>
        <v>2.7</v>
      </c>
      <c r="R1194" s="10">
        <f>IF('[1]Pizza Sales Calculations'!$G1194=TRUE, [1]Parameters!$B$17*'[1]Pizza Sales Calculations'!$L1194*2, 0)</f>
        <v>0</v>
      </c>
      <c r="S1194" t="str">
        <f>IF(I1194&lt;[1]Parameters!$B$21,"TRUE","FALSE")</f>
        <v>TRUE</v>
      </c>
      <c r="T1194" s="5">
        <f>(I1194/[1]Parameters!$B$25)*60</f>
        <v>0</v>
      </c>
      <c r="U1194" s="10">
        <f>IF(AND('[1]Pizza Sales Calculations'!G1194=TRUE,'[1]Pizza Sales Calculations'!S1194="TRUE"),T1194*[1]Parameters!$B$40*2,0)</f>
        <v>0</v>
      </c>
      <c r="V1194">
        <f>INDEX([1]Parameters!$A$3:$C$5,MATCH('[1]Pizza Sales Calculations'!D1194,[1]Parameters!$A$3:$A$5,0),2)</f>
        <v>7</v>
      </c>
      <c r="W1194">
        <f>INDEX([1]Parameters!$A$3:$C$5,MATCH('[1]Pizza Sales Calculations'!E1194,[1]Parameters!$A$3:$A$5,0),2)</f>
        <v>10</v>
      </c>
      <c r="X1194" t="e">
        <f>INDEX([1]Parameters!$A$3:$C$5,MATCH('[1]Pizza Sales Calculations'!F1194,[1]Parameters!$A$3:$A$5,0),2)</f>
        <v>#N/A</v>
      </c>
    </row>
    <row r="1195" spans="1:24" x14ac:dyDescent="0.3">
      <c r="A1195">
        <v>1194</v>
      </c>
      <c r="B1195" s="14">
        <v>42382.465949074074</v>
      </c>
      <c r="C1195" s="14">
        <v>42382.476377314815</v>
      </c>
      <c r="D1195" t="s">
        <v>4</v>
      </c>
      <c r="G1195" t="b">
        <v>0</v>
      </c>
      <c r="H1195">
        <v>70806</v>
      </c>
      <c r="I1195" s="5">
        <v>0</v>
      </c>
      <c r="J1195" s="14">
        <v>42382.478460648148</v>
      </c>
      <c r="K1195">
        <v>11.59</v>
      </c>
      <c r="L1195" s="5">
        <f>('[1]Pizza Sales Calculations'!$J1195-'[1]Pizza Sales Calculations'!$C1195)*24*60</f>
        <v>2.9999999993015081</v>
      </c>
      <c r="M1195">
        <f>COUNTA('[1]Pizza Sales Calculations'!$D1195:$F1195)</f>
        <v>1</v>
      </c>
      <c r="N1195">
        <f>IFERROR(VLOOKUP(D1195,[1]Parameters!$A$3:$C$5,3,FALSE),0)</f>
        <v>1.7</v>
      </c>
      <c r="O1195">
        <f>IFERROR(VLOOKUP(E1195,[1]Parameters!$A$3:$C$5,3,FALSE),0)</f>
        <v>0</v>
      </c>
      <c r="P1195">
        <f>IFERROR(VLOOKUP(F1195,[1]Parameters!$A$3:$C$5,3,FALSE),0)</f>
        <v>0</v>
      </c>
      <c r="Q1195">
        <f t="shared" si="18"/>
        <v>1.7</v>
      </c>
      <c r="R1195" s="10">
        <f>IF('[1]Pizza Sales Calculations'!$G1195=TRUE, [1]Parameters!$B$17*'[1]Pizza Sales Calculations'!$L1195*2, 0)</f>
        <v>0</v>
      </c>
      <c r="S1195" t="str">
        <f>IF(I1195&lt;[1]Parameters!$B$21,"TRUE","FALSE")</f>
        <v>TRUE</v>
      </c>
      <c r="T1195" s="5">
        <f>(I1195/[1]Parameters!$B$25)*60</f>
        <v>0</v>
      </c>
      <c r="U1195" s="10">
        <f>IF(AND('[1]Pizza Sales Calculations'!G1195=TRUE,'[1]Pizza Sales Calculations'!S1195="TRUE"),T1195*[1]Parameters!$B$40*2,0)</f>
        <v>0</v>
      </c>
      <c r="V1195">
        <f>INDEX([1]Parameters!$A$3:$C$5,MATCH('[1]Pizza Sales Calculations'!D1195,[1]Parameters!$A$3:$A$5,0),2)</f>
        <v>10</v>
      </c>
      <c r="W1195" t="e">
        <f>INDEX([1]Parameters!$A$3:$C$5,MATCH('[1]Pizza Sales Calculations'!E1195,[1]Parameters!$A$3:$A$5,0),2)</f>
        <v>#N/A</v>
      </c>
      <c r="X1195" t="e">
        <f>INDEX([1]Parameters!$A$3:$C$5,MATCH('[1]Pizza Sales Calculations'!F1195,[1]Parameters!$A$3:$A$5,0),2)</f>
        <v>#N/A</v>
      </c>
    </row>
    <row r="1196" spans="1:24" x14ac:dyDescent="0.3">
      <c r="A1196">
        <v>1195</v>
      </c>
      <c r="B1196" s="14">
        <v>42382.580972222226</v>
      </c>
      <c r="C1196" s="14">
        <v>42382.59138888889</v>
      </c>
      <c r="D1196" t="s">
        <v>4</v>
      </c>
      <c r="G1196" t="b">
        <v>1</v>
      </c>
      <c r="H1196">
        <v>70806</v>
      </c>
      <c r="I1196" s="5">
        <v>1.6582241970827001</v>
      </c>
      <c r="J1196" s="14">
        <v>42382.597141203703</v>
      </c>
      <c r="K1196">
        <v>11.59</v>
      </c>
      <c r="L1196" s="5">
        <f>('[1]Pizza Sales Calculations'!$J1196-'[1]Pizza Sales Calculations'!$C1196)*24*60</f>
        <v>8.2833333313465118</v>
      </c>
      <c r="M1196">
        <f>COUNTA('[1]Pizza Sales Calculations'!$D1196:$F1196)</f>
        <v>1</v>
      </c>
      <c r="N1196">
        <f>IFERROR(VLOOKUP(D1196,[1]Parameters!$A$3:$C$5,3,FALSE),0)</f>
        <v>1.7</v>
      </c>
      <c r="O1196">
        <f>IFERROR(VLOOKUP(E1196,[1]Parameters!$A$3:$C$5,3,FALSE),0)</f>
        <v>0</v>
      </c>
      <c r="P1196">
        <f>IFERROR(VLOOKUP(F1196,[1]Parameters!$A$3:$C$5,3,FALSE),0)</f>
        <v>0</v>
      </c>
      <c r="Q1196">
        <f t="shared" si="18"/>
        <v>1.7</v>
      </c>
      <c r="R1196" s="10">
        <f>IF('[1]Pizza Sales Calculations'!$G1196=TRUE, [1]Parameters!$B$17*'[1]Pizza Sales Calculations'!$L1196*2, 0)</f>
        <v>2.3469444438815117</v>
      </c>
      <c r="S1196" t="str">
        <f>IF(I1196&lt;[1]Parameters!$B$21,"TRUE","FALSE")</f>
        <v>TRUE</v>
      </c>
      <c r="T1196" s="5">
        <f>(I1196/[1]Parameters!$B$25)*60</f>
        <v>3.3164483941654002</v>
      </c>
      <c r="U1196" s="10">
        <f>IF(AND('[1]Pizza Sales Calculations'!G1196=TRUE,'[1]Pizza Sales Calculations'!S1196="TRUE"),T1196*[1]Parameters!$B$40*2,0)</f>
        <v>0.20702142474690008</v>
      </c>
      <c r="V1196">
        <f>INDEX([1]Parameters!$A$3:$C$5,MATCH('[1]Pizza Sales Calculations'!D1196,[1]Parameters!$A$3:$A$5,0),2)</f>
        <v>10</v>
      </c>
      <c r="W1196" t="e">
        <f>INDEX([1]Parameters!$A$3:$C$5,MATCH('[1]Pizza Sales Calculations'!E1196,[1]Parameters!$A$3:$A$5,0),2)</f>
        <v>#N/A</v>
      </c>
      <c r="X1196" t="e">
        <f>INDEX([1]Parameters!$A$3:$C$5,MATCH('[1]Pizza Sales Calculations'!F1196,[1]Parameters!$A$3:$A$5,0),2)</f>
        <v>#N/A</v>
      </c>
    </row>
    <row r="1197" spans="1:24" x14ac:dyDescent="0.3">
      <c r="A1197">
        <v>1196</v>
      </c>
      <c r="B1197" s="14">
        <v>42382.49015046296</v>
      </c>
      <c r="C1197" s="14">
        <v>42382.500543981485</v>
      </c>
      <c r="D1197" t="s">
        <v>3</v>
      </c>
      <c r="E1197" t="s">
        <v>4</v>
      </c>
      <c r="G1197" t="b">
        <v>0</v>
      </c>
      <c r="H1197">
        <v>70807</v>
      </c>
      <c r="I1197" s="5">
        <v>0</v>
      </c>
      <c r="J1197" s="14">
        <v>42382.502615740741</v>
      </c>
      <c r="K1197">
        <v>19.579999999999998</v>
      </c>
      <c r="L1197" s="5">
        <f>('[1]Pizza Sales Calculations'!$J1197-'[1]Pizza Sales Calculations'!$C1197)*24*60</f>
        <v>2.9833333287388086</v>
      </c>
      <c r="M1197">
        <f>COUNTA('[1]Pizza Sales Calculations'!$D1197:$F1197)</f>
        <v>2</v>
      </c>
      <c r="N1197">
        <f>IFERROR(VLOOKUP(D1197,[1]Parameters!$A$3:$C$5,3,FALSE),0)</f>
        <v>1</v>
      </c>
      <c r="O1197">
        <f>IFERROR(VLOOKUP(E1197,[1]Parameters!$A$3:$C$5,3,FALSE),0)</f>
        <v>1.7</v>
      </c>
      <c r="P1197">
        <f>IFERROR(VLOOKUP(F1197,[1]Parameters!$A$3:$C$5,3,FALSE),0)</f>
        <v>0</v>
      </c>
      <c r="Q1197">
        <f t="shared" si="18"/>
        <v>2.7</v>
      </c>
      <c r="R1197" s="10">
        <f>IF('[1]Pizza Sales Calculations'!$G1197=TRUE, [1]Parameters!$B$17*'[1]Pizza Sales Calculations'!$L1197*2, 0)</f>
        <v>0</v>
      </c>
      <c r="S1197" t="str">
        <f>IF(I1197&lt;[1]Parameters!$B$21,"TRUE","FALSE")</f>
        <v>TRUE</v>
      </c>
      <c r="T1197" s="5">
        <f>(I1197/[1]Parameters!$B$25)*60</f>
        <v>0</v>
      </c>
      <c r="U1197" s="10">
        <f>IF(AND('[1]Pizza Sales Calculations'!G1197=TRUE,'[1]Pizza Sales Calculations'!S1197="TRUE"),T1197*[1]Parameters!$B$40*2,0)</f>
        <v>0</v>
      </c>
      <c r="V1197">
        <f>INDEX([1]Parameters!$A$3:$C$5,MATCH('[1]Pizza Sales Calculations'!D1197,[1]Parameters!$A$3:$A$5,0),2)</f>
        <v>7</v>
      </c>
      <c r="W1197">
        <f>INDEX([1]Parameters!$A$3:$C$5,MATCH('[1]Pizza Sales Calculations'!E1197,[1]Parameters!$A$3:$A$5,0),2)</f>
        <v>10</v>
      </c>
      <c r="X1197" t="e">
        <f>INDEX([1]Parameters!$A$3:$C$5,MATCH('[1]Pizza Sales Calculations'!F1197,[1]Parameters!$A$3:$A$5,0),2)</f>
        <v>#N/A</v>
      </c>
    </row>
    <row r="1198" spans="1:24" x14ac:dyDescent="0.3">
      <c r="A1198">
        <v>1197</v>
      </c>
      <c r="B1198" s="14">
        <v>42382.548125000001</v>
      </c>
      <c r="C1198" s="14">
        <v>42382.558518518519</v>
      </c>
      <c r="D1198" t="s">
        <v>3</v>
      </c>
      <c r="G1198" t="b">
        <v>1</v>
      </c>
      <c r="H1198">
        <v>70803</v>
      </c>
      <c r="I1198" s="5">
        <v>3.8112519777276601</v>
      </c>
      <c r="J1198" s="14">
        <v>42382.571747685186</v>
      </c>
      <c r="K1198">
        <v>7.99</v>
      </c>
      <c r="L1198" s="5">
        <f>('[1]Pizza Sales Calculations'!$J1198-'[1]Pizza Sales Calculations'!$C1198)*24*60</f>
        <v>19.050000000279397</v>
      </c>
      <c r="M1198">
        <f>COUNTA('[1]Pizza Sales Calculations'!$D1198:$F1198)</f>
        <v>1</v>
      </c>
      <c r="N1198">
        <f>IFERROR(VLOOKUP(D1198,[1]Parameters!$A$3:$C$5,3,FALSE),0)</f>
        <v>1</v>
      </c>
      <c r="O1198">
        <f>IFERROR(VLOOKUP(E1198,[1]Parameters!$A$3:$C$5,3,FALSE),0)</f>
        <v>0</v>
      </c>
      <c r="P1198">
        <f>IFERROR(VLOOKUP(F1198,[1]Parameters!$A$3:$C$5,3,FALSE),0)</f>
        <v>0</v>
      </c>
      <c r="Q1198">
        <f t="shared" si="18"/>
        <v>1</v>
      </c>
      <c r="R1198" s="10">
        <f>IF('[1]Pizza Sales Calculations'!$G1198=TRUE, [1]Parameters!$B$17*'[1]Pizza Sales Calculations'!$L1198*2, 0)</f>
        <v>5.3975000000791624</v>
      </c>
      <c r="S1198" t="str">
        <f>IF(I1198&lt;[1]Parameters!$B$21,"TRUE","FALSE")</f>
        <v>FALSE</v>
      </c>
      <c r="T1198" s="5">
        <f>(I1198/[1]Parameters!$B$25)*60</f>
        <v>7.6225039554553202</v>
      </c>
      <c r="U1198" s="10">
        <f>IF(AND('[1]Pizza Sales Calculations'!G1198=TRUE,'[1]Pizza Sales Calculations'!S1198="TRUE"),T1198*[1]Parameters!$B$40*2,0)</f>
        <v>0</v>
      </c>
      <c r="V1198">
        <f>INDEX([1]Parameters!$A$3:$C$5,MATCH('[1]Pizza Sales Calculations'!D1198,[1]Parameters!$A$3:$A$5,0),2)</f>
        <v>7</v>
      </c>
      <c r="W1198" t="e">
        <f>INDEX([1]Parameters!$A$3:$C$5,MATCH('[1]Pizza Sales Calculations'!E1198,[1]Parameters!$A$3:$A$5,0),2)</f>
        <v>#N/A</v>
      </c>
      <c r="X1198" t="e">
        <f>INDEX([1]Parameters!$A$3:$C$5,MATCH('[1]Pizza Sales Calculations'!F1198,[1]Parameters!$A$3:$A$5,0),2)</f>
        <v>#N/A</v>
      </c>
    </row>
    <row r="1199" spans="1:24" x14ac:dyDescent="0.3">
      <c r="A1199">
        <v>1198</v>
      </c>
      <c r="B1199" s="14">
        <v>42382.531157407408</v>
      </c>
      <c r="C1199" s="14">
        <v>42382.541574074072</v>
      </c>
      <c r="D1199" t="s">
        <v>5</v>
      </c>
      <c r="G1199" t="b">
        <v>1</v>
      </c>
      <c r="H1199">
        <v>70805</v>
      </c>
      <c r="I1199" s="5">
        <v>1.9508736267851301</v>
      </c>
      <c r="J1199" s="14">
        <v>42382.548344907409</v>
      </c>
      <c r="K1199">
        <v>15.35</v>
      </c>
      <c r="L1199" s="5">
        <f>('[1]Pizza Sales Calculations'!$J1199-'[1]Pizza Sales Calculations'!$C1199)*24*60</f>
        <v>9.7500000055879354</v>
      </c>
      <c r="M1199">
        <f>COUNTA('[1]Pizza Sales Calculations'!$D1199:$F1199)</f>
        <v>1</v>
      </c>
      <c r="N1199">
        <f>IFERROR(VLOOKUP(D1199,[1]Parameters!$A$3:$C$5,3,FALSE),0)</f>
        <v>2.2999999999999998</v>
      </c>
      <c r="O1199">
        <f>IFERROR(VLOOKUP(E1199,[1]Parameters!$A$3:$C$5,3,FALSE),0)</f>
        <v>0</v>
      </c>
      <c r="P1199">
        <f>IFERROR(VLOOKUP(F1199,[1]Parameters!$A$3:$C$5,3,FALSE),0)</f>
        <v>0</v>
      </c>
      <c r="Q1199">
        <f t="shared" si="18"/>
        <v>2.2999999999999998</v>
      </c>
      <c r="R1199" s="10">
        <f>IF('[1]Pizza Sales Calculations'!$G1199=TRUE, [1]Parameters!$B$17*'[1]Pizza Sales Calculations'!$L1199*2, 0)</f>
        <v>2.7625000015832484</v>
      </c>
      <c r="S1199" t="str">
        <f>IF(I1199&lt;[1]Parameters!$B$21,"TRUE","FALSE")</f>
        <v>TRUE</v>
      </c>
      <c r="T1199" s="5">
        <f>(I1199/[1]Parameters!$B$25)*60</f>
        <v>3.9017472535702606</v>
      </c>
      <c r="U1199" s="10">
        <f>IF(AND('[1]Pizza Sales Calculations'!G1199=TRUE,'[1]Pizza Sales Calculations'!S1199="TRUE"),T1199*[1]Parameters!$B$40*2,0)</f>
        <v>0.2435573177793085</v>
      </c>
      <c r="V1199">
        <f>INDEX([1]Parameters!$A$3:$C$5,MATCH('[1]Pizza Sales Calculations'!D1199,[1]Parameters!$A$3:$A$5,0),2)</f>
        <v>14</v>
      </c>
      <c r="W1199" t="e">
        <f>INDEX([1]Parameters!$A$3:$C$5,MATCH('[1]Pizza Sales Calculations'!E1199,[1]Parameters!$A$3:$A$5,0),2)</f>
        <v>#N/A</v>
      </c>
      <c r="X1199" t="e">
        <f>INDEX([1]Parameters!$A$3:$C$5,MATCH('[1]Pizza Sales Calculations'!F1199,[1]Parameters!$A$3:$A$5,0),2)</f>
        <v>#N/A</v>
      </c>
    </row>
    <row r="1200" spans="1:24" x14ac:dyDescent="0.3">
      <c r="A1200">
        <v>1199</v>
      </c>
      <c r="B1200" s="14">
        <v>42382.552094907405</v>
      </c>
      <c r="C1200" s="14">
        <v>42382.562523148146</v>
      </c>
      <c r="D1200" t="s">
        <v>3</v>
      </c>
      <c r="E1200" t="s">
        <v>4</v>
      </c>
      <c r="G1200" t="b">
        <v>1</v>
      </c>
      <c r="H1200">
        <v>70804</v>
      </c>
      <c r="I1200" s="5">
        <v>3.46256831611311</v>
      </c>
      <c r="J1200" s="14">
        <v>42382.574537037035</v>
      </c>
      <c r="K1200">
        <v>19.579999999999998</v>
      </c>
      <c r="L1200" s="5">
        <f>('[1]Pizza Sales Calculations'!$J1200-'[1]Pizza Sales Calculations'!$C1200)*24*60</f>
        <v>17.299999999813735</v>
      </c>
      <c r="M1200">
        <f>COUNTA('[1]Pizza Sales Calculations'!$D1200:$F1200)</f>
        <v>2</v>
      </c>
      <c r="N1200">
        <f>IFERROR(VLOOKUP(D1200,[1]Parameters!$A$3:$C$5,3,FALSE),0)</f>
        <v>1</v>
      </c>
      <c r="O1200">
        <f>IFERROR(VLOOKUP(E1200,[1]Parameters!$A$3:$C$5,3,FALSE),0)</f>
        <v>1.7</v>
      </c>
      <c r="P1200">
        <f>IFERROR(VLOOKUP(F1200,[1]Parameters!$A$3:$C$5,3,FALSE),0)</f>
        <v>0</v>
      </c>
      <c r="Q1200">
        <f t="shared" si="18"/>
        <v>2.7</v>
      </c>
      <c r="R1200" s="10">
        <f>IF('[1]Pizza Sales Calculations'!$G1200=TRUE, [1]Parameters!$B$17*'[1]Pizza Sales Calculations'!$L1200*2, 0)</f>
        <v>4.9016666666138917</v>
      </c>
      <c r="S1200" t="str">
        <f>IF(I1200&lt;[1]Parameters!$B$21,"TRUE","FALSE")</f>
        <v>FALSE</v>
      </c>
      <c r="T1200" s="5">
        <f>(I1200/[1]Parameters!$B$25)*60</f>
        <v>6.92513663222622</v>
      </c>
      <c r="U1200" s="10">
        <f>IF(AND('[1]Pizza Sales Calculations'!G1200=TRUE,'[1]Pizza Sales Calculations'!S1200="TRUE"),T1200*[1]Parameters!$B$40*2,0)</f>
        <v>0</v>
      </c>
      <c r="V1200">
        <f>INDEX([1]Parameters!$A$3:$C$5,MATCH('[1]Pizza Sales Calculations'!D1200,[1]Parameters!$A$3:$A$5,0),2)</f>
        <v>7</v>
      </c>
      <c r="W1200">
        <f>INDEX([1]Parameters!$A$3:$C$5,MATCH('[1]Pizza Sales Calculations'!E1200,[1]Parameters!$A$3:$A$5,0),2)</f>
        <v>10</v>
      </c>
      <c r="X1200" t="e">
        <f>INDEX([1]Parameters!$A$3:$C$5,MATCH('[1]Pizza Sales Calculations'!F1200,[1]Parameters!$A$3:$A$5,0),2)</f>
        <v>#N/A</v>
      </c>
    </row>
    <row r="1201" spans="1:24" x14ac:dyDescent="0.3">
      <c r="A1201">
        <v>1200</v>
      </c>
      <c r="B1201" s="14">
        <v>42382.562986111108</v>
      </c>
      <c r="C1201" s="14">
        <v>42382.573391203703</v>
      </c>
      <c r="D1201" t="s">
        <v>5</v>
      </c>
      <c r="G1201" t="b">
        <v>0</v>
      </c>
      <c r="H1201">
        <v>70805</v>
      </c>
      <c r="I1201" s="5">
        <v>0</v>
      </c>
      <c r="J1201" s="14">
        <v>42382.575462962966</v>
      </c>
      <c r="K1201">
        <v>15.35</v>
      </c>
      <c r="L1201" s="5">
        <f>('[1]Pizza Sales Calculations'!$J1201-'[1]Pizza Sales Calculations'!$C1201)*24*60</f>
        <v>2.9833333392161876</v>
      </c>
      <c r="M1201">
        <f>COUNTA('[1]Pizza Sales Calculations'!$D1201:$F1201)</f>
        <v>1</v>
      </c>
      <c r="N1201">
        <f>IFERROR(VLOOKUP(D1201,[1]Parameters!$A$3:$C$5,3,FALSE),0)</f>
        <v>2.2999999999999998</v>
      </c>
      <c r="O1201">
        <f>IFERROR(VLOOKUP(E1201,[1]Parameters!$A$3:$C$5,3,FALSE),0)</f>
        <v>0</v>
      </c>
      <c r="P1201">
        <f>IFERROR(VLOOKUP(F1201,[1]Parameters!$A$3:$C$5,3,FALSE),0)</f>
        <v>0</v>
      </c>
      <c r="Q1201">
        <f t="shared" si="18"/>
        <v>2.2999999999999998</v>
      </c>
      <c r="R1201" s="10">
        <f>IF('[1]Pizza Sales Calculations'!$G1201=TRUE, [1]Parameters!$B$17*'[1]Pizza Sales Calculations'!$L1201*2, 0)</f>
        <v>0</v>
      </c>
      <c r="S1201" t="str">
        <f>IF(I1201&lt;[1]Parameters!$B$21,"TRUE","FALSE")</f>
        <v>TRUE</v>
      </c>
      <c r="T1201" s="5">
        <f>(I1201/[1]Parameters!$B$25)*60</f>
        <v>0</v>
      </c>
      <c r="U1201" s="10">
        <f>IF(AND('[1]Pizza Sales Calculations'!G1201=TRUE,'[1]Pizza Sales Calculations'!S1201="TRUE"),T1201*[1]Parameters!$B$40*2,0)</f>
        <v>0</v>
      </c>
      <c r="V1201">
        <f>INDEX([1]Parameters!$A$3:$C$5,MATCH('[1]Pizza Sales Calculations'!D1201,[1]Parameters!$A$3:$A$5,0),2)</f>
        <v>14</v>
      </c>
      <c r="W1201" t="e">
        <f>INDEX([1]Parameters!$A$3:$C$5,MATCH('[1]Pizza Sales Calculations'!E1201,[1]Parameters!$A$3:$A$5,0),2)</f>
        <v>#N/A</v>
      </c>
      <c r="X1201" t="e">
        <f>INDEX([1]Parameters!$A$3:$C$5,MATCH('[1]Pizza Sales Calculations'!F1201,[1]Parameters!$A$3:$A$5,0),2)</f>
        <v>#N/A</v>
      </c>
    </row>
    <row r="1202" spans="1:24" x14ac:dyDescent="0.3">
      <c r="A1202">
        <v>1201</v>
      </c>
      <c r="B1202" s="14">
        <v>42382.560162037036</v>
      </c>
      <c r="C1202" s="14">
        <v>42382.570555555554</v>
      </c>
      <c r="D1202" t="s">
        <v>3</v>
      </c>
      <c r="E1202" t="s">
        <v>5</v>
      </c>
      <c r="G1202" t="b">
        <v>1</v>
      </c>
      <c r="H1202">
        <v>70806</v>
      </c>
      <c r="I1202" s="5">
        <v>3.4174311859044102</v>
      </c>
      <c r="J1202" s="14">
        <v>42382.582418981481</v>
      </c>
      <c r="K1202">
        <v>23.34</v>
      </c>
      <c r="L1202" s="5">
        <f>('[1]Pizza Sales Calculations'!$J1202-'[1]Pizza Sales Calculations'!$C1202)*24*60</f>
        <v>17.083333334885538</v>
      </c>
      <c r="M1202">
        <f>COUNTA('[1]Pizza Sales Calculations'!$D1202:$F1202)</f>
        <v>2</v>
      </c>
      <c r="N1202">
        <f>IFERROR(VLOOKUP(D1202,[1]Parameters!$A$3:$C$5,3,FALSE),0)</f>
        <v>1</v>
      </c>
      <c r="O1202">
        <f>IFERROR(VLOOKUP(E1202,[1]Parameters!$A$3:$C$5,3,FALSE),0)</f>
        <v>2.2999999999999998</v>
      </c>
      <c r="P1202">
        <f>IFERROR(VLOOKUP(F1202,[1]Parameters!$A$3:$C$5,3,FALSE),0)</f>
        <v>0</v>
      </c>
      <c r="Q1202">
        <f t="shared" si="18"/>
        <v>3.3</v>
      </c>
      <c r="R1202" s="10">
        <f>IF('[1]Pizza Sales Calculations'!$G1202=TRUE, [1]Parameters!$B$17*'[1]Pizza Sales Calculations'!$L1202*2, 0)</f>
        <v>4.840277778217569</v>
      </c>
      <c r="S1202" t="str">
        <f>IF(I1202&lt;[1]Parameters!$B$21,"TRUE","FALSE")</f>
        <v>FALSE</v>
      </c>
      <c r="T1202" s="5">
        <f>(I1202/[1]Parameters!$B$25)*60</f>
        <v>6.8348623718088204</v>
      </c>
      <c r="U1202" s="10">
        <f>IF(AND('[1]Pizza Sales Calculations'!G1202=TRUE,'[1]Pizza Sales Calculations'!S1202="TRUE"),T1202*[1]Parameters!$B$40*2,0)</f>
        <v>0</v>
      </c>
      <c r="V1202">
        <f>INDEX([1]Parameters!$A$3:$C$5,MATCH('[1]Pizza Sales Calculations'!D1202,[1]Parameters!$A$3:$A$5,0),2)</f>
        <v>7</v>
      </c>
      <c r="W1202">
        <f>INDEX([1]Parameters!$A$3:$C$5,MATCH('[1]Pizza Sales Calculations'!E1202,[1]Parameters!$A$3:$A$5,0),2)</f>
        <v>14</v>
      </c>
      <c r="X1202" t="e">
        <f>INDEX([1]Parameters!$A$3:$C$5,MATCH('[1]Pizza Sales Calculations'!F1202,[1]Parameters!$A$3:$A$5,0),2)</f>
        <v>#N/A</v>
      </c>
    </row>
    <row r="1203" spans="1:24" x14ac:dyDescent="0.3">
      <c r="A1203">
        <v>1202</v>
      </c>
      <c r="B1203" s="14">
        <v>42382.465104166666</v>
      </c>
      <c r="C1203" s="14">
        <v>42382.47552083333</v>
      </c>
      <c r="D1203" t="s">
        <v>4</v>
      </c>
      <c r="G1203" t="b">
        <v>1</v>
      </c>
      <c r="H1203">
        <v>70805</v>
      </c>
      <c r="I1203" s="5">
        <v>5.2669655076570496</v>
      </c>
      <c r="J1203" s="14">
        <v>42382.493807870371</v>
      </c>
      <c r="K1203">
        <v>11.59</v>
      </c>
      <c r="L1203" s="5">
        <f>('[1]Pizza Sales Calculations'!$J1203-'[1]Pizza Sales Calculations'!$C1203)*24*60</f>
        <v>26.333333338843659</v>
      </c>
      <c r="M1203">
        <f>COUNTA('[1]Pizza Sales Calculations'!$D1203:$F1203)</f>
        <v>1</v>
      </c>
      <c r="N1203">
        <f>IFERROR(VLOOKUP(D1203,[1]Parameters!$A$3:$C$5,3,FALSE),0)</f>
        <v>1.7</v>
      </c>
      <c r="O1203">
        <f>IFERROR(VLOOKUP(E1203,[1]Parameters!$A$3:$C$5,3,FALSE),0)</f>
        <v>0</v>
      </c>
      <c r="P1203">
        <f>IFERROR(VLOOKUP(F1203,[1]Parameters!$A$3:$C$5,3,FALSE),0)</f>
        <v>0</v>
      </c>
      <c r="Q1203">
        <f t="shared" si="18"/>
        <v>1.7</v>
      </c>
      <c r="R1203" s="10">
        <f>IF('[1]Pizza Sales Calculations'!$G1203=TRUE, [1]Parameters!$B$17*'[1]Pizza Sales Calculations'!$L1203*2, 0)</f>
        <v>7.4611111126723699</v>
      </c>
      <c r="S1203" t="str">
        <f>IF(I1203&lt;[1]Parameters!$B$21,"TRUE","FALSE")</f>
        <v>FALSE</v>
      </c>
      <c r="T1203" s="5">
        <f>(I1203/[1]Parameters!$B$25)*60</f>
        <v>10.533931015314099</v>
      </c>
      <c r="U1203" s="10">
        <f>IF(AND('[1]Pizza Sales Calculations'!G1203=TRUE,'[1]Pizza Sales Calculations'!S1203="TRUE"),T1203*[1]Parameters!$B$40*2,0)</f>
        <v>0</v>
      </c>
      <c r="V1203">
        <f>INDEX([1]Parameters!$A$3:$C$5,MATCH('[1]Pizza Sales Calculations'!D1203,[1]Parameters!$A$3:$A$5,0),2)</f>
        <v>10</v>
      </c>
      <c r="W1203" t="e">
        <f>INDEX([1]Parameters!$A$3:$C$5,MATCH('[1]Pizza Sales Calculations'!E1203,[1]Parameters!$A$3:$A$5,0),2)</f>
        <v>#N/A</v>
      </c>
      <c r="X1203" t="e">
        <f>INDEX([1]Parameters!$A$3:$C$5,MATCH('[1]Pizza Sales Calculations'!F1203,[1]Parameters!$A$3:$A$5,0),2)</f>
        <v>#N/A</v>
      </c>
    </row>
    <row r="1204" spans="1:24" x14ac:dyDescent="0.3">
      <c r="A1204">
        <v>1203</v>
      </c>
      <c r="B1204" s="14">
        <v>42382.464201388888</v>
      </c>
      <c r="C1204" s="14">
        <v>42382.474618055552</v>
      </c>
      <c r="D1204" t="s">
        <v>3</v>
      </c>
      <c r="G1204" t="b">
        <v>1</v>
      </c>
      <c r="H1204">
        <v>70804</v>
      </c>
      <c r="I1204" s="5">
        <v>2.8360615756644698</v>
      </c>
      <c r="J1204" s="14">
        <v>42382.484456018516</v>
      </c>
      <c r="K1204">
        <v>7.99</v>
      </c>
      <c r="L1204" s="5">
        <f>('[1]Pizza Sales Calculations'!$J1204-'[1]Pizza Sales Calculations'!$C1204)*24*60</f>
        <v>14.166666667442769</v>
      </c>
      <c r="M1204">
        <f>COUNTA('[1]Pizza Sales Calculations'!$D1204:$F1204)</f>
        <v>1</v>
      </c>
      <c r="N1204">
        <f>IFERROR(VLOOKUP(D1204,[1]Parameters!$A$3:$C$5,3,FALSE),0)</f>
        <v>1</v>
      </c>
      <c r="O1204">
        <f>IFERROR(VLOOKUP(E1204,[1]Parameters!$A$3:$C$5,3,FALSE),0)</f>
        <v>0</v>
      </c>
      <c r="P1204">
        <f>IFERROR(VLOOKUP(F1204,[1]Parameters!$A$3:$C$5,3,FALSE),0)</f>
        <v>0</v>
      </c>
      <c r="Q1204">
        <f t="shared" si="18"/>
        <v>1</v>
      </c>
      <c r="R1204" s="10">
        <f>IF('[1]Pizza Sales Calculations'!$G1204=TRUE, [1]Parameters!$B$17*'[1]Pizza Sales Calculations'!$L1204*2, 0)</f>
        <v>4.0138888891087845</v>
      </c>
      <c r="S1204" t="str">
        <f>IF(I1204&lt;[1]Parameters!$B$21,"TRUE","FALSE")</f>
        <v>TRUE</v>
      </c>
      <c r="T1204" s="5">
        <f>(I1204/[1]Parameters!$B$25)*60</f>
        <v>5.6721231513289396</v>
      </c>
      <c r="U1204" s="10">
        <f>IF(AND('[1]Pizza Sales Calculations'!G1204=TRUE,'[1]Pizza Sales Calculations'!S1204="TRUE"),T1204*[1]Parameters!$B$40*2,0)</f>
        <v>0.35406883405568551</v>
      </c>
      <c r="V1204">
        <f>INDEX([1]Parameters!$A$3:$C$5,MATCH('[1]Pizza Sales Calculations'!D1204,[1]Parameters!$A$3:$A$5,0),2)</f>
        <v>7</v>
      </c>
      <c r="W1204" t="e">
        <f>INDEX([1]Parameters!$A$3:$C$5,MATCH('[1]Pizza Sales Calculations'!E1204,[1]Parameters!$A$3:$A$5,0),2)</f>
        <v>#N/A</v>
      </c>
      <c r="X1204" t="e">
        <f>INDEX([1]Parameters!$A$3:$C$5,MATCH('[1]Pizza Sales Calculations'!F1204,[1]Parameters!$A$3:$A$5,0),2)</f>
        <v>#N/A</v>
      </c>
    </row>
    <row r="1205" spans="1:24" x14ac:dyDescent="0.3">
      <c r="A1205">
        <v>1204</v>
      </c>
      <c r="B1205" s="14">
        <v>42382.528344907405</v>
      </c>
      <c r="C1205" s="14">
        <v>42382.538738425923</v>
      </c>
      <c r="D1205" t="s">
        <v>4</v>
      </c>
      <c r="G1205" t="b">
        <v>0</v>
      </c>
      <c r="H1205">
        <v>70805</v>
      </c>
      <c r="I1205" s="5">
        <v>0</v>
      </c>
      <c r="J1205" s="14">
        <v>42382.540821759256</v>
      </c>
      <c r="K1205">
        <v>11.59</v>
      </c>
      <c r="L1205" s="5">
        <f>('[1]Pizza Sales Calculations'!$J1205-'[1]Pizza Sales Calculations'!$C1205)*24*60</f>
        <v>2.9999999993015081</v>
      </c>
      <c r="M1205">
        <f>COUNTA('[1]Pizza Sales Calculations'!$D1205:$F1205)</f>
        <v>1</v>
      </c>
      <c r="N1205">
        <f>IFERROR(VLOOKUP(D1205,[1]Parameters!$A$3:$C$5,3,FALSE),0)</f>
        <v>1.7</v>
      </c>
      <c r="O1205">
        <f>IFERROR(VLOOKUP(E1205,[1]Parameters!$A$3:$C$5,3,FALSE),0)</f>
        <v>0</v>
      </c>
      <c r="P1205">
        <f>IFERROR(VLOOKUP(F1205,[1]Parameters!$A$3:$C$5,3,FALSE),0)</f>
        <v>0</v>
      </c>
      <c r="Q1205">
        <f t="shared" si="18"/>
        <v>1.7</v>
      </c>
      <c r="R1205" s="10">
        <f>IF('[1]Pizza Sales Calculations'!$G1205=TRUE, [1]Parameters!$B$17*'[1]Pizza Sales Calculations'!$L1205*2, 0)</f>
        <v>0</v>
      </c>
      <c r="S1205" t="str">
        <f>IF(I1205&lt;[1]Parameters!$B$21,"TRUE","FALSE")</f>
        <v>TRUE</v>
      </c>
      <c r="T1205" s="5">
        <f>(I1205/[1]Parameters!$B$25)*60</f>
        <v>0</v>
      </c>
      <c r="U1205" s="10">
        <f>IF(AND('[1]Pizza Sales Calculations'!G1205=TRUE,'[1]Pizza Sales Calculations'!S1205="TRUE"),T1205*[1]Parameters!$B$40*2,0)</f>
        <v>0</v>
      </c>
      <c r="V1205">
        <f>INDEX([1]Parameters!$A$3:$C$5,MATCH('[1]Pizza Sales Calculations'!D1205,[1]Parameters!$A$3:$A$5,0),2)</f>
        <v>10</v>
      </c>
      <c r="W1205" t="e">
        <f>INDEX([1]Parameters!$A$3:$C$5,MATCH('[1]Pizza Sales Calculations'!E1205,[1]Parameters!$A$3:$A$5,0),2)</f>
        <v>#N/A</v>
      </c>
      <c r="X1205" t="e">
        <f>INDEX([1]Parameters!$A$3:$C$5,MATCH('[1]Pizza Sales Calculations'!F1205,[1]Parameters!$A$3:$A$5,0),2)</f>
        <v>#N/A</v>
      </c>
    </row>
    <row r="1206" spans="1:24" x14ac:dyDescent="0.3">
      <c r="A1206">
        <v>1205</v>
      </c>
      <c r="B1206" s="14">
        <v>42382.569039351853</v>
      </c>
      <c r="C1206" s="14">
        <v>42382.579444444447</v>
      </c>
      <c r="D1206" t="s">
        <v>3</v>
      </c>
      <c r="G1206" t="b">
        <v>0</v>
      </c>
      <c r="H1206">
        <v>70803</v>
      </c>
      <c r="I1206" s="5">
        <v>0</v>
      </c>
      <c r="J1206" s="14">
        <v>42382.58152777778</v>
      </c>
      <c r="K1206">
        <v>7.99</v>
      </c>
      <c r="L1206" s="5">
        <f>('[1]Pizza Sales Calculations'!$J1206-'[1]Pizza Sales Calculations'!$C1206)*24*60</f>
        <v>2.9999999993015081</v>
      </c>
      <c r="M1206">
        <f>COUNTA('[1]Pizza Sales Calculations'!$D1206:$F1206)</f>
        <v>1</v>
      </c>
      <c r="N1206">
        <f>IFERROR(VLOOKUP(D1206,[1]Parameters!$A$3:$C$5,3,FALSE),0)</f>
        <v>1</v>
      </c>
      <c r="O1206">
        <f>IFERROR(VLOOKUP(E1206,[1]Parameters!$A$3:$C$5,3,FALSE),0)</f>
        <v>0</v>
      </c>
      <c r="P1206">
        <f>IFERROR(VLOOKUP(F1206,[1]Parameters!$A$3:$C$5,3,FALSE),0)</f>
        <v>0</v>
      </c>
      <c r="Q1206">
        <f t="shared" si="18"/>
        <v>1</v>
      </c>
      <c r="R1206" s="10">
        <f>IF('[1]Pizza Sales Calculations'!$G1206=TRUE, [1]Parameters!$B$17*'[1]Pizza Sales Calculations'!$L1206*2, 0)</f>
        <v>0</v>
      </c>
      <c r="S1206" t="str">
        <f>IF(I1206&lt;[1]Parameters!$B$21,"TRUE","FALSE")</f>
        <v>TRUE</v>
      </c>
      <c r="T1206" s="5">
        <f>(I1206/[1]Parameters!$B$25)*60</f>
        <v>0</v>
      </c>
      <c r="U1206" s="10">
        <f>IF(AND('[1]Pizza Sales Calculations'!G1206=TRUE,'[1]Pizza Sales Calculations'!S1206="TRUE"),T1206*[1]Parameters!$B$40*2,0)</f>
        <v>0</v>
      </c>
      <c r="V1206">
        <f>INDEX([1]Parameters!$A$3:$C$5,MATCH('[1]Pizza Sales Calculations'!D1206,[1]Parameters!$A$3:$A$5,0),2)</f>
        <v>7</v>
      </c>
      <c r="W1206" t="e">
        <f>INDEX([1]Parameters!$A$3:$C$5,MATCH('[1]Pizza Sales Calculations'!E1206,[1]Parameters!$A$3:$A$5,0),2)</f>
        <v>#N/A</v>
      </c>
      <c r="X1206" t="e">
        <f>INDEX([1]Parameters!$A$3:$C$5,MATCH('[1]Pizza Sales Calculations'!F1206,[1]Parameters!$A$3:$A$5,0),2)</f>
        <v>#N/A</v>
      </c>
    </row>
    <row r="1207" spans="1:24" x14ac:dyDescent="0.3">
      <c r="A1207">
        <v>1206</v>
      </c>
      <c r="B1207" s="14">
        <v>42382.462465277778</v>
      </c>
      <c r="C1207" s="14">
        <v>42382.472881944443</v>
      </c>
      <c r="D1207" t="s">
        <v>4</v>
      </c>
      <c r="E1207" t="s">
        <v>5</v>
      </c>
      <c r="G1207" t="b">
        <v>1</v>
      </c>
      <c r="H1207">
        <v>70808</v>
      </c>
      <c r="I1207" s="5">
        <v>3.1954898542434802</v>
      </c>
      <c r="J1207" s="14">
        <v>42382.483969907407</v>
      </c>
      <c r="K1207">
        <v>25.94</v>
      </c>
      <c r="L1207" s="5">
        <f>('[1]Pizza Sales Calculations'!$J1207-'[1]Pizza Sales Calculations'!$C1207)*24*60</f>
        <v>15.966666669119149</v>
      </c>
      <c r="M1207">
        <f>COUNTA('[1]Pizza Sales Calculations'!$D1207:$F1207)</f>
        <v>2</v>
      </c>
      <c r="N1207">
        <f>IFERROR(VLOOKUP(D1207,[1]Parameters!$A$3:$C$5,3,FALSE),0)</f>
        <v>1.7</v>
      </c>
      <c r="O1207">
        <f>IFERROR(VLOOKUP(E1207,[1]Parameters!$A$3:$C$5,3,FALSE),0)</f>
        <v>2.2999999999999998</v>
      </c>
      <c r="P1207">
        <f>IFERROR(VLOOKUP(F1207,[1]Parameters!$A$3:$C$5,3,FALSE),0)</f>
        <v>0</v>
      </c>
      <c r="Q1207">
        <f t="shared" si="18"/>
        <v>4</v>
      </c>
      <c r="R1207" s="10">
        <f>IF('[1]Pizza Sales Calculations'!$G1207=TRUE, [1]Parameters!$B$17*'[1]Pizza Sales Calculations'!$L1207*2, 0)</f>
        <v>4.523888889583759</v>
      </c>
      <c r="S1207" t="str">
        <f>IF(I1207&lt;[1]Parameters!$B$21,"TRUE","FALSE")</f>
        <v>TRUE</v>
      </c>
      <c r="T1207" s="5">
        <f>(I1207/[1]Parameters!$B$25)*60</f>
        <v>6.3909797084869604</v>
      </c>
      <c r="U1207" s="10">
        <f>IF(AND('[1]Pizza Sales Calculations'!G1207=TRUE,'[1]Pizza Sales Calculations'!S1207="TRUE"),T1207*[1]Parameters!$B$40*2,0)</f>
        <v>0.39894174958584133</v>
      </c>
      <c r="V1207">
        <f>INDEX([1]Parameters!$A$3:$C$5,MATCH('[1]Pizza Sales Calculations'!D1207,[1]Parameters!$A$3:$A$5,0),2)</f>
        <v>10</v>
      </c>
      <c r="W1207">
        <f>INDEX([1]Parameters!$A$3:$C$5,MATCH('[1]Pizza Sales Calculations'!E1207,[1]Parameters!$A$3:$A$5,0),2)</f>
        <v>14</v>
      </c>
      <c r="X1207" t="e">
        <f>INDEX([1]Parameters!$A$3:$C$5,MATCH('[1]Pizza Sales Calculations'!F1207,[1]Parameters!$A$3:$A$5,0),2)</f>
        <v>#N/A</v>
      </c>
    </row>
    <row r="1208" spans="1:24" x14ac:dyDescent="0.3">
      <c r="A1208">
        <v>1207</v>
      </c>
      <c r="B1208" s="14">
        <v>42382.468657407408</v>
      </c>
      <c r="C1208" s="14">
        <v>42382.479074074072</v>
      </c>
      <c r="D1208" t="s">
        <v>5</v>
      </c>
      <c r="G1208" t="b">
        <v>0</v>
      </c>
      <c r="H1208">
        <v>70804</v>
      </c>
      <c r="I1208" s="5">
        <v>0</v>
      </c>
      <c r="J1208" s="14">
        <v>42382.481145833335</v>
      </c>
      <c r="K1208">
        <v>15.35</v>
      </c>
      <c r="L1208" s="5">
        <f>('[1]Pizza Sales Calculations'!$J1208-'[1]Pizza Sales Calculations'!$C1208)*24*60</f>
        <v>2.9833333392161876</v>
      </c>
      <c r="M1208">
        <f>COUNTA('[1]Pizza Sales Calculations'!$D1208:$F1208)</f>
        <v>1</v>
      </c>
      <c r="N1208">
        <f>IFERROR(VLOOKUP(D1208,[1]Parameters!$A$3:$C$5,3,FALSE),0)</f>
        <v>2.2999999999999998</v>
      </c>
      <c r="O1208">
        <f>IFERROR(VLOOKUP(E1208,[1]Parameters!$A$3:$C$5,3,FALSE),0)</f>
        <v>0</v>
      </c>
      <c r="P1208">
        <f>IFERROR(VLOOKUP(F1208,[1]Parameters!$A$3:$C$5,3,FALSE),0)</f>
        <v>0</v>
      </c>
      <c r="Q1208">
        <f t="shared" si="18"/>
        <v>2.2999999999999998</v>
      </c>
      <c r="R1208" s="10">
        <f>IF('[1]Pizza Sales Calculations'!$G1208=TRUE, [1]Parameters!$B$17*'[1]Pizza Sales Calculations'!$L1208*2, 0)</f>
        <v>0</v>
      </c>
      <c r="S1208" t="str">
        <f>IF(I1208&lt;[1]Parameters!$B$21,"TRUE","FALSE")</f>
        <v>TRUE</v>
      </c>
      <c r="T1208" s="5">
        <f>(I1208/[1]Parameters!$B$25)*60</f>
        <v>0</v>
      </c>
      <c r="U1208" s="10">
        <f>IF(AND('[1]Pizza Sales Calculations'!G1208=TRUE,'[1]Pizza Sales Calculations'!S1208="TRUE"),T1208*[1]Parameters!$B$40*2,0)</f>
        <v>0</v>
      </c>
      <c r="V1208">
        <f>INDEX([1]Parameters!$A$3:$C$5,MATCH('[1]Pizza Sales Calculations'!D1208,[1]Parameters!$A$3:$A$5,0),2)</f>
        <v>14</v>
      </c>
      <c r="W1208" t="e">
        <f>INDEX([1]Parameters!$A$3:$C$5,MATCH('[1]Pizza Sales Calculations'!E1208,[1]Parameters!$A$3:$A$5,0),2)</f>
        <v>#N/A</v>
      </c>
      <c r="X1208" t="e">
        <f>INDEX([1]Parameters!$A$3:$C$5,MATCH('[1]Pizza Sales Calculations'!F1208,[1]Parameters!$A$3:$A$5,0),2)</f>
        <v>#N/A</v>
      </c>
    </row>
    <row r="1209" spans="1:24" x14ac:dyDescent="0.3">
      <c r="A1209">
        <v>1208</v>
      </c>
      <c r="B1209" s="14">
        <v>42382.535798611112</v>
      </c>
      <c r="C1209" s="14">
        <v>42382.546203703707</v>
      </c>
      <c r="D1209" t="s">
        <v>3</v>
      </c>
      <c r="E1209" t="s">
        <v>4</v>
      </c>
      <c r="G1209" t="b">
        <v>0</v>
      </c>
      <c r="H1209">
        <v>70805</v>
      </c>
      <c r="I1209" s="5">
        <v>0</v>
      </c>
      <c r="J1209" s="14">
        <v>42382.548275462963</v>
      </c>
      <c r="K1209">
        <v>19.579999999999998</v>
      </c>
      <c r="L1209" s="5">
        <f>('[1]Pizza Sales Calculations'!$J1209-'[1]Pizza Sales Calculations'!$C1209)*24*60</f>
        <v>2.9833333287388086</v>
      </c>
      <c r="M1209">
        <f>COUNTA('[1]Pizza Sales Calculations'!$D1209:$F1209)</f>
        <v>2</v>
      </c>
      <c r="N1209">
        <f>IFERROR(VLOOKUP(D1209,[1]Parameters!$A$3:$C$5,3,FALSE),0)</f>
        <v>1</v>
      </c>
      <c r="O1209">
        <f>IFERROR(VLOOKUP(E1209,[1]Parameters!$A$3:$C$5,3,FALSE),0)</f>
        <v>1.7</v>
      </c>
      <c r="P1209">
        <f>IFERROR(VLOOKUP(F1209,[1]Parameters!$A$3:$C$5,3,FALSE),0)</f>
        <v>0</v>
      </c>
      <c r="Q1209">
        <f t="shared" si="18"/>
        <v>2.7</v>
      </c>
      <c r="R1209" s="10">
        <f>IF('[1]Pizza Sales Calculations'!$G1209=TRUE, [1]Parameters!$B$17*'[1]Pizza Sales Calculations'!$L1209*2, 0)</f>
        <v>0</v>
      </c>
      <c r="S1209" t="str">
        <f>IF(I1209&lt;[1]Parameters!$B$21,"TRUE","FALSE")</f>
        <v>TRUE</v>
      </c>
      <c r="T1209" s="5">
        <f>(I1209/[1]Parameters!$B$25)*60</f>
        <v>0</v>
      </c>
      <c r="U1209" s="10">
        <f>IF(AND('[1]Pizza Sales Calculations'!G1209=TRUE,'[1]Pizza Sales Calculations'!S1209="TRUE"),T1209*[1]Parameters!$B$40*2,0)</f>
        <v>0</v>
      </c>
      <c r="V1209">
        <f>INDEX([1]Parameters!$A$3:$C$5,MATCH('[1]Pizza Sales Calculations'!D1209,[1]Parameters!$A$3:$A$5,0),2)</f>
        <v>7</v>
      </c>
      <c r="W1209">
        <f>INDEX([1]Parameters!$A$3:$C$5,MATCH('[1]Pizza Sales Calculations'!E1209,[1]Parameters!$A$3:$A$5,0),2)</f>
        <v>10</v>
      </c>
      <c r="X1209" t="e">
        <f>INDEX([1]Parameters!$A$3:$C$5,MATCH('[1]Pizza Sales Calculations'!F1209,[1]Parameters!$A$3:$A$5,0),2)</f>
        <v>#N/A</v>
      </c>
    </row>
    <row r="1210" spans="1:24" x14ac:dyDescent="0.3">
      <c r="A1210">
        <v>1209</v>
      </c>
      <c r="B1210" s="14">
        <v>42382.604560185187</v>
      </c>
      <c r="C1210" s="14">
        <v>42382.614999999998</v>
      </c>
      <c r="D1210" t="s">
        <v>4</v>
      </c>
      <c r="G1210" t="b">
        <v>1</v>
      </c>
      <c r="H1210">
        <v>70805</v>
      </c>
      <c r="I1210" s="5">
        <v>1.7471153657733101</v>
      </c>
      <c r="J1210" s="14">
        <v>42382.621064814812</v>
      </c>
      <c r="K1210">
        <v>11.59</v>
      </c>
      <c r="L1210" s="5">
        <f>('[1]Pizza Sales Calculations'!$J1210-'[1]Pizza Sales Calculations'!$C1210)*24*60</f>
        <v>8.733333331765607</v>
      </c>
      <c r="M1210">
        <f>COUNTA('[1]Pizza Sales Calculations'!$D1210:$F1210)</f>
        <v>1</v>
      </c>
      <c r="N1210">
        <f>IFERROR(VLOOKUP(D1210,[1]Parameters!$A$3:$C$5,3,FALSE),0)</f>
        <v>1.7</v>
      </c>
      <c r="O1210">
        <f>IFERROR(VLOOKUP(E1210,[1]Parameters!$A$3:$C$5,3,FALSE),0)</f>
        <v>0</v>
      </c>
      <c r="P1210">
        <f>IFERROR(VLOOKUP(F1210,[1]Parameters!$A$3:$C$5,3,FALSE),0)</f>
        <v>0</v>
      </c>
      <c r="Q1210">
        <f t="shared" si="18"/>
        <v>1.7</v>
      </c>
      <c r="R1210" s="10">
        <f>IF('[1]Pizza Sales Calculations'!$G1210=TRUE, [1]Parameters!$B$17*'[1]Pizza Sales Calculations'!$L1210*2, 0)</f>
        <v>2.4744444440002553</v>
      </c>
      <c r="S1210" t="str">
        <f>IF(I1210&lt;[1]Parameters!$B$21,"TRUE","FALSE")</f>
        <v>TRUE</v>
      </c>
      <c r="T1210" s="5">
        <f>(I1210/[1]Parameters!$B$25)*60</f>
        <v>3.4942307315466201</v>
      </c>
      <c r="U1210" s="10">
        <f>IF(AND('[1]Pizza Sales Calculations'!G1210=TRUE,'[1]Pizza Sales Calculations'!S1210="TRUE"),T1210*[1]Parameters!$B$40*2,0)</f>
        <v>0.21811906547734067</v>
      </c>
      <c r="V1210">
        <f>INDEX([1]Parameters!$A$3:$C$5,MATCH('[1]Pizza Sales Calculations'!D1210,[1]Parameters!$A$3:$A$5,0),2)</f>
        <v>10</v>
      </c>
      <c r="W1210" t="e">
        <f>INDEX([1]Parameters!$A$3:$C$5,MATCH('[1]Pizza Sales Calculations'!E1210,[1]Parameters!$A$3:$A$5,0),2)</f>
        <v>#N/A</v>
      </c>
      <c r="X1210" t="e">
        <f>INDEX([1]Parameters!$A$3:$C$5,MATCH('[1]Pizza Sales Calculations'!F1210,[1]Parameters!$A$3:$A$5,0),2)</f>
        <v>#N/A</v>
      </c>
    </row>
    <row r="1211" spans="1:24" x14ac:dyDescent="0.3">
      <c r="A1211">
        <v>1210</v>
      </c>
      <c r="B1211" s="14">
        <v>42382.462777777779</v>
      </c>
      <c r="C1211" s="14">
        <v>42382.473194444443</v>
      </c>
      <c r="D1211" t="s">
        <v>3</v>
      </c>
      <c r="E1211" t="s">
        <v>4</v>
      </c>
      <c r="G1211" t="b">
        <v>0</v>
      </c>
      <c r="H1211">
        <v>70806</v>
      </c>
      <c r="I1211" s="5">
        <v>0</v>
      </c>
      <c r="J1211" s="14">
        <v>42382.475277777776</v>
      </c>
      <c r="K1211">
        <v>19.579999999999998</v>
      </c>
      <c r="L1211" s="5">
        <f>('[1]Pizza Sales Calculations'!$J1211-'[1]Pizza Sales Calculations'!$C1211)*24*60</f>
        <v>2.9999999993015081</v>
      </c>
      <c r="M1211">
        <f>COUNTA('[1]Pizza Sales Calculations'!$D1211:$F1211)</f>
        <v>2</v>
      </c>
      <c r="N1211">
        <f>IFERROR(VLOOKUP(D1211,[1]Parameters!$A$3:$C$5,3,FALSE),0)</f>
        <v>1</v>
      </c>
      <c r="O1211">
        <f>IFERROR(VLOOKUP(E1211,[1]Parameters!$A$3:$C$5,3,FALSE),0)</f>
        <v>1.7</v>
      </c>
      <c r="P1211">
        <f>IFERROR(VLOOKUP(F1211,[1]Parameters!$A$3:$C$5,3,FALSE),0)</f>
        <v>0</v>
      </c>
      <c r="Q1211">
        <f t="shared" si="18"/>
        <v>2.7</v>
      </c>
      <c r="R1211" s="10">
        <f>IF('[1]Pizza Sales Calculations'!$G1211=TRUE, [1]Parameters!$B$17*'[1]Pizza Sales Calculations'!$L1211*2, 0)</f>
        <v>0</v>
      </c>
      <c r="S1211" t="str">
        <f>IF(I1211&lt;[1]Parameters!$B$21,"TRUE","FALSE")</f>
        <v>TRUE</v>
      </c>
      <c r="T1211" s="5">
        <f>(I1211/[1]Parameters!$B$25)*60</f>
        <v>0</v>
      </c>
      <c r="U1211" s="10">
        <f>IF(AND('[1]Pizza Sales Calculations'!G1211=TRUE,'[1]Pizza Sales Calculations'!S1211="TRUE"),T1211*[1]Parameters!$B$40*2,0)</f>
        <v>0</v>
      </c>
      <c r="V1211">
        <f>INDEX([1]Parameters!$A$3:$C$5,MATCH('[1]Pizza Sales Calculations'!D1211,[1]Parameters!$A$3:$A$5,0),2)</f>
        <v>7</v>
      </c>
      <c r="W1211">
        <f>INDEX([1]Parameters!$A$3:$C$5,MATCH('[1]Pizza Sales Calculations'!E1211,[1]Parameters!$A$3:$A$5,0),2)</f>
        <v>10</v>
      </c>
      <c r="X1211" t="e">
        <f>INDEX([1]Parameters!$A$3:$C$5,MATCH('[1]Pizza Sales Calculations'!F1211,[1]Parameters!$A$3:$A$5,0),2)</f>
        <v>#N/A</v>
      </c>
    </row>
    <row r="1212" spans="1:24" x14ac:dyDescent="0.3">
      <c r="A1212">
        <v>1211</v>
      </c>
      <c r="B1212" s="14">
        <v>42382.514293981483</v>
      </c>
      <c r="C1212" s="14">
        <v>42382.524722222224</v>
      </c>
      <c r="D1212" t="s">
        <v>5</v>
      </c>
      <c r="G1212" t="b">
        <v>1</v>
      </c>
      <c r="H1212">
        <v>70805</v>
      </c>
      <c r="I1212" s="5">
        <v>2.4661045731325002</v>
      </c>
      <c r="J1212" s="14">
        <v>42382.533275462964</v>
      </c>
      <c r="K1212">
        <v>15.35</v>
      </c>
      <c r="L1212" s="5">
        <f>('[1]Pizza Sales Calculations'!$J1212-'[1]Pizza Sales Calculations'!$C1212)*24*60</f>
        <v>12.316666664555669</v>
      </c>
      <c r="M1212">
        <f>COUNTA('[1]Pizza Sales Calculations'!$D1212:$F1212)</f>
        <v>1</v>
      </c>
      <c r="N1212">
        <f>IFERROR(VLOOKUP(D1212,[1]Parameters!$A$3:$C$5,3,FALSE),0)</f>
        <v>2.2999999999999998</v>
      </c>
      <c r="O1212">
        <f>IFERROR(VLOOKUP(E1212,[1]Parameters!$A$3:$C$5,3,FALSE),0)</f>
        <v>0</v>
      </c>
      <c r="P1212">
        <f>IFERROR(VLOOKUP(F1212,[1]Parameters!$A$3:$C$5,3,FALSE),0)</f>
        <v>0</v>
      </c>
      <c r="Q1212">
        <f t="shared" si="18"/>
        <v>2.2999999999999998</v>
      </c>
      <c r="R1212" s="10">
        <f>IF('[1]Pizza Sales Calculations'!$G1212=TRUE, [1]Parameters!$B$17*'[1]Pizza Sales Calculations'!$L1212*2, 0)</f>
        <v>3.4897222216241062</v>
      </c>
      <c r="S1212" t="str">
        <f>IF(I1212&lt;[1]Parameters!$B$21,"TRUE","FALSE")</f>
        <v>TRUE</v>
      </c>
      <c r="T1212" s="5">
        <f>(I1212/[1]Parameters!$B$25)*60</f>
        <v>4.9322091462650004</v>
      </c>
      <c r="U1212" s="10">
        <f>IF(AND('[1]Pizza Sales Calculations'!G1212=TRUE,'[1]Pizza Sales Calculations'!S1212="TRUE"),T1212*[1]Parameters!$B$40*2,0)</f>
        <v>0.30788145728600425</v>
      </c>
      <c r="V1212">
        <f>INDEX([1]Parameters!$A$3:$C$5,MATCH('[1]Pizza Sales Calculations'!D1212,[1]Parameters!$A$3:$A$5,0),2)</f>
        <v>14</v>
      </c>
      <c r="W1212" t="e">
        <f>INDEX([1]Parameters!$A$3:$C$5,MATCH('[1]Pizza Sales Calculations'!E1212,[1]Parameters!$A$3:$A$5,0),2)</f>
        <v>#N/A</v>
      </c>
      <c r="X1212" t="e">
        <f>INDEX([1]Parameters!$A$3:$C$5,MATCH('[1]Pizza Sales Calculations'!F1212,[1]Parameters!$A$3:$A$5,0),2)</f>
        <v>#N/A</v>
      </c>
    </row>
    <row r="1213" spans="1:24" x14ac:dyDescent="0.3">
      <c r="A1213">
        <v>1212</v>
      </c>
      <c r="B1213" s="14">
        <v>42382.447372685187</v>
      </c>
      <c r="C1213" s="14">
        <v>42382.457777777781</v>
      </c>
      <c r="D1213" t="s">
        <v>3</v>
      </c>
      <c r="G1213" t="b">
        <v>1</v>
      </c>
      <c r="H1213">
        <v>70804</v>
      </c>
      <c r="I1213" s="5">
        <v>3.57573829100942</v>
      </c>
      <c r="J1213" s="14">
        <v>42382.470185185186</v>
      </c>
      <c r="K1213">
        <v>7.99</v>
      </c>
      <c r="L1213" s="5">
        <f>('[1]Pizza Sales Calculations'!$J1213-'[1]Pizza Sales Calculations'!$C1213)*24*60</f>
        <v>17.86666666273959</v>
      </c>
      <c r="M1213">
        <f>COUNTA('[1]Pizza Sales Calculations'!$D1213:$F1213)</f>
        <v>1</v>
      </c>
      <c r="N1213">
        <f>IFERROR(VLOOKUP(D1213,[1]Parameters!$A$3:$C$5,3,FALSE),0)</f>
        <v>1</v>
      </c>
      <c r="O1213">
        <f>IFERROR(VLOOKUP(E1213,[1]Parameters!$A$3:$C$5,3,FALSE),0)</f>
        <v>0</v>
      </c>
      <c r="P1213">
        <f>IFERROR(VLOOKUP(F1213,[1]Parameters!$A$3:$C$5,3,FALSE),0)</f>
        <v>0</v>
      </c>
      <c r="Q1213">
        <f t="shared" si="18"/>
        <v>1</v>
      </c>
      <c r="R1213" s="10">
        <f>IF('[1]Pizza Sales Calculations'!$G1213=TRUE, [1]Parameters!$B$17*'[1]Pizza Sales Calculations'!$L1213*2, 0)</f>
        <v>5.0622222211095504</v>
      </c>
      <c r="S1213" t="str">
        <f>IF(I1213&lt;[1]Parameters!$B$21,"TRUE","FALSE")</f>
        <v>FALSE</v>
      </c>
      <c r="T1213" s="5">
        <f>(I1213/[1]Parameters!$B$25)*60</f>
        <v>7.15147658201884</v>
      </c>
      <c r="U1213" s="10">
        <f>IF(AND('[1]Pizza Sales Calculations'!G1213=TRUE,'[1]Pizza Sales Calculations'!S1213="TRUE"),T1213*[1]Parameters!$B$40*2,0)</f>
        <v>0</v>
      </c>
      <c r="V1213">
        <f>INDEX([1]Parameters!$A$3:$C$5,MATCH('[1]Pizza Sales Calculations'!D1213,[1]Parameters!$A$3:$A$5,0),2)</f>
        <v>7</v>
      </c>
      <c r="W1213" t="e">
        <f>INDEX([1]Parameters!$A$3:$C$5,MATCH('[1]Pizza Sales Calculations'!E1213,[1]Parameters!$A$3:$A$5,0),2)</f>
        <v>#N/A</v>
      </c>
      <c r="X1213" t="e">
        <f>INDEX([1]Parameters!$A$3:$C$5,MATCH('[1]Pizza Sales Calculations'!F1213,[1]Parameters!$A$3:$A$5,0),2)</f>
        <v>#N/A</v>
      </c>
    </row>
    <row r="1214" spans="1:24" x14ac:dyDescent="0.3">
      <c r="A1214">
        <v>1213</v>
      </c>
      <c r="B1214" s="14">
        <v>42382.617199074077</v>
      </c>
      <c r="C1214" s="14">
        <v>42382.627604166664</v>
      </c>
      <c r="D1214" t="s">
        <v>4</v>
      </c>
      <c r="G1214" t="b">
        <v>1</v>
      </c>
      <c r="H1214">
        <v>70805</v>
      </c>
      <c r="I1214" s="5">
        <v>2.4591858965944802</v>
      </c>
      <c r="J1214" s="14">
        <v>42382.636134259257</v>
      </c>
      <c r="K1214">
        <v>11.59</v>
      </c>
      <c r="L1214" s="5">
        <f>('[1]Pizza Sales Calculations'!$J1214-'[1]Pizza Sales Calculations'!$C1214)*24*60</f>
        <v>12.283333333907649</v>
      </c>
      <c r="M1214">
        <f>COUNTA('[1]Pizza Sales Calculations'!$D1214:$F1214)</f>
        <v>1</v>
      </c>
      <c r="N1214">
        <f>IFERROR(VLOOKUP(D1214,[1]Parameters!$A$3:$C$5,3,FALSE),0)</f>
        <v>1.7</v>
      </c>
      <c r="O1214">
        <f>IFERROR(VLOOKUP(E1214,[1]Parameters!$A$3:$C$5,3,FALSE),0)</f>
        <v>0</v>
      </c>
      <c r="P1214">
        <f>IFERROR(VLOOKUP(F1214,[1]Parameters!$A$3:$C$5,3,FALSE),0)</f>
        <v>0</v>
      </c>
      <c r="Q1214">
        <f t="shared" si="18"/>
        <v>1.7</v>
      </c>
      <c r="R1214" s="10">
        <f>IF('[1]Pizza Sales Calculations'!$G1214=TRUE, [1]Parameters!$B$17*'[1]Pizza Sales Calculations'!$L1214*2, 0)</f>
        <v>3.4802777779405005</v>
      </c>
      <c r="S1214" t="str">
        <f>IF(I1214&lt;[1]Parameters!$B$21,"TRUE","FALSE")</f>
        <v>TRUE</v>
      </c>
      <c r="T1214" s="5">
        <f>(I1214/[1]Parameters!$B$25)*60</f>
        <v>4.9183717931889603</v>
      </c>
      <c r="U1214" s="10">
        <f>IF(AND('[1]Pizza Sales Calculations'!G1214=TRUE,'[1]Pizza Sales Calculations'!S1214="TRUE"),T1214*[1]Parameters!$B$40*2,0)</f>
        <v>0.30701769334094564</v>
      </c>
      <c r="V1214">
        <f>INDEX([1]Parameters!$A$3:$C$5,MATCH('[1]Pizza Sales Calculations'!D1214,[1]Parameters!$A$3:$A$5,0),2)</f>
        <v>10</v>
      </c>
      <c r="W1214" t="e">
        <f>INDEX([1]Parameters!$A$3:$C$5,MATCH('[1]Pizza Sales Calculations'!E1214,[1]Parameters!$A$3:$A$5,0),2)</f>
        <v>#N/A</v>
      </c>
      <c r="X1214" t="e">
        <f>INDEX([1]Parameters!$A$3:$C$5,MATCH('[1]Pizza Sales Calculations'!F1214,[1]Parameters!$A$3:$A$5,0),2)</f>
        <v>#N/A</v>
      </c>
    </row>
    <row r="1215" spans="1:24" x14ac:dyDescent="0.3">
      <c r="A1215">
        <v>1214</v>
      </c>
      <c r="B1215" s="14">
        <v>42382.605497685188</v>
      </c>
      <c r="C1215" s="14">
        <v>42382.615914351853</v>
      </c>
      <c r="D1215" t="s">
        <v>3</v>
      </c>
      <c r="E1215" t="s">
        <v>4</v>
      </c>
      <c r="G1215" t="b">
        <v>1</v>
      </c>
      <c r="H1215">
        <v>70805</v>
      </c>
      <c r="I1215" s="5">
        <v>2.3391705283306199</v>
      </c>
      <c r="J1215" s="14">
        <v>42382.624027777776</v>
      </c>
      <c r="K1215">
        <v>19.579999999999998</v>
      </c>
      <c r="L1215" s="5">
        <f>('[1]Pizza Sales Calculations'!$J1215-'[1]Pizza Sales Calculations'!$C1215)*24*60</f>
        <v>11.683333329856396</v>
      </c>
      <c r="M1215">
        <f>COUNTA('[1]Pizza Sales Calculations'!$D1215:$F1215)</f>
        <v>2</v>
      </c>
      <c r="N1215">
        <f>IFERROR(VLOOKUP(D1215,[1]Parameters!$A$3:$C$5,3,FALSE),0)</f>
        <v>1</v>
      </c>
      <c r="O1215">
        <f>IFERROR(VLOOKUP(E1215,[1]Parameters!$A$3:$C$5,3,FALSE),0)</f>
        <v>1.7</v>
      </c>
      <c r="P1215">
        <f>IFERROR(VLOOKUP(F1215,[1]Parameters!$A$3:$C$5,3,FALSE),0)</f>
        <v>0</v>
      </c>
      <c r="Q1215">
        <f t="shared" si="18"/>
        <v>2.7</v>
      </c>
      <c r="R1215" s="10">
        <f>IF('[1]Pizza Sales Calculations'!$G1215=TRUE, [1]Parameters!$B$17*'[1]Pizza Sales Calculations'!$L1215*2, 0)</f>
        <v>3.3102777767926455</v>
      </c>
      <c r="S1215" t="str">
        <f>IF(I1215&lt;[1]Parameters!$B$21,"TRUE","FALSE")</f>
        <v>TRUE</v>
      </c>
      <c r="T1215" s="5">
        <f>(I1215/[1]Parameters!$B$25)*60</f>
        <v>4.6783410566612398</v>
      </c>
      <c r="U1215" s="10">
        <f>IF(AND('[1]Pizza Sales Calculations'!G1215=TRUE,'[1]Pizza Sales Calculations'!S1215="TRUE"),T1215*[1]Parameters!$B$40*2,0)</f>
        <v>0.2920343439402921</v>
      </c>
      <c r="V1215">
        <f>INDEX([1]Parameters!$A$3:$C$5,MATCH('[1]Pizza Sales Calculations'!D1215,[1]Parameters!$A$3:$A$5,0),2)</f>
        <v>7</v>
      </c>
      <c r="W1215">
        <f>INDEX([1]Parameters!$A$3:$C$5,MATCH('[1]Pizza Sales Calculations'!E1215,[1]Parameters!$A$3:$A$5,0),2)</f>
        <v>10</v>
      </c>
      <c r="X1215" t="e">
        <f>INDEX([1]Parameters!$A$3:$C$5,MATCH('[1]Pizza Sales Calculations'!F1215,[1]Parameters!$A$3:$A$5,0),2)</f>
        <v>#N/A</v>
      </c>
    </row>
    <row r="1216" spans="1:24" x14ac:dyDescent="0.3">
      <c r="A1216">
        <v>1215</v>
      </c>
      <c r="B1216" s="14">
        <v>42382.48201388889</v>
      </c>
      <c r="C1216" s="14">
        <v>42382.492442129631</v>
      </c>
      <c r="D1216" t="s">
        <v>3</v>
      </c>
      <c r="G1216" t="b">
        <v>0</v>
      </c>
      <c r="H1216">
        <v>70806</v>
      </c>
      <c r="I1216" s="5">
        <v>0</v>
      </c>
      <c r="J1216" s="14">
        <v>42382.494513888887</v>
      </c>
      <c r="K1216">
        <v>7.99</v>
      </c>
      <c r="L1216" s="5">
        <f>('[1]Pizza Sales Calculations'!$J1216-'[1]Pizza Sales Calculations'!$C1216)*24*60</f>
        <v>2.9833333287388086</v>
      </c>
      <c r="M1216">
        <f>COUNTA('[1]Pizza Sales Calculations'!$D1216:$F1216)</f>
        <v>1</v>
      </c>
      <c r="N1216">
        <f>IFERROR(VLOOKUP(D1216,[1]Parameters!$A$3:$C$5,3,FALSE),0)</f>
        <v>1</v>
      </c>
      <c r="O1216">
        <f>IFERROR(VLOOKUP(E1216,[1]Parameters!$A$3:$C$5,3,FALSE),0)</f>
        <v>0</v>
      </c>
      <c r="P1216">
        <f>IFERROR(VLOOKUP(F1216,[1]Parameters!$A$3:$C$5,3,FALSE),0)</f>
        <v>0</v>
      </c>
      <c r="Q1216">
        <f t="shared" si="18"/>
        <v>1</v>
      </c>
      <c r="R1216" s="10">
        <f>IF('[1]Pizza Sales Calculations'!$G1216=TRUE, [1]Parameters!$B$17*'[1]Pizza Sales Calculations'!$L1216*2, 0)</f>
        <v>0</v>
      </c>
      <c r="S1216" t="str">
        <f>IF(I1216&lt;[1]Parameters!$B$21,"TRUE","FALSE")</f>
        <v>TRUE</v>
      </c>
      <c r="T1216" s="5">
        <f>(I1216/[1]Parameters!$B$25)*60</f>
        <v>0</v>
      </c>
      <c r="U1216" s="10">
        <f>IF(AND('[1]Pizza Sales Calculations'!G1216=TRUE,'[1]Pizza Sales Calculations'!S1216="TRUE"),T1216*[1]Parameters!$B$40*2,0)</f>
        <v>0</v>
      </c>
      <c r="V1216">
        <f>INDEX([1]Parameters!$A$3:$C$5,MATCH('[1]Pizza Sales Calculations'!D1216,[1]Parameters!$A$3:$A$5,0),2)</f>
        <v>7</v>
      </c>
      <c r="W1216" t="e">
        <f>INDEX([1]Parameters!$A$3:$C$5,MATCH('[1]Pizza Sales Calculations'!E1216,[1]Parameters!$A$3:$A$5,0),2)</f>
        <v>#N/A</v>
      </c>
      <c r="X1216" t="e">
        <f>INDEX([1]Parameters!$A$3:$C$5,MATCH('[1]Pizza Sales Calculations'!F1216,[1]Parameters!$A$3:$A$5,0),2)</f>
        <v>#N/A</v>
      </c>
    </row>
    <row r="1217" spans="1:24" x14ac:dyDescent="0.3">
      <c r="A1217">
        <v>1216</v>
      </c>
      <c r="B1217" s="14">
        <v>42382.546631944446</v>
      </c>
      <c r="C1217" s="14">
        <v>42382.557060185187</v>
      </c>
      <c r="D1217" t="s">
        <v>5</v>
      </c>
      <c r="G1217" t="b">
        <v>0</v>
      </c>
      <c r="H1217">
        <v>70805</v>
      </c>
      <c r="I1217" s="5">
        <v>0</v>
      </c>
      <c r="J1217" s="14">
        <v>42382.559155092589</v>
      </c>
      <c r="K1217">
        <v>15.35</v>
      </c>
      <c r="L1217" s="5">
        <f>('[1]Pizza Sales Calculations'!$J1217-'[1]Pizza Sales Calculations'!$C1217)*24*60</f>
        <v>3.0166666593868285</v>
      </c>
      <c r="M1217">
        <f>COUNTA('[1]Pizza Sales Calculations'!$D1217:$F1217)</f>
        <v>1</v>
      </c>
      <c r="N1217">
        <f>IFERROR(VLOOKUP(D1217,[1]Parameters!$A$3:$C$5,3,FALSE),0)</f>
        <v>2.2999999999999998</v>
      </c>
      <c r="O1217">
        <f>IFERROR(VLOOKUP(E1217,[1]Parameters!$A$3:$C$5,3,FALSE),0)</f>
        <v>0</v>
      </c>
      <c r="P1217">
        <f>IFERROR(VLOOKUP(F1217,[1]Parameters!$A$3:$C$5,3,FALSE),0)</f>
        <v>0</v>
      </c>
      <c r="Q1217">
        <f t="shared" si="18"/>
        <v>2.2999999999999998</v>
      </c>
      <c r="R1217" s="10">
        <f>IF('[1]Pizza Sales Calculations'!$G1217=TRUE, [1]Parameters!$B$17*'[1]Pizza Sales Calculations'!$L1217*2, 0)</f>
        <v>0</v>
      </c>
      <c r="S1217" t="str">
        <f>IF(I1217&lt;[1]Parameters!$B$21,"TRUE","FALSE")</f>
        <v>TRUE</v>
      </c>
      <c r="T1217" s="5">
        <f>(I1217/[1]Parameters!$B$25)*60</f>
        <v>0</v>
      </c>
      <c r="U1217" s="10">
        <f>IF(AND('[1]Pizza Sales Calculations'!G1217=TRUE,'[1]Pizza Sales Calculations'!S1217="TRUE"),T1217*[1]Parameters!$B$40*2,0)</f>
        <v>0</v>
      </c>
      <c r="V1217">
        <f>INDEX([1]Parameters!$A$3:$C$5,MATCH('[1]Pizza Sales Calculations'!D1217,[1]Parameters!$A$3:$A$5,0),2)</f>
        <v>14</v>
      </c>
      <c r="W1217" t="e">
        <f>INDEX([1]Parameters!$A$3:$C$5,MATCH('[1]Pizza Sales Calculations'!E1217,[1]Parameters!$A$3:$A$5,0),2)</f>
        <v>#N/A</v>
      </c>
      <c r="X1217" t="e">
        <f>INDEX([1]Parameters!$A$3:$C$5,MATCH('[1]Pizza Sales Calculations'!F1217,[1]Parameters!$A$3:$A$5,0),2)</f>
        <v>#N/A</v>
      </c>
    </row>
    <row r="1218" spans="1:24" x14ac:dyDescent="0.3">
      <c r="A1218">
        <v>1217</v>
      </c>
      <c r="B1218" s="14">
        <v>42382.508009259262</v>
      </c>
      <c r="C1218" s="14">
        <v>42382.518437500003</v>
      </c>
      <c r="D1218" t="s">
        <v>4</v>
      </c>
      <c r="G1218" t="b">
        <v>0</v>
      </c>
      <c r="H1218">
        <v>70806</v>
      </c>
      <c r="I1218" s="5">
        <v>0</v>
      </c>
      <c r="J1218" s="14">
        <v>42382.520520833335</v>
      </c>
      <c r="K1218">
        <v>11.59</v>
      </c>
      <c r="L1218" s="5">
        <f>('[1]Pizza Sales Calculations'!$J1218-'[1]Pizza Sales Calculations'!$C1218)*24*60</f>
        <v>2.9999999993015081</v>
      </c>
      <c r="M1218">
        <f>COUNTA('[1]Pizza Sales Calculations'!$D1218:$F1218)</f>
        <v>1</v>
      </c>
      <c r="N1218">
        <f>IFERROR(VLOOKUP(D1218,[1]Parameters!$A$3:$C$5,3,FALSE),0)</f>
        <v>1.7</v>
      </c>
      <c r="O1218">
        <f>IFERROR(VLOOKUP(E1218,[1]Parameters!$A$3:$C$5,3,FALSE),0)</f>
        <v>0</v>
      </c>
      <c r="P1218">
        <f>IFERROR(VLOOKUP(F1218,[1]Parameters!$A$3:$C$5,3,FALSE),0)</f>
        <v>0</v>
      </c>
      <c r="Q1218">
        <f t="shared" si="18"/>
        <v>1.7</v>
      </c>
      <c r="R1218" s="10">
        <f>IF('[1]Pizza Sales Calculations'!$G1218=TRUE, [1]Parameters!$B$17*'[1]Pizza Sales Calculations'!$L1218*2, 0)</f>
        <v>0</v>
      </c>
      <c r="S1218" t="str">
        <f>IF(I1218&lt;[1]Parameters!$B$21,"TRUE","FALSE")</f>
        <v>TRUE</v>
      </c>
      <c r="T1218" s="5">
        <f>(I1218/[1]Parameters!$B$25)*60</f>
        <v>0</v>
      </c>
      <c r="U1218" s="10">
        <f>IF(AND('[1]Pizza Sales Calculations'!G1218=TRUE,'[1]Pizza Sales Calculations'!S1218="TRUE"),T1218*[1]Parameters!$B$40*2,0)</f>
        <v>0</v>
      </c>
      <c r="V1218">
        <f>INDEX([1]Parameters!$A$3:$C$5,MATCH('[1]Pizza Sales Calculations'!D1218,[1]Parameters!$A$3:$A$5,0),2)</f>
        <v>10</v>
      </c>
      <c r="W1218" t="e">
        <f>INDEX([1]Parameters!$A$3:$C$5,MATCH('[1]Pizza Sales Calculations'!E1218,[1]Parameters!$A$3:$A$5,0),2)</f>
        <v>#N/A</v>
      </c>
      <c r="X1218" t="e">
        <f>INDEX([1]Parameters!$A$3:$C$5,MATCH('[1]Pizza Sales Calculations'!F1218,[1]Parameters!$A$3:$A$5,0),2)</f>
        <v>#N/A</v>
      </c>
    </row>
    <row r="1219" spans="1:24" x14ac:dyDescent="0.3">
      <c r="A1219">
        <v>1218</v>
      </c>
      <c r="B1219" s="14">
        <v>42382.44054398148</v>
      </c>
      <c r="C1219" s="14">
        <v>42382.450949074075</v>
      </c>
      <c r="D1219" t="s">
        <v>5</v>
      </c>
      <c r="G1219" t="b">
        <v>1</v>
      </c>
      <c r="H1219">
        <v>70803</v>
      </c>
      <c r="I1219" s="5">
        <v>3.95950858469384</v>
      </c>
      <c r="J1219" s="14">
        <v>42382.464687500003</v>
      </c>
      <c r="K1219">
        <v>15.35</v>
      </c>
      <c r="L1219" s="5">
        <f>('[1]Pizza Sales Calculations'!$J1219-'[1]Pizza Sales Calculations'!$C1219)*24*60</f>
        <v>19.783333337400109</v>
      </c>
      <c r="M1219">
        <f>COUNTA('[1]Pizza Sales Calculations'!$D1219:$F1219)</f>
        <v>1</v>
      </c>
      <c r="N1219">
        <f>IFERROR(VLOOKUP(D1219,[1]Parameters!$A$3:$C$5,3,FALSE),0)</f>
        <v>2.2999999999999998</v>
      </c>
      <c r="O1219">
        <f>IFERROR(VLOOKUP(E1219,[1]Parameters!$A$3:$C$5,3,FALSE),0)</f>
        <v>0</v>
      </c>
      <c r="P1219">
        <f>IFERROR(VLOOKUP(F1219,[1]Parameters!$A$3:$C$5,3,FALSE),0)</f>
        <v>0</v>
      </c>
      <c r="Q1219">
        <f t="shared" ref="Q1219:Q1282" si="19">SUM(N1219:P1219)</f>
        <v>2.2999999999999998</v>
      </c>
      <c r="R1219" s="10">
        <f>IF('[1]Pizza Sales Calculations'!$G1219=TRUE, [1]Parameters!$B$17*'[1]Pizza Sales Calculations'!$L1219*2, 0)</f>
        <v>5.6052777789300308</v>
      </c>
      <c r="S1219" t="str">
        <f>IF(I1219&lt;[1]Parameters!$B$21,"TRUE","FALSE")</f>
        <v>FALSE</v>
      </c>
      <c r="T1219" s="5">
        <f>(I1219/[1]Parameters!$B$25)*60</f>
        <v>7.9190171693876801</v>
      </c>
      <c r="U1219" s="10">
        <f>IF(AND('[1]Pizza Sales Calculations'!G1219=TRUE,'[1]Pizza Sales Calculations'!S1219="TRUE"),T1219*[1]Parameters!$B$40*2,0)</f>
        <v>0</v>
      </c>
      <c r="V1219">
        <f>INDEX([1]Parameters!$A$3:$C$5,MATCH('[1]Pizza Sales Calculations'!D1219,[1]Parameters!$A$3:$A$5,0),2)</f>
        <v>14</v>
      </c>
      <c r="W1219" t="e">
        <f>INDEX([1]Parameters!$A$3:$C$5,MATCH('[1]Pizza Sales Calculations'!E1219,[1]Parameters!$A$3:$A$5,0),2)</f>
        <v>#N/A</v>
      </c>
      <c r="X1219" t="e">
        <f>INDEX([1]Parameters!$A$3:$C$5,MATCH('[1]Pizza Sales Calculations'!F1219,[1]Parameters!$A$3:$A$5,0),2)</f>
        <v>#N/A</v>
      </c>
    </row>
    <row r="1220" spans="1:24" x14ac:dyDescent="0.3">
      <c r="A1220">
        <v>1219</v>
      </c>
      <c r="B1220" s="14">
        <v>42382.496180555558</v>
      </c>
      <c r="C1220" s="14">
        <v>42382.506585648145</v>
      </c>
      <c r="D1220" t="s">
        <v>3</v>
      </c>
      <c r="E1220" t="s">
        <v>5</v>
      </c>
      <c r="G1220" t="b">
        <v>1</v>
      </c>
      <c r="H1220">
        <v>70804</v>
      </c>
      <c r="I1220" s="5">
        <v>2.3359625215003801</v>
      </c>
      <c r="J1220" s="14">
        <v>42382.514687499999</v>
      </c>
      <c r="K1220">
        <v>23.34</v>
      </c>
      <c r="L1220" s="5">
        <f>('[1]Pizza Sales Calculations'!$J1220-'[1]Pizza Sales Calculations'!$C1220)*24*60</f>
        <v>11.666666669771075</v>
      </c>
      <c r="M1220">
        <f>COUNTA('[1]Pizza Sales Calculations'!$D1220:$F1220)</f>
        <v>2</v>
      </c>
      <c r="N1220">
        <f>IFERROR(VLOOKUP(D1220,[1]Parameters!$A$3:$C$5,3,FALSE),0)</f>
        <v>1</v>
      </c>
      <c r="O1220">
        <f>IFERROR(VLOOKUP(E1220,[1]Parameters!$A$3:$C$5,3,FALSE),0)</f>
        <v>2.2999999999999998</v>
      </c>
      <c r="P1220">
        <f>IFERROR(VLOOKUP(F1220,[1]Parameters!$A$3:$C$5,3,FALSE),0)</f>
        <v>0</v>
      </c>
      <c r="Q1220">
        <f t="shared" si="19"/>
        <v>3.3</v>
      </c>
      <c r="R1220" s="10">
        <f>IF('[1]Pizza Sales Calculations'!$G1220=TRUE, [1]Parameters!$B$17*'[1]Pizza Sales Calculations'!$L1220*2, 0)</f>
        <v>3.305555556435138</v>
      </c>
      <c r="S1220" t="str">
        <f>IF(I1220&lt;[1]Parameters!$B$21,"TRUE","FALSE")</f>
        <v>TRUE</v>
      </c>
      <c r="T1220" s="5">
        <f>(I1220/[1]Parameters!$B$25)*60</f>
        <v>4.6719250430007602</v>
      </c>
      <c r="U1220" s="10">
        <f>IF(AND('[1]Pizza Sales Calculations'!G1220=TRUE,'[1]Pizza Sales Calculations'!S1220="TRUE"),T1220*[1]Parameters!$B$40*2,0)</f>
        <v>0.29163383950563093</v>
      </c>
      <c r="V1220">
        <f>INDEX([1]Parameters!$A$3:$C$5,MATCH('[1]Pizza Sales Calculations'!D1220,[1]Parameters!$A$3:$A$5,0),2)</f>
        <v>7</v>
      </c>
      <c r="W1220">
        <f>INDEX([1]Parameters!$A$3:$C$5,MATCH('[1]Pizza Sales Calculations'!E1220,[1]Parameters!$A$3:$A$5,0),2)</f>
        <v>14</v>
      </c>
      <c r="X1220" t="e">
        <f>INDEX([1]Parameters!$A$3:$C$5,MATCH('[1]Pizza Sales Calculations'!F1220,[1]Parameters!$A$3:$A$5,0),2)</f>
        <v>#N/A</v>
      </c>
    </row>
    <row r="1221" spans="1:24" x14ac:dyDescent="0.3">
      <c r="A1221">
        <v>1220</v>
      </c>
      <c r="B1221" s="14">
        <v>42382.470520833333</v>
      </c>
      <c r="C1221" s="14">
        <v>42382.480937499997</v>
      </c>
      <c r="D1221" t="s">
        <v>3</v>
      </c>
      <c r="E1221" t="s">
        <v>4</v>
      </c>
      <c r="G1221" t="b">
        <v>0</v>
      </c>
      <c r="H1221">
        <v>70804</v>
      </c>
      <c r="I1221" s="5">
        <v>0</v>
      </c>
      <c r="J1221" s="14">
        <v>42382.483020833337</v>
      </c>
      <c r="K1221">
        <v>19.579999999999998</v>
      </c>
      <c r="L1221" s="5">
        <f>('[1]Pizza Sales Calculations'!$J1221-'[1]Pizza Sales Calculations'!$C1221)*24*60</f>
        <v>3.000000009778887</v>
      </c>
      <c r="M1221">
        <f>COUNTA('[1]Pizza Sales Calculations'!$D1221:$F1221)</f>
        <v>2</v>
      </c>
      <c r="N1221">
        <f>IFERROR(VLOOKUP(D1221,[1]Parameters!$A$3:$C$5,3,FALSE),0)</f>
        <v>1</v>
      </c>
      <c r="O1221">
        <f>IFERROR(VLOOKUP(E1221,[1]Parameters!$A$3:$C$5,3,FALSE),0)</f>
        <v>1.7</v>
      </c>
      <c r="P1221">
        <f>IFERROR(VLOOKUP(F1221,[1]Parameters!$A$3:$C$5,3,FALSE),0)</f>
        <v>0</v>
      </c>
      <c r="Q1221">
        <f t="shared" si="19"/>
        <v>2.7</v>
      </c>
      <c r="R1221" s="10">
        <f>IF('[1]Pizza Sales Calculations'!$G1221=TRUE, [1]Parameters!$B$17*'[1]Pizza Sales Calculations'!$L1221*2, 0)</f>
        <v>0</v>
      </c>
      <c r="S1221" t="str">
        <f>IF(I1221&lt;[1]Parameters!$B$21,"TRUE","FALSE")</f>
        <v>TRUE</v>
      </c>
      <c r="T1221" s="5">
        <f>(I1221/[1]Parameters!$B$25)*60</f>
        <v>0</v>
      </c>
      <c r="U1221" s="10">
        <f>IF(AND('[1]Pizza Sales Calculations'!G1221=TRUE,'[1]Pizza Sales Calculations'!S1221="TRUE"),T1221*[1]Parameters!$B$40*2,0)</f>
        <v>0</v>
      </c>
      <c r="V1221">
        <f>INDEX([1]Parameters!$A$3:$C$5,MATCH('[1]Pizza Sales Calculations'!D1221,[1]Parameters!$A$3:$A$5,0),2)</f>
        <v>7</v>
      </c>
      <c r="W1221">
        <f>INDEX([1]Parameters!$A$3:$C$5,MATCH('[1]Pizza Sales Calculations'!E1221,[1]Parameters!$A$3:$A$5,0),2)</f>
        <v>10</v>
      </c>
      <c r="X1221" t="e">
        <f>INDEX([1]Parameters!$A$3:$C$5,MATCH('[1]Pizza Sales Calculations'!F1221,[1]Parameters!$A$3:$A$5,0),2)</f>
        <v>#N/A</v>
      </c>
    </row>
    <row r="1222" spans="1:24" x14ac:dyDescent="0.3">
      <c r="A1222">
        <v>1221</v>
      </c>
      <c r="B1222" s="14">
        <v>42382.520092592589</v>
      </c>
      <c r="C1222" s="14">
        <v>42382.530497685184</v>
      </c>
      <c r="D1222" t="s">
        <v>3</v>
      </c>
      <c r="E1222" t="s">
        <v>4</v>
      </c>
      <c r="G1222" t="b">
        <v>1</v>
      </c>
      <c r="H1222">
        <v>70803</v>
      </c>
      <c r="I1222" s="5">
        <v>2.0228570583078498</v>
      </c>
      <c r="J1222" s="14">
        <v>42382.537511574075</v>
      </c>
      <c r="K1222">
        <v>19.579999999999998</v>
      </c>
      <c r="L1222" s="5">
        <f>('[1]Pizza Sales Calculations'!$J1222-'[1]Pizza Sales Calculations'!$C1222)*24*60</f>
        <v>10.100000003585592</v>
      </c>
      <c r="M1222">
        <f>COUNTA('[1]Pizza Sales Calculations'!$D1222:$F1222)</f>
        <v>2</v>
      </c>
      <c r="N1222">
        <f>IFERROR(VLOOKUP(D1222,[1]Parameters!$A$3:$C$5,3,FALSE),0)</f>
        <v>1</v>
      </c>
      <c r="O1222">
        <f>IFERROR(VLOOKUP(E1222,[1]Parameters!$A$3:$C$5,3,FALSE),0)</f>
        <v>1.7</v>
      </c>
      <c r="P1222">
        <f>IFERROR(VLOOKUP(F1222,[1]Parameters!$A$3:$C$5,3,FALSE),0)</f>
        <v>0</v>
      </c>
      <c r="Q1222">
        <f t="shared" si="19"/>
        <v>2.7</v>
      </c>
      <c r="R1222" s="10">
        <f>IF('[1]Pizza Sales Calculations'!$G1222=TRUE, [1]Parameters!$B$17*'[1]Pizza Sales Calculations'!$L1222*2, 0)</f>
        <v>2.8616666676825844</v>
      </c>
      <c r="S1222" t="str">
        <f>IF(I1222&lt;[1]Parameters!$B$21,"TRUE","FALSE")</f>
        <v>TRUE</v>
      </c>
      <c r="T1222" s="5">
        <f>(I1222/[1]Parameters!$B$25)*60</f>
        <v>4.0457141166156996</v>
      </c>
      <c r="U1222" s="10">
        <f>IF(AND('[1]Pizza Sales Calculations'!G1222=TRUE,'[1]Pizza Sales Calculations'!S1222="TRUE"),T1222*[1]Parameters!$B$40*2,0)</f>
        <v>0.25254410773100594</v>
      </c>
      <c r="V1222">
        <f>INDEX([1]Parameters!$A$3:$C$5,MATCH('[1]Pizza Sales Calculations'!D1222,[1]Parameters!$A$3:$A$5,0),2)</f>
        <v>7</v>
      </c>
      <c r="W1222">
        <f>INDEX([1]Parameters!$A$3:$C$5,MATCH('[1]Pizza Sales Calculations'!E1222,[1]Parameters!$A$3:$A$5,0),2)</f>
        <v>10</v>
      </c>
      <c r="X1222" t="e">
        <f>INDEX([1]Parameters!$A$3:$C$5,MATCH('[1]Pizza Sales Calculations'!F1222,[1]Parameters!$A$3:$A$5,0),2)</f>
        <v>#N/A</v>
      </c>
    </row>
    <row r="1223" spans="1:24" x14ac:dyDescent="0.3">
      <c r="A1223">
        <v>1222</v>
      </c>
      <c r="B1223" s="14">
        <v>42382.506597222222</v>
      </c>
      <c r="C1223" s="14">
        <v>42382.517025462963</v>
      </c>
      <c r="D1223" t="s">
        <v>5</v>
      </c>
      <c r="G1223" t="b">
        <v>1</v>
      </c>
      <c r="H1223">
        <v>70804</v>
      </c>
      <c r="I1223" s="5">
        <v>1.1041806734280499</v>
      </c>
      <c r="J1223" s="14">
        <v>42382.520856481482</v>
      </c>
      <c r="K1223">
        <v>15.35</v>
      </c>
      <c r="L1223" s="5">
        <f>('[1]Pizza Sales Calculations'!$J1223-'[1]Pizza Sales Calculations'!$C1223)*24*60</f>
        <v>5.5166666675359011</v>
      </c>
      <c r="M1223">
        <f>COUNTA('[1]Pizza Sales Calculations'!$D1223:$F1223)</f>
        <v>1</v>
      </c>
      <c r="N1223">
        <f>IFERROR(VLOOKUP(D1223,[1]Parameters!$A$3:$C$5,3,FALSE),0)</f>
        <v>2.2999999999999998</v>
      </c>
      <c r="O1223">
        <f>IFERROR(VLOOKUP(E1223,[1]Parameters!$A$3:$C$5,3,FALSE),0)</f>
        <v>0</v>
      </c>
      <c r="P1223">
        <f>IFERROR(VLOOKUP(F1223,[1]Parameters!$A$3:$C$5,3,FALSE),0)</f>
        <v>0</v>
      </c>
      <c r="Q1223">
        <f t="shared" si="19"/>
        <v>2.2999999999999998</v>
      </c>
      <c r="R1223" s="10">
        <f>IF('[1]Pizza Sales Calculations'!$G1223=TRUE, [1]Parameters!$B$17*'[1]Pizza Sales Calculations'!$L1223*2, 0)</f>
        <v>1.5630555558018386</v>
      </c>
      <c r="S1223" t="str">
        <f>IF(I1223&lt;[1]Parameters!$B$21,"TRUE","FALSE")</f>
        <v>TRUE</v>
      </c>
      <c r="T1223" s="5">
        <f>(I1223/[1]Parameters!$B$25)*60</f>
        <v>2.2083613468560999</v>
      </c>
      <c r="U1223" s="10">
        <f>IF(AND('[1]Pizza Sales Calculations'!G1223=TRUE,'[1]Pizza Sales Calculations'!S1223="TRUE"),T1223*[1]Parameters!$B$40*2,0)</f>
        <v>0.1378517190819078</v>
      </c>
      <c r="V1223">
        <f>INDEX([1]Parameters!$A$3:$C$5,MATCH('[1]Pizza Sales Calculations'!D1223,[1]Parameters!$A$3:$A$5,0),2)</f>
        <v>14</v>
      </c>
      <c r="W1223" t="e">
        <f>INDEX([1]Parameters!$A$3:$C$5,MATCH('[1]Pizza Sales Calculations'!E1223,[1]Parameters!$A$3:$A$5,0),2)</f>
        <v>#N/A</v>
      </c>
      <c r="X1223" t="e">
        <f>INDEX([1]Parameters!$A$3:$C$5,MATCH('[1]Pizza Sales Calculations'!F1223,[1]Parameters!$A$3:$A$5,0),2)</f>
        <v>#N/A</v>
      </c>
    </row>
    <row r="1224" spans="1:24" x14ac:dyDescent="0.3">
      <c r="A1224">
        <v>1223</v>
      </c>
      <c r="B1224" s="14">
        <v>42382.581770833334</v>
      </c>
      <c r="C1224" s="14">
        <v>42382.592187499999</v>
      </c>
      <c r="D1224" t="s">
        <v>4</v>
      </c>
      <c r="E1224" t="s">
        <v>5</v>
      </c>
      <c r="G1224" t="b">
        <v>1</v>
      </c>
      <c r="H1224">
        <v>70805</v>
      </c>
      <c r="I1224" s="5">
        <v>2.0394656004281102</v>
      </c>
      <c r="J1224" s="14">
        <v>42382.599259259259</v>
      </c>
      <c r="K1224">
        <v>25.94</v>
      </c>
      <c r="L1224" s="5">
        <f>('[1]Pizza Sales Calculations'!$J1224-'[1]Pizza Sales Calculations'!$C1224)*24*60</f>
        <v>10.183333335444331</v>
      </c>
      <c r="M1224">
        <f>COUNTA('[1]Pizza Sales Calculations'!$D1224:$F1224)</f>
        <v>2</v>
      </c>
      <c r="N1224">
        <f>IFERROR(VLOOKUP(D1224,[1]Parameters!$A$3:$C$5,3,FALSE),0)</f>
        <v>1.7</v>
      </c>
      <c r="O1224">
        <f>IFERROR(VLOOKUP(E1224,[1]Parameters!$A$3:$C$5,3,FALSE),0)</f>
        <v>2.2999999999999998</v>
      </c>
      <c r="P1224">
        <f>IFERROR(VLOOKUP(F1224,[1]Parameters!$A$3:$C$5,3,FALSE),0)</f>
        <v>0</v>
      </c>
      <c r="Q1224">
        <f t="shared" si="19"/>
        <v>4</v>
      </c>
      <c r="R1224" s="10">
        <f>IF('[1]Pizza Sales Calculations'!$G1224=TRUE, [1]Parameters!$B$17*'[1]Pizza Sales Calculations'!$L1224*2, 0)</f>
        <v>2.8852777783758938</v>
      </c>
      <c r="S1224" t="str">
        <f>IF(I1224&lt;[1]Parameters!$B$21,"TRUE","FALSE")</f>
        <v>TRUE</v>
      </c>
      <c r="T1224" s="5">
        <f>(I1224/[1]Parameters!$B$25)*60</f>
        <v>4.0789312008562204</v>
      </c>
      <c r="U1224" s="10">
        <f>IF(AND('[1]Pizza Sales Calculations'!G1224=TRUE,'[1]Pizza Sales Calculations'!S1224="TRUE"),T1224*[1]Parameters!$B$40*2,0)</f>
        <v>0.25461760542736944</v>
      </c>
      <c r="V1224">
        <f>INDEX([1]Parameters!$A$3:$C$5,MATCH('[1]Pizza Sales Calculations'!D1224,[1]Parameters!$A$3:$A$5,0),2)</f>
        <v>10</v>
      </c>
      <c r="W1224">
        <f>INDEX([1]Parameters!$A$3:$C$5,MATCH('[1]Pizza Sales Calculations'!E1224,[1]Parameters!$A$3:$A$5,0),2)</f>
        <v>14</v>
      </c>
      <c r="X1224" t="e">
        <f>INDEX([1]Parameters!$A$3:$C$5,MATCH('[1]Pizza Sales Calculations'!F1224,[1]Parameters!$A$3:$A$5,0),2)</f>
        <v>#N/A</v>
      </c>
    </row>
    <row r="1225" spans="1:24" x14ac:dyDescent="0.3">
      <c r="A1225">
        <v>1224</v>
      </c>
      <c r="B1225" s="14">
        <v>42382.522569444445</v>
      </c>
      <c r="C1225" s="14">
        <v>42382.532997685186</v>
      </c>
      <c r="D1225" t="s">
        <v>3</v>
      </c>
      <c r="E1225" t="s">
        <v>4</v>
      </c>
      <c r="G1225" t="b">
        <v>1</v>
      </c>
      <c r="H1225">
        <v>70806</v>
      </c>
      <c r="I1225" s="5">
        <v>2.7064579403922799</v>
      </c>
      <c r="J1225" s="14">
        <v>42382.542384259257</v>
      </c>
      <c r="K1225">
        <v>19.579999999999998</v>
      </c>
      <c r="L1225" s="5">
        <f>('[1]Pizza Sales Calculations'!$J1225-'[1]Pizza Sales Calculations'!$C1225)*24*60</f>
        <v>13.516666662180796</v>
      </c>
      <c r="M1225">
        <f>COUNTA('[1]Pizza Sales Calculations'!$D1225:$F1225)</f>
        <v>2</v>
      </c>
      <c r="N1225">
        <f>IFERROR(VLOOKUP(D1225,[1]Parameters!$A$3:$C$5,3,FALSE),0)</f>
        <v>1</v>
      </c>
      <c r="O1225">
        <f>IFERROR(VLOOKUP(E1225,[1]Parameters!$A$3:$C$5,3,FALSE),0)</f>
        <v>1.7</v>
      </c>
      <c r="P1225">
        <f>IFERROR(VLOOKUP(F1225,[1]Parameters!$A$3:$C$5,3,FALSE),0)</f>
        <v>0</v>
      </c>
      <c r="Q1225">
        <f t="shared" si="19"/>
        <v>2.7</v>
      </c>
      <c r="R1225" s="10">
        <f>IF('[1]Pizza Sales Calculations'!$G1225=TRUE, [1]Parameters!$B$17*'[1]Pizza Sales Calculations'!$L1225*2, 0)</f>
        <v>3.8297222209512256</v>
      </c>
      <c r="S1225" t="str">
        <f>IF(I1225&lt;[1]Parameters!$B$21,"TRUE","FALSE")</f>
        <v>TRUE</v>
      </c>
      <c r="T1225" s="5">
        <f>(I1225/[1]Parameters!$B$25)*60</f>
        <v>5.4129158807845599</v>
      </c>
      <c r="U1225" s="10">
        <f>IF(AND('[1]Pizza Sales Calculations'!G1225=TRUE,'[1]Pizza Sales Calculations'!S1225="TRUE"),T1225*[1]Parameters!$B$40*2,0)</f>
        <v>0.33788843500371812</v>
      </c>
      <c r="V1225">
        <f>INDEX([1]Parameters!$A$3:$C$5,MATCH('[1]Pizza Sales Calculations'!D1225,[1]Parameters!$A$3:$A$5,0),2)</f>
        <v>7</v>
      </c>
      <c r="W1225">
        <f>INDEX([1]Parameters!$A$3:$C$5,MATCH('[1]Pizza Sales Calculations'!E1225,[1]Parameters!$A$3:$A$5,0),2)</f>
        <v>10</v>
      </c>
      <c r="X1225" t="e">
        <f>INDEX([1]Parameters!$A$3:$C$5,MATCH('[1]Pizza Sales Calculations'!F1225,[1]Parameters!$A$3:$A$5,0),2)</f>
        <v>#N/A</v>
      </c>
    </row>
    <row r="1226" spans="1:24" x14ac:dyDescent="0.3">
      <c r="A1226">
        <v>1225</v>
      </c>
      <c r="B1226" s="14">
        <v>42382.484930555554</v>
      </c>
      <c r="C1226" s="14">
        <v>42382.495347222219</v>
      </c>
      <c r="D1226" t="s">
        <v>3</v>
      </c>
      <c r="E1226" t="s">
        <v>4</v>
      </c>
      <c r="G1226" t="b">
        <v>1</v>
      </c>
      <c r="H1226">
        <v>70804</v>
      </c>
      <c r="I1226" s="5">
        <v>3.7343564265826199</v>
      </c>
      <c r="J1226" s="14">
        <v>42382.508310185185</v>
      </c>
      <c r="K1226">
        <v>19.579999999999998</v>
      </c>
      <c r="L1226" s="5">
        <f>('[1]Pizza Sales Calculations'!$J1226-'[1]Pizza Sales Calculations'!$C1226)*24*60</f>
        <v>18.66666667163372</v>
      </c>
      <c r="M1226">
        <f>COUNTA('[1]Pizza Sales Calculations'!$D1226:$F1226)</f>
        <v>2</v>
      </c>
      <c r="N1226">
        <f>IFERROR(VLOOKUP(D1226,[1]Parameters!$A$3:$C$5,3,FALSE),0)</f>
        <v>1</v>
      </c>
      <c r="O1226">
        <f>IFERROR(VLOOKUP(E1226,[1]Parameters!$A$3:$C$5,3,FALSE),0)</f>
        <v>1.7</v>
      </c>
      <c r="P1226">
        <f>IFERROR(VLOOKUP(F1226,[1]Parameters!$A$3:$C$5,3,FALSE),0)</f>
        <v>0</v>
      </c>
      <c r="Q1226">
        <f t="shared" si="19"/>
        <v>2.7</v>
      </c>
      <c r="R1226" s="10">
        <f>IF('[1]Pizza Sales Calculations'!$G1226=TRUE, [1]Parameters!$B$17*'[1]Pizza Sales Calculations'!$L1226*2, 0)</f>
        <v>5.2888888902962208</v>
      </c>
      <c r="S1226" t="str">
        <f>IF(I1226&lt;[1]Parameters!$B$21,"TRUE","FALSE")</f>
        <v>FALSE</v>
      </c>
      <c r="T1226" s="5">
        <f>(I1226/[1]Parameters!$B$25)*60</f>
        <v>7.4687128531652398</v>
      </c>
      <c r="U1226" s="10">
        <f>IF(AND('[1]Pizza Sales Calculations'!G1226=TRUE,'[1]Pizza Sales Calculations'!S1226="TRUE"),T1226*[1]Parameters!$B$40*2,0)</f>
        <v>0</v>
      </c>
      <c r="V1226">
        <f>INDEX([1]Parameters!$A$3:$C$5,MATCH('[1]Pizza Sales Calculations'!D1226,[1]Parameters!$A$3:$A$5,0),2)</f>
        <v>7</v>
      </c>
      <c r="W1226">
        <f>INDEX([1]Parameters!$A$3:$C$5,MATCH('[1]Pizza Sales Calculations'!E1226,[1]Parameters!$A$3:$A$5,0),2)</f>
        <v>10</v>
      </c>
      <c r="X1226" t="e">
        <f>INDEX([1]Parameters!$A$3:$C$5,MATCH('[1]Pizza Sales Calculations'!F1226,[1]Parameters!$A$3:$A$5,0),2)</f>
        <v>#N/A</v>
      </c>
    </row>
    <row r="1227" spans="1:24" x14ac:dyDescent="0.3">
      <c r="A1227">
        <v>1226</v>
      </c>
      <c r="B1227" s="14">
        <v>42382.463287037041</v>
      </c>
      <c r="C1227" s="14">
        <v>42382.473692129628</v>
      </c>
      <c r="D1227" t="s">
        <v>3</v>
      </c>
      <c r="E1227" t="s">
        <v>4</v>
      </c>
      <c r="G1227" t="b">
        <v>0</v>
      </c>
      <c r="H1227">
        <v>70807</v>
      </c>
      <c r="I1227" s="5">
        <v>0</v>
      </c>
      <c r="J1227" s="14">
        <v>42382.475787037038</v>
      </c>
      <c r="K1227">
        <v>19.579999999999998</v>
      </c>
      <c r="L1227" s="5">
        <f>('[1]Pizza Sales Calculations'!$J1227-'[1]Pizza Sales Calculations'!$C1227)*24*60</f>
        <v>3.0166666698642075</v>
      </c>
      <c r="M1227">
        <f>COUNTA('[1]Pizza Sales Calculations'!$D1227:$F1227)</f>
        <v>2</v>
      </c>
      <c r="N1227">
        <f>IFERROR(VLOOKUP(D1227,[1]Parameters!$A$3:$C$5,3,FALSE),0)</f>
        <v>1</v>
      </c>
      <c r="O1227">
        <f>IFERROR(VLOOKUP(E1227,[1]Parameters!$A$3:$C$5,3,FALSE),0)</f>
        <v>1.7</v>
      </c>
      <c r="P1227">
        <f>IFERROR(VLOOKUP(F1227,[1]Parameters!$A$3:$C$5,3,FALSE),0)</f>
        <v>0</v>
      </c>
      <c r="Q1227">
        <f t="shared" si="19"/>
        <v>2.7</v>
      </c>
      <c r="R1227" s="10">
        <f>IF('[1]Pizza Sales Calculations'!$G1227=TRUE, [1]Parameters!$B$17*'[1]Pizza Sales Calculations'!$L1227*2, 0)</f>
        <v>0</v>
      </c>
      <c r="S1227" t="str">
        <f>IF(I1227&lt;[1]Parameters!$B$21,"TRUE","FALSE")</f>
        <v>TRUE</v>
      </c>
      <c r="T1227" s="5">
        <f>(I1227/[1]Parameters!$B$25)*60</f>
        <v>0</v>
      </c>
      <c r="U1227" s="10">
        <f>IF(AND('[1]Pizza Sales Calculations'!G1227=TRUE,'[1]Pizza Sales Calculations'!S1227="TRUE"),T1227*[1]Parameters!$B$40*2,0)</f>
        <v>0</v>
      </c>
      <c r="V1227">
        <f>INDEX([1]Parameters!$A$3:$C$5,MATCH('[1]Pizza Sales Calculations'!D1227,[1]Parameters!$A$3:$A$5,0),2)</f>
        <v>7</v>
      </c>
      <c r="W1227">
        <f>INDEX([1]Parameters!$A$3:$C$5,MATCH('[1]Pizza Sales Calculations'!E1227,[1]Parameters!$A$3:$A$5,0),2)</f>
        <v>10</v>
      </c>
      <c r="X1227" t="e">
        <f>INDEX([1]Parameters!$A$3:$C$5,MATCH('[1]Pizza Sales Calculations'!F1227,[1]Parameters!$A$3:$A$5,0),2)</f>
        <v>#N/A</v>
      </c>
    </row>
    <row r="1228" spans="1:24" x14ac:dyDescent="0.3">
      <c r="A1228">
        <v>1227</v>
      </c>
      <c r="B1228" s="14">
        <v>42382.532418981478</v>
      </c>
      <c r="C1228" s="14">
        <v>42382.542824074073</v>
      </c>
      <c r="D1228" t="s">
        <v>3</v>
      </c>
      <c r="G1228" t="b">
        <v>1</v>
      </c>
      <c r="H1228">
        <v>70803</v>
      </c>
      <c r="I1228" s="5">
        <v>2.31473315501878</v>
      </c>
      <c r="J1228" s="14">
        <v>42382.550856481481</v>
      </c>
      <c r="K1228">
        <v>7.99</v>
      </c>
      <c r="L1228" s="5">
        <f>('[1]Pizza Sales Calculations'!$J1228-'[1]Pizza Sales Calculations'!$C1228)*24*60</f>
        <v>11.566666667349637</v>
      </c>
      <c r="M1228">
        <f>COUNTA('[1]Pizza Sales Calculations'!$D1228:$F1228)</f>
        <v>1</v>
      </c>
      <c r="N1228">
        <f>IFERROR(VLOOKUP(D1228,[1]Parameters!$A$3:$C$5,3,FALSE),0)</f>
        <v>1</v>
      </c>
      <c r="O1228">
        <f>IFERROR(VLOOKUP(E1228,[1]Parameters!$A$3:$C$5,3,FALSE),0)</f>
        <v>0</v>
      </c>
      <c r="P1228">
        <f>IFERROR(VLOOKUP(F1228,[1]Parameters!$A$3:$C$5,3,FALSE),0)</f>
        <v>0</v>
      </c>
      <c r="Q1228">
        <f t="shared" si="19"/>
        <v>1</v>
      </c>
      <c r="R1228" s="10">
        <f>IF('[1]Pizza Sales Calculations'!$G1228=TRUE, [1]Parameters!$B$17*'[1]Pizza Sales Calculations'!$L1228*2, 0)</f>
        <v>3.2772222224157304</v>
      </c>
      <c r="S1228" t="str">
        <f>IF(I1228&lt;[1]Parameters!$B$21,"TRUE","FALSE")</f>
        <v>TRUE</v>
      </c>
      <c r="T1228" s="5">
        <f>(I1228/[1]Parameters!$B$25)*60</f>
        <v>4.6294663100375599</v>
      </c>
      <c r="U1228" s="10">
        <f>IF(AND('[1]Pizza Sales Calculations'!G1228=TRUE,'[1]Pizza Sales Calculations'!S1228="TRUE"),T1228*[1]Parameters!$B$40*2,0)</f>
        <v>0.28898345380795093</v>
      </c>
      <c r="V1228">
        <f>INDEX([1]Parameters!$A$3:$C$5,MATCH('[1]Pizza Sales Calculations'!D1228,[1]Parameters!$A$3:$A$5,0),2)</f>
        <v>7</v>
      </c>
      <c r="W1228" t="e">
        <f>INDEX([1]Parameters!$A$3:$C$5,MATCH('[1]Pizza Sales Calculations'!E1228,[1]Parameters!$A$3:$A$5,0),2)</f>
        <v>#N/A</v>
      </c>
      <c r="X1228" t="e">
        <f>INDEX([1]Parameters!$A$3:$C$5,MATCH('[1]Pizza Sales Calculations'!F1228,[1]Parameters!$A$3:$A$5,0),2)</f>
        <v>#N/A</v>
      </c>
    </row>
    <row r="1229" spans="1:24" x14ac:dyDescent="0.3">
      <c r="A1229">
        <v>1228</v>
      </c>
      <c r="B1229" s="14">
        <v>42382.508506944447</v>
      </c>
      <c r="C1229" s="14">
        <v>42382.518912037034</v>
      </c>
      <c r="D1229" t="s">
        <v>5</v>
      </c>
      <c r="G1229" t="b">
        <v>1</v>
      </c>
      <c r="H1229">
        <v>70805</v>
      </c>
      <c r="I1229" s="5">
        <v>4.6021967599168203</v>
      </c>
      <c r="J1229" s="14">
        <v>42382.534884259258</v>
      </c>
      <c r="K1229">
        <v>15.35</v>
      </c>
      <c r="L1229" s="5">
        <f>('[1]Pizza Sales Calculations'!$J1229-'[1]Pizza Sales Calculations'!$C1229)*24*60</f>
        <v>23.000000001629815</v>
      </c>
      <c r="M1229">
        <f>COUNTA('[1]Pizza Sales Calculations'!$D1229:$F1229)</f>
        <v>1</v>
      </c>
      <c r="N1229">
        <f>IFERROR(VLOOKUP(D1229,[1]Parameters!$A$3:$C$5,3,FALSE),0)</f>
        <v>2.2999999999999998</v>
      </c>
      <c r="O1229">
        <f>IFERROR(VLOOKUP(E1229,[1]Parameters!$A$3:$C$5,3,FALSE),0)</f>
        <v>0</v>
      </c>
      <c r="P1229">
        <f>IFERROR(VLOOKUP(F1229,[1]Parameters!$A$3:$C$5,3,FALSE),0)</f>
        <v>0</v>
      </c>
      <c r="Q1229">
        <f t="shared" si="19"/>
        <v>2.2999999999999998</v>
      </c>
      <c r="R1229" s="10">
        <f>IF('[1]Pizza Sales Calculations'!$G1229=TRUE, [1]Parameters!$B$17*'[1]Pizza Sales Calculations'!$L1229*2, 0)</f>
        <v>6.5166666671284474</v>
      </c>
      <c r="S1229" t="str">
        <f>IF(I1229&lt;[1]Parameters!$B$21,"TRUE","FALSE")</f>
        <v>FALSE</v>
      </c>
      <c r="T1229" s="5">
        <f>(I1229/[1]Parameters!$B$25)*60</f>
        <v>9.2043935198336406</v>
      </c>
      <c r="U1229" s="10">
        <f>IF(AND('[1]Pizza Sales Calculations'!G1229=TRUE,'[1]Pizza Sales Calculations'!S1229="TRUE"),T1229*[1]Parameters!$B$40*2,0)</f>
        <v>0</v>
      </c>
      <c r="V1229">
        <f>INDEX([1]Parameters!$A$3:$C$5,MATCH('[1]Pizza Sales Calculations'!D1229,[1]Parameters!$A$3:$A$5,0),2)</f>
        <v>14</v>
      </c>
      <c r="W1229" t="e">
        <f>INDEX([1]Parameters!$A$3:$C$5,MATCH('[1]Pizza Sales Calculations'!E1229,[1]Parameters!$A$3:$A$5,0),2)</f>
        <v>#N/A</v>
      </c>
      <c r="X1229" t="e">
        <f>INDEX([1]Parameters!$A$3:$C$5,MATCH('[1]Pizza Sales Calculations'!F1229,[1]Parameters!$A$3:$A$5,0),2)</f>
        <v>#N/A</v>
      </c>
    </row>
    <row r="1230" spans="1:24" x14ac:dyDescent="0.3">
      <c r="A1230">
        <v>1229</v>
      </c>
      <c r="B1230" s="14">
        <v>42382.538773148146</v>
      </c>
      <c r="C1230" s="14">
        <v>42382.549166666664</v>
      </c>
      <c r="D1230" t="s">
        <v>5</v>
      </c>
      <c r="G1230" t="b">
        <v>0</v>
      </c>
      <c r="H1230">
        <v>70804</v>
      </c>
      <c r="I1230" s="5">
        <v>0</v>
      </c>
      <c r="J1230" s="14">
        <v>42382.551238425927</v>
      </c>
      <c r="K1230">
        <v>15.35</v>
      </c>
      <c r="L1230" s="5">
        <f>('[1]Pizza Sales Calculations'!$J1230-'[1]Pizza Sales Calculations'!$C1230)*24*60</f>
        <v>2.9833333392161876</v>
      </c>
      <c r="M1230">
        <f>COUNTA('[1]Pizza Sales Calculations'!$D1230:$F1230)</f>
        <v>1</v>
      </c>
      <c r="N1230">
        <f>IFERROR(VLOOKUP(D1230,[1]Parameters!$A$3:$C$5,3,FALSE),0)</f>
        <v>2.2999999999999998</v>
      </c>
      <c r="O1230">
        <f>IFERROR(VLOOKUP(E1230,[1]Parameters!$A$3:$C$5,3,FALSE),0)</f>
        <v>0</v>
      </c>
      <c r="P1230">
        <f>IFERROR(VLOOKUP(F1230,[1]Parameters!$A$3:$C$5,3,FALSE),0)</f>
        <v>0</v>
      </c>
      <c r="Q1230">
        <f t="shared" si="19"/>
        <v>2.2999999999999998</v>
      </c>
      <c r="R1230" s="10">
        <f>IF('[1]Pizza Sales Calculations'!$G1230=TRUE, [1]Parameters!$B$17*'[1]Pizza Sales Calculations'!$L1230*2, 0)</f>
        <v>0</v>
      </c>
      <c r="S1230" t="str">
        <f>IF(I1230&lt;[1]Parameters!$B$21,"TRUE","FALSE")</f>
        <v>TRUE</v>
      </c>
      <c r="T1230" s="5">
        <f>(I1230/[1]Parameters!$B$25)*60</f>
        <v>0</v>
      </c>
      <c r="U1230" s="10">
        <f>IF(AND('[1]Pizza Sales Calculations'!G1230=TRUE,'[1]Pizza Sales Calculations'!S1230="TRUE"),T1230*[1]Parameters!$B$40*2,0)</f>
        <v>0</v>
      </c>
      <c r="V1230">
        <f>INDEX([1]Parameters!$A$3:$C$5,MATCH('[1]Pizza Sales Calculations'!D1230,[1]Parameters!$A$3:$A$5,0),2)</f>
        <v>14</v>
      </c>
      <c r="W1230" t="e">
        <f>INDEX([1]Parameters!$A$3:$C$5,MATCH('[1]Pizza Sales Calculations'!E1230,[1]Parameters!$A$3:$A$5,0),2)</f>
        <v>#N/A</v>
      </c>
      <c r="X1230" t="e">
        <f>INDEX([1]Parameters!$A$3:$C$5,MATCH('[1]Pizza Sales Calculations'!F1230,[1]Parameters!$A$3:$A$5,0),2)</f>
        <v>#N/A</v>
      </c>
    </row>
    <row r="1231" spans="1:24" x14ac:dyDescent="0.3">
      <c r="A1231">
        <v>1230</v>
      </c>
      <c r="B1231" s="14">
        <v>42382.506643518522</v>
      </c>
      <c r="C1231" s="14">
        <v>42382.517060185186</v>
      </c>
      <c r="D1231" t="s">
        <v>3</v>
      </c>
      <c r="E1231" t="s">
        <v>4</v>
      </c>
      <c r="G1231" t="b">
        <v>0</v>
      </c>
      <c r="H1231">
        <v>70806</v>
      </c>
      <c r="I1231" s="5">
        <v>0</v>
      </c>
      <c r="J1231" s="14">
        <v>42382.519131944442</v>
      </c>
      <c r="K1231">
        <v>19.579999999999998</v>
      </c>
      <c r="L1231" s="5">
        <f>('[1]Pizza Sales Calculations'!$J1231-'[1]Pizza Sales Calculations'!$C1231)*24*60</f>
        <v>2.9833333287388086</v>
      </c>
      <c r="M1231">
        <f>COUNTA('[1]Pizza Sales Calculations'!$D1231:$F1231)</f>
        <v>2</v>
      </c>
      <c r="N1231">
        <f>IFERROR(VLOOKUP(D1231,[1]Parameters!$A$3:$C$5,3,FALSE),0)</f>
        <v>1</v>
      </c>
      <c r="O1231">
        <f>IFERROR(VLOOKUP(E1231,[1]Parameters!$A$3:$C$5,3,FALSE),0)</f>
        <v>1.7</v>
      </c>
      <c r="P1231">
        <f>IFERROR(VLOOKUP(F1231,[1]Parameters!$A$3:$C$5,3,FALSE),0)</f>
        <v>0</v>
      </c>
      <c r="Q1231">
        <f t="shared" si="19"/>
        <v>2.7</v>
      </c>
      <c r="R1231" s="10">
        <f>IF('[1]Pizza Sales Calculations'!$G1231=TRUE, [1]Parameters!$B$17*'[1]Pizza Sales Calculations'!$L1231*2, 0)</f>
        <v>0</v>
      </c>
      <c r="S1231" t="str">
        <f>IF(I1231&lt;[1]Parameters!$B$21,"TRUE","FALSE")</f>
        <v>TRUE</v>
      </c>
      <c r="T1231" s="5">
        <f>(I1231/[1]Parameters!$B$25)*60</f>
        <v>0</v>
      </c>
      <c r="U1231" s="10">
        <f>IF(AND('[1]Pizza Sales Calculations'!G1231=TRUE,'[1]Pizza Sales Calculations'!S1231="TRUE"),T1231*[1]Parameters!$B$40*2,0)</f>
        <v>0</v>
      </c>
      <c r="V1231">
        <f>INDEX([1]Parameters!$A$3:$C$5,MATCH('[1]Pizza Sales Calculations'!D1231,[1]Parameters!$A$3:$A$5,0),2)</f>
        <v>7</v>
      </c>
      <c r="W1231">
        <f>INDEX([1]Parameters!$A$3:$C$5,MATCH('[1]Pizza Sales Calculations'!E1231,[1]Parameters!$A$3:$A$5,0),2)</f>
        <v>10</v>
      </c>
      <c r="X1231" t="e">
        <f>INDEX([1]Parameters!$A$3:$C$5,MATCH('[1]Pizza Sales Calculations'!F1231,[1]Parameters!$A$3:$A$5,0),2)</f>
        <v>#N/A</v>
      </c>
    </row>
    <row r="1232" spans="1:24" x14ac:dyDescent="0.3">
      <c r="A1232">
        <v>1231</v>
      </c>
      <c r="B1232" s="14">
        <v>42382.504305555558</v>
      </c>
      <c r="C1232" s="14">
        <v>42382.514699074076</v>
      </c>
      <c r="D1232" t="s">
        <v>4</v>
      </c>
      <c r="E1232" t="s">
        <v>5</v>
      </c>
      <c r="G1232" t="b">
        <v>1</v>
      </c>
      <c r="H1232">
        <v>70806</v>
      </c>
      <c r="I1232" s="5">
        <v>4.0394413927823596</v>
      </c>
      <c r="J1232" s="14">
        <v>42382.528715277775</v>
      </c>
      <c r="K1232">
        <v>25.94</v>
      </c>
      <c r="L1232" s="5">
        <f>('[1]Pizza Sales Calculations'!$J1232-'[1]Pizza Sales Calculations'!$C1232)*24*60</f>
        <v>20.183333326131105</v>
      </c>
      <c r="M1232">
        <f>COUNTA('[1]Pizza Sales Calculations'!$D1232:$F1232)</f>
        <v>2</v>
      </c>
      <c r="N1232">
        <f>IFERROR(VLOOKUP(D1232,[1]Parameters!$A$3:$C$5,3,FALSE),0)</f>
        <v>1.7</v>
      </c>
      <c r="O1232">
        <f>IFERROR(VLOOKUP(E1232,[1]Parameters!$A$3:$C$5,3,FALSE),0)</f>
        <v>2.2999999999999998</v>
      </c>
      <c r="P1232">
        <f>IFERROR(VLOOKUP(F1232,[1]Parameters!$A$3:$C$5,3,FALSE),0)</f>
        <v>0</v>
      </c>
      <c r="Q1232">
        <f t="shared" si="19"/>
        <v>4</v>
      </c>
      <c r="R1232" s="10">
        <f>IF('[1]Pizza Sales Calculations'!$G1232=TRUE, [1]Parameters!$B$17*'[1]Pizza Sales Calculations'!$L1232*2, 0)</f>
        <v>5.7186111090704799</v>
      </c>
      <c r="S1232" t="str">
        <f>IF(I1232&lt;[1]Parameters!$B$21,"TRUE","FALSE")</f>
        <v>FALSE</v>
      </c>
      <c r="T1232" s="5">
        <f>(I1232/[1]Parameters!$B$25)*60</f>
        <v>8.0788827855647192</v>
      </c>
      <c r="U1232" s="10">
        <f>IF(AND('[1]Pizza Sales Calculations'!G1232=TRUE,'[1]Pizza Sales Calculations'!S1232="TRUE"),T1232*[1]Parameters!$B$40*2,0)</f>
        <v>0</v>
      </c>
      <c r="V1232">
        <f>INDEX([1]Parameters!$A$3:$C$5,MATCH('[1]Pizza Sales Calculations'!D1232,[1]Parameters!$A$3:$A$5,0),2)</f>
        <v>10</v>
      </c>
      <c r="W1232">
        <f>INDEX([1]Parameters!$A$3:$C$5,MATCH('[1]Pizza Sales Calculations'!E1232,[1]Parameters!$A$3:$A$5,0),2)</f>
        <v>14</v>
      </c>
      <c r="X1232" t="e">
        <f>INDEX([1]Parameters!$A$3:$C$5,MATCH('[1]Pizza Sales Calculations'!F1232,[1]Parameters!$A$3:$A$5,0),2)</f>
        <v>#N/A</v>
      </c>
    </row>
    <row r="1233" spans="1:24" x14ac:dyDescent="0.3">
      <c r="A1233">
        <v>1232</v>
      </c>
      <c r="B1233" s="14">
        <v>42382.564664351848</v>
      </c>
      <c r="C1233" s="14">
        <v>42382.57508101852</v>
      </c>
      <c r="D1233" t="s">
        <v>3</v>
      </c>
      <c r="E1233" t="s">
        <v>4</v>
      </c>
      <c r="G1233" t="b">
        <v>0</v>
      </c>
      <c r="H1233">
        <v>70804</v>
      </c>
      <c r="I1233" s="5">
        <v>0</v>
      </c>
      <c r="J1233" s="14">
        <v>42382.577152777776</v>
      </c>
      <c r="K1233">
        <v>19.579999999999998</v>
      </c>
      <c r="L1233" s="5">
        <f>('[1]Pizza Sales Calculations'!$J1233-'[1]Pizza Sales Calculations'!$C1233)*24*60</f>
        <v>2.9833333287388086</v>
      </c>
      <c r="M1233">
        <f>COUNTA('[1]Pizza Sales Calculations'!$D1233:$F1233)</f>
        <v>2</v>
      </c>
      <c r="N1233">
        <f>IFERROR(VLOOKUP(D1233,[1]Parameters!$A$3:$C$5,3,FALSE),0)</f>
        <v>1</v>
      </c>
      <c r="O1233">
        <f>IFERROR(VLOOKUP(E1233,[1]Parameters!$A$3:$C$5,3,FALSE),0)</f>
        <v>1.7</v>
      </c>
      <c r="P1233">
        <f>IFERROR(VLOOKUP(F1233,[1]Parameters!$A$3:$C$5,3,FALSE),0)</f>
        <v>0</v>
      </c>
      <c r="Q1233">
        <f t="shared" si="19"/>
        <v>2.7</v>
      </c>
      <c r="R1233" s="10">
        <f>IF('[1]Pizza Sales Calculations'!$G1233=TRUE, [1]Parameters!$B$17*'[1]Pizza Sales Calculations'!$L1233*2, 0)</f>
        <v>0</v>
      </c>
      <c r="S1233" t="str">
        <f>IF(I1233&lt;[1]Parameters!$B$21,"TRUE","FALSE")</f>
        <v>TRUE</v>
      </c>
      <c r="T1233" s="5">
        <f>(I1233/[1]Parameters!$B$25)*60</f>
        <v>0</v>
      </c>
      <c r="U1233" s="10">
        <f>IF(AND('[1]Pizza Sales Calculations'!G1233=TRUE,'[1]Pizza Sales Calculations'!S1233="TRUE"),T1233*[1]Parameters!$B$40*2,0)</f>
        <v>0</v>
      </c>
      <c r="V1233">
        <f>INDEX([1]Parameters!$A$3:$C$5,MATCH('[1]Pizza Sales Calculations'!D1233,[1]Parameters!$A$3:$A$5,0),2)</f>
        <v>7</v>
      </c>
      <c r="W1233">
        <f>INDEX([1]Parameters!$A$3:$C$5,MATCH('[1]Pizza Sales Calculations'!E1233,[1]Parameters!$A$3:$A$5,0),2)</f>
        <v>10</v>
      </c>
      <c r="X1233" t="e">
        <f>INDEX([1]Parameters!$A$3:$C$5,MATCH('[1]Pizza Sales Calculations'!F1233,[1]Parameters!$A$3:$A$5,0),2)</f>
        <v>#N/A</v>
      </c>
    </row>
    <row r="1234" spans="1:24" x14ac:dyDescent="0.3">
      <c r="A1234">
        <v>1233</v>
      </c>
      <c r="B1234" s="14">
        <v>42382.472141203703</v>
      </c>
      <c r="C1234" s="14">
        <v>42382.482546296298</v>
      </c>
      <c r="D1234" t="s">
        <v>4</v>
      </c>
      <c r="G1234" t="b">
        <v>1</v>
      </c>
      <c r="H1234">
        <v>70805</v>
      </c>
      <c r="I1234" s="5">
        <v>3.4413180757557802</v>
      </c>
      <c r="J1234" s="14">
        <v>42382.494490740741</v>
      </c>
      <c r="K1234">
        <v>11.59</v>
      </c>
      <c r="L1234" s="5">
        <f>('[1]Pizza Sales Calculations'!$J1234-'[1]Pizza Sales Calculations'!$C1234)*24*60</f>
        <v>17.199999997392297</v>
      </c>
      <c r="M1234">
        <f>COUNTA('[1]Pizza Sales Calculations'!$D1234:$F1234)</f>
        <v>1</v>
      </c>
      <c r="N1234">
        <f>IFERROR(VLOOKUP(D1234,[1]Parameters!$A$3:$C$5,3,FALSE),0)</f>
        <v>1.7</v>
      </c>
      <c r="O1234">
        <f>IFERROR(VLOOKUP(E1234,[1]Parameters!$A$3:$C$5,3,FALSE),0)</f>
        <v>0</v>
      </c>
      <c r="P1234">
        <f>IFERROR(VLOOKUP(F1234,[1]Parameters!$A$3:$C$5,3,FALSE),0)</f>
        <v>0</v>
      </c>
      <c r="Q1234">
        <f t="shared" si="19"/>
        <v>1.7</v>
      </c>
      <c r="R1234" s="10">
        <f>IF('[1]Pizza Sales Calculations'!$G1234=TRUE, [1]Parameters!$B$17*'[1]Pizza Sales Calculations'!$L1234*2, 0)</f>
        <v>4.8733333325944841</v>
      </c>
      <c r="S1234" t="str">
        <f>IF(I1234&lt;[1]Parameters!$B$21,"TRUE","FALSE")</f>
        <v>FALSE</v>
      </c>
      <c r="T1234" s="5">
        <f>(I1234/[1]Parameters!$B$25)*60</f>
        <v>6.8826361515115604</v>
      </c>
      <c r="U1234" s="10">
        <f>IF(AND('[1]Pizza Sales Calculations'!G1234=TRUE,'[1]Pizza Sales Calculations'!S1234="TRUE"),T1234*[1]Parameters!$B$40*2,0)</f>
        <v>0</v>
      </c>
      <c r="V1234">
        <f>INDEX([1]Parameters!$A$3:$C$5,MATCH('[1]Pizza Sales Calculations'!D1234,[1]Parameters!$A$3:$A$5,0),2)</f>
        <v>10</v>
      </c>
      <c r="W1234" t="e">
        <f>INDEX([1]Parameters!$A$3:$C$5,MATCH('[1]Pizza Sales Calculations'!E1234,[1]Parameters!$A$3:$A$5,0),2)</f>
        <v>#N/A</v>
      </c>
      <c r="X1234" t="e">
        <f>INDEX([1]Parameters!$A$3:$C$5,MATCH('[1]Pizza Sales Calculations'!F1234,[1]Parameters!$A$3:$A$5,0),2)</f>
        <v>#N/A</v>
      </c>
    </row>
    <row r="1235" spans="1:24" x14ac:dyDescent="0.3">
      <c r="A1235">
        <v>1234</v>
      </c>
      <c r="B1235" s="14">
        <v>42382.532997685186</v>
      </c>
      <c r="C1235" s="14">
        <v>42382.543402777781</v>
      </c>
      <c r="D1235" t="s">
        <v>5</v>
      </c>
      <c r="G1235" t="b">
        <v>1</v>
      </c>
      <c r="H1235">
        <v>70806</v>
      </c>
      <c r="I1235" s="5">
        <v>1.6262347046243899</v>
      </c>
      <c r="J1235" s="14">
        <v>42382.549039351848</v>
      </c>
      <c r="K1235">
        <v>15.35</v>
      </c>
      <c r="L1235" s="5">
        <f>('[1]Pizza Sales Calculations'!$J1235-'[1]Pizza Sales Calculations'!$C1235)*24*60</f>
        <v>8.1166666571516544</v>
      </c>
      <c r="M1235">
        <f>COUNTA('[1]Pizza Sales Calculations'!$D1235:$F1235)</f>
        <v>1</v>
      </c>
      <c r="N1235">
        <f>IFERROR(VLOOKUP(D1235,[1]Parameters!$A$3:$C$5,3,FALSE),0)</f>
        <v>2.2999999999999998</v>
      </c>
      <c r="O1235">
        <f>IFERROR(VLOOKUP(E1235,[1]Parameters!$A$3:$C$5,3,FALSE),0)</f>
        <v>0</v>
      </c>
      <c r="P1235">
        <f>IFERROR(VLOOKUP(F1235,[1]Parameters!$A$3:$C$5,3,FALSE),0)</f>
        <v>0</v>
      </c>
      <c r="Q1235">
        <f t="shared" si="19"/>
        <v>2.2999999999999998</v>
      </c>
      <c r="R1235" s="10">
        <f>IF('[1]Pizza Sales Calculations'!$G1235=TRUE, [1]Parameters!$B$17*'[1]Pizza Sales Calculations'!$L1235*2, 0)</f>
        <v>2.2997222195263021</v>
      </c>
      <c r="S1235" t="str">
        <f>IF(I1235&lt;[1]Parameters!$B$21,"TRUE","FALSE")</f>
        <v>TRUE</v>
      </c>
      <c r="T1235" s="5">
        <f>(I1235/[1]Parameters!$B$25)*60</f>
        <v>3.2524694092487798</v>
      </c>
      <c r="U1235" s="10">
        <f>IF(AND('[1]Pizza Sales Calculations'!G1235=TRUE,'[1]Pizza Sales Calculations'!S1235="TRUE"),T1235*[1]Parameters!$B$40*2,0)</f>
        <v>0.20302768836475071</v>
      </c>
      <c r="V1235">
        <f>INDEX([1]Parameters!$A$3:$C$5,MATCH('[1]Pizza Sales Calculations'!D1235,[1]Parameters!$A$3:$A$5,0),2)</f>
        <v>14</v>
      </c>
      <c r="W1235" t="e">
        <f>INDEX([1]Parameters!$A$3:$C$5,MATCH('[1]Pizza Sales Calculations'!E1235,[1]Parameters!$A$3:$A$5,0),2)</f>
        <v>#N/A</v>
      </c>
      <c r="X1235" t="e">
        <f>INDEX([1]Parameters!$A$3:$C$5,MATCH('[1]Pizza Sales Calculations'!F1235,[1]Parameters!$A$3:$A$5,0),2)</f>
        <v>#N/A</v>
      </c>
    </row>
    <row r="1236" spans="1:24" x14ac:dyDescent="0.3">
      <c r="A1236">
        <v>1235</v>
      </c>
      <c r="B1236" s="14">
        <v>42382.475034722222</v>
      </c>
      <c r="C1236" s="14">
        <v>42382.485451388886</v>
      </c>
      <c r="D1236" t="s">
        <v>3</v>
      </c>
      <c r="E1236" t="s">
        <v>4</v>
      </c>
      <c r="G1236" t="b">
        <v>0</v>
      </c>
      <c r="H1236">
        <v>70805</v>
      </c>
      <c r="I1236" s="5">
        <v>0</v>
      </c>
      <c r="J1236" s="14">
        <v>42382.487534722219</v>
      </c>
      <c r="K1236">
        <v>19.579999999999998</v>
      </c>
      <c r="L1236" s="5">
        <f>('[1]Pizza Sales Calculations'!$J1236-'[1]Pizza Sales Calculations'!$C1236)*24*60</f>
        <v>2.9999999993015081</v>
      </c>
      <c r="M1236">
        <f>COUNTA('[1]Pizza Sales Calculations'!$D1236:$F1236)</f>
        <v>2</v>
      </c>
      <c r="N1236">
        <f>IFERROR(VLOOKUP(D1236,[1]Parameters!$A$3:$C$5,3,FALSE),0)</f>
        <v>1</v>
      </c>
      <c r="O1236">
        <f>IFERROR(VLOOKUP(E1236,[1]Parameters!$A$3:$C$5,3,FALSE),0)</f>
        <v>1.7</v>
      </c>
      <c r="P1236">
        <f>IFERROR(VLOOKUP(F1236,[1]Parameters!$A$3:$C$5,3,FALSE),0)</f>
        <v>0</v>
      </c>
      <c r="Q1236">
        <f t="shared" si="19"/>
        <v>2.7</v>
      </c>
      <c r="R1236" s="10">
        <f>IF('[1]Pizza Sales Calculations'!$G1236=TRUE, [1]Parameters!$B$17*'[1]Pizza Sales Calculations'!$L1236*2, 0)</f>
        <v>0</v>
      </c>
      <c r="S1236" t="str">
        <f>IF(I1236&lt;[1]Parameters!$B$21,"TRUE","FALSE")</f>
        <v>TRUE</v>
      </c>
      <c r="T1236" s="5">
        <f>(I1236/[1]Parameters!$B$25)*60</f>
        <v>0</v>
      </c>
      <c r="U1236" s="10">
        <f>IF(AND('[1]Pizza Sales Calculations'!G1236=TRUE,'[1]Pizza Sales Calculations'!S1236="TRUE"),T1236*[1]Parameters!$B$40*2,0)</f>
        <v>0</v>
      </c>
      <c r="V1236">
        <f>INDEX([1]Parameters!$A$3:$C$5,MATCH('[1]Pizza Sales Calculations'!D1236,[1]Parameters!$A$3:$A$5,0),2)</f>
        <v>7</v>
      </c>
      <c r="W1236">
        <f>INDEX([1]Parameters!$A$3:$C$5,MATCH('[1]Pizza Sales Calculations'!E1236,[1]Parameters!$A$3:$A$5,0),2)</f>
        <v>10</v>
      </c>
      <c r="X1236" t="e">
        <f>INDEX([1]Parameters!$A$3:$C$5,MATCH('[1]Pizza Sales Calculations'!F1236,[1]Parameters!$A$3:$A$5,0),2)</f>
        <v>#N/A</v>
      </c>
    </row>
    <row r="1237" spans="1:24" x14ac:dyDescent="0.3">
      <c r="A1237">
        <v>1236</v>
      </c>
      <c r="B1237" s="14">
        <v>42382.473599537036</v>
      </c>
      <c r="C1237" s="14">
        <v>42382.48400462963</v>
      </c>
      <c r="D1237" t="s">
        <v>4</v>
      </c>
      <c r="G1237" t="b">
        <v>0</v>
      </c>
      <c r="H1237">
        <v>70804</v>
      </c>
      <c r="I1237" s="5">
        <v>0</v>
      </c>
      <c r="J1237" s="14">
        <v>42382.486076388886</v>
      </c>
      <c r="K1237">
        <v>11.59</v>
      </c>
      <c r="L1237" s="5">
        <f>('[1]Pizza Sales Calculations'!$J1237-'[1]Pizza Sales Calculations'!$C1237)*24*60</f>
        <v>2.9833333287388086</v>
      </c>
      <c r="M1237">
        <f>COUNTA('[1]Pizza Sales Calculations'!$D1237:$F1237)</f>
        <v>1</v>
      </c>
      <c r="N1237">
        <f>IFERROR(VLOOKUP(D1237,[1]Parameters!$A$3:$C$5,3,FALSE),0)</f>
        <v>1.7</v>
      </c>
      <c r="O1237">
        <f>IFERROR(VLOOKUP(E1237,[1]Parameters!$A$3:$C$5,3,FALSE),0)</f>
        <v>0</v>
      </c>
      <c r="P1237">
        <f>IFERROR(VLOOKUP(F1237,[1]Parameters!$A$3:$C$5,3,FALSE),0)</f>
        <v>0</v>
      </c>
      <c r="Q1237">
        <f t="shared" si="19"/>
        <v>1.7</v>
      </c>
      <c r="R1237" s="10">
        <f>IF('[1]Pizza Sales Calculations'!$G1237=TRUE, [1]Parameters!$B$17*'[1]Pizza Sales Calculations'!$L1237*2, 0)</f>
        <v>0</v>
      </c>
      <c r="S1237" t="str">
        <f>IF(I1237&lt;[1]Parameters!$B$21,"TRUE","FALSE")</f>
        <v>TRUE</v>
      </c>
      <c r="T1237" s="5">
        <f>(I1237/[1]Parameters!$B$25)*60</f>
        <v>0</v>
      </c>
      <c r="U1237" s="10">
        <f>IF(AND('[1]Pizza Sales Calculations'!G1237=TRUE,'[1]Pizza Sales Calculations'!S1237="TRUE"),T1237*[1]Parameters!$B$40*2,0)</f>
        <v>0</v>
      </c>
      <c r="V1237">
        <f>INDEX([1]Parameters!$A$3:$C$5,MATCH('[1]Pizza Sales Calculations'!D1237,[1]Parameters!$A$3:$A$5,0),2)</f>
        <v>10</v>
      </c>
      <c r="W1237" t="e">
        <f>INDEX([1]Parameters!$A$3:$C$5,MATCH('[1]Pizza Sales Calculations'!E1237,[1]Parameters!$A$3:$A$5,0),2)</f>
        <v>#N/A</v>
      </c>
      <c r="X1237" t="e">
        <f>INDEX([1]Parameters!$A$3:$C$5,MATCH('[1]Pizza Sales Calculations'!F1237,[1]Parameters!$A$3:$A$5,0),2)</f>
        <v>#N/A</v>
      </c>
    </row>
    <row r="1238" spans="1:24" x14ac:dyDescent="0.3">
      <c r="A1238">
        <v>1237</v>
      </c>
      <c r="B1238" s="14">
        <v>42382.45921296296</v>
      </c>
      <c r="C1238" s="14">
        <v>42382.469629629632</v>
      </c>
      <c r="D1238" t="s">
        <v>3</v>
      </c>
      <c r="E1238" t="s">
        <v>4</v>
      </c>
      <c r="G1238" t="b">
        <v>1</v>
      </c>
      <c r="H1238">
        <v>70804</v>
      </c>
      <c r="I1238" s="5">
        <v>4.3008801660245801</v>
      </c>
      <c r="J1238" s="14">
        <v>42382.484560185185</v>
      </c>
      <c r="K1238">
        <v>19.579999999999998</v>
      </c>
      <c r="L1238" s="5">
        <f>('[1]Pizza Sales Calculations'!$J1238-'[1]Pizza Sales Calculations'!$C1238)*24*60</f>
        <v>21.499999996740371</v>
      </c>
      <c r="M1238">
        <f>COUNTA('[1]Pizza Sales Calculations'!$D1238:$F1238)</f>
        <v>2</v>
      </c>
      <c r="N1238">
        <f>IFERROR(VLOOKUP(D1238,[1]Parameters!$A$3:$C$5,3,FALSE),0)</f>
        <v>1</v>
      </c>
      <c r="O1238">
        <f>IFERROR(VLOOKUP(E1238,[1]Parameters!$A$3:$C$5,3,FALSE),0)</f>
        <v>1.7</v>
      </c>
      <c r="P1238">
        <f>IFERROR(VLOOKUP(F1238,[1]Parameters!$A$3:$C$5,3,FALSE),0)</f>
        <v>0</v>
      </c>
      <c r="Q1238">
        <f t="shared" si="19"/>
        <v>2.7</v>
      </c>
      <c r="R1238" s="10">
        <f>IF('[1]Pizza Sales Calculations'!$G1238=TRUE, [1]Parameters!$B$17*'[1]Pizza Sales Calculations'!$L1238*2, 0)</f>
        <v>6.0916666657431051</v>
      </c>
      <c r="S1238" t="str">
        <f>IF(I1238&lt;[1]Parameters!$B$21,"TRUE","FALSE")</f>
        <v>FALSE</v>
      </c>
      <c r="T1238" s="5">
        <f>(I1238/[1]Parameters!$B$25)*60</f>
        <v>8.6017603320491602</v>
      </c>
      <c r="U1238" s="10">
        <f>IF(AND('[1]Pizza Sales Calculations'!G1238=TRUE,'[1]Pizza Sales Calculations'!S1238="TRUE"),T1238*[1]Parameters!$B$40*2,0)</f>
        <v>0</v>
      </c>
      <c r="V1238">
        <f>INDEX([1]Parameters!$A$3:$C$5,MATCH('[1]Pizza Sales Calculations'!D1238,[1]Parameters!$A$3:$A$5,0),2)</f>
        <v>7</v>
      </c>
      <c r="W1238">
        <f>INDEX([1]Parameters!$A$3:$C$5,MATCH('[1]Pizza Sales Calculations'!E1238,[1]Parameters!$A$3:$A$5,0),2)</f>
        <v>10</v>
      </c>
      <c r="X1238" t="e">
        <f>INDEX([1]Parameters!$A$3:$C$5,MATCH('[1]Pizza Sales Calculations'!F1238,[1]Parameters!$A$3:$A$5,0),2)</f>
        <v>#N/A</v>
      </c>
    </row>
    <row r="1239" spans="1:24" x14ac:dyDescent="0.3">
      <c r="A1239">
        <v>1238</v>
      </c>
      <c r="B1239" s="14">
        <v>42382.523819444446</v>
      </c>
      <c r="C1239" s="14">
        <v>42382.534212962964</v>
      </c>
      <c r="D1239" t="s">
        <v>4</v>
      </c>
      <c r="G1239" t="b">
        <v>1</v>
      </c>
      <c r="H1239">
        <v>70805</v>
      </c>
      <c r="I1239" s="5">
        <v>4.0743961337657302</v>
      </c>
      <c r="J1239" s="14">
        <v>42382.548356481479</v>
      </c>
      <c r="K1239">
        <v>11.59</v>
      </c>
      <c r="L1239" s="5">
        <f>('[1]Pizza Sales Calculations'!$J1239-'[1]Pizza Sales Calculations'!$C1239)*24*60</f>
        <v>20.366666660411283</v>
      </c>
      <c r="M1239">
        <f>COUNTA('[1]Pizza Sales Calculations'!$D1239:$F1239)</f>
        <v>1</v>
      </c>
      <c r="N1239">
        <f>IFERROR(VLOOKUP(D1239,[1]Parameters!$A$3:$C$5,3,FALSE),0)</f>
        <v>1.7</v>
      </c>
      <c r="O1239">
        <f>IFERROR(VLOOKUP(E1239,[1]Parameters!$A$3:$C$5,3,FALSE),0)</f>
        <v>0</v>
      </c>
      <c r="P1239">
        <f>IFERROR(VLOOKUP(F1239,[1]Parameters!$A$3:$C$5,3,FALSE),0)</f>
        <v>0</v>
      </c>
      <c r="Q1239">
        <f t="shared" si="19"/>
        <v>1.7</v>
      </c>
      <c r="R1239" s="10">
        <f>IF('[1]Pizza Sales Calculations'!$G1239=TRUE, [1]Parameters!$B$17*'[1]Pizza Sales Calculations'!$L1239*2, 0)</f>
        <v>5.770555553783197</v>
      </c>
      <c r="S1239" t="str">
        <f>IF(I1239&lt;[1]Parameters!$B$21,"TRUE","FALSE")</f>
        <v>FALSE</v>
      </c>
      <c r="T1239" s="5">
        <f>(I1239/[1]Parameters!$B$25)*60</f>
        <v>8.1487922675314604</v>
      </c>
      <c r="U1239" s="10">
        <f>IF(AND('[1]Pizza Sales Calculations'!G1239=TRUE,'[1]Pizza Sales Calculations'!S1239="TRUE"),T1239*[1]Parameters!$B$40*2,0)</f>
        <v>0</v>
      </c>
      <c r="V1239">
        <f>INDEX([1]Parameters!$A$3:$C$5,MATCH('[1]Pizza Sales Calculations'!D1239,[1]Parameters!$A$3:$A$5,0),2)</f>
        <v>10</v>
      </c>
      <c r="W1239" t="e">
        <f>INDEX([1]Parameters!$A$3:$C$5,MATCH('[1]Pizza Sales Calculations'!E1239,[1]Parameters!$A$3:$A$5,0),2)</f>
        <v>#N/A</v>
      </c>
      <c r="X1239" t="e">
        <f>INDEX([1]Parameters!$A$3:$C$5,MATCH('[1]Pizza Sales Calculations'!F1239,[1]Parameters!$A$3:$A$5,0),2)</f>
        <v>#N/A</v>
      </c>
    </row>
    <row r="1240" spans="1:24" x14ac:dyDescent="0.3">
      <c r="A1240">
        <v>1239</v>
      </c>
      <c r="B1240" s="14">
        <v>42382.508414351854</v>
      </c>
      <c r="C1240" s="14">
        <v>42382.518831018519</v>
      </c>
      <c r="D1240" t="s">
        <v>5</v>
      </c>
      <c r="G1240" t="b">
        <v>1</v>
      </c>
      <c r="H1240">
        <v>70806</v>
      </c>
      <c r="I1240" s="5">
        <v>6.01543451158342</v>
      </c>
      <c r="J1240" s="14">
        <v>42382.539710648147</v>
      </c>
      <c r="K1240">
        <v>15.35</v>
      </c>
      <c r="L1240" s="5">
        <f>('[1]Pizza Sales Calculations'!$J1240-'[1]Pizza Sales Calculations'!$C1240)*24*60</f>
        <v>30.066666664788499</v>
      </c>
      <c r="M1240">
        <f>COUNTA('[1]Pizza Sales Calculations'!$D1240:$F1240)</f>
        <v>1</v>
      </c>
      <c r="N1240">
        <f>IFERROR(VLOOKUP(D1240,[1]Parameters!$A$3:$C$5,3,FALSE),0)</f>
        <v>2.2999999999999998</v>
      </c>
      <c r="O1240">
        <f>IFERROR(VLOOKUP(E1240,[1]Parameters!$A$3:$C$5,3,FALSE),0)</f>
        <v>0</v>
      </c>
      <c r="P1240">
        <f>IFERROR(VLOOKUP(F1240,[1]Parameters!$A$3:$C$5,3,FALSE),0)</f>
        <v>0</v>
      </c>
      <c r="Q1240">
        <f t="shared" si="19"/>
        <v>2.2999999999999998</v>
      </c>
      <c r="R1240" s="10">
        <f>IF('[1]Pizza Sales Calculations'!$G1240=TRUE, [1]Parameters!$B$17*'[1]Pizza Sales Calculations'!$L1240*2, 0)</f>
        <v>8.5188888883567415</v>
      </c>
      <c r="S1240" t="str">
        <f>IF(I1240&lt;[1]Parameters!$B$21,"TRUE","FALSE")</f>
        <v>FALSE</v>
      </c>
      <c r="T1240" s="5">
        <f>(I1240/[1]Parameters!$B$25)*60</f>
        <v>12.03086902316684</v>
      </c>
      <c r="U1240" s="10">
        <f>IF(AND('[1]Pizza Sales Calculations'!G1240=TRUE,'[1]Pizza Sales Calculations'!S1240="TRUE"),T1240*[1]Parameters!$B$40*2,0)</f>
        <v>0</v>
      </c>
      <c r="V1240">
        <f>INDEX([1]Parameters!$A$3:$C$5,MATCH('[1]Pizza Sales Calculations'!D1240,[1]Parameters!$A$3:$A$5,0),2)</f>
        <v>14</v>
      </c>
      <c r="W1240" t="e">
        <f>INDEX([1]Parameters!$A$3:$C$5,MATCH('[1]Pizza Sales Calculations'!E1240,[1]Parameters!$A$3:$A$5,0),2)</f>
        <v>#N/A</v>
      </c>
      <c r="X1240" t="e">
        <f>INDEX([1]Parameters!$A$3:$C$5,MATCH('[1]Pizza Sales Calculations'!F1240,[1]Parameters!$A$3:$A$5,0),2)</f>
        <v>#N/A</v>
      </c>
    </row>
    <row r="1241" spans="1:24" x14ac:dyDescent="0.3">
      <c r="A1241">
        <v>1240</v>
      </c>
      <c r="B1241" s="14">
        <v>42382.518321759257</v>
      </c>
      <c r="C1241" s="14">
        <v>42382.528738425928</v>
      </c>
      <c r="D1241" t="s">
        <v>5</v>
      </c>
      <c r="G1241" t="b">
        <v>0</v>
      </c>
      <c r="H1241">
        <v>70807</v>
      </c>
      <c r="I1241" s="5">
        <v>0</v>
      </c>
      <c r="J1241" s="14">
        <v>42382.530821759261</v>
      </c>
      <c r="K1241">
        <v>15.35</v>
      </c>
      <c r="L1241" s="5">
        <f>('[1]Pizza Sales Calculations'!$J1241-'[1]Pizza Sales Calculations'!$C1241)*24*60</f>
        <v>2.9999999993015081</v>
      </c>
      <c r="M1241">
        <f>COUNTA('[1]Pizza Sales Calculations'!$D1241:$F1241)</f>
        <v>1</v>
      </c>
      <c r="N1241">
        <f>IFERROR(VLOOKUP(D1241,[1]Parameters!$A$3:$C$5,3,FALSE),0)</f>
        <v>2.2999999999999998</v>
      </c>
      <c r="O1241">
        <f>IFERROR(VLOOKUP(E1241,[1]Parameters!$A$3:$C$5,3,FALSE),0)</f>
        <v>0</v>
      </c>
      <c r="P1241">
        <f>IFERROR(VLOOKUP(F1241,[1]Parameters!$A$3:$C$5,3,FALSE),0)</f>
        <v>0</v>
      </c>
      <c r="Q1241">
        <f t="shared" si="19"/>
        <v>2.2999999999999998</v>
      </c>
      <c r="R1241" s="10">
        <f>IF('[1]Pizza Sales Calculations'!$G1241=TRUE, [1]Parameters!$B$17*'[1]Pizza Sales Calculations'!$L1241*2, 0)</f>
        <v>0</v>
      </c>
      <c r="S1241" t="str">
        <f>IF(I1241&lt;[1]Parameters!$B$21,"TRUE","FALSE")</f>
        <v>TRUE</v>
      </c>
      <c r="T1241" s="5">
        <f>(I1241/[1]Parameters!$B$25)*60</f>
        <v>0</v>
      </c>
      <c r="U1241" s="10">
        <f>IF(AND('[1]Pizza Sales Calculations'!G1241=TRUE,'[1]Pizza Sales Calculations'!S1241="TRUE"),T1241*[1]Parameters!$B$40*2,0)</f>
        <v>0</v>
      </c>
      <c r="V1241">
        <f>INDEX([1]Parameters!$A$3:$C$5,MATCH('[1]Pizza Sales Calculations'!D1241,[1]Parameters!$A$3:$A$5,0),2)</f>
        <v>14</v>
      </c>
      <c r="W1241" t="e">
        <f>INDEX([1]Parameters!$A$3:$C$5,MATCH('[1]Pizza Sales Calculations'!E1241,[1]Parameters!$A$3:$A$5,0),2)</f>
        <v>#N/A</v>
      </c>
      <c r="X1241" t="e">
        <f>INDEX([1]Parameters!$A$3:$C$5,MATCH('[1]Pizza Sales Calculations'!F1241,[1]Parameters!$A$3:$A$5,0),2)</f>
        <v>#N/A</v>
      </c>
    </row>
    <row r="1242" spans="1:24" x14ac:dyDescent="0.3">
      <c r="A1242">
        <v>1241</v>
      </c>
      <c r="B1242" s="14">
        <v>42382.514097222222</v>
      </c>
      <c r="C1242" s="14">
        <v>42382.524525462963</v>
      </c>
      <c r="D1242" t="s">
        <v>4</v>
      </c>
      <c r="E1242" t="s">
        <v>5</v>
      </c>
      <c r="G1242" t="b">
        <v>1</v>
      </c>
      <c r="H1242">
        <v>70803</v>
      </c>
      <c r="I1242" s="5">
        <v>4.2093384244352396</v>
      </c>
      <c r="J1242" s="14">
        <v>42382.539131944446</v>
      </c>
      <c r="K1242">
        <v>25.94</v>
      </c>
      <c r="L1242" s="5">
        <f>('[1]Pizza Sales Calculations'!$J1242-'[1]Pizza Sales Calculations'!$C1242)*24*60</f>
        <v>21.033333336235955</v>
      </c>
      <c r="M1242">
        <f>COUNTA('[1]Pizza Sales Calculations'!$D1242:$F1242)</f>
        <v>2</v>
      </c>
      <c r="N1242">
        <f>IFERROR(VLOOKUP(D1242,[1]Parameters!$A$3:$C$5,3,FALSE),0)</f>
        <v>1.7</v>
      </c>
      <c r="O1242">
        <f>IFERROR(VLOOKUP(E1242,[1]Parameters!$A$3:$C$5,3,FALSE),0)</f>
        <v>2.2999999999999998</v>
      </c>
      <c r="P1242">
        <f>IFERROR(VLOOKUP(F1242,[1]Parameters!$A$3:$C$5,3,FALSE),0)</f>
        <v>0</v>
      </c>
      <c r="Q1242">
        <f t="shared" si="19"/>
        <v>4</v>
      </c>
      <c r="R1242" s="10">
        <f>IF('[1]Pizza Sales Calculations'!$G1242=TRUE, [1]Parameters!$B$17*'[1]Pizza Sales Calculations'!$L1242*2, 0)</f>
        <v>5.959444445266854</v>
      </c>
      <c r="S1242" t="str">
        <f>IF(I1242&lt;[1]Parameters!$B$21,"TRUE","FALSE")</f>
        <v>FALSE</v>
      </c>
      <c r="T1242" s="5">
        <f>(I1242/[1]Parameters!$B$25)*60</f>
        <v>8.4186768488704793</v>
      </c>
      <c r="U1242" s="10">
        <f>IF(AND('[1]Pizza Sales Calculations'!G1242=TRUE,'[1]Pizza Sales Calculations'!S1242="TRUE"),T1242*[1]Parameters!$B$40*2,0)</f>
        <v>0</v>
      </c>
      <c r="V1242">
        <f>INDEX([1]Parameters!$A$3:$C$5,MATCH('[1]Pizza Sales Calculations'!D1242,[1]Parameters!$A$3:$A$5,0),2)</f>
        <v>10</v>
      </c>
      <c r="W1242">
        <f>INDEX([1]Parameters!$A$3:$C$5,MATCH('[1]Pizza Sales Calculations'!E1242,[1]Parameters!$A$3:$A$5,0),2)</f>
        <v>14</v>
      </c>
      <c r="X1242" t="e">
        <f>INDEX([1]Parameters!$A$3:$C$5,MATCH('[1]Pizza Sales Calculations'!F1242,[1]Parameters!$A$3:$A$5,0),2)</f>
        <v>#N/A</v>
      </c>
    </row>
    <row r="1243" spans="1:24" x14ac:dyDescent="0.3">
      <c r="A1243">
        <v>1242</v>
      </c>
      <c r="B1243" s="14">
        <v>42382.554699074077</v>
      </c>
      <c r="C1243" s="14">
        <v>42382.565092592595</v>
      </c>
      <c r="D1243" t="s">
        <v>3</v>
      </c>
      <c r="E1243" t="s">
        <v>4</v>
      </c>
      <c r="G1243" t="b">
        <v>0</v>
      </c>
      <c r="H1243">
        <v>70806</v>
      </c>
      <c r="I1243" s="5">
        <v>0</v>
      </c>
      <c r="J1243" s="14">
        <v>42382.567175925928</v>
      </c>
      <c r="K1243">
        <v>19.579999999999998</v>
      </c>
      <c r="L1243" s="5">
        <f>('[1]Pizza Sales Calculations'!$J1243-'[1]Pizza Sales Calculations'!$C1243)*24*60</f>
        <v>2.9999999993015081</v>
      </c>
      <c r="M1243">
        <f>COUNTA('[1]Pizza Sales Calculations'!$D1243:$F1243)</f>
        <v>2</v>
      </c>
      <c r="N1243">
        <f>IFERROR(VLOOKUP(D1243,[1]Parameters!$A$3:$C$5,3,FALSE),0)</f>
        <v>1</v>
      </c>
      <c r="O1243">
        <f>IFERROR(VLOOKUP(E1243,[1]Parameters!$A$3:$C$5,3,FALSE),0)</f>
        <v>1.7</v>
      </c>
      <c r="P1243">
        <f>IFERROR(VLOOKUP(F1243,[1]Parameters!$A$3:$C$5,3,FALSE),0)</f>
        <v>0</v>
      </c>
      <c r="Q1243">
        <f t="shared" si="19"/>
        <v>2.7</v>
      </c>
      <c r="R1243" s="10">
        <f>IF('[1]Pizza Sales Calculations'!$G1243=TRUE, [1]Parameters!$B$17*'[1]Pizza Sales Calculations'!$L1243*2, 0)</f>
        <v>0</v>
      </c>
      <c r="S1243" t="str">
        <f>IF(I1243&lt;[1]Parameters!$B$21,"TRUE","FALSE")</f>
        <v>TRUE</v>
      </c>
      <c r="T1243" s="5">
        <f>(I1243/[1]Parameters!$B$25)*60</f>
        <v>0</v>
      </c>
      <c r="U1243" s="10">
        <f>IF(AND('[1]Pizza Sales Calculations'!G1243=TRUE,'[1]Pizza Sales Calculations'!S1243="TRUE"),T1243*[1]Parameters!$B$40*2,0)</f>
        <v>0</v>
      </c>
      <c r="V1243">
        <f>INDEX([1]Parameters!$A$3:$C$5,MATCH('[1]Pizza Sales Calculations'!D1243,[1]Parameters!$A$3:$A$5,0),2)</f>
        <v>7</v>
      </c>
      <c r="W1243">
        <f>INDEX([1]Parameters!$A$3:$C$5,MATCH('[1]Pizza Sales Calculations'!E1243,[1]Parameters!$A$3:$A$5,0),2)</f>
        <v>10</v>
      </c>
      <c r="X1243" t="e">
        <f>INDEX([1]Parameters!$A$3:$C$5,MATCH('[1]Pizza Sales Calculations'!F1243,[1]Parameters!$A$3:$A$5,0),2)</f>
        <v>#N/A</v>
      </c>
    </row>
    <row r="1244" spans="1:24" x14ac:dyDescent="0.3">
      <c r="A1244">
        <v>1243</v>
      </c>
      <c r="B1244" s="14">
        <v>42382.435567129629</v>
      </c>
      <c r="C1244" s="14">
        <v>42382.445972222224</v>
      </c>
      <c r="D1244" t="s">
        <v>5</v>
      </c>
      <c r="G1244" t="b">
        <v>0</v>
      </c>
      <c r="H1244">
        <v>70807</v>
      </c>
      <c r="I1244" s="5">
        <v>0</v>
      </c>
      <c r="J1244" s="14">
        <v>42382.44803240741</v>
      </c>
      <c r="K1244">
        <v>15.35</v>
      </c>
      <c r="L1244" s="5">
        <f>('[1]Pizza Sales Calculations'!$J1244-'[1]Pizza Sales Calculations'!$C1244)*24*60</f>
        <v>2.9666666686534882</v>
      </c>
      <c r="M1244">
        <f>COUNTA('[1]Pizza Sales Calculations'!$D1244:$F1244)</f>
        <v>1</v>
      </c>
      <c r="N1244">
        <f>IFERROR(VLOOKUP(D1244,[1]Parameters!$A$3:$C$5,3,FALSE),0)</f>
        <v>2.2999999999999998</v>
      </c>
      <c r="O1244">
        <f>IFERROR(VLOOKUP(E1244,[1]Parameters!$A$3:$C$5,3,FALSE),0)</f>
        <v>0</v>
      </c>
      <c r="P1244">
        <f>IFERROR(VLOOKUP(F1244,[1]Parameters!$A$3:$C$5,3,FALSE),0)</f>
        <v>0</v>
      </c>
      <c r="Q1244">
        <f t="shared" si="19"/>
        <v>2.2999999999999998</v>
      </c>
      <c r="R1244" s="10">
        <f>IF('[1]Pizza Sales Calculations'!$G1244=TRUE, [1]Parameters!$B$17*'[1]Pizza Sales Calculations'!$L1244*2, 0)</f>
        <v>0</v>
      </c>
      <c r="S1244" t="str">
        <f>IF(I1244&lt;[1]Parameters!$B$21,"TRUE","FALSE")</f>
        <v>TRUE</v>
      </c>
      <c r="T1244" s="5">
        <f>(I1244/[1]Parameters!$B$25)*60</f>
        <v>0</v>
      </c>
      <c r="U1244" s="10">
        <f>IF(AND('[1]Pizza Sales Calculations'!G1244=TRUE,'[1]Pizza Sales Calculations'!S1244="TRUE"),T1244*[1]Parameters!$B$40*2,0)</f>
        <v>0</v>
      </c>
      <c r="V1244">
        <f>INDEX([1]Parameters!$A$3:$C$5,MATCH('[1]Pizza Sales Calculations'!D1244,[1]Parameters!$A$3:$A$5,0),2)</f>
        <v>14</v>
      </c>
      <c r="W1244" t="e">
        <f>INDEX([1]Parameters!$A$3:$C$5,MATCH('[1]Pizza Sales Calculations'!E1244,[1]Parameters!$A$3:$A$5,0),2)</f>
        <v>#N/A</v>
      </c>
      <c r="X1244" t="e">
        <f>INDEX([1]Parameters!$A$3:$C$5,MATCH('[1]Pizza Sales Calculations'!F1244,[1]Parameters!$A$3:$A$5,0),2)</f>
        <v>#N/A</v>
      </c>
    </row>
    <row r="1245" spans="1:24" x14ac:dyDescent="0.3">
      <c r="A1245">
        <v>1244</v>
      </c>
      <c r="B1245" s="14">
        <v>42382.514247685183</v>
      </c>
      <c r="C1245" s="14">
        <v>42382.524629629632</v>
      </c>
      <c r="D1245" t="s">
        <v>4</v>
      </c>
      <c r="G1245" t="b">
        <v>0</v>
      </c>
      <c r="H1245">
        <v>70806</v>
      </c>
      <c r="I1245" s="5">
        <v>0</v>
      </c>
      <c r="J1245" s="14">
        <v>42382.526701388888</v>
      </c>
      <c r="K1245">
        <v>11.59</v>
      </c>
      <c r="L1245" s="5">
        <f>('[1]Pizza Sales Calculations'!$J1245-'[1]Pizza Sales Calculations'!$C1245)*24*60</f>
        <v>2.9833333287388086</v>
      </c>
      <c r="M1245">
        <f>COUNTA('[1]Pizza Sales Calculations'!$D1245:$F1245)</f>
        <v>1</v>
      </c>
      <c r="N1245">
        <f>IFERROR(VLOOKUP(D1245,[1]Parameters!$A$3:$C$5,3,FALSE),0)</f>
        <v>1.7</v>
      </c>
      <c r="O1245">
        <f>IFERROR(VLOOKUP(E1245,[1]Parameters!$A$3:$C$5,3,FALSE),0)</f>
        <v>0</v>
      </c>
      <c r="P1245">
        <f>IFERROR(VLOOKUP(F1245,[1]Parameters!$A$3:$C$5,3,FALSE),0)</f>
        <v>0</v>
      </c>
      <c r="Q1245">
        <f t="shared" si="19"/>
        <v>1.7</v>
      </c>
      <c r="R1245" s="10">
        <f>IF('[1]Pizza Sales Calculations'!$G1245=TRUE, [1]Parameters!$B$17*'[1]Pizza Sales Calculations'!$L1245*2, 0)</f>
        <v>0</v>
      </c>
      <c r="S1245" t="str">
        <f>IF(I1245&lt;[1]Parameters!$B$21,"TRUE","FALSE")</f>
        <v>TRUE</v>
      </c>
      <c r="T1245" s="5">
        <f>(I1245/[1]Parameters!$B$25)*60</f>
        <v>0</v>
      </c>
      <c r="U1245" s="10">
        <f>IF(AND('[1]Pizza Sales Calculations'!G1245=TRUE,'[1]Pizza Sales Calculations'!S1245="TRUE"),T1245*[1]Parameters!$B$40*2,0)</f>
        <v>0</v>
      </c>
      <c r="V1245">
        <f>INDEX([1]Parameters!$A$3:$C$5,MATCH('[1]Pizza Sales Calculations'!D1245,[1]Parameters!$A$3:$A$5,0),2)</f>
        <v>10</v>
      </c>
      <c r="W1245" t="e">
        <f>INDEX([1]Parameters!$A$3:$C$5,MATCH('[1]Pizza Sales Calculations'!E1245,[1]Parameters!$A$3:$A$5,0),2)</f>
        <v>#N/A</v>
      </c>
      <c r="X1245" t="e">
        <f>INDEX([1]Parameters!$A$3:$C$5,MATCH('[1]Pizza Sales Calculations'!F1245,[1]Parameters!$A$3:$A$5,0),2)</f>
        <v>#N/A</v>
      </c>
    </row>
    <row r="1246" spans="1:24" x14ac:dyDescent="0.3">
      <c r="A1246">
        <v>1245</v>
      </c>
      <c r="B1246" s="14">
        <v>42382.519907407404</v>
      </c>
      <c r="C1246" s="14">
        <v>42382.530335648145</v>
      </c>
      <c r="D1246" t="s">
        <v>5</v>
      </c>
      <c r="G1246" t="b">
        <v>1</v>
      </c>
      <c r="H1246">
        <v>70804</v>
      </c>
      <c r="I1246" s="5">
        <v>5.14672268160776</v>
      </c>
      <c r="J1246" s="14">
        <v>42382.548206018517</v>
      </c>
      <c r="K1246">
        <v>15.35</v>
      </c>
      <c r="L1246" s="5">
        <f>('[1]Pizza Sales Calculations'!$J1246-'[1]Pizza Sales Calculations'!$C1246)*24*60</f>
        <v>25.733333334792405</v>
      </c>
      <c r="M1246">
        <f>COUNTA('[1]Pizza Sales Calculations'!$D1246:$F1246)</f>
        <v>1</v>
      </c>
      <c r="N1246">
        <f>IFERROR(VLOOKUP(D1246,[1]Parameters!$A$3:$C$5,3,FALSE),0)</f>
        <v>2.2999999999999998</v>
      </c>
      <c r="O1246">
        <f>IFERROR(VLOOKUP(E1246,[1]Parameters!$A$3:$C$5,3,FALSE),0)</f>
        <v>0</v>
      </c>
      <c r="P1246">
        <f>IFERROR(VLOOKUP(F1246,[1]Parameters!$A$3:$C$5,3,FALSE),0)</f>
        <v>0</v>
      </c>
      <c r="Q1246">
        <f t="shared" si="19"/>
        <v>2.2999999999999998</v>
      </c>
      <c r="R1246" s="10">
        <f>IF('[1]Pizza Sales Calculations'!$G1246=TRUE, [1]Parameters!$B$17*'[1]Pizza Sales Calculations'!$L1246*2, 0)</f>
        <v>7.2911111115245149</v>
      </c>
      <c r="S1246" t="str">
        <f>IF(I1246&lt;[1]Parameters!$B$21,"TRUE","FALSE")</f>
        <v>FALSE</v>
      </c>
      <c r="T1246" s="5">
        <f>(I1246/[1]Parameters!$B$25)*60</f>
        <v>10.29344536321552</v>
      </c>
      <c r="U1246" s="10">
        <f>IF(AND('[1]Pizza Sales Calculations'!G1246=TRUE,'[1]Pizza Sales Calculations'!S1246="TRUE"),T1246*[1]Parameters!$B$40*2,0)</f>
        <v>0</v>
      </c>
      <c r="V1246">
        <f>INDEX([1]Parameters!$A$3:$C$5,MATCH('[1]Pizza Sales Calculations'!D1246,[1]Parameters!$A$3:$A$5,0),2)</f>
        <v>14</v>
      </c>
      <c r="W1246" t="e">
        <f>INDEX([1]Parameters!$A$3:$C$5,MATCH('[1]Pizza Sales Calculations'!E1246,[1]Parameters!$A$3:$A$5,0),2)</f>
        <v>#N/A</v>
      </c>
      <c r="X1246" t="e">
        <f>INDEX([1]Parameters!$A$3:$C$5,MATCH('[1]Pizza Sales Calculations'!F1246,[1]Parameters!$A$3:$A$5,0),2)</f>
        <v>#N/A</v>
      </c>
    </row>
    <row r="1247" spans="1:24" x14ac:dyDescent="0.3">
      <c r="A1247">
        <v>1246</v>
      </c>
      <c r="B1247" s="14">
        <v>42382.440729166665</v>
      </c>
      <c r="C1247" s="14">
        <v>42382.451111111113</v>
      </c>
      <c r="D1247" t="s">
        <v>5</v>
      </c>
      <c r="G1247" t="b">
        <v>1</v>
      </c>
      <c r="H1247">
        <v>70804</v>
      </c>
      <c r="I1247" s="5">
        <v>2.8488240564580898</v>
      </c>
      <c r="J1247" s="14">
        <v>42382.460995370369</v>
      </c>
      <c r="K1247">
        <v>15.35</v>
      </c>
      <c r="L1247" s="5">
        <f>('[1]Pizza Sales Calculations'!$J1247-'[1]Pizza Sales Calculations'!$C1247)*24*60</f>
        <v>14.233333328738809</v>
      </c>
      <c r="M1247">
        <f>COUNTA('[1]Pizza Sales Calculations'!$D1247:$F1247)</f>
        <v>1</v>
      </c>
      <c r="N1247">
        <f>IFERROR(VLOOKUP(D1247,[1]Parameters!$A$3:$C$5,3,FALSE),0)</f>
        <v>2.2999999999999998</v>
      </c>
      <c r="O1247">
        <f>IFERROR(VLOOKUP(E1247,[1]Parameters!$A$3:$C$5,3,FALSE),0)</f>
        <v>0</v>
      </c>
      <c r="P1247">
        <f>IFERROR(VLOOKUP(F1247,[1]Parameters!$A$3:$C$5,3,FALSE),0)</f>
        <v>0</v>
      </c>
      <c r="Q1247">
        <f t="shared" si="19"/>
        <v>2.2999999999999998</v>
      </c>
      <c r="R1247" s="10">
        <f>IF('[1]Pizza Sales Calculations'!$G1247=TRUE, [1]Parameters!$B$17*'[1]Pizza Sales Calculations'!$L1247*2, 0)</f>
        <v>4.0327777764759958</v>
      </c>
      <c r="S1247" t="str">
        <f>IF(I1247&lt;[1]Parameters!$B$21,"TRUE","FALSE")</f>
        <v>TRUE</v>
      </c>
      <c r="T1247" s="5">
        <f>(I1247/[1]Parameters!$B$25)*60</f>
        <v>5.6976481129161796</v>
      </c>
      <c r="U1247" s="10">
        <f>IF(AND('[1]Pizza Sales Calculations'!G1247=TRUE,'[1]Pizza Sales Calculations'!S1247="TRUE"),T1247*[1]Parameters!$B$40*2,0)</f>
        <v>0.35566216924030553</v>
      </c>
      <c r="V1247">
        <f>INDEX([1]Parameters!$A$3:$C$5,MATCH('[1]Pizza Sales Calculations'!D1247,[1]Parameters!$A$3:$A$5,0),2)</f>
        <v>14</v>
      </c>
      <c r="W1247" t="e">
        <f>INDEX([1]Parameters!$A$3:$C$5,MATCH('[1]Pizza Sales Calculations'!E1247,[1]Parameters!$A$3:$A$5,0),2)</f>
        <v>#N/A</v>
      </c>
      <c r="X1247" t="e">
        <f>INDEX([1]Parameters!$A$3:$C$5,MATCH('[1]Pizza Sales Calculations'!F1247,[1]Parameters!$A$3:$A$5,0),2)</f>
        <v>#N/A</v>
      </c>
    </row>
    <row r="1248" spans="1:24" x14ac:dyDescent="0.3">
      <c r="A1248">
        <v>1247</v>
      </c>
      <c r="B1248" s="14">
        <v>42382.437858796293</v>
      </c>
      <c r="C1248" s="14">
        <v>42382.448252314818</v>
      </c>
      <c r="D1248" t="s">
        <v>5</v>
      </c>
      <c r="G1248" t="b">
        <v>0</v>
      </c>
      <c r="H1248">
        <v>70806</v>
      </c>
      <c r="I1248" s="5">
        <v>0</v>
      </c>
      <c r="J1248" s="14">
        <v>42382.450335648151</v>
      </c>
      <c r="K1248">
        <v>15.35</v>
      </c>
      <c r="L1248" s="5">
        <f>('[1]Pizza Sales Calculations'!$J1248-'[1]Pizza Sales Calculations'!$C1248)*24*60</f>
        <v>2.9999999993015081</v>
      </c>
      <c r="M1248">
        <f>COUNTA('[1]Pizza Sales Calculations'!$D1248:$F1248)</f>
        <v>1</v>
      </c>
      <c r="N1248">
        <f>IFERROR(VLOOKUP(D1248,[1]Parameters!$A$3:$C$5,3,FALSE),0)</f>
        <v>2.2999999999999998</v>
      </c>
      <c r="O1248">
        <f>IFERROR(VLOOKUP(E1248,[1]Parameters!$A$3:$C$5,3,FALSE),0)</f>
        <v>0</v>
      </c>
      <c r="P1248">
        <f>IFERROR(VLOOKUP(F1248,[1]Parameters!$A$3:$C$5,3,FALSE),0)</f>
        <v>0</v>
      </c>
      <c r="Q1248">
        <f t="shared" si="19"/>
        <v>2.2999999999999998</v>
      </c>
      <c r="R1248" s="10">
        <f>IF('[1]Pizza Sales Calculations'!$G1248=TRUE, [1]Parameters!$B$17*'[1]Pizza Sales Calculations'!$L1248*2, 0)</f>
        <v>0</v>
      </c>
      <c r="S1248" t="str">
        <f>IF(I1248&lt;[1]Parameters!$B$21,"TRUE","FALSE")</f>
        <v>TRUE</v>
      </c>
      <c r="T1248" s="5">
        <f>(I1248/[1]Parameters!$B$25)*60</f>
        <v>0</v>
      </c>
      <c r="U1248" s="10">
        <f>IF(AND('[1]Pizza Sales Calculations'!G1248=TRUE,'[1]Pizza Sales Calculations'!S1248="TRUE"),T1248*[1]Parameters!$B$40*2,0)</f>
        <v>0</v>
      </c>
      <c r="V1248">
        <f>INDEX([1]Parameters!$A$3:$C$5,MATCH('[1]Pizza Sales Calculations'!D1248,[1]Parameters!$A$3:$A$5,0),2)</f>
        <v>14</v>
      </c>
      <c r="W1248" t="e">
        <f>INDEX([1]Parameters!$A$3:$C$5,MATCH('[1]Pizza Sales Calculations'!E1248,[1]Parameters!$A$3:$A$5,0),2)</f>
        <v>#N/A</v>
      </c>
      <c r="X1248" t="e">
        <f>INDEX([1]Parameters!$A$3:$C$5,MATCH('[1]Pizza Sales Calculations'!F1248,[1]Parameters!$A$3:$A$5,0),2)</f>
        <v>#N/A</v>
      </c>
    </row>
    <row r="1249" spans="1:24" x14ac:dyDescent="0.3">
      <c r="A1249">
        <v>1248</v>
      </c>
      <c r="B1249" s="14">
        <v>42382.437847222223</v>
      </c>
      <c r="C1249" s="14">
        <v>42382.448263888888</v>
      </c>
      <c r="D1249" t="s">
        <v>4</v>
      </c>
      <c r="G1249" t="b">
        <v>0</v>
      </c>
      <c r="H1249">
        <v>70804</v>
      </c>
      <c r="I1249" s="5">
        <v>0</v>
      </c>
      <c r="J1249" s="14">
        <v>42382.450324074074</v>
      </c>
      <c r="K1249">
        <v>11.59</v>
      </c>
      <c r="L1249" s="5">
        <f>('[1]Pizza Sales Calculations'!$J1249-'[1]Pizza Sales Calculations'!$C1249)*24*60</f>
        <v>2.9666666686534882</v>
      </c>
      <c r="M1249">
        <f>COUNTA('[1]Pizza Sales Calculations'!$D1249:$F1249)</f>
        <v>1</v>
      </c>
      <c r="N1249">
        <f>IFERROR(VLOOKUP(D1249,[1]Parameters!$A$3:$C$5,3,FALSE),0)</f>
        <v>1.7</v>
      </c>
      <c r="O1249">
        <f>IFERROR(VLOOKUP(E1249,[1]Parameters!$A$3:$C$5,3,FALSE),0)</f>
        <v>0</v>
      </c>
      <c r="P1249">
        <f>IFERROR(VLOOKUP(F1249,[1]Parameters!$A$3:$C$5,3,FALSE),0)</f>
        <v>0</v>
      </c>
      <c r="Q1249">
        <f t="shared" si="19"/>
        <v>1.7</v>
      </c>
      <c r="R1249" s="10">
        <f>IF('[1]Pizza Sales Calculations'!$G1249=TRUE, [1]Parameters!$B$17*'[1]Pizza Sales Calculations'!$L1249*2, 0)</f>
        <v>0</v>
      </c>
      <c r="S1249" t="str">
        <f>IF(I1249&lt;[1]Parameters!$B$21,"TRUE","FALSE")</f>
        <v>TRUE</v>
      </c>
      <c r="T1249" s="5">
        <f>(I1249/[1]Parameters!$B$25)*60</f>
        <v>0</v>
      </c>
      <c r="U1249" s="10">
        <f>IF(AND('[1]Pizza Sales Calculations'!G1249=TRUE,'[1]Pizza Sales Calculations'!S1249="TRUE"),T1249*[1]Parameters!$B$40*2,0)</f>
        <v>0</v>
      </c>
      <c r="V1249">
        <f>INDEX([1]Parameters!$A$3:$C$5,MATCH('[1]Pizza Sales Calculations'!D1249,[1]Parameters!$A$3:$A$5,0),2)</f>
        <v>10</v>
      </c>
      <c r="W1249" t="e">
        <f>INDEX([1]Parameters!$A$3:$C$5,MATCH('[1]Pizza Sales Calculations'!E1249,[1]Parameters!$A$3:$A$5,0),2)</f>
        <v>#N/A</v>
      </c>
      <c r="X1249" t="e">
        <f>INDEX([1]Parameters!$A$3:$C$5,MATCH('[1]Pizza Sales Calculations'!F1249,[1]Parameters!$A$3:$A$5,0),2)</f>
        <v>#N/A</v>
      </c>
    </row>
    <row r="1250" spans="1:24" x14ac:dyDescent="0.3">
      <c r="A1250">
        <v>1249</v>
      </c>
      <c r="B1250" s="14">
        <v>42382.50540509259</v>
      </c>
      <c r="C1250" s="14">
        <v>42382.515798611108</v>
      </c>
      <c r="D1250" t="s">
        <v>4</v>
      </c>
      <c r="G1250" t="b">
        <v>0</v>
      </c>
      <c r="H1250">
        <v>70803</v>
      </c>
      <c r="I1250" s="5">
        <v>0</v>
      </c>
      <c r="J1250" s="14">
        <v>42382.517858796295</v>
      </c>
      <c r="K1250">
        <v>11.59</v>
      </c>
      <c r="L1250" s="5">
        <f>('[1]Pizza Sales Calculations'!$J1250-'[1]Pizza Sales Calculations'!$C1250)*24*60</f>
        <v>2.9666666686534882</v>
      </c>
      <c r="M1250">
        <f>COUNTA('[1]Pizza Sales Calculations'!$D1250:$F1250)</f>
        <v>1</v>
      </c>
      <c r="N1250">
        <f>IFERROR(VLOOKUP(D1250,[1]Parameters!$A$3:$C$5,3,FALSE),0)</f>
        <v>1.7</v>
      </c>
      <c r="O1250">
        <f>IFERROR(VLOOKUP(E1250,[1]Parameters!$A$3:$C$5,3,FALSE),0)</f>
        <v>0</v>
      </c>
      <c r="P1250">
        <f>IFERROR(VLOOKUP(F1250,[1]Parameters!$A$3:$C$5,3,FALSE),0)</f>
        <v>0</v>
      </c>
      <c r="Q1250">
        <f t="shared" si="19"/>
        <v>1.7</v>
      </c>
      <c r="R1250" s="10">
        <f>IF('[1]Pizza Sales Calculations'!$G1250=TRUE, [1]Parameters!$B$17*'[1]Pizza Sales Calculations'!$L1250*2, 0)</f>
        <v>0</v>
      </c>
      <c r="S1250" t="str">
        <f>IF(I1250&lt;[1]Parameters!$B$21,"TRUE","FALSE")</f>
        <v>TRUE</v>
      </c>
      <c r="T1250" s="5">
        <f>(I1250/[1]Parameters!$B$25)*60</f>
        <v>0</v>
      </c>
      <c r="U1250" s="10">
        <f>IF(AND('[1]Pizza Sales Calculations'!G1250=TRUE,'[1]Pizza Sales Calculations'!S1250="TRUE"),T1250*[1]Parameters!$B$40*2,0)</f>
        <v>0</v>
      </c>
      <c r="V1250">
        <f>INDEX([1]Parameters!$A$3:$C$5,MATCH('[1]Pizza Sales Calculations'!D1250,[1]Parameters!$A$3:$A$5,0),2)</f>
        <v>10</v>
      </c>
      <c r="W1250" t="e">
        <f>INDEX([1]Parameters!$A$3:$C$5,MATCH('[1]Pizza Sales Calculations'!E1250,[1]Parameters!$A$3:$A$5,0),2)</f>
        <v>#N/A</v>
      </c>
      <c r="X1250" t="e">
        <f>INDEX([1]Parameters!$A$3:$C$5,MATCH('[1]Pizza Sales Calculations'!F1250,[1]Parameters!$A$3:$A$5,0),2)</f>
        <v>#N/A</v>
      </c>
    </row>
    <row r="1251" spans="1:24" x14ac:dyDescent="0.3">
      <c r="A1251">
        <v>1250</v>
      </c>
      <c r="B1251" s="14">
        <v>42382.434594907405</v>
      </c>
      <c r="C1251" s="14">
        <v>42382.445011574076</v>
      </c>
      <c r="D1251" t="s">
        <v>4</v>
      </c>
      <c r="G1251" t="b">
        <v>0</v>
      </c>
      <c r="H1251">
        <v>70803</v>
      </c>
      <c r="I1251" s="5">
        <v>0</v>
      </c>
      <c r="J1251" s="14">
        <v>42382.447083333333</v>
      </c>
      <c r="K1251">
        <v>11.59</v>
      </c>
      <c r="L1251" s="5">
        <f>('[1]Pizza Sales Calculations'!$J1251-'[1]Pizza Sales Calculations'!$C1251)*24*60</f>
        <v>2.9833333287388086</v>
      </c>
      <c r="M1251">
        <f>COUNTA('[1]Pizza Sales Calculations'!$D1251:$F1251)</f>
        <v>1</v>
      </c>
      <c r="N1251">
        <f>IFERROR(VLOOKUP(D1251,[1]Parameters!$A$3:$C$5,3,FALSE),0)</f>
        <v>1.7</v>
      </c>
      <c r="O1251">
        <f>IFERROR(VLOOKUP(E1251,[1]Parameters!$A$3:$C$5,3,FALSE),0)</f>
        <v>0</v>
      </c>
      <c r="P1251">
        <f>IFERROR(VLOOKUP(F1251,[1]Parameters!$A$3:$C$5,3,FALSE),0)</f>
        <v>0</v>
      </c>
      <c r="Q1251">
        <f t="shared" si="19"/>
        <v>1.7</v>
      </c>
      <c r="R1251" s="10">
        <f>IF('[1]Pizza Sales Calculations'!$G1251=TRUE, [1]Parameters!$B$17*'[1]Pizza Sales Calculations'!$L1251*2, 0)</f>
        <v>0</v>
      </c>
      <c r="S1251" t="str">
        <f>IF(I1251&lt;[1]Parameters!$B$21,"TRUE","FALSE")</f>
        <v>TRUE</v>
      </c>
      <c r="T1251" s="5">
        <f>(I1251/[1]Parameters!$B$25)*60</f>
        <v>0</v>
      </c>
      <c r="U1251" s="10">
        <f>IF(AND('[1]Pizza Sales Calculations'!G1251=TRUE,'[1]Pizza Sales Calculations'!S1251="TRUE"),T1251*[1]Parameters!$B$40*2,0)</f>
        <v>0</v>
      </c>
      <c r="V1251">
        <f>INDEX([1]Parameters!$A$3:$C$5,MATCH('[1]Pizza Sales Calculations'!D1251,[1]Parameters!$A$3:$A$5,0),2)</f>
        <v>10</v>
      </c>
      <c r="W1251" t="e">
        <f>INDEX([1]Parameters!$A$3:$C$5,MATCH('[1]Pizza Sales Calculations'!E1251,[1]Parameters!$A$3:$A$5,0),2)</f>
        <v>#N/A</v>
      </c>
      <c r="X1251" t="e">
        <f>INDEX([1]Parameters!$A$3:$C$5,MATCH('[1]Pizza Sales Calculations'!F1251,[1]Parameters!$A$3:$A$5,0),2)</f>
        <v>#N/A</v>
      </c>
    </row>
    <row r="1252" spans="1:24" x14ac:dyDescent="0.3">
      <c r="A1252">
        <v>1251</v>
      </c>
      <c r="B1252" s="14">
        <v>42382.540196759262</v>
      </c>
      <c r="C1252" s="14">
        <v>42382.55060185185</v>
      </c>
      <c r="D1252" t="s">
        <v>3</v>
      </c>
      <c r="G1252" t="b">
        <v>0</v>
      </c>
      <c r="H1252">
        <v>70806</v>
      </c>
      <c r="I1252" s="5">
        <v>0</v>
      </c>
      <c r="J1252" s="14">
        <v>42382.552673611113</v>
      </c>
      <c r="K1252">
        <v>7.99</v>
      </c>
      <c r="L1252" s="5">
        <f>('[1]Pizza Sales Calculations'!$J1252-'[1]Pizza Sales Calculations'!$C1252)*24*60</f>
        <v>2.9833333392161876</v>
      </c>
      <c r="M1252">
        <f>COUNTA('[1]Pizza Sales Calculations'!$D1252:$F1252)</f>
        <v>1</v>
      </c>
      <c r="N1252">
        <f>IFERROR(VLOOKUP(D1252,[1]Parameters!$A$3:$C$5,3,FALSE),0)</f>
        <v>1</v>
      </c>
      <c r="O1252">
        <f>IFERROR(VLOOKUP(E1252,[1]Parameters!$A$3:$C$5,3,FALSE),0)</f>
        <v>0</v>
      </c>
      <c r="P1252">
        <f>IFERROR(VLOOKUP(F1252,[1]Parameters!$A$3:$C$5,3,FALSE),0)</f>
        <v>0</v>
      </c>
      <c r="Q1252">
        <f t="shared" si="19"/>
        <v>1</v>
      </c>
      <c r="R1252" s="10">
        <f>IF('[1]Pizza Sales Calculations'!$G1252=TRUE, [1]Parameters!$B$17*'[1]Pizza Sales Calculations'!$L1252*2, 0)</f>
        <v>0</v>
      </c>
      <c r="S1252" t="str">
        <f>IF(I1252&lt;[1]Parameters!$B$21,"TRUE","FALSE")</f>
        <v>TRUE</v>
      </c>
      <c r="T1252" s="5">
        <f>(I1252/[1]Parameters!$B$25)*60</f>
        <v>0</v>
      </c>
      <c r="U1252" s="10">
        <f>IF(AND('[1]Pizza Sales Calculations'!G1252=TRUE,'[1]Pizza Sales Calculations'!S1252="TRUE"),T1252*[1]Parameters!$B$40*2,0)</f>
        <v>0</v>
      </c>
      <c r="V1252">
        <f>INDEX([1]Parameters!$A$3:$C$5,MATCH('[1]Pizza Sales Calculations'!D1252,[1]Parameters!$A$3:$A$5,0),2)</f>
        <v>7</v>
      </c>
      <c r="W1252" t="e">
        <f>INDEX([1]Parameters!$A$3:$C$5,MATCH('[1]Pizza Sales Calculations'!E1252,[1]Parameters!$A$3:$A$5,0),2)</f>
        <v>#N/A</v>
      </c>
      <c r="X1252" t="e">
        <f>INDEX([1]Parameters!$A$3:$C$5,MATCH('[1]Pizza Sales Calculations'!F1252,[1]Parameters!$A$3:$A$5,0),2)</f>
        <v>#N/A</v>
      </c>
    </row>
    <row r="1253" spans="1:24" x14ac:dyDescent="0.3">
      <c r="A1253">
        <v>1252</v>
      </c>
      <c r="B1253" s="14">
        <v>42382.603217592594</v>
      </c>
      <c r="C1253" s="14">
        <v>42382.613622685189</v>
      </c>
      <c r="D1253" t="s">
        <v>4</v>
      </c>
      <c r="G1253" t="b">
        <v>0</v>
      </c>
      <c r="H1253">
        <v>70807</v>
      </c>
      <c r="I1253" s="5">
        <v>0</v>
      </c>
      <c r="J1253" s="14">
        <v>42382.615706018521</v>
      </c>
      <c r="K1253">
        <v>11.59</v>
      </c>
      <c r="L1253" s="5">
        <f>('[1]Pizza Sales Calculations'!$J1253-'[1]Pizza Sales Calculations'!$C1253)*24*60</f>
        <v>2.9999999993015081</v>
      </c>
      <c r="M1253">
        <f>COUNTA('[1]Pizza Sales Calculations'!$D1253:$F1253)</f>
        <v>1</v>
      </c>
      <c r="N1253">
        <f>IFERROR(VLOOKUP(D1253,[1]Parameters!$A$3:$C$5,3,FALSE),0)</f>
        <v>1.7</v>
      </c>
      <c r="O1253">
        <f>IFERROR(VLOOKUP(E1253,[1]Parameters!$A$3:$C$5,3,FALSE),0)</f>
        <v>0</v>
      </c>
      <c r="P1253">
        <f>IFERROR(VLOOKUP(F1253,[1]Parameters!$A$3:$C$5,3,FALSE),0)</f>
        <v>0</v>
      </c>
      <c r="Q1253">
        <f t="shared" si="19"/>
        <v>1.7</v>
      </c>
      <c r="R1253" s="10">
        <f>IF('[1]Pizza Sales Calculations'!$G1253=TRUE, [1]Parameters!$B$17*'[1]Pizza Sales Calculations'!$L1253*2, 0)</f>
        <v>0</v>
      </c>
      <c r="S1253" t="str">
        <f>IF(I1253&lt;[1]Parameters!$B$21,"TRUE","FALSE")</f>
        <v>TRUE</v>
      </c>
      <c r="T1253" s="5">
        <f>(I1253/[1]Parameters!$B$25)*60</f>
        <v>0</v>
      </c>
      <c r="U1253" s="10">
        <f>IF(AND('[1]Pizza Sales Calculations'!G1253=TRUE,'[1]Pizza Sales Calculations'!S1253="TRUE"),T1253*[1]Parameters!$B$40*2,0)</f>
        <v>0</v>
      </c>
      <c r="V1253">
        <f>INDEX([1]Parameters!$A$3:$C$5,MATCH('[1]Pizza Sales Calculations'!D1253,[1]Parameters!$A$3:$A$5,0),2)</f>
        <v>10</v>
      </c>
      <c r="W1253" t="e">
        <f>INDEX([1]Parameters!$A$3:$C$5,MATCH('[1]Pizza Sales Calculations'!E1253,[1]Parameters!$A$3:$A$5,0),2)</f>
        <v>#N/A</v>
      </c>
      <c r="X1253" t="e">
        <f>INDEX([1]Parameters!$A$3:$C$5,MATCH('[1]Pizza Sales Calculations'!F1253,[1]Parameters!$A$3:$A$5,0),2)</f>
        <v>#N/A</v>
      </c>
    </row>
    <row r="1254" spans="1:24" x14ac:dyDescent="0.3">
      <c r="A1254">
        <v>1253</v>
      </c>
      <c r="B1254" s="14">
        <v>42382.434108796297</v>
      </c>
      <c r="C1254" s="14">
        <v>42382.444525462961</v>
      </c>
      <c r="D1254" t="s">
        <v>5</v>
      </c>
      <c r="G1254" t="b">
        <v>1</v>
      </c>
      <c r="H1254">
        <v>70803</v>
      </c>
      <c r="I1254" s="5">
        <v>2.3874994787642598</v>
      </c>
      <c r="J1254" s="14">
        <v>42382.4528125</v>
      </c>
      <c r="K1254">
        <v>15.35</v>
      </c>
      <c r="L1254" s="5">
        <f>('[1]Pizza Sales Calculations'!$J1254-'[1]Pizza Sales Calculations'!$C1254)*24*60</f>
        <v>11.933333335909992</v>
      </c>
      <c r="M1254">
        <f>COUNTA('[1]Pizza Sales Calculations'!$D1254:$F1254)</f>
        <v>1</v>
      </c>
      <c r="N1254">
        <f>IFERROR(VLOOKUP(D1254,[1]Parameters!$A$3:$C$5,3,FALSE),0)</f>
        <v>2.2999999999999998</v>
      </c>
      <c r="O1254">
        <f>IFERROR(VLOOKUP(E1254,[1]Parameters!$A$3:$C$5,3,FALSE),0)</f>
        <v>0</v>
      </c>
      <c r="P1254">
        <f>IFERROR(VLOOKUP(F1254,[1]Parameters!$A$3:$C$5,3,FALSE),0)</f>
        <v>0</v>
      </c>
      <c r="Q1254">
        <f t="shared" si="19"/>
        <v>2.2999999999999998</v>
      </c>
      <c r="R1254" s="10">
        <f>IF('[1]Pizza Sales Calculations'!$G1254=TRUE, [1]Parameters!$B$17*'[1]Pizza Sales Calculations'!$L1254*2, 0)</f>
        <v>3.3811111118411645</v>
      </c>
      <c r="S1254" t="str">
        <f>IF(I1254&lt;[1]Parameters!$B$21,"TRUE","FALSE")</f>
        <v>TRUE</v>
      </c>
      <c r="T1254" s="5">
        <f>(I1254/[1]Parameters!$B$25)*60</f>
        <v>4.7749989575285197</v>
      </c>
      <c r="U1254" s="10">
        <f>IF(AND('[1]Pizza Sales Calculations'!G1254=TRUE,'[1]Pizza Sales Calculations'!S1254="TRUE"),T1254*[1]Parameters!$B$40*2,0)</f>
        <v>0.29806798413978769</v>
      </c>
      <c r="V1254">
        <f>INDEX([1]Parameters!$A$3:$C$5,MATCH('[1]Pizza Sales Calculations'!D1254,[1]Parameters!$A$3:$A$5,0),2)</f>
        <v>14</v>
      </c>
      <c r="W1254" t="e">
        <f>INDEX([1]Parameters!$A$3:$C$5,MATCH('[1]Pizza Sales Calculations'!E1254,[1]Parameters!$A$3:$A$5,0),2)</f>
        <v>#N/A</v>
      </c>
      <c r="X1254" t="e">
        <f>INDEX([1]Parameters!$A$3:$C$5,MATCH('[1]Pizza Sales Calculations'!F1254,[1]Parameters!$A$3:$A$5,0),2)</f>
        <v>#N/A</v>
      </c>
    </row>
    <row r="1255" spans="1:24" x14ac:dyDescent="0.3">
      <c r="A1255">
        <v>1254</v>
      </c>
      <c r="B1255" s="14">
        <v>42382.482141203705</v>
      </c>
      <c r="C1255" s="14">
        <v>42382.492546296293</v>
      </c>
      <c r="D1255" t="s">
        <v>5</v>
      </c>
      <c r="G1255" t="b">
        <v>1</v>
      </c>
      <c r="H1255">
        <v>70805</v>
      </c>
      <c r="I1255" s="5">
        <v>1.2259568409852499</v>
      </c>
      <c r="J1255" s="14">
        <v>42382.496793981481</v>
      </c>
      <c r="K1255">
        <v>15.35</v>
      </c>
      <c r="L1255" s="5">
        <f>('[1]Pizza Sales Calculations'!$J1255-'[1]Pizza Sales Calculations'!$C1255)*24*60</f>
        <v>6.1166666715871543</v>
      </c>
      <c r="M1255">
        <f>COUNTA('[1]Pizza Sales Calculations'!$D1255:$F1255)</f>
        <v>1</v>
      </c>
      <c r="N1255">
        <f>IFERROR(VLOOKUP(D1255,[1]Parameters!$A$3:$C$5,3,FALSE),0)</f>
        <v>2.2999999999999998</v>
      </c>
      <c r="O1255">
        <f>IFERROR(VLOOKUP(E1255,[1]Parameters!$A$3:$C$5,3,FALSE),0)</f>
        <v>0</v>
      </c>
      <c r="P1255">
        <f>IFERROR(VLOOKUP(F1255,[1]Parameters!$A$3:$C$5,3,FALSE),0)</f>
        <v>0</v>
      </c>
      <c r="Q1255">
        <f t="shared" si="19"/>
        <v>2.2999999999999998</v>
      </c>
      <c r="R1255" s="10">
        <f>IF('[1]Pizza Sales Calculations'!$G1255=TRUE, [1]Parameters!$B$17*'[1]Pizza Sales Calculations'!$L1255*2, 0)</f>
        <v>1.7330555569496937</v>
      </c>
      <c r="S1255" t="str">
        <f>IF(I1255&lt;[1]Parameters!$B$21,"TRUE","FALSE")</f>
        <v>TRUE</v>
      </c>
      <c r="T1255" s="5">
        <f>(I1255/[1]Parameters!$B$25)*60</f>
        <v>2.4519136819704999</v>
      </c>
      <c r="U1255" s="10">
        <f>IF(AND('[1]Pizza Sales Calculations'!G1255=TRUE,'[1]Pizza Sales Calculations'!S1255="TRUE"),T1255*[1]Parameters!$B$40*2,0)</f>
        <v>0.15305489592148172</v>
      </c>
      <c r="V1255">
        <f>INDEX([1]Parameters!$A$3:$C$5,MATCH('[1]Pizza Sales Calculations'!D1255,[1]Parameters!$A$3:$A$5,0),2)</f>
        <v>14</v>
      </c>
      <c r="W1255" t="e">
        <f>INDEX([1]Parameters!$A$3:$C$5,MATCH('[1]Pizza Sales Calculations'!E1255,[1]Parameters!$A$3:$A$5,0),2)</f>
        <v>#N/A</v>
      </c>
      <c r="X1255" t="e">
        <f>INDEX([1]Parameters!$A$3:$C$5,MATCH('[1]Pizza Sales Calculations'!F1255,[1]Parameters!$A$3:$A$5,0),2)</f>
        <v>#N/A</v>
      </c>
    </row>
    <row r="1256" spans="1:24" x14ac:dyDescent="0.3">
      <c r="A1256">
        <v>1255</v>
      </c>
      <c r="B1256" s="14">
        <v>42382.47378472222</v>
      </c>
      <c r="C1256" s="14">
        <v>42382.484189814815</v>
      </c>
      <c r="D1256" t="s">
        <v>3</v>
      </c>
      <c r="G1256" t="b">
        <v>1</v>
      </c>
      <c r="H1256">
        <v>70803</v>
      </c>
      <c r="I1256" s="5">
        <v>2.1219468068365499</v>
      </c>
      <c r="J1256" s="14">
        <v>42382.491550925923</v>
      </c>
      <c r="K1256">
        <v>7.99</v>
      </c>
      <c r="L1256" s="5">
        <f>('[1]Pizza Sales Calculations'!$J1256-'[1]Pizza Sales Calculations'!$C1256)*24*60</f>
        <v>10.599999994738027</v>
      </c>
      <c r="M1256">
        <f>COUNTA('[1]Pizza Sales Calculations'!$D1256:$F1256)</f>
        <v>1</v>
      </c>
      <c r="N1256">
        <f>IFERROR(VLOOKUP(D1256,[1]Parameters!$A$3:$C$5,3,FALSE),0)</f>
        <v>1</v>
      </c>
      <c r="O1256">
        <f>IFERROR(VLOOKUP(E1256,[1]Parameters!$A$3:$C$5,3,FALSE),0)</f>
        <v>0</v>
      </c>
      <c r="P1256">
        <f>IFERROR(VLOOKUP(F1256,[1]Parameters!$A$3:$C$5,3,FALSE),0)</f>
        <v>0</v>
      </c>
      <c r="Q1256">
        <f t="shared" si="19"/>
        <v>1</v>
      </c>
      <c r="R1256" s="10">
        <f>IF('[1]Pizza Sales Calculations'!$G1256=TRUE, [1]Parameters!$B$17*'[1]Pizza Sales Calculations'!$L1256*2, 0)</f>
        <v>3.0033333318424411</v>
      </c>
      <c r="S1256" t="str">
        <f>IF(I1256&lt;[1]Parameters!$B$21,"TRUE","FALSE")</f>
        <v>TRUE</v>
      </c>
      <c r="T1256" s="5">
        <f>(I1256/[1]Parameters!$B$25)*60</f>
        <v>4.2438936136730998</v>
      </c>
      <c r="U1256" s="10">
        <f>IF(AND('[1]Pizza Sales Calculations'!G1256=TRUE,'[1]Pizza Sales Calculations'!S1256="TRUE"),T1256*[1]Parameters!$B$40*2,0)</f>
        <v>0.2649149927743632</v>
      </c>
      <c r="V1256">
        <f>INDEX([1]Parameters!$A$3:$C$5,MATCH('[1]Pizza Sales Calculations'!D1256,[1]Parameters!$A$3:$A$5,0),2)</f>
        <v>7</v>
      </c>
      <c r="W1256" t="e">
        <f>INDEX([1]Parameters!$A$3:$C$5,MATCH('[1]Pizza Sales Calculations'!E1256,[1]Parameters!$A$3:$A$5,0),2)</f>
        <v>#N/A</v>
      </c>
      <c r="X1256" t="e">
        <f>INDEX([1]Parameters!$A$3:$C$5,MATCH('[1]Pizza Sales Calculations'!F1256,[1]Parameters!$A$3:$A$5,0),2)</f>
        <v>#N/A</v>
      </c>
    </row>
    <row r="1257" spans="1:24" x14ac:dyDescent="0.3">
      <c r="A1257">
        <v>1256</v>
      </c>
      <c r="B1257" s="14">
        <v>42382.459976851853</v>
      </c>
      <c r="C1257" s="14">
        <v>42382.470381944448</v>
      </c>
      <c r="D1257" t="s">
        <v>4</v>
      </c>
      <c r="G1257" t="b">
        <v>0</v>
      </c>
      <c r="H1257">
        <v>70806</v>
      </c>
      <c r="I1257" s="5">
        <v>0</v>
      </c>
      <c r="J1257" s="14">
        <v>42382.47246527778</v>
      </c>
      <c r="K1257">
        <v>11.59</v>
      </c>
      <c r="L1257" s="5">
        <f>('[1]Pizza Sales Calculations'!$J1257-'[1]Pizza Sales Calculations'!$C1257)*24*60</f>
        <v>2.9999999993015081</v>
      </c>
      <c r="M1257">
        <f>COUNTA('[1]Pizza Sales Calculations'!$D1257:$F1257)</f>
        <v>1</v>
      </c>
      <c r="N1257">
        <f>IFERROR(VLOOKUP(D1257,[1]Parameters!$A$3:$C$5,3,FALSE),0)</f>
        <v>1.7</v>
      </c>
      <c r="O1257">
        <f>IFERROR(VLOOKUP(E1257,[1]Parameters!$A$3:$C$5,3,FALSE),0)</f>
        <v>0</v>
      </c>
      <c r="P1257">
        <f>IFERROR(VLOOKUP(F1257,[1]Parameters!$A$3:$C$5,3,FALSE),0)</f>
        <v>0</v>
      </c>
      <c r="Q1257">
        <f t="shared" si="19"/>
        <v>1.7</v>
      </c>
      <c r="R1257" s="10">
        <f>IF('[1]Pizza Sales Calculations'!$G1257=TRUE, [1]Parameters!$B$17*'[1]Pizza Sales Calculations'!$L1257*2, 0)</f>
        <v>0</v>
      </c>
      <c r="S1257" t="str">
        <f>IF(I1257&lt;[1]Parameters!$B$21,"TRUE","FALSE")</f>
        <v>TRUE</v>
      </c>
      <c r="T1257" s="5">
        <f>(I1257/[1]Parameters!$B$25)*60</f>
        <v>0</v>
      </c>
      <c r="U1257" s="10">
        <f>IF(AND('[1]Pizza Sales Calculations'!G1257=TRUE,'[1]Pizza Sales Calculations'!S1257="TRUE"),T1257*[1]Parameters!$B$40*2,0)</f>
        <v>0</v>
      </c>
      <c r="V1257">
        <f>INDEX([1]Parameters!$A$3:$C$5,MATCH('[1]Pizza Sales Calculations'!D1257,[1]Parameters!$A$3:$A$5,0),2)</f>
        <v>10</v>
      </c>
      <c r="W1257" t="e">
        <f>INDEX([1]Parameters!$A$3:$C$5,MATCH('[1]Pizza Sales Calculations'!E1257,[1]Parameters!$A$3:$A$5,0),2)</f>
        <v>#N/A</v>
      </c>
      <c r="X1257" t="e">
        <f>INDEX([1]Parameters!$A$3:$C$5,MATCH('[1]Pizza Sales Calculations'!F1257,[1]Parameters!$A$3:$A$5,0),2)</f>
        <v>#N/A</v>
      </c>
    </row>
    <row r="1258" spans="1:24" x14ac:dyDescent="0.3">
      <c r="A1258">
        <v>1257</v>
      </c>
      <c r="B1258" s="14">
        <v>42382.501631944448</v>
      </c>
      <c r="C1258" s="14">
        <v>42382.512048611112</v>
      </c>
      <c r="D1258" t="s">
        <v>5</v>
      </c>
      <c r="G1258" t="b">
        <v>1</v>
      </c>
      <c r="H1258">
        <v>70804</v>
      </c>
      <c r="I1258" s="5">
        <v>6.7674798053647596</v>
      </c>
      <c r="J1258" s="14">
        <v>42382.535543981481</v>
      </c>
      <c r="K1258">
        <v>15.35</v>
      </c>
      <c r="L1258" s="5">
        <f>('[1]Pizza Sales Calculations'!$J1258-'[1]Pizza Sales Calculations'!$C1258)*24*60</f>
        <v>33.833333331858739</v>
      </c>
      <c r="M1258">
        <f>COUNTA('[1]Pizza Sales Calculations'!$D1258:$F1258)</f>
        <v>1</v>
      </c>
      <c r="N1258">
        <f>IFERROR(VLOOKUP(D1258,[1]Parameters!$A$3:$C$5,3,FALSE),0)</f>
        <v>2.2999999999999998</v>
      </c>
      <c r="O1258">
        <f>IFERROR(VLOOKUP(E1258,[1]Parameters!$A$3:$C$5,3,FALSE),0)</f>
        <v>0</v>
      </c>
      <c r="P1258">
        <f>IFERROR(VLOOKUP(F1258,[1]Parameters!$A$3:$C$5,3,FALSE),0)</f>
        <v>0</v>
      </c>
      <c r="Q1258">
        <f t="shared" si="19"/>
        <v>2.2999999999999998</v>
      </c>
      <c r="R1258" s="10">
        <f>IF('[1]Pizza Sales Calculations'!$G1258=TRUE, [1]Parameters!$B$17*'[1]Pizza Sales Calculations'!$L1258*2, 0)</f>
        <v>9.5861111106933095</v>
      </c>
      <c r="S1258" t="str">
        <f>IF(I1258&lt;[1]Parameters!$B$21,"TRUE","FALSE")</f>
        <v>FALSE</v>
      </c>
      <c r="T1258" s="5">
        <f>(I1258/[1]Parameters!$B$25)*60</f>
        <v>13.534959610729519</v>
      </c>
      <c r="U1258" s="10">
        <f>IF(AND('[1]Pizza Sales Calculations'!G1258=TRUE,'[1]Pizza Sales Calculations'!S1258="TRUE"),T1258*[1]Parameters!$B$40*2,0)</f>
        <v>0</v>
      </c>
      <c r="V1258">
        <f>INDEX([1]Parameters!$A$3:$C$5,MATCH('[1]Pizza Sales Calculations'!D1258,[1]Parameters!$A$3:$A$5,0),2)</f>
        <v>14</v>
      </c>
      <c r="W1258" t="e">
        <f>INDEX([1]Parameters!$A$3:$C$5,MATCH('[1]Pizza Sales Calculations'!E1258,[1]Parameters!$A$3:$A$5,0),2)</f>
        <v>#N/A</v>
      </c>
      <c r="X1258" t="e">
        <f>INDEX([1]Parameters!$A$3:$C$5,MATCH('[1]Pizza Sales Calculations'!F1258,[1]Parameters!$A$3:$A$5,0),2)</f>
        <v>#N/A</v>
      </c>
    </row>
    <row r="1259" spans="1:24" x14ac:dyDescent="0.3">
      <c r="A1259">
        <v>1258</v>
      </c>
      <c r="B1259" s="14">
        <v>42382.468194444446</v>
      </c>
      <c r="C1259" s="14">
        <v>42382.478576388887</v>
      </c>
      <c r="D1259" t="s">
        <v>4</v>
      </c>
      <c r="G1259" t="b">
        <v>1</v>
      </c>
      <c r="H1259">
        <v>70805</v>
      </c>
      <c r="I1259" s="5">
        <v>3.1035058478568698</v>
      </c>
      <c r="J1259" s="14">
        <v>42382.489351851851</v>
      </c>
      <c r="K1259">
        <v>11.59</v>
      </c>
      <c r="L1259" s="5">
        <f>('[1]Pizza Sales Calculations'!$J1259-'[1]Pizza Sales Calculations'!$C1259)*24*60</f>
        <v>15.516666668700054</v>
      </c>
      <c r="M1259">
        <f>COUNTA('[1]Pizza Sales Calculations'!$D1259:$F1259)</f>
        <v>1</v>
      </c>
      <c r="N1259">
        <f>IFERROR(VLOOKUP(D1259,[1]Parameters!$A$3:$C$5,3,FALSE),0)</f>
        <v>1.7</v>
      </c>
      <c r="O1259">
        <f>IFERROR(VLOOKUP(E1259,[1]Parameters!$A$3:$C$5,3,FALSE),0)</f>
        <v>0</v>
      </c>
      <c r="P1259">
        <f>IFERROR(VLOOKUP(F1259,[1]Parameters!$A$3:$C$5,3,FALSE),0)</f>
        <v>0</v>
      </c>
      <c r="Q1259">
        <f t="shared" si="19"/>
        <v>1.7</v>
      </c>
      <c r="R1259" s="10">
        <f>IF('[1]Pizza Sales Calculations'!$G1259=TRUE, [1]Parameters!$B$17*'[1]Pizza Sales Calculations'!$L1259*2, 0)</f>
        <v>4.3963888894650154</v>
      </c>
      <c r="S1259" t="str">
        <f>IF(I1259&lt;[1]Parameters!$B$21,"TRUE","FALSE")</f>
        <v>TRUE</v>
      </c>
      <c r="T1259" s="5">
        <f>(I1259/[1]Parameters!$B$25)*60</f>
        <v>6.2070116957137396</v>
      </c>
      <c r="U1259" s="10">
        <f>IF(AND('[1]Pizza Sales Calculations'!G1259=TRUE,'[1]Pizza Sales Calculations'!S1259="TRUE"),T1259*[1]Parameters!$B$40*2,0)</f>
        <v>0.38745798274081178</v>
      </c>
      <c r="V1259">
        <f>INDEX([1]Parameters!$A$3:$C$5,MATCH('[1]Pizza Sales Calculations'!D1259,[1]Parameters!$A$3:$A$5,0),2)</f>
        <v>10</v>
      </c>
      <c r="W1259" t="e">
        <f>INDEX([1]Parameters!$A$3:$C$5,MATCH('[1]Pizza Sales Calculations'!E1259,[1]Parameters!$A$3:$A$5,0),2)</f>
        <v>#N/A</v>
      </c>
      <c r="X1259" t="e">
        <f>INDEX([1]Parameters!$A$3:$C$5,MATCH('[1]Pizza Sales Calculations'!F1259,[1]Parameters!$A$3:$A$5,0),2)</f>
        <v>#N/A</v>
      </c>
    </row>
    <row r="1260" spans="1:24" x14ac:dyDescent="0.3">
      <c r="A1260">
        <v>1259</v>
      </c>
      <c r="B1260" s="14">
        <v>42382.562939814816</v>
      </c>
      <c r="C1260" s="14">
        <v>42382.57335648148</v>
      </c>
      <c r="D1260" t="s">
        <v>3</v>
      </c>
      <c r="E1260" t="s">
        <v>4</v>
      </c>
      <c r="G1260" t="b">
        <v>1</v>
      </c>
      <c r="H1260">
        <v>70805</v>
      </c>
      <c r="I1260" s="5">
        <v>2.4557349580673402</v>
      </c>
      <c r="J1260" s="14">
        <v>42382.581875000003</v>
      </c>
      <c r="K1260">
        <v>19.579999999999998</v>
      </c>
      <c r="L1260" s="5">
        <f>('[1]Pizza Sales Calculations'!$J1260-'[1]Pizza Sales Calculations'!$C1260)*24*60</f>
        <v>12.266666673822328</v>
      </c>
      <c r="M1260">
        <f>COUNTA('[1]Pizza Sales Calculations'!$D1260:$F1260)</f>
        <v>2</v>
      </c>
      <c r="N1260">
        <f>IFERROR(VLOOKUP(D1260,[1]Parameters!$A$3:$C$5,3,FALSE),0)</f>
        <v>1</v>
      </c>
      <c r="O1260">
        <f>IFERROR(VLOOKUP(E1260,[1]Parameters!$A$3:$C$5,3,FALSE),0)</f>
        <v>1.7</v>
      </c>
      <c r="P1260">
        <f>IFERROR(VLOOKUP(F1260,[1]Parameters!$A$3:$C$5,3,FALSE),0)</f>
        <v>0</v>
      </c>
      <c r="Q1260">
        <f t="shared" si="19"/>
        <v>2.7</v>
      </c>
      <c r="R1260" s="10">
        <f>IF('[1]Pizza Sales Calculations'!$G1260=TRUE, [1]Parameters!$B$17*'[1]Pizza Sales Calculations'!$L1260*2, 0)</f>
        <v>3.4755555575829931</v>
      </c>
      <c r="S1260" t="str">
        <f>IF(I1260&lt;[1]Parameters!$B$21,"TRUE","FALSE")</f>
        <v>TRUE</v>
      </c>
      <c r="T1260" s="5">
        <f>(I1260/[1]Parameters!$B$25)*60</f>
        <v>4.9114699161346804</v>
      </c>
      <c r="U1260" s="10">
        <f>IF(AND('[1]Pizza Sales Calculations'!G1260=TRUE,'[1]Pizza Sales Calculations'!S1260="TRUE"),T1260*[1]Parameters!$B$40*2,0)</f>
        <v>0.30658686003634222</v>
      </c>
      <c r="V1260">
        <f>INDEX([1]Parameters!$A$3:$C$5,MATCH('[1]Pizza Sales Calculations'!D1260,[1]Parameters!$A$3:$A$5,0),2)</f>
        <v>7</v>
      </c>
      <c r="W1260">
        <f>INDEX([1]Parameters!$A$3:$C$5,MATCH('[1]Pizza Sales Calculations'!E1260,[1]Parameters!$A$3:$A$5,0),2)</f>
        <v>10</v>
      </c>
      <c r="X1260" t="e">
        <f>INDEX([1]Parameters!$A$3:$C$5,MATCH('[1]Pizza Sales Calculations'!F1260,[1]Parameters!$A$3:$A$5,0),2)</f>
        <v>#N/A</v>
      </c>
    </row>
    <row r="1261" spans="1:24" x14ac:dyDescent="0.3">
      <c r="A1261">
        <v>1260</v>
      </c>
      <c r="B1261" s="14">
        <v>42382.475937499999</v>
      </c>
      <c r="C1261" s="14">
        <v>42382.486342592594</v>
      </c>
      <c r="D1261" t="s">
        <v>3</v>
      </c>
      <c r="G1261" t="b">
        <v>1</v>
      </c>
      <c r="H1261">
        <v>70804</v>
      </c>
      <c r="I1261" s="5">
        <v>2.5633258354631798</v>
      </c>
      <c r="J1261" s="14">
        <v>42382.49523148148</v>
      </c>
      <c r="K1261">
        <v>7.99</v>
      </c>
      <c r="L1261" s="5">
        <f>('[1]Pizza Sales Calculations'!$J1261-'[1]Pizza Sales Calculations'!$C1261)*24*60</f>
        <v>12.799999995622784</v>
      </c>
      <c r="M1261">
        <f>COUNTA('[1]Pizza Sales Calculations'!$D1261:$F1261)</f>
        <v>1</v>
      </c>
      <c r="N1261">
        <f>IFERROR(VLOOKUP(D1261,[1]Parameters!$A$3:$C$5,3,FALSE),0)</f>
        <v>1</v>
      </c>
      <c r="O1261">
        <f>IFERROR(VLOOKUP(E1261,[1]Parameters!$A$3:$C$5,3,FALSE),0)</f>
        <v>0</v>
      </c>
      <c r="P1261">
        <f>IFERROR(VLOOKUP(F1261,[1]Parameters!$A$3:$C$5,3,FALSE),0)</f>
        <v>0</v>
      </c>
      <c r="Q1261">
        <f t="shared" si="19"/>
        <v>1</v>
      </c>
      <c r="R1261" s="10">
        <f>IF('[1]Pizza Sales Calculations'!$G1261=TRUE, [1]Parameters!$B$17*'[1]Pizza Sales Calculations'!$L1261*2, 0)</f>
        <v>3.6266666654264554</v>
      </c>
      <c r="S1261" t="str">
        <f>IF(I1261&lt;[1]Parameters!$B$21,"TRUE","FALSE")</f>
        <v>TRUE</v>
      </c>
      <c r="T1261" s="5">
        <f>(I1261/[1]Parameters!$B$25)*60</f>
        <v>5.1266516709263596</v>
      </c>
      <c r="U1261" s="10">
        <f>IF(AND('[1]Pizza Sales Calculations'!G1261=TRUE,'[1]Pizza Sales Calculations'!S1261="TRUE"),T1261*[1]Parameters!$B$40*2,0)</f>
        <v>0.32001907069123525</v>
      </c>
      <c r="V1261">
        <f>INDEX([1]Parameters!$A$3:$C$5,MATCH('[1]Pizza Sales Calculations'!D1261,[1]Parameters!$A$3:$A$5,0),2)</f>
        <v>7</v>
      </c>
      <c r="W1261" t="e">
        <f>INDEX([1]Parameters!$A$3:$C$5,MATCH('[1]Pizza Sales Calculations'!E1261,[1]Parameters!$A$3:$A$5,0),2)</f>
        <v>#N/A</v>
      </c>
      <c r="X1261" t="e">
        <f>INDEX([1]Parameters!$A$3:$C$5,MATCH('[1]Pizza Sales Calculations'!F1261,[1]Parameters!$A$3:$A$5,0),2)</f>
        <v>#N/A</v>
      </c>
    </row>
    <row r="1262" spans="1:24" x14ac:dyDescent="0.3">
      <c r="A1262">
        <v>1261</v>
      </c>
      <c r="B1262" s="14">
        <v>42382.459837962961</v>
      </c>
      <c r="C1262" s="14">
        <v>42382.470266203702</v>
      </c>
      <c r="D1262" t="s">
        <v>3</v>
      </c>
      <c r="G1262" t="b">
        <v>0</v>
      </c>
      <c r="H1262">
        <v>70806</v>
      </c>
      <c r="I1262" s="5">
        <v>0</v>
      </c>
      <c r="J1262" s="14">
        <v>42382.472326388888</v>
      </c>
      <c r="K1262">
        <v>7.99</v>
      </c>
      <c r="L1262" s="5">
        <f>('[1]Pizza Sales Calculations'!$J1262-'[1]Pizza Sales Calculations'!$C1262)*24*60</f>
        <v>2.9666666686534882</v>
      </c>
      <c r="M1262">
        <f>COUNTA('[1]Pizza Sales Calculations'!$D1262:$F1262)</f>
        <v>1</v>
      </c>
      <c r="N1262">
        <f>IFERROR(VLOOKUP(D1262,[1]Parameters!$A$3:$C$5,3,FALSE),0)</f>
        <v>1</v>
      </c>
      <c r="O1262">
        <f>IFERROR(VLOOKUP(E1262,[1]Parameters!$A$3:$C$5,3,FALSE),0)</f>
        <v>0</v>
      </c>
      <c r="P1262">
        <f>IFERROR(VLOOKUP(F1262,[1]Parameters!$A$3:$C$5,3,FALSE),0)</f>
        <v>0</v>
      </c>
      <c r="Q1262">
        <f t="shared" si="19"/>
        <v>1</v>
      </c>
      <c r="R1262" s="10">
        <f>IF('[1]Pizza Sales Calculations'!$G1262=TRUE, [1]Parameters!$B$17*'[1]Pizza Sales Calculations'!$L1262*2, 0)</f>
        <v>0</v>
      </c>
      <c r="S1262" t="str">
        <f>IF(I1262&lt;[1]Parameters!$B$21,"TRUE","FALSE")</f>
        <v>TRUE</v>
      </c>
      <c r="T1262" s="5">
        <f>(I1262/[1]Parameters!$B$25)*60</f>
        <v>0</v>
      </c>
      <c r="U1262" s="10">
        <f>IF(AND('[1]Pizza Sales Calculations'!G1262=TRUE,'[1]Pizza Sales Calculations'!S1262="TRUE"),T1262*[1]Parameters!$B$40*2,0)</f>
        <v>0</v>
      </c>
      <c r="V1262">
        <f>INDEX([1]Parameters!$A$3:$C$5,MATCH('[1]Pizza Sales Calculations'!D1262,[1]Parameters!$A$3:$A$5,0),2)</f>
        <v>7</v>
      </c>
      <c r="W1262" t="e">
        <f>INDEX([1]Parameters!$A$3:$C$5,MATCH('[1]Pizza Sales Calculations'!E1262,[1]Parameters!$A$3:$A$5,0),2)</f>
        <v>#N/A</v>
      </c>
      <c r="X1262" t="e">
        <f>INDEX([1]Parameters!$A$3:$C$5,MATCH('[1]Pizza Sales Calculations'!F1262,[1]Parameters!$A$3:$A$5,0),2)</f>
        <v>#N/A</v>
      </c>
    </row>
    <row r="1263" spans="1:24" x14ac:dyDescent="0.3">
      <c r="A1263">
        <v>1262</v>
      </c>
      <c r="B1263" s="14">
        <v>42382.567800925928</v>
      </c>
      <c r="C1263" s="14">
        <v>42382.578217592592</v>
      </c>
      <c r="D1263" t="s">
        <v>3</v>
      </c>
      <c r="E1263" t="s">
        <v>4</v>
      </c>
      <c r="G1263" t="b">
        <v>0</v>
      </c>
      <c r="H1263">
        <v>70805</v>
      </c>
      <c r="I1263" s="5">
        <v>0</v>
      </c>
      <c r="J1263" s="14">
        <v>42382.580300925925</v>
      </c>
      <c r="K1263">
        <v>19.579999999999998</v>
      </c>
      <c r="L1263" s="5">
        <f>('[1]Pizza Sales Calculations'!$J1263-'[1]Pizza Sales Calculations'!$C1263)*24*60</f>
        <v>2.9999999993015081</v>
      </c>
      <c r="M1263">
        <f>COUNTA('[1]Pizza Sales Calculations'!$D1263:$F1263)</f>
        <v>2</v>
      </c>
      <c r="N1263">
        <f>IFERROR(VLOOKUP(D1263,[1]Parameters!$A$3:$C$5,3,FALSE),0)</f>
        <v>1</v>
      </c>
      <c r="O1263">
        <f>IFERROR(VLOOKUP(E1263,[1]Parameters!$A$3:$C$5,3,FALSE),0)</f>
        <v>1.7</v>
      </c>
      <c r="P1263">
        <f>IFERROR(VLOOKUP(F1263,[1]Parameters!$A$3:$C$5,3,FALSE),0)</f>
        <v>0</v>
      </c>
      <c r="Q1263">
        <f t="shared" si="19"/>
        <v>2.7</v>
      </c>
      <c r="R1263" s="10">
        <f>IF('[1]Pizza Sales Calculations'!$G1263=TRUE, [1]Parameters!$B$17*'[1]Pizza Sales Calculations'!$L1263*2, 0)</f>
        <v>0</v>
      </c>
      <c r="S1263" t="str">
        <f>IF(I1263&lt;[1]Parameters!$B$21,"TRUE","FALSE")</f>
        <v>TRUE</v>
      </c>
      <c r="T1263" s="5">
        <f>(I1263/[1]Parameters!$B$25)*60</f>
        <v>0</v>
      </c>
      <c r="U1263" s="10">
        <f>IF(AND('[1]Pizza Sales Calculations'!G1263=TRUE,'[1]Pizza Sales Calculations'!S1263="TRUE"),T1263*[1]Parameters!$B$40*2,0)</f>
        <v>0</v>
      </c>
      <c r="V1263">
        <f>INDEX([1]Parameters!$A$3:$C$5,MATCH('[1]Pizza Sales Calculations'!D1263,[1]Parameters!$A$3:$A$5,0),2)</f>
        <v>7</v>
      </c>
      <c r="W1263">
        <f>INDEX([1]Parameters!$A$3:$C$5,MATCH('[1]Pizza Sales Calculations'!E1263,[1]Parameters!$A$3:$A$5,0),2)</f>
        <v>10</v>
      </c>
      <c r="X1263" t="e">
        <f>INDEX([1]Parameters!$A$3:$C$5,MATCH('[1]Pizza Sales Calculations'!F1263,[1]Parameters!$A$3:$A$5,0),2)</f>
        <v>#N/A</v>
      </c>
    </row>
    <row r="1264" spans="1:24" x14ac:dyDescent="0.3">
      <c r="A1264">
        <v>1263</v>
      </c>
      <c r="B1264" s="14">
        <v>42382.463020833333</v>
      </c>
      <c r="C1264" s="14">
        <v>42382.473414351851</v>
      </c>
      <c r="D1264" t="s">
        <v>3</v>
      </c>
      <c r="E1264" t="s">
        <v>5</v>
      </c>
      <c r="G1264" t="b">
        <v>0</v>
      </c>
      <c r="H1264">
        <v>70803</v>
      </c>
      <c r="I1264" s="5">
        <v>0</v>
      </c>
      <c r="J1264" s="14">
        <v>42382.475497685184</v>
      </c>
      <c r="K1264">
        <v>23.34</v>
      </c>
      <c r="L1264" s="5">
        <f>('[1]Pizza Sales Calculations'!$J1264-'[1]Pizza Sales Calculations'!$C1264)*24*60</f>
        <v>2.9999999993015081</v>
      </c>
      <c r="M1264">
        <f>COUNTA('[1]Pizza Sales Calculations'!$D1264:$F1264)</f>
        <v>2</v>
      </c>
      <c r="N1264">
        <f>IFERROR(VLOOKUP(D1264,[1]Parameters!$A$3:$C$5,3,FALSE),0)</f>
        <v>1</v>
      </c>
      <c r="O1264">
        <f>IFERROR(VLOOKUP(E1264,[1]Parameters!$A$3:$C$5,3,FALSE),0)</f>
        <v>2.2999999999999998</v>
      </c>
      <c r="P1264">
        <f>IFERROR(VLOOKUP(F1264,[1]Parameters!$A$3:$C$5,3,FALSE),0)</f>
        <v>0</v>
      </c>
      <c r="Q1264">
        <f t="shared" si="19"/>
        <v>3.3</v>
      </c>
      <c r="R1264" s="10">
        <f>IF('[1]Pizza Sales Calculations'!$G1264=TRUE, [1]Parameters!$B$17*'[1]Pizza Sales Calculations'!$L1264*2, 0)</f>
        <v>0</v>
      </c>
      <c r="S1264" t="str">
        <f>IF(I1264&lt;[1]Parameters!$B$21,"TRUE","FALSE")</f>
        <v>TRUE</v>
      </c>
      <c r="T1264" s="5">
        <f>(I1264/[1]Parameters!$B$25)*60</f>
        <v>0</v>
      </c>
      <c r="U1264" s="10">
        <f>IF(AND('[1]Pizza Sales Calculations'!G1264=TRUE,'[1]Pizza Sales Calculations'!S1264="TRUE"),T1264*[1]Parameters!$B$40*2,0)</f>
        <v>0</v>
      </c>
      <c r="V1264">
        <f>INDEX([1]Parameters!$A$3:$C$5,MATCH('[1]Pizza Sales Calculations'!D1264,[1]Parameters!$A$3:$A$5,0),2)</f>
        <v>7</v>
      </c>
      <c r="W1264">
        <f>INDEX([1]Parameters!$A$3:$C$5,MATCH('[1]Pizza Sales Calculations'!E1264,[1]Parameters!$A$3:$A$5,0),2)</f>
        <v>14</v>
      </c>
      <c r="X1264" t="e">
        <f>INDEX([1]Parameters!$A$3:$C$5,MATCH('[1]Pizza Sales Calculations'!F1264,[1]Parameters!$A$3:$A$5,0),2)</f>
        <v>#N/A</v>
      </c>
    </row>
    <row r="1265" spans="1:24" x14ac:dyDescent="0.3">
      <c r="A1265">
        <v>1264</v>
      </c>
      <c r="B1265" s="14">
        <v>42382.459803240738</v>
      </c>
      <c r="C1265" s="14">
        <v>42382.470196759263</v>
      </c>
      <c r="D1265" t="s">
        <v>3</v>
      </c>
      <c r="E1265" t="s">
        <v>4</v>
      </c>
      <c r="G1265" t="b">
        <v>1</v>
      </c>
      <c r="H1265">
        <v>70805</v>
      </c>
      <c r="I1265" s="5">
        <v>2.79820162569218</v>
      </c>
      <c r="J1265" s="14">
        <v>42382.479907407411</v>
      </c>
      <c r="K1265">
        <v>19.579999999999998</v>
      </c>
      <c r="L1265" s="5">
        <f>('[1]Pizza Sales Calculations'!$J1265-'[1]Pizza Sales Calculations'!$C1265)*24*60</f>
        <v>13.983333333162591</v>
      </c>
      <c r="M1265">
        <f>COUNTA('[1]Pizza Sales Calculations'!$D1265:$F1265)</f>
        <v>2</v>
      </c>
      <c r="N1265">
        <f>IFERROR(VLOOKUP(D1265,[1]Parameters!$A$3:$C$5,3,FALSE),0)</f>
        <v>1</v>
      </c>
      <c r="O1265">
        <f>IFERROR(VLOOKUP(E1265,[1]Parameters!$A$3:$C$5,3,FALSE),0)</f>
        <v>1.7</v>
      </c>
      <c r="P1265">
        <f>IFERROR(VLOOKUP(F1265,[1]Parameters!$A$3:$C$5,3,FALSE),0)</f>
        <v>0</v>
      </c>
      <c r="Q1265">
        <f t="shared" si="19"/>
        <v>2.7</v>
      </c>
      <c r="R1265" s="10">
        <f>IF('[1]Pizza Sales Calculations'!$G1265=TRUE, [1]Parameters!$B$17*'[1]Pizza Sales Calculations'!$L1265*2, 0)</f>
        <v>3.9619444443960674</v>
      </c>
      <c r="S1265" t="str">
        <f>IF(I1265&lt;[1]Parameters!$B$21,"TRUE","FALSE")</f>
        <v>TRUE</v>
      </c>
      <c r="T1265" s="5">
        <f>(I1265/[1]Parameters!$B$25)*60</f>
        <v>5.59640325138436</v>
      </c>
      <c r="U1265" s="10">
        <f>IF(AND('[1]Pizza Sales Calculations'!G1265=TRUE,'[1]Pizza Sales Calculations'!S1265="TRUE"),T1265*[1]Parameters!$B$40*2,0)</f>
        <v>0.34934219890110341</v>
      </c>
      <c r="V1265">
        <f>INDEX([1]Parameters!$A$3:$C$5,MATCH('[1]Pizza Sales Calculations'!D1265,[1]Parameters!$A$3:$A$5,0),2)</f>
        <v>7</v>
      </c>
      <c r="W1265">
        <f>INDEX([1]Parameters!$A$3:$C$5,MATCH('[1]Pizza Sales Calculations'!E1265,[1]Parameters!$A$3:$A$5,0),2)</f>
        <v>10</v>
      </c>
      <c r="X1265" t="e">
        <f>INDEX([1]Parameters!$A$3:$C$5,MATCH('[1]Pizza Sales Calculations'!F1265,[1]Parameters!$A$3:$A$5,0),2)</f>
        <v>#N/A</v>
      </c>
    </row>
    <row r="1266" spans="1:24" x14ac:dyDescent="0.3">
      <c r="A1266">
        <v>1265</v>
      </c>
      <c r="B1266" s="14">
        <v>42382.446400462963</v>
      </c>
      <c r="C1266" s="14">
        <v>42382.456805555557</v>
      </c>
      <c r="D1266" t="s">
        <v>3</v>
      </c>
      <c r="E1266" t="s">
        <v>4</v>
      </c>
      <c r="G1266" t="b">
        <v>0</v>
      </c>
      <c r="H1266">
        <v>70803</v>
      </c>
      <c r="I1266" s="5">
        <v>0</v>
      </c>
      <c r="J1266" s="14">
        <v>42382.45888888889</v>
      </c>
      <c r="K1266">
        <v>19.579999999999998</v>
      </c>
      <c r="L1266" s="5">
        <f>('[1]Pizza Sales Calculations'!$J1266-'[1]Pizza Sales Calculations'!$C1266)*24*60</f>
        <v>2.9999999993015081</v>
      </c>
      <c r="M1266">
        <f>COUNTA('[1]Pizza Sales Calculations'!$D1266:$F1266)</f>
        <v>2</v>
      </c>
      <c r="N1266">
        <f>IFERROR(VLOOKUP(D1266,[1]Parameters!$A$3:$C$5,3,FALSE),0)</f>
        <v>1</v>
      </c>
      <c r="O1266">
        <f>IFERROR(VLOOKUP(E1266,[1]Parameters!$A$3:$C$5,3,FALSE),0)</f>
        <v>1.7</v>
      </c>
      <c r="P1266">
        <f>IFERROR(VLOOKUP(F1266,[1]Parameters!$A$3:$C$5,3,FALSE),0)</f>
        <v>0</v>
      </c>
      <c r="Q1266">
        <f t="shared" si="19"/>
        <v>2.7</v>
      </c>
      <c r="R1266" s="10">
        <f>IF('[1]Pizza Sales Calculations'!$G1266=TRUE, [1]Parameters!$B$17*'[1]Pizza Sales Calculations'!$L1266*2, 0)</f>
        <v>0</v>
      </c>
      <c r="S1266" t="str">
        <f>IF(I1266&lt;[1]Parameters!$B$21,"TRUE","FALSE")</f>
        <v>TRUE</v>
      </c>
      <c r="T1266" s="5">
        <f>(I1266/[1]Parameters!$B$25)*60</f>
        <v>0</v>
      </c>
      <c r="U1266" s="10">
        <f>IF(AND('[1]Pizza Sales Calculations'!G1266=TRUE,'[1]Pizza Sales Calculations'!S1266="TRUE"),T1266*[1]Parameters!$B$40*2,0)</f>
        <v>0</v>
      </c>
      <c r="V1266">
        <f>INDEX([1]Parameters!$A$3:$C$5,MATCH('[1]Pizza Sales Calculations'!D1266,[1]Parameters!$A$3:$A$5,0),2)</f>
        <v>7</v>
      </c>
      <c r="W1266">
        <f>INDEX([1]Parameters!$A$3:$C$5,MATCH('[1]Pizza Sales Calculations'!E1266,[1]Parameters!$A$3:$A$5,0),2)</f>
        <v>10</v>
      </c>
      <c r="X1266" t="e">
        <f>INDEX([1]Parameters!$A$3:$C$5,MATCH('[1]Pizza Sales Calculations'!F1266,[1]Parameters!$A$3:$A$5,0),2)</f>
        <v>#N/A</v>
      </c>
    </row>
    <row r="1267" spans="1:24" x14ac:dyDescent="0.3">
      <c r="A1267">
        <v>1266</v>
      </c>
      <c r="B1267" s="14">
        <v>42382.527465277781</v>
      </c>
      <c r="C1267" s="14">
        <v>42382.537870370368</v>
      </c>
      <c r="D1267" t="s">
        <v>3</v>
      </c>
      <c r="G1267" t="b">
        <v>0</v>
      </c>
      <c r="H1267">
        <v>70804</v>
      </c>
      <c r="I1267" s="5">
        <v>0</v>
      </c>
      <c r="J1267" s="14">
        <v>42382.539953703701</v>
      </c>
      <c r="K1267">
        <v>7.99</v>
      </c>
      <c r="L1267" s="5">
        <f>('[1]Pizza Sales Calculations'!$J1267-'[1]Pizza Sales Calculations'!$C1267)*24*60</f>
        <v>2.9999999993015081</v>
      </c>
      <c r="M1267">
        <f>COUNTA('[1]Pizza Sales Calculations'!$D1267:$F1267)</f>
        <v>1</v>
      </c>
      <c r="N1267">
        <f>IFERROR(VLOOKUP(D1267,[1]Parameters!$A$3:$C$5,3,FALSE),0)</f>
        <v>1</v>
      </c>
      <c r="O1267">
        <f>IFERROR(VLOOKUP(E1267,[1]Parameters!$A$3:$C$5,3,FALSE),0)</f>
        <v>0</v>
      </c>
      <c r="P1267">
        <f>IFERROR(VLOOKUP(F1267,[1]Parameters!$A$3:$C$5,3,FALSE),0)</f>
        <v>0</v>
      </c>
      <c r="Q1267">
        <f t="shared" si="19"/>
        <v>1</v>
      </c>
      <c r="R1267" s="10">
        <f>IF('[1]Pizza Sales Calculations'!$G1267=TRUE, [1]Parameters!$B$17*'[1]Pizza Sales Calculations'!$L1267*2, 0)</f>
        <v>0</v>
      </c>
      <c r="S1267" t="str">
        <f>IF(I1267&lt;[1]Parameters!$B$21,"TRUE","FALSE")</f>
        <v>TRUE</v>
      </c>
      <c r="T1267" s="5">
        <f>(I1267/[1]Parameters!$B$25)*60</f>
        <v>0</v>
      </c>
      <c r="U1267" s="10">
        <f>IF(AND('[1]Pizza Sales Calculations'!G1267=TRUE,'[1]Pizza Sales Calculations'!S1267="TRUE"),T1267*[1]Parameters!$B$40*2,0)</f>
        <v>0</v>
      </c>
      <c r="V1267">
        <f>INDEX([1]Parameters!$A$3:$C$5,MATCH('[1]Pizza Sales Calculations'!D1267,[1]Parameters!$A$3:$A$5,0),2)</f>
        <v>7</v>
      </c>
      <c r="W1267" t="e">
        <f>INDEX([1]Parameters!$A$3:$C$5,MATCH('[1]Pizza Sales Calculations'!E1267,[1]Parameters!$A$3:$A$5,0),2)</f>
        <v>#N/A</v>
      </c>
      <c r="X1267" t="e">
        <f>INDEX([1]Parameters!$A$3:$C$5,MATCH('[1]Pizza Sales Calculations'!F1267,[1]Parameters!$A$3:$A$5,0),2)</f>
        <v>#N/A</v>
      </c>
    </row>
    <row r="1268" spans="1:24" x14ac:dyDescent="0.3">
      <c r="A1268">
        <v>1267</v>
      </c>
      <c r="B1268" s="14">
        <v>42382.498854166668</v>
      </c>
      <c r="C1268" s="14">
        <v>42382.509282407409</v>
      </c>
      <c r="D1268" t="s">
        <v>4</v>
      </c>
      <c r="G1268" t="b">
        <v>0</v>
      </c>
      <c r="H1268">
        <v>70805</v>
      </c>
      <c r="I1268" s="5">
        <v>0</v>
      </c>
      <c r="J1268" s="14">
        <v>42382.511365740742</v>
      </c>
      <c r="K1268">
        <v>11.59</v>
      </c>
      <c r="L1268" s="5">
        <f>('[1]Pizza Sales Calculations'!$J1268-'[1]Pizza Sales Calculations'!$C1268)*24*60</f>
        <v>2.9999999993015081</v>
      </c>
      <c r="M1268">
        <f>COUNTA('[1]Pizza Sales Calculations'!$D1268:$F1268)</f>
        <v>1</v>
      </c>
      <c r="N1268">
        <f>IFERROR(VLOOKUP(D1268,[1]Parameters!$A$3:$C$5,3,FALSE),0)</f>
        <v>1.7</v>
      </c>
      <c r="O1268">
        <f>IFERROR(VLOOKUP(E1268,[1]Parameters!$A$3:$C$5,3,FALSE),0)</f>
        <v>0</v>
      </c>
      <c r="P1268">
        <f>IFERROR(VLOOKUP(F1268,[1]Parameters!$A$3:$C$5,3,FALSE),0)</f>
        <v>0</v>
      </c>
      <c r="Q1268">
        <f t="shared" si="19"/>
        <v>1.7</v>
      </c>
      <c r="R1268" s="10">
        <f>IF('[1]Pizza Sales Calculations'!$G1268=TRUE, [1]Parameters!$B$17*'[1]Pizza Sales Calculations'!$L1268*2, 0)</f>
        <v>0</v>
      </c>
      <c r="S1268" t="str">
        <f>IF(I1268&lt;[1]Parameters!$B$21,"TRUE","FALSE")</f>
        <v>TRUE</v>
      </c>
      <c r="T1268" s="5">
        <f>(I1268/[1]Parameters!$B$25)*60</f>
        <v>0</v>
      </c>
      <c r="U1268" s="10">
        <f>IF(AND('[1]Pizza Sales Calculations'!G1268=TRUE,'[1]Pizza Sales Calculations'!S1268="TRUE"),T1268*[1]Parameters!$B$40*2,0)</f>
        <v>0</v>
      </c>
      <c r="V1268">
        <f>INDEX([1]Parameters!$A$3:$C$5,MATCH('[1]Pizza Sales Calculations'!D1268,[1]Parameters!$A$3:$A$5,0),2)</f>
        <v>10</v>
      </c>
      <c r="W1268" t="e">
        <f>INDEX([1]Parameters!$A$3:$C$5,MATCH('[1]Pizza Sales Calculations'!E1268,[1]Parameters!$A$3:$A$5,0),2)</f>
        <v>#N/A</v>
      </c>
      <c r="X1268" t="e">
        <f>INDEX([1]Parameters!$A$3:$C$5,MATCH('[1]Pizza Sales Calculations'!F1268,[1]Parameters!$A$3:$A$5,0),2)</f>
        <v>#N/A</v>
      </c>
    </row>
    <row r="1269" spans="1:24" x14ac:dyDescent="0.3">
      <c r="A1269">
        <v>1268</v>
      </c>
      <c r="B1269" s="14">
        <v>42382.432662037034</v>
      </c>
      <c r="C1269" s="14">
        <v>42382.443067129629</v>
      </c>
      <c r="D1269" t="s">
        <v>5</v>
      </c>
      <c r="G1269" t="b">
        <v>0</v>
      </c>
      <c r="H1269">
        <v>70804</v>
      </c>
      <c r="I1269" s="5">
        <v>0</v>
      </c>
      <c r="J1269" s="14">
        <v>42382.445150462961</v>
      </c>
      <c r="K1269">
        <v>15.35</v>
      </c>
      <c r="L1269" s="5">
        <f>('[1]Pizza Sales Calculations'!$J1269-'[1]Pizza Sales Calculations'!$C1269)*24*60</f>
        <v>2.9999999993015081</v>
      </c>
      <c r="M1269">
        <f>COUNTA('[1]Pizza Sales Calculations'!$D1269:$F1269)</f>
        <v>1</v>
      </c>
      <c r="N1269">
        <f>IFERROR(VLOOKUP(D1269,[1]Parameters!$A$3:$C$5,3,FALSE),0)</f>
        <v>2.2999999999999998</v>
      </c>
      <c r="O1269">
        <f>IFERROR(VLOOKUP(E1269,[1]Parameters!$A$3:$C$5,3,FALSE),0)</f>
        <v>0</v>
      </c>
      <c r="P1269">
        <f>IFERROR(VLOOKUP(F1269,[1]Parameters!$A$3:$C$5,3,FALSE),0)</f>
        <v>0</v>
      </c>
      <c r="Q1269">
        <f t="shared" si="19"/>
        <v>2.2999999999999998</v>
      </c>
      <c r="R1269" s="10">
        <f>IF('[1]Pizza Sales Calculations'!$G1269=TRUE, [1]Parameters!$B$17*'[1]Pizza Sales Calculations'!$L1269*2, 0)</f>
        <v>0</v>
      </c>
      <c r="S1269" t="str">
        <f>IF(I1269&lt;[1]Parameters!$B$21,"TRUE","FALSE")</f>
        <v>TRUE</v>
      </c>
      <c r="T1269" s="5">
        <f>(I1269/[1]Parameters!$B$25)*60</f>
        <v>0</v>
      </c>
      <c r="U1269" s="10">
        <f>IF(AND('[1]Pizza Sales Calculations'!G1269=TRUE,'[1]Pizza Sales Calculations'!S1269="TRUE"),T1269*[1]Parameters!$B$40*2,0)</f>
        <v>0</v>
      </c>
      <c r="V1269">
        <f>INDEX([1]Parameters!$A$3:$C$5,MATCH('[1]Pizza Sales Calculations'!D1269,[1]Parameters!$A$3:$A$5,0),2)</f>
        <v>14</v>
      </c>
      <c r="W1269" t="e">
        <f>INDEX([1]Parameters!$A$3:$C$5,MATCH('[1]Pizza Sales Calculations'!E1269,[1]Parameters!$A$3:$A$5,0),2)</f>
        <v>#N/A</v>
      </c>
      <c r="X1269" t="e">
        <f>INDEX([1]Parameters!$A$3:$C$5,MATCH('[1]Pizza Sales Calculations'!F1269,[1]Parameters!$A$3:$A$5,0),2)</f>
        <v>#N/A</v>
      </c>
    </row>
    <row r="1270" spans="1:24" x14ac:dyDescent="0.3">
      <c r="A1270">
        <v>1269</v>
      </c>
      <c r="B1270" s="14">
        <v>42382.493530092594</v>
      </c>
      <c r="C1270" s="14">
        <v>42382.503946759258</v>
      </c>
      <c r="D1270" t="s">
        <v>4</v>
      </c>
      <c r="G1270" t="b">
        <v>0</v>
      </c>
      <c r="H1270">
        <v>70806</v>
      </c>
      <c r="I1270" s="5">
        <v>0</v>
      </c>
      <c r="J1270" s="14">
        <v>42382.506018518521</v>
      </c>
      <c r="K1270">
        <v>11.59</v>
      </c>
      <c r="L1270" s="5">
        <f>('[1]Pizza Sales Calculations'!$J1270-'[1]Pizza Sales Calculations'!$C1270)*24*60</f>
        <v>2.9833333392161876</v>
      </c>
      <c r="M1270">
        <f>COUNTA('[1]Pizza Sales Calculations'!$D1270:$F1270)</f>
        <v>1</v>
      </c>
      <c r="N1270">
        <f>IFERROR(VLOOKUP(D1270,[1]Parameters!$A$3:$C$5,3,FALSE),0)</f>
        <v>1.7</v>
      </c>
      <c r="O1270">
        <f>IFERROR(VLOOKUP(E1270,[1]Parameters!$A$3:$C$5,3,FALSE),0)</f>
        <v>0</v>
      </c>
      <c r="P1270">
        <f>IFERROR(VLOOKUP(F1270,[1]Parameters!$A$3:$C$5,3,FALSE),0)</f>
        <v>0</v>
      </c>
      <c r="Q1270">
        <f t="shared" si="19"/>
        <v>1.7</v>
      </c>
      <c r="R1270" s="10">
        <f>IF('[1]Pizza Sales Calculations'!$G1270=TRUE, [1]Parameters!$B$17*'[1]Pizza Sales Calculations'!$L1270*2, 0)</f>
        <v>0</v>
      </c>
      <c r="S1270" t="str">
        <f>IF(I1270&lt;[1]Parameters!$B$21,"TRUE","FALSE")</f>
        <v>TRUE</v>
      </c>
      <c r="T1270" s="5">
        <f>(I1270/[1]Parameters!$B$25)*60</f>
        <v>0</v>
      </c>
      <c r="U1270" s="10">
        <f>IF(AND('[1]Pizza Sales Calculations'!G1270=TRUE,'[1]Pizza Sales Calculations'!S1270="TRUE"),T1270*[1]Parameters!$B$40*2,0)</f>
        <v>0</v>
      </c>
      <c r="V1270">
        <f>INDEX([1]Parameters!$A$3:$C$5,MATCH('[1]Pizza Sales Calculations'!D1270,[1]Parameters!$A$3:$A$5,0),2)</f>
        <v>10</v>
      </c>
      <c r="W1270" t="e">
        <f>INDEX([1]Parameters!$A$3:$C$5,MATCH('[1]Pizza Sales Calculations'!E1270,[1]Parameters!$A$3:$A$5,0),2)</f>
        <v>#N/A</v>
      </c>
      <c r="X1270" t="e">
        <f>INDEX([1]Parameters!$A$3:$C$5,MATCH('[1]Pizza Sales Calculations'!F1270,[1]Parameters!$A$3:$A$5,0),2)</f>
        <v>#N/A</v>
      </c>
    </row>
    <row r="1271" spans="1:24" x14ac:dyDescent="0.3">
      <c r="A1271">
        <v>1270</v>
      </c>
      <c r="B1271" s="14">
        <v>42382.597569444442</v>
      </c>
      <c r="C1271" s="14">
        <v>42382.607997685183</v>
      </c>
      <c r="D1271" t="s">
        <v>4</v>
      </c>
      <c r="G1271" t="b">
        <v>0</v>
      </c>
      <c r="H1271">
        <v>70805</v>
      </c>
      <c r="I1271" s="5">
        <v>0</v>
      </c>
      <c r="J1271" s="14">
        <v>42382.610081018516</v>
      </c>
      <c r="K1271">
        <v>11.59</v>
      </c>
      <c r="L1271" s="5">
        <f>('[1]Pizza Sales Calculations'!$J1271-'[1]Pizza Sales Calculations'!$C1271)*24*60</f>
        <v>2.9999999993015081</v>
      </c>
      <c r="M1271">
        <f>COUNTA('[1]Pizza Sales Calculations'!$D1271:$F1271)</f>
        <v>1</v>
      </c>
      <c r="N1271">
        <f>IFERROR(VLOOKUP(D1271,[1]Parameters!$A$3:$C$5,3,FALSE),0)</f>
        <v>1.7</v>
      </c>
      <c r="O1271">
        <f>IFERROR(VLOOKUP(E1271,[1]Parameters!$A$3:$C$5,3,FALSE),0)</f>
        <v>0</v>
      </c>
      <c r="P1271">
        <f>IFERROR(VLOOKUP(F1271,[1]Parameters!$A$3:$C$5,3,FALSE),0)</f>
        <v>0</v>
      </c>
      <c r="Q1271">
        <f t="shared" si="19"/>
        <v>1.7</v>
      </c>
      <c r="R1271" s="10">
        <f>IF('[1]Pizza Sales Calculations'!$G1271=TRUE, [1]Parameters!$B$17*'[1]Pizza Sales Calculations'!$L1271*2, 0)</f>
        <v>0</v>
      </c>
      <c r="S1271" t="str">
        <f>IF(I1271&lt;[1]Parameters!$B$21,"TRUE","FALSE")</f>
        <v>TRUE</v>
      </c>
      <c r="T1271" s="5">
        <f>(I1271/[1]Parameters!$B$25)*60</f>
        <v>0</v>
      </c>
      <c r="U1271" s="10">
        <f>IF(AND('[1]Pizza Sales Calculations'!G1271=TRUE,'[1]Pizza Sales Calculations'!S1271="TRUE"),T1271*[1]Parameters!$B$40*2,0)</f>
        <v>0</v>
      </c>
      <c r="V1271">
        <f>INDEX([1]Parameters!$A$3:$C$5,MATCH('[1]Pizza Sales Calculations'!D1271,[1]Parameters!$A$3:$A$5,0),2)</f>
        <v>10</v>
      </c>
      <c r="W1271" t="e">
        <f>INDEX([1]Parameters!$A$3:$C$5,MATCH('[1]Pizza Sales Calculations'!E1271,[1]Parameters!$A$3:$A$5,0),2)</f>
        <v>#N/A</v>
      </c>
      <c r="X1271" t="e">
        <f>INDEX([1]Parameters!$A$3:$C$5,MATCH('[1]Pizza Sales Calculations'!F1271,[1]Parameters!$A$3:$A$5,0),2)</f>
        <v>#N/A</v>
      </c>
    </row>
    <row r="1272" spans="1:24" x14ac:dyDescent="0.3">
      <c r="A1272">
        <v>1271</v>
      </c>
      <c r="B1272" s="14">
        <v>42382.513414351852</v>
      </c>
      <c r="C1272" s="14">
        <v>42382.523819444446</v>
      </c>
      <c r="D1272" t="s">
        <v>5</v>
      </c>
      <c r="G1272" t="b">
        <v>1</v>
      </c>
      <c r="H1272">
        <v>70805</v>
      </c>
      <c r="I1272" s="5">
        <v>0.65416117413362596</v>
      </c>
      <c r="J1272" s="14">
        <v>42382.526087962964</v>
      </c>
      <c r="K1272">
        <v>15.35</v>
      </c>
      <c r="L1272" s="5">
        <f>('[1]Pizza Sales Calculations'!$J1272-'[1]Pizza Sales Calculations'!$C1272)*24*60</f>
        <v>3.2666666654404253</v>
      </c>
      <c r="M1272">
        <f>COUNTA('[1]Pizza Sales Calculations'!$D1272:$F1272)</f>
        <v>1</v>
      </c>
      <c r="N1272">
        <f>IFERROR(VLOOKUP(D1272,[1]Parameters!$A$3:$C$5,3,FALSE),0)</f>
        <v>2.2999999999999998</v>
      </c>
      <c r="O1272">
        <f>IFERROR(VLOOKUP(E1272,[1]Parameters!$A$3:$C$5,3,FALSE),0)</f>
        <v>0</v>
      </c>
      <c r="P1272">
        <f>IFERROR(VLOOKUP(F1272,[1]Parameters!$A$3:$C$5,3,FALSE),0)</f>
        <v>0</v>
      </c>
      <c r="Q1272">
        <f t="shared" si="19"/>
        <v>2.2999999999999998</v>
      </c>
      <c r="R1272" s="10">
        <f>IF('[1]Pizza Sales Calculations'!$G1272=TRUE, [1]Parameters!$B$17*'[1]Pizza Sales Calculations'!$L1272*2, 0)</f>
        <v>0.9255555552081205</v>
      </c>
      <c r="S1272" t="str">
        <f>IF(I1272&lt;[1]Parameters!$B$21,"TRUE","FALSE")</f>
        <v>TRUE</v>
      </c>
      <c r="T1272" s="5">
        <f>(I1272/[1]Parameters!$B$25)*60</f>
        <v>1.3083223482672519</v>
      </c>
      <c r="U1272" s="10">
        <f>IF(AND('[1]Pizza Sales Calculations'!G1272=TRUE,'[1]Pizza Sales Calculations'!S1272="TRUE"),T1272*[1]Parameters!$B$40*2,0)</f>
        <v>8.1668919390695774E-2</v>
      </c>
      <c r="V1272">
        <f>INDEX([1]Parameters!$A$3:$C$5,MATCH('[1]Pizza Sales Calculations'!D1272,[1]Parameters!$A$3:$A$5,0),2)</f>
        <v>14</v>
      </c>
      <c r="W1272" t="e">
        <f>INDEX([1]Parameters!$A$3:$C$5,MATCH('[1]Pizza Sales Calculations'!E1272,[1]Parameters!$A$3:$A$5,0),2)</f>
        <v>#N/A</v>
      </c>
      <c r="X1272" t="e">
        <f>INDEX([1]Parameters!$A$3:$C$5,MATCH('[1]Pizza Sales Calculations'!F1272,[1]Parameters!$A$3:$A$5,0),2)</f>
        <v>#N/A</v>
      </c>
    </row>
    <row r="1273" spans="1:24" x14ac:dyDescent="0.3">
      <c r="A1273">
        <v>1272</v>
      </c>
      <c r="B1273" s="14">
        <v>42382.47960648148</v>
      </c>
      <c r="C1273" s="14">
        <v>42382.490023148152</v>
      </c>
      <c r="D1273" t="s">
        <v>3</v>
      </c>
      <c r="G1273" t="b">
        <v>1</v>
      </c>
      <c r="H1273">
        <v>70805</v>
      </c>
      <c r="I1273" s="5">
        <v>3.1584925932908701</v>
      </c>
      <c r="J1273" s="14">
        <v>42382.500983796293</v>
      </c>
      <c r="K1273">
        <v>7.99</v>
      </c>
      <c r="L1273" s="5">
        <f>('[1]Pizza Sales Calculations'!$J1273-'[1]Pizza Sales Calculations'!$C1273)*24*60</f>
        <v>15.783333324361593</v>
      </c>
      <c r="M1273">
        <f>COUNTA('[1]Pizza Sales Calculations'!$D1273:$F1273)</f>
        <v>1</v>
      </c>
      <c r="N1273">
        <f>IFERROR(VLOOKUP(D1273,[1]Parameters!$A$3:$C$5,3,FALSE),0)</f>
        <v>1</v>
      </c>
      <c r="O1273">
        <f>IFERROR(VLOOKUP(E1273,[1]Parameters!$A$3:$C$5,3,FALSE),0)</f>
        <v>0</v>
      </c>
      <c r="P1273">
        <f>IFERROR(VLOOKUP(F1273,[1]Parameters!$A$3:$C$5,3,FALSE),0)</f>
        <v>0</v>
      </c>
      <c r="Q1273">
        <f t="shared" si="19"/>
        <v>1</v>
      </c>
      <c r="R1273" s="10">
        <f>IF('[1]Pizza Sales Calculations'!$G1273=TRUE, [1]Parameters!$B$17*'[1]Pizza Sales Calculations'!$L1273*2, 0)</f>
        <v>4.4719444419024512</v>
      </c>
      <c r="S1273" t="str">
        <f>IF(I1273&lt;[1]Parameters!$B$21,"TRUE","FALSE")</f>
        <v>TRUE</v>
      </c>
      <c r="T1273" s="5">
        <f>(I1273/[1]Parameters!$B$25)*60</f>
        <v>6.3169851865817401</v>
      </c>
      <c r="U1273" s="10">
        <f>IF(AND('[1]Pizza Sales Calculations'!G1273=TRUE,'[1]Pizza Sales Calculations'!S1273="TRUE"),T1273*[1]Parameters!$B$40*2,0)</f>
        <v>0.39432281706295508</v>
      </c>
      <c r="V1273">
        <f>INDEX([1]Parameters!$A$3:$C$5,MATCH('[1]Pizza Sales Calculations'!D1273,[1]Parameters!$A$3:$A$5,0),2)</f>
        <v>7</v>
      </c>
      <c r="W1273" t="e">
        <f>INDEX([1]Parameters!$A$3:$C$5,MATCH('[1]Pizza Sales Calculations'!E1273,[1]Parameters!$A$3:$A$5,0),2)</f>
        <v>#N/A</v>
      </c>
      <c r="X1273" t="e">
        <f>INDEX([1]Parameters!$A$3:$C$5,MATCH('[1]Pizza Sales Calculations'!F1273,[1]Parameters!$A$3:$A$5,0),2)</f>
        <v>#N/A</v>
      </c>
    </row>
    <row r="1274" spans="1:24" x14ac:dyDescent="0.3">
      <c r="A1274">
        <v>1273</v>
      </c>
      <c r="B1274" s="14">
        <v>42382.592824074076</v>
      </c>
      <c r="C1274" s="14">
        <v>42382.603252314817</v>
      </c>
      <c r="D1274" t="s">
        <v>5</v>
      </c>
      <c r="G1274" t="b">
        <v>1</v>
      </c>
      <c r="H1274">
        <v>70807</v>
      </c>
      <c r="I1274" s="5">
        <v>4.56236558085984</v>
      </c>
      <c r="J1274" s="14">
        <v>42382.619085648148</v>
      </c>
      <c r="K1274">
        <v>15.35</v>
      </c>
      <c r="L1274" s="5">
        <f>('[1]Pizza Sales Calculations'!$J1274-'[1]Pizza Sales Calculations'!$C1274)*24*60</f>
        <v>22.799999996786937</v>
      </c>
      <c r="M1274">
        <f>COUNTA('[1]Pizza Sales Calculations'!$D1274:$F1274)</f>
        <v>1</v>
      </c>
      <c r="N1274">
        <f>IFERROR(VLOOKUP(D1274,[1]Parameters!$A$3:$C$5,3,FALSE),0)</f>
        <v>2.2999999999999998</v>
      </c>
      <c r="O1274">
        <f>IFERROR(VLOOKUP(E1274,[1]Parameters!$A$3:$C$5,3,FALSE),0)</f>
        <v>0</v>
      </c>
      <c r="P1274">
        <f>IFERROR(VLOOKUP(F1274,[1]Parameters!$A$3:$C$5,3,FALSE),0)</f>
        <v>0</v>
      </c>
      <c r="Q1274">
        <f t="shared" si="19"/>
        <v>2.2999999999999998</v>
      </c>
      <c r="R1274" s="10">
        <f>IF('[1]Pizza Sales Calculations'!$G1274=TRUE, [1]Parameters!$B$17*'[1]Pizza Sales Calculations'!$L1274*2, 0)</f>
        <v>6.4599999990896322</v>
      </c>
      <c r="S1274" t="str">
        <f>IF(I1274&lt;[1]Parameters!$B$21,"TRUE","FALSE")</f>
        <v>FALSE</v>
      </c>
      <c r="T1274" s="5">
        <f>(I1274/[1]Parameters!$B$25)*60</f>
        <v>9.12473116171968</v>
      </c>
      <c r="U1274" s="10">
        <f>IF(AND('[1]Pizza Sales Calculations'!G1274=TRUE,'[1]Pizza Sales Calculations'!S1274="TRUE"),T1274*[1]Parameters!$B$40*2,0)</f>
        <v>0</v>
      </c>
      <c r="V1274">
        <f>INDEX([1]Parameters!$A$3:$C$5,MATCH('[1]Pizza Sales Calculations'!D1274,[1]Parameters!$A$3:$A$5,0),2)</f>
        <v>14</v>
      </c>
      <c r="W1274" t="e">
        <f>INDEX([1]Parameters!$A$3:$C$5,MATCH('[1]Pizza Sales Calculations'!E1274,[1]Parameters!$A$3:$A$5,0),2)</f>
        <v>#N/A</v>
      </c>
      <c r="X1274" t="e">
        <f>INDEX([1]Parameters!$A$3:$C$5,MATCH('[1]Pizza Sales Calculations'!F1274,[1]Parameters!$A$3:$A$5,0),2)</f>
        <v>#N/A</v>
      </c>
    </row>
    <row r="1275" spans="1:24" x14ac:dyDescent="0.3">
      <c r="A1275">
        <v>1274</v>
      </c>
      <c r="B1275" s="14">
        <v>42382.471863425926</v>
      </c>
      <c r="C1275" s="14">
        <v>42382.482268518521</v>
      </c>
      <c r="D1275" t="s">
        <v>5</v>
      </c>
      <c r="G1275" t="b">
        <v>1</v>
      </c>
      <c r="H1275">
        <v>70806</v>
      </c>
      <c r="I1275" s="5">
        <v>5.5270081915870097</v>
      </c>
      <c r="J1275" s="14">
        <v>42382.501458333332</v>
      </c>
      <c r="K1275">
        <v>15.35</v>
      </c>
      <c r="L1275" s="5">
        <f>('[1]Pizza Sales Calculations'!$J1275-'[1]Pizza Sales Calculations'!$C1275)*24*60</f>
        <v>27.633333328412846</v>
      </c>
      <c r="M1275">
        <f>COUNTA('[1]Pizza Sales Calculations'!$D1275:$F1275)</f>
        <v>1</v>
      </c>
      <c r="N1275">
        <f>IFERROR(VLOOKUP(D1275,[1]Parameters!$A$3:$C$5,3,FALSE),0)</f>
        <v>2.2999999999999998</v>
      </c>
      <c r="O1275">
        <f>IFERROR(VLOOKUP(E1275,[1]Parameters!$A$3:$C$5,3,FALSE),0)</f>
        <v>0</v>
      </c>
      <c r="P1275">
        <f>IFERROR(VLOOKUP(F1275,[1]Parameters!$A$3:$C$5,3,FALSE),0)</f>
        <v>0</v>
      </c>
      <c r="Q1275">
        <f t="shared" si="19"/>
        <v>2.2999999999999998</v>
      </c>
      <c r="R1275" s="10">
        <f>IF('[1]Pizza Sales Calculations'!$G1275=TRUE, [1]Parameters!$B$17*'[1]Pizza Sales Calculations'!$L1275*2, 0)</f>
        <v>7.8294444430503063</v>
      </c>
      <c r="S1275" t="str">
        <f>IF(I1275&lt;[1]Parameters!$B$21,"TRUE","FALSE")</f>
        <v>FALSE</v>
      </c>
      <c r="T1275" s="5">
        <f>(I1275/[1]Parameters!$B$25)*60</f>
        <v>11.054016383174019</v>
      </c>
      <c r="U1275" s="10">
        <f>IF(AND('[1]Pizza Sales Calculations'!G1275=TRUE,'[1]Pizza Sales Calculations'!S1275="TRUE"),T1275*[1]Parameters!$B$40*2,0)</f>
        <v>0</v>
      </c>
      <c r="V1275">
        <f>INDEX([1]Parameters!$A$3:$C$5,MATCH('[1]Pizza Sales Calculations'!D1275,[1]Parameters!$A$3:$A$5,0),2)</f>
        <v>14</v>
      </c>
      <c r="W1275" t="e">
        <f>INDEX([1]Parameters!$A$3:$C$5,MATCH('[1]Pizza Sales Calculations'!E1275,[1]Parameters!$A$3:$A$5,0),2)</f>
        <v>#N/A</v>
      </c>
      <c r="X1275" t="e">
        <f>INDEX([1]Parameters!$A$3:$C$5,MATCH('[1]Pizza Sales Calculations'!F1275,[1]Parameters!$A$3:$A$5,0),2)</f>
        <v>#N/A</v>
      </c>
    </row>
    <row r="1276" spans="1:24" x14ac:dyDescent="0.3">
      <c r="A1276">
        <v>1275</v>
      </c>
      <c r="B1276" s="14">
        <v>42382.429699074077</v>
      </c>
      <c r="C1276" s="14">
        <v>42382.440081018518</v>
      </c>
      <c r="D1276" t="s">
        <v>4</v>
      </c>
      <c r="G1276" t="b">
        <v>1</v>
      </c>
      <c r="H1276">
        <v>70805</v>
      </c>
      <c r="I1276" s="5">
        <v>3.9364412390552102</v>
      </c>
      <c r="J1276" s="14">
        <v>42382.453738425924</v>
      </c>
      <c r="K1276">
        <v>11.59</v>
      </c>
      <c r="L1276" s="5">
        <f>('[1]Pizza Sales Calculations'!$J1276-'[1]Pizza Sales Calculations'!$C1276)*24*60</f>
        <v>19.66666666441597</v>
      </c>
      <c r="M1276">
        <f>COUNTA('[1]Pizza Sales Calculations'!$D1276:$F1276)</f>
        <v>1</v>
      </c>
      <c r="N1276">
        <f>IFERROR(VLOOKUP(D1276,[1]Parameters!$A$3:$C$5,3,FALSE),0)</f>
        <v>1.7</v>
      </c>
      <c r="O1276">
        <f>IFERROR(VLOOKUP(E1276,[1]Parameters!$A$3:$C$5,3,FALSE),0)</f>
        <v>0</v>
      </c>
      <c r="P1276">
        <f>IFERROR(VLOOKUP(F1276,[1]Parameters!$A$3:$C$5,3,FALSE),0)</f>
        <v>0</v>
      </c>
      <c r="Q1276">
        <f t="shared" si="19"/>
        <v>1.7</v>
      </c>
      <c r="R1276" s="10">
        <f>IF('[1]Pizza Sales Calculations'!$G1276=TRUE, [1]Parameters!$B$17*'[1]Pizza Sales Calculations'!$L1276*2, 0)</f>
        <v>5.572222221584525</v>
      </c>
      <c r="S1276" t="str">
        <f>IF(I1276&lt;[1]Parameters!$B$21,"TRUE","FALSE")</f>
        <v>FALSE</v>
      </c>
      <c r="T1276" s="5">
        <f>(I1276/[1]Parameters!$B$25)*60</f>
        <v>7.8728824781104203</v>
      </c>
      <c r="U1276" s="10">
        <f>IF(AND('[1]Pizza Sales Calculations'!G1276=TRUE,'[1]Pizza Sales Calculations'!S1276="TRUE"),T1276*[1]Parameters!$B$40*2,0)</f>
        <v>0</v>
      </c>
      <c r="V1276">
        <f>INDEX([1]Parameters!$A$3:$C$5,MATCH('[1]Pizza Sales Calculations'!D1276,[1]Parameters!$A$3:$A$5,0),2)</f>
        <v>10</v>
      </c>
      <c r="W1276" t="e">
        <f>INDEX([1]Parameters!$A$3:$C$5,MATCH('[1]Pizza Sales Calculations'!E1276,[1]Parameters!$A$3:$A$5,0),2)</f>
        <v>#N/A</v>
      </c>
      <c r="X1276" t="e">
        <f>INDEX([1]Parameters!$A$3:$C$5,MATCH('[1]Pizza Sales Calculations'!F1276,[1]Parameters!$A$3:$A$5,0),2)</f>
        <v>#N/A</v>
      </c>
    </row>
    <row r="1277" spans="1:24" x14ac:dyDescent="0.3">
      <c r="A1277">
        <v>1276</v>
      </c>
      <c r="B1277" s="14">
        <v>42382.576666666668</v>
      </c>
      <c r="C1277" s="14">
        <v>42382.587083333332</v>
      </c>
      <c r="D1277" t="s">
        <v>5</v>
      </c>
      <c r="G1277" t="b">
        <v>0</v>
      </c>
      <c r="H1277">
        <v>70805</v>
      </c>
      <c r="I1277" s="5">
        <v>0</v>
      </c>
      <c r="J1277" s="14">
        <v>42382.589166666665</v>
      </c>
      <c r="K1277">
        <v>15.35</v>
      </c>
      <c r="L1277" s="5">
        <f>('[1]Pizza Sales Calculations'!$J1277-'[1]Pizza Sales Calculations'!$C1277)*24*60</f>
        <v>2.9999999993015081</v>
      </c>
      <c r="M1277">
        <f>COUNTA('[1]Pizza Sales Calculations'!$D1277:$F1277)</f>
        <v>1</v>
      </c>
      <c r="N1277">
        <f>IFERROR(VLOOKUP(D1277,[1]Parameters!$A$3:$C$5,3,FALSE),0)</f>
        <v>2.2999999999999998</v>
      </c>
      <c r="O1277">
        <f>IFERROR(VLOOKUP(E1277,[1]Parameters!$A$3:$C$5,3,FALSE),0)</f>
        <v>0</v>
      </c>
      <c r="P1277">
        <f>IFERROR(VLOOKUP(F1277,[1]Parameters!$A$3:$C$5,3,FALSE),0)</f>
        <v>0</v>
      </c>
      <c r="Q1277">
        <f t="shared" si="19"/>
        <v>2.2999999999999998</v>
      </c>
      <c r="R1277" s="10">
        <f>IF('[1]Pizza Sales Calculations'!$G1277=TRUE, [1]Parameters!$B$17*'[1]Pizza Sales Calculations'!$L1277*2, 0)</f>
        <v>0</v>
      </c>
      <c r="S1277" t="str">
        <f>IF(I1277&lt;[1]Parameters!$B$21,"TRUE","FALSE")</f>
        <v>TRUE</v>
      </c>
      <c r="T1277" s="5">
        <f>(I1277/[1]Parameters!$B$25)*60</f>
        <v>0</v>
      </c>
      <c r="U1277" s="10">
        <f>IF(AND('[1]Pizza Sales Calculations'!G1277=TRUE,'[1]Pizza Sales Calculations'!S1277="TRUE"),T1277*[1]Parameters!$B$40*2,0)</f>
        <v>0</v>
      </c>
      <c r="V1277">
        <f>INDEX([1]Parameters!$A$3:$C$5,MATCH('[1]Pizza Sales Calculations'!D1277,[1]Parameters!$A$3:$A$5,0),2)</f>
        <v>14</v>
      </c>
      <c r="W1277" t="e">
        <f>INDEX([1]Parameters!$A$3:$C$5,MATCH('[1]Pizza Sales Calculations'!E1277,[1]Parameters!$A$3:$A$5,0),2)</f>
        <v>#N/A</v>
      </c>
      <c r="X1277" t="e">
        <f>INDEX([1]Parameters!$A$3:$C$5,MATCH('[1]Pizza Sales Calculations'!F1277,[1]Parameters!$A$3:$A$5,0),2)</f>
        <v>#N/A</v>
      </c>
    </row>
    <row r="1278" spans="1:24" x14ac:dyDescent="0.3">
      <c r="A1278">
        <v>1277</v>
      </c>
      <c r="B1278" s="14">
        <v>42382.461793981478</v>
      </c>
      <c r="C1278" s="14">
        <v>42382.472210648149</v>
      </c>
      <c r="D1278" t="s">
        <v>3</v>
      </c>
      <c r="G1278" t="b">
        <v>0</v>
      </c>
      <c r="H1278">
        <v>70803</v>
      </c>
      <c r="I1278" s="5">
        <v>0</v>
      </c>
      <c r="J1278" s="14">
        <v>42382.474270833336</v>
      </c>
      <c r="K1278">
        <v>7.99</v>
      </c>
      <c r="L1278" s="5">
        <f>('[1]Pizza Sales Calculations'!$J1278-'[1]Pizza Sales Calculations'!$C1278)*24*60</f>
        <v>2.9666666686534882</v>
      </c>
      <c r="M1278">
        <f>COUNTA('[1]Pizza Sales Calculations'!$D1278:$F1278)</f>
        <v>1</v>
      </c>
      <c r="N1278">
        <f>IFERROR(VLOOKUP(D1278,[1]Parameters!$A$3:$C$5,3,FALSE),0)</f>
        <v>1</v>
      </c>
      <c r="O1278">
        <f>IFERROR(VLOOKUP(E1278,[1]Parameters!$A$3:$C$5,3,FALSE),0)</f>
        <v>0</v>
      </c>
      <c r="P1278">
        <f>IFERROR(VLOOKUP(F1278,[1]Parameters!$A$3:$C$5,3,FALSE),0)</f>
        <v>0</v>
      </c>
      <c r="Q1278">
        <f t="shared" si="19"/>
        <v>1</v>
      </c>
      <c r="R1278" s="10">
        <f>IF('[1]Pizza Sales Calculations'!$G1278=TRUE, [1]Parameters!$B$17*'[1]Pizza Sales Calculations'!$L1278*2, 0)</f>
        <v>0</v>
      </c>
      <c r="S1278" t="str">
        <f>IF(I1278&lt;[1]Parameters!$B$21,"TRUE","FALSE")</f>
        <v>TRUE</v>
      </c>
      <c r="T1278" s="5">
        <f>(I1278/[1]Parameters!$B$25)*60</f>
        <v>0</v>
      </c>
      <c r="U1278" s="10">
        <f>IF(AND('[1]Pizza Sales Calculations'!G1278=TRUE,'[1]Pizza Sales Calculations'!S1278="TRUE"),T1278*[1]Parameters!$B$40*2,0)</f>
        <v>0</v>
      </c>
      <c r="V1278">
        <f>INDEX([1]Parameters!$A$3:$C$5,MATCH('[1]Pizza Sales Calculations'!D1278,[1]Parameters!$A$3:$A$5,0),2)</f>
        <v>7</v>
      </c>
      <c r="W1278" t="e">
        <f>INDEX([1]Parameters!$A$3:$C$5,MATCH('[1]Pizza Sales Calculations'!E1278,[1]Parameters!$A$3:$A$5,0),2)</f>
        <v>#N/A</v>
      </c>
      <c r="X1278" t="e">
        <f>INDEX([1]Parameters!$A$3:$C$5,MATCH('[1]Pizza Sales Calculations'!F1278,[1]Parameters!$A$3:$A$5,0),2)</f>
        <v>#N/A</v>
      </c>
    </row>
    <row r="1279" spans="1:24" x14ac:dyDescent="0.3">
      <c r="A1279">
        <v>1278</v>
      </c>
      <c r="B1279" s="14">
        <v>42382.568553240744</v>
      </c>
      <c r="C1279" s="14">
        <v>42382.578969907408</v>
      </c>
      <c r="D1279" t="s">
        <v>4</v>
      </c>
      <c r="E1279" t="s">
        <v>5</v>
      </c>
      <c r="G1279" t="b">
        <v>1</v>
      </c>
      <c r="H1279">
        <v>70803</v>
      </c>
      <c r="I1279" s="5">
        <v>3.7399057159045999</v>
      </c>
      <c r="J1279" s="14">
        <v>42382.591944444444</v>
      </c>
      <c r="K1279">
        <v>25.94</v>
      </c>
      <c r="L1279" s="5">
        <f>('[1]Pizza Sales Calculations'!$J1279-'[1]Pizza Sales Calculations'!$C1279)*24*60</f>
        <v>18.683333331719041</v>
      </c>
      <c r="M1279">
        <f>COUNTA('[1]Pizza Sales Calculations'!$D1279:$F1279)</f>
        <v>2</v>
      </c>
      <c r="N1279">
        <f>IFERROR(VLOOKUP(D1279,[1]Parameters!$A$3:$C$5,3,FALSE),0)</f>
        <v>1.7</v>
      </c>
      <c r="O1279">
        <f>IFERROR(VLOOKUP(E1279,[1]Parameters!$A$3:$C$5,3,FALSE),0)</f>
        <v>2.2999999999999998</v>
      </c>
      <c r="P1279">
        <f>IFERROR(VLOOKUP(F1279,[1]Parameters!$A$3:$C$5,3,FALSE),0)</f>
        <v>0</v>
      </c>
      <c r="Q1279">
        <f t="shared" si="19"/>
        <v>4</v>
      </c>
      <c r="R1279" s="10">
        <f>IF('[1]Pizza Sales Calculations'!$G1279=TRUE, [1]Parameters!$B$17*'[1]Pizza Sales Calculations'!$L1279*2, 0)</f>
        <v>5.2936111106537282</v>
      </c>
      <c r="S1279" t="str">
        <f>IF(I1279&lt;[1]Parameters!$B$21,"TRUE","FALSE")</f>
        <v>FALSE</v>
      </c>
      <c r="T1279" s="5">
        <f>(I1279/[1]Parameters!$B$25)*60</f>
        <v>7.4798114318091997</v>
      </c>
      <c r="U1279" s="10">
        <f>IF(AND('[1]Pizza Sales Calculations'!G1279=TRUE,'[1]Pizza Sales Calculations'!S1279="TRUE"),T1279*[1]Parameters!$B$40*2,0)</f>
        <v>0</v>
      </c>
      <c r="V1279">
        <f>INDEX([1]Parameters!$A$3:$C$5,MATCH('[1]Pizza Sales Calculations'!D1279,[1]Parameters!$A$3:$A$5,0),2)</f>
        <v>10</v>
      </c>
      <c r="W1279">
        <f>INDEX([1]Parameters!$A$3:$C$5,MATCH('[1]Pizza Sales Calculations'!E1279,[1]Parameters!$A$3:$A$5,0),2)</f>
        <v>14</v>
      </c>
      <c r="X1279" t="e">
        <f>INDEX([1]Parameters!$A$3:$C$5,MATCH('[1]Pizza Sales Calculations'!F1279,[1]Parameters!$A$3:$A$5,0),2)</f>
        <v>#N/A</v>
      </c>
    </row>
    <row r="1280" spans="1:24" x14ac:dyDescent="0.3">
      <c r="A1280">
        <v>1279</v>
      </c>
      <c r="B1280" s="14">
        <v>42382.510717592595</v>
      </c>
      <c r="C1280" s="14">
        <v>42382.521122685182</v>
      </c>
      <c r="D1280" t="s">
        <v>5</v>
      </c>
      <c r="G1280" t="b">
        <v>0</v>
      </c>
      <c r="H1280">
        <v>70803</v>
      </c>
      <c r="I1280" s="5">
        <v>0</v>
      </c>
      <c r="J1280" s="14">
        <v>42382.523206018515</v>
      </c>
      <c r="K1280">
        <v>15.35</v>
      </c>
      <c r="L1280" s="5">
        <f>('[1]Pizza Sales Calculations'!$J1280-'[1]Pizza Sales Calculations'!$C1280)*24*60</f>
        <v>2.9999999993015081</v>
      </c>
      <c r="M1280">
        <f>COUNTA('[1]Pizza Sales Calculations'!$D1280:$F1280)</f>
        <v>1</v>
      </c>
      <c r="N1280">
        <f>IFERROR(VLOOKUP(D1280,[1]Parameters!$A$3:$C$5,3,FALSE),0)</f>
        <v>2.2999999999999998</v>
      </c>
      <c r="O1280">
        <f>IFERROR(VLOOKUP(E1280,[1]Parameters!$A$3:$C$5,3,FALSE),0)</f>
        <v>0</v>
      </c>
      <c r="P1280">
        <f>IFERROR(VLOOKUP(F1280,[1]Parameters!$A$3:$C$5,3,FALSE),0)</f>
        <v>0</v>
      </c>
      <c r="Q1280">
        <f t="shared" si="19"/>
        <v>2.2999999999999998</v>
      </c>
      <c r="R1280" s="10">
        <f>IF('[1]Pizza Sales Calculations'!$G1280=TRUE, [1]Parameters!$B$17*'[1]Pizza Sales Calculations'!$L1280*2, 0)</f>
        <v>0</v>
      </c>
      <c r="S1280" t="str">
        <f>IF(I1280&lt;[1]Parameters!$B$21,"TRUE","FALSE")</f>
        <v>TRUE</v>
      </c>
      <c r="T1280" s="5">
        <f>(I1280/[1]Parameters!$B$25)*60</f>
        <v>0</v>
      </c>
      <c r="U1280" s="10">
        <f>IF(AND('[1]Pizza Sales Calculations'!G1280=TRUE,'[1]Pizza Sales Calculations'!S1280="TRUE"),T1280*[1]Parameters!$B$40*2,0)</f>
        <v>0</v>
      </c>
      <c r="V1280">
        <f>INDEX([1]Parameters!$A$3:$C$5,MATCH('[1]Pizza Sales Calculations'!D1280,[1]Parameters!$A$3:$A$5,0),2)</f>
        <v>14</v>
      </c>
      <c r="W1280" t="e">
        <f>INDEX([1]Parameters!$A$3:$C$5,MATCH('[1]Pizza Sales Calculations'!E1280,[1]Parameters!$A$3:$A$5,0),2)</f>
        <v>#N/A</v>
      </c>
      <c r="X1280" t="e">
        <f>INDEX([1]Parameters!$A$3:$C$5,MATCH('[1]Pizza Sales Calculations'!F1280,[1]Parameters!$A$3:$A$5,0),2)</f>
        <v>#N/A</v>
      </c>
    </row>
    <row r="1281" spans="1:24" x14ac:dyDescent="0.3">
      <c r="A1281">
        <v>1280</v>
      </c>
      <c r="B1281" s="14">
        <v>42382.521967592591</v>
      </c>
      <c r="C1281" s="14">
        <v>42382.532372685186</v>
      </c>
      <c r="D1281" t="s">
        <v>5</v>
      </c>
      <c r="G1281" t="b">
        <v>0</v>
      </c>
      <c r="H1281">
        <v>70805</v>
      </c>
      <c r="I1281" s="5">
        <v>0</v>
      </c>
      <c r="J1281" s="14">
        <v>42382.534456018519</v>
      </c>
      <c r="K1281">
        <v>15.35</v>
      </c>
      <c r="L1281" s="5">
        <f>('[1]Pizza Sales Calculations'!$J1281-'[1]Pizza Sales Calculations'!$C1281)*24*60</f>
        <v>2.9999999993015081</v>
      </c>
      <c r="M1281">
        <f>COUNTA('[1]Pizza Sales Calculations'!$D1281:$F1281)</f>
        <v>1</v>
      </c>
      <c r="N1281">
        <f>IFERROR(VLOOKUP(D1281,[1]Parameters!$A$3:$C$5,3,FALSE),0)</f>
        <v>2.2999999999999998</v>
      </c>
      <c r="O1281">
        <f>IFERROR(VLOOKUP(E1281,[1]Parameters!$A$3:$C$5,3,FALSE),0)</f>
        <v>0</v>
      </c>
      <c r="P1281">
        <f>IFERROR(VLOOKUP(F1281,[1]Parameters!$A$3:$C$5,3,FALSE),0)</f>
        <v>0</v>
      </c>
      <c r="Q1281">
        <f t="shared" si="19"/>
        <v>2.2999999999999998</v>
      </c>
      <c r="R1281" s="10">
        <f>IF('[1]Pizza Sales Calculations'!$G1281=TRUE, [1]Parameters!$B$17*'[1]Pizza Sales Calculations'!$L1281*2, 0)</f>
        <v>0</v>
      </c>
      <c r="S1281" t="str">
        <f>IF(I1281&lt;[1]Parameters!$B$21,"TRUE","FALSE")</f>
        <v>TRUE</v>
      </c>
      <c r="T1281" s="5">
        <f>(I1281/[1]Parameters!$B$25)*60</f>
        <v>0</v>
      </c>
      <c r="U1281" s="10">
        <f>IF(AND('[1]Pizza Sales Calculations'!G1281=TRUE,'[1]Pizza Sales Calculations'!S1281="TRUE"),T1281*[1]Parameters!$B$40*2,0)</f>
        <v>0</v>
      </c>
      <c r="V1281">
        <f>INDEX([1]Parameters!$A$3:$C$5,MATCH('[1]Pizza Sales Calculations'!D1281,[1]Parameters!$A$3:$A$5,0),2)</f>
        <v>14</v>
      </c>
      <c r="W1281" t="e">
        <f>INDEX([1]Parameters!$A$3:$C$5,MATCH('[1]Pizza Sales Calculations'!E1281,[1]Parameters!$A$3:$A$5,0),2)</f>
        <v>#N/A</v>
      </c>
      <c r="X1281" t="e">
        <f>INDEX([1]Parameters!$A$3:$C$5,MATCH('[1]Pizza Sales Calculations'!F1281,[1]Parameters!$A$3:$A$5,0),2)</f>
        <v>#N/A</v>
      </c>
    </row>
    <row r="1282" spans="1:24" x14ac:dyDescent="0.3">
      <c r="A1282">
        <v>1281</v>
      </c>
      <c r="B1282" s="14">
        <v>42383.418599537035</v>
      </c>
      <c r="C1282" s="14">
        <v>42383.429027777776</v>
      </c>
      <c r="D1282" t="s">
        <v>4</v>
      </c>
      <c r="G1282" t="b">
        <v>1</v>
      </c>
      <c r="H1282">
        <v>70806</v>
      </c>
      <c r="I1282" s="5">
        <v>2.5504066111117001</v>
      </c>
      <c r="J1282" s="14">
        <v>42383.437881944446</v>
      </c>
      <c r="K1282">
        <v>11.59</v>
      </c>
      <c r="L1282" s="5">
        <f>('[1]Pizza Sales Calculations'!$J1282-'[1]Pizza Sales Calculations'!$C1282)*24*60</f>
        <v>12.750000004889444</v>
      </c>
      <c r="M1282">
        <f>COUNTA('[1]Pizza Sales Calculations'!$D1282:$F1282)</f>
        <v>1</v>
      </c>
      <c r="N1282">
        <f>IFERROR(VLOOKUP(D1282,[1]Parameters!$A$3:$C$5,3,FALSE),0)</f>
        <v>1.7</v>
      </c>
      <c r="O1282">
        <f>IFERROR(VLOOKUP(E1282,[1]Parameters!$A$3:$C$5,3,FALSE),0)</f>
        <v>0</v>
      </c>
      <c r="P1282">
        <f>IFERROR(VLOOKUP(F1282,[1]Parameters!$A$3:$C$5,3,FALSE),0)</f>
        <v>0</v>
      </c>
      <c r="Q1282">
        <f t="shared" si="19"/>
        <v>1.7</v>
      </c>
      <c r="R1282" s="10">
        <f>IF('[1]Pizza Sales Calculations'!$G1282=TRUE, [1]Parameters!$B$17*'[1]Pizza Sales Calculations'!$L1282*2, 0)</f>
        <v>3.6125000013853423</v>
      </c>
      <c r="S1282" t="str">
        <f>IF(I1282&lt;[1]Parameters!$B$21,"TRUE","FALSE")</f>
        <v>TRUE</v>
      </c>
      <c r="T1282" s="5">
        <f>(I1282/[1]Parameters!$B$25)*60</f>
        <v>5.1008132222234002</v>
      </c>
      <c r="U1282" s="10">
        <f>IF(AND('[1]Pizza Sales Calculations'!G1282=TRUE,'[1]Pizza Sales Calculations'!S1282="TRUE"),T1282*[1]Parameters!$B$40*2,0)</f>
        <v>0.3184061668169742</v>
      </c>
      <c r="V1282">
        <f>INDEX([1]Parameters!$A$3:$C$5,MATCH('[1]Pizza Sales Calculations'!D1282,[1]Parameters!$A$3:$A$5,0),2)</f>
        <v>10</v>
      </c>
      <c r="W1282" t="e">
        <f>INDEX([1]Parameters!$A$3:$C$5,MATCH('[1]Pizza Sales Calculations'!E1282,[1]Parameters!$A$3:$A$5,0),2)</f>
        <v>#N/A</v>
      </c>
      <c r="X1282" t="e">
        <f>INDEX([1]Parameters!$A$3:$C$5,MATCH('[1]Pizza Sales Calculations'!F1282,[1]Parameters!$A$3:$A$5,0),2)</f>
        <v>#N/A</v>
      </c>
    </row>
    <row r="1283" spans="1:24" x14ac:dyDescent="0.3">
      <c r="A1283">
        <v>1282</v>
      </c>
      <c r="B1283" s="14">
        <v>42383.529618055552</v>
      </c>
      <c r="C1283" s="14">
        <v>42383.540046296293</v>
      </c>
      <c r="D1283" t="s">
        <v>3</v>
      </c>
      <c r="G1283" t="b">
        <v>1</v>
      </c>
      <c r="H1283">
        <v>70803</v>
      </c>
      <c r="I1283" s="5">
        <v>5.2896576347462201</v>
      </c>
      <c r="J1283" s="14">
        <v>42383.55840277778</v>
      </c>
      <c r="K1283">
        <v>7.99</v>
      </c>
      <c r="L1283" s="5">
        <f>('[1]Pizza Sales Calculations'!$J1283-'[1]Pizza Sales Calculations'!$C1283)*24*60</f>
        <v>26.433333341265097</v>
      </c>
      <c r="M1283">
        <f>COUNTA('[1]Pizza Sales Calculations'!$D1283:$F1283)</f>
        <v>1</v>
      </c>
      <c r="N1283">
        <f>IFERROR(VLOOKUP(D1283,[1]Parameters!$A$3:$C$5,3,FALSE),0)</f>
        <v>1</v>
      </c>
      <c r="O1283">
        <f>IFERROR(VLOOKUP(E1283,[1]Parameters!$A$3:$C$5,3,FALSE),0)</f>
        <v>0</v>
      </c>
      <c r="P1283">
        <f>IFERROR(VLOOKUP(F1283,[1]Parameters!$A$3:$C$5,3,FALSE),0)</f>
        <v>0</v>
      </c>
      <c r="Q1283">
        <f t="shared" ref="Q1283:Q1346" si="20">SUM(N1283:P1283)</f>
        <v>1</v>
      </c>
      <c r="R1283" s="10">
        <f>IF('[1]Pizza Sales Calculations'!$G1283=TRUE, [1]Parameters!$B$17*'[1]Pizza Sales Calculations'!$L1283*2, 0)</f>
        <v>7.4894444466917776</v>
      </c>
      <c r="S1283" t="str">
        <f>IF(I1283&lt;[1]Parameters!$B$21,"TRUE","FALSE")</f>
        <v>FALSE</v>
      </c>
      <c r="T1283" s="5">
        <f>(I1283/[1]Parameters!$B$25)*60</f>
        <v>10.57931526949244</v>
      </c>
      <c r="U1283" s="10">
        <f>IF(AND('[1]Pizza Sales Calculations'!G1283=TRUE,'[1]Pizza Sales Calculations'!S1283="TRUE"),T1283*[1]Parameters!$B$40*2,0)</f>
        <v>0</v>
      </c>
      <c r="V1283">
        <f>INDEX([1]Parameters!$A$3:$C$5,MATCH('[1]Pizza Sales Calculations'!D1283,[1]Parameters!$A$3:$A$5,0),2)</f>
        <v>7</v>
      </c>
      <c r="W1283" t="e">
        <f>INDEX([1]Parameters!$A$3:$C$5,MATCH('[1]Pizza Sales Calculations'!E1283,[1]Parameters!$A$3:$A$5,0),2)</f>
        <v>#N/A</v>
      </c>
      <c r="X1283" t="e">
        <f>INDEX([1]Parameters!$A$3:$C$5,MATCH('[1]Pizza Sales Calculations'!F1283,[1]Parameters!$A$3:$A$5,0),2)</f>
        <v>#N/A</v>
      </c>
    </row>
    <row r="1284" spans="1:24" x14ac:dyDescent="0.3">
      <c r="A1284">
        <v>1283</v>
      </c>
      <c r="B1284" s="14">
        <v>42383.530624999999</v>
      </c>
      <c r="C1284" s="14">
        <v>42383.541030092594</v>
      </c>
      <c r="D1284" t="s">
        <v>3</v>
      </c>
      <c r="E1284" t="s">
        <v>4</v>
      </c>
      <c r="G1284" t="b">
        <v>1</v>
      </c>
      <c r="H1284">
        <v>70807</v>
      </c>
      <c r="I1284" s="5">
        <v>2.4493782134095601</v>
      </c>
      <c r="J1284" s="14">
        <v>42383.549525462964</v>
      </c>
      <c r="K1284">
        <v>19.579999999999998</v>
      </c>
      <c r="L1284" s="5">
        <f>('[1]Pizza Sales Calculations'!$J1284-'[1]Pizza Sales Calculations'!$C1284)*24*60</f>
        <v>12.23333333269693</v>
      </c>
      <c r="M1284">
        <f>COUNTA('[1]Pizza Sales Calculations'!$D1284:$F1284)</f>
        <v>2</v>
      </c>
      <c r="N1284">
        <f>IFERROR(VLOOKUP(D1284,[1]Parameters!$A$3:$C$5,3,FALSE),0)</f>
        <v>1</v>
      </c>
      <c r="O1284">
        <f>IFERROR(VLOOKUP(E1284,[1]Parameters!$A$3:$C$5,3,FALSE),0)</f>
        <v>1.7</v>
      </c>
      <c r="P1284">
        <f>IFERROR(VLOOKUP(F1284,[1]Parameters!$A$3:$C$5,3,FALSE),0)</f>
        <v>0</v>
      </c>
      <c r="Q1284">
        <f t="shared" si="20"/>
        <v>2.7</v>
      </c>
      <c r="R1284" s="10">
        <f>IF('[1]Pizza Sales Calculations'!$G1284=TRUE, [1]Parameters!$B$17*'[1]Pizza Sales Calculations'!$L1284*2, 0)</f>
        <v>3.4661111109307967</v>
      </c>
      <c r="S1284" t="str">
        <f>IF(I1284&lt;[1]Parameters!$B$21,"TRUE","FALSE")</f>
        <v>TRUE</v>
      </c>
      <c r="T1284" s="5">
        <f>(I1284/[1]Parameters!$B$25)*60</f>
        <v>4.8987564268191202</v>
      </c>
      <c r="U1284" s="10">
        <f>IF(AND('[1]Pizza Sales Calculations'!G1284=TRUE,'[1]Pizza Sales Calculations'!S1284="TRUE"),T1284*[1]Parameters!$B$40*2,0)</f>
        <v>0.30579325062084756</v>
      </c>
      <c r="V1284">
        <f>INDEX([1]Parameters!$A$3:$C$5,MATCH('[1]Pizza Sales Calculations'!D1284,[1]Parameters!$A$3:$A$5,0),2)</f>
        <v>7</v>
      </c>
      <c r="W1284">
        <f>INDEX([1]Parameters!$A$3:$C$5,MATCH('[1]Pizza Sales Calculations'!E1284,[1]Parameters!$A$3:$A$5,0),2)</f>
        <v>10</v>
      </c>
      <c r="X1284" t="e">
        <f>INDEX([1]Parameters!$A$3:$C$5,MATCH('[1]Pizza Sales Calculations'!F1284,[1]Parameters!$A$3:$A$5,0),2)</f>
        <v>#N/A</v>
      </c>
    </row>
    <row r="1285" spans="1:24" x14ac:dyDescent="0.3">
      <c r="A1285">
        <v>1284</v>
      </c>
      <c r="B1285" s="14">
        <v>42383.438356481478</v>
      </c>
      <c r="C1285" s="14">
        <v>42383.448773148149</v>
      </c>
      <c r="D1285" t="s">
        <v>4</v>
      </c>
      <c r="G1285" t="b">
        <v>0</v>
      </c>
      <c r="H1285">
        <v>70804</v>
      </c>
      <c r="I1285" s="5">
        <v>0</v>
      </c>
      <c r="J1285" s="14">
        <v>42383.450833333336</v>
      </c>
      <c r="K1285">
        <v>11.59</v>
      </c>
      <c r="L1285" s="5">
        <f>('[1]Pizza Sales Calculations'!$J1285-'[1]Pizza Sales Calculations'!$C1285)*24*60</f>
        <v>2.9666666686534882</v>
      </c>
      <c r="M1285">
        <f>COUNTA('[1]Pizza Sales Calculations'!$D1285:$F1285)</f>
        <v>1</v>
      </c>
      <c r="N1285">
        <f>IFERROR(VLOOKUP(D1285,[1]Parameters!$A$3:$C$5,3,FALSE),0)</f>
        <v>1.7</v>
      </c>
      <c r="O1285">
        <f>IFERROR(VLOOKUP(E1285,[1]Parameters!$A$3:$C$5,3,FALSE),0)</f>
        <v>0</v>
      </c>
      <c r="P1285">
        <f>IFERROR(VLOOKUP(F1285,[1]Parameters!$A$3:$C$5,3,FALSE),0)</f>
        <v>0</v>
      </c>
      <c r="Q1285">
        <f t="shared" si="20"/>
        <v>1.7</v>
      </c>
      <c r="R1285" s="10">
        <f>IF('[1]Pizza Sales Calculations'!$G1285=TRUE, [1]Parameters!$B$17*'[1]Pizza Sales Calculations'!$L1285*2, 0)</f>
        <v>0</v>
      </c>
      <c r="S1285" t="str">
        <f>IF(I1285&lt;[1]Parameters!$B$21,"TRUE","FALSE")</f>
        <v>TRUE</v>
      </c>
      <c r="T1285" s="5">
        <f>(I1285/[1]Parameters!$B$25)*60</f>
        <v>0</v>
      </c>
      <c r="U1285" s="10">
        <f>IF(AND('[1]Pizza Sales Calculations'!G1285=TRUE,'[1]Pizza Sales Calculations'!S1285="TRUE"),T1285*[1]Parameters!$B$40*2,0)</f>
        <v>0</v>
      </c>
      <c r="V1285">
        <f>INDEX([1]Parameters!$A$3:$C$5,MATCH('[1]Pizza Sales Calculations'!D1285,[1]Parameters!$A$3:$A$5,0),2)</f>
        <v>10</v>
      </c>
      <c r="W1285" t="e">
        <f>INDEX([1]Parameters!$A$3:$C$5,MATCH('[1]Pizza Sales Calculations'!E1285,[1]Parameters!$A$3:$A$5,0),2)</f>
        <v>#N/A</v>
      </c>
      <c r="X1285" t="e">
        <f>INDEX([1]Parameters!$A$3:$C$5,MATCH('[1]Pizza Sales Calculations'!F1285,[1]Parameters!$A$3:$A$5,0),2)</f>
        <v>#N/A</v>
      </c>
    </row>
    <row r="1286" spans="1:24" x14ac:dyDescent="0.3">
      <c r="A1286">
        <v>1285</v>
      </c>
      <c r="B1286" s="14">
        <v>42383.43577546296</v>
      </c>
      <c r="C1286" s="14">
        <v>42383.446192129632</v>
      </c>
      <c r="D1286" t="s">
        <v>4</v>
      </c>
      <c r="G1286" t="b">
        <v>1</v>
      </c>
      <c r="H1286">
        <v>70805</v>
      </c>
      <c r="I1286" s="5">
        <v>3.8432328447141302</v>
      </c>
      <c r="J1286" s="14">
        <v>42383.45952546296</v>
      </c>
      <c r="K1286">
        <v>11.59</v>
      </c>
      <c r="L1286" s="5">
        <f>('[1]Pizza Sales Calculations'!$J1286-'[1]Pizza Sales Calculations'!$C1286)*24*60</f>
        <v>19.199999993434176</v>
      </c>
      <c r="M1286">
        <f>COUNTA('[1]Pizza Sales Calculations'!$D1286:$F1286)</f>
        <v>1</v>
      </c>
      <c r="N1286">
        <f>IFERROR(VLOOKUP(D1286,[1]Parameters!$A$3:$C$5,3,FALSE),0)</f>
        <v>1.7</v>
      </c>
      <c r="O1286">
        <f>IFERROR(VLOOKUP(E1286,[1]Parameters!$A$3:$C$5,3,FALSE),0)</f>
        <v>0</v>
      </c>
      <c r="P1286">
        <f>IFERROR(VLOOKUP(F1286,[1]Parameters!$A$3:$C$5,3,FALSE),0)</f>
        <v>0</v>
      </c>
      <c r="Q1286">
        <f t="shared" si="20"/>
        <v>1.7</v>
      </c>
      <c r="R1286" s="10">
        <f>IF('[1]Pizza Sales Calculations'!$G1286=TRUE, [1]Parameters!$B$17*'[1]Pizza Sales Calculations'!$L1286*2, 0)</f>
        <v>5.4399999981396832</v>
      </c>
      <c r="S1286" t="str">
        <f>IF(I1286&lt;[1]Parameters!$B$21,"TRUE","FALSE")</f>
        <v>FALSE</v>
      </c>
      <c r="T1286" s="5">
        <f>(I1286/[1]Parameters!$B$25)*60</f>
        <v>7.6864656894282604</v>
      </c>
      <c r="U1286" s="10">
        <f>IF(AND('[1]Pizza Sales Calculations'!G1286=TRUE,'[1]Pizza Sales Calculations'!S1286="TRUE"),T1286*[1]Parameters!$B$40*2,0)</f>
        <v>0</v>
      </c>
      <c r="V1286">
        <f>INDEX([1]Parameters!$A$3:$C$5,MATCH('[1]Pizza Sales Calculations'!D1286,[1]Parameters!$A$3:$A$5,0),2)</f>
        <v>10</v>
      </c>
      <c r="W1286" t="e">
        <f>INDEX([1]Parameters!$A$3:$C$5,MATCH('[1]Pizza Sales Calculations'!E1286,[1]Parameters!$A$3:$A$5,0),2)</f>
        <v>#N/A</v>
      </c>
      <c r="X1286" t="e">
        <f>INDEX([1]Parameters!$A$3:$C$5,MATCH('[1]Pizza Sales Calculations'!F1286,[1]Parameters!$A$3:$A$5,0),2)</f>
        <v>#N/A</v>
      </c>
    </row>
    <row r="1287" spans="1:24" x14ac:dyDescent="0.3">
      <c r="A1287">
        <v>1286</v>
      </c>
      <c r="B1287" s="14">
        <v>42383.438043981485</v>
      </c>
      <c r="C1287" s="14">
        <v>42383.448437500003</v>
      </c>
      <c r="D1287" t="s">
        <v>5</v>
      </c>
      <c r="G1287" t="b">
        <v>1</v>
      </c>
      <c r="H1287">
        <v>70806</v>
      </c>
      <c r="I1287" s="5">
        <v>3.1372559381127201</v>
      </c>
      <c r="J1287" s="14">
        <v>42383.459328703706</v>
      </c>
      <c r="K1287">
        <v>15.35</v>
      </c>
      <c r="L1287" s="5">
        <f>('[1]Pizza Sales Calculations'!$J1287-'[1]Pizza Sales Calculations'!$C1287)*24*60</f>
        <v>15.683333332417533</v>
      </c>
      <c r="M1287">
        <f>COUNTA('[1]Pizza Sales Calculations'!$D1287:$F1287)</f>
        <v>1</v>
      </c>
      <c r="N1287">
        <f>IFERROR(VLOOKUP(D1287,[1]Parameters!$A$3:$C$5,3,FALSE),0)</f>
        <v>2.2999999999999998</v>
      </c>
      <c r="O1287">
        <f>IFERROR(VLOOKUP(E1287,[1]Parameters!$A$3:$C$5,3,FALSE),0)</f>
        <v>0</v>
      </c>
      <c r="P1287">
        <f>IFERROR(VLOOKUP(F1287,[1]Parameters!$A$3:$C$5,3,FALSE),0)</f>
        <v>0</v>
      </c>
      <c r="Q1287">
        <f t="shared" si="20"/>
        <v>2.2999999999999998</v>
      </c>
      <c r="R1287" s="10">
        <f>IF('[1]Pizza Sales Calculations'!$G1287=TRUE, [1]Parameters!$B$17*'[1]Pizza Sales Calculations'!$L1287*2, 0)</f>
        <v>4.4436111108516343</v>
      </c>
      <c r="S1287" t="str">
        <f>IF(I1287&lt;[1]Parameters!$B$21,"TRUE","FALSE")</f>
        <v>TRUE</v>
      </c>
      <c r="T1287" s="5">
        <f>(I1287/[1]Parameters!$B$25)*60</f>
        <v>6.2745118762254402</v>
      </c>
      <c r="U1287" s="10">
        <f>IF(AND('[1]Pizza Sales Calculations'!G1287=TRUE,'[1]Pizza Sales Calculations'!S1287="TRUE"),T1287*[1]Parameters!$B$40*2,0)</f>
        <v>0.3916715214060868</v>
      </c>
      <c r="V1287">
        <f>INDEX([1]Parameters!$A$3:$C$5,MATCH('[1]Pizza Sales Calculations'!D1287,[1]Parameters!$A$3:$A$5,0),2)</f>
        <v>14</v>
      </c>
      <c r="W1287" t="e">
        <f>INDEX([1]Parameters!$A$3:$C$5,MATCH('[1]Pizza Sales Calculations'!E1287,[1]Parameters!$A$3:$A$5,0),2)</f>
        <v>#N/A</v>
      </c>
      <c r="X1287" t="e">
        <f>INDEX([1]Parameters!$A$3:$C$5,MATCH('[1]Pizza Sales Calculations'!F1287,[1]Parameters!$A$3:$A$5,0),2)</f>
        <v>#N/A</v>
      </c>
    </row>
    <row r="1288" spans="1:24" x14ac:dyDescent="0.3">
      <c r="A1288">
        <v>1287</v>
      </c>
      <c r="B1288" s="14">
        <v>42383.474641203706</v>
      </c>
      <c r="C1288" s="14">
        <v>42383.48505787037</v>
      </c>
      <c r="D1288" t="s">
        <v>4</v>
      </c>
      <c r="G1288" t="b">
        <v>0</v>
      </c>
      <c r="H1288">
        <v>70803</v>
      </c>
      <c r="I1288" s="5">
        <v>0</v>
      </c>
      <c r="J1288" s="14">
        <v>42383.487141203703</v>
      </c>
      <c r="K1288">
        <v>11.59</v>
      </c>
      <c r="L1288" s="5">
        <f>('[1]Pizza Sales Calculations'!$J1288-'[1]Pizza Sales Calculations'!$C1288)*24*60</f>
        <v>2.9999999993015081</v>
      </c>
      <c r="M1288">
        <f>COUNTA('[1]Pizza Sales Calculations'!$D1288:$F1288)</f>
        <v>1</v>
      </c>
      <c r="N1288">
        <f>IFERROR(VLOOKUP(D1288,[1]Parameters!$A$3:$C$5,3,FALSE),0)</f>
        <v>1.7</v>
      </c>
      <c r="O1288">
        <f>IFERROR(VLOOKUP(E1288,[1]Parameters!$A$3:$C$5,3,FALSE),0)</f>
        <v>0</v>
      </c>
      <c r="P1288">
        <f>IFERROR(VLOOKUP(F1288,[1]Parameters!$A$3:$C$5,3,FALSE),0)</f>
        <v>0</v>
      </c>
      <c r="Q1288">
        <f t="shared" si="20"/>
        <v>1.7</v>
      </c>
      <c r="R1288" s="10">
        <f>IF('[1]Pizza Sales Calculations'!$G1288=TRUE, [1]Parameters!$B$17*'[1]Pizza Sales Calculations'!$L1288*2, 0)</f>
        <v>0</v>
      </c>
      <c r="S1288" t="str">
        <f>IF(I1288&lt;[1]Parameters!$B$21,"TRUE","FALSE")</f>
        <v>TRUE</v>
      </c>
      <c r="T1288" s="5">
        <f>(I1288/[1]Parameters!$B$25)*60</f>
        <v>0</v>
      </c>
      <c r="U1288" s="10">
        <f>IF(AND('[1]Pizza Sales Calculations'!G1288=TRUE,'[1]Pizza Sales Calculations'!S1288="TRUE"),T1288*[1]Parameters!$B$40*2,0)</f>
        <v>0</v>
      </c>
      <c r="V1288">
        <f>INDEX([1]Parameters!$A$3:$C$5,MATCH('[1]Pizza Sales Calculations'!D1288,[1]Parameters!$A$3:$A$5,0),2)</f>
        <v>10</v>
      </c>
      <c r="W1288" t="e">
        <f>INDEX([1]Parameters!$A$3:$C$5,MATCH('[1]Pizza Sales Calculations'!E1288,[1]Parameters!$A$3:$A$5,0),2)</f>
        <v>#N/A</v>
      </c>
      <c r="X1288" t="e">
        <f>INDEX([1]Parameters!$A$3:$C$5,MATCH('[1]Pizza Sales Calculations'!F1288,[1]Parameters!$A$3:$A$5,0),2)</f>
        <v>#N/A</v>
      </c>
    </row>
    <row r="1289" spans="1:24" x14ac:dyDescent="0.3">
      <c r="A1289">
        <v>1288</v>
      </c>
      <c r="B1289" s="14">
        <v>42383.515486111108</v>
      </c>
      <c r="C1289" s="14">
        <v>42383.525891203702</v>
      </c>
      <c r="D1289" t="s">
        <v>4</v>
      </c>
      <c r="G1289" t="b">
        <v>0</v>
      </c>
      <c r="H1289">
        <v>70805</v>
      </c>
      <c r="I1289" s="5">
        <v>0</v>
      </c>
      <c r="J1289" s="14">
        <v>42383.527962962966</v>
      </c>
      <c r="K1289">
        <v>11.59</v>
      </c>
      <c r="L1289" s="5">
        <f>('[1]Pizza Sales Calculations'!$J1289-'[1]Pizza Sales Calculations'!$C1289)*24*60</f>
        <v>2.9833333392161876</v>
      </c>
      <c r="M1289">
        <f>COUNTA('[1]Pizza Sales Calculations'!$D1289:$F1289)</f>
        <v>1</v>
      </c>
      <c r="N1289">
        <f>IFERROR(VLOOKUP(D1289,[1]Parameters!$A$3:$C$5,3,FALSE),0)</f>
        <v>1.7</v>
      </c>
      <c r="O1289">
        <f>IFERROR(VLOOKUP(E1289,[1]Parameters!$A$3:$C$5,3,FALSE),0)</f>
        <v>0</v>
      </c>
      <c r="P1289">
        <f>IFERROR(VLOOKUP(F1289,[1]Parameters!$A$3:$C$5,3,FALSE),0)</f>
        <v>0</v>
      </c>
      <c r="Q1289">
        <f t="shared" si="20"/>
        <v>1.7</v>
      </c>
      <c r="R1289" s="10">
        <f>IF('[1]Pizza Sales Calculations'!$G1289=TRUE, [1]Parameters!$B$17*'[1]Pizza Sales Calculations'!$L1289*2, 0)</f>
        <v>0</v>
      </c>
      <c r="S1289" t="str">
        <f>IF(I1289&lt;[1]Parameters!$B$21,"TRUE","FALSE")</f>
        <v>TRUE</v>
      </c>
      <c r="T1289" s="5">
        <f>(I1289/[1]Parameters!$B$25)*60</f>
        <v>0</v>
      </c>
      <c r="U1289" s="10">
        <f>IF(AND('[1]Pizza Sales Calculations'!G1289=TRUE,'[1]Pizza Sales Calculations'!S1289="TRUE"),T1289*[1]Parameters!$B$40*2,0)</f>
        <v>0</v>
      </c>
      <c r="V1289">
        <f>INDEX([1]Parameters!$A$3:$C$5,MATCH('[1]Pizza Sales Calculations'!D1289,[1]Parameters!$A$3:$A$5,0),2)</f>
        <v>10</v>
      </c>
      <c r="W1289" t="e">
        <f>INDEX([1]Parameters!$A$3:$C$5,MATCH('[1]Pizza Sales Calculations'!E1289,[1]Parameters!$A$3:$A$5,0),2)</f>
        <v>#N/A</v>
      </c>
      <c r="X1289" t="e">
        <f>INDEX([1]Parameters!$A$3:$C$5,MATCH('[1]Pizza Sales Calculations'!F1289,[1]Parameters!$A$3:$A$5,0),2)</f>
        <v>#N/A</v>
      </c>
    </row>
    <row r="1290" spans="1:24" x14ac:dyDescent="0.3">
      <c r="A1290">
        <v>1289</v>
      </c>
      <c r="B1290" s="14">
        <v>42383.503900462965</v>
      </c>
      <c r="C1290" s="14">
        <v>42383.514305555553</v>
      </c>
      <c r="D1290" t="s">
        <v>5</v>
      </c>
      <c r="G1290" t="b">
        <v>0</v>
      </c>
      <c r="H1290">
        <v>70805</v>
      </c>
      <c r="I1290" s="5">
        <v>0</v>
      </c>
      <c r="J1290" s="14">
        <v>42383.516400462962</v>
      </c>
      <c r="K1290">
        <v>15.35</v>
      </c>
      <c r="L1290" s="5">
        <f>('[1]Pizza Sales Calculations'!$J1290-'[1]Pizza Sales Calculations'!$C1290)*24*60</f>
        <v>3.0166666698642075</v>
      </c>
      <c r="M1290">
        <f>COUNTA('[1]Pizza Sales Calculations'!$D1290:$F1290)</f>
        <v>1</v>
      </c>
      <c r="N1290">
        <f>IFERROR(VLOOKUP(D1290,[1]Parameters!$A$3:$C$5,3,FALSE),0)</f>
        <v>2.2999999999999998</v>
      </c>
      <c r="O1290">
        <f>IFERROR(VLOOKUP(E1290,[1]Parameters!$A$3:$C$5,3,FALSE),0)</f>
        <v>0</v>
      </c>
      <c r="P1290">
        <f>IFERROR(VLOOKUP(F1290,[1]Parameters!$A$3:$C$5,3,FALSE),0)</f>
        <v>0</v>
      </c>
      <c r="Q1290">
        <f t="shared" si="20"/>
        <v>2.2999999999999998</v>
      </c>
      <c r="R1290" s="10">
        <f>IF('[1]Pizza Sales Calculations'!$G1290=TRUE, [1]Parameters!$B$17*'[1]Pizza Sales Calculations'!$L1290*2, 0)</f>
        <v>0</v>
      </c>
      <c r="S1290" t="str">
        <f>IF(I1290&lt;[1]Parameters!$B$21,"TRUE","FALSE")</f>
        <v>TRUE</v>
      </c>
      <c r="T1290" s="5">
        <f>(I1290/[1]Parameters!$B$25)*60</f>
        <v>0</v>
      </c>
      <c r="U1290" s="10">
        <f>IF(AND('[1]Pizza Sales Calculations'!G1290=TRUE,'[1]Pizza Sales Calculations'!S1290="TRUE"),T1290*[1]Parameters!$B$40*2,0)</f>
        <v>0</v>
      </c>
      <c r="V1290">
        <f>INDEX([1]Parameters!$A$3:$C$5,MATCH('[1]Pizza Sales Calculations'!D1290,[1]Parameters!$A$3:$A$5,0),2)</f>
        <v>14</v>
      </c>
      <c r="W1290" t="e">
        <f>INDEX([1]Parameters!$A$3:$C$5,MATCH('[1]Pizza Sales Calculations'!E1290,[1]Parameters!$A$3:$A$5,0),2)</f>
        <v>#N/A</v>
      </c>
      <c r="X1290" t="e">
        <f>INDEX([1]Parameters!$A$3:$C$5,MATCH('[1]Pizza Sales Calculations'!F1290,[1]Parameters!$A$3:$A$5,0),2)</f>
        <v>#N/A</v>
      </c>
    </row>
    <row r="1291" spans="1:24" x14ac:dyDescent="0.3">
      <c r="A1291">
        <v>1290</v>
      </c>
      <c r="B1291" s="14">
        <v>42383.475416666668</v>
      </c>
      <c r="C1291" s="14">
        <v>42383.485833333332</v>
      </c>
      <c r="D1291" t="s">
        <v>3</v>
      </c>
      <c r="E1291" t="s">
        <v>4</v>
      </c>
      <c r="G1291" t="b">
        <v>1</v>
      </c>
      <c r="H1291">
        <v>70804</v>
      </c>
      <c r="I1291" s="5">
        <v>3.3964774914763001</v>
      </c>
      <c r="J1291" s="14">
        <v>42383.497615740744</v>
      </c>
      <c r="K1291">
        <v>19.579999999999998</v>
      </c>
      <c r="L1291" s="5">
        <f>('[1]Pizza Sales Calculations'!$J1291-'[1]Pizza Sales Calculations'!$C1291)*24*60</f>
        <v>16.966666672378778</v>
      </c>
      <c r="M1291">
        <f>COUNTA('[1]Pizza Sales Calculations'!$D1291:$F1291)</f>
        <v>2</v>
      </c>
      <c r="N1291">
        <f>IFERROR(VLOOKUP(D1291,[1]Parameters!$A$3:$C$5,3,FALSE),0)</f>
        <v>1</v>
      </c>
      <c r="O1291">
        <f>IFERROR(VLOOKUP(E1291,[1]Parameters!$A$3:$C$5,3,FALSE),0)</f>
        <v>1.7</v>
      </c>
      <c r="P1291">
        <f>IFERROR(VLOOKUP(F1291,[1]Parameters!$A$3:$C$5,3,FALSE),0)</f>
        <v>0</v>
      </c>
      <c r="Q1291">
        <f t="shared" si="20"/>
        <v>2.7</v>
      </c>
      <c r="R1291" s="10">
        <f>IF('[1]Pizza Sales Calculations'!$G1291=TRUE, [1]Parameters!$B$17*'[1]Pizza Sales Calculations'!$L1291*2, 0)</f>
        <v>4.8072222238406539</v>
      </c>
      <c r="S1291" t="str">
        <f>IF(I1291&lt;[1]Parameters!$B$21,"TRUE","FALSE")</f>
        <v>FALSE</v>
      </c>
      <c r="T1291" s="5">
        <f>(I1291/[1]Parameters!$B$25)*60</f>
        <v>6.7929549829526001</v>
      </c>
      <c r="U1291" s="10">
        <f>IF(AND('[1]Pizza Sales Calculations'!G1291=TRUE,'[1]Pizza Sales Calculations'!S1291="TRUE"),T1291*[1]Parameters!$B$40*2,0)</f>
        <v>0</v>
      </c>
      <c r="V1291">
        <f>INDEX([1]Parameters!$A$3:$C$5,MATCH('[1]Pizza Sales Calculations'!D1291,[1]Parameters!$A$3:$A$5,0),2)</f>
        <v>7</v>
      </c>
      <c r="W1291">
        <f>INDEX([1]Parameters!$A$3:$C$5,MATCH('[1]Pizza Sales Calculations'!E1291,[1]Parameters!$A$3:$A$5,0),2)</f>
        <v>10</v>
      </c>
      <c r="X1291" t="e">
        <f>INDEX([1]Parameters!$A$3:$C$5,MATCH('[1]Pizza Sales Calculations'!F1291,[1]Parameters!$A$3:$A$5,0),2)</f>
        <v>#N/A</v>
      </c>
    </row>
    <row r="1292" spans="1:24" x14ac:dyDescent="0.3">
      <c r="A1292">
        <v>1291</v>
      </c>
      <c r="B1292" s="14">
        <v>42383.422939814816</v>
      </c>
      <c r="C1292" s="14">
        <v>42383.433368055557</v>
      </c>
      <c r="D1292" t="s">
        <v>5</v>
      </c>
      <c r="G1292" t="b">
        <v>0</v>
      </c>
      <c r="H1292">
        <v>70804</v>
      </c>
      <c r="I1292" s="5">
        <v>0</v>
      </c>
      <c r="J1292" s="14">
        <v>42383.43545138889</v>
      </c>
      <c r="K1292">
        <v>15.35</v>
      </c>
      <c r="L1292" s="5">
        <f>('[1]Pizza Sales Calculations'!$J1292-'[1]Pizza Sales Calculations'!$C1292)*24*60</f>
        <v>2.9999999993015081</v>
      </c>
      <c r="M1292">
        <f>COUNTA('[1]Pizza Sales Calculations'!$D1292:$F1292)</f>
        <v>1</v>
      </c>
      <c r="N1292">
        <f>IFERROR(VLOOKUP(D1292,[1]Parameters!$A$3:$C$5,3,FALSE),0)</f>
        <v>2.2999999999999998</v>
      </c>
      <c r="O1292">
        <f>IFERROR(VLOOKUP(E1292,[1]Parameters!$A$3:$C$5,3,FALSE),0)</f>
        <v>0</v>
      </c>
      <c r="P1292">
        <f>IFERROR(VLOOKUP(F1292,[1]Parameters!$A$3:$C$5,3,FALSE),0)</f>
        <v>0</v>
      </c>
      <c r="Q1292">
        <f t="shared" si="20"/>
        <v>2.2999999999999998</v>
      </c>
      <c r="R1292" s="10">
        <f>IF('[1]Pizza Sales Calculations'!$G1292=TRUE, [1]Parameters!$B$17*'[1]Pizza Sales Calculations'!$L1292*2, 0)</f>
        <v>0</v>
      </c>
      <c r="S1292" t="str">
        <f>IF(I1292&lt;[1]Parameters!$B$21,"TRUE","FALSE")</f>
        <v>TRUE</v>
      </c>
      <c r="T1292" s="5">
        <f>(I1292/[1]Parameters!$B$25)*60</f>
        <v>0</v>
      </c>
      <c r="U1292" s="10">
        <f>IF(AND('[1]Pizza Sales Calculations'!G1292=TRUE,'[1]Pizza Sales Calculations'!S1292="TRUE"),T1292*[1]Parameters!$B$40*2,0)</f>
        <v>0</v>
      </c>
      <c r="V1292">
        <f>INDEX([1]Parameters!$A$3:$C$5,MATCH('[1]Pizza Sales Calculations'!D1292,[1]Parameters!$A$3:$A$5,0),2)</f>
        <v>14</v>
      </c>
      <c r="W1292" t="e">
        <f>INDEX([1]Parameters!$A$3:$C$5,MATCH('[1]Pizza Sales Calculations'!E1292,[1]Parameters!$A$3:$A$5,0),2)</f>
        <v>#N/A</v>
      </c>
      <c r="X1292" t="e">
        <f>INDEX([1]Parameters!$A$3:$C$5,MATCH('[1]Pizza Sales Calculations'!F1292,[1]Parameters!$A$3:$A$5,0),2)</f>
        <v>#N/A</v>
      </c>
    </row>
    <row r="1293" spans="1:24" x14ac:dyDescent="0.3">
      <c r="A1293">
        <v>1292</v>
      </c>
      <c r="B1293" s="14">
        <v>42383.531099537038</v>
      </c>
      <c r="C1293" s="14">
        <v>42383.541516203702</v>
      </c>
      <c r="D1293" t="s">
        <v>3</v>
      </c>
      <c r="E1293" t="s">
        <v>4</v>
      </c>
      <c r="G1293" t="b">
        <v>1</v>
      </c>
      <c r="H1293">
        <v>70804</v>
      </c>
      <c r="I1293" s="5">
        <v>1.25685538352943</v>
      </c>
      <c r="J1293" s="14">
        <v>42383.54587962963</v>
      </c>
      <c r="K1293">
        <v>19.579999999999998</v>
      </c>
      <c r="L1293" s="5">
        <f>('[1]Pizza Sales Calculations'!$J1293-'[1]Pizza Sales Calculations'!$C1293)*24*60</f>
        <v>6.2833333353046328</v>
      </c>
      <c r="M1293">
        <f>COUNTA('[1]Pizza Sales Calculations'!$D1293:$F1293)</f>
        <v>2</v>
      </c>
      <c r="N1293">
        <f>IFERROR(VLOOKUP(D1293,[1]Parameters!$A$3:$C$5,3,FALSE),0)</f>
        <v>1</v>
      </c>
      <c r="O1293">
        <f>IFERROR(VLOOKUP(E1293,[1]Parameters!$A$3:$C$5,3,FALSE),0)</f>
        <v>1.7</v>
      </c>
      <c r="P1293">
        <f>IFERROR(VLOOKUP(F1293,[1]Parameters!$A$3:$C$5,3,FALSE),0)</f>
        <v>0</v>
      </c>
      <c r="Q1293">
        <f t="shared" si="20"/>
        <v>2.7</v>
      </c>
      <c r="R1293" s="10">
        <f>IF('[1]Pizza Sales Calculations'!$G1293=TRUE, [1]Parameters!$B$17*'[1]Pizza Sales Calculations'!$L1293*2, 0)</f>
        <v>1.7802777783363126</v>
      </c>
      <c r="S1293" t="str">
        <f>IF(I1293&lt;[1]Parameters!$B$21,"TRUE","FALSE")</f>
        <v>TRUE</v>
      </c>
      <c r="T1293" s="5">
        <f>(I1293/[1]Parameters!$B$25)*60</f>
        <v>2.5137107670588601</v>
      </c>
      <c r="U1293" s="10">
        <f>IF(AND('[1]Pizza Sales Calculations'!G1293=TRUE,'[1]Pizza Sales Calculations'!S1293="TRUE"),T1293*[1]Parameters!$B$40*2,0)</f>
        <v>0.15691243238208366</v>
      </c>
      <c r="V1293">
        <f>INDEX([1]Parameters!$A$3:$C$5,MATCH('[1]Pizza Sales Calculations'!D1293,[1]Parameters!$A$3:$A$5,0),2)</f>
        <v>7</v>
      </c>
      <c r="W1293">
        <f>INDEX([1]Parameters!$A$3:$C$5,MATCH('[1]Pizza Sales Calculations'!E1293,[1]Parameters!$A$3:$A$5,0),2)</f>
        <v>10</v>
      </c>
      <c r="X1293" t="e">
        <f>INDEX([1]Parameters!$A$3:$C$5,MATCH('[1]Pizza Sales Calculations'!F1293,[1]Parameters!$A$3:$A$5,0),2)</f>
        <v>#N/A</v>
      </c>
    </row>
    <row r="1294" spans="1:24" x14ac:dyDescent="0.3">
      <c r="A1294">
        <v>1293</v>
      </c>
      <c r="B1294" s="14">
        <v>42383.444826388892</v>
      </c>
      <c r="C1294" s="14">
        <v>42383.455231481479</v>
      </c>
      <c r="D1294" t="s">
        <v>3</v>
      </c>
      <c r="E1294" t="s">
        <v>5</v>
      </c>
      <c r="G1294" t="b">
        <v>0</v>
      </c>
      <c r="H1294">
        <v>70804</v>
      </c>
      <c r="I1294" s="5">
        <v>0</v>
      </c>
      <c r="J1294" s="14">
        <v>42383.457291666666</v>
      </c>
      <c r="K1294">
        <v>23.34</v>
      </c>
      <c r="L1294" s="5">
        <f>('[1]Pizza Sales Calculations'!$J1294-'[1]Pizza Sales Calculations'!$C1294)*24*60</f>
        <v>2.9666666686534882</v>
      </c>
      <c r="M1294">
        <f>COUNTA('[1]Pizza Sales Calculations'!$D1294:$F1294)</f>
        <v>2</v>
      </c>
      <c r="N1294">
        <f>IFERROR(VLOOKUP(D1294,[1]Parameters!$A$3:$C$5,3,FALSE),0)</f>
        <v>1</v>
      </c>
      <c r="O1294">
        <f>IFERROR(VLOOKUP(E1294,[1]Parameters!$A$3:$C$5,3,FALSE),0)</f>
        <v>2.2999999999999998</v>
      </c>
      <c r="P1294">
        <f>IFERROR(VLOOKUP(F1294,[1]Parameters!$A$3:$C$5,3,FALSE),0)</f>
        <v>0</v>
      </c>
      <c r="Q1294">
        <f t="shared" si="20"/>
        <v>3.3</v>
      </c>
      <c r="R1294" s="10">
        <f>IF('[1]Pizza Sales Calculations'!$G1294=TRUE, [1]Parameters!$B$17*'[1]Pizza Sales Calculations'!$L1294*2, 0)</f>
        <v>0</v>
      </c>
      <c r="S1294" t="str">
        <f>IF(I1294&lt;[1]Parameters!$B$21,"TRUE","FALSE")</f>
        <v>TRUE</v>
      </c>
      <c r="T1294" s="5">
        <f>(I1294/[1]Parameters!$B$25)*60</f>
        <v>0</v>
      </c>
      <c r="U1294" s="10">
        <f>IF(AND('[1]Pizza Sales Calculations'!G1294=TRUE,'[1]Pizza Sales Calculations'!S1294="TRUE"),T1294*[1]Parameters!$B$40*2,0)</f>
        <v>0</v>
      </c>
      <c r="V1294">
        <f>INDEX([1]Parameters!$A$3:$C$5,MATCH('[1]Pizza Sales Calculations'!D1294,[1]Parameters!$A$3:$A$5,0),2)</f>
        <v>7</v>
      </c>
      <c r="W1294">
        <f>INDEX([1]Parameters!$A$3:$C$5,MATCH('[1]Pizza Sales Calculations'!E1294,[1]Parameters!$A$3:$A$5,0),2)</f>
        <v>14</v>
      </c>
      <c r="X1294" t="e">
        <f>INDEX([1]Parameters!$A$3:$C$5,MATCH('[1]Pizza Sales Calculations'!F1294,[1]Parameters!$A$3:$A$5,0),2)</f>
        <v>#N/A</v>
      </c>
    </row>
    <row r="1295" spans="1:24" x14ac:dyDescent="0.3">
      <c r="A1295">
        <v>1294</v>
      </c>
      <c r="B1295" s="14">
        <v>42383.493854166663</v>
      </c>
      <c r="C1295" s="14">
        <v>42383.504270833335</v>
      </c>
      <c r="D1295" t="s">
        <v>5</v>
      </c>
      <c r="G1295" t="b">
        <v>1</v>
      </c>
      <c r="H1295">
        <v>70807</v>
      </c>
      <c r="I1295" s="5">
        <v>4.1532192729500403</v>
      </c>
      <c r="J1295" s="14">
        <v>42383.518680555557</v>
      </c>
      <c r="K1295">
        <v>15.35</v>
      </c>
      <c r="L1295" s="5">
        <f>('[1]Pizza Sales Calculations'!$J1295-'[1]Pizza Sales Calculations'!$C1295)*24*60</f>
        <v>20.749999999534339</v>
      </c>
      <c r="M1295">
        <f>COUNTA('[1]Pizza Sales Calculations'!$D1295:$F1295)</f>
        <v>1</v>
      </c>
      <c r="N1295">
        <f>IFERROR(VLOOKUP(D1295,[1]Parameters!$A$3:$C$5,3,FALSE),0)</f>
        <v>2.2999999999999998</v>
      </c>
      <c r="O1295">
        <f>IFERROR(VLOOKUP(E1295,[1]Parameters!$A$3:$C$5,3,FALSE),0)</f>
        <v>0</v>
      </c>
      <c r="P1295">
        <f>IFERROR(VLOOKUP(F1295,[1]Parameters!$A$3:$C$5,3,FALSE),0)</f>
        <v>0</v>
      </c>
      <c r="Q1295">
        <f t="shared" si="20"/>
        <v>2.2999999999999998</v>
      </c>
      <c r="R1295" s="10">
        <f>IF('[1]Pizza Sales Calculations'!$G1295=TRUE, [1]Parameters!$B$17*'[1]Pizza Sales Calculations'!$L1295*2, 0)</f>
        <v>5.8791666665347293</v>
      </c>
      <c r="S1295" t="str">
        <f>IF(I1295&lt;[1]Parameters!$B$21,"TRUE","FALSE")</f>
        <v>FALSE</v>
      </c>
      <c r="T1295" s="5">
        <f>(I1295/[1]Parameters!$B$25)*60</f>
        <v>8.3064385459000807</v>
      </c>
      <c r="U1295" s="10">
        <f>IF(AND('[1]Pizza Sales Calculations'!G1295=TRUE,'[1]Pizza Sales Calculations'!S1295="TRUE"),T1295*[1]Parameters!$B$40*2,0)</f>
        <v>0</v>
      </c>
      <c r="V1295">
        <f>INDEX([1]Parameters!$A$3:$C$5,MATCH('[1]Pizza Sales Calculations'!D1295,[1]Parameters!$A$3:$A$5,0),2)</f>
        <v>14</v>
      </c>
      <c r="W1295" t="e">
        <f>INDEX([1]Parameters!$A$3:$C$5,MATCH('[1]Pizza Sales Calculations'!E1295,[1]Parameters!$A$3:$A$5,0),2)</f>
        <v>#N/A</v>
      </c>
      <c r="X1295" t="e">
        <f>INDEX([1]Parameters!$A$3:$C$5,MATCH('[1]Pizza Sales Calculations'!F1295,[1]Parameters!$A$3:$A$5,0),2)</f>
        <v>#N/A</v>
      </c>
    </row>
    <row r="1296" spans="1:24" x14ac:dyDescent="0.3">
      <c r="A1296">
        <v>1295</v>
      </c>
      <c r="B1296" s="14">
        <v>42383.446759259263</v>
      </c>
      <c r="C1296" s="14">
        <v>42383.457175925927</v>
      </c>
      <c r="D1296" t="s">
        <v>3</v>
      </c>
      <c r="E1296" t="s">
        <v>4</v>
      </c>
      <c r="G1296" t="b">
        <v>1</v>
      </c>
      <c r="H1296">
        <v>70803</v>
      </c>
      <c r="I1296" s="5">
        <v>4.6352955317801898</v>
      </c>
      <c r="J1296" s="14">
        <v>42383.473263888889</v>
      </c>
      <c r="K1296">
        <v>19.579999999999998</v>
      </c>
      <c r="L1296" s="5">
        <f>('[1]Pizza Sales Calculations'!$J1296-'[1]Pizza Sales Calculations'!$C1296)*24*60</f>
        <v>23.166666665347293</v>
      </c>
      <c r="M1296">
        <f>COUNTA('[1]Pizza Sales Calculations'!$D1296:$F1296)</f>
        <v>2</v>
      </c>
      <c r="N1296">
        <f>IFERROR(VLOOKUP(D1296,[1]Parameters!$A$3:$C$5,3,FALSE),0)</f>
        <v>1</v>
      </c>
      <c r="O1296">
        <f>IFERROR(VLOOKUP(E1296,[1]Parameters!$A$3:$C$5,3,FALSE),0)</f>
        <v>1.7</v>
      </c>
      <c r="P1296">
        <f>IFERROR(VLOOKUP(F1296,[1]Parameters!$A$3:$C$5,3,FALSE),0)</f>
        <v>0</v>
      </c>
      <c r="Q1296">
        <f t="shared" si="20"/>
        <v>2.7</v>
      </c>
      <c r="R1296" s="10">
        <f>IF('[1]Pizza Sales Calculations'!$G1296=TRUE, [1]Parameters!$B$17*'[1]Pizza Sales Calculations'!$L1296*2, 0)</f>
        <v>6.5638888885150664</v>
      </c>
      <c r="S1296" t="str">
        <f>IF(I1296&lt;[1]Parameters!$B$21,"TRUE","FALSE")</f>
        <v>FALSE</v>
      </c>
      <c r="T1296" s="5">
        <f>(I1296/[1]Parameters!$B$25)*60</f>
        <v>9.2705910635603797</v>
      </c>
      <c r="U1296" s="10">
        <f>IF(AND('[1]Pizza Sales Calculations'!G1296=TRUE,'[1]Pizza Sales Calculations'!S1296="TRUE"),T1296*[1]Parameters!$B$40*2,0)</f>
        <v>0</v>
      </c>
      <c r="V1296">
        <f>INDEX([1]Parameters!$A$3:$C$5,MATCH('[1]Pizza Sales Calculations'!D1296,[1]Parameters!$A$3:$A$5,0),2)</f>
        <v>7</v>
      </c>
      <c r="W1296">
        <f>INDEX([1]Parameters!$A$3:$C$5,MATCH('[1]Pizza Sales Calculations'!E1296,[1]Parameters!$A$3:$A$5,0),2)</f>
        <v>10</v>
      </c>
      <c r="X1296" t="e">
        <f>INDEX([1]Parameters!$A$3:$C$5,MATCH('[1]Pizza Sales Calculations'!F1296,[1]Parameters!$A$3:$A$5,0),2)</f>
        <v>#N/A</v>
      </c>
    </row>
    <row r="1297" spans="1:24" x14ac:dyDescent="0.3">
      <c r="A1297">
        <v>1296</v>
      </c>
      <c r="B1297" s="14">
        <v>42383.53197916667</v>
      </c>
      <c r="C1297" s="14">
        <v>42383.542395833334</v>
      </c>
      <c r="D1297" t="s">
        <v>5</v>
      </c>
      <c r="G1297" t="b">
        <v>1</v>
      </c>
      <c r="H1297">
        <v>70806</v>
      </c>
      <c r="I1297" s="5">
        <v>4.6981899762196004</v>
      </c>
      <c r="J1297" s="14">
        <v>42383.558703703704</v>
      </c>
      <c r="K1297">
        <v>15.35</v>
      </c>
      <c r="L1297" s="5">
        <f>('[1]Pizza Sales Calculations'!$J1297-'[1]Pizza Sales Calculations'!$C1297)*24*60</f>
        <v>23.48333333269693</v>
      </c>
      <c r="M1297">
        <f>COUNTA('[1]Pizza Sales Calculations'!$D1297:$F1297)</f>
        <v>1</v>
      </c>
      <c r="N1297">
        <f>IFERROR(VLOOKUP(D1297,[1]Parameters!$A$3:$C$5,3,FALSE),0)</f>
        <v>2.2999999999999998</v>
      </c>
      <c r="O1297">
        <f>IFERROR(VLOOKUP(E1297,[1]Parameters!$A$3:$C$5,3,FALSE),0)</f>
        <v>0</v>
      </c>
      <c r="P1297">
        <f>IFERROR(VLOOKUP(F1297,[1]Parameters!$A$3:$C$5,3,FALSE),0)</f>
        <v>0</v>
      </c>
      <c r="Q1297">
        <f t="shared" si="20"/>
        <v>2.2999999999999998</v>
      </c>
      <c r="R1297" s="10">
        <f>IF('[1]Pizza Sales Calculations'!$G1297=TRUE, [1]Parameters!$B$17*'[1]Pizza Sales Calculations'!$L1297*2, 0)</f>
        <v>6.6536111109307967</v>
      </c>
      <c r="S1297" t="str">
        <f>IF(I1297&lt;[1]Parameters!$B$21,"TRUE","FALSE")</f>
        <v>FALSE</v>
      </c>
      <c r="T1297" s="5">
        <f>(I1297/[1]Parameters!$B$25)*60</f>
        <v>9.3963799524392009</v>
      </c>
      <c r="U1297" s="10">
        <f>IF(AND('[1]Pizza Sales Calculations'!G1297=TRUE,'[1]Pizza Sales Calculations'!S1297="TRUE"),T1297*[1]Parameters!$B$40*2,0)</f>
        <v>0</v>
      </c>
      <c r="V1297">
        <f>INDEX([1]Parameters!$A$3:$C$5,MATCH('[1]Pizza Sales Calculations'!D1297,[1]Parameters!$A$3:$A$5,0),2)</f>
        <v>14</v>
      </c>
      <c r="W1297" t="e">
        <f>INDEX([1]Parameters!$A$3:$C$5,MATCH('[1]Pizza Sales Calculations'!E1297,[1]Parameters!$A$3:$A$5,0),2)</f>
        <v>#N/A</v>
      </c>
      <c r="X1297" t="e">
        <f>INDEX([1]Parameters!$A$3:$C$5,MATCH('[1]Pizza Sales Calculations'!F1297,[1]Parameters!$A$3:$A$5,0),2)</f>
        <v>#N/A</v>
      </c>
    </row>
    <row r="1298" spans="1:24" x14ac:dyDescent="0.3">
      <c r="A1298">
        <v>1297</v>
      </c>
      <c r="B1298" s="14">
        <v>42383.509421296294</v>
      </c>
      <c r="C1298" s="14">
        <v>42383.519837962966</v>
      </c>
      <c r="D1298" t="s">
        <v>4</v>
      </c>
      <c r="G1298" t="b">
        <v>1</v>
      </c>
      <c r="H1298">
        <v>70806</v>
      </c>
      <c r="I1298" s="5">
        <v>3.5094837558825098</v>
      </c>
      <c r="J1298" s="14">
        <v>42383.532013888886</v>
      </c>
      <c r="K1298">
        <v>11.59</v>
      </c>
      <c r="L1298" s="5">
        <f>('[1]Pizza Sales Calculations'!$J1298-'[1]Pizza Sales Calculations'!$C1298)*24*60</f>
        <v>17.533333324827254</v>
      </c>
      <c r="M1298">
        <f>COUNTA('[1]Pizza Sales Calculations'!$D1298:$F1298)</f>
        <v>1</v>
      </c>
      <c r="N1298">
        <f>IFERROR(VLOOKUP(D1298,[1]Parameters!$A$3:$C$5,3,FALSE),0)</f>
        <v>1.7</v>
      </c>
      <c r="O1298">
        <f>IFERROR(VLOOKUP(E1298,[1]Parameters!$A$3:$C$5,3,FALSE),0)</f>
        <v>0</v>
      </c>
      <c r="P1298">
        <f>IFERROR(VLOOKUP(F1298,[1]Parameters!$A$3:$C$5,3,FALSE),0)</f>
        <v>0</v>
      </c>
      <c r="Q1298">
        <f t="shared" si="20"/>
        <v>1.7</v>
      </c>
      <c r="R1298" s="10">
        <f>IF('[1]Pizza Sales Calculations'!$G1298=TRUE, [1]Parameters!$B$17*'[1]Pizza Sales Calculations'!$L1298*2, 0)</f>
        <v>4.9677777753677219</v>
      </c>
      <c r="S1298" t="str">
        <f>IF(I1298&lt;[1]Parameters!$B$21,"TRUE","FALSE")</f>
        <v>FALSE</v>
      </c>
      <c r="T1298" s="5">
        <f>(I1298/[1]Parameters!$B$25)*60</f>
        <v>7.0189675117650197</v>
      </c>
      <c r="U1298" s="10">
        <f>IF(AND('[1]Pizza Sales Calculations'!G1298=TRUE,'[1]Pizza Sales Calculations'!S1298="TRUE"),T1298*[1]Parameters!$B$40*2,0)</f>
        <v>0</v>
      </c>
      <c r="V1298">
        <f>INDEX([1]Parameters!$A$3:$C$5,MATCH('[1]Pizza Sales Calculations'!D1298,[1]Parameters!$A$3:$A$5,0),2)</f>
        <v>10</v>
      </c>
      <c r="W1298" t="e">
        <f>INDEX([1]Parameters!$A$3:$C$5,MATCH('[1]Pizza Sales Calculations'!E1298,[1]Parameters!$A$3:$A$5,0),2)</f>
        <v>#N/A</v>
      </c>
      <c r="X1298" t="e">
        <f>INDEX([1]Parameters!$A$3:$C$5,MATCH('[1]Pizza Sales Calculations'!F1298,[1]Parameters!$A$3:$A$5,0),2)</f>
        <v>#N/A</v>
      </c>
    </row>
    <row r="1299" spans="1:24" x14ac:dyDescent="0.3">
      <c r="A1299">
        <v>1298</v>
      </c>
      <c r="B1299" s="14">
        <v>42383.522743055553</v>
      </c>
      <c r="C1299" s="14">
        <v>42383.533136574071</v>
      </c>
      <c r="D1299" t="s">
        <v>5</v>
      </c>
      <c r="G1299" t="b">
        <v>0</v>
      </c>
      <c r="H1299">
        <v>70805</v>
      </c>
      <c r="I1299" s="5">
        <v>0</v>
      </c>
      <c r="J1299" s="14">
        <v>42383.535231481481</v>
      </c>
      <c r="K1299">
        <v>15.35</v>
      </c>
      <c r="L1299" s="5">
        <f>('[1]Pizza Sales Calculations'!$J1299-'[1]Pizza Sales Calculations'!$C1299)*24*60</f>
        <v>3.0166666698642075</v>
      </c>
      <c r="M1299">
        <f>COUNTA('[1]Pizza Sales Calculations'!$D1299:$F1299)</f>
        <v>1</v>
      </c>
      <c r="N1299">
        <f>IFERROR(VLOOKUP(D1299,[1]Parameters!$A$3:$C$5,3,FALSE),0)</f>
        <v>2.2999999999999998</v>
      </c>
      <c r="O1299">
        <f>IFERROR(VLOOKUP(E1299,[1]Parameters!$A$3:$C$5,3,FALSE),0)</f>
        <v>0</v>
      </c>
      <c r="P1299">
        <f>IFERROR(VLOOKUP(F1299,[1]Parameters!$A$3:$C$5,3,FALSE),0)</f>
        <v>0</v>
      </c>
      <c r="Q1299">
        <f t="shared" si="20"/>
        <v>2.2999999999999998</v>
      </c>
      <c r="R1299" s="10">
        <f>IF('[1]Pizza Sales Calculations'!$G1299=TRUE, [1]Parameters!$B$17*'[1]Pizza Sales Calculations'!$L1299*2, 0)</f>
        <v>0</v>
      </c>
      <c r="S1299" t="str">
        <f>IF(I1299&lt;[1]Parameters!$B$21,"TRUE","FALSE")</f>
        <v>TRUE</v>
      </c>
      <c r="T1299" s="5">
        <f>(I1299/[1]Parameters!$B$25)*60</f>
        <v>0</v>
      </c>
      <c r="U1299" s="10">
        <f>IF(AND('[1]Pizza Sales Calculations'!G1299=TRUE,'[1]Pizza Sales Calculations'!S1299="TRUE"),T1299*[1]Parameters!$B$40*2,0)</f>
        <v>0</v>
      </c>
      <c r="V1299">
        <f>INDEX([1]Parameters!$A$3:$C$5,MATCH('[1]Pizza Sales Calculations'!D1299,[1]Parameters!$A$3:$A$5,0),2)</f>
        <v>14</v>
      </c>
      <c r="W1299" t="e">
        <f>INDEX([1]Parameters!$A$3:$C$5,MATCH('[1]Pizza Sales Calculations'!E1299,[1]Parameters!$A$3:$A$5,0),2)</f>
        <v>#N/A</v>
      </c>
      <c r="X1299" t="e">
        <f>INDEX([1]Parameters!$A$3:$C$5,MATCH('[1]Pizza Sales Calculations'!F1299,[1]Parameters!$A$3:$A$5,0),2)</f>
        <v>#N/A</v>
      </c>
    </row>
    <row r="1300" spans="1:24" x14ac:dyDescent="0.3">
      <c r="A1300">
        <v>1299</v>
      </c>
      <c r="B1300" s="14">
        <v>42383.466932870368</v>
      </c>
      <c r="C1300" s="14">
        <v>42383.477337962962</v>
      </c>
      <c r="D1300" t="s">
        <v>5</v>
      </c>
      <c r="G1300" t="b">
        <v>1</v>
      </c>
      <c r="H1300">
        <v>70806</v>
      </c>
      <c r="I1300" s="5">
        <v>3.3974769737905501</v>
      </c>
      <c r="J1300" s="14">
        <v>42383.489131944443</v>
      </c>
      <c r="K1300">
        <v>15.35</v>
      </c>
      <c r="L1300" s="5">
        <f>('[1]Pizza Sales Calculations'!$J1300-'[1]Pizza Sales Calculations'!$C1300)*24*60</f>
        <v>16.983333332464099</v>
      </c>
      <c r="M1300">
        <f>COUNTA('[1]Pizza Sales Calculations'!$D1300:$F1300)</f>
        <v>1</v>
      </c>
      <c r="N1300">
        <f>IFERROR(VLOOKUP(D1300,[1]Parameters!$A$3:$C$5,3,FALSE),0)</f>
        <v>2.2999999999999998</v>
      </c>
      <c r="O1300">
        <f>IFERROR(VLOOKUP(E1300,[1]Parameters!$A$3:$C$5,3,FALSE),0)</f>
        <v>0</v>
      </c>
      <c r="P1300">
        <f>IFERROR(VLOOKUP(F1300,[1]Parameters!$A$3:$C$5,3,FALSE),0)</f>
        <v>0</v>
      </c>
      <c r="Q1300">
        <f t="shared" si="20"/>
        <v>2.2999999999999998</v>
      </c>
      <c r="R1300" s="10">
        <f>IF('[1]Pizza Sales Calculations'!$G1300=TRUE, [1]Parameters!$B$17*'[1]Pizza Sales Calculations'!$L1300*2, 0)</f>
        <v>4.8119444441981614</v>
      </c>
      <c r="S1300" t="str">
        <f>IF(I1300&lt;[1]Parameters!$B$21,"TRUE","FALSE")</f>
        <v>FALSE</v>
      </c>
      <c r="T1300" s="5">
        <f>(I1300/[1]Parameters!$B$25)*60</f>
        <v>6.7949539475811003</v>
      </c>
      <c r="U1300" s="10">
        <f>IF(AND('[1]Pizza Sales Calculations'!G1300=TRUE,'[1]Pizza Sales Calculations'!S1300="TRUE"),T1300*[1]Parameters!$B$40*2,0)</f>
        <v>0</v>
      </c>
      <c r="V1300">
        <f>INDEX([1]Parameters!$A$3:$C$5,MATCH('[1]Pizza Sales Calculations'!D1300,[1]Parameters!$A$3:$A$5,0),2)</f>
        <v>14</v>
      </c>
      <c r="W1300" t="e">
        <f>INDEX([1]Parameters!$A$3:$C$5,MATCH('[1]Pizza Sales Calculations'!E1300,[1]Parameters!$A$3:$A$5,0),2)</f>
        <v>#N/A</v>
      </c>
      <c r="X1300" t="e">
        <f>INDEX([1]Parameters!$A$3:$C$5,MATCH('[1]Pizza Sales Calculations'!F1300,[1]Parameters!$A$3:$A$5,0),2)</f>
        <v>#N/A</v>
      </c>
    </row>
    <row r="1301" spans="1:24" x14ac:dyDescent="0.3">
      <c r="A1301">
        <v>1300</v>
      </c>
      <c r="B1301" s="14">
        <v>42383.438622685186</v>
      </c>
      <c r="C1301" s="14">
        <v>42383.44902777778</v>
      </c>
      <c r="D1301" t="s">
        <v>5</v>
      </c>
      <c r="G1301" t="b">
        <v>1</v>
      </c>
      <c r="H1301">
        <v>70804</v>
      </c>
      <c r="I1301" s="5">
        <v>3.4382274317286701</v>
      </c>
      <c r="J1301" s="14">
        <v>42383.460960648146</v>
      </c>
      <c r="K1301">
        <v>15.35</v>
      </c>
      <c r="L1301" s="5">
        <f>('[1]Pizza Sales Calculations'!$J1301-'[1]Pizza Sales Calculations'!$C1301)*24*60</f>
        <v>17.183333326829597</v>
      </c>
      <c r="M1301">
        <f>COUNTA('[1]Pizza Sales Calculations'!$D1301:$F1301)</f>
        <v>1</v>
      </c>
      <c r="N1301">
        <f>IFERROR(VLOOKUP(D1301,[1]Parameters!$A$3:$C$5,3,FALSE),0)</f>
        <v>2.2999999999999998</v>
      </c>
      <c r="O1301">
        <f>IFERROR(VLOOKUP(E1301,[1]Parameters!$A$3:$C$5,3,FALSE),0)</f>
        <v>0</v>
      </c>
      <c r="P1301">
        <f>IFERROR(VLOOKUP(F1301,[1]Parameters!$A$3:$C$5,3,FALSE),0)</f>
        <v>0</v>
      </c>
      <c r="Q1301">
        <f t="shared" si="20"/>
        <v>2.2999999999999998</v>
      </c>
      <c r="R1301" s="10">
        <f>IF('[1]Pizza Sales Calculations'!$G1301=TRUE, [1]Parameters!$B$17*'[1]Pizza Sales Calculations'!$L1301*2, 0)</f>
        <v>4.8686111092683859</v>
      </c>
      <c r="S1301" t="str">
        <f>IF(I1301&lt;[1]Parameters!$B$21,"TRUE","FALSE")</f>
        <v>FALSE</v>
      </c>
      <c r="T1301" s="5">
        <f>(I1301/[1]Parameters!$B$25)*60</f>
        <v>6.8764548634573401</v>
      </c>
      <c r="U1301" s="10">
        <f>IF(AND('[1]Pizza Sales Calculations'!G1301=TRUE,'[1]Pizza Sales Calculations'!S1301="TRUE"),T1301*[1]Parameters!$B$40*2,0)</f>
        <v>0</v>
      </c>
      <c r="V1301">
        <f>INDEX([1]Parameters!$A$3:$C$5,MATCH('[1]Pizza Sales Calculations'!D1301,[1]Parameters!$A$3:$A$5,0),2)</f>
        <v>14</v>
      </c>
      <c r="W1301" t="e">
        <f>INDEX([1]Parameters!$A$3:$C$5,MATCH('[1]Pizza Sales Calculations'!E1301,[1]Parameters!$A$3:$A$5,0),2)</f>
        <v>#N/A</v>
      </c>
      <c r="X1301" t="e">
        <f>INDEX([1]Parameters!$A$3:$C$5,MATCH('[1]Pizza Sales Calculations'!F1301,[1]Parameters!$A$3:$A$5,0),2)</f>
        <v>#N/A</v>
      </c>
    </row>
    <row r="1302" spans="1:24" x14ac:dyDescent="0.3">
      <c r="A1302">
        <v>1301</v>
      </c>
      <c r="B1302" s="14">
        <v>42383.525266203702</v>
      </c>
      <c r="C1302" s="14">
        <v>42383.535694444443</v>
      </c>
      <c r="D1302" t="s">
        <v>4</v>
      </c>
      <c r="G1302" t="b">
        <v>1</v>
      </c>
      <c r="H1302">
        <v>70805</v>
      </c>
      <c r="I1302" s="5">
        <v>1.4158476502169699</v>
      </c>
      <c r="J1302" s="14">
        <v>42383.540601851855</v>
      </c>
      <c r="K1302">
        <v>11.59</v>
      </c>
      <c r="L1302" s="5">
        <f>('[1]Pizza Sales Calculations'!$J1302-'[1]Pizza Sales Calculations'!$C1302)*24*60</f>
        <v>7.0666666736360639</v>
      </c>
      <c r="M1302">
        <f>COUNTA('[1]Pizza Sales Calculations'!$D1302:$F1302)</f>
        <v>1</v>
      </c>
      <c r="N1302">
        <f>IFERROR(VLOOKUP(D1302,[1]Parameters!$A$3:$C$5,3,FALSE),0)</f>
        <v>1.7</v>
      </c>
      <c r="O1302">
        <f>IFERROR(VLOOKUP(E1302,[1]Parameters!$A$3:$C$5,3,FALSE),0)</f>
        <v>0</v>
      </c>
      <c r="P1302">
        <f>IFERROR(VLOOKUP(F1302,[1]Parameters!$A$3:$C$5,3,FALSE),0)</f>
        <v>0</v>
      </c>
      <c r="Q1302">
        <f t="shared" si="20"/>
        <v>1.7</v>
      </c>
      <c r="R1302" s="10">
        <f>IF('[1]Pizza Sales Calculations'!$G1302=TRUE, [1]Parameters!$B$17*'[1]Pizza Sales Calculations'!$L1302*2, 0)</f>
        <v>2.0022222241968848</v>
      </c>
      <c r="S1302" t="str">
        <f>IF(I1302&lt;[1]Parameters!$B$21,"TRUE","FALSE")</f>
        <v>TRUE</v>
      </c>
      <c r="T1302" s="5">
        <f>(I1302/[1]Parameters!$B$25)*60</f>
        <v>2.8316953004339398</v>
      </c>
      <c r="U1302" s="10">
        <f>IF(AND('[1]Pizza Sales Calculations'!G1302=TRUE,'[1]Pizza Sales Calculations'!S1302="TRUE"),T1302*[1]Parameters!$B$40*2,0)</f>
        <v>0.17676186265291213</v>
      </c>
      <c r="V1302">
        <f>INDEX([1]Parameters!$A$3:$C$5,MATCH('[1]Pizza Sales Calculations'!D1302,[1]Parameters!$A$3:$A$5,0),2)</f>
        <v>10</v>
      </c>
      <c r="W1302" t="e">
        <f>INDEX([1]Parameters!$A$3:$C$5,MATCH('[1]Pizza Sales Calculations'!E1302,[1]Parameters!$A$3:$A$5,0),2)</f>
        <v>#N/A</v>
      </c>
      <c r="X1302" t="e">
        <f>INDEX([1]Parameters!$A$3:$C$5,MATCH('[1]Pizza Sales Calculations'!F1302,[1]Parameters!$A$3:$A$5,0),2)</f>
        <v>#N/A</v>
      </c>
    </row>
    <row r="1303" spans="1:24" x14ac:dyDescent="0.3">
      <c r="A1303">
        <v>1302</v>
      </c>
      <c r="B1303" s="14">
        <v>42383.430034722223</v>
      </c>
      <c r="C1303" s="14">
        <v>42383.440451388888</v>
      </c>
      <c r="D1303" t="s">
        <v>4</v>
      </c>
      <c r="G1303" t="b">
        <v>0</v>
      </c>
      <c r="H1303">
        <v>70805</v>
      </c>
      <c r="I1303" s="5">
        <v>0</v>
      </c>
      <c r="J1303" s="14">
        <v>42383.442523148151</v>
      </c>
      <c r="K1303">
        <v>11.59</v>
      </c>
      <c r="L1303" s="5">
        <f>('[1]Pizza Sales Calculations'!$J1303-'[1]Pizza Sales Calculations'!$C1303)*24*60</f>
        <v>2.9833333392161876</v>
      </c>
      <c r="M1303">
        <f>COUNTA('[1]Pizza Sales Calculations'!$D1303:$F1303)</f>
        <v>1</v>
      </c>
      <c r="N1303">
        <f>IFERROR(VLOOKUP(D1303,[1]Parameters!$A$3:$C$5,3,FALSE),0)</f>
        <v>1.7</v>
      </c>
      <c r="O1303">
        <f>IFERROR(VLOOKUP(E1303,[1]Parameters!$A$3:$C$5,3,FALSE),0)</f>
        <v>0</v>
      </c>
      <c r="P1303">
        <f>IFERROR(VLOOKUP(F1303,[1]Parameters!$A$3:$C$5,3,FALSE),0)</f>
        <v>0</v>
      </c>
      <c r="Q1303">
        <f t="shared" si="20"/>
        <v>1.7</v>
      </c>
      <c r="R1303" s="10">
        <f>IF('[1]Pizza Sales Calculations'!$G1303=TRUE, [1]Parameters!$B$17*'[1]Pizza Sales Calculations'!$L1303*2, 0)</f>
        <v>0</v>
      </c>
      <c r="S1303" t="str">
        <f>IF(I1303&lt;[1]Parameters!$B$21,"TRUE","FALSE")</f>
        <v>TRUE</v>
      </c>
      <c r="T1303" s="5">
        <f>(I1303/[1]Parameters!$B$25)*60</f>
        <v>0</v>
      </c>
      <c r="U1303" s="10">
        <f>IF(AND('[1]Pizza Sales Calculations'!G1303=TRUE,'[1]Pizza Sales Calculations'!S1303="TRUE"),T1303*[1]Parameters!$B$40*2,0)</f>
        <v>0</v>
      </c>
      <c r="V1303">
        <f>INDEX([1]Parameters!$A$3:$C$5,MATCH('[1]Pizza Sales Calculations'!D1303,[1]Parameters!$A$3:$A$5,0),2)</f>
        <v>10</v>
      </c>
      <c r="W1303" t="e">
        <f>INDEX([1]Parameters!$A$3:$C$5,MATCH('[1]Pizza Sales Calculations'!E1303,[1]Parameters!$A$3:$A$5,0),2)</f>
        <v>#N/A</v>
      </c>
      <c r="X1303" t="e">
        <f>INDEX([1]Parameters!$A$3:$C$5,MATCH('[1]Pizza Sales Calculations'!F1303,[1]Parameters!$A$3:$A$5,0),2)</f>
        <v>#N/A</v>
      </c>
    </row>
    <row r="1304" spans="1:24" x14ac:dyDescent="0.3">
      <c r="A1304">
        <v>1303</v>
      </c>
      <c r="B1304" s="14">
        <v>42383.511782407404</v>
      </c>
      <c r="C1304" s="14">
        <v>42383.522187499999</v>
      </c>
      <c r="D1304" t="s">
        <v>4</v>
      </c>
      <c r="G1304" t="b">
        <v>0</v>
      </c>
      <c r="H1304">
        <v>70806</v>
      </c>
      <c r="I1304" s="5">
        <v>0</v>
      </c>
      <c r="J1304" s="14">
        <v>42383.524282407408</v>
      </c>
      <c r="K1304">
        <v>11.59</v>
      </c>
      <c r="L1304" s="5">
        <f>('[1]Pizza Sales Calculations'!$J1304-'[1]Pizza Sales Calculations'!$C1304)*24*60</f>
        <v>3.0166666698642075</v>
      </c>
      <c r="M1304">
        <f>COUNTA('[1]Pizza Sales Calculations'!$D1304:$F1304)</f>
        <v>1</v>
      </c>
      <c r="N1304">
        <f>IFERROR(VLOOKUP(D1304,[1]Parameters!$A$3:$C$5,3,FALSE),0)</f>
        <v>1.7</v>
      </c>
      <c r="O1304">
        <f>IFERROR(VLOOKUP(E1304,[1]Parameters!$A$3:$C$5,3,FALSE),0)</f>
        <v>0</v>
      </c>
      <c r="P1304">
        <f>IFERROR(VLOOKUP(F1304,[1]Parameters!$A$3:$C$5,3,FALSE),0)</f>
        <v>0</v>
      </c>
      <c r="Q1304">
        <f t="shared" si="20"/>
        <v>1.7</v>
      </c>
      <c r="R1304" s="10">
        <f>IF('[1]Pizza Sales Calculations'!$G1304=TRUE, [1]Parameters!$B$17*'[1]Pizza Sales Calculations'!$L1304*2, 0)</f>
        <v>0</v>
      </c>
      <c r="S1304" t="str">
        <f>IF(I1304&lt;[1]Parameters!$B$21,"TRUE","FALSE")</f>
        <v>TRUE</v>
      </c>
      <c r="T1304" s="5">
        <f>(I1304/[1]Parameters!$B$25)*60</f>
        <v>0</v>
      </c>
      <c r="U1304" s="10">
        <f>IF(AND('[1]Pizza Sales Calculations'!G1304=TRUE,'[1]Pizza Sales Calculations'!S1304="TRUE"),T1304*[1]Parameters!$B$40*2,0)</f>
        <v>0</v>
      </c>
      <c r="V1304">
        <f>INDEX([1]Parameters!$A$3:$C$5,MATCH('[1]Pizza Sales Calculations'!D1304,[1]Parameters!$A$3:$A$5,0),2)</f>
        <v>10</v>
      </c>
      <c r="W1304" t="e">
        <f>INDEX([1]Parameters!$A$3:$C$5,MATCH('[1]Pizza Sales Calculations'!E1304,[1]Parameters!$A$3:$A$5,0),2)</f>
        <v>#N/A</v>
      </c>
      <c r="X1304" t="e">
        <f>INDEX([1]Parameters!$A$3:$C$5,MATCH('[1]Pizza Sales Calculations'!F1304,[1]Parameters!$A$3:$A$5,0),2)</f>
        <v>#N/A</v>
      </c>
    </row>
    <row r="1305" spans="1:24" x14ac:dyDescent="0.3">
      <c r="A1305">
        <v>1304</v>
      </c>
      <c r="B1305" s="14">
        <v>42383.493495370371</v>
      </c>
      <c r="C1305" s="14">
        <v>42383.503923611112</v>
      </c>
      <c r="D1305" t="s">
        <v>5</v>
      </c>
      <c r="G1305" t="b">
        <v>1</v>
      </c>
      <c r="H1305">
        <v>70806</v>
      </c>
      <c r="I1305" s="5">
        <v>5.4827654542412398</v>
      </c>
      <c r="J1305" s="14">
        <v>42383.522951388892</v>
      </c>
      <c r="K1305">
        <v>15.35</v>
      </c>
      <c r="L1305" s="5">
        <f>('[1]Pizza Sales Calculations'!$J1305-'[1]Pizza Sales Calculations'!$C1305)*24*60</f>
        <v>27.400000003399327</v>
      </c>
      <c r="M1305">
        <f>COUNTA('[1]Pizza Sales Calculations'!$D1305:$F1305)</f>
        <v>1</v>
      </c>
      <c r="N1305">
        <f>IFERROR(VLOOKUP(D1305,[1]Parameters!$A$3:$C$5,3,FALSE),0)</f>
        <v>2.2999999999999998</v>
      </c>
      <c r="O1305">
        <f>IFERROR(VLOOKUP(E1305,[1]Parameters!$A$3:$C$5,3,FALSE),0)</f>
        <v>0</v>
      </c>
      <c r="P1305">
        <f>IFERROR(VLOOKUP(F1305,[1]Parameters!$A$3:$C$5,3,FALSE),0)</f>
        <v>0</v>
      </c>
      <c r="Q1305">
        <f t="shared" si="20"/>
        <v>2.2999999999999998</v>
      </c>
      <c r="R1305" s="10">
        <f>IF('[1]Pizza Sales Calculations'!$G1305=TRUE, [1]Parameters!$B$17*'[1]Pizza Sales Calculations'!$L1305*2, 0)</f>
        <v>7.7633333342964761</v>
      </c>
      <c r="S1305" t="str">
        <f>IF(I1305&lt;[1]Parameters!$B$21,"TRUE","FALSE")</f>
        <v>FALSE</v>
      </c>
      <c r="T1305" s="5">
        <f>(I1305/[1]Parameters!$B$25)*60</f>
        <v>10.96553090848248</v>
      </c>
      <c r="U1305" s="10">
        <f>IF(AND('[1]Pizza Sales Calculations'!G1305=TRUE,'[1]Pizza Sales Calculations'!S1305="TRUE"),T1305*[1]Parameters!$B$40*2,0)</f>
        <v>0</v>
      </c>
      <c r="V1305">
        <f>INDEX([1]Parameters!$A$3:$C$5,MATCH('[1]Pizza Sales Calculations'!D1305,[1]Parameters!$A$3:$A$5,0),2)</f>
        <v>14</v>
      </c>
      <c r="W1305" t="e">
        <f>INDEX([1]Parameters!$A$3:$C$5,MATCH('[1]Pizza Sales Calculations'!E1305,[1]Parameters!$A$3:$A$5,0),2)</f>
        <v>#N/A</v>
      </c>
      <c r="X1305" t="e">
        <f>INDEX([1]Parameters!$A$3:$C$5,MATCH('[1]Pizza Sales Calculations'!F1305,[1]Parameters!$A$3:$A$5,0),2)</f>
        <v>#N/A</v>
      </c>
    </row>
    <row r="1306" spans="1:24" x14ac:dyDescent="0.3">
      <c r="A1306">
        <v>1305</v>
      </c>
      <c r="B1306" s="14">
        <v>42383.496979166666</v>
      </c>
      <c r="C1306" s="14">
        <v>42383.507384259261</v>
      </c>
      <c r="D1306" t="s">
        <v>3</v>
      </c>
      <c r="G1306" t="b">
        <v>0</v>
      </c>
      <c r="H1306">
        <v>70807</v>
      </c>
      <c r="I1306" s="5">
        <v>0</v>
      </c>
      <c r="J1306" s="14">
        <v>42383.509456018517</v>
      </c>
      <c r="K1306">
        <v>7.99</v>
      </c>
      <c r="L1306" s="5">
        <f>('[1]Pizza Sales Calculations'!$J1306-'[1]Pizza Sales Calculations'!$C1306)*24*60</f>
        <v>2.9833333287388086</v>
      </c>
      <c r="M1306">
        <f>COUNTA('[1]Pizza Sales Calculations'!$D1306:$F1306)</f>
        <v>1</v>
      </c>
      <c r="N1306">
        <f>IFERROR(VLOOKUP(D1306,[1]Parameters!$A$3:$C$5,3,FALSE),0)</f>
        <v>1</v>
      </c>
      <c r="O1306">
        <f>IFERROR(VLOOKUP(E1306,[1]Parameters!$A$3:$C$5,3,FALSE),0)</f>
        <v>0</v>
      </c>
      <c r="P1306">
        <f>IFERROR(VLOOKUP(F1306,[1]Parameters!$A$3:$C$5,3,FALSE),0)</f>
        <v>0</v>
      </c>
      <c r="Q1306">
        <f t="shared" si="20"/>
        <v>1</v>
      </c>
      <c r="R1306" s="10">
        <f>IF('[1]Pizza Sales Calculations'!$G1306=TRUE, [1]Parameters!$B$17*'[1]Pizza Sales Calculations'!$L1306*2, 0)</f>
        <v>0</v>
      </c>
      <c r="S1306" t="str">
        <f>IF(I1306&lt;[1]Parameters!$B$21,"TRUE","FALSE")</f>
        <v>TRUE</v>
      </c>
      <c r="T1306" s="5">
        <f>(I1306/[1]Parameters!$B$25)*60</f>
        <v>0</v>
      </c>
      <c r="U1306" s="10">
        <f>IF(AND('[1]Pizza Sales Calculations'!G1306=TRUE,'[1]Pizza Sales Calculations'!S1306="TRUE"),T1306*[1]Parameters!$B$40*2,0)</f>
        <v>0</v>
      </c>
      <c r="V1306">
        <f>INDEX([1]Parameters!$A$3:$C$5,MATCH('[1]Pizza Sales Calculations'!D1306,[1]Parameters!$A$3:$A$5,0),2)</f>
        <v>7</v>
      </c>
      <c r="W1306" t="e">
        <f>INDEX([1]Parameters!$A$3:$C$5,MATCH('[1]Pizza Sales Calculations'!E1306,[1]Parameters!$A$3:$A$5,0),2)</f>
        <v>#N/A</v>
      </c>
      <c r="X1306" t="e">
        <f>INDEX([1]Parameters!$A$3:$C$5,MATCH('[1]Pizza Sales Calculations'!F1306,[1]Parameters!$A$3:$A$5,0),2)</f>
        <v>#N/A</v>
      </c>
    </row>
    <row r="1307" spans="1:24" x14ac:dyDescent="0.3">
      <c r="A1307">
        <v>1306</v>
      </c>
      <c r="B1307" s="14">
        <v>42383.462939814817</v>
      </c>
      <c r="C1307" s="14">
        <v>42383.473344907405</v>
      </c>
      <c r="D1307" t="s">
        <v>3</v>
      </c>
      <c r="G1307" t="b">
        <v>0</v>
      </c>
      <c r="H1307">
        <v>70804</v>
      </c>
      <c r="I1307" s="5">
        <v>0</v>
      </c>
      <c r="J1307" s="14">
        <v>42383.475416666668</v>
      </c>
      <c r="K1307">
        <v>7.99</v>
      </c>
      <c r="L1307" s="5">
        <f>('[1]Pizza Sales Calculations'!$J1307-'[1]Pizza Sales Calculations'!$C1307)*24*60</f>
        <v>2.9833333392161876</v>
      </c>
      <c r="M1307">
        <f>COUNTA('[1]Pizza Sales Calculations'!$D1307:$F1307)</f>
        <v>1</v>
      </c>
      <c r="N1307">
        <f>IFERROR(VLOOKUP(D1307,[1]Parameters!$A$3:$C$5,3,FALSE),0)</f>
        <v>1</v>
      </c>
      <c r="O1307">
        <f>IFERROR(VLOOKUP(E1307,[1]Parameters!$A$3:$C$5,3,FALSE),0)</f>
        <v>0</v>
      </c>
      <c r="P1307">
        <f>IFERROR(VLOOKUP(F1307,[1]Parameters!$A$3:$C$5,3,FALSE),0)</f>
        <v>0</v>
      </c>
      <c r="Q1307">
        <f t="shared" si="20"/>
        <v>1</v>
      </c>
      <c r="R1307" s="10">
        <f>IF('[1]Pizza Sales Calculations'!$G1307=TRUE, [1]Parameters!$B$17*'[1]Pizza Sales Calculations'!$L1307*2, 0)</f>
        <v>0</v>
      </c>
      <c r="S1307" t="str">
        <f>IF(I1307&lt;[1]Parameters!$B$21,"TRUE","FALSE")</f>
        <v>TRUE</v>
      </c>
      <c r="T1307" s="5">
        <f>(I1307/[1]Parameters!$B$25)*60</f>
        <v>0</v>
      </c>
      <c r="U1307" s="10">
        <f>IF(AND('[1]Pizza Sales Calculations'!G1307=TRUE,'[1]Pizza Sales Calculations'!S1307="TRUE"),T1307*[1]Parameters!$B$40*2,0)</f>
        <v>0</v>
      </c>
      <c r="V1307">
        <f>INDEX([1]Parameters!$A$3:$C$5,MATCH('[1]Pizza Sales Calculations'!D1307,[1]Parameters!$A$3:$A$5,0),2)</f>
        <v>7</v>
      </c>
      <c r="W1307" t="e">
        <f>INDEX([1]Parameters!$A$3:$C$5,MATCH('[1]Pizza Sales Calculations'!E1307,[1]Parameters!$A$3:$A$5,0),2)</f>
        <v>#N/A</v>
      </c>
      <c r="X1307" t="e">
        <f>INDEX([1]Parameters!$A$3:$C$5,MATCH('[1]Pizza Sales Calculations'!F1307,[1]Parameters!$A$3:$A$5,0),2)</f>
        <v>#N/A</v>
      </c>
    </row>
    <row r="1308" spans="1:24" x14ac:dyDescent="0.3">
      <c r="A1308">
        <v>1307</v>
      </c>
      <c r="B1308" s="14">
        <v>42383.55741898148</v>
      </c>
      <c r="C1308" s="14">
        <v>42383.567835648151</v>
      </c>
      <c r="D1308" t="s">
        <v>3</v>
      </c>
      <c r="G1308" t="b">
        <v>0</v>
      </c>
      <c r="H1308">
        <v>70807</v>
      </c>
      <c r="I1308" s="5">
        <v>0</v>
      </c>
      <c r="J1308" s="14">
        <v>42383.569918981484</v>
      </c>
      <c r="K1308">
        <v>7.99</v>
      </c>
      <c r="L1308" s="5">
        <f>('[1]Pizza Sales Calculations'!$J1308-'[1]Pizza Sales Calculations'!$C1308)*24*60</f>
        <v>2.9999999993015081</v>
      </c>
      <c r="M1308">
        <f>COUNTA('[1]Pizza Sales Calculations'!$D1308:$F1308)</f>
        <v>1</v>
      </c>
      <c r="N1308">
        <f>IFERROR(VLOOKUP(D1308,[1]Parameters!$A$3:$C$5,3,FALSE),0)</f>
        <v>1</v>
      </c>
      <c r="O1308">
        <f>IFERROR(VLOOKUP(E1308,[1]Parameters!$A$3:$C$5,3,FALSE),0)</f>
        <v>0</v>
      </c>
      <c r="P1308">
        <f>IFERROR(VLOOKUP(F1308,[1]Parameters!$A$3:$C$5,3,FALSE),0)</f>
        <v>0</v>
      </c>
      <c r="Q1308">
        <f t="shared" si="20"/>
        <v>1</v>
      </c>
      <c r="R1308" s="10">
        <f>IF('[1]Pizza Sales Calculations'!$G1308=TRUE, [1]Parameters!$B$17*'[1]Pizza Sales Calculations'!$L1308*2, 0)</f>
        <v>0</v>
      </c>
      <c r="S1308" t="str">
        <f>IF(I1308&lt;[1]Parameters!$B$21,"TRUE","FALSE")</f>
        <v>TRUE</v>
      </c>
      <c r="T1308" s="5">
        <f>(I1308/[1]Parameters!$B$25)*60</f>
        <v>0</v>
      </c>
      <c r="U1308" s="10">
        <f>IF(AND('[1]Pizza Sales Calculations'!G1308=TRUE,'[1]Pizza Sales Calculations'!S1308="TRUE"),T1308*[1]Parameters!$B$40*2,0)</f>
        <v>0</v>
      </c>
      <c r="V1308">
        <f>INDEX([1]Parameters!$A$3:$C$5,MATCH('[1]Pizza Sales Calculations'!D1308,[1]Parameters!$A$3:$A$5,0),2)</f>
        <v>7</v>
      </c>
      <c r="W1308" t="e">
        <f>INDEX([1]Parameters!$A$3:$C$5,MATCH('[1]Pizza Sales Calculations'!E1308,[1]Parameters!$A$3:$A$5,0),2)</f>
        <v>#N/A</v>
      </c>
      <c r="X1308" t="e">
        <f>INDEX([1]Parameters!$A$3:$C$5,MATCH('[1]Pizza Sales Calculations'!F1308,[1]Parameters!$A$3:$A$5,0),2)</f>
        <v>#N/A</v>
      </c>
    </row>
    <row r="1309" spans="1:24" x14ac:dyDescent="0.3">
      <c r="A1309">
        <v>1308</v>
      </c>
      <c r="B1309" s="14">
        <v>42383.439386574071</v>
      </c>
      <c r="C1309" s="14">
        <v>42383.449803240743</v>
      </c>
      <c r="D1309" t="s">
        <v>5</v>
      </c>
      <c r="G1309" t="b">
        <v>1</v>
      </c>
      <c r="H1309">
        <v>70806</v>
      </c>
      <c r="I1309" s="5">
        <v>3.0650235658123601</v>
      </c>
      <c r="J1309" s="14">
        <v>42383.460439814815</v>
      </c>
      <c r="K1309">
        <v>15.35</v>
      </c>
      <c r="L1309" s="5">
        <f>('[1]Pizza Sales Calculations'!$J1309-'[1]Pizza Sales Calculations'!$C1309)*24*60</f>
        <v>15.316666663857177</v>
      </c>
      <c r="M1309">
        <f>COUNTA('[1]Pizza Sales Calculations'!$D1309:$F1309)</f>
        <v>1</v>
      </c>
      <c r="N1309">
        <f>IFERROR(VLOOKUP(D1309,[1]Parameters!$A$3:$C$5,3,FALSE),0)</f>
        <v>2.2999999999999998</v>
      </c>
      <c r="O1309">
        <f>IFERROR(VLOOKUP(E1309,[1]Parameters!$A$3:$C$5,3,FALSE),0)</f>
        <v>0</v>
      </c>
      <c r="P1309">
        <f>IFERROR(VLOOKUP(F1309,[1]Parameters!$A$3:$C$5,3,FALSE),0)</f>
        <v>0</v>
      </c>
      <c r="Q1309">
        <f t="shared" si="20"/>
        <v>2.2999999999999998</v>
      </c>
      <c r="R1309" s="10">
        <f>IF('[1]Pizza Sales Calculations'!$G1309=TRUE, [1]Parameters!$B$17*'[1]Pizza Sales Calculations'!$L1309*2, 0)</f>
        <v>4.3397222214262001</v>
      </c>
      <c r="S1309" t="str">
        <f>IF(I1309&lt;[1]Parameters!$B$21,"TRUE","FALSE")</f>
        <v>TRUE</v>
      </c>
      <c r="T1309" s="5">
        <f>(I1309/[1]Parameters!$B$25)*60</f>
        <v>6.1300471316247203</v>
      </c>
      <c r="U1309" s="10">
        <f>IF(AND('[1]Pizza Sales Calculations'!G1309=TRUE,'[1]Pizza Sales Calculations'!S1309="TRUE"),T1309*[1]Parameters!$B$40*2,0)</f>
        <v>0.3826536523792225</v>
      </c>
      <c r="V1309">
        <f>INDEX([1]Parameters!$A$3:$C$5,MATCH('[1]Pizza Sales Calculations'!D1309,[1]Parameters!$A$3:$A$5,0),2)</f>
        <v>14</v>
      </c>
      <c r="W1309" t="e">
        <f>INDEX([1]Parameters!$A$3:$C$5,MATCH('[1]Pizza Sales Calculations'!E1309,[1]Parameters!$A$3:$A$5,0),2)</f>
        <v>#N/A</v>
      </c>
      <c r="X1309" t="e">
        <f>INDEX([1]Parameters!$A$3:$C$5,MATCH('[1]Pizza Sales Calculations'!F1309,[1]Parameters!$A$3:$A$5,0),2)</f>
        <v>#N/A</v>
      </c>
    </row>
    <row r="1310" spans="1:24" x14ac:dyDescent="0.3">
      <c r="A1310">
        <v>1309</v>
      </c>
      <c r="B1310" s="14">
        <v>42383.536539351851</v>
      </c>
      <c r="C1310" s="14">
        <v>42383.546944444446</v>
      </c>
      <c r="D1310" t="s">
        <v>4</v>
      </c>
      <c r="G1310" t="b">
        <v>0</v>
      </c>
      <c r="H1310">
        <v>70805</v>
      </c>
      <c r="I1310" s="5">
        <v>0</v>
      </c>
      <c r="J1310" s="14">
        <v>42383.549016203702</v>
      </c>
      <c r="K1310">
        <v>11.59</v>
      </c>
      <c r="L1310" s="5">
        <f>('[1]Pizza Sales Calculations'!$J1310-'[1]Pizza Sales Calculations'!$C1310)*24*60</f>
        <v>2.9833333287388086</v>
      </c>
      <c r="M1310">
        <f>COUNTA('[1]Pizza Sales Calculations'!$D1310:$F1310)</f>
        <v>1</v>
      </c>
      <c r="N1310">
        <f>IFERROR(VLOOKUP(D1310,[1]Parameters!$A$3:$C$5,3,FALSE),0)</f>
        <v>1.7</v>
      </c>
      <c r="O1310">
        <f>IFERROR(VLOOKUP(E1310,[1]Parameters!$A$3:$C$5,3,FALSE),0)</f>
        <v>0</v>
      </c>
      <c r="P1310">
        <f>IFERROR(VLOOKUP(F1310,[1]Parameters!$A$3:$C$5,3,FALSE),0)</f>
        <v>0</v>
      </c>
      <c r="Q1310">
        <f t="shared" si="20"/>
        <v>1.7</v>
      </c>
      <c r="R1310" s="10">
        <f>IF('[1]Pizza Sales Calculations'!$G1310=TRUE, [1]Parameters!$B$17*'[1]Pizza Sales Calculations'!$L1310*2, 0)</f>
        <v>0</v>
      </c>
      <c r="S1310" t="str">
        <f>IF(I1310&lt;[1]Parameters!$B$21,"TRUE","FALSE")</f>
        <v>TRUE</v>
      </c>
      <c r="T1310" s="5">
        <f>(I1310/[1]Parameters!$B$25)*60</f>
        <v>0</v>
      </c>
      <c r="U1310" s="10">
        <f>IF(AND('[1]Pizza Sales Calculations'!G1310=TRUE,'[1]Pizza Sales Calculations'!S1310="TRUE"),T1310*[1]Parameters!$B$40*2,0)</f>
        <v>0</v>
      </c>
      <c r="V1310">
        <f>INDEX([1]Parameters!$A$3:$C$5,MATCH('[1]Pizza Sales Calculations'!D1310,[1]Parameters!$A$3:$A$5,0),2)</f>
        <v>10</v>
      </c>
      <c r="W1310" t="e">
        <f>INDEX([1]Parameters!$A$3:$C$5,MATCH('[1]Pizza Sales Calculations'!E1310,[1]Parameters!$A$3:$A$5,0),2)</f>
        <v>#N/A</v>
      </c>
      <c r="X1310" t="e">
        <f>INDEX([1]Parameters!$A$3:$C$5,MATCH('[1]Pizza Sales Calculations'!F1310,[1]Parameters!$A$3:$A$5,0),2)</f>
        <v>#N/A</v>
      </c>
    </row>
    <row r="1311" spans="1:24" x14ac:dyDescent="0.3">
      <c r="A1311">
        <v>1310</v>
      </c>
      <c r="B1311" s="14">
        <v>42383.509050925924</v>
      </c>
      <c r="C1311" s="14">
        <v>42383.519444444442</v>
      </c>
      <c r="D1311" t="s">
        <v>5</v>
      </c>
      <c r="G1311" t="b">
        <v>1</v>
      </c>
      <c r="H1311">
        <v>70804</v>
      </c>
      <c r="I1311" s="5">
        <v>3.3836540705534102</v>
      </c>
      <c r="J1311" s="14">
        <v>42383.531192129631</v>
      </c>
      <c r="K1311">
        <v>15.35</v>
      </c>
      <c r="L1311" s="5">
        <f>('[1]Pizza Sales Calculations'!$J1311-'[1]Pizza Sales Calculations'!$C1311)*24*60</f>
        <v>16.916666671168059</v>
      </c>
      <c r="M1311">
        <f>COUNTA('[1]Pizza Sales Calculations'!$D1311:$F1311)</f>
        <v>1</v>
      </c>
      <c r="N1311">
        <f>IFERROR(VLOOKUP(D1311,[1]Parameters!$A$3:$C$5,3,FALSE),0)</f>
        <v>2.2999999999999998</v>
      </c>
      <c r="O1311">
        <f>IFERROR(VLOOKUP(E1311,[1]Parameters!$A$3:$C$5,3,FALSE),0)</f>
        <v>0</v>
      </c>
      <c r="P1311">
        <f>IFERROR(VLOOKUP(F1311,[1]Parameters!$A$3:$C$5,3,FALSE),0)</f>
        <v>0</v>
      </c>
      <c r="Q1311">
        <f t="shared" si="20"/>
        <v>2.2999999999999998</v>
      </c>
      <c r="R1311" s="10">
        <f>IF('[1]Pizza Sales Calculations'!$G1311=TRUE, [1]Parameters!$B$17*'[1]Pizza Sales Calculations'!$L1311*2, 0)</f>
        <v>4.7930555568309501</v>
      </c>
      <c r="S1311" t="str">
        <f>IF(I1311&lt;[1]Parameters!$B$21,"TRUE","FALSE")</f>
        <v>FALSE</v>
      </c>
      <c r="T1311" s="5">
        <f>(I1311/[1]Parameters!$B$25)*60</f>
        <v>6.7673081411068203</v>
      </c>
      <c r="U1311" s="10">
        <f>IF(AND('[1]Pizza Sales Calculations'!G1311=TRUE,'[1]Pizza Sales Calculations'!S1311="TRUE"),T1311*[1]Parameters!$B$40*2,0)</f>
        <v>0</v>
      </c>
      <c r="V1311">
        <f>INDEX([1]Parameters!$A$3:$C$5,MATCH('[1]Pizza Sales Calculations'!D1311,[1]Parameters!$A$3:$A$5,0),2)</f>
        <v>14</v>
      </c>
      <c r="W1311" t="e">
        <f>INDEX([1]Parameters!$A$3:$C$5,MATCH('[1]Pizza Sales Calculations'!E1311,[1]Parameters!$A$3:$A$5,0),2)</f>
        <v>#N/A</v>
      </c>
      <c r="X1311" t="e">
        <f>INDEX([1]Parameters!$A$3:$C$5,MATCH('[1]Pizza Sales Calculations'!F1311,[1]Parameters!$A$3:$A$5,0),2)</f>
        <v>#N/A</v>
      </c>
    </row>
    <row r="1312" spans="1:24" x14ac:dyDescent="0.3">
      <c r="A1312">
        <v>1311</v>
      </c>
      <c r="B1312" s="14">
        <v>42383.515601851854</v>
      </c>
      <c r="C1312" s="14">
        <v>42383.526030092595</v>
      </c>
      <c r="D1312" t="s">
        <v>3</v>
      </c>
      <c r="E1312" t="s">
        <v>4</v>
      </c>
      <c r="G1312" t="b">
        <v>0</v>
      </c>
      <c r="H1312">
        <v>70805</v>
      </c>
      <c r="I1312" s="5">
        <v>0</v>
      </c>
      <c r="J1312" s="14">
        <v>42383.528113425928</v>
      </c>
      <c r="K1312">
        <v>19.579999999999998</v>
      </c>
      <c r="L1312" s="5">
        <f>('[1]Pizza Sales Calculations'!$J1312-'[1]Pizza Sales Calculations'!$C1312)*24*60</f>
        <v>2.9999999993015081</v>
      </c>
      <c r="M1312">
        <f>COUNTA('[1]Pizza Sales Calculations'!$D1312:$F1312)</f>
        <v>2</v>
      </c>
      <c r="N1312">
        <f>IFERROR(VLOOKUP(D1312,[1]Parameters!$A$3:$C$5,3,FALSE),0)</f>
        <v>1</v>
      </c>
      <c r="O1312">
        <f>IFERROR(VLOOKUP(E1312,[1]Parameters!$A$3:$C$5,3,FALSE),0)</f>
        <v>1.7</v>
      </c>
      <c r="P1312">
        <f>IFERROR(VLOOKUP(F1312,[1]Parameters!$A$3:$C$5,3,FALSE),0)</f>
        <v>0</v>
      </c>
      <c r="Q1312">
        <f t="shared" si="20"/>
        <v>2.7</v>
      </c>
      <c r="R1312" s="10">
        <f>IF('[1]Pizza Sales Calculations'!$G1312=TRUE, [1]Parameters!$B$17*'[1]Pizza Sales Calculations'!$L1312*2, 0)</f>
        <v>0</v>
      </c>
      <c r="S1312" t="str">
        <f>IF(I1312&lt;[1]Parameters!$B$21,"TRUE","FALSE")</f>
        <v>TRUE</v>
      </c>
      <c r="T1312" s="5">
        <f>(I1312/[1]Parameters!$B$25)*60</f>
        <v>0</v>
      </c>
      <c r="U1312" s="10">
        <f>IF(AND('[1]Pizza Sales Calculations'!G1312=TRUE,'[1]Pizza Sales Calculations'!S1312="TRUE"),T1312*[1]Parameters!$B$40*2,0)</f>
        <v>0</v>
      </c>
      <c r="V1312">
        <f>INDEX([1]Parameters!$A$3:$C$5,MATCH('[1]Pizza Sales Calculations'!D1312,[1]Parameters!$A$3:$A$5,0),2)</f>
        <v>7</v>
      </c>
      <c r="W1312">
        <f>INDEX([1]Parameters!$A$3:$C$5,MATCH('[1]Pizza Sales Calculations'!E1312,[1]Parameters!$A$3:$A$5,0),2)</f>
        <v>10</v>
      </c>
      <c r="X1312" t="e">
        <f>INDEX([1]Parameters!$A$3:$C$5,MATCH('[1]Pizza Sales Calculations'!F1312,[1]Parameters!$A$3:$A$5,0),2)</f>
        <v>#N/A</v>
      </c>
    </row>
    <row r="1313" spans="1:24" x14ac:dyDescent="0.3">
      <c r="A1313">
        <v>1312</v>
      </c>
      <c r="B1313" s="14">
        <v>42383.439421296294</v>
      </c>
      <c r="C1313" s="14">
        <v>42383.449826388889</v>
      </c>
      <c r="D1313" t="s">
        <v>3</v>
      </c>
      <c r="G1313" t="b">
        <v>0</v>
      </c>
      <c r="H1313">
        <v>70806</v>
      </c>
      <c r="I1313" s="5">
        <v>0</v>
      </c>
      <c r="J1313" s="14">
        <v>42383.451874999999</v>
      </c>
      <c r="K1313">
        <v>7.99</v>
      </c>
      <c r="L1313" s="5">
        <f>('[1]Pizza Sales Calculations'!$J1313-'[1]Pizza Sales Calculations'!$C1313)*24*60</f>
        <v>2.9499999980907887</v>
      </c>
      <c r="M1313">
        <f>COUNTA('[1]Pizza Sales Calculations'!$D1313:$F1313)</f>
        <v>1</v>
      </c>
      <c r="N1313">
        <f>IFERROR(VLOOKUP(D1313,[1]Parameters!$A$3:$C$5,3,FALSE),0)</f>
        <v>1</v>
      </c>
      <c r="O1313">
        <f>IFERROR(VLOOKUP(E1313,[1]Parameters!$A$3:$C$5,3,FALSE),0)</f>
        <v>0</v>
      </c>
      <c r="P1313">
        <f>IFERROR(VLOOKUP(F1313,[1]Parameters!$A$3:$C$5,3,FALSE),0)</f>
        <v>0</v>
      </c>
      <c r="Q1313">
        <f t="shared" si="20"/>
        <v>1</v>
      </c>
      <c r="R1313" s="10">
        <f>IF('[1]Pizza Sales Calculations'!$G1313=TRUE, [1]Parameters!$B$17*'[1]Pizza Sales Calculations'!$L1313*2, 0)</f>
        <v>0</v>
      </c>
      <c r="S1313" t="str">
        <f>IF(I1313&lt;[1]Parameters!$B$21,"TRUE","FALSE")</f>
        <v>TRUE</v>
      </c>
      <c r="T1313" s="5">
        <f>(I1313/[1]Parameters!$B$25)*60</f>
        <v>0</v>
      </c>
      <c r="U1313" s="10">
        <f>IF(AND('[1]Pizza Sales Calculations'!G1313=TRUE,'[1]Pizza Sales Calculations'!S1313="TRUE"),T1313*[1]Parameters!$B$40*2,0)</f>
        <v>0</v>
      </c>
      <c r="V1313">
        <f>INDEX([1]Parameters!$A$3:$C$5,MATCH('[1]Pizza Sales Calculations'!D1313,[1]Parameters!$A$3:$A$5,0),2)</f>
        <v>7</v>
      </c>
      <c r="W1313" t="e">
        <f>INDEX([1]Parameters!$A$3:$C$5,MATCH('[1]Pizza Sales Calculations'!E1313,[1]Parameters!$A$3:$A$5,0),2)</f>
        <v>#N/A</v>
      </c>
      <c r="X1313" t="e">
        <f>INDEX([1]Parameters!$A$3:$C$5,MATCH('[1]Pizza Sales Calculations'!F1313,[1]Parameters!$A$3:$A$5,0),2)</f>
        <v>#N/A</v>
      </c>
    </row>
    <row r="1314" spans="1:24" x14ac:dyDescent="0.3">
      <c r="A1314">
        <v>1313</v>
      </c>
      <c r="B1314" s="14">
        <v>42383.52616898148</v>
      </c>
      <c r="C1314" s="14">
        <v>42383.536585648151</v>
      </c>
      <c r="D1314" t="s">
        <v>4</v>
      </c>
      <c r="G1314" t="b">
        <v>1</v>
      </c>
      <c r="H1314">
        <v>70804</v>
      </c>
      <c r="I1314" s="5">
        <v>1.3010294330497001</v>
      </c>
      <c r="J1314" s="14">
        <v>42383.54109953704</v>
      </c>
      <c r="K1314">
        <v>11.59</v>
      </c>
      <c r="L1314" s="5">
        <f>('[1]Pizza Sales Calculations'!$J1314-'[1]Pizza Sales Calculations'!$C1314)*24*60</f>
        <v>6.5000000002328306</v>
      </c>
      <c r="M1314">
        <f>COUNTA('[1]Pizza Sales Calculations'!$D1314:$F1314)</f>
        <v>1</v>
      </c>
      <c r="N1314">
        <f>IFERROR(VLOOKUP(D1314,[1]Parameters!$A$3:$C$5,3,FALSE),0)</f>
        <v>1.7</v>
      </c>
      <c r="O1314">
        <f>IFERROR(VLOOKUP(E1314,[1]Parameters!$A$3:$C$5,3,FALSE),0)</f>
        <v>0</v>
      </c>
      <c r="P1314">
        <f>IFERROR(VLOOKUP(F1314,[1]Parameters!$A$3:$C$5,3,FALSE),0)</f>
        <v>0</v>
      </c>
      <c r="Q1314">
        <f t="shared" si="20"/>
        <v>1.7</v>
      </c>
      <c r="R1314" s="10">
        <f>IF('[1]Pizza Sales Calculations'!$G1314=TRUE, [1]Parameters!$B$17*'[1]Pizza Sales Calculations'!$L1314*2, 0)</f>
        <v>1.8416666667326353</v>
      </c>
      <c r="S1314" t="str">
        <f>IF(I1314&lt;[1]Parameters!$B$21,"TRUE","FALSE")</f>
        <v>TRUE</v>
      </c>
      <c r="T1314" s="5">
        <f>(I1314/[1]Parameters!$B$25)*60</f>
        <v>2.6020588660994002</v>
      </c>
      <c r="U1314" s="10">
        <f>IF(AND('[1]Pizza Sales Calculations'!G1314=TRUE,'[1]Pizza Sales Calculations'!S1314="TRUE"),T1314*[1]Parameters!$B$40*2,0)</f>
        <v>0.16242735291250113</v>
      </c>
      <c r="V1314">
        <f>INDEX([1]Parameters!$A$3:$C$5,MATCH('[1]Pizza Sales Calculations'!D1314,[1]Parameters!$A$3:$A$5,0),2)</f>
        <v>10</v>
      </c>
      <c r="W1314" t="e">
        <f>INDEX([1]Parameters!$A$3:$C$5,MATCH('[1]Pizza Sales Calculations'!E1314,[1]Parameters!$A$3:$A$5,0),2)</f>
        <v>#N/A</v>
      </c>
      <c r="X1314" t="e">
        <f>INDEX([1]Parameters!$A$3:$C$5,MATCH('[1]Pizza Sales Calculations'!F1314,[1]Parameters!$A$3:$A$5,0),2)</f>
        <v>#N/A</v>
      </c>
    </row>
    <row r="1315" spans="1:24" x14ac:dyDescent="0.3">
      <c r="A1315">
        <v>1314</v>
      </c>
      <c r="B1315" s="14">
        <v>42383.482928240737</v>
      </c>
      <c r="C1315" s="14">
        <v>42383.493298611109</v>
      </c>
      <c r="D1315" t="s">
        <v>4</v>
      </c>
      <c r="G1315" t="b">
        <v>0</v>
      </c>
      <c r="H1315">
        <v>70804</v>
      </c>
      <c r="I1315" s="5">
        <v>0</v>
      </c>
      <c r="J1315" s="14">
        <v>42383.495358796295</v>
      </c>
      <c r="K1315">
        <v>11.59</v>
      </c>
      <c r="L1315" s="5">
        <f>('[1]Pizza Sales Calculations'!$J1315-'[1]Pizza Sales Calculations'!$C1315)*24*60</f>
        <v>2.9666666686534882</v>
      </c>
      <c r="M1315">
        <f>COUNTA('[1]Pizza Sales Calculations'!$D1315:$F1315)</f>
        <v>1</v>
      </c>
      <c r="N1315">
        <f>IFERROR(VLOOKUP(D1315,[1]Parameters!$A$3:$C$5,3,FALSE),0)</f>
        <v>1.7</v>
      </c>
      <c r="O1315">
        <f>IFERROR(VLOOKUP(E1315,[1]Parameters!$A$3:$C$5,3,FALSE),0)</f>
        <v>0</v>
      </c>
      <c r="P1315">
        <f>IFERROR(VLOOKUP(F1315,[1]Parameters!$A$3:$C$5,3,FALSE),0)</f>
        <v>0</v>
      </c>
      <c r="Q1315">
        <f t="shared" si="20"/>
        <v>1.7</v>
      </c>
      <c r="R1315" s="10">
        <f>IF('[1]Pizza Sales Calculations'!$G1315=TRUE, [1]Parameters!$B$17*'[1]Pizza Sales Calculations'!$L1315*2, 0)</f>
        <v>0</v>
      </c>
      <c r="S1315" t="str">
        <f>IF(I1315&lt;[1]Parameters!$B$21,"TRUE","FALSE")</f>
        <v>TRUE</v>
      </c>
      <c r="T1315" s="5">
        <f>(I1315/[1]Parameters!$B$25)*60</f>
        <v>0</v>
      </c>
      <c r="U1315" s="10">
        <f>IF(AND('[1]Pizza Sales Calculations'!G1315=TRUE,'[1]Pizza Sales Calculations'!S1315="TRUE"),T1315*[1]Parameters!$B$40*2,0)</f>
        <v>0</v>
      </c>
      <c r="V1315">
        <f>INDEX([1]Parameters!$A$3:$C$5,MATCH('[1]Pizza Sales Calculations'!D1315,[1]Parameters!$A$3:$A$5,0),2)</f>
        <v>10</v>
      </c>
      <c r="W1315" t="e">
        <f>INDEX([1]Parameters!$A$3:$C$5,MATCH('[1]Pizza Sales Calculations'!E1315,[1]Parameters!$A$3:$A$5,0),2)</f>
        <v>#N/A</v>
      </c>
      <c r="X1315" t="e">
        <f>INDEX([1]Parameters!$A$3:$C$5,MATCH('[1]Pizza Sales Calculations'!F1315,[1]Parameters!$A$3:$A$5,0),2)</f>
        <v>#N/A</v>
      </c>
    </row>
    <row r="1316" spans="1:24" x14ac:dyDescent="0.3">
      <c r="A1316">
        <v>1315</v>
      </c>
      <c r="B1316" s="14">
        <v>42383.484699074077</v>
      </c>
      <c r="C1316" s="14">
        <v>42383.495092592595</v>
      </c>
      <c r="D1316" t="s">
        <v>3</v>
      </c>
      <c r="E1316" t="s">
        <v>5</v>
      </c>
      <c r="G1316" t="b">
        <v>1</v>
      </c>
      <c r="H1316">
        <v>70805</v>
      </c>
      <c r="I1316" s="5">
        <v>1.5968130731743599</v>
      </c>
      <c r="J1316" s="14">
        <v>42383.500636574077</v>
      </c>
      <c r="K1316">
        <v>23.34</v>
      </c>
      <c r="L1316" s="5">
        <f>('[1]Pizza Sales Calculations'!$J1316-'[1]Pizza Sales Calculations'!$C1316)*24*60</f>
        <v>7.9833333345595747</v>
      </c>
      <c r="M1316">
        <f>COUNTA('[1]Pizza Sales Calculations'!$D1316:$F1316)</f>
        <v>2</v>
      </c>
      <c r="N1316">
        <f>IFERROR(VLOOKUP(D1316,[1]Parameters!$A$3:$C$5,3,FALSE),0)</f>
        <v>1</v>
      </c>
      <c r="O1316">
        <f>IFERROR(VLOOKUP(E1316,[1]Parameters!$A$3:$C$5,3,FALSE),0)</f>
        <v>2.2999999999999998</v>
      </c>
      <c r="P1316">
        <f>IFERROR(VLOOKUP(F1316,[1]Parameters!$A$3:$C$5,3,FALSE),0)</f>
        <v>0</v>
      </c>
      <c r="Q1316">
        <f t="shared" si="20"/>
        <v>3.3</v>
      </c>
      <c r="R1316" s="10">
        <f>IF('[1]Pizza Sales Calculations'!$G1316=TRUE, [1]Parameters!$B$17*'[1]Pizza Sales Calculations'!$L1316*2, 0)</f>
        <v>2.2619444447918795</v>
      </c>
      <c r="S1316" t="str">
        <f>IF(I1316&lt;[1]Parameters!$B$21,"TRUE","FALSE")</f>
        <v>TRUE</v>
      </c>
      <c r="T1316" s="5">
        <f>(I1316/[1]Parameters!$B$25)*60</f>
        <v>3.1936261463487199</v>
      </c>
      <c r="U1316" s="10">
        <f>IF(AND('[1]Pizza Sales Calculations'!G1316=TRUE,'[1]Pizza Sales Calculations'!S1316="TRUE"),T1316*[1]Parameters!$B$40*2,0)</f>
        <v>0.19935453724810492</v>
      </c>
      <c r="V1316">
        <f>INDEX([1]Parameters!$A$3:$C$5,MATCH('[1]Pizza Sales Calculations'!D1316,[1]Parameters!$A$3:$A$5,0),2)</f>
        <v>7</v>
      </c>
      <c r="W1316">
        <f>INDEX([1]Parameters!$A$3:$C$5,MATCH('[1]Pizza Sales Calculations'!E1316,[1]Parameters!$A$3:$A$5,0),2)</f>
        <v>14</v>
      </c>
      <c r="X1316" t="e">
        <f>INDEX([1]Parameters!$A$3:$C$5,MATCH('[1]Pizza Sales Calculations'!F1316,[1]Parameters!$A$3:$A$5,0),2)</f>
        <v>#N/A</v>
      </c>
    </row>
    <row r="1317" spans="1:24" x14ac:dyDescent="0.3">
      <c r="A1317">
        <v>1316</v>
      </c>
      <c r="B1317" s="14">
        <v>42383.593611111108</v>
      </c>
      <c r="C1317" s="14">
        <v>42383.604027777779</v>
      </c>
      <c r="D1317" t="s">
        <v>3</v>
      </c>
      <c r="E1317" t="s">
        <v>4</v>
      </c>
      <c r="G1317" t="b">
        <v>0</v>
      </c>
      <c r="H1317">
        <v>70803</v>
      </c>
      <c r="I1317" s="5">
        <v>0</v>
      </c>
      <c r="J1317" s="14">
        <v>42383.606087962966</v>
      </c>
      <c r="K1317">
        <v>19.579999999999998</v>
      </c>
      <c r="L1317" s="5">
        <f>('[1]Pizza Sales Calculations'!$J1317-'[1]Pizza Sales Calculations'!$C1317)*24*60</f>
        <v>2.9666666686534882</v>
      </c>
      <c r="M1317">
        <f>COUNTA('[1]Pizza Sales Calculations'!$D1317:$F1317)</f>
        <v>2</v>
      </c>
      <c r="N1317">
        <f>IFERROR(VLOOKUP(D1317,[1]Parameters!$A$3:$C$5,3,FALSE),0)</f>
        <v>1</v>
      </c>
      <c r="O1317">
        <f>IFERROR(VLOOKUP(E1317,[1]Parameters!$A$3:$C$5,3,FALSE),0)</f>
        <v>1.7</v>
      </c>
      <c r="P1317">
        <f>IFERROR(VLOOKUP(F1317,[1]Parameters!$A$3:$C$5,3,FALSE),0)</f>
        <v>0</v>
      </c>
      <c r="Q1317">
        <f t="shared" si="20"/>
        <v>2.7</v>
      </c>
      <c r="R1317" s="10">
        <f>IF('[1]Pizza Sales Calculations'!$G1317=TRUE, [1]Parameters!$B$17*'[1]Pizza Sales Calculations'!$L1317*2, 0)</f>
        <v>0</v>
      </c>
      <c r="S1317" t="str">
        <f>IF(I1317&lt;[1]Parameters!$B$21,"TRUE","FALSE")</f>
        <v>TRUE</v>
      </c>
      <c r="T1317" s="5">
        <f>(I1317/[1]Parameters!$B$25)*60</f>
        <v>0</v>
      </c>
      <c r="U1317" s="10">
        <f>IF(AND('[1]Pizza Sales Calculations'!G1317=TRUE,'[1]Pizza Sales Calculations'!S1317="TRUE"),T1317*[1]Parameters!$B$40*2,0)</f>
        <v>0</v>
      </c>
      <c r="V1317">
        <f>INDEX([1]Parameters!$A$3:$C$5,MATCH('[1]Pizza Sales Calculations'!D1317,[1]Parameters!$A$3:$A$5,0),2)</f>
        <v>7</v>
      </c>
      <c r="W1317">
        <f>INDEX([1]Parameters!$A$3:$C$5,MATCH('[1]Pizza Sales Calculations'!E1317,[1]Parameters!$A$3:$A$5,0),2)</f>
        <v>10</v>
      </c>
      <c r="X1317" t="e">
        <f>INDEX([1]Parameters!$A$3:$C$5,MATCH('[1]Pizza Sales Calculations'!F1317,[1]Parameters!$A$3:$A$5,0),2)</f>
        <v>#N/A</v>
      </c>
    </row>
    <row r="1318" spans="1:24" x14ac:dyDescent="0.3">
      <c r="A1318">
        <v>1317</v>
      </c>
      <c r="B1318" s="14">
        <v>42383.524525462963</v>
      </c>
      <c r="C1318" s="14">
        <v>42383.534942129627</v>
      </c>
      <c r="D1318" t="s">
        <v>3</v>
      </c>
      <c r="E1318" t="s">
        <v>4</v>
      </c>
      <c r="G1318" t="b">
        <v>1</v>
      </c>
      <c r="H1318">
        <v>70804</v>
      </c>
      <c r="I1318" s="5">
        <v>4.5353682523531198</v>
      </c>
      <c r="J1318" s="14">
        <v>42383.550682870373</v>
      </c>
      <c r="K1318">
        <v>19.579999999999998</v>
      </c>
      <c r="L1318" s="5">
        <f>('[1]Pizza Sales Calculations'!$J1318-'[1]Pizza Sales Calculations'!$C1318)*24*60</f>
        <v>22.666666674194857</v>
      </c>
      <c r="M1318">
        <f>COUNTA('[1]Pizza Sales Calculations'!$D1318:$F1318)</f>
        <v>2</v>
      </c>
      <c r="N1318">
        <f>IFERROR(VLOOKUP(D1318,[1]Parameters!$A$3:$C$5,3,FALSE),0)</f>
        <v>1</v>
      </c>
      <c r="O1318">
        <f>IFERROR(VLOOKUP(E1318,[1]Parameters!$A$3:$C$5,3,FALSE),0)</f>
        <v>1.7</v>
      </c>
      <c r="P1318">
        <f>IFERROR(VLOOKUP(F1318,[1]Parameters!$A$3:$C$5,3,FALSE),0)</f>
        <v>0</v>
      </c>
      <c r="Q1318">
        <f t="shared" si="20"/>
        <v>2.7</v>
      </c>
      <c r="R1318" s="10">
        <f>IF('[1]Pizza Sales Calculations'!$G1318=TRUE, [1]Parameters!$B$17*'[1]Pizza Sales Calculations'!$L1318*2, 0)</f>
        <v>6.4222222243552096</v>
      </c>
      <c r="S1318" t="str">
        <f>IF(I1318&lt;[1]Parameters!$B$21,"TRUE","FALSE")</f>
        <v>FALSE</v>
      </c>
      <c r="T1318" s="5">
        <f>(I1318/[1]Parameters!$B$25)*60</f>
        <v>9.0707365047062396</v>
      </c>
      <c r="U1318" s="10">
        <f>IF(AND('[1]Pizza Sales Calculations'!G1318=TRUE,'[1]Pizza Sales Calculations'!S1318="TRUE"),T1318*[1]Parameters!$B$40*2,0)</f>
        <v>0</v>
      </c>
      <c r="V1318">
        <f>INDEX([1]Parameters!$A$3:$C$5,MATCH('[1]Pizza Sales Calculations'!D1318,[1]Parameters!$A$3:$A$5,0),2)</f>
        <v>7</v>
      </c>
      <c r="W1318">
        <f>INDEX([1]Parameters!$A$3:$C$5,MATCH('[1]Pizza Sales Calculations'!E1318,[1]Parameters!$A$3:$A$5,0),2)</f>
        <v>10</v>
      </c>
      <c r="X1318" t="e">
        <f>INDEX([1]Parameters!$A$3:$C$5,MATCH('[1]Pizza Sales Calculations'!F1318,[1]Parameters!$A$3:$A$5,0),2)</f>
        <v>#N/A</v>
      </c>
    </row>
    <row r="1319" spans="1:24" x14ac:dyDescent="0.3">
      <c r="A1319">
        <v>1318</v>
      </c>
      <c r="B1319" s="14">
        <v>42383.530833333331</v>
      </c>
      <c r="C1319" s="14">
        <v>42383.541215277779</v>
      </c>
      <c r="D1319" t="s">
        <v>5</v>
      </c>
      <c r="G1319" t="b">
        <v>0</v>
      </c>
      <c r="H1319">
        <v>70806</v>
      </c>
      <c r="I1319" s="5">
        <v>0</v>
      </c>
      <c r="J1319" s="14">
        <v>42383.543275462966</v>
      </c>
      <c r="K1319">
        <v>15.35</v>
      </c>
      <c r="L1319" s="5">
        <f>('[1]Pizza Sales Calculations'!$J1319-'[1]Pizza Sales Calculations'!$C1319)*24*60</f>
        <v>2.9666666686534882</v>
      </c>
      <c r="M1319">
        <f>COUNTA('[1]Pizza Sales Calculations'!$D1319:$F1319)</f>
        <v>1</v>
      </c>
      <c r="N1319">
        <f>IFERROR(VLOOKUP(D1319,[1]Parameters!$A$3:$C$5,3,FALSE),0)</f>
        <v>2.2999999999999998</v>
      </c>
      <c r="O1319">
        <f>IFERROR(VLOOKUP(E1319,[1]Parameters!$A$3:$C$5,3,FALSE),0)</f>
        <v>0</v>
      </c>
      <c r="P1319">
        <f>IFERROR(VLOOKUP(F1319,[1]Parameters!$A$3:$C$5,3,FALSE),0)</f>
        <v>0</v>
      </c>
      <c r="Q1319">
        <f t="shared" si="20"/>
        <v>2.2999999999999998</v>
      </c>
      <c r="R1319" s="10">
        <f>IF('[1]Pizza Sales Calculations'!$G1319=TRUE, [1]Parameters!$B$17*'[1]Pizza Sales Calculations'!$L1319*2, 0)</f>
        <v>0</v>
      </c>
      <c r="S1319" t="str">
        <f>IF(I1319&lt;[1]Parameters!$B$21,"TRUE","FALSE")</f>
        <v>TRUE</v>
      </c>
      <c r="T1319" s="5">
        <f>(I1319/[1]Parameters!$B$25)*60</f>
        <v>0</v>
      </c>
      <c r="U1319" s="10">
        <f>IF(AND('[1]Pizza Sales Calculations'!G1319=TRUE,'[1]Pizza Sales Calculations'!S1319="TRUE"),T1319*[1]Parameters!$B$40*2,0)</f>
        <v>0</v>
      </c>
      <c r="V1319">
        <f>INDEX([1]Parameters!$A$3:$C$5,MATCH('[1]Pizza Sales Calculations'!D1319,[1]Parameters!$A$3:$A$5,0),2)</f>
        <v>14</v>
      </c>
      <c r="W1319" t="e">
        <f>INDEX([1]Parameters!$A$3:$C$5,MATCH('[1]Pizza Sales Calculations'!E1319,[1]Parameters!$A$3:$A$5,0),2)</f>
        <v>#N/A</v>
      </c>
      <c r="X1319" t="e">
        <f>INDEX([1]Parameters!$A$3:$C$5,MATCH('[1]Pizza Sales Calculations'!F1319,[1]Parameters!$A$3:$A$5,0),2)</f>
        <v>#N/A</v>
      </c>
    </row>
    <row r="1320" spans="1:24" x14ac:dyDescent="0.3">
      <c r="A1320">
        <v>1319</v>
      </c>
      <c r="B1320" s="14">
        <v>42383.52239583333</v>
      </c>
      <c r="C1320" s="14">
        <v>42383.532800925925</v>
      </c>
      <c r="D1320" t="s">
        <v>4</v>
      </c>
      <c r="G1320" t="b">
        <v>0</v>
      </c>
      <c r="H1320">
        <v>70805</v>
      </c>
      <c r="I1320" s="5">
        <v>0</v>
      </c>
      <c r="J1320" s="14">
        <v>42383.534895833334</v>
      </c>
      <c r="K1320">
        <v>11.59</v>
      </c>
      <c r="L1320" s="5">
        <f>('[1]Pizza Sales Calculations'!$J1320-'[1]Pizza Sales Calculations'!$C1320)*24*60</f>
        <v>3.0166666698642075</v>
      </c>
      <c r="M1320">
        <f>COUNTA('[1]Pizza Sales Calculations'!$D1320:$F1320)</f>
        <v>1</v>
      </c>
      <c r="N1320">
        <f>IFERROR(VLOOKUP(D1320,[1]Parameters!$A$3:$C$5,3,FALSE),0)</f>
        <v>1.7</v>
      </c>
      <c r="O1320">
        <f>IFERROR(VLOOKUP(E1320,[1]Parameters!$A$3:$C$5,3,FALSE),0)</f>
        <v>0</v>
      </c>
      <c r="P1320">
        <f>IFERROR(VLOOKUP(F1320,[1]Parameters!$A$3:$C$5,3,FALSE),0)</f>
        <v>0</v>
      </c>
      <c r="Q1320">
        <f t="shared" si="20"/>
        <v>1.7</v>
      </c>
      <c r="R1320" s="10">
        <f>IF('[1]Pizza Sales Calculations'!$G1320=TRUE, [1]Parameters!$B$17*'[1]Pizza Sales Calculations'!$L1320*2, 0)</f>
        <v>0</v>
      </c>
      <c r="S1320" t="str">
        <f>IF(I1320&lt;[1]Parameters!$B$21,"TRUE","FALSE")</f>
        <v>TRUE</v>
      </c>
      <c r="T1320" s="5">
        <f>(I1320/[1]Parameters!$B$25)*60</f>
        <v>0</v>
      </c>
      <c r="U1320" s="10">
        <f>IF(AND('[1]Pizza Sales Calculations'!G1320=TRUE,'[1]Pizza Sales Calculations'!S1320="TRUE"),T1320*[1]Parameters!$B$40*2,0)</f>
        <v>0</v>
      </c>
      <c r="V1320">
        <f>INDEX([1]Parameters!$A$3:$C$5,MATCH('[1]Pizza Sales Calculations'!D1320,[1]Parameters!$A$3:$A$5,0),2)</f>
        <v>10</v>
      </c>
      <c r="W1320" t="e">
        <f>INDEX([1]Parameters!$A$3:$C$5,MATCH('[1]Pizza Sales Calculations'!E1320,[1]Parameters!$A$3:$A$5,0),2)</f>
        <v>#N/A</v>
      </c>
      <c r="X1320" t="e">
        <f>INDEX([1]Parameters!$A$3:$C$5,MATCH('[1]Pizza Sales Calculations'!F1320,[1]Parameters!$A$3:$A$5,0),2)</f>
        <v>#N/A</v>
      </c>
    </row>
    <row r="1321" spans="1:24" x14ac:dyDescent="0.3">
      <c r="A1321">
        <v>1320</v>
      </c>
      <c r="B1321" s="14">
        <v>42383.523194444446</v>
      </c>
      <c r="C1321" s="14">
        <v>42383.53361111111</v>
      </c>
      <c r="D1321" t="s">
        <v>4</v>
      </c>
      <c r="G1321" t="b">
        <v>1</v>
      </c>
      <c r="H1321">
        <v>70803</v>
      </c>
      <c r="I1321" s="5">
        <v>3.9317365020177499</v>
      </c>
      <c r="J1321" s="14">
        <v>42383.547256944446</v>
      </c>
      <c r="K1321">
        <v>11.59</v>
      </c>
      <c r="L1321" s="5">
        <f>('[1]Pizza Sales Calculations'!$J1321-'[1]Pizza Sales Calculations'!$C1321)*24*60</f>
        <v>19.65000000433065</v>
      </c>
      <c r="M1321">
        <f>COUNTA('[1]Pizza Sales Calculations'!$D1321:$F1321)</f>
        <v>1</v>
      </c>
      <c r="N1321">
        <f>IFERROR(VLOOKUP(D1321,[1]Parameters!$A$3:$C$5,3,FALSE),0)</f>
        <v>1.7</v>
      </c>
      <c r="O1321">
        <f>IFERROR(VLOOKUP(E1321,[1]Parameters!$A$3:$C$5,3,FALSE),0)</f>
        <v>0</v>
      </c>
      <c r="P1321">
        <f>IFERROR(VLOOKUP(F1321,[1]Parameters!$A$3:$C$5,3,FALSE),0)</f>
        <v>0</v>
      </c>
      <c r="Q1321">
        <f t="shared" si="20"/>
        <v>1.7</v>
      </c>
      <c r="R1321" s="10">
        <f>IF('[1]Pizza Sales Calculations'!$G1321=TRUE, [1]Parameters!$B$17*'[1]Pizza Sales Calculations'!$L1321*2, 0)</f>
        <v>5.5675000012270175</v>
      </c>
      <c r="S1321" t="str">
        <f>IF(I1321&lt;[1]Parameters!$B$21,"TRUE","FALSE")</f>
        <v>FALSE</v>
      </c>
      <c r="T1321" s="5">
        <f>(I1321/[1]Parameters!$B$25)*60</f>
        <v>7.8634730040354999</v>
      </c>
      <c r="U1321" s="10">
        <f>IF(AND('[1]Pizza Sales Calculations'!G1321=TRUE,'[1]Pizza Sales Calculations'!S1321="TRUE"),T1321*[1]Parameters!$B$40*2,0)</f>
        <v>0</v>
      </c>
      <c r="V1321">
        <f>INDEX([1]Parameters!$A$3:$C$5,MATCH('[1]Pizza Sales Calculations'!D1321,[1]Parameters!$A$3:$A$5,0),2)</f>
        <v>10</v>
      </c>
      <c r="W1321" t="e">
        <f>INDEX([1]Parameters!$A$3:$C$5,MATCH('[1]Pizza Sales Calculations'!E1321,[1]Parameters!$A$3:$A$5,0),2)</f>
        <v>#N/A</v>
      </c>
      <c r="X1321" t="e">
        <f>INDEX([1]Parameters!$A$3:$C$5,MATCH('[1]Pizza Sales Calculations'!F1321,[1]Parameters!$A$3:$A$5,0),2)</f>
        <v>#N/A</v>
      </c>
    </row>
    <row r="1322" spans="1:24" x14ac:dyDescent="0.3">
      <c r="A1322">
        <v>1321</v>
      </c>
      <c r="B1322" s="14">
        <v>42383.440324074072</v>
      </c>
      <c r="C1322" s="14">
        <v>42383.450752314813</v>
      </c>
      <c r="D1322" t="s">
        <v>3</v>
      </c>
      <c r="G1322" t="b">
        <v>0</v>
      </c>
      <c r="H1322">
        <v>70805</v>
      </c>
      <c r="I1322" s="5">
        <v>0</v>
      </c>
      <c r="J1322" s="14">
        <v>42383.4528125</v>
      </c>
      <c r="K1322">
        <v>7.99</v>
      </c>
      <c r="L1322" s="5">
        <f>('[1]Pizza Sales Calculations'!$J1322-'[1]Pizza Sales Calculations'!$C1322)*24*60</f>
        <v>2.9666666686534882</v>
      </c>
      <c r="M1322">
        <f>COUNTA('[1]Pizza Sales Calculations'!$D1322:$F1322)</f>
        <v>1</v>
      </c>
      <c r="N1322">
        <f>IFERROR(VLOOKUP(D1322,[1]Parameters!$A$3:$C$5,3,FALSE),0)</f>
        <v>1</v>
      </c>
      <c r="O1322">
        <f>IFERROR(VLOOKUP(E1322,[1]Parameters!$A$3:$C$5,3,FALSE),0)</f>
        <v>0</v>
      </c>
      <c r="P1322">
        <f>IFERROR(VLOOKUP(F1322,[1]Parameters!$A$3:$C$5,3,FALSE),0)</f>
        <v>0</v>
      </c>
      <c r="Q1322">
        <f t="shared" si="20"/>
        <v>1</v>
      </c>
      <c r="R1322" s="10">
        <f>IF('[1]Pizza Sales Calculations'!$G1322=TRUE, [1]Parameters!$B$17*'[1]Pizza Sales Calculations'!$L1322*2, 0)</f>
        <v>0</v>
      </c>
      <c r="S1322" t="str">
        <f>IF(I1322&lt;[1]Parameters!$B$21,"TRUE","FALSE")</f>
        <v>TRUE</v>
      </c>
      <c r="T1322" s="5">
        <f>(I1322/[1]Parameters!$B$25)*60</f>
        <v>0</v>
      </c>
      <c r="U1322" s="10">
        <f>IF(AND('[1]Pizza Sales Calculations'!G1322=TRUE,'[1]Pizza Sales Calculations'!S1322="TRUE"),T1322*[1]Parameters!$B$40*2,0)</f>
        <v>0</v>
      </c>
      <c r="V1322">
        <f>INDEX([1]Parameters!$A$3:$C$5,MATCH('[1]Pizza Sales Calculations'!D1322,[1]Parameters!$A$3:$A$5,0),2)</f>
        <v>7</v>
      </c>
      <c r="W1322" t="e">
        <f>INDEX([1]Parameters!$A$3:$C$5,MATCH('[1]Pizza Sales Calculations'!E1322,[1]Parameters!$A$3:$A$5,0),2)</f>
        <v>#N/A</v>
      </c>
      <c r="X1322" t="e">
        <f>INDEX([1]Parameters!$A$3:$C$5,MATCH('[1]Pizza Sales Calculations'!F1322,[1]Parameters!$A$3:$A$5,0),2)</f>
        <v>#N/A</v>
      </c>
    </row>
    <row r="1323" spans="1:24" x14ac:dyDescent="0.3">
      <c r="A1323">
        <v>1322</v>
      </c>
      <c r="B1323" s="14">
        <v>42383.531863425924</v>
      </c>
      <c r="C1323" s="14">
        <v>42383.542268518519</v>
      </c>
      <c r="D1323" t="s">
        <v>4</v>
      </c>
      <c r="G1323" t="b">
        <v>0</v>
      </c>
      <c r="H1323">
        <v>70803</v>
      </c>
      <c r="I1323" s="5">
        <v>0</v>
      </c>
      <c r="J1323" s="14">
        <v>42383.544340277775</v>
      </c>
      <c r="K1323">
        <v>11.59</v>
      </c>
      <c r="L1323" s="5">
        <f>('[1]Pizza Sales Calculations'!$J1323-'[1]Pizza Sales Calculations'!$C1323)*24*60</f>
        <v>2.9833333287388086</v>
      </c>
      <c r="M1323">
        <f>COUNTA('[1]Pizza Sales Calculations'!$D1323:$F1323)</f>
        <v>1</v>
      </c>
      <c r="N1323">
        <f>IFERROR(VLOOKUP(D1323,[1]Parameters!$A$3:$C$5,3,FALSE),0)</f>
        <v>1.7</v>
      </c>
      <c r="O1323">
        <f>IFERROR(VLOOKUP(E1323,[1]Parameters!$A$3:$C$5,3,FALSE),0)</f>
        <v>0</v>
      </c>
      <c r="P1323">
        <f>IFERROR(VLOOKUP(F1323,[1]Parameters!$A$3:$C$5,3,FALSE),0)</f>
        <v>0</v>
      </c>
      <c r="Q1323">
        <f t="shared" si="20"/>
        <v>1.7</v>
      </c>
      <c r="R1323" s="10">
        <f>IF('[1]Pizza Sales Calculations'!$G1323=TRUE, [1]Parameters!$B$17*'[1]Pizza Sales Calculations'!$L1323*2, 0)</f>
        <v>0</v>
      </c>
      <c r="S1323" t="str">
        <f>IF(I1323&lt;[1]Parameters!$B$21,"TRUE","FALSE")</f>
        <v>TRUE</v>
      </c>
      <c r="T1323" s="5">
        <f>(I1323/[1]Parameters!$B$25)*60</f>
        <v>0</v>
      </c>
      <c r="U1323" s="10">
        <f>IF(AND('[1]Pizza Sales Calculations'!G1323=TRUE,'[1]Pizza Sales Calculations'!S1323="TRUE"),T1323*[1]Parameters!$B$40*2,0)</f>
        <v>0</v>
      </c>
      <c r="V1323">
        <f>INDEX([1]Parameters!$A$3:$C$5,MATCH('[1]Pizza Sales Calculations'!D1323,[1]Parameters!$A$3:$A$5,0),2)</f>
        <v>10</v>
      </c>
      <c r="W1323" t="e">
        <f>INDEX([1]Parameters!$A$3:$C$5,MATCH('[1]Pizza Sales Calculations'!E1323,[1]Parameters!$A$3:$A$5,0),2)</f>
        <v>#N/A</v>
      </c>
      <c r="X1323" t="e">
        <f>INDEX([1]Parameters!$A$3:$C$5,MATCH('[1]Pizza Sales Calculations'!F1323,[1]Parameters!$A$3:$A$5,0),2)</f>
        <v>#N/A</v>
      </c>
    </row>
    <row r="1324" spans="1:24" x14ac:dyDescent="0.3">
      <c r="A1324">
        <v>1323</v>
      </c>
      <c r="B1324" s="14">
        <v>42383.523240740738</v>
      </c>
      <c r="C1324" s="14">
        <v>42383.53365740741</v>
      </c>
      <c r="D1324" t="s">
        <v>4</v>
      </c>
      <c r="G1324" t="b">
        <v>1</v>
      </c>
      <c r="H1324">
        <v>70804</v>
      </c>
      <c r="I1324" s="5">
        <v>2.7985583041781501</v>
      </c>
      <c r="J1324" s="14">
        <v>42383.543368055558</v>
      </c>
      <c r="K1324">
        <v>11.59</v>
      </c>
      <c r="L1324" s="5">
        <f>('[1]Pizza Sales Calculations'!$J1324-'[1]Pizza Sales Calculations'!$C1324)*24*60</f>
        <v>13.983333333162591</v>
      </c>
      <c r="M1324">
        <f>COUNTA('[1]Pizza Sales Calculations'!$D1324:$F1324)</f>
        <v>1</v>
      </c>
      <c r="N1324">
        <f>IFERROR(VLOOKUP(D1324,[1]Parameters!$A$3:$C$5,3,FALSE),0)</f>
        <v>1.7</v>
      </c>
      <c r="O1324">
        <f>IFERROR(VLOOKUP(E1324,[1]Parameters!$A$3:$C$5,3,FALSE),0)</f>
        <v>0</v>
      </c>
      <c r="P1324">
        <f>IFERROR(VLOOKUP(F1324,[1]Parameters!$A$3:$C$5,3,FALSE),0)</f>
        <v>0</v>
      </c>
      <c r="Q1324">
        <f t="shared" si="20"/>
        <v>1.7</v>
      </c>
      <c r="R1324" s="10">
        <f>IF('[1]Pizza Sales Calculations'!$G1324=TRUE, [1]Parameters!$B$17*'[1]Pizza Sales Calculations'!$L1324*2, 0)</f>
        <v>3.9619444443960674</v>
      </c>
      <c r="S1324" t="str">
        <f>IF(I1324&lt;[1]Parameters!$B$21,"TRUE","FALSE")</f>
        <v>TRUE</v>
      </c>
      <c r="T1324" s="5">
        <f>(I1324/[1]Parameters!$B$25)*60</f>
        <v>5.5971166083563002</v>
      </c>
      <c r="U1324" s="10">
        <f>IF(AND('[1]Pizza Sales Calculations'!G1324=TRUE,'[1]Pizza Sales Calculations'!S1324="TRUE"),T1324*[1]Parameters!$B$40*2,0)</f>
        <v>0.34938672851807079</v>
      </c>
      <c r="V1324">
        <f>INDEX([1]Parameters!$A$3:$C$5,MATCH('[1]Pizza Sales Calculations'!D1324,[1]Parameters!$A$3:$A$5,0),2)</f>
        <v>10</v>
      </c>
      <c r="W1324" t="e">
        <f>INDEX([1]Parameters!$A$3:$C$5,MATCH('[1]Pizza Sales Calculations'!E1324,[1]Parameters!$A$3:$A$5,0),2)</f>
        <v>#N/A</v>
      </c>
      <c r="X1324" t="e">
        <f>INDEX([1]Parameters!$A$3:$C$5,MATCH('[1]Pizza Sales Calculations'!F1324,[1]Parameters!$A$3:$A$5,0),2)</f>
        <v>#N/A</v>
      </c>
    </row>
    <row r="1325" spans="1:24" x14ac:dyDescent="0.3">
      <c r="A1325">
        <v>1324</v>
      </c>
      <c r="B1325" s="14">
        <v>42383.552210648151</v>
      </c>
      <c r="C1325" s="14">
        <v>42383.562638888892</v>
      </c>
      <c r="D1325" t="s">
        <v>5</v>
      </c>
      <c r="G1325" t="b">
        <v>1</v>
      </c>
      <c r="H1325">
        <v>70804</v>
      </c>
      <c r="I1325" s="5">
        <v>1.9940357681080501</v>
      </c>
      <c r="J1325" s="14">
        <v>42383.569560185184</v>
      </c>
      <c r="K1325">
        <v>15.35</v>
      </c>
      <c r="L1325" s="5">
        <f>('[1]Pizza Sales Calculations'!$J1325-'[1]Pizza Sales Calculations'!$C1325)*24*60</f>
        <v>9.9666666600387543</v>
      </c>
      <c r="M1325">
        <f>COUNTA('[1]Pizza Sales Calculations'!$D1325:$F1325)</f>
        <v>1</v>
      </c>
      <c r="N1325">
        <f>IFERROR(VLOOKUP(D1325,[1]Parameters!$A$3:$C$5,3,FALSE),0)</f>
        <v>2.2999999999999998</v>
      </c>
      <c r="O1325">
        <f>IFERROR(VLOOKUP(E1325,[1]Parameters!$A$3:$C$5,3,FALSE),0)</f>
        <v>0</v>
      </c>
      <c r="P1325">
        <f>IFERROR(VLOOKUP(F1325,[1]Parameters!$A$3:$C$5,3,FALSE),0)</f>
        <v>0</v>
      </c>
      <c r="Q1325">
        <f t="shared" si="20"/>
        <v>2.2999999999999998</v>
      </c>
      <c r="R1325" s="10">
        <f>IF('[1]Pizza Sales Calculations'!$G1325=TRUE, [1]Parameters!$B$17*'[1]Pizza Sales Calculations'!$L1325*2, 0)</f>
        <v>2.8238888870109804</v>
      </c>
      <c r="S1325" t="str">
        <f>IF(I1325&lt;[1]Parameters!$B$21,"TRUE","FALSE")</f>
        <v>TRUE</v>
      </c>
      <c r="T1325" s="5">
        <f>(I1325/[1]Parameters!$B$25)*60</f>
        <v>3.9880715362161006</v>
      </c>
      <c r="U1325" s="10">
        <f>IF(AND('[1]Pizza Sales Calculations'!G1325=TRUE,'[1]Pizza Sales Calculations'!S1325="TRUE"),T1325*[1]Parameters!$B$40*2,0)</f>
        <v>0.24894590637156164</v>
      </c>
      <c r="V1325">
        <f>INDEX([1]Parameters!$A$3:$C$5,MATCH('[1]Pizza Sales Calculations'!D1325,[1]Parameters!$A$3:$A$5,0),2)</f>
        <v>14</v>
      </c>
      <c r="W1325" t="e">
        <f>INDEX([1]Parameters!$A$3:$C$5,MATCH('[1]Pizza Sales Calculations'!E1325,[1]Parameters!$A$3:$A$5,0),2)</f>
        <v>#N/A</v>
      </c>
      <c r="X1325" t="e">
        <f>INDEX([1]Parameters!$A$3:$C$5,MATCH('[1]Pizza Sales Calculations'!F1325,[1]Parameters!$A$3:$A$5,0),2)</f>
        <v>#N/A</v>
      </c>
    </row>
    <row r="1326" spans="1:24" x14ac:dyDescent="0.3">
      <c r="A1326">
        <v>1325</v>
      </c>
      <c r="B1326" s="14">
        <v>42383.447175925925</v>
      </c>
      <c r="C1326" s="14">
        <v>42383.457569444443</v>
      </c>
      <c r="D1326" t="s">
        <v>4</v>
      </c>
      <c r="G1326" t="b">
        <v>0</v>
      </c>
      <c r="H1326">
        <v>70804</v>
      </c>
      <c r="I1326" s="5">
        <v>0</v>
      </c>
      <c r="J1326" s="14">
        <v>42383.459641203706</v>
      </c>
      <c r="K1326">
        <v>11.59</v>
      </c>
      <c r="L1326" s="5">
        <f>('[1]Pizza Sales Calculations'!$J1326-'[1]Pizza Sales Calculations'!$C1326)*24*60</f>
        <v>2.9833333392161876</v>
      </c>
      <c r="M1326">
        <f>COUNTA('[1]Pizza Sales Calculations'!$D1326:$F1326)</f>
        <v>1</v>
      </c>
      <c r="N1326">
        <f>IFERROR(VLOOKUP(D1326,[1]Parameters!$A$3:$C$5,3,FALSE),0)</f>
        <v>1.7</v>
      </c>
      <c r="O1326">
        <f>IFERROR(VLOOKUP(E1326,[1]Parameters!$A$3:$C$5,3,FALSE),0)</f>
        <v>0</v>
      </c>
      <c r="P1326">
        <f>IFERROR(VLOOKUP(F1326,[1]Parameters!$A$3:$C$5,3,FALSE),0)</f>
        <v>0</v>
      </c>
      <c r="Q1326">
        <f t="shared" si="20"/>
        <v>1.7</v>
      </c>
      <c r="R1326" s="10">
        <f>IF('[1]Pizza Sales Calculations'!$G1326=TRUE, [1]Parameters!$B$17*'[1]Pizza Sales Calculations'!$L1326*2, 0)</f>
        <v>0</v>
      </c>
      <c r="S1326" t="str">
        <f>IF(I1326&lt;[1]Parameters!$B$21,"TRUE","FALSE")</f>
        <v>TRUE</v>
      </c>
      <c r="T1326" s="5">
        <f>(I1326/[1]Parameters!$B$25)*60</f>
        <v>0</v>
      </c>
      <c r="U1326" s="10">
        <f>IF(AND('[1]Pizza Sales Calculations'!G1326=TRUE,'[1]Pizza Sales Calculations'!S1326="TRUE"),T1326*[1]Parameters!$B$40*2,0)</f>
        <v>0</v>
      </c>
      <c r="V1326">
        <f>INDEX([1]Parameters!$A$3:$C$5,MATCH('[1]Pizza Sales Calculations'!D1326,[1]Parameters!$A$3:$A$5,0),2)</f>
        <v>10</v>
      </c>
      <c r="W1326" t="e">
        <f>INDEX([1]Parameters!$A$3:$C$5,MATCH('[1]Pizza Sales Calculations'!E1326,[1]Parameters!$A$3:$A$5,0),2)</f>
        <v>#N/A</v>
      </c>
      <c r="X1326" t="e">
        <f>INDEX([1]Parameters!$A$3:$C$5,MATCH('[1]Pizza Sales Calculations'!F1326,[1]Parameters!$A$3:$A$5,0),2)</f>
        <v>#N/A</v>
      </c>
    </row>
    <row r="1327" spans="1:24" x14ac:dyDescent="0.3">
      <c r="A1327">
        <v>1326</v>
      </c>
      <c r="B1327" s="14">
        <v>42383.530925925923</v>
      </c>
      <c r="C1327" s="14">
        <v>42383.541319444441</v>
      </c>
      <c r="D1327" t="s">
        <v>5</v>
      </c>
      <c r="G1327" t="b">
        <v>1</v>
      </c>
      <c r="H1327">
        <v>70806</v>
      </c>
      <c r="I1327" s="5">
        <v>2.5220867427542202</v>
      </c>
      <c r="J1327" s="14">
        <v>42383.550069444442</v>
      </c>
      <c r="K1327">
        <v>15.35</v>
      </c>
      <c r="L1327" s="5">
        <f>('[1]Pizza Sales Calculations'!$J1327-'[1]Pizza Sales Calculations'!$C1327)*24*60</f>
        <v>12.600000001257285</v>
      </c>
      <c r="M1327">
        <f>COUNTA('[1]Pizza Sales Calculations'!$D1327:$F1327)</f>
        <v>1</v>
      </c>
      <c r="N1327">
        <f>IFERROR(VLOOKUP(D1327,[1]Parameters!$A$3:$C$5,3,FALSE),0)</f>
        <v>2.2999999999999998</v>
      </c>
      <c r="O1327">
        <f>IFERROR(VLOOKUP(E1327,[1]Parameters!$A$3:$C$5,3,FALSE),0)</f>
        <v>0</v>
      </c>
      <c r="P1327">
        <f>IFERROR(VLOOKUP(F1327,[1]Parameters!$A$3:$C$5,3,FALSE),0)</f>
        <v>0</v>
      </c>
      <c r="Q1327">
        <f t="shared" si="20"/>
        <v>2.2999999999999998</v>
      </c>
      <c r="R1327" s="10">
        <f>IF('[1]Pizza Sales Calculations'!$G1327=TRUE, [1]Parameters!$B$17*'[1]Pizza Sales Calculations'!$L1327*2, 0)</f>
        <v>3.5700000003562309</v>
      </c>
      <c r="S1327" t="str">
        <f>IF(I1327&lt;[1]Parameters!$B$21,"TRUE","FALSE")</f>
        <v>TRUE</v>
      </c>
      <c r="T1327" s="5">
        <f>(I1327/[1]Parameters!$B$25)*60</f>
        <v>5.0441734855084404</v>
      </c>
      <c r="U1327" s="10">
        <f>IF(AND('[1]Pizza Sales Calculations'!G1327=TRUE,'[1]Pizza Sales Calculations'!S1327="TRUE"),T1327*[1]Parameters!$B$40*2,0)</f>
        <v>0.31487056559590615</v>
      </c>
      <c r="V1327">
        <f>INDEX([1]Parameters!$A$3:$C$5,MATCH('[1]Pizza Sales Calculations'!D1327,[1]Parameters!$A$3:$A$5,0),2)</f>
        <v>14</v>
      </c>
      <c r="W1327" t="e">
        <f>INDEX([1]Parameters!$A$3:$C$5,MATCH('[1]Pizza Sales Calculations'!E1327,[1]Parameters!$A$3:$A$5,0),2)</f>
        <v>#N/A</v>
      </c>
      <c r="X1327" t="e">
        <f>INDEX([1]Parameters!$A$3:$C$5,MATCH('[1]Pizza Sales Calculations'!F1327,[1]Parameters!$A$3:$A$5,0),2)</f>
        <v>#N/A</v>
      </c>
    </row>
    <row r="1328" spans="1:24" x14ac:dyDescent="0.3">
      <c r="A1328">
        <v>1327</v>
      </c>
      <c r="B1328" s="14">
        <v>42383.507592592592</v>
      </c>
      <c r="C1328" s="14">
        <v>42383.517997685187</v>
      </c>
      <c r="D1328" t="s">
        <v>5</v>
      </c>
      <c r="G1328" t="b">
        <v>1</v>
      </c>
      <c r="H1328">
        <v>70805</v>
      </c>
      <c r="I1328" s="5">
        <v>2.1815490432628999</v>
      </c>
      <c r="J1328" s="14">
        <v>42383.525567129633</v>
      </c>
      <c r="K1328">
        <v>15.35</v>
      </c>
      <c r="L1328" s="5">
        <f>('[1]Pizza Sales Calculations'!$J1328-'[1]Pizza Sales Calculations'!$C1328)*24*60</f>
        <v>10.900000002002344</v>
      </c>
      <c r="M1328">
        <f>COUNTA('[1]Pizza Sales Calculations'!$D1328:$F1328)</f>
        <v>1</v>
      </c>
      <c r="N1328">
        <f>IFERROR(VLOOKUP(D1328,[1]Parameters!$A$3:$C$5,3,FALSE),0)</f>
        <v>2.2999999999999998</v>
      </c>
      <c r="O1328">
        <f>IFERROR(VLOOKUP(E1328,[1]Parameters!$A$3:$C$5,3,FALSE),0)</f>
        <v>0</v>
      </c>
      <c r="P1328">
        <f>IFERROR(VLOOKUP(F1328,[1]Parameters!$A$3:$C$5,3,FALSE),0)</f>
        <v>0</v>
      </c>
      <c r="Q1328">
        <f t="shared" si="20"/>
        <v>2.2999999999999998</v>
      </c>
      <c r="R1328" s="10">
        <f>IF('[1]Pizza Sales Calculations'!$G1328=TRUE, [1]Parameters!$B$17*'[1]Pizza Sales Calculations'!$L1328*2, 0)</f>
        <v>3.088333333900664</v>
      </c>
      <c r="S1328" t="str">
        <f>IF(I1328&lt;[1]Parameters!$B$21,"TRUE","FALSE")</f>
        <v>TRUE</v>
      </c>
      <c r="T1328" s="5">
        <f>(I1328/[1]Parameters!$B$25)*60</f>
        <v>4.3630980865257998</v>
      </c>
      <c r="U1328" s="10">
        <f>IF(AND('[1]Pizza Sales Calculations'!G1328=TRUE,'[1]Pizza Sales Calculations'!S1328="TRUE"),T1328*[1]Parameters!$B$40*2,0)</f>
        <v>0.27235604925200502</v>
      </c>
      <c r="V1328">
        <f>INDEX([1]Parameters!$A$3:$C$5,MATCH('[1]Pizza Sales Calculations'!D1328,[1]Parameters!$A$3:$A$5,0),2)</f>
        <v>14</v>
      </c>
      <c r="W1328" t="e">
        <f>INDEX([1]Parameters!$A$3:$C$5,MATCH('[1]Pizza Sales Calculations'!E1328,[1]Parameters!$A$3:$A$5,0),2)</f>
        <v>#N/A</v>
      </c>
      <c r="X1328" t="e">
        <f>INDEX([1]Parameters!$A$3:$C$5,MATCH('[1]Pizza Sales Calculations'!F1328,[1]Parameters!$A$3:$A$5,0),2)</f>
        <v>#N/A</v>
      </c>
    </row>
    <row r="1329" spans="1:24" x14ac:dyDescent="0.3">
      <c r="A1329">
        <v>1328</v>
      </c>
      <c r="B1329" s="14">
        <v>42383.496064814812</v>
      </c>
      <c r="C1329" s="14">
        <v>42383.506469907406</v>
      </c>
      <c r="D1329" t="s">
        <v>5</v>
      </c>
      <c r="G1329" t="b">
        <v>1</v>
      </c>
      <c r="H1329">
        <v>70804</v>
      </c>
      <c r="I1329" s="5">
        <v>4.5486856024763904</v>
      </c>
      <c r="J1329" s="14">
        <v>42383.522256944445</v>
      </c>
      <c r="K1329">
        <v>15.35</v>
      </c>
      <c r="L1329" s="5">
        <f>('[1]Pizza Sales Calculations'!$J1329-'[1]Pizza Sales Calculations'!$C1329)*24*60</f>
        <v>22.733333335490897</v>
      </c>
      <c r="M1329">
        <f>COUNTA('[1]Pizza Sales Calculations'!$D1329:$F1329)</f>
        <v>1</v>
      </c>
      <c r="N1329">
        <f>IFERROR(VLOOKUP(D1329,[1]Parameters!$A$3:$C$5,3,FALSE),0)</f>
        <v>2.2999999999999998</v>
      </c>
      <c r="O1329">
        <f>IFERROR(VLOOKUP(E1329,[1]Parameters!$A$3:$C$5,3,FALSE),0)</f>
        <v>0</v>
      </c>
      <c r="P1329">
        <f>IFERROR(VLOOKUP(F1329,[1]Parameters!$A$3:$C$5,3,FALSE),0)</f>
        <v>0</v>
      </c>
      <c r="Q1329">
        <f t="shared" si="20"/>
        <v>2.2999999999999998</v>
      </c>
      <c r="R1329" s="10">
        <f>IF('[1]Pizza Sales Calculations'!$G1329=TRUE, [1]Parameters!$B$17*'[1]Pizza Sales Calculations'!$L1329*2, 0)</f>
        <v>6.4411111117224209</v>
      </c>
      <c r="S1329" t="str">
        <f>IF(I1329&lt;[1]Parameters!$B$21,"TRUE","FALSE")</f>
        <v>FALSE</v>
      </c>
      <c r="T1329" s="5">
        <f>(I1329/[1]Parameters!$B$25)*60</f>
        <v>9.0973712049527808</v>
      </c>
      <c r="U1329" s="10">
        <f>IF(AND('[1]Pizza Sales Calculations'!G1329=TRUE,'[1]Pizza Sales Calculations'!S1329="TRUE"),T1329*[1]Parameters!$B$40*2,0)</f>
        <v>0</v>
      </c>
      <c r="V1329">
        <f>INDEX([1]Parameters!$A$3:$C$5,MATCH('[1]Pizza Sales Calculations'!D1329,[1]Parameters!$A$3:$A$5,0),2)</f>
        <v>14</v>
      </c>
      <c r="W1329" t="e">
        <f>INDEX([1]Parameters!$A$3:$C$5,MATCH('[1]Pizza Sales Calculations'!E1329,[1]Parameters!$A$3:$A$5,0),2)</f>
        <v>#N/A</v>
      </c>
      <c r="X1329" t="e">
        <f>INDEX([1]Parameters!$A$3:$C$5,MATCH('[1]Pizza Sales Calculations'!F1329,[1]Parameters!$A$3:$A$5,0),2)</f>
        <v>#N/A</v>
      </c>
    </row>
    <row r="1330" spans="1:24" x14ac:dyDescent="0.3">
      <c r="A1330">
        <v>1329</v>
      </c>
      <c r="B1330" s="14">
        <v>42383.558865740742</v>
      </c>
      <c r="C1330" s="14">
        <v>42383.56925925926</v>
      </c>
      <c r="D1330" t="s">
        <v>4</v>
      </c>
      <c r="G1330" t="b">
        <v>1</v>
      </c>
      <c r="H1330">
        <v>70805</v>
      </c>
      <c r="I1330" s="5">
        <v>5.3964994073556696</v>
      </c>
      <c r="J1330" s="14">
        <v>42383.58798611111</v>
      </c>
      <c r="K1330">
        <v>11.59</v>
      </c>
      <c r="L1330" s="5">
        <f>('[1]Pizza Sales Calculations'!$J1330-'[1]Pizza Sales Calculations'!$C1330)*24*60</f>
        <v>26.966666663065553</v>
      </c>
      <c r="M1330">
        <f>COUNTA('[1]Pizza Sales Calculations'!$D1330:$F1330)</f>
        <v>1</v>
      </c>
      <c r="N1330">
        <f>IFERROR(VLOOKUP(D1330,[1]Parameters!$A$3:$C$5,3,FALSE),0)</f>
        <v>1.7</v>
      </c>
      <c r="O1330">
        <f>IFERROR(VLOOKUP(E1330,[1]Parameters!$A$3:$C$5,3,FALSE),0)</f>
        <v>0</v>
      </c>
      <c r="P1330">
        <f>IFERROR(VLOOKUP(F1330,[1]Parameters!$A$3:$C$5,3,FALSE),0)</f>
        <v>0</v>
      </c>
      <c r="Q1330">
        <f t="shared" si="20"/>
        <v>1.7</v>
      </c>
      <c r="R1330" s="10">
        <f>IF('[1]Pizza Sales Calculations'!$G1330=TRUE, [1]Parameters!$B$17*'[1]Pizza Sales Calculations'!$L1330*2, 0)</f>
        <v>7.6405555545352399</v>
      </c>
      <c r="S1330" t="str">
        <f>IF(I1330&lt;[1]Parameters!$B$21,"TRUE","FALSE")</f>
        <v>FALSE</v>
      </c>
      <c r="T1330" s="5">
        <f>(I1330/[1]Parameters!$B$25)*60</f>
        <v>10.792998814711339</v>
      </c>
      <c r="U1330" s="10">
        <f>IF(AND('[1]Pizza Sales Calculations'!G1330=TRUE,'[1]Pizza Sales Calculations'!S1330="TRUE"),T1330*[1]Parameters!$B$40*2,0)</f>
        <v>0</v>
      </c>
      <c r="V1330">
        <f>INDEX([1]Parameters!$A$3:$C$5,MATCH('[1]Pizza Sales Calculations'!D1330,[1]Parameters!$A$3:$A$5,0),2)</f>
        <v>10</v>
      </c>
      <c r="W1330" t="e">
        <f>INDEX([1]Parameters!$A$3:$C$5,MATCH('[1]Pizza Sales Calculations'!E1330,[1]Parameters!$A$3:$A$5,0),2)</f>
        <v>#N/A</v>
      </c>
      <c r="X1330" t="e">
        <f>INDEX([1]Parameters!$A$3:$C$5,MATCH('[1]Pizza Sales Calculations'!F1330,[1]Parameters!$A$3:$A$5,0),2)</f>
        <v>#N/A</v>
      </c>
    </row>
    <row r="1331" spans="1:24" x14ac:dyDescent="0.3">
      <c r="A1331">
        <v>1330</v>
      </c>
      <c r="B1331" s="14">
        <v>42383.45752314815</v>
      </c>
      <c r="C1331" s="14">
        <v>42383.467928240738</v>
      </c>
      <c r="D1331" t="s">
        <v>3</v>
      </c>
      <c r="E1331" t="s">
        <v>5</v>
      </c>
      <c r="G1331" t="b">
        <v>1</v>
      </c>
      <c r="H1331">
        <v>70803</v>
      </c>
      <c r="I1331" s="5">
        <v>2.1046562235580102</v>
      </c>
      <c r="J1331" s="14">
        <v>42383.475231481483</v>
      </c>
      <c r="K1331">
        <v>23.34</v>
      </c>
      <c r="L1331" s="5">
        <f>('[1]Pizza Sales Calculations'!$J1331-'[1]Pizza Sales Calculations'!$C1331)*24*60</f>
        <v>10.516666673356667</v>
      </c>
      <c r="M1331">
        <f>COUNTA('[1]Pizza Sales Calculations'!$D1331:$F1331)</f>
        <v>2</v>
      </c>
      <c r="N1331">
        <f>IFERROR(VLOOKUP(D1331,[1]Parameters!$A$3:$C$5,3,FALSE),0)</f>
        <v>1</v>
      </c>
      <c r="O1331">
        <f>IFERROR(VLOOKUP(E1331,[1]Parameters!$A$3:$C$5,3,FALSE),0)</f>
        <v>2.2999999999999998</v>
      </c>
      <c r="P1331">
        <f>IFERROR(VLOOKUP(F1331,[1]Parameters!$A$3:$C$5,3,FALSE),0)</f>
        <v>0</v>
      </c>
      <c r="Q1331">
        <f t="shared" si="20"/>
        <v>3.3</v>
      </c>
      <c r="R1331" s="10">
        <f>IF('[1]Pizza Sales Calculations'!$G1331=TRUE, [1]Parameters!$B$17*'[1]Pizza Sales Calculations'!$L1331*2, 0)</f>
        <v>2.9797222241177224</v>
      </c>
      <c r="S1331" t="str">
        <f>IF(I1331&lt;[1]Parameters!$B$21,"TRUE","FALSE")</f>
        <v>TRUE</v>
      </c>
      <c r="T1331" s="5">
        <f>(I1331/[1]Parameters!$B$25)*60</f>
        <v>4.2093124471160204</v>
      </c>
      <c r="U1331" s="10">
        <f>IF(AND('[1]Pizza Sales Calculations'!G1331=TRUE,'[1]Pizza Sales Calculations'!S1331="TRUE"),T1331*[1]Parameters!$B$40*2,0)</f>
        <v>0.26275634547484505</v>
      </c>
      <c r="V1331">
        <f>INDEX([1]Parameters!$A$3:$C$5,MATCH('[1]Pizza Sales Calculations'!D1331,[1]Parameters!$A$3:$A$5,0),2)</f>
        <v>7</v>
      </c>
      <c r="W1331">
        <f>INDEX([1]Parameters!$A$3:$C$5,MATCH('[1]Pizza Sales Calculations'!E1331,[1]Parameters!$A$3:$A$5,0),2)</f>
        <v>14</v>
      </c>
      <c r="X1331" t="e">
        <f>INDEX([1]Parameters!$A$3:$C$5,MATCH('[1]Pizza Sales Calculations'!F1331,[1]Parameters!$A$3:$A$5,0),2)</f>
        <v>#N/A</v>
      </c>
    </row>
    <row r="1332" spans="1:24" x14ac:dyDescent="0.3">
      <c r="A1332">
        <v>1331</v>
      </c>
      <c r="B1332" s="14">
        <v>42383.622615740744</v>
      </c>
      <c r="C1332" s="14">
        <v>42383.633020833331</v>
      </c>
      <c r="D1332" t="s">
        <v>5</v>
      </c>
      <c r="G1332" t="b">
        <v>0</v>
      </c>
      <c r="H1332">
        <v>70806</v>
      </c>
      <c r="I1332" s="5">
        <v>0</v>
      </c>
      <c r="J1332" s="14">
        <v>42383.635092592594</v>
      </c>
      <c r="K1332">
        <v>15.35</v>
      </c>
      <c r="L1332" s="5">
        <f>('[1]Pizza Sales Calculations'!$J1332-'[1]Pizza Sales Calculations'!$C1332)*24*60</f>
        <v>2.9833333392161876</v>
      </c>
      <c r="M1332">
        <f>COUNTA('[1]Pizza Sales Calculations'!$D1332:$F1332)</f>
        <v>1</v>
      </c>
      <c r="N1332">
        <f>IFERROR(VLOOKUP(D1332,[1]Parameters!$A$3:$C$5,3,FALSE),0)</f>
        <v>2.2999999999999998</v>
      </c>
      <c r="O1332">
        <f>IFERROR(VLOOKUP(E1332,[1]Parameters!$A$3:$C$5,3,FALSE),0)</f>
        <v>0</v>
      </c>
      <c r="P1332">
        <f>IFERROR(VLOOKUP(F1332,[1]Parameters!$A$3:$C$5,3,FALSE),0)</f>
        <v>0</v>
      </c>
      <c r="Q1332">
        <f t="shared" si="20"/>
        <v>2.2999999999999998</v>
      </c>
      <c r="R1332" s="10">
        <f>IF('[1]Pizza Sales Calculations'!$G1332=TRUE, [1]Parameters!$B$17*'[1]Pizza Sales Calculations'!$L1332*2, 0)</f>
        <v>0</v>
      </c>
      <c r="S1332" t="str">
        <f>IF(I1332&lt;[1]Parameters!$B$21,"TRUE","FALSE")</f>
        <v>TRUE</v>
      </c>
      <c r="T1332" s="5">
        <f>(I1332/[1]Parameters!$B$25)*60</f>
        <v>0</v>
      </c>
      <c r="U1332" s="10">
        <f>IF(AND('[1]Pizza Sales Calculations'!G1332=TRUE,'[1]Pizza Sales Calculations'!S1332="TRUE"),T1332*[1]Parameters!$B$40*2,0)</f>
        <v>0</v>
      </c>
      <c r="V1332">
        <f>INDEX([1]Parameters!$A$3:$C$5,MATCH('[1]Pizza Sales Calculations'!D1332,[1]Parameters!$A$3:$A$5,0),2)</f>
        <v>14</v>
      </c>
      <c r="W1332" t="e">
        <f>INDEX([1]Parameters!$A$3:$C$5,MATCH('[1]Pizza Sales Calculations'!E1332,[1]Parameters!$A$3:$A$5,0),2)</f>
        <v>#N/A</v>
      </c>
      <c r="X1332" t="e">
        <f>INDEX([1]Parameters!$A$3:$C$5,MATCH('[1]Pizza Sales Calculations'!F1332,[1]Parameters!$A$3:$A$5,0),2)</f>
        <v>#N/A</v>
      </c>
    </row>
    <row r="1333" spans="1:24" x14ac:dyDescent="0.3">
      <c r="A1333">
        <v>1332</v>
      </c>
      <c r="B1333" s="14">
        <v>42383.556122685186</v>
      </c>
      <c r="C1333" s="14">
        <v>42383.566516203704</v>
      </c>
      <c r="D1333" t="s">
        <v>3</v>
      </c>
      <c r="G1333" t="b">
        <v>1</v>
      </c>
      <c r="H1333">
        <v>70806</v>
      </c>
      <c r="I1333" s="5">
        <v>2.4533084281441502</v>
      </c>
      <c r="J1333" s="14">
        <v>42383.575023148151</v>
      </c>
      <c r="K1333">
        <v>7.99</v>
      </c>
      <c r="L1333" s="5">
        <f>('[1]Pizza Sales Calculations'!$J1333-'[1]Pizza Sales Calculations'!$C1333)*24*60</f>
        <v>12.250000003259629</v>
      </c>
      <c r="M1333">
        <f>COUNTA('[1]Pizza Sales Calculations'!$D1333:$F1333)</f>
        <v>1</v>
      </c>
      <c r="N1333">
        <f>IFERROR(VLOOKUP(D1333,[1]Parameters!$A$3:$C$5,3,FALSE),0)</f>
        <v>1</v>
      </c>
      <c r="O1333">
        <f>IFERROR(VLOOKUP(E1333,[1]Parameters!$A$3:$C$5,3,FALSE),0)</f>
        <v>0</v>
      </c>
      <c r="P1333">
        <f>IFERROR(VLOOKUP(F1333,[1]Parameters!$A$3:$C$5,3,FALSE),0)</f>
        <v>0</v>
      </c>
      <c r="Q1333">
        <f t="shared" si="20"/>
        <v>1</v>
      </c>
      <c r="R1333" s="10">
        <f>IF('[1]Pizza Sales Calculations'!$G1333=TRUE, [1]Parameters!$B$17*'[1]Pizza Sales Calculations'!$L1333*2, 0)</f>
        <v>3.4708333342568949</v>
      </c>
      <c r="S1333" t="str">
        <f>IF(I1333&lt;[1]Parameters!$B$21,"TRUE","FALSE")</f>
        <v>TRUE</v>
      </c>
      <c r="T1333" s="5">
        <f>(I1333/[1]Parameters!$B$25)*60</f>
        <v>4.9066168562883004</v>
      </c>
      <c r="U1333" s="10">
        <f>IF(AND('[1]Pizza Sales Calculations'!G1333=TRUE,'[1]Pizza Sales Calculations'!S1333="TRUE"),T1333*[1]Parameters!$B$40*2,0)</f>
        <v>0.30628391928636789</v>
      </c>
      <c r="V1333">
        <f>INDEX([1]Parameters!$A$3:$C$5,MATCH('[1]Pizza Sales Calculations'!D1333,[1]Parameters!$A$3:$A$5,0),2)</f>
        <v>7</v>
      </c>
      <c r="W1333" t="e">
        <f>INDEX([1]Parameters!$A$3:$C$5,MATCH('[1]Pizza Sales Calculations'!E1333,[1]Parameters!$A$3:$A$5,0),2)</f>
        <v>#N/A</v>
      </c>
      <c r="X1333" t="e">
        <f>INDEX([1]Parameters!$A$3:$C$5,MATCH('[1]Pizza Sales Calculations'!F1333,[1]Parameters!$A$3:$A$5,0),2)</f>
        <v>#N/A</v>
      </c>
    </row>
    <row r="1334" spans="1:24" x14ac:dyDescent="0.3">
      <c r="A1334">
        <v>1333</v>
      </c>
      <c r="B1334" s="14">
        <v>42383.528287037036</v>
      </c>
      <c r="C1334" s="14">
        <v>42383.53869212963</v>
      </c>
      <c r="D1334" t="s">
        <v>5</v>
      </c>
      <c r="G1334" t="b">
        <v>1</v>
      </c>
      <c r="H1334">
        <v>70804</v>
      </c>
      <c r="I1334" s="5">
        <v>3.96432337362012</v>
      </c>
      <c r="J1334" s="14">
        <v>42383.552453703705</v>
      </c>
      <c r="K1334">
        <v>15.35</v>
      </c>
      <c r="L1334" s="5">
        <f>('[1]Pizza Sales Calculations'!$J1334-'[1]Pizza Sales Calculations'!$C1334)*24*60</f>
        <v>19.816666668048128</v>
      </c>
      <c r="M1334">
        <f>COUNTA('[1]Pizza Sales Calculations'!$D1334:$F1334)</f>
        <v>1</v>
      </c>
      <c r="N1334">
        <f>IFERROR(VLOOKUP(D1334,[1]Parameters!$A$3:$C$5,3,FALSE),0)</f>
        <v>2.2999999999999998</v>
      </c>
      <c r="O1334">
        <f>IFERROR(VLOOKUP(E1334,[1]Parameters!$A$3:$C$5,3,FALSE),0)</f>
        <v>0</v>
      </c>
      <c r="P1334">
        <f>IFERROR(VLOOKUP(F1334,[1]Parameters!$A$3:$C$5,3,FALSE),0)</f>
        <v>0</v>
      </c>
      <c r="Q1334">
        <f t="shared" si="20"/>
        <v>2.2999999999999998</v>
      </c>
      <c r="R1334" s="10">
        <f>IF('[1]Pizza Sales Calculations'!$G1334=TRUE, [1]Parameters!$B$17*'[1]Pizza Sales Calculations'!$L1334*2, 0)</f>
        <v>5.6147222226136364</v>
      </c>
      <c r="S1334" t="str">
        <f>IF(I1334&lt;[1]Parameters!$B$21,"TRUE","FALSE")</f>
        <v>FALSE</v>
      </c>
      <c r="T1334" s="5">
        <f>(I1334/[1]Parameters!$B$25)*60</f>
        <v>7.9286467472402409</v>
      </c>
      <c r="U1334" s="10">
        <f>IF(AND('[1]Pizza Sales Calculations'!G1334=TRUE,'[1]Pizza Sales Calculations'!S1334="TRUE"),T1334*[1]Parameters!$B$40*2,0)</f>
        <v>0</v>
      </c>
      <c r="V1334">
        <f>INDEX([1]Parameters!$A$3:$C$5,MATCH('[1]Pizza Sales Calculations'!D1334,[1]Parameters!$A$3:$A$5,0),2)</f>
        <v>14</v>
      </c>
      <c r="W1334" t="e">
        <f>INDEX([1]Parameters!$A$3:$C$5,MATCH('[1]Pizza Sales Calculations'!E1334,[1]Parameters!$A$3:$A$5,0),2)</f>
        <v>#N/A</v>
      </c>
      <c r="X1334" t="e">
        <f>INDEX([1]Parameters!$A$3:$C$5,MATCH('[1]Pizza Sales Calculations'!F1334,[1]Parameters!$A$3:$A$5,0),2)</f>
        <v>#N/A</v>
      </c>
    </row>
    <row r="1335" spans="1:24" x14ac:dyDescent="0.3">
      <c r="A1335">
        <v>1334</v>
      </c>
      <c r="B1335" s="14">
        <v>42383.493287037039</v>
      </c>
      <c r="C1335" s="14">
        <v>42383.503703703704</v>
      </c>
      <c r="D1335" t="s">
        <v>4</v>
      </c>
      <c r="G1335" t="b">
        <v>1</v>
      </c>
      <c r="H1335">
        <v>70806</v>
      </c>
      <c r="I1335" s="5">
        <v>3.2706298763157502</v>
      </c>
      <c r="J1335" s="14">
        <v>42383.515057870369</v>
      </c>
      <c r="K1335">
        <v>11.59</v>
      </c>
      <c r="L1335" s="5">
        <f>('[1]Pizza Sales Calculations'!$J1335-'[1]Pizza Sales Calculations'!$C1335)*24*60</f>
        <v>16.349999997764826</v>
      </c>
      <c r="M1335">
        <f>COUNTA('[1]Pizza Sales Calculations'!$D1335:$F1335)</f>
        <v>1</v>
      </c>
      <c r="N1335">
        <f>IFERROR(VLOOKUP(D1335,[1]Parameters!$A$3:$C$5,3,FALSE),0)</f>
        <v>1.7</v>
      </c>
      <c r="O1335">
        <f>IFERROR(VLOOKUP(E1335,[1]Parameters!$A$3:$C$5,3,FALSE),0)</f>
        <v>0</v>
      </c>
      <c r="P1335">
        <f>IFERROR(VLOOKUP(F1335,[1]Parameters!$A$3:$C$5,3,FALSE),0)</f>
        <v>0</v>
      </c>
      <c r="Q1335">
        <f t="shared" si="20"/>
        <v>1.7</v>
      </c>
      <c r="R1335" s="10">
        <f>IF('[1]Pizza Sales Calculations'!$G1335=TRUE, [1]Parameters!$B$17*'[1]Pizza Sales Calculations'!$L1335*2, 0)</f>
        <v>4.6324999993667006</v>
      </c>
      <c r="S1335" t="str">
        <f>IF(I1335&lt;[1]Parameters!$B$21,"TRUE","FALSE")</f>
        <v>FALSE</v>
      </c>
      <c r="T1335" s="5">
        <f>(I1335/[1]Parameters!$B$25)*60</f>
        <v>6.5412597526315004</v>
      </c>
      <c r="U1335" s="10">
        <f>IF(AND('[1]Pizza Sales Calculations'!G1335=TRUE,'[1]Pizza Sales Calculations'!S1335="TRUE"),T1335*[1]Parameters!$B$40*2,0)</f>
        <v>0</v>
      </c>
      <c r="V1335">
        <f>INDEX([1]Parameters!$A$3:$C$5,MATCH('[1]Pizza Sales Calculations'!D1335,[1]Parameters!$A$3:$A$5,0),2)</f>
        <v>10</v>
      </c>
      <c r="W1335" t="e">
        <f>INDEX([1]Parameters!$A$3:$C$5,MATCH('[1]Pizza Sales Calculations'!E1335,[1]Parameters!$A$3:$A$5,0),2)</f>
        <v>#N/A</v>
      </c>
      <c r="X1335" t="e">
        <f>INDEX([1]Parameters!$A$3:$C$5,MATCH('[1]Pizza Sales Calculations'!F1335,[1]Parameters!$A$3:$A$5,0),2)</f>
        <v>#N/A</v>
      </c>
    </row>
    <row r="1336" spans="1:24" x14ac:dyDescent="0.3">
      <c r="A1336">
        <v>1335</v>
      </c>
      <c r="B1336" s="14">
        <v>42383.525347222225</v>
      </c>
      <c r="C1336" s="14">
        <v>42383.535752314812</v>
      </c>
      <c r="D1336" t="s">
        <v>5</v>
      </c>
      <c r="G1336" t="b">
        <v>1</v>
      </c>
      <c r="H1336">
        <v>70806</v>
      </c>
      <c r="I1336" s="5">
        <v>2.34300186480277</v>
      </c>
      <c r="J1336" s="14">
        <v>42383.543877314813</v>
      </c>
      <c r="K1336">
        <v>15.35</v>
      </c>
      <c r="L1336" s="5">
        <f>('[1]Pizza Sales Calculations'!$J1336-'[1]Pizza Sales Calculations'!$C1336)*24*60</f>
        <v>11.700000000419095</v>
      </c>
      <c r="M1336">
        <f>COUNTA('[1]Pizza Sales Calculations'!$D1336:$F1336)</f>
        <v>1</v>
      </c>
      <c r="N1336">
        <f>IFERROR(VLOOKUP(D1336,[1]Parameters!$A$3:$C$5,3,FALSE),0)</f>
        <v>2.2999999999999998</v>
      </c>
      <c r="O1336">
        <f>IFERROR(VLOOKUP(E1336,[1]Parameters!$A$3:$C$5,3,FALSE),0)</f>
        <v>0</v>
      </c>
      <c r="P1336">
        <f>IFERROR(VLOOKUP(F1336,[1]Parameters!$A$3:$C$5,3,FALSE),0)</f>
        <v>0</v>
      </c>
      <c r="Q1336">
        <f t="shared" si="20"/>
        <v>2.2999999999999998</v>
      </c>
      <c r="R1336" s="10">
        <f>IF('[1]Pizza Sales Calculations'!$G1336=TRUE, [1]Parameters!$B$17*'[1]Pizza Sales Calculations'!$L1336*2, 0)</f>
        <v>3.3150000001187436</v>
      </c>
      <c r="S1336" t="str">
        <f>IF(I1336&lt;[1]Parameters!$B$21,"TRUE","FALSE")</f>
        <v>TRUE</v>
      </c>
      <c r="T1336" s="5">
        <f>(I1336/[1]Parameters!$B$25)*60</f>
        <v>4.6860037296055399</v>
      </c>
      <c r="U1336" s="10">
        <f>IF(AND('[1]Pizza Sales Calculations'!G1336=TRUE,'[1]Pizza Sales Calculations'!S1336="TRUE"),T1336*[1]Parameters!$B$40*2,0)</f>
        <v>0.292512668123804</v>
      </c>
      <c r="V1336">
        <f>INDEX([1]Parameters!$A$3:$C$5,MATCH('[1]Pizza Sales Calculations'!D1336,[1]Parameters!$A$3:$A$5,0),2)</f>
        <v>14</v>
      </c>
      <c r="W1336" t="e">
        <f>INDEX([1]Parameters!$A$3:$C$5,MATCH('[1]Pizza Sales Calculations'!E1336,[1]Parameters!$A$3:$A$5,0),2)</f>
        <v>#N/A</v>
      </c>
      <c r="X1336" t="e">
        <f>INDEX([1]Parameters!$A$3:$C$5,MATCH('[1]Pizza Sales Calculations'!F1336,[1]Parameters!$A$3:$A$5,0),2)</f>
        <v>#N/A</v>
      </c>
    </row>
    <row r="1337" spans="1:24" x14ac:dyDescent="0.3">
      <c r="A1337">
        <v>1336</v>
      </c>
      <c r="B1337" s="14">
        <v>42383.509918981479</v>
      </c>
      <c r="C1337" s="14">
        <v>42383.520335648151</v>
      </c>
      <c r="D1337" t="s">
        <v>3</v>
      </c>
      <c r="G1337" t="b">
        <v>0</v>
      </c>
      <c r="H1337">
        <v>70804</v>
      </c>
      <c r="I1337" s="5">
        <v>0</v>
      </c>
      <c r="J1337" s="14">
        <v>42383.522418981483</v>
      </c>
      <c r="K1337">
        <v>7.99</v>
      </c>
      <c r="L1337" s="5">
        <f>('[1]Pizza Sales Calculations'!$J1337-'[1]Pizza Sales Calculations'!$C1337)*24*60</f>
        <v>2.9999999993015081</v>
      </c>
      <c r="M1337">
        <f>COUNTA('[1]Pizza Sales Calculations'!$D1337:$F1337)</f>
        <v>1</v>
      </c>
      <c r="N1337">
        <f>IFERROR(VLOOKUP(D1337,[1]Parameters!$A$3:$C$5,3,FALSE),0)</f>
        <v>1</v>
      </c>
      <c r="O1337">
        <f>IFERROR(VLOOKUP(E1337,[1]Parameters!$A$3:$C$5,3,FALSE),0)</f>
        <v>0</v>
      </c>
      <c r="P1337">
        <f>IFERROR(VLOOKUP(F1337,[1]Parameters!$A$3:$C$5,3,FALSE),0)</f>
        <v>0</v>
      </c>
      <c r="Q1337">
        <f t="shared" si="20"/>
        <v>1</v>
      </c>
      <c r="R1337" s="10">
        <f>IF('[1]Pizza Sales Calculations'!$G1337=TRUE, [1]Parameters!$B$17*'[1]Pizza Sales Calculations'!$L1337*2, 0)</f>
        <v>0</v>
      </c>
      <c r="S1337" t="str">
        <f>IF(I1337&lt;[1]Parameters!$B$21,"TRUE","FALSE")</f>
        <v>TRUE</v>
      </c>
      <c r="T1337" s="5">
        <f>(I1337/[1]Parameters!$B$25)*60</f>
        <v>0</v>
      </c>
      <c r="U1337" s="10">
        <f>IF(AND('[1]Pizza Sales Calculations'!G1337=TRUE,'[1]Pizza Sales Calculations'!S1337="TRUE"),T1337*[1]Parameters!$B$40*2,0)</f>
        <v>0</v>
      </c>
      <c r="V1337">
        <f>INDEX([1]Parameters!$A$3:$C$5,MATCH('[1]Pizza Sales Calculations'!D1337,[1]Parameters!$A$3:$A$5,0),2)</f>
        <v>7</v>
      </c>
      <c r="W1337" t="e">
        <f>INDEX([1]Parameters!$A$3:$C$5,MATCH('[1]Pizza Sales Calculations'!E1337,[1]Parameters!$A$3:$A$5,0),2)</f>
        <v>#N/A</v>
      </c>
      <c r="X1337" t="e">
        <f>INDEX([1]Parameters!$A$3:$C$5,MATCH('[1]Pizza Sales Calculations'!F1337,[1]Parameters!$A$3:$A$5,0),2)</f>
        <v>#N/A</v>
      </c>
    </row>
    <row r="1338" spans="1:24" x14ac:dyDescent="0.3">
      <c r="A1338">
        <v>1337</v>
      </c>
      <c r="B1338" s="14">
        <v>42383.583287037036</v>
      </c>
      <c r="C1338" s="14">
        <v>42383.593692129631</v>
      </c>
      <c r="D1338" t="s">
        <v>3</v>
      </c>
      <c r="E1338" t="s">
        <v>5</v>
      </c>
      <c r="G1338" t="b">
        <v>0</v>
      </c>
      <c r="H1338">
        <v>70806</v>
      </c>
      <c r="I1338" s="5">
        <v>0</v>
      </c>
      <c r="J1338" s="14">
        <v>42383.595775462964</v>
      </c>
      <c r="K1338">
        <v>23.34</v>
      </c>
      <c r="L1338" s="5">
        <f>('[1]Pizza Sales Calculations'!$J1338-'[1]Pizza Sales Calculations'!$C1338)*24*60</f>
        <v>2.9999999993015081</v>
      </c>
      <c r="M1338">
        <f>COUNTA('[1]Pizza Sales Calculations'!$D1338:$F1338)</f>
        <v>2</v>
      </c>
      <c r="N1338">
        <f>IFERROR(VLOOKUP(D1338,[1]Parameters!$A$3:$C$5,3,FALSE),0)</f>
        <v>1</v>
      </c>
      <c r="O1338">
        <f>IFERROR(VLOOKUP(E1338,[1]Parameters!$A$3:$C$5,3,FALSE),0)</f>
        <v>2.2999999999999998</v>
      </c>
      <c r="P1338">
        <f>IFERROR(VLOOKUP(F1338,[1]Parameters!$A$3:$C$5,3,FALSE),0)</f>
        <v>0</v>
      </c>
      <c r="Q1338">
        <f t="shared" si="20"/>
        <v>3.3</v>
      </c>
      <c r="R1338" s="10">
        <f>IF('[1]Pizza Sales Calculations'!$G1338=TRUE, [1]Parameters!$B$17*'[1]Pizza Sales Calculations'!$L1338*2, 0)</f>
        <v>0</v>
      </c>
      <c r="S1338" t="str">
        <f>IF(I1338&lt;[1]Parameters!$B$21,"TRUE","FALSE")</f>
        <v>TRUE</v>
      </c>
      <c r="T1338" s="5">
        <f>(I1338/[1]Parameters!$B$25)*60</f>
        <v>0</v>
      </c>
      <c r="U1338" s="10">
        <f>IF(AND('[1]Pizza Sales Calculations'!G1338=TRUE,'[1]Pizza Sales Calculations'!S1338="TRUE"),T1338*[1]Parameters!$B$40*2,0)</f>
        <v>0</v>
      </c>
      <c r="V1338">
        <f>INDEX([1]Parameters!$A$3:$C$5,MATCH('[1]Pizza Sales Calculations'!D1338,[1]Parameters!$A$3:$A$5,0),2)</f>
        <v>7</v>
      </c>
      <c r="W1338">
        <f>INDEX([1]Parameters!$A$3:$C$5,MATCH('[1]Pizza Sales Calculations'!E1338,[1]Parameters!$A$3:$A$5,0),2)</f>
        <v>14</v>
      </c>
      <c r="X1338" t="e">
        <f>INDEX([1]Parameters!$A$3:$C$5,MATCH('[1]Pizza Sales Calculations'!F1338,[1]Parameters!$A$3:$A$5,0),2)</f>
        <v>#N/A</v>
      </c>
    </row>
    <row r="1339" spans="1:24" x14ac:dyDescent="0.3">
      <c r="A1339">
        <v>1338</v>
      </c>
      <c r="B1339" s="14">
        <v>42383.508379629631</v>
      </c>
      <c r="C1339" s="14">
        <v>42383.518773148149</v>
      </c>
      <c r="D1339" t="s">
        <v>4</v>
      </c>
      <c r="G1339" t="b">
        <v>1</v>
      </c>
      <c r="H1339">
        <v>70807</v>
      </c>
      <c r="I1339" s="5">
        <v>3.2686008717830699</v>
      </c>
      <c r="J1339" s="14">
        <v>42383.530115740738</v>
      </c>
      <c r="K1339">
        <v>11.59</v>
      </c>
      <c r="L1339" s="5">
        <f>('[1]Pizza Sales Calculations'!$J1339-'[1]Pizza Sales Calculations'!$C1339)*24*60</f>
        <v>16.333333327202126</v>
      </c>
      <c r="M1339">
        <f>COUNTA('[1]Pizza Sales Calculations'!$D1339:$F1339)</f>
        <v>1</v>
      </c>
      <c r="N1339">
        <f>IFERROR(VLOOKUP(D1339,[1]Parameters!$A$3:$C$5,3,FALSE),0)</f>
        <v>1.7</v>
      </c>
      <c r="O1339">
        <f>IFERROR(VLOOKUP(E1339,[1]Parameters!$A$3:$C$5,3,FALSE),0)</f>
        <v>0</v>
      </c>
      <c r="P1339">
        <f>IFERROR(VLOOKUP(F1339,[1]Parameters!$A$3:$C$5,3,FALSE),0)</f>
        <v>0</v>
      </c>
      <c r="Q1339">
        <f t="shared" si="20"/>
        <v>1.7</v>
      </c>
      <c r="R1339" s="10">
        <f>IF('[1]Pizza Sales Calculations'!$G1339=TRUE, [1]Parameters!$B$17*'[1]Pizza Sales Calculations'!$L1339*2, 0)</f>
        <v>4.6277777760406025</v>
      </c>
      <c r="S1339" t="str">
        <f>IF(I1339&lt;[1]Parameters!$B$21,"TRUE","FALSE")</f>
        <v>FALSE</v>
      </c>
      <c r="T1339" s="5">
        <f>(I1339/[1]Parameters!$B$25)*60</f>
        <v>6.5372017435661398</v>
      </c>
      <c r="U1339" s="10">
        <f>IF(AND('[1]Pizza Sales Calculations'!G1339=TRUE,'[1]Pizza Sales Calculations'!S1339="TRUE"),T1339*[1]Parameters!$B$40*2,0)</f>
        <v>0</v>
      </c>
      <c r="V1339">
        <f>INDEX([1]Parameters!$A$3:$C$5,MATCH('[1]Pizza Sales Calculations'!D1339,[1]Parameters!$A$3:$A$5,0),2)</f>
        <v>10</v>
      </c>
      <c r="W1339" t="e">
        <f>INDEX([1]Parameters!$A$3:$C$5,MATCH('[1]Pizza Sales Calculations'!E1339,[1]Parameters!$A$3:$A$5,0),2)</f>
        <v>#N/A</v>
      </c>
      <c r="X1339" t="e">
        <f>INDEX([1]Parameters!$A$3:$C$5,MATCH('[1]Pizza Sales Calculations'!F1339,[1]Parameters!$A$3:$A$5,0),2)</f>
        <v>#N/A</v>
      </c>
    </row>
    <row r="1340" spans="1:24" x14ac:dyDescent="0.3">
      <c r="A1340">
        <v>1339</v>
      </c>
      <c r="B1340" s="14">
        <v>42383.559641203705</v>
      </c>
      <c r="C1340" s="14">
        <v>42383.5700462963</v>
      </c>
      <c r="D1340" t="s">
        <v>3</v>
      </c>
      <c r="G1340" t="b">
        <v>0</v>
      </c>
      <c r="H1340">
        <v>70804</v>
      </c>
      <c r="I1340" s="5">
        <v>0</v>
      </c>
      <c r="J1340" s="14">
        <v>42383.572129629632</v>
      </c>
      <c r="K1340">
        <v>7.99</v>
      </c>
      <c r="L1340" s="5">
        <f>('[1]Pizza Sales Calculations'!$J1340-'[1]Pizza Sales Calculations'!$C1340)*24*60</f>
        <v>2.9999999993015081</v>
      </c>
      <c r="M1340">
        <f>COUNTA('[1]Pizza Sales Calculations'!$D1340:$F1340)</f>
        <v>1</v>
      </c>
      <c r="N1340">
        <f>IFERROR(VLOOKUP(D1340,[1]Parameters!$A$3:$C$5,3,FALSE),0)</f>
        <v>1</v>
      </c>
      <c r="O1340">
        <f>IFERROR(VLOOKUP(E1340,[1]Parameters!$A$3:$C$5,3,FALSE),0)</f>
        <v>0</v>
      </c>
      <c r="P1340">
        <f>IFERROR(VLOOKUP(F1340,[1]Parameters!$A$3:$C$5,3,FALSE),0)</f>
        <v>0</v>
      </c>
      <c r="Q1340">
        <f t="shared" si="20"/>
        <v>1</v>
      </c>
      <c r="R1340" s="10">
        <f>IF('[1]Pizza Sales Calculations'!$G1340=TRUE, [1]Parameters!$B$17*'[1]Pizza Sales Calculations'!$L1340*2, 0)</f>
        <v>0</v>
      </c>
      <c r="S1340" t="str">
        <f>IF(I1340&lt;[1]Parameters!$B$21,"TRUE","FALSE")</f>
        <v>TRUE</v>
      </c>
      <c r="T1340" s="5">
        <f>(I1340/[1]Parameters!$B$25)*60</f>
        <v>0</v>
      </c>
      <c r="U1340" s="10">
        <f>IF(AND('[1]Pizza Sales Calculations'!G1340=TRUE,'[1]Pizza Sales Calculations'!S1340="TRUE"),T1340*[1]Parameters!$B$40*2,0)</f>
        <v>0</v>
      </c>
      <c r="V1340">
        <f>INDEX([1]Parameters!$A$3:$C$5,MATCH('[1]Pizza Sales Calculations'!D1340,[1]Parameters!$A$3:$A$5,0),2)</f>
        <v>7</v>
      </c>
      <c r="W1340" t="e">
        <f>INDEX([1]Parameters!$A$3:$C$5,MATCH('[1]Pizza Sales Calculations'!E1340,[1]Parameters!$A$3:$A$5,0),2)</f>
        <v>#N/A</v>
      </c>
      <c r="X1340" t="e">
        <f>INDEX([1]Parameters!$A$3:$C$5,MATCH('[1]Pizza Sales Calculations'!F1340,[1]Parameters!$A$3:$A$5,0),2)</f>
        <v>#N/A</v>
      </c>
    </row>
    <row r="1341" spans="1:24" x14ac:dyDescent="0.3">
      <c r="A1341">
        <v>1340</v>
      </c>
      <c r="B1341" s="14">
        <v>42383.511493055557</v>
      </c>
      <c r="C1341" s="14">
        <v>42383.521898148145</v>
      </c>
      <c r="D1341" t="s">
        <v>4</v>
      </c>
      <c r="G1341" t="b">
        <v>0</v>
      </c>
      <c r="H1341">
        <v>70803</v>
      </c>
      <c r="I1341" s="5">
        <v>0</v>
      </c>
      <c r="J1341" s="14">
        <v>42383.523981481485</v>
      </c>
      <c r="K1341">
        <v>11.59</v>
      </c>
      <c r="L1341" s="5">
        <f>('[1]Pizza Sales Calculations'!$J1341-'[1]Pizza Sales Calculations'!$C1341)*24*60</f>
        <v>3.000000009778887</v>
      </c>
      <c r="M1341">
        <f>COUNTA('[1]Pizza Sales Calculations'!$D1341:$F1341)</f>
        <v>1</v>
      </c>
      <c r="N1341">
        <f>IFERROR(VLOOKUP(D1341,[1]Parameters!$A$3:$C$5,3,FALSE),0)</f>
        <v>1.7</v>
      </c>
      <c r="O1341">
        <f>IFERROR(VLOOKUP(E1341,[1]Parameters!$A$3:$C$5,3,FALSE),0)</f>
        <v>0</v>
      </c>
      <c r="P1341">
        <f>IFERROR(VLOOKUP(F1341,[1]Parameters!$A$3:$C$5,3,FALSE),0)</f>
        <v>0</v>
      </c>
      <c r="Q1341">
        <f t="shared" si="20"/>
        <v>1.7</v>
      </c>
      <c r="R1341" s="10">
        <f>IF('[1]Pizza Sales Calculations'!$G1341=TRUE, [1]Parameters!$B$17*'[1]Pizza Sales Calculations'!$L1341*2, 0)</f>
        <v>0</v>
      </c>
      <c r="S1341" t="str">
        <f>IF(I1341&lt;[1]Parameters!$B$21,"TRUE","FALSE")</f>
        <v>TRUE</v>
      </c>
      <c r="T1341" s="5">
        <f>(I1341/[1]Parameters!$B$25)*60</f>
        <v>0</v>
      </c>
      <c r="U1341" s="10">
        <f>IF(AND('[1]Pizza Sales Calculations'!G1341=TRUE,'[1]Pizza Sales Calculations'!S1341="TRUE"),T1341*[1]Parameters!$B$40*2,0)</f>
        <v>0</v>
      </c>
      <c r="V1341">
        <f>INDEX([1]Parameters!$A$3:$C$5,MATCH('[1]Pizza Sales Calculations'!D1341,[1]Parameters!$A$3:$A$5,0),2)</f>
        <v>10</v>
      </c>
      <c r="W1341" t="e">
        <f>INDEX([1]Parameters!$A$3:$C$5,MATCH('[1]Pizza Sales Calculations'!E1341,[1]Parameters!$A$3:$A$5,0),2)</f>
        <v>#N/A</v>
      </c>
      <c r="X1341" t="e">
        <f>INDEX([1]Parameters!$A$3:$C$5,MATCH('[1]Pizza Sales Calculations'!F1341,[1]Parameters!$A$3:$A$5,0),2)</f>
        <v>#N/A</v>
      </c>
    </row>
    <row r="1342" spans="1:24" x14ac:dyDescent="0.3">
      <c r="A1342">
        <v>1341</v>
      </c>
      <c r="B1342" s="14">
        <v>42383.487175925926</v>
      </c>
      <c r="C1342" s="14">
        <v>42383.497581018521</v>
      </c>
      <c r="D1342" t="s">
        <v>5</v>
      </c>
      <c r="G1342" t="b">
        <v>0</v>
      </c>
      <c r="H1342">
        <v>70805</v>
      </c>
      <c r="I1342" s="5">
        <v>0</v>
      </c>
      <c r="J1342" s="14">
        <v>42383.499652777777</v>
      </c>
      <c r="K1342">
        <v>15.35</v>
      </c>
      <c r="L1342" s="5">
        <f>('[1]Pizza Sales Calculations'!$J1342-'[1]Pizza Sales Calculations'!$C1342)*24*60</f>
        <v>2.9833333287388086</v>
      </c>
      <c r="M1342">
        <f>COUNTA('[1]Pizza Sales Calculations'!$D1342:$F1342)</f>
        <v>1</v>
      </c>
      <c r="N1342">
        <f>IFERROR(VLOOKUP(D1342,[1]Parameters!$A$3:$C$5,3,FALSE),0)</f>
        <v>2.2999999999999998</v>
      </c>
      <c r="O1342">
        <f>IFERROR(VLOOKUP(E1342,[1]Parameters!$A$3:$C$5,3,FALSE),0)</f>
        <v>0</v>
      </c>
      <c r="P1342">
        <f>IFERROR(VLOOKUP(F1342,[1]Parameters!$A$3:$C$5,3,FALSE),0)</f>
        <v>0</v>
      </c>
      <c r="Q1342">
        <f t="shared" si="20"/>
        <v>2.2999999999999998</v>
      </c>
      <c r="R1342" s="10">
        <f>IF('[1]Pizza Sales Calculations'!$G1342=TRUE, [1]Parameters!$B$17*'[1]Pizza Sales Calculations'!$L1342*2, 0)</f>
        <v>0</v>
      </c>
      <c r="S1342" t="str">
        <f>IF(I1342&lt;[1]Parameters!$B$21,"TRUE","FALSE")</f>
        <v>TRUE</v>
      </c>
      <c r="T1342" s="5">
        <f>(I1342/[1]Parameters!$B$25)*60</f>
        <v>0</v>
      </c>
      <c r="U1342" s="10">
        <f>IF(AND('[1]Pizza Sales Calculations'!G1342=TRUE,'[1]Pizza Sales Calculations'!S1342="TRUE"),T1342*[1]Parameters!$B$40*2,0)</f>
        <v>0</v>
      </c>
      <c r="V1342">
        <f>INDEX([1]Parameters!$A$3:$C$5,MATCH('[1]Pizza Sales Calculations'!D1342,[1]Parameters!$A$3:$A$5,0),2)</f>
        <v>14</v>
      </c>
      <c r="W1342" t="e">
        <f>INDEX([1]Parameters!$A$3:$C$5,MATCH('[1]Pizza Sales Calculations'!E1342,[1]Parameters!$A$3:$A$5,0),2)</f>
        <v>#N/A</v>
      </c>
      <c r="X1342" t="e">
        <f>INDEX([1]Parameters!$A$3:$C$5,MATCH('[1]Pizza Sales Calculations'!F1342,[1]Parameters!$A$3:$A$5,0),2)</f>
        <v>#N/A</v>
      </c>
    </row>
    <row r="1343" spans="1:24" x14ac:dyDescent="0.3">
      <c r="A1343">
        <v>1342</v>
      </c>
      <c r="B1343" s="14">
        <v>42383.444849537038</v>
      </c>
      <c r="C1343" s="14">
        <v>42383.455277777779</v>
      </c>
      <c r="D1343" t="s">
        <v>3</v>
      </c>
      <c r="E1343" t="s">
        <v>4</v>
      </c>
      <c r="G1343" t="b">
        <v>1</v>
      </c>
      <c r="H1343">
        <v>70803</v>
      </c>
      <c r="I1343" s="5">
        <v>1.7711007677409201</v>
      </c>
      <c r="J1343" s="14">
        <v>42383.461423611108</v>
      </c>
      <c r="K1343">
        <v>19.579999999999998</v>
      </c>
      <c r="L1343" s="5">
        <f>('[1]Pizza Sales Calculations'!$J1343-'[1]Pizza Sales Calculations'!$C1343)*24*60</f>
        <v>8.8499999942723662</v>
      </c>
      <c r="M1343">
        <f>COUNTA('[1]Pizza Sales Calculations'!$D1343:$F1343)</f>
        <v>2</v>
      </c>
      <c r="N1343">
        <f>IFERROR(VLOOKUP(D1343,[1]Parameters!$A$3:$C$5,3,FALSE),0)</f>
        <v>1</v>
      </c>
      <c r="O1343">
        <f>IFERROR(VLOOKUP(E1343,[1]Parameters!$A$3:$C$5,3,FALSE),0)</f>
        <v>1.7</v>
      </c>
      <c r="P1343">
        <f>IFERROR(VLOOKUP(F1343,[1]Parameters!$A$3:$C$5,3,FALSE),0)</f>
        <v>0</v>
      </c>
      <c r="Q1343">
        <f t="shared" si="20"/>
        <v>2.7</v>
      </c>
      <c r="R1343" s="10">
        <f>IF('[1]Pizza Sales Calculations'!$G1343=TRUE, [1]Parameters!$B$17*'[1]Pizza Sales Calculations'!$L1343*2, 0)</f>
        <v>2.5074999983771704</v>
      </c>
      <c r="S1343" t="str">
        <f>IF(I1343&lt;[1]Parameters!$B$21,"TRUE","FALSE")</f>
        <v>TRUE</v>
      </c>
      <c r="T1343" s="5">
        <f>(I1343/[1]Parameters!$B$25)*60</f>
        <v>3.5422015354818401</v>
      </c>
      <c r="U1343" s="10">
        <f>IF(AND('[1]Pizza Sales Calculations'!G1343=TRUE,'[1]Pizza Sales Calculations'!S1343="TRUE"),T1343*[1]Parameters!$B$40*2,0)</f>
        <v>0.22111352913140955</v>
      </c>
      <c r="V1343">
        <f>INDEX([1]Parameters!$A$3:$C$5,MATCH('[1]Pizza Sales Calculations'!D1343,[1]Parameters!$A$3:$A$5,0),2)</f>
        <v>7</v>
      </c>
      <c r="W1343">
        <f>INDEX([1]Parameters!$A$3:$C$5,MATCH('[1]Pizza Sales Calculations'!E1343,[1]Parameters!$A$3:$A$5,0),2)</f>
        <v>10</v>
      </c>
      <c r="X1343" t="e">
        <f>INDEX([1]Parameters!$A$3:$C$5,MATCH('[1]Pizza Sales Calculations'!F1343,[1]Parameters!$A$3:$A$5,0),2)</f>
        <v>#N/A</v>
      </c>
    </row>
    <row r="1344" spans="1:24" x14ac:dyDescent="0.3">
      <c r="A1344">
        <v>1343</v>
      </c>
      <c r="B1344" s="14">
        <v>42383.526307870372</v>
      </c>
      <c r="C1344" s="14">
        <v>42383.536712962959</v>
      </c>
      <c r="D1344" t="s">
        <v>4</v>
      </c>
      <c r="G1344" t="b">
        <v>1</v>
      </c>
      <c r="H1344">
        <v>70805</v>
      </c>
      <c r="I1344" s="5">
        <v>3.0726933549638602</v>
      </c>
      <c r="J1344" s="14">
        <v>42383.547372685185</v>
      </c>
      <c r="K1344">
        <v>11.59</v>
      </c>
      <c r="L1344" s="5">
        <f>('[1]Pizza Sales Calculations'!$J1344-'[1]Pizza Sales Calculations'!$C1344)*24*60</f>
        <v>15.350000004982576</v>
      </c>
      <c r="M1344">
        <f>COUNTA('[1]Pizza Sales Calculations'!$D1344:$F1344)</f>
        <v>1</v>
      </c>
      <c r="N1344">
        <f>IFERROR(VLOOKUP(D1344,[1]Parameters!$A$3:$C$5,3,FALSE),0)</f>
        <v>1.7</v>
      </c>
      <c r="O1344">
        <f>IFERROR(VLOOKUP(E1344,[1]Parameters!$A$3:$C$5,3,FALSE),0)</f>
        <v>0</v>
      </c>
      <c r="P1344">
        <f>IFERROR(VLOOKUP(F1344,[1]Parameters!$A$3:$C$5,3,FALSE),0)</f>
        <v>0</v>
      </c>
      <c r="Q1344">
        <f t="shared" si="20"/>
        <v>1.7</v>
      </c>
      <c r="R1344" s="10">
        <f>IF('[1]Pizza Sales Calculations'!$G1344=TRUE, [1]Parameters!$B$17*'[1]Pizza Sales Calculations'!$L1344*2, 0)</f>
        <v>4.3491666680783965</v>
      </c>
      <c r="S1344" t="str">
        <f>IF(I1344&lt;[1]Parameters!$B$21,"TRUE","FALSE")</f>
        <v>TRUE</v>
      </c>
      <c r="T1344" s="5">
        <f>(I1344/[1]Parameters!$B$25)*60</f>
        <v>6.1453867099277204</v>
      </c>
      <c r="U1344" s="10">
        <f>IF(AND('[1]Pizza Sales Calculations'!G1344=TRUE,'[1]Pizza Sales Calculations'!S1344="TRUE"),T1344*[1]Parameters!$B$40*2,0)</f>
        <v>0.38361118917095749</v>
      </c>
      <c r="V1344">
        <f>INDEX([1]Parameters!$A$3:$C$5,MATCH('[1]Pizza Sales Calculations'!D1344,[1]Parameters!$A$3:$A$5,0),2)</f>
        <v>10</v>
      </c>
      <c r="W1344" t="e">
        <f>INDEX([1]Parameters!$A$3:$C$5,MATCH('[1]Pizza Sales Calculations'!E1344,[1]Parameters!$A$3:$A$5,0),2)</f>
        <v>#N/A</v>
      </c>
      <c r="X1344" t="e">
        <f>INDEX([1]Parameters!$A$3:$C$5,MATCH('[1]Pizza Sales Calculations'!F1344,[1]Parameters!$A$3:$A$5,0),2)</f>
        <v>#N/A</v>
      </c>
    </row>
    <row r="1345" spans="1:24" x14ac:dyDescent="0.3">
      <c r="A1345">
        <v>1344</v>
      </c>
      <c r="B1345" s="14">
        <v>42383.471990740742</v>
      </c>
      <c r="C1345" s="14">
        <v>42383.482395833336</v>
      </c>
      <c r="D1345" t="s">
        <v>4</v>
      </c>
      <c r="E1345" t="s">
        <v>5</v>
      </c>
      <c r="G1345" t="b">
        <v>1</v>
      </c>
      <c r="H1345">
        <v>70805</v>
      </c>
      <c r="I1345" s="5">
        <v>3.4878001917650199</v>
      </c>
      <c r="J1345" s="14">
        <v>42383.494502314818</v>
      </c>
      <c r="K1345">
        <v>25.94</v>
      </c>
      <c r="L1345" s="5">
        <f>('[1]Pizza Sales Calculations'!$J1345-'[1]Pizza Sales Calculations'!$C1345)*24*60</f>
        <v>17.433333332883194</v>
      </c>
      <c r="M1345">
        <f>COUNTA('[1]Pizza Sales Calculations'!$D1345:$F1345)</f>
        <v>2</v>
      </c>
      <c r="N1345">
        <f>IFERROR(VLOOKUP(D1345,[1]Parameters!$A$3:$C$5,3,FALSE),0)</f>
        <v>1.7</v>
      </c>
      <c r="O1345">
        <f>IFERROR(VLOOKUP(E1345,[1]Parameters!$A$3:$C$5,3,FALSE),0)</f>
        <v>2.2999999999999998</v>
      </c>
      <c r="P1345">
        <f>IFERROR(VLOOKUP(F1345,[1]Parameters!$A$3:$C$5,3,FALSE),0)</f>
        <v>0</v>
      </c>
      <c r="Q1345">
        <f t="shared" si="20"/>
        <v>4</v>
      </c>
      <c r="R1345" s="10">
        <f>IF('[1]Pizza Sales Calculations'!$G1345=TRUE, [1]Parameters!$B$17*'[1]Pizza Sales Calculations'!$L1345*2, 0)</f>
        <v>4.939444444316905</v>
      </c>
      <c r="S1345" t="str">
        <f>IF(I1345&lt;[1]Parameters!$B$21,"TRUE","FALSE")</f>
        <v>FALSE</v>
      </c>
      <c r="T1345" s="5">
        <f>(I1345/[1]Parameters!$B$25)*60</f>
        <v>6.9756003835300397</v>
      </c>
      <c r="U1345" s="10">
        <f>IF(AND('[1]Pizza Sales Calculations'!G1345=TRUE,'[1]Pizza Sales Calculations'!S1345="TRUE"),T1345*[1]Parameters!$B$40*2,0)</f>
        <v>0</v>
      </c>
      <c r="V1345">
        <f>INDEX([1]Parameters!$A$3:$C$5,MATCH('[1]Pizza Sales Calculations'!D1345,[1]Parameters!$A$3:$A$5,0),2)</f>
        <v>10</v>
      </c>
      <c r="W1345">
        <f>INDEX([1]Parameters!$A$3:$C$5,MATCH('[1]Pizza Sales Calculations'!E1345,[1]Parameters!$A$3:$A$5,0),2)</f>
        <v>14</v>
      </c>
      <c r="X1345" t="e">
        <f>INDEX([1]Parameters!$A$3:$C$5,MATCH('[1]Pizza Sales Calculations'!F1345,[1]Parameters!$A$3:$A$5,0),2)</f>
        <v>#N/A</v>
      </c>
    </row>
    <row r="1346" spans="1:24" x14ac:dyDescent="0.3">
      <c r="A1346">
        <v>1345</v>
      </c>
      <c r="B1346" s="14">
        <v>42383.489664351851</v>
      </c>
      <c r="C1346" s="14">
        <v>42383.500081018516</v>
      </c>
      <c r="D1346" t="s">
        <v>4</v>
      </c>
      <c r="G1346" t="b">
        <v>1</v>
      </c>
      <c r="H1346">
        <v>70804</v>
      </c>
      <c r="I1346" s="5">
        <v>2.3973750546767798</v>
      </c>
      <c r="J1346" s="14">
        <v>42383.508402777778</v>
      </c>
      <c r="K1346">
        <v>11.59</v>
      </c>
      <c r="L1346" s="5">
        <f>('[1]Pizza Sales Calculations'!$J1346-'[1]Pizza Sales Calculations'!$C1346)*24*60</f>
        <v>11.983333337120712</v>
      </c>
      <c r="M1346">
        <f>COUNTA('[1]Pizza Sales Calculations'!$D1346:$F1346)</f>
        <v>1</v>
      </c>
      <c r="N1346">
        <f>IFERROR(VLOOKUP(D1346,[1]Parameters!$A$3:$C$5,3,FALSE),0)</f>
        <v>1.7</v>
      </c>
      <c r="O1346">
        <f>IFERROR(VLOOKUP(E1346,[1]Parameters!$A$3:$C$5,3,FALSE),0)</f>
        <v>0</v>
      </c>
      <c r="P1346">
        <f>IFERROR(VLOOKUP(F1346,[1]Parameters!$A$3:$C$5,3,FALSE),0)</f>
        <v>0</v>
      </c>
      <c r="Q1346">
        <f t="shared" si="20"/>
        <v>1.7</v>
      </c>
      <c r="R1346" s="10">
        <f>IF('[1]Pizza Sales Calculations'!$G1346=TRUE, [1]Parameters!$B$17*'[1]Pizza Sales Calculations'!$L1346*2, 0)</f>
        <v>3.3952777788508683</v>
      </c>
      <c r="S1346" t="str">
        <f>IF(I1346&lt;[1]Parameters!$B$21,"TRUE","FALSE")</f>
        <v>TRUE</v>
      </c>
      <c r="T1346" s="5">
        <f>(I1346/[1]Parameters!$B$25)*60</f>
        <v>4.7947501093535596</v>
      </c>
      <c r="U1346" s="10">
        <f>IF(AND('[1]Pizza Sales Calculations'!G1346=TRUE,'[1]Pizza Sales Calculations'!S1346="TRUE"),T1346*[1]Parameters!$B$40*2,0)</f>
        <v>0.29930090294485806</v>
      </c>
      <c r="V1346">
        <f>INDEX([1]Parameters!$A$3:$C$5,MATCH('[1]Pizza Sales Calculations'!D1346,[1]Parameters!$A$3:$A$5,0),2)</f>
        <v>10</v>
      </c>
      <c r="W1346" t="e">
        <f>INDEX([1]Parameters!$A$3:$C$5,MATCH('[1]Pizza Sales Calculations'!E1346,[1]Parameters!$A$3:$A$5,0),2)</f>
        <v>#N/A</v>
      </c>
      <c r="X1346" t="e">
        <f>INDEX([1]Parameters!$A$3:$C$5,MATCH('[1]Pizza Sales Calculations'!F1346,[1]Parameters!$A$3:$A$5,0),2)</f>
        <v>#N/A</v>
      </c>
    </row>
    <row r="1347" spans="1:24" x14ac:dyDescent="0.3">
      <c r="A1347">
        <v>1346</v>
      </c>
      <c r="B1347" s="14">
        <v>42383.568287037036</v>
      </c>
      <c r="C1347" s="14">
        <v>42383.578703703701</v>
      </c>
      <c r="D1347" t="s">
        <v>5</v>
      </c>
      <c r="G1347" t="b">
        <v>1</v>
      </c>
      <c r="H1347">
        <v>70804</v>
      </c>
      <c r="I1347" s="5">
        <v>1.2130984583265201</v>
      </c>
      <c r="J1347" s="14">
        <v>42383.582905092589</v>
      </c>
      <c r="K1347">
        <v>15.35</v>
      </c>
      <c r="L1347" s="5">
        <f>('[1]Pizza Sales Calculations'!$J1347-'[1]Pizza Sales Calculations'!$C1347)*24*60</f>
        <v>6.0499999998137355</v>
      </c>
      <c r="M1347">
        <f>COUNTA('[1]Pizza Sales Calculations'!$D1347:$F1347)</f>
        <v>1</v>
      </c>
      <c r="N1347">
        <f>IFERROR(VLOOKUP(D1347,[1]Parameters!$A$3:$C$5,3,FALSE),0)</f>
        <v>2.2999999999999998</v>
      </c>
      <c r="O1347">
        <f>IFERROR(VLOOKUP(E1347,[1]Parameters!$A$3:$C$5,3,FALSE),0)</f>
        <v>0</v>
      </c>
      <c r="P1347">
        <f>IFERROR(VLOOKUP(F1347,[1]Parameters!$A$3:$C$5,3,FALSE),0)</f>
        <v>0</v>
      </c>
      <c r="Q1347">
        <f t="shared" ref="Q1347:Q1410" si="21">SUM(N1347:P1347)</f>
        <v>2.2999999999999998</v>
      </c>
      <c r="R1347" s="10">
        <f>IF('[1]Pizza Sales Calculations'!$G1347=TRUE, [1]Parameters!$B$17*'[1]Pizza Sales Calculations'!$L1347*2, 0)</f>
        <v>1.7141666666138917</v>
      </c>
      <c r="S1347" t="str">
        <f>IF(I1347&lt;[1]Parameters!$B$21,"TRUE","FALSE")</f>
        <v>TRUE</v>
      </c>
      <c r="T1347" s="5">
        <f>(I1347/[1]Parameters!$B$25)*60</f>
        <v>2.4261969166530402</v>
      </c>
      <c r="U1347" s="10">
        <f>IF(AND('[1]Pizza Sales Calculations'!G1347=TRUE,'[1]Pizza Sales Calculations'!S1347="TRUE"),T1347*[1]Parameters!$B$40*2,0)</f>
        <v>0.15144958784394055</v>
      </c>
      <c r="V1347">
        <f>INDEX([1]Parameters!$A$3:$C$5,MATCH('[1]Pizza Sales Calculations'!D1347,[1]Parameters!$A$3:$A$5,0),2)</f>
        <v>14</v>
      </c>
      <c r="W1347" t="e">
        <f>INDEX([1]Parameters!$A$3:$C$5,MATCH('[1]Pizza Sales Calculations'!E1347,[1]Parameters!$A$3:$A$5,0),2)</f>
        <v>#N/A</v>
      </c>
      <c r="X1347" t="e">
        <f>INDEX([1]Parameters!$A$3:$C$5,MATCH('[1]Pizza Sales Calculations'!F1347,[1]Parameters!$A$3:$A$5,0),2)</f>
        <v>#N/A</v>
      </c>
    </row>
    <row r="1348" spans="1:24" x14ac:dyDescent="0.3">
      <c r="A1348">
        <v>1347</v>
      </c>
      <c r="B1348" s="14">
        <v>42383.498229166667</v>
      </c>
      <c r="C1348" s="14">
        <v>42383.508634259262</v>
      </c>
      <c r="D1348" t="s">
        <v>3</v>
      </c>
      <c r="G1348" t="b">
        <v>1</v>
      </c>
      <c r="H1348">
        <v>70805</v>
      </c>
      <c r="I1348" s="5">
        <v>3.2065535562445602</v>
      </c>
      <c r="J1348" s="14">
        <v>42383.519756944443</v>
      </c>
      <c r="K1348">
        <v>7.99</v>
      </c>
      <c r="L1348" s="5">
        <f>('[1]Pizza Sales Calculations'!$J1348-'[1]Pizza Sales Calculations'!$C1348)*24*60</f>
        <v>16.01666665985249</v>
      </c>
      <c r="M1348">
        <f>COUNTA('[1]Pizza Sales Calculations'!$D1348:$F1348)</f>
        <v>1</v>
      </c>
      <c r="N1348">
        <f>IFERROR(VLOOKUP(D1348,[1]Parameters!$A$3:$C$5,3,FALSE),0)</f>
        <v>1</v>
      </c>
      <c r="O1348">
        <f>IFERROR(VLOOKUP(E1348,[1]Parameters!$A$3:$C$5,3,FALSE),0)</f>
        <v>0</v>
      </c>
      <c r="P1348">
        <f>IFERROR(VLOOKUP(F1348,[1]Parameters!$A$3:$C$5,3,FALSE),0)</f>
        <v>0</v>
      </c>
      <c r="Q1348">
        <f t="shared" si="21"/>
        <v>1</v>
      </c>
      <c r="R1348" s="10">
        <f>IF('[1]Pizza Sales Calculations'!$G1348=TRUE, [1]Parameters!$B$17*'[1]Pizza Sales Calculations'!$L1348*2, 0)</f>
        <v>4.5380555536248721</v>
      </c>
      <c r="S1348" t="str">
        <f>IF(I1348&lt;[1]Parameters!$B$21,"TRUE","FALSE")</f>
        <v>FALSE</v>
      </c>
      <c r="T1348" s="5">
        <f>(I1348/[1]Parameters!$B$25)*60</f>
        <v>6.4131071124891204</v>
      </c>
      <c r="U1348" s="10">
        <f>IF(AND('[1]Pizza Sales Calculations'!G1348=TRUE,'[1]Pizza Sales Calculations'!S1348="TRUE"),T1348*[1]Parameters!$B$40*2,0)</f>
        <v>0</v>
      </c>
      <c r="V1348">
        <f>INDEX([1]Parameters!$A$3:$C$5,MATCH('[1]Pizza Sales Calculations'!D1348,[1]Parameters!$A$3:$A$5,0),2)</f>
        <v>7</v>
      </c>
      <c r="W1348" t="e">
        <f>INDEX([1]Parameters!$A$3:$C$5,MATCH('[1]Pizza Sales Calculations'!E1348,[1]Parameters!$A$3:$A$5,0),2)</f>
        <v>#N/A</v>
      </c>
      <c r="X1348" t="e">
        <f>INDEX([1]Parameters!$A$3:$C$5,MATCH('[1]Pizza Sales Calculations'!F1348,[1]Parameters!$A$3:$A$5,0),2)</f>
        <v>#N/A</v>
      </c>
    </row>
    <row r="1349" spans="1:24" x14ac:dyDescent="0.3">
      <c r="A1349">
        <v>1348</v>
      </c>
      <c r="B1349" s="14">
        <v>42383.534189814818</v>
      </c>
      <c r="C1349" s="14">
        <v>42383.544606481482</v>
      </c>
      <c r="D1349" t="s">
        <v>3</v>
      </c>
      <c r="G1349" t="b">
        <v>0</v>
      </c>
      <c r="H1349">
        <v>70805</v>
      </c>
      <c r="I1349" s="5">
        <v>0</v>
      </c>
      <c r="J1349" s="14">
        <v>42383.546678240738</v>
      </c>
      <c r="K1349">
        <v>7.99</v>
      </c>
      <c r="L1349" s="5">
        <f>('[1]Pizza Sales Calculations'!$J1349-'[1]Pizza Sales Calculations'!$C1349)*24*60</f>
        <v>2.9833333287388086</v>
      </c>
      <c r="M1349">
        <f>COUNTA('[1]Pizza Sales Calculations'!$D1349:$F1349)</f>
        <v>1</v>
      </c>
      <c r="N1349">
        <f>IFERROR(VLOOKUP(D1349,[1]Parameters!$A$3:$C$5,3,FALSE),0)</f>
        <v>1</v>
      </c>
      <c r="O1349">
        <f>IFERROR(VLOOKUP(E1349,[1]Parameters!$A$3:$C$5,3,FALSE),0)</f>
        <v>0</v>
      </c>
      <c r="P1349">
        <f>IFERROR(VLOOKUP(F1349,[1]Parameters!$A$3:$C$5,3,FALSE),0)</f>
        <v>0</v>
      </c>
      <c r="Q1349">
        <f t="shared" si="21"/>
        <v>1</v>
      </c>
      <c r="R1349" s="10">
        <f>IF('[1]Pizza Sales Calculations'!$G1349=TRUE, [1]Parameters!$B$17*'[1]Pizza Sales Calculations'!$L1349*2, 0)</f>
        <v>0</v>
      </c>
      <c r="S1349" t="str">
        <f>IF(I1349&lt;[1]Parameters!$B$21,"TRUE","FALSE")</f>
        <v>TRUE</v>
      </c>
      <c r="T1349" s="5">
        <f>(I1349/[1]Parameters!$B$25)*60</f>
        <v>0</v>
      </c>
      <c r="U1349" s="10">
        <f>IF(AND('[1]Pizza Sales Calculations'!G1349=TRUE,'[1]Pizza Sales Calculations'!S1349="TRUE"),T1349*[1]Parameters!$B$40*2,0)</f>
        <v>0</v>
      </c>
      <c r="V1349">
        <f>INDEX([1]Parameters!$A$3:$C$5,MATCH('[1]Pizza Sales Calculations'!D1349,[1]Parameters!$A$3:$A$5,0),2)</f>
        <v>7</v>
      </c>
      <c r="W1349" t="e">
        <f>INDEX([1]Parameters!$A$3:$C$5,MATCH('[1]Pizza Sales Calculations'!E1349,[1]Parameters!$A$3:$A$5,0),2)</f>
        <v>#N/A</v>
      </c>
      <c r="X1349" t="e">
        <f>INDEX([1]Parameters!$A$3:$C$5,MATCH('[1]Pizza Sales Calculations'!F1349,[1]Parameters!$A$3:$A$5,0),2)</f>
        <v>#N/A</v>
      </c>
    </row>
    <row r="1350" spans="1:24" x14ac:dyDescent="0.3">
      <c r="A1350">
        <v>1349</v>
      </c>
      <c r="B1350" s="14">
        <v>42383.446469907409</v>
      </c>
      <c r="C1350" s="14">
        <v>42383.456886574073</v>
      </c>
      <c r="D1350" t="s">
        <v>3</v>
      </c>
      <c r="E1350" t="s">
        <v>4</v>
      </c>
      <c r="G1350" t="b">
        <v>0</v>
      </c>
      <c r="H1350">
        <v>70805</v>
      </c>
      <c r="I1350" s="5">
        <v>0</v>
      </c>
      <c r="J1350" s="14">
        <v>42383.45894675926</v>
      </c>
      <c r="K1350">
        <v>19.579999999999998</v>
      </c>
      <c r="L1350" s="5">
        <f>('[1]Pizza Sales Calculations'!$J1350-'[1]Pizza Sales Calculations'!$C1350)*24*60</f>
        <v>2.9666666686534882</v>
      </c>
      <c r="M1350">
        <f>COUNTA('[1]Pizza Sales Calculations'!$D1350:$F1350)</f>
        <v>2</v>
      </c>
      <c r="N1350">
        <f>IFERROR(VLOOKUP(D1350,[1]Parameters!$A$3:$C$5,3,FALSE),0)</f>
        <v>1</v>
      </c>
      <c r="O1350">
        <f>IFERROR(VLOOKUP(E1350,[1]Parameters!$A$3:$C$5,3,FALSE),0)</f>
        <v>1.7</v>
      </c>
      <c r="P1350">
        <f>IFERROR(VLOOKUP(F1350,[1]Parameters!$A$3:$C$5,3,FALSE),0)</f>
        <v>0</v>
      </c>
      <c r="Q1350">
        <f t="shared" si="21"/>
        <v>2.7</v>
      </c>
      <c r="R1350" s="10">
        <f>IF('[1]Pizza Sales Calculations'!$G1350=TRUE, [1]Parameters!$B$17*'[1]Pizza Sales Calculations'!$L1350*2, 0)</f>
        <v>0</v>
      </c>
      <c r="S1350" t="str">
        <f>IF(I1350&lt;[1]Parameters!$B$21,"TRUE","FALSE")</f>
        <v>TRUE</v>
      </c>
      <c r="T1350" s="5">
        <f>(I1350/[1]Parameters!$B$25)*60</f>
        <v>0</v>
      </c>
      <c r="U1350" s="10">
        <f>IF(AND('[1]Pizza Sales Calculations'!G1350=TRUE,'[1]Pizza Sales Calculations'!S1350="TRUE"),T1350*[1]Parameters!$B$40*2,0)</f>
        <v>0</v>
      </c>
      <c r="V1350">
        <f>INDEX([1]Parameters!$A$3:$C$5,MATCH('[1]Pizza Sales Calculations'!D1350,[1]Parameters!$A$3:$A$5,0),2)</f>
        <v>7</v>
      </c>
      <c r="W1350">
        <f>INDEX([1]Parameters!$A$3:$C$5,MATCH('[1]Pizza Sales Calculations'!E1350,[1]Parameters!$A$3:$A$5,0),2)</f>
        <v>10</v>
      </c>
      <c r="X1350" t="e">
        <f>INDEX([1]Parameters!$A$3:$C$5,MATCH('[1]Pizza Sales Calculations'!F1350,[1]Parameters!$A$3:$A$5,0),2)</f>
        <v>#N/A</v>
      </c>
    </row>
    <row r="1351" spans="1:24" x14ac:dyDescent="0.3">
      <c r="A1351">
        <v>1350</v>
      </c>
      <c r="B1351" s="14">
        <v>42383.494375000002</v>
      </c>
      <c r="C1351" s="14">
        <v>42383.504791666666</v>
      </c>
      <c r="D1351" t="s">
        <v>4</v>
      </c>
      <c r="G1351" t="b">
        <v>0</v>
      </c>
      <c r="H1351">
        <v>70803</v>
      </c>
      <c r="I1351" s="5">
        <v>0</v>
      </c>
      <c r="J1351" s="14">
        <v>42383.506863425922</v>
      </c>
      <c r="K1351">
        <v>11.59</v>
      </c>
      <c r="L1351" s="5">
        <f>('[1]Pizza Sales Calculations'!$J1351-'[1]Pizza Sales Calculations'!$C1351)*24*60</f>
        <v>2.9833333287388086</v>
      </c>
      <c r="M1351">
        <f>COUNTA('[1]Pizza Sales Calculations'!$D1351:$F1351)</f>
        <v>1</v>
      </c>
      <c r="N1351">
        <f>IFERROR(VLOOKUP(D1351,[1]Parameters!$A$3:$C$5,3,FALSE),0)</f>
        <v>1.7</v>
      </c>
      <c r="O1351">
        <f>IFERROR(VLOOKUP(E1351,[1]Parameters!$A$3:$C$5,3,FALSE),0)</f>
        <v>0</v>
      </c>
      <c r="P1351">
        <f>IFERROR(VLOOKUP(F1351,[1]Parameters!$A$3:$C$5,3,FALSE),0)</f>
        <v>0</v>
      </c>
      <c r="Q1351">
        <f t="shared" si="21"/>
        <v>1.7</v>
      </c>
      <c r="R1351" s="10">
        <f>IF('[1]Pizza Sales Calculations'!$G1351=TRUE, [1]Parameters!$B$17*'[1]Pizza Sales Calculations'!$L1351*2, 0)</f>
        <v>0</v>
      </c>
      <c r="S1351" t="str">
        <f>IF(I1351&lt;[1]Parameters!$B$21,"TRUE","FALSE")</f>
        <v>TRUE</v>
      </c>
      <c r="T1351" s="5">
        <f>(I1351/[1]Parameters!$B$25)*60</f>
        <v>0</v>
      </c>
      <c r="U1351" s="10">
        <f>IF(AND('[1]Pizza Sales Calculations'!G1351=TRUE,'[1]Pizza Sales Calculations'!S1351="TRUE"),T1351*[1]Parameters!$B$40*2,0)</f>
        <v>0</v>
      </c>
      <c r="V1351">
        <f>INDEX([1]Parameters!$A$3:$C$5,MATCH('[1]Pizza Sales Calculations'!D1351,[1]Parameters!$A$3:$A$5,0),2)</f>
        <v>10</v>
      </c>
      <c r="W1351" t="e">
        <f>INDEX([1]Parameters!$A$3:$C$5,MATCH('[1]Pizza Sales Calculations'!E1351,[1]Parameters!$A$3:$A$5,0),2)</f>
        <v>#N/A</v>
      </c>
      <c r="X1351" t="e">
        <f>INDEX([1]Parameters!$A$3:$C$5,MATCH('[1]Pizza Sales Calculations'!F1351,[1]Parameters!$A$3:$A$5,0),2)</f>
        <v>#N/A</v>
      </c>
    </row>
    <row r="1352" spans="1:24" x14ac:dyDescent="0.3">
      <c r="A1352">
        <v>1351</v>
      </c>
      <c r="B1352" s="14">
        <v>42383.506481481483</v>
      </c>
      <c r="C1352" s="14">
        <v>42383.516886574071</v>
      </c>
      <c r="D1352" t="s">
        <v>3</v>
      </c>
      <c r="G1352" t="b">
        <v>0</v>
      </c>
      <c r="H1352">
        <v>70804</v>
      </c>
      <c r="I1352" s="5">
        <v>0</v>
      </c>
      <c r="J1352" s="14">
        <v>42383.518969907411</v>
      </c>
      <c r="K1352">
        <v>7.99</v>
      </c>
      <c r="L1352" s="5">
        <f>('[1]Pizza Sales Calculations'!$J1352-'[1]Pizza Sales Calculations'!$C1352)*24*60</f>
        <v>3.000000009778887</v>
      </c>
      <c r="M1352">
        <f>COUNTA('[1]Pizza Sales Calculations'!$D1352:$F1352)</f>
        <v>1</v>
      </c>
      <c r="N1352">
        <f>IFERROR(VLOOKUP(D1352,[1]Parameters!$A$3:$C$5,3,FALSE),0)</f>
        <v>1</v>
      </c>
      <c r="O1352">
        <f>IFERROR(VLOOKUP(E1352,[1]Parameters!$A$3:$C$5,3,FALSE),0)</f>
        <v>0</v>
      </c>
      <c r="P1352">
        <f>IFERROR(VLOOKUP(F1352,[1]Parameters!$A$3:$C$5,3,FALSE),0)</f>
        <v>0</v>
      </c>
      <c r="Q1352">
        <f t="shared" si="21"/>
        <v>1</v>
      </c>
      <c r="R1352" s="10">
        <f>IF('[1]Pizza Sales Calculations'!$G1352=TRUE, [1]Parameters!$B$17*'[1]Pizza Sales Calculations'!$L1352*2, 0)</f>
        <v>0</v>
      </c>
      <c r="S1352" t="str">
        <f>IF(I1352&lt;[1]Parameters!$B$21,"TRUE","FALSE")</f>
        <v>TRUE</v>
      </c>
      <c r="T1352" s="5">
        <f>(I1352/[1]Parameters!$B$25)*60</f>
        <v>0</v>
      </c>
      <c r="U1352" s="10">
        <f>IF(AND('[1]Pizza Sales Calculations'!G1352=TRUE,'[1]Pizza Sales Calculations'!S1352="TRUE"),T1352*[1]Parameters!$B$40*2,0)</f>
        <v>0</v>
      </c>
      <c r="V1352">
        <f>INDEX([1]Parameters!$A$3:$C$5,MATCH('[1]Pizza Sales Calculations'!D1352,[1]Parameters!$A$3:$A$5,0),2)</f>
        <v>7</v>
      </c>
      <c r="W1352" t="e">
        <f>INDEX([1]Parameters!$A$3:$C$5,MATCH('[1]Pizza Sales Calculations'!E1352,[1]Parameters!$A$3:$A$5,0),2)</f>
        <v>#N/A</v>
      </c>
      <c r="X1352" t="e">
        <f>INDEX([1]Parameters!$A$3:$C$5,MATCH('[1]Pizza Sales Calculations'!F1352,[1]Parameters!$A$3:$A$5,0),2)</f>
        <v>#N/A</v>
      </c>
    </row>
    <row r="1353" spans="1:24" x14ac:dyDescent="0.3">
      <c r="A1353">
        <v>1352</v>
      </c>
      <c r="B1353" s="14">
        <v>42383.428842592592</v>
      </c>
      <c r="C1353" s="14">
        <v>42383.439270833333</v>
      </c>
      <c r="D1353" t="s">
        <v>3</v>
      </c>
      <c r="E1353" t="s">
        <v>4</v>
      </c>
      <c r="G1353" t="b">
        <v>1</v>
      </c>
      <c r="H1353">
        <v>70804</v>
      </c>
      <c r="I1353" s="5">
        <v>4.4613651674390997</v>
      </c>
      <c r="J1353" s="14">
        <v>42383.454756944448</v>
      </c>
      <c r="K1353">
        <v>19.579999999999998</v>
      </c>
      <c r="L1353" s="5">
        <f>('[1]Pizza Sales Calculations'!$J1353-'[1]Pizza Sales Calculations'!$C1353)*24*60</f>
        <v>22.300000005634502</v>
      </c>
      <c r="M1353">
        <f>COUNTA('[1]Pizza Sales Calculations'!$D1353:$F1353)</f>
        <v>2</v>
      </c>
      <c r="N1353">
        <f>IFERROR(VLOOKUP(D1353,[1]Parameters!$A$3:$C$5,3,FALSE),0)</f>
        <v>1</v>
      </c>
      <c r="O1353">
        <f>IFERROR(VLOOKUP(E1353,[1]Parameters!$A$3:$C$5,3,FALSE),0)</f>
        <v>1.7</v>
      </c>
      <c r="P1353">
        <f>IFERROR(VLOOKUP(F1353,[1]Parameters!$A$3:$C$5,3,FALSE),0)</f>
        <v>0</v>
      </c>
      <c r="Q1353">
        <f t="shared" si="21"/>
        <v>2.7</v>
      </c>
      <c r="R1353" s="10">
        <f>IF('[1]Pizza Sales Calculations'!$G1353=TRUE, [1]Parameters!$B$17*'[1]Pizza Sales Calculations'!$L1353*2, 0)</f>
        <v>6.3183333349297754</v>
      </c>
      <c r="S1353" t="str">
        <f>IF(I1353&lt;[1]Parameters!$B$21,"TRUE","FALSE")</f>
        <v>FALSE</v>
      </c>
      <c r="T1353" s="5">
        <f>(I1353/[1]Parameters!$B$25)*60</f>
        <v>8.9227303348781994</v>
      </c>
      <c r="U1353" s="10">
        <f>IF(AND('[1]Pizza Sales Calculations'!G1353=TRUE,'[1]Pizza Sales Calculations'!S1353="TRUE"),T1353*[1]Parameters!$B$40*2,0)</f>
        <v>0</v>
      </c>
      <c r="V1353">
        <f>INDEX([1]Parameters!$A$3:$C$5,MATCH('[1]Pizza Sales Calculations'!D1353,[1]Parameters!$A$3:$A$5,0),2)</f>
        <v>7</v>
      </c>
      <c r="W1353">
        <f>INDEX([1]Parameters!$A$3:$C$5,MATCH('[1]Pizza Sales Calculations'!E1353,[1]Parameters!$A$3:$A$5,0),2)</f>
        <v>10</v>
      </c>
      <c r="X1353" t="e">
        <f>INDEX([1]Parameters!$A$3:$C$5,MATCH('[1]Pizza Sales Calculations'!F1353,[1]Parameters!$A$3:$A$5,0),2)</f>
        <v>#N/A</v>
      </c>
    </row>
    <row r="1354" spans="1:24" x14ac:dyDescent="0.3">
      <c r="A1354">
        <v>1353</v>
      </c>
      <c r="B1354" s="14">
        <v>42383.468877314815</v>
      </c>
      <c r="C1354" s="14">
        <v>42383.479270833333</v>
      </c>
      <c r="D1354" t="s">
        <v>3</v>
      </c>
      <c r="E1354" t="s">
        <v>4</v>
      </c>
      <c r="G1354" t="b">
        <v>1</v>
      </c>
      <c r="H1354">
        <v>70804</v>
      </c>
      <c r="I1354" s="5">
        <v>2.0996471163645798</v>
      </c>
      <c r="J1354" s="14">
        <v>42383.486550925925</v>
      </c>
      <c r="K1354">
        <v>19.579999999999998</v>
      </c>
      <c r="L1354" s="5">
        <f>('[1]Pizza Sales Calculations'!$J1354-'[1]Pizza Sales Calculations'!$C1354)*24*60</f>
        <v>10.483333332231268</v>
      </c>
      <c r="M1354">
        <f>COUNTA('[1]Pizza Sales Calculations'!$D1354:$F1354)</f>
        <v>2</v>
      </c>
      <c r="N1354">
        <f>IFERROR(VLOOKUP(D1354,[1]Parameters!$A$3:$C$5,3,FALSE),0)</f>
        <v>1</v>
      </c>
      <c r="O1354">
        <f>IFERROR(VLOOKUP(E1354,[1]Parameters!$A$3:$C$5,3,FALSE),0)</f>
        <v>1.7</v>
      </c>
      <c r="P1354">
        <f>IFERROR(VLOOKUP(F1354,[1]Parameters!$A$3:$C$5,3,FALSE),0)</f>
        <v>0</v>
      </c>
      <c r="Q1354">
        <f t="shared" si="21"/>
        <v>2.7</v>
      </c>
      <c r="R1354" s="10">
        <f>IF('[1]Pizza Sales Calculations'!$G1354=TRUE, [1]Parameters!$B$17*'[1]Pizza Sales Calculations'!$L1354*2, 0)</f>
        <v>2.970277777465526</v>
      </c>
      <c r="S1354" t="str">
        <f>IF(I1354&lt;[1]Parameters!$B$21,"TRUE","FALSE")</f>
        <v>TRUE</v>
      </c>
      <c r="T1354" s="5">
        <f>(I1354/[1]Parameters!$B$25)*60</f>
        <v>4.1992942327291596</v>
      </c>
      <c r="U1354" s="10">
        <f>IF(AND('[1]Pizza Sales Calculations'!G1354=TRUE,'[1]Pizza Sales Calculations'!S1354="TRUE"),T1354*[1]Parameters!$B$40*2,0)</f>
        <v>0.26213098220387226</v>
      </c>
      <c r="V1354">
        <f>INDEX([1]Parameters!$A$3:$C$5,MATCH('[1]Pizza Sales Calculations'!D1354,[1]Parameters!$A$3:$A$5,0),2)</f>
        <v>7</v>
      </c>
      <c r="W1354">
        <f>INDEX([1]Parameters!$A$3:$C$5,MATCH('[1]Pizza Sales Calculations'!E1354,[1]Parameters!$A$3:$A$5,0),2)</f>
        <v>10</v>
      </c>
      <c r="X1354" t="e">
        <f>INDEX([1]Parameters!$A$3:$C$5,MATCH('[1]Pizza Sales Calculations'!F1354,[1]Parameters!$A$3:$A$5,0),2)</f>
        <v>#N/A</v>
      </c>
    </row>
    <row r="1355" spans="1:24" x14ac:dyDescent="0.3">
      <c r="A1355">
        <v>1354</v>
      </c>
      <c r="B1355" s="14">
        <v>42383.516875000001</v>
      </c>
      <c r="C1355" s="14">
        <v>42383.527291666665</v>
      </c>
      <c r="D1355" t="s">
        <v>4</v>
      </c>
      <c r="G1355" t="b">
        <v>0</v>
      </c>
      <c r="H1355">
        <v>70804</v>
      </c>
      <c r="I1355" s="5">
        <v>0</v>
      </c>
      <c r="J1355" s="14">
        <v>42383.529363425929</v>
      </c>
      <c r="K1355">
        <v>11.59</v>
      </c>
      <c r="L1355" s="5">
        <f>('[1]Pizza Sales Calculations'!$J1355-'[1]Pizza Sales Calculations'!$C1355)*24*60</f>
        <v>2.9833333392161876</v>
      </c>
      <c r="M1355">
        <f>COUNTA('[1]Pizza Sales Calculations'!$D1355:$F1355)</f>
        <v>1</v>
      </c>
      <c r="N1355">
        <f>IFERROR(VLOOKUP(D1355,[1]Parameters!$A$3:$C$5,3,FALSE),0)</f>
        <v>1.7</v>
      </c>
      <c r="O1355">
        <f>IFERROR(VLOOKUP(E1355,[1]Parameters!$A$3:$C$5,3,FALSE),0)</f>
        <v>0</v>
      </c>
      <c r="P1355">
        <f>IFERROR(VLOOKUP(F1355,[1]Parameters!$A$3:$C$5,3,FALSE),0)</f>
        <v>0</v>
      </c>
      <c r="Q1355">
        <f t="shared" si="21"/>
        <v>1.7</v>
      </c>
      <c r="R1355" s="10">
        <f>IF('[1]Pizza Sales Calculations'!$G1355=TRUE, [1]Parameters!$B$17*'[1]Pizza Sales Calculations'!$L1355*2, 0)</f>
        <v>0</v>
      </c>
      <c r="S1355" t="str">
        <f>IF(I1355&lt;[1]Parameters!$B$21,"TRUE","FALSE")</f>
        <v>TRUE</v>
      </c>
      <c r="T1355" s="5">
        <f>(I1355/[1]Parameters!$B$25)*60</f>
        <v>0</v>
      </c>
      <c r="U1355" s="10">
        <f>IF(AND('[1]Pizza Sales Calculations'!G1355=TRUE,'[1]Pizza Sales Calculations'!S1355="TRUE"),T1355*[1]Parameters!$B$40*2,0)</f>
        <v>0</v>
      </c>
      <c r="V1355">
        <f>INDEX([1]Parameters!$A$3:$C$5,MATCH('[1]Pizza Sales Calculations'!D1355,[1]Parameters!$A$3:$A$5,0),2)</f>
        <v>10</v>
      </c>
      <c r="W1355" t="e">
        <f>INDEX([1]Parameters!$A$3:$C$5,MATCH('[1]Pizza Sales Calculations'!E1355,[1]Parameters!$A$3:$A$5,0),2)</f>
        <v>#N/A</v>
      </c>
      <c r="X1355" t="e">
        <f>INDEX([1]Parameters!$A$3:$C$5,MATCH('[1]Pizza Sales Calculations'!F1355,[1]Parameters!$A$3:$A$5,0),2)</f>
        <v>#N/A</v>
      </c>
    </row>
    <row r="1356" spans="1:24" x14ac:dyDescent="0.3">
      <c r="A1356">
        <v>1355</v>
      </c>
      <c r="B1356" s="14">
        <v>42383.486875000002</v>
      </c>
      <c r="C1356" s="14">
        <v>42383.49726851852</v>
      </c>
      <c r="D1356" t="s">
        <v>3</v>
      </c>
      <c r="E1356" t="s">
        <v>5</v>
      </c>
      <c r="G1356" t="b">
        <v>0</v>
      </c>
      <c r="H1356">
        <v>70805</v>
      </c>
      <c r="I1356" s="5">
        <v>0</v>
      </c>
      <c r="J1356" s="14">
        <v>42383.499328703707</v>
      </c>
      <c r="K1356">
        <v>23.34</v>
      </c>
      <c r="L1356" s="5">
        <f>('[1]Pizza Sales Calculations'!$J1356-'[1]Pizza Sales Calculations'!$C1356)*24*60</f>
        <v>2.9666666686534882</v>
      </c>
      <c r="M1356">
        <f>COUNTA('[1]Pizza Sales Calculations'!$D1356:$F1356)</f>
        <v>2</v>
      </c>
      <c r="N1356">
        <f>IFERROR(VLOOKUP(D1356,[1]Parameters!$A$3:$C$5,3,FALSE),0)</f>
        <v>1</v>
      </c>
      <c r="O1356">
        <f>IFERROR(VLOOKUP(E1356,[1]Parameters!$A$3:$C$5,3,FALSE),0)</f>
        <v>2.2999999999999998</v>
      </c>
      <c r="P1356">
        <f>IFERROR(VLOOKUP(F1356,[1]Parameters!$A$3:$C$5,3,FALSE),0)</f>
        <v>0</v>
      </c>
      <c r="Q1356">
        <f t="shared" si="21"/>
        <v>3.3</v>
      </c>
      <c r="R1356" s="10">
        <f>IF('[1]Pizza Sales Calculations'!$G1356=TRUE, [1]Parameters!$B$17*'[1]Pizza Sales Calculations'!$L1356*2, 0)</f>
        <v>0</v>
      </c>
      <c r="S1356" t="str">
        <f>IF(I1356&lt;[1]Parameters!$B$21,"TRUE","FALSE")</f>
        <v>TRUE</v>
      </c>
      <c r="T1356" s="5">
        <f>(I1356/[1]Parameters!$B$25)*60</f>
        <v>0</v>
      </c>
      <c r="U1356" s="10">
        <f>IF(AND('[1]Pizza Sales Calculations'!G1356=TRUE,'[1]Pizza Sales Calculations'!S1356="TRUE"),T1356*[1]Parameters!$B$40*2,0)</f>
        <v>0</v>
      </c>
      <c r="V1356">
        <f>INDEX([1]Parameters!$A$3:$C$5,MATCH('[1]Pizza Sales Calculations'!D1356,[1]Parameters!$A$3:$A$5,0),2)</f>
        <v>7</v>
      </c>
      <c r="W1356">
        <f>INDEX([1]Parameters!$A$3:$C$5,MATCH('[1]Pizza Sales Calculations'!E1356,[1]Parameters!$A$3:$A$5,0),2)</f>
        <v>14</v>
      </c>
      <c r="X1356" t="e">
        <f>INDEX([1]Parameters!$A$3:$C$5,MATCH('[1]Pizza Sales Calculations'!F1356,[1]Parameters!$A$3:$A$5,0),2)</f>
        <v>#N/A</v>
      </c>
    </row>
    <row r="1357" spans="1:24" x14ac:dyDescent="0.3">
      <c r="A1357">
        <v>1356</v>
      </c>
      <c r="B1357" s="14">
        <v>42383.50172453704</v>
      </c>
      <c r="C1357" s="14">
        <v>42383.512129629627</v>
      </c>
      <c r="D1357" t="s">
        <v>4</v>
      </c>
      <c r="G1357" t="b">
        <v>0</v>
      </c>
      <c r="H1357">
        <v>70804</v>
      </c>
      <c r="I1357" s="5">
        <v>0</v>
      </c>
      <c r="J1357" s="14">
        <v>42383.51421296296</v>
      </c>
      <c r="K1357">
        <v>11.59</v>
      </c>
      <c r="L1357" s="5">
        <f>('[1]Pizza Sales Calculations'!$J1357-'[1]Pizza Sales Calculations'!$C1357)*24*60</f>
        <v>2.9999999993015081</v>
      </c>
      <c r="M1357">
        <f>COUNTA('[1]Pizza Sales Calculations'!$D1357:$F1357)</f>
        <v>1</v>
      </c>
      <c r="N1357">
        <f>IFERROR(VLOOKUP(D1357,[1]Parameters!$A$3:$C$5,3,FALSE),0)</f>
        <v>1.7</v>
      </c>
      <c r="O1357">
        <f>IFERROR(VLOOKUP(E1357,[1]Parameters!$A$3:$C$5,3,FALSE),0)</f>
        <v>0</v>
      </c>
      <c r="P1357">
        <f>IFERROR(VLOOKUP(F1357,[1]Parameters!$A$3:$C$5,3,FALSE),0)</f>
        <v>0</v>
      </c>
      <c r="Q1357">
        <f t="shared" si="21"/>
        <v>1.7</v>
      </c>
      <c r="R1357" s="10">
        <f>IF('[1]Pizza Sales Calculations'!$G1357=TRUE, [1]Parameters!$B$17*'[1]Pizza Sales Calculations'!$L1357*2, 0)</f>
        <v>0</v>
      </c>
      <c r="S1357" t="str">
        <f>IF(I1357&lt;[1]Parameters!$B$21,"TRUE","FALSE")</f>
        <v>TRUE</v>
      </c>
      <c r="T1357" s="5">
        <f>(I1357/[1]Parameters!$B$25)*60</f>
        <v>0</v>
      </c>
      <c r="U1357" s="10">
        <f>IF(AND('[1]Pizza Sales Calculations'!G1357=TRUE,'[1]Pizza Sales Calculations'!S1357="TRUE"),T1357*[1]Parameters!$B$40*2,0)</f>
        <v>0</v>
      </c>
      <c r="V1357">
        <f>INDEX([1]Parameters!$A$3:$C$5,MATCH('[1]Pizza Sales Calculations'!D1357,[1]Parameters!$A$3:$A$5,0),2)</f>
        <v>10</v>
      </c>
      <c r="W1357" t="e">
        <f>INDEX([1]Parameters!$A$3:$C$5,MATCH('[1]Pizza Sales Calculations'!E1357,[1]Parameters!$A$3:$A$5,0),2)</f>
        <v>#N/A</v>
      </c>
      <c r="X1357" t="e">
        <f>INDEX([1]Parameters!$A$3:$C$5,MATCH('[1]Pizza Sales Calculations'!F1357,[1]Parameters!$A$3:$A$5,0),2)</f>
        <v>#N/A</v>
      </c>
    </row>
    <row r="1358" spans="1:24" x14ac:dyDescent="0.3">
      <c r="A1358">
        <v>1357</v>
      </c>
      <c r="B1358" s="14">
        <v>42383.479907407411</v>
      </c>
      <c r="C1358" s="14">
        <v>42383.490324074075</v>
      </c>
      <c r="D1358" t="s">
        <v>4</v>
      </c>
      <c r="G1358" t="b">
        <v>0</v>
      </c>
      <c r="H1358">
        <v>70807</v>
      </c>
      <c r="I1358" s="5">
        <v>0</v>
      </c>
      <c r="J1358" s="14">
        <v>42383.492395833331</v>
      </c>
      <c r="K1358">
        <v>11.59</v>
      </c>
      <c r="L1358" s="5">
        <f>('[1]Pizza Sales Calculations'!$J1358-'[1]Pizza Sales Calculations'!$C1358)*24*60</f>
        <v>2.9833333287388086</v>
      </c>
      <c r="M1358">
        <f>COUNTA('[1]Pizza Sales Calculations'!$D1358:$F1358)</f>
        <v>1</v>
      </c>
      <c r="N1358">
        <f>IFERROR(VLOOKUP(D1358,[1]Parameters!$A$3:$C$5,3,FALSE),0)</f>
        <v>1.7</v>
      </c>
      <c r="O1358">
        <f>IFERROR(VLOOKUP(E1358,[1]Parameters!$A$3:$C$5,3,FALSE),0)</f>
        <v>0</v>
      </c>
      <c r="P1358">
        <f>IFERROR(VLOOKUP(F1358,[1]Parameters!$A$3:$C$5,3,FALSE),0)</f>
        <v>0</v>
      </c>
      <c r="Q1358">
        <f t="shared" si="21"/>
        <v>1.7</v>
      </c>
      <c r="R1358" s="10">
        <f>IF('[1]Pizza Sales Calculations'!$G1358=TRUE, [1]Parameters!$B$17*'[1]Pizza Sales Calculations'!$L1358*2, 0)</f>
        <v>0</v>
      </c>
      <c r="S1358" t="str">
        <f>IF(I1358&lt;[1]Parameters!$B$21,"TRUE","FALSE")</f>
        <v>TRUE</v>
      </c>
      <c r="T1358" s="5">
        <f>(I1358/[1]Parameters!$B$25)*60</f>
        <v>0</v>
      </c>
      <c r="U1358" s="10">
        <f>IF(AND('[1]Pizza Sales Calculations'!G1358=TRUE,'[1]Pizza Sales Calculations'!S1358="TRUE"),T1358*[1]Parameters!$B$40*2,0)</f>
        <v>0</v>
      </c>
      <c r="V1358">
        <f>INDEX([1]Parameters!$A$3:$C$5,MATCH('[1]Pizza Sales Calculations'!D1358,[1]Parameters!$A$3:$A$5,0),2)</f>
        <v>10</v>
      </c>
      <c r="W1358" t="e">
        <f>INDEX([1]Parameters!$A$3:$C$5,MATCH('[1]Pizza Sales Calculations'!E1358,[1]Parameters!$A$3:$A$5,0),2)</f>
        <v>#N/A</v>
      </c>
      <c r="X1358" t="e">
        <f>INDEX([1]Parameters!$A$3:$C$5,MATCH('[1]Pizza Sales Calculations'!F1358,[1]Parameters!$A$3:$A$5,0),2)</f>
        <v>#N/A</v>
      </c>
    </row>
    <row r="1359" spans="1:24" x14ac:dyDescent="0.3">
      <c r="A1359">
        <v>1358</v>
      </c>
      <c r="B1359" s="14">
        <v>42383.514849537038</v>
      </c>
      <c r="C1359" s="14">
        <v>42383.525266203702</v>
      </c>
      <c r="D1359" t="s">
        <v>3</v>
      </c>
      <c r="G1359" t="b">
        <v>1</v>
      </c>
      <c r="H1359">
        <v>70803</v>
      </c>
      <c r="I1359" s="5">
        <v>4.2003345872690403</v>
      </c>
      <c r="J1359" s="14">
        <v>42383.539849537039</v>
      </c>
      <c r="K1359">
        <v>7.99</v>
      </c>
      <c r="L1359" s="5">
        <f>('[1]Pizza Sales Calculations'!$J1359-'[1]Pizza Sales Calculations'!$C1359)*24*60</f>
        <v>21.000000005587935</v>
      </c>
      <c r="M1359">
        <f>COUNTA('[1]Pizza Sales Calculations'!$D1359:$F1359)</f>
        <v>1</v>
      </c>
      <c r="N1359">
        <f>IFERROR(VLOOKUP(D1359,[1]Parameters!$A$3:$C$5,3,FALSE),0)</f>
        <v>1</v>
      </c>
      <c r="O1359">
        <f>IFERROR(VLOOKUP(E1359,[1]Parameters!$A$3:$C$5,3,FALSE),0)</f>
        <v>0</v>
      </c>
      <c r="P1359">
        <f>IFERROR(VLOOKUP(F1359,[1]Parameters!$A$3:$C$5,3,FALSE),0)</f>
        <v>0</v>
      </c>
      <c r="Q1359">
        <f t="shared" si="21"/>
        <v>1</v>
      </c>
      <c r="R1359" s="10">
        <f>IF('[1]Pizza Sales Calculations'!$G1359=TRUE, [1]Parameters!$B$17*'[1]Pizza Sales Calculations'!$L1359*2, 0)</f>
        <v>5.9500000015832484</v>
      </c>
      <c r="S1359" t="str">
        <f>IF(I1359&lt;[1]Parameters!$B$21,"TRUE","FALSE")</f>
        <v>FALSE</v>
      </c>
      <c r="T1359" s="5">
        <f>(I1359/[1]Parameters!$B$25)*60</f>
        <v>8.4006691745380806</v>
      </c>
      <c r="U1359" s="10">
        <f>IF(AND('[1]Pizza Sales Calculations'!G1359=TRUE,'[1]Pizza Sales Calculations'!S1359="TRUE"),T1359*[1]Parameters!$B$40*2,0)</f>
        <v>0</v>
      </c>
      <c r="V1359">
        <f>INDEX([1]Parameters!$A$3:$C$5,MATCH('[1]Pizza Sales Calculations'!D1359,[1]Parameters!$A$3:$A$5,0),2)</f>
        <v>7</v>
      </c>
      <c r="W1359" t="e">
        <f>INDEX([1]Parameters!$A$3:$C$5,MATCH('[1]Pizza Sales Calculations'!E1359,[1]Parameters!$A$3:$A$5,0),2)</f>
        <v>#N/A</v>
      </c>
      <c r="X1359" t="e">
        <f>INDEX([1]Parameters!$A$3:$C$5,MATCH('[1]Pizza Sales Calculations'!F1359,[1]Parameters!$A$3:$A$5,0),2)</f>
        <v>#N/A</v>
      </c>
    </row>
    <row r="1360" spans="1:24" x14ac:dyDescent="0.3">
      <c r="A1360">
        <v>1359</v>
      </c>
      <c r="B1360" s="14">
        <v>42383.4528587963</v>
      </c>
      <c r="C1360" s="14">
        <v>42383.463263888887</v>
      </c>
      <c r="D1360" t="s">
        <v>5</v>
      </c>
      <c r="G1360" t="b">
        <v>1</v>
      </c>
      <c r="H1360">
        <v>70806</v>
      </c>
      <c r="I1360" s="5">
        <v>1.6591518587196401</v>
      </c>
      <c r="J1360" s="14">
        <v>42383.4690162037</v>
      </c>
      <c r="K1360">
        <v>15.35</v>
      </c>
      <c r="L1360" s="5">
        <f>('[1]Pizza Sales Calculations'!$J1360-'[1]Pizza Sales Calculations'!$C1360)*24*60</f>
        <v>8.2833333313465118</v>
      </c>
      <c r="M1360">
        <f>COUNTA('[1]Pizza Sales Calculations'!$D1360:$F1360)</f>
        <v>1</v>
      </c>
      <c r="N1360">
        <f>IFERROR(VLOOKUP(D1360,[1]Parameters!$A$3:$C$5,3,FALSE),0)</f>
        <v>2.2999999999999998</v>
      </c>
      <c r="O1360">
        <f>IFERROR(VLOOKUP(E1360,[1]Parameters!$A$3:$C$5,3,FALSE),0)</f>
        <v>0</v>
      </c>
      <c r="P1360">
        <f>IFERROR(VLOOKUP(F1360,[1]Parameters!$A$3:$C$5,3,FALSE),0)</f>
        <v>0</v>
      </c>
      <c r="Q1360">
        <f t="shared" si="21"/>
        <v>2.2999999999999998</v>
      </c>
      <c r="R1360" s="10">
        <f>IF('[1]Pizza Sales Calculations'!$G1360=TRUE, [1]Parameters!$B$17*'[1]Pizza Sales Calculations'!$L1360*2, 0)</f>
        <v>2.3469444438815117</v>
      </c>
      <c r="S1360" t="str">
        <f>IF(I1360&lt;[1]Parameters!$B$21,"TRUE","FALSE")</f>
        <v>TRUE</v>
      </c>
      <c r="T1360" s="5">
        <f>(I1360/[1]Parameters!$B$25)*60</f>
        <v>3.3183037174392802</v>
      </c>
      <c r="U1360" s="10">
        <f>IF(AND('[1]Pizza Sales Calculations'!G1360=TRUE,'[1]Pizza Sales Calculations'!S1360="TRUE"),T1360*[1]Parameters!$B$40*2,0)</f>
        <v>0.20713723890164479</v>
      </c>
      <c r="V1360">
        <f>INDEX([1]Parameters!$A$3:$C$5,MATCH('[1]Pizza Sales Calculations'!D1360,[1]Parameters!$A$3:$A$5,0),2)</f>
        <v>14</v>
      </c>
      <c r="W1360" t="e">
        <f>INDEX([1]Parameters!$A$3:$C$5,MATCH('[1]Pizza Sales Calculations'!E1360,[1]Parameters!$A$3:$A$5,0),2)</f>
        <v>#N/A</v>
      </c>
      <c r="X1360" t="e">
        <f>INDEX([1]Parameters!$A$3:$C$5,MATCH('[1]Pizza Sales Calculations'!F1360,[1]Parameters!$A$3:$A$5,0),2)</f>
        <v>#N/A</v>
      </c>
    </row>
    <row r="1361" spans="1:24" x14ac:dyDescent="0.3">
      <c r="A1361">
        <v>1360</v>
      </c>
      <c r="B1361" s="14">
        <v>42383.476168981484</v>
      </c>
      <c r="C1361" s="14">
        <v>42383.486550925925</v>
      </c>
      <c r="D1361" t="s">
        <v>3</v>
      </c>
      <c r="E1361" t="s">
        <v>4</v>
      </c>
      <c r="G1361" t="b">
        <v>1</v>
      </c>
      <c r="H1361">
        <v>70806</v>
      </c>
      <c r="I1361" s="5">
        <v>2.7800264115397999</v>
      </c>
      <c r="J1361" s="14">
        <v>42383.496203703704</v>
      </c>
      <c r="K1361">
        <v>19.579999999999998</v>
      </c>
      <c r="L1361" s="5">
        <f>('[1]Pizza Sales Calculations'!$J1361-'[1]Pizza Sales Calculations'!$C1361)*24*60</f>
        <v>13.900000001303852</v>
      </c>
      <c r="M1361">
        <f>COUNTA('[1]Pizza Sales Calculations'!$D1361:$F1361)</f>
        <v>2</v>
      </c>
      <c r="N1361">
        <f>IFERROR(VLOOKUP(D1361,[1]Parameters!$A$3:$C$5,3,FALSE),0)</f>
        <v>1</v>
      </c>
      <c r="O1361">
        <f>IFERROR(VLOOKUP(E1361,[1]Parameters!$A$3:$C$5,3,FALSE),0)</f>
        <v>1.7</v>
      </c>
      <c r="P1361">
        <f>IFERROR(VLOOKUP(F1361,[1]Parameters!$A$3:$C$5,3,FALSE),0)</f>
        <v>0</v>
      </c>
      <c r="Q1361">
        <f t="shared" si="21"/>
        <v>2.7</v>
      </c>
      <c r="R1361" s="10">
        <f>IF('[1]Pizza Sales Calculations'!$G1361=TRUE, [1]Parameters!$B$17*'[1]Pizza Sales Calculations'!$L1361*2, 0)</f>
        <v>3.938333333702758</v>
      </c>
      <c r="S1361" t="str">
        <f>IF(I1361&lt;[1]Parameters!$B$21,"TRUE","FALSE")</f>
        <v>TRUE</v>
      </c>
      <c r="T1361" s="5">
        <f>(I1361/[1]Parameters!$B$25)*60</f>
        <v>5.5600528230795998</v>
      </c>
      <c r="U1361" s="10">
        <f>IF(AND('[1]Pizza Sales Calculations'!G1361=TRUE,'[1]Pizza Sales Calculations'!S1361="TRUE"),T1361*[1]Parameters!$B$40*2,0)</f>
        <v>0.34707310963348487</v>
      </c>
      <c r="V1361">
        <f>INDEX([1]Parameters!$A$3:$C$5,MATCH('[1]Pizza Sales Calculations'!D1361,[1]Parameters!$A$3:$A$5,0),2)</f>
        <v>7</v>
      </c>
      <c r="W1361">
        <f>INDEX([1]Parameters!$A$3:$C$5,MATCH('[1]Pizza Sales Calculations'!E1361,[1]Parameters!$A$3:$A$5,0),2)</f>
        <v>10</v>
      </c>
      <c r="X1361" t="e">
        <f>INDEX([1]Parameters!$A$3:$C$5,MATCH('[1]Pizza Sales Calculations'!F1361,[1]Parameters!$A$3:$A$5,0),2)</f>
        <v>#N/A</v>
      </c>
    </row>
    <row r="1362" spans="1:24" x14ac:dyDescent="0.3">
      <c r="A1362">
        <v>1361</v>
      </c>
      <c r="B1362" s="14">
        <v>42383.541087962964</v>
      </c>
      <c r="C1362" s="14">
        <v>42383.551504629628</v>
      </c>
      <c r="D1362" t="s">
        <v>4</v>
      </c>
      <c r="G1362" t="b">
        <v>1</v>
      </c>
      <c r="H1362">
        <v>70805</v>
      </c>
      <c r="I1362" s="5">
        <v>3.4185537663712302</v>
      </c>
      <c r="J1362" s="14">
        <v>42383.563368055555</v>
      </c>
      <c r="K1362">
        <v>11.59</v>
      </c>
      <c r="L1362" s="5">
        <f>('[1]Pizza Sales Calculations'!$J1362-'[1]Pizza Sales Calculations'!$C1362)*24*60</f>
        <v>17.083333334885538</v>
      </c>
      <c r="M1362">
        <f>COUNTA('[1]Pizza Sales Calculations'!$D1362:$F1362)</f>
        <v>1</v>
      </c>
      <c r="N1362">
        <f>IFERROR(VLOOKUP(D1362,[1]Parameters!$A$3:$C$5,3,FALSE),0)</f>
        <v>1.7</v>
      </c>
      <c r="O1362">
        <f>IFERROR(VLOOKUP(E1362,[1]Parameters!$A$3:$C$5,3,FALSE),0)</f>
        <v>0</v>
      </c>
      <c r="P1362">
        <f>IFERROR(VLOOKUP(F1362,[1]Parameters!$A$3:$C$5,3,FALSE),0)</f>
        <v>0</v>
      </c>
      <c r="Q1362">
        <f t="shared" si="21"/>
        <v>1.7</v>
      </c>
      <c r="R1362" s="10">
        <f>IF('[1]Pizza Sales Calculations'!$G1362=TRUE, [1]Parameters!$B$17*'[1]Pizza Sales Calculations'!$L1362*2, 0)</f>
        <v>4.840277778217569</v>
      </c>
      <c r="S1362" t="str">
        <f>IF(I1362&lt;[1]Parameters!$B$21,"TRUE","FALSE")</f>
        <v>FALSE</v>
      </c>
      <c r="T1362" s="5">
        <f>(I1362/[1]Parameters!$B$25)*60</f>
        <v>6.8371075327424604</v>
      </c>
      <c r="U1362" s="10">
        <f>IF(AND('[1]Pizza Sales Calculations'!G1362=TRUE,'[1]Pizza Sales Calculations'!S1362="TRUE"),T1362*[1]Parameters!$B$40*2,0)</f>
        <v>0</v>
      </c>
      <c r="V1362">
        <f>INDEX([1]Parameters!$A$3:$C$5,MATCH('[1]Pizza Sales Calculations'!D1362,[1]Parameters!$A$3:$A$5,0),2)</f>
        <v>10</v>
      </c>
      <c r="W1362" t="e">
        <f>INDEX([1]Parameters!$A$3:$C$5,MATCH('[1]Pizza Sales Calculations'!E1362,[1]Parameters!$A$3:$A$5,0),2)</f>
        <v>#N/A</v>
      </c>
      <c r="X1362" t="e">
        <f>INDEX([1]Parameters!$A$3:$C$5,MATCH('[1]Pizza Sales Calculations'!F1362,[1]Parameters!$A$3:$A$5,0),2)</f>
        <v>#N/A</v>
      </c>
    </row>
    <row r="1363" spans="1:24" x14ac:dyDescent="0.3">
      <c r="A1363">
        <v>1362</v>
      </c>
      <c r="B1363" s="14">
        <v>42383.533854166664</v>
      </c>
      <c r="C1363" s="14">
        <v>42383.544259259259</v>
      </c>
      <c r="D1363" t="s">
        <v>4</v>
      </c>
      <c r="E1363" t="s">
        <v>5</v>
      </c>
      <c r="G1363" t="b">
        <v>1</v>
      </c>
      <c r="H1363">
        <v>70805</v>
      </c>
      <c r="I1363" s="5">
        <v>3.8888640045125702</v>
      </c>
      <c r="J1363" s="14">
        <v>42383.557754629626</v>
      </c>
      <c r="K1363">
        <v>25.94</v>
      </c>
      <c r="L1363" s="5">
        <f>('[1]Pizza Sales Calculations'!$J1363-'[1]Pizza Sales Calculations'!$C1363)*24*60</f>
        <v>19.433333328925073</v>
      </c>
      <c r="M1363">
        <f>COUNTA('[1]Pizza Sales Calculations'!$D1363:$F1363)</f>
        <v>2</v>
      </c>
      <c r="N1363">
        <f>IFERROR(VLOOKUP(D1363,[1]Parameters!$A$3:$C$5,3,FALSE),0)</f>
        <v>1.7</v>
      </c>
      <c r="O1363">
        <f>IFERROR(VLOOKUP(E1363,[1]Parameters!$A$3:$C$5,3,FALSE),0)</f>
        <v>2.2999999999999998</v>
      </c>
      <c r="P1363">
        <f>IFERROR(VLOOKUP(F1363,[1]Parameters!$A$3:$C$5,3,FALSE),0)</f>
        <v>0</v>
      </c>
      <c r="Q1363">
        <f t="shared" si="21"/>
        <v>4</v>
      </c>
      <c r="R1363" s="10">
        <f>IF('[1]Pizza Sales Calculations'!$G1363=TRUE, [1]Parameters!$B$17*'[1]Pizza Sales Calculations'!$L1363*2, 0)</f>
        <v>5.5061111098621041</v>
      </c>
      <c r="S1363" t="str">
        <f>IF(I1363&lt;[1]Parameters!$B$21,"TRUE","FALSE")</f>
        <v>FALSE</v>
      </c>
      <c r="T1363" s="5">
        <f>(I1363/[1]Parameters!$B$25)*60</f>
        <v>7.7777280090251395</v>
      </c>
      <c r="U1363" s="10">
        <f>IF(AND('[1]Pizza Sales Calculations'!G1363=TRUE,'[1]Pizza Sales Calculations'!S1363="TRUE"),T1363*[1]Parameters!$B$40*2,0)</f>
        <v>0</v>
      </c>
      <c r="V1363">
        <f>INDEX([1]Parameters!$A$3:$C$5,MATCH('[1]Pizza Sales Calculations'!D1363,[1]Parameters!$A$3:$A$5,0),2)</f>
        <v>10</v>
      </c>
      <c r="W1363">
        <f>INDEX([1]Parameters!$A$3:$C$5,MATCH('[1]Pizza Sales Calculations'!E1363,[1]Parameters!$A$3:$A$5,0),2)</f>
        <v>14</v>
      </c>
      <c r="X1363" t="e">
        <f>INDEX([1]Parameters!$A$3:$C$5,MATCH('[1]Pizza Sales Calculations'!F1363,[1]Parameters!$A$3:$A$5,0),2)</f>
        <v>#N/A</v>
      </c>
    </row>
    <row r="1364" spans="1:24" x14ac:dyDescent="0.3">
      <c r="A1364">
        <v>1363</v>
      </c>
      <c r="B1364" s="14">
        <v>42383.518587962964</v>
      </c>
      <c r="C1364" s="14">
        <v>42383.528993055559</v>
      </c>
      <c r="D1364" t="s">
        <v>5</v>
      </c>
      <c r="G1364" t="b">
        <v>0</v>
      </c>
      <c r="H1364">
        <v>70804</v>
      </c>
      <c r="I1364" s="5">
        <v>0</v>
      </c>
      <c r="J1364" s="14">
        <v>42383.531064814815</v>
      </c>
      <c r="K1364">
        <v>15.35</v>
      </c>
      <c r="L1364" s="5">
        <f>('[1]Pizza Sales Calculations'!$J1364-'[1]Pizza Sales Calculations'!$C1364)*24*60</f>
        <v>2.9833333287388086</v>
      </c>
      <c r="M1364">
        <f>COUNTA('[1]Pizza Sales Calculations'!$D1364:$F1364)</f>
        <v>1</v>
      </c>
      <c r="N1364">
        <f>IFERROR(VLOOKUP(D1364,[1]Parameters!$A$3:$C$5,3,FALSE),0)</f>
        <v>2.2999999999999998</v>
      </c>
      <c r="O1364">
        <f>IFERROR(VLOOKUP(E1364,[1]Parameters!$A$3:$C$5,3,FALSE),0)</f>
        <v>0</v>
      </c>
      <c r="P1364">
        <f>IFERROR(VLOOKUP(F1364,[1]Parameters!$A$3:$C$5,3,FALSE),0)</f>
        <v>0</v>
      </c>
      <c r="Q1364">
        <f t="shared" si="21"/>
        <v>2.2999999999999998</v>
      </c>
      <c r="R1364" s="10">
        <f>IF('[1]Pizza Sales Calculations'!$G1364=TRUE, [1]Parameters!$B$17*'[1]Pizza Sales Calculations'!$L1364*2, 0)</f>
        <v>0</v>
      </c>
      <c r="S1364" t="str">
        <f>IF(I1364&lt;[1]Parameters!$B$21,"TRUE","FALSE")</f>
        <v>TRUE</v>
      </c>
      <c r="T1364" s="5">
        <f>(I1364/[1]Parameters!$B$25)*60</f>
        <v>0</v>
      </c>
      <c r="U1364" s="10">
        <f>IF(AND('[1]Pizza Sales Calculations'!G1364=TRUE,'[1]Pizza Sales Calculations'!S1364="TRUE"),T1364*[1]Parameters!$B$40*2,0)</f>
        <v>0</v>
      </c>
      <c r="V1364">
        <f>INDEX([1]Parameters!$A$3:$C$5,MATCH('[1]Pizza Sales Calculations'!D1364,[1]Parameters!$A$3:$A$5,0),2)</f>
        <v>14</v>
      </c>
      <c r="W1364" t="e">
        <f>INDEX([1]Parameters!$A$3:$C$5,MATCH('[1]Pizza Sales Calculations'!E1364,[1]Parameters!$A$3:$A$5,0),2)</f>
        <v>#N/A</v>
      </c>
      <c r="X1364" t="e">
        <f>INDEX([1]Parameters!$A$3:$C$5,MATCH('[1]Pizza Sales Calculations'!F1364,[1]Parameters!$A$3:$A$5,0),2)</f>
        <v>#N/A</v>
      </c>
    </row>
    <row r="1365" spans="1:24" x14ac:dyDescent="0.3">
      <c r="A1365">
        <v>1364</v>
      </c>
      <c r="B1365" s="14">
        <v>42383.527407407404</v>
      </c>
      <c r="C1365" s="14">
        <v>42383.537835648145</v>
      </c>
      <c r="D1365" t="s">
        <v>3</v>
      </c>
      <c r="E1365" t="s">
        <v>4</v>
      </c>
      <c r="G1365" t="b">
        <v>0</v>
      </c>
      <c r="H1365">
        <v>70805</v>
      </c>
      <c r="I1365" s="5">
        <v>0</v>
      </c>
      <c r="J1365" s="14">
        <v>42383.539930555555</v>
      </c>
      <c r="K1365">
        <v>19.579999999999998</v>
      </c>
      <c r="L1365" s="5">
        <f>('[1]Pizza Sales Calculations'!$J1365-'[1]Pizza Sales Calculations'!$C1365)*24*60</f>
        <v>3.0166666698642075</v>
      </c>
      <c r="M1365">
        <f>COUNTA('[1]Pizza Sales Calculations'!$D1365:$F1365)</f>
        <v>2</v>
      </c>
      <c r="N1365">
        <f>IFERROR(VLOOKUP(D1365,[1]Parameters!$A$3:$C$5,3,FALSE),0)</f>
        <v>1</v>
      </c>
      <c r="O1365">
        <f>IFERROR(VLOOKUP(E1365,[1]Parameters!$A$3:$C$5,3,FALSE),0)</f>
        <v>1.7</v>
      </c>
      <c r="P1365">
        <f>IFERROR(VLOOKUP(F1365,[1]Parameters!$A$3:$C$5,3,FALSE),0)</f>
        <v>0</v>
      </c>
      <c r="Q1365">
        <f t="shared" si="21"/>
        <v>2.7</v>
      </c>
      <c r="R1365" s="10">
        <f>IF('[1]Pizza Sales Calculations'!$G1365=TRUE, [1]Parameters!$B$17*'[1]Pizza Sales Calculations'!$L1365*2, 0)</f>
        <v>0</v>
      </c>
      <c r="S1365" t="str">
        <f>IF(I1365&lt;[1]Parameters!$B$21,"TRUE","FALSE")</f>
        <v>TRUE</v>
      </c>
      <c r="T1365" s="5">
        <f>(I1365/[1]Parameters!$B$25)*60</f>
        <v>0</v>
      </c>
      <c r="U1365" s="10">
        <f>IF(AND('[1]Pizza Sales Calculations'!G1365=TRUE,'[1]Pizza Sales Calculations'!S1365="TRUE"),T1365*[1]Parameters!$B$40*2,0)</f>
        <v>0</v>
      </c>
      <c r="V1365">
        <f>INDEX([1]Parameters!$A$3:$C$5,MATCH('[1]Pizza Sales Calculations'!D1365,[1]Parameters!$A$3:$A$5,0),2)</f>
        <v>7</v>
      </c>
      <c r="W1365">
        <f>INDEX([1]Parameters!$A$3:$C$5,MATCH('[1]Pizza Sales Calculations'!E1365,[1]Parameters!$A$3:$A$5,0),2)</f>
        <v>10</v>
      </c>
      <c r="X1365" t="e">
        <f>INDEX([1]Parameters!$A$3:$C$5,MATCH('[1]Pizza Sales Calculations'!F1365,[1]Parameters!$A$3:$A$5,0),2)</f>
        <v>#N/A</v>
      </c>
    </row>
    <row r="1366" spans="1:24" x14ac:dyDescent="0.3">
      <c r="A1366">
        <v>1365</v>
      </c>
      <c r="B1366" s="14">
        <v>42383.479560185187</v>
      </c>
      <c r="C1366" s="14">
        <v>42383.489988425928</v>
      </c>
      <c r="D1366" t="s">
        <v>4</v>
      </c>
      <c r="E1366" t="s">
        <v>5</v>
      </c>
      <c r="G1366" t="b">
        <v>0</v>
      </c>
      <c r="H1366">
        <v>70805</v>
      </c>
      <c r="I1366" s="5">
        <v>0</v>
      </c>
      <c r="J1366" s="14">
        <v>42383.492071759261</v>
      </c>
      <c r="K1366">
        <v>25.94</v>
      </c>
      <c r="L1366" s="5">
        <f>('[1]Pizza Sales Calculations'!$J1366-'[1]Pizza Sales Calculations'!$C1366)*24*60</f>
        <v>2.9999999993015081</v>
      </c>
      <c r="M1366">
        <f>COUNTA('[1]Pizza Sales Calculations'!$D1366:$F1366)</f>
        <v>2</v>
      </c>
      <c r="N1366">
        <f>IFERROR(VLOOKUP(D1366,[1]Parameters!$A$3:$C$5,3,FALSE),0)</f>
        <v>1.7</v>
      </c>
      <c r="O1366">
        <f>IFERROR(VLOOKUP(E1366,[1]Parameters!$A$3:$C$5,3,FALSE),0)</f>
        <v>2.2999999999999998</v>
      </c>
      <c r="P1366">
        <f>IFERROR(VLOOKUP(F1366,[1]Parameters!$A$3:$C$5,3,FALSE),0)</f>
        <v>0</v>
      </c>
      <c r="Q1366">
        <f t="shared" si="21"/>
        <v>4</v>
      </c>
      <c r="R1366" s="10">
        <f>IF('[1]Pizza Sales Calculations'!$G1366=TRUE, [1]Parameters!$B$17*'[1]Pizza Sales Calculations'!$L1366*2, 0)</f>
        <v>0</v>
      </c>
      <c r="S1366" t="str">
        <f>IF(I1366&lt;[1]Parameters!$B$21,"TRUE","FALSE")</f>
        <v>TRUE</v>
      </c>
      <c r="T1366" s="5">
        <f>(I1366/[1]Parameters!$B$25)*60</f>
        <v>0</v>
      </c>
      <c r="U1366" s="10">
        <f>IF(AND('[1]Pizza Sales Calculations'!G1366=TRUE,'[1]Pizza Sales Calculations'!S1366="TRUE"),T1366*[1]Parameters!$B$40*2,0)</f>
        <v>0</v>
      </c>
      <c r="V1366">
        <f>INDEX([1]Parameters!$A$3:$C$5,MATCH('[1]Pizza Sales Calculations'!D1366,[1]Parameters!$A$3:$A$5,0),2)</f>
        <v>10</v>
      </c>
      <c r="W1366">
        <f>INDEX([1]Parameters!$A$3:$C$5,MATCH('[1]Pizza Sales Calculations'!E1366,[1]Parameters!$A$3:$A$5,0),2)</f>
        <v>14</v>
      </c>
      <c r="X1366" t="e">
        <f>INDEX([1]Parameters!$A$3:$C$5,MATCH('[1]Pizza Sales Calculations'!F1366,[1]Parameters!$A$3:$A$5,0),2)</f>
        <v>#N/A</v>
      </c>
    </row>
    <row r="1367" spans="1:24" x14ac:dyDescent="0.3">
      <c r="A1367">
        <v>1366</v>
      </c>
      <c r="B1367" s="14">
        <v>42383.50037037037</v>
      </c>
      <c r="C1367" s="14">
        <v>42383.510787037034</v>
      </c>
      <c r="D1367" t="s">
        <v>5</v>
      </c>
      <c r="G1367" t="b">
        <v>1</v>
      </c>
      <c r="H1367">
        <v>70804</v>
      </c>
      <c r="I1367" s="5">
        <v>2.65667324460036</v>
      </c>
      <c r="J1367" s="14">
        <v>42383.520011574074</v>
      </c>
      <c r="K1367">
        <v>15.35</v>
      </c>
      <c r="L1367" s="5">
        <f>('[1]Pizza Sales Calculations'!$J1367-'[1]Pizza Sales Calculations'!$C1367)*24*60</f>
        <v>13.283333337167278</v>
      </c>
      <c r="M1367">
        <f>COUNTA('[1]Pizza Sales Calculations'!$D1367:$F1367)</f>
        <v>1</v>
      </c>
      <c r="N1367">
        <f>IFERROR(VLOOKUP(D1367,[1]Parameters!$A$3:$C$5,3,FALSE),0)</f>
        <v>2.2999999999999998</v>
      </c>
      <c r="O1367">
        <f>IFERROR(VLOOKUP(E1367,[1]Parameters!$A$3:$C$5,3,FALSE),0)</f>
        <v>0</v>
      </c>
      <c r="P1367">
        <f>IFERROR(VLOOKUP(F1367,[1]Parameters!$A$3:$C$5,3,FALSE),0)</f>
        <v>0</v>
      </c>
      <c r="Q1367">
        <f t="shared" si="21"/>
        <v>2.2999999999999998</v>
      </c>
      <c r="R1367" s="10">
        <f>IF('[1]Pizza Sales Calculations'!$G1367=TRUE, [1]Parameters!$B$17*'[1]Pizza Sales Calculations'!$L1367*2, 0)</f>
        <v>3.7636111121973954</v>
      </c>
      <c r="S1367" t="str">
        <f>IF(I1367&lt;[1]Parameters!$B$21,"TRUE","FALSE")</f>
        <v>TRUE</v>
      </c>
      <c r="T1367" s="5">
        <f>(I1367/[1]Parameters!$B$25)*60</f>
        <v>5.3133464892007201</v>
      </c>
      <c r="U1367" s="10">
        <f>IF(AND('[1]Pizza Sales Calculations'!G1367=TRUE,'[1]Pizza Sales Calculations'!S1367="TRUE"),T1367*[1]Parameters!$B$40*2,0)</f>
        <v>0.3316730519019841</v>
      </c>
      <c r="V1367">
        <f>INDEX([1]Parameters!$A$3:$C$5,MATCH('[1]Pizza Sales Calculations'!D1367,[1]Parameters!$A$3:$A$5,0),2)</f>
        <v>14</v>
      </c>
      <c r="W1367" t="e">
        <f>INDEX([1]Parameters!$A$3:$C$5,MATCH('[1]Pizza Sales Calculations'!E1367,[1]Parameters!$A$3:$A$5,0),2)</f>
        <v>#N/A</v>
      </c>
      <c r="X1367" t="e">
        <f>INDEX([1]Parameters!$A$3:$C$5,MATCH('[1]Pizza Sales Calculations'!F1367,[1]Parameters!$A$3:$A$5,0),2)</f>
        <v>#N/A</v>
      </c>
    </row>
    <row r="1368" spans="1:24" x14ac:dyDescent="0.3">
      <c r="A1368">
        <v>1367</v>
      </c>
      <c r="B1368" s="14">
        <v>42383.431793981479</v>
      </c>
      <c r="C1368" s="14">
        <v>42383.442199074074</v>
      </c>
      <c r="D1368" t="s">
        <v>5</v>
      </c>
      <c r="G1368" t="b">
        <v>0</v>
      </c>
      <c r="H1368">
        <v>70805</v>
      </c>
      <c r="I1368" s="5">
        <v>0</v>
      </c>
      <c r="J1368" s="14">
        <v>42383.444282407407</v>
      </c>
      <c r="K1368">
        <v>15.35</v>
      </c>
      <c r="L1368" s="5">
        <f>('[1]Pizza Sales Calculations'!$J1368-'[1]Pizza Sales Calculations'!$C1368)*24*60</f>
        <v>2.9999999993015081</v>
      </c>
      <c r="M1368">
        <f>COUNTA('[1]Pizza Sales Calculations'!$D1368:$F1368)</f>
        <v>1</v>
      </c>
      <c r="N1368">
        <f>IFERROR(VLOOKUP(D1368,[1]Parameters!$A$3:$C$5,3,FALSE),0)</f>
        <v>2.2999999999999998</v>
      </c>
      <c r="O1368">
        <f>IFERROR(VLOOKUP(E1368,[1]Parameters!$A$3:$C$5,3,FALSE),0)</f>
        <v>0</v>
      </c>
      <c r="P1368">
        <f>IFERROR(VLOOKUP(F1368,[1]Parameters!$A$3:$C$5,3,FALSE),0)</f>
        <v>0</v>
      </c>
      <c r="Q1368">
        <f t="shared" si="21"/>
        <v>2.2999999999999998</v>
      </c>
      <c r="R1368" s="10">
        <f>IF('[1]Pizza Sales Calculations'!$G1368=TRUE, [1]Parameters!$B$17*'[1]Pizza Sales Calculations'!$L1368*2, 0)</f>
        <v>0</v>
      </c>
      <c r="S1368" t="str">
        <f>IF(I1368&lt;[1]Parameters!$B$21,"TRUE","FALSE")</f>
        <v>TRUE</v>
      </c>
      <c r="T1368" s="5">
        <f>(I1368/[1]Parameters!$B$25)*60</f>
        <v>0</v>
      </c>
      <c r="U1368" s="10">
        <f>IF(AND('[1]Pizza Sales Calculations'!G1368=TRUE,'[1]Pizza Sales Calculations'!S1368="TRUE"),T1368*[1]Parameters!$B$40*2,0)</f>
        <v>0</v>
      </c>
      <c r="V1368">
        <f>INDEX([1]Parameters!$A$3:$C$5,MATCH('[1]Pizza Sales Calculations'!D1368,[1]Parameters!$A$3:$A$5,0),2)</f>
        <v>14</v>
      </c>
      <c r="W1368" t="e">
        <f>INDEX([1]Parameters!$A$3:$C$5,MATCH('[1]Pizza Sales Calculations'!E1368,[1]Parameters!$A$3:$A$5,0),2)</f>
        <v>#N/A</v>
      </c>
      <c r="X1368" t="e">
        <f>INDEX([1]Parameters!$A$3:$C$5,MATCH('[1]Pizza Sales Calculations'!F1368,[1]Parameters!$A$3:$A$5,0),2)</f>
        <v>#N/A</v>
      </c>
    </row>
    <row r="1369" spans="1:24" x14ac:dyDescent="0.3">
      <c r="A1369">
        <v>1368</v>
      </c>
      <c r="B1369" s="14">
        <v>42383.430312500001</v>
      </c>
      <c r="C1369" s="14">
        <v>42383.440717592595</v>
      </c>
      <c r="D1369" t="s">
        <v>4</v>
      </c>
      <c r="G1369" t="b">
        <v>1</v>
      </c>
      <c r="H1369">
        <v>70805</v>
      </c>
      <c r="I1369" s="5">
        <v>5.0017622374964299</v>
      </c>
      <c r="J1369" s="14">
        <v>42383.458078703705</v>
      </c>
      <c r="K1369">
        <v>11.59</v>
      </c>
      <c r="L1369" s="5">
        <f>('[1]Pizza Sales Calculations'!$J1369-'[1]Pizza Sales Calculations'!$C1369)*24*60</f>
        <v>24.999999997671694</v>
      </c>
      <c r="M1369">
        <f>COUNTA('[1]Pizza Sales Calculations'!$D1369:$F1369)</f>
        <v>1</v>
      </c>
      <c r="N1369">
        <f>IFERROR(VLOOKUP(D1369,[1]Parameters!$A$3:$C$5,3,FALSE),0)</f>
        <v>1.7</v>
      </c>
      <c r="O1369">
        <f>IFERROR(VLOOKUP(E1369,[1]Parameters!$A$3:$C$5,3,FALSE),0)</f>
        <v>0</v>
      </c>
      <c r="P1369">
        <f>IFERROR(VLOOKUP(F1369,[1]Parameters!$A$3:$C$5,3,FALSE),0)</f>
        <v>0</v>
      </c>
      <c r="Q1369">
        <f t="shared" si="21"/>
        <v>1.7</v>
      </c>
      <c r="R1369" s="10">
        <f>IF('[1]Pizza Sales Calculations'!$G1369=TRUE, [1]Parameters!$B$17*'[1]Pizza Sales Calculations'!$L1369*2, 0)</f>
        <v>7.0833333326736465</v>
      </c>
      <c r="S1369" t="str">
        <f>IF(I1369&lt;[1]Parameters!$B$21,"TRUE","FALSE")</f>
        <v>FALSE</v>
      </c>
      <c r="T1369" s="5">
        <f>(I1369/[1]Parameters!$B$25)*60</f>
        <v>10.00352447499286</v>
      </c>
      <c r="U1369" s="10">
        <f>IF(AND('[1]Pizza Sales Calculations'!G1369=TRUE,'[1]Pizza Sales Calculations'!S1369="TRUE"),T1369*[1]Parameters!$B$40*2,0)</f>
        <v>0</v>
      </c>
      <c r="V1369">
        <f>INDEX([1]Parameters!$A$3:$C$5,MATCH('[1]Pizza Sales Calculations'!D1369,[1]Parameters!$A$3:$A$5,0),2)</f>
        <v>10</v>
      </c>
      <c r="W1369" t="e">
        <f>INDEX([1]Parameters!$A$3:$C$5,MATCH('[1]Pizza Sales Calculations'!E1369,[1]Parameters!$A$3:$A$5,0),2)</f>
        <v>#N/A</v>
      </c>
      <c r="X1369" t="e">
        <f>INDEX([1]Parameters!$A$3:$C$5,MATCH('[1]Pizza Sales Calculations'!F1369,[1]Parameters!$A$3:$A$5,0),2)</f>
        <v>#N/A</v>
      </c>
    </row>
    <row r="1370" spans="1:24" x14ac:dyDescent="0.3">
      <c r="A1370">
        <v>1369</v>
      </c>
      <c r="B1370" s="14">
        <v>42383.481886574074</v>
      </c>
      <c r="C1370" s="14">
        <v>42383.492291666669</v>
      </c>
      <c r="D1370" t="s">
        <v>3</v>
      </c>
      <c r="G1370" t="b">
        <v>1</v>
      </c>
      <c r="H1370">
        <v>70803</v>
      </c>
      <c r="I1370" s="5">
        <v>4.13624786258708</v>
      </c>
      <c r="J1370" s="14">
        <v>42383.506643518522</v>
      </c>
      <c r="K1370">
        <v>7.99</v>
      </c>
      <c r="L1370" s="5">
        <f>('[1]Pizza Sales Calculations'!$J1370-'[1]Pizza Sales Calculations'!$C1370)*24*60</f>
        <v>20.666666667675599</v>
      </c>
      <c r="M1370">
        <f>COUNTA('[1]Pizza Sales Calculations'!$D1370:$F1370)</f>
        <v>1</v>
      </c>
      <c r="N1370">
        <f>IFERROR(VLOOKUP(D1370,[1]Parameters!$A$3:$C$5,3,FALSE),0)</f>
        <v>1</v>
      </c>
      <c r="O1370">
        <f>IFERROR(VLOOKUP(E1370,[1]Parameters!$A$3:$C$5,3,FALSE),0)</f>
        <v>0</v>
      </c>
      <c r="P1370">
        <f>IFERROR(VLOOKUP(F1370,[1]Parameters!$A$3:$C$5,3,FALSE),0)</f>
        <v>0</v>
      </c>
      <c r="Q1370">
        <f t="shared" si="21"/>
        <v>1</v>
      </c>
      <c r="R1370" s="10">
        <f>IF('[1]Pizza Sales Calculations'!$G1370=TRUE, [1]Parameters!$B$17*'[1]Pizza Sales Calculations'!$L1370*2, 0)</f>
        <v>5.8555555558414198</v>
      </c>
      <c r="S1370" t="str">
        <f>IF(I1370&lt;[1]Parameters!$B$21,"TRUE","FALSE")</f>
        <v>FALSE</v>
      </c>
      <c r="T1370" s="5">
        <f>(I1370/[1]Parameters!$B$25)*60</f>
        <v>8.27249572517416</v>
      </c>
      <c r="U1370" s="10">
        <f>IF(AND('[1]Pizza Sales Calculations'!G1370=TRUE,'[1]Pizza Sales Calculations'!S1370="TRUE"),T1370*[1]Parameters!$B$40*2,0)</f>
        <v>0</v>
      </c>
      <c r="V1370">
        <f>INDEX([1]Parameters!$A$3:$C$5,MATCH('[1]Pizza Sales Calculations'!D1370,[1]Parameters!$A$3:$A$5,0),2)</f>
        <v>7</v>
      </c>
      <c r="W1370" t="e">
        <f>INDEX([1]Parameters!$A$3:$C$5,MATCH('[1]Pizza Sales Calculations'!E1370,[1]Parameters!$A$3:$A$5,0),2)</f>
        <v>#N/A</v>
      </c>
      <c r="X1370" t="e">
        <f>INDEX([1]Parameters!$A$3:$C$5,MATCH('[1]Pizza Sales Calculations'!F1370,[1]Parameters!$A$3:$A$5,0),2)</f>
        <v>#N/A</v>
      </c>
    </row>
    <row r="1371" spans="1:24" x14ac:dyDescent="0.3">
      <c r="A1371">
        <v>1370</v>
      </c>
      <c r="B1371" s="14">
        <v>42383.466215277775</v>
      </c>
      <c r="C1371" s="14">
        <v>42383.4766087963</v>
      </c>
      <c r="D1371" t="s">
        <v>5</v>
      </c>
      <c r="G1371" t="b">
        <v>1</v>
      </c>
      <c r="H1371">
        <v>70804</v>
      </c>
      <c r="I1371" s="5">
        <v>5.6996388637273396</v>
      </c>
      <c r="J1371" s="14">
        <v>42383.496388888889</v>
      </c>
      <c r="K1371">
        <v>15.35</v>
      </c>
      <c r="L1371" s="5">
        <f>('[1]Pizza Sales Calculations'!$J1371-'[1]Pizza Sales Calculations'!$C1371)*24*60</f>
        <v>28.483333328040317</v>
      </c>
      <c r="M1371">
        <f>COUNTA('[1]Pizza Sales Calculations'!$D1371:$F1371)</f>
        <v>1</v>
      </c>
      <c r="N1371">
        <f>IFERROR(VLOOKUP(D1371,[1]Parameters!$A$3:$C$5,3,FALSE),0)</f>
        <v>2.2999999999999998</v>
      </c>
      <c r="O1371">
        <f>IFERROR(VLOOKUP(E1371,[1]Parameters!$A$3:$C$5,3,FALSE),0)</f>
        <v>0</v>
      </c>
      <c r="P1371">
        <f>IFERROR(VLOOKUP(F1371,[1]Parameters!$A$3:$C$5,3,FALSE),0)</f>
        <v>0</v>
      </c>
      <c r="Q1371">
        <f t="shared" si="21"/>
        <v>2.2999999999999998</v>
      </c>
      <c r="R1371" s="10">
        <f>IF('[1]Pizza Sales Calculations'!$G1371=TRUE, [1]Parameters!$B$17*'[1]Pizza Sales Calculations'!$L1371*2, 0)</f>
        <v>8.0702777762780897</v>
      </c>
      <c r="S1371" t="str">
        <f>IF(I1371&lt;[1]Parameters!$B$21,"TRUE","FALSE")</f>
        <v>FALSE</v>
      </c>
      <c r="T1371" s="5">
        <f>(I1371/[1]Parameters!$B$25)*60</f>
        <v>11.399277727454679</v>
      </c>
      <c r="U1371" s="10">
        <f>IF(AND('[1]Pizza Sales Calculations'!G1371=TRUE,'[1]Pizza Sales Calculations'!S1371="TRUE"),T1371*[1]Parameters!$B$40*2,0)</f>
        <v>0</v>
      </c>
      <c r="V1371">
        <f>INDEX([1]Parameters!$A$3:$C$5,MATCH('[1]Pizza Sales Calculations'!D1371,[1]Parameters!$A$3:$A$5,0),2)</f>
        <v>14</v>
      </c>
      <c r="W1371" t="e">
        <f>INDEX([1]Parameters!$A$3:$C$5,MATCH('[1]Pizza Sales Calculations'!E1371,[1]Parameters!$A$3:$A$5,0),2)</f>
        <v>#N/A</v>
      </c>
      <c r="X1371" t="e">
        <f>INDEX([1]Parameters!$A$3:$C$5,MATCH('[1]Pizza Sales Calculations'!F1371,[1]Parameters!$A$3:$A$5,0),2)</f>
        <v>#N/A</v>
      </c>
    </row>
    <row r="1372" spans="1:24" x14ac:dyDescent="0.3">
      <c r="A1372">
        <v>1371</v>
      </c>
      <c r="B1372" s="14">
        <v>42383.573101851849</v>
      </c>
      <c r="C1372" s="14">
        <v>42383.583518518521</v>
      </c>
      <c r="D1372" t="s">
        <v>5</v>
      </c>
      <c r="G1372" t="b">
        <v>1</v>
      </c>
      <c r="H1372">
        <v>70805</v>
      </c>
      <c r="I1372" s="5">
        <v>0.77524199139377103</v>
      </c>
      <c r="J1372" s="14">
        <v>42383.5862037037</v>
      </c>
      <c r="K1372">
        <v>15.35</v>
      </c>
      <c r="L1372" s="5">
        <f>('[1]Pizza Sales Calculations'!$J1372-'[1]Pizza Sales Calculations'!$C1372)*24*60</f>
        <v>3.8666666590142995</v>
      </c>
      <c r="M1372">
        <f>COUNTA('[1]Pizza Sales Calculations'!$D1372:$F1372)</f>
        <v>1</v>
      </c>
      <c r="N1372">
        <f>IFERROR(VLOOKUP(D1372,[1]Parameters!$A$3:$C$5,3,FALSE),0)</f>
        <v>2.2999999999999998</v>
      </c>
      <c r="O1372">
        <f>IFERROR(VLOOKUP(E1372,[1]Parameters!$A$3:$C$5,3,FALSE),0)</f>
        <v>0</v>
      </c>
      <c r="P1372">
        <f>IFERROR(VLOOKUP(F1372,[1]Parameters!$A$3:$C$5,3,FALSE),0)</f>
        <v>0</v>
      </c>
      <c r="Q1372">
        <f t="shared" si="21"/>
        <v>2.2999999999999998</v>
      </c>
      <c r="R1372" s="10">
        <f>IF('[1]Pizza Sales Calculations'!$G1372=TRUE, [1]Parameters!$B$17*'[1]Pizza Sales Calculations'!$L1372*2, 0)</f>
        <v>1.0955555533873849</v>
      </c>
      <c r="S1372" t="str">
        <f>IF(I1372&lt;[1]Parameters!$B$21,"TRUE","FALSE")</f>
        <v>TRUE</v>
      </c>
      <c r="T1372" s="5">
        <f>(I1372/[1]Parameters!$B$25)*60</f>
        <v>1.5504839827875421</v>
      </c>
      <c r="U1372" s="10">
        <f>IF(AND('[1]Pizza Sales Calculations'!G1372=TRUE,'[1]Pizza Sales Calculations'!S1372="TRUE"),T1372*[1]Parameters!$B$40*2,0)</f>
        <v>9.678528504427461E-2</v>
      </c>
      <c r="V1372">
        <f>INDEX([1]Parameters!$A$3:$C$5,MATCH('[1]Pizza Sales Calculations'!D1372,[1]Parameters!$A$3:$A$5,0),2)</f>
        <v>14</v>
      </c>
      <c r="W1372" t="e">
        <f>INDEX([1]Parameters!$A$3:$C$5,MATCH('[1]Pizza Sales Calculations'!E1372,[1]Parameters!$A$3:$A$5,0),2)</f>
        <v>#N/A</v>
      </c>
      <c r="X1372" t="e">
        <f>INDEX([1]Parameters!$A$3:$C$5,MATCH('[1]Pizza Sales Calculations'!F1372,[1]Parameters!$A$3:$A$5,0),2)</f>
        <v>#N/A</v>
      </c>
    </row>
    <row r="1373" spans="1:24" x14ac:dyDescent="0.3">
      <c r="A1373">
        <v>1372</v>
      </c>
      <c r="B1373" s="14">
        <v>42383.654814814814</v>
      </c>
      <c r="C1373" s="14">
        <v>42383.665243055555</v>
      </c>
      <c r="D1373" t="s">
        <v>5</v>
      </c>
      <c r="G1373" t="b">
        <v>0</v>
      </c>
      <c r="H1373">
        <v>70806</v>
      </c>
      <c r="I1373" s="5">
        <v>0</v>
      </c>
      <c r="J1373" s="14">
        <v>42383.667314814818</v>
      </c>
      <c r="K1373">
        <v>15.35</v>
      </c>
      <c r="L1373" s="5">
        <f>('[1]Pizza Sales Calculations'!$J1373-'[1]Pizza Sales Calculations'!$C1373)*24*60</f>
        <v>2.9833333392161876</v>
      </c>
      <c r="M1373">
        <f>COUNTA('[1]Pizza Sales Calculations'!$D1373:$F1373)</f>
        <v>1</v>
      </c>
      <c r="N1373">
        <f>IFERROR(VLOOKUP(D1373,[1]Parameters!$A$3:$C$5,3,FALSE),0)</f>
        <v>2.2999999999999998</v>
      </c>
      <c r="O1373">
        <f>IFERROR(VLOOKUP(E1373,[1]Parameters!$A$3:$C$5,3,FALSE),0)</f>
        <v>0</v>
      </c>
      <c r="P1373">
        <f>IFERROR(VLOOKUP(F1373,[1]Parameters!$A$3:$C$5,3,FALSE),0)</f>
        <v>0</v>
      </c>
      <c r="Q1373">
        <f t="shared" si="21"/>
        <v>2.2999999999999998</v>
      </c>
      <c r="R1373" s="10">
        <f>IF('[1]Pizza Sales Calculations'!$G1373=TRUE, [1]Parameters!$B$17*'[1]Pizza Sales Calculations'!$L1373*2, 0)</f>
        <v>0</v>
      </c>
      <c r="S1373" t="str">
        <f>IF(I1373&lt;[1]Parameters!$B$21,"TRUE","FALSE")</f>
        <v>TRUE</v>
      </c>
      <c r="T1373" s="5">
        <f>(I1373/[1]Parameters!$B$25)*60</f>
        <v>0</v>
      </c>
      <c r="U1373" s="10">
        <f>IF(AND('[1]Pizza Sales Calculations'!G1373=TRUE,'[1]Pizza Sales Calculations'!S1373="TRUE"),T1373*[1]Parameters!$B$40*2,0)</f>
        <v>0</v>
      </c>
      <c r="V1373">
        <f>INDEX([1]Parameters!$A$3:$C$5,MATCH('[1]Pizza Sales Calculations'!D1373,[1]Parameters!$A$3:$A$5,0),2)</f>
        <v>14</v>
      </c>
      <c r="W1373" t="e">
        <f>INDEX([1]Parameters!$A$3:$C$5,MATCH('[1]Pizza Sales Calculations'!E1373,[1]Parameters!$A$3:$A$5,0),2)</f>
        <v>#N/A</v>
      </c>
      <c r="X1373" t="e">
        <f>INDEX([1]Parameters!$A$3:$C$5,MATCH('[1]Pizza Sales Calculations'!F1373,[1]Parameters!$A$3:$A$5,0),2)</f>
        <v>#N/A</v>
      </c>
    </row>
    <row r="1374" spans="1:24" x14ac:dyDescent="0.3">
      <c r="A1374">
        <v>1373</v>
      </c>
      <c r="B1374" s="14">
        <v>42383.479398148149</v>
      </c>
      <c r="C1374" s="14">
        <v>42383.48982638889</v>
      </c>
      <c r="D1374" t="s">
        <v>5</v>
      </c>
      <c r="G1374" t="b">
        <v>1</v>
      </c>
      <c r="H1374">
        <v>70805</v>
      </c>
      <c r="I1374" s="5">
        <v>3.2910359277910302</v>
      </c>
      <c r="J1374" s="14">
        <v>42383.501250000001</v>
      </c>
      <c r="K1374">
        <v>15.35</v>
      </c>
      <c r="L1374" s="5">
        <f>('[1]Pizza Sales Calculations'!$J1374-'[1]Pizza Sales Calculations'!$C1374)*24*60</f>
        <v>16.450000000186265</v>
      </c>
      <c r="M1374">
        <f>COUNTA('[1]Pizza Sales Calculations'!$D1374:$F1374)</f>
        <v>1</v>
      </c>
      <c r="N1374">
        <f>IFERROR(VLOOKUP(D1374,[1]Parameters!$A$3:$C$5,3,FALSE),0)</f>
        <v>2.2999999999999998</v>
      </c>
      <c r="O1374">
        <f>IFERROR(VLOOKUP(E1374,[1]Parameters!$A$3:$C$5,3,FALSE),0)</f>
        <v>0</v>
      </c>
      <c r="P1374">
        <f>IFERROR(VLOOKUP(F1374,[1]Parameters!$A$3:$C$5,3,FALSE),0)</f>
        <v>0</v>
      </c>
      <c r="Q1374">
        <f t="shared" si="21"/>
        <v>2.2999999999999998</v>
      </c>
      <c r="R1374" s="10">
        <f>IF('[1]Pizza Sales Calculations'!$G1374=TRUE, [1]Parameters!$B$17*'[1]Pizza Sales Calculations'!$L1374*2, 0)</f>
        <v>4.6608333333861083</v>
      </c>
      <c r="S1374" t="str">
        <f>IF(I1374&lt;[1]Parameters!$B$21,"TRUE","FALSE")</f>
        <v>FALSE</v>
      </c>
      <c r="T1374" s="5">
        <f>(I1374/[1]Parameters!$B$25)*60</f>
        <v>6.5820718555820603</v>
      </c>
      <c r="U1374" s="10">
        <f>IF(AND('[1]Pizza Sales Calculations'!G1374=TRUE,'[1]Pizza Sales Calculations'!S1374="TRUE"),T1374*[1]Parameters!$B$40*2,0)</f>
        <v>0</v>
      </c>
      <c r="V1374">
        <f>INDEX([1]Parameters!$A$3:$C$5,MATCH('[1]Pizza Sales Calculations'!D1374,[1]Parameters!$A$3:$A$5,0),2)</f>
        <v>14</v>
      </c>
      <c r="W1374" t="e">
        <f>INDEX([1]Parameters!$A$3:$C$5,MATCH('[1]Pizza Sales Calculations'!E1374,[1]Parameters!$A$3:$A$5,0),2)</f>
        <v>#N/A</v>
      </c>
      <c r="X1374" t="e">
        <f>INDEX([1]Parameters!$A$3:$C$5,MATCH('[1]Pizza Sales Calculations'!F1374,[1]Parameters!$A$3:$A$5,0),2)</f>
        <v>#N/A</v>
      </c>
    </row>
    <row r="1375" spans="1:24" x14ac:dyDescent="0.3">
      <c r="A1375">
        <v>1374</v>
      </c>
      <c r="B1375" s="14">
        <v>42383.545324074075</v>
      </c>
      <c r="C1375" s="14">
        <v>42383.55572916667</v>
      </c>
      <c r="D1375" t="s">
        <v>4</v>
      </c>
      <c r="G1375" t="b">
        <v>0</v>
      </c>
      <c r="H1375">
        <v>70804</v>
      </c>
      <c r="I1375" s="5">
        <v>0</v>
      </c>
      <c r="J1375" s="14">
        <v>42383.557800925926</v>
      </c>
      <c r="K1375">
        <v>11.59</v>
      </c>
      <c r="L1375" s="5">
        <f>('[1]Pizza Sales Calculations'!$J1375-'[1]Pizza Sales Calculations'!$C1375)*24*60</f>
        <v>2.9833333287388086</v>
      </c>
      <c r="M1375">
        <f>COUNTA('[1]Pizza Sales Calculations'!$D1375:$F1375)</f>
        <v>1</v>
      </c>
      <c r="N1375">
        <f>IFERROR(VLOOKUP(D1375,[1]Parameters!$A$3:$C$5,3,FALSE),0)</f>
        <v>1.7</v>
      </c>
      <c r="O1375">
        <f>IFERROR(VLOOKUP(E1375,[1]Parameters!$A$3:$C$5,3,FALSE),0)</f>
        <v>0</v>
      </c>
      <c r="P1375">
        <f>IFERROR(VLOOKUP(F1375,[1]Parameters!$A$3:$C$5,3,FALSE),0)</f>
        <v>0</v>
      </c>
      <c r="Q1375">
        <f t="shared" si="21"/>
        <v>1.7</v>
      </c>
      <c r="R1375" s="10">
        <f>IF('[1]Pizza Sales Calculations'!$G1375=TRUE, [1]Parameters!$B$17*'[1]Pizza Sales Calculations'!$L1375*2, 0)</f>
        <v>0</v>
      </c>
      <c r="S1375" t="str">
        <f>IF(I1375&lt;[1]Parameters!$B$21,"TRUE","FALSE")</f>
        <v>TRUE</v>
      </c>
      <c r="T1375" s="5">
        <f>(I1375/[1]Parameters!$B$25)*60</f>
        <v>0</v>
      </c>
      <c r="U1375" s="10">
        <f>IF(AND('[1]Pizza Sales Calculations'!G1375=TRUE,'[1]Pizza Sales Calculations'!S1375="TRUE"),T1375*[1]Parameters!$B$40*2,0)</f>
        <v>0</v>
      </c>
      <c r="V1375">
        <f>INDEX([1]Parameters!$A$3:$C$5,MATCH('[1]Pizza Sales Calculations'!D1375,[1]Parameters!$A$3:$A$5,0),2)</f>
        <v>10</v>
      </c>
      <c r="W1375" t="e">
        <f>INDEX([1]Parameters!$A$3:$C$5,MATCH('[1]Pizza Sales Calculations'!E1375,[1]Parameters!$A$3:$A$5,0),2)</f>
        <v>#N/A</v>
      </c>
      <c r="X1375" t="e">
        <f>INDEX([1]Parameters!$A$3:$C$5,MATCH('[1]Pizza Sales Calculations'!F1375,[1]Parameters!$A$3:$A$5,0),2)</f>
        <v>#N/A</v>
      </c>
    </row>
    <row r="1376" spans="1:24" x14ac:dyDescent="0.3">
      <c r="A1376">
        <v>1375</v>
      </c>
      <c r="B1376" s="14">
        <v>42383.482881944445</v>
      </c>
      <c r="C1376" s="14">
        <v>42383.493298611109</v>
      </c>
      <c r="D1376" t="s">
        <v>3</v>
      </c>
      <c r="G1376" t="b">
        <v>0</v>
      </c>
      <c r="H1376">
        <v>70805</v>
      </c>
      <c r="I1376" s="5">
        <v>0</v>
      </c>
      <c r="J1376" s="14">
        <v>42383.495370370372</v>
      </c>
      <c r="K1376">
        <v>7.99</v>
      </c>
      <c r="L1376" s="5">
        <f>('[1]Pizza Sales Calculations'!$J1376-'[1]Pizza Sales Calculations'!$C1376)*24*60</f>
        <v>2.9833333392161876</v>
      </c>
      <c r="M1376">
        <f>COUNTA('[1]Pizza Sales Calculations'!$D1376:$F1376)</f>
        <v>1</v>
      </c>
      <c r="N1376">
        <f>IFERROR(VLOOKUP(D1376,[1]Parameters!$A$3:$C$5,3,FALSE),0)</f>
        <v>1</v>
      </c>
      <c r="O1376">
        <f>IFERROR(VLOOKUP(E1376,[1]Parameters!$A$3:$C$5,3,FALSE),0)</f>
        <v>0</v>
      </c>
      <c r="P1376">
        <f>IFERROR(VLOOKUP(F1376,[1]Parameters!$A$3:$C$5,3,FALSE),0)</f>
        <v>0</v>
      </c>
      <c r="Q1376">
        <f t="shared" si="21"/>
        <v>1</v>
      </c>
      <c r="R1376" s="10">
        <f>IF('[1]Pizza Sales Calculations'!$G1376=TRUE, [1]Parameters!$B$17*'[1]Pizza Sales Calculations'!$L1376*2, 0)</f>
        <v>0</v>
      </c>
      <c r="S1376" t="str">
        <f>IF(I1376&lt;[1]Parameters!$B$21,"TRUE","FALSE")</f>
        <v>TRUE</v>
      </c>
      <c r="T1376" s="5">
        <f>(I1376/[1]Parameters!$B$25)*60</f>
        <v>0</v>
      </c>
      <c r="U1376" s="10">
        <f>IF(AND('[1]Pizza Sales Calculations'!G1376=TRUE,'[1]Pizza Sales Calculations'!S1376="TRUE"),T1376*[1]Parameters!$B$40*2,0)</f>
        <v>0</v>
      </c>
      <c r="V1376">
        <f>INDEX([1]Parameters!$A$3:$C$5,MATCH('[1]Pizza Sales Calculations'!D1376,[1]Parameters!$A$3:$A$5,0),2)</f>
        <v>7</v>
      </c>
      <c r="W1376" t="e">
        <f>INDEX([1]Parameters!$A$3:$C$5,MATCH('[1]Pizza Sales Calculations'!E1376,[1]Parameters!$A$3:$A$5,0),2)</f>
        <v>#N/A</v>
      </c>
      <c r="X1376" t="e">
        <f>INDEX([1]Parameters!$A$3:$C$5,MATCH('[1]Pizza Sales Calculations'!F1376,[1]Parameters!$A$3:$A$5,0),2)</f>
        <v>#N/A</v>
      </c>
    </row>
    <row r="1377" spans="1:24" x14ac:dyDescent="0.3">
      <c r="A1377">
        <v>1376</v>
      </c>
      <c r="B1377" s="14">
        <v>42383.47384259259</v>
      </c>
      <c r="C1377" s="14">
        <v>42383.484259259261</v>
      </c>
      <c r="D1377" t="s">
        <v>5</v>
      </c>
      <c r="G1377" t="b">
        <v>0</v>
      </c>
      <c r="H1377">
        <v>70806</v>
      </c>
      <c r="I1377" s="5">
        <v>0</v>
      </c>
      <c r="J1377" s="14">
        <v>42383.486342592594</v>
      </c>
      <c r="K1377">
        <v>15.35</v>
      </c>
      <c r="L1377" s="5">
        <f>('[1]Pizza Sales Calculations'!$J1377-'[1]Pizza Sales Calculations'!$C1377)*24*60</f>
        <v>2.9999999993015081</v>
      </c>
      <c r="M1377">
        <f>COUNTA('[1]Pizza Sales Calculations'!$D1377:$F1377)</f>
        <v>1</v>
      </c>
      <c r="N1377">
        <f>IFERROR(VLOOKUP(D1377,[1]Parameters!$A$3:$C$5,3,FALSE),0)</f>
        <v>2.2999999999999998</v>
      </c>
      <c r="O1377">
        <f>IFERROR(VLOOKUP(E1377,[1]Parameters!$A$3:$C$5,3,FALSE),0)</f>
        <v>0</v>
      </c>
      <c r="P1377">
        <f>IFERROR(VLOOKUP(F1377,[1]Parameters!$A$3:$C$5,3,FALSE),0)</f>
        <v>0</v>
      </c>
      <c r="Q1377">
        <f t="shared" si="21"/>
        <v>2.2999999999999998</v>
      </c>
      <c r="R1377" s="10">
        <f>IF('[1]Pizza Sales Calculations'!$G1377=TRUE, [1]Parameters!$B$17*'[1]Pizza Sales Calculations'!$L1377*2, 0)</f>
        <v>0</v>
      </c>
      <c r="S1377" t="str">
        <f>IF(I1377&lt;[1]Parameters!$B$21,"TRUE","FALSE")</f>
        <v>TRUE</v>
      </c>
      <c r="T1377" s="5">
        <f>(I1377/[1]Parameters!$B$25)*60</f>
        <v>0</v>
      </c>
      <c r="U1377" s="10">
        <f>IF(AND('[1]Pizza Sales Calculations'!G1377=TRUE,'[1]Pizza Sales Calculations'!S1377="TRUE"),T1377*[1]Parameters!$B$40*2,0)</f>
        <v>0</v>
      </c>
      <c r="V1377">
        <f>INDEX([1]Parameters!$A$3:$C$5,MATCH('[1]Pizza Sales Calculations'!D1377,[1]Parameters!$A$3:$A$5,0),2)</f>
        <v>14</v>
      </c>
      <c r="W1377" t="e">
        <f>INDEX([1]Parameters!$A$3:$C$5,MATCH('[1]Pizza Sales Calculations'!E1377,[1]Parameters!$A$3:$A$5,0),2)</f>
        <v>#N/A</v>
      </c>
      <c r="X1377" t="e">
        <f>INDEX([1]Parameters!$A$3:$C$5,MATCH('[1]Pizza Sales Calculations'!F1377,[1]Parameters!$A$3:$A$5,0),2)</f>
        <v>#N/A</v>
      </c>
    </row>
    <row r="1378" spans="1:24" x14ac:dyDescent="0.3">
      <c r="A1378">
        <v>1377</v>
      </c>
      <c r="B1378" s="14">
        <v>42383.507060185184</v>
      </c>
      <c r="C1378" s="14">
        <v>42383.517476851855</v>
      </c>
      <c r="D1378" t="s">
        <v>4</v>
      </c>
      <c r="G1378" t="b">
        <v>1</v>
      </c>
      <c r="H1378">
        <v>70805</v>
      </c>
      <c r="I1378" s="5">
        <v>5.3948244250852602</v>
      </c>
      <c r="J1378" s="14">
        <v>42383.536203703705</v>
      </c>
      <c r="K1378">
        <v>11.59</v>
      </c>
      <c r="L1378" s="5">
        <f>('[1]Pizza Sales Calculations'!$J1378-'[1]Pizza Sales Calculations'!$C1378)*24*60</f>
        <v>26.966666663065553</v>
      </c>
      <c r="M1378">
        <f>COUNTA('[1]Pizza Sales Calculations'!$D1378:$F1378)</f>
        <v>1</v>
      </c>
      <c r="N1378">
        <f>IFERROR(VLOOKUP(D1378,[1]Parameters!$A$3:$C$5,3,FALSE),0)</f>
        <v>1.7</v>
      </c>
      <c r="O1378">
        <f>IFERROR(VLOOKUP(E1378,[1]Parameters!$A$3:$C$5,3,FALSE),0)</f>
        <v>0</v>
      </c>
      <c r="P1378">
        <f>IFERROR(VLOOKUP(F1378,[1]Parameters!$A$3:$C$5,3,FALSE),0)</f>
        <v>0</v>
      </c>
      <c r="Q1378">
        <f t="shared" si="21"/>
        <v>1.7</v>
      </c>
      <c r="R1378" s="10">
        <f>IF('[1]Pizza Sales Calculations'!$G1378=TRUE, [1]Parameters!$B$17*'[1]Pizza Sales Calculations'!$L1378*2, 0)</f>
        <v>7.6405555545352399</v>
      </c>
      <c r="S1378" t="str">
        <f>IF(I1378&lt;[1]Parameters!$B$21,"TRUE","FALSE")</f>
        <v>FALSE</v>
      </c>
      <c r="T1378" s="5">
        <f>(I1378/[1]Parameters!$B$25)*60</f>
        <v>10.78964885017052</v>
      </c>
      <c r="U1378" s="10">
        <f>IF(AND('[1]Pizza Sales Calculations'!G1378=TRUE,'[1]Pizza Sales Calculations'!S1378="TRUE"),T1378*[1]Parameters!$B$40*2,0)</f>
        <v>0</v>
      </c>
      <c r="V1378">
        <f>INDEX([1]Parameters!$A$3:$C$5,MATCH('[1]Pizza Sales Calculations'!D1378,[1]Parameters!$A$3:$A$5,0),2)</f>
        <v>10</v>
      </c>
      <c r="W1378" t="e">
        <f>INDEX([1]Parameters!$A$3:$C$5,MATCH('[1]Pizza Sales Calculations'!E1378,[1]Parameters!$A$3:$A$5,0),2)</f>
        <v>#N/A</v>
      </c>
      <c r="X1378" t="e">
        <f>INDEX([1]Parameters!$A$3:$C$5,MATCH('[1]Pizza Sales Calculations'!F1378,[1]Parameters!$A$3:$A$5,0),2)</f>
        <v>#N/A</v>
      </c>
    </row>
    <row r="1379" spans="1:24" x14ac:dyDescent="0.3">
      <c r="A1379">
        <v>1378</v>
      </c>
      <c r="B1379" s="14">
        <v>42383.482291666667</v>
      </c>
      <c r="C1379" s="14">
        <v>42383.492673611108</v>
      </c>
      <c r="D1379" t="s">
        <v>3</v>
      </c>
      <c r="E1379" t="s">
        <v>4</v>
      </c>
      <c r="G1379" t="b">
        <v>1</v>
      </c>
      <c r="H1379">
        <v>70807</v>
      </c>
      <c r="I1379" s="5">
        <v>2.4137462258411801</v>
      </c>
      <c r="J1379" s="14">
        <v>42383.50105324074</v>
      </c>
      <c r="K1379">
        <v>19.579999999999998</v>
      </c>
      <c r="L1379" s="5">
        <f>('[1]Pizza Sales Calculations'!$J1379-'[1]Pizza Sales Calculations'!$C1379)*24*60</f>
        <v>12.066666668979451</v>
      </c>
      <c r="M1379">
        <f>COUNTA('[1]Pizza Sales Calculations'!$D1379:$F1379)</f>
        <v>2</v>
      </c>
      <c r="N1379">
        <f>IFERROR(VLOOKUP(D1379,[1]Parameters!$A$3:$C$5,3,FALSE),0)</f>
        <v>1</v>
      </c>
      <c r="O1379">
        <f>IFERROR(VLOOKUP(E1379,[1]Parameters!$A$3:$C$5,3,FALSE),0)</f>
        <v>1.7</v>
      </c>
      <c r="P1379">
        <f>IFERROR(VLOOKUP(F1379,[1]Parameters!$A$3:$C$5,3,FALSE),0)</f>
        <v>0</v>
      </c>
      <c r="Q1379">
        <f t="shared" si="21"/>
        <v>2.7</v>
      </c>
      <c r="R1379" s="10">
        <f>IF('[1]Pizza Sales Calculations'!$G1379=TRUE, [1]Parameters!$B$17*'[1]Pizza Sales Calculations'!$L1379*2, 0)</f>
        <v>3.4188888895441778</v>
      </c>
      <c r="S1379" t="str">
        <f>IF(I1379&lt;[1]Parameters!$B$21,"TRUE","FALSE")</f>
        <v>TRUE</v>
      </c>
      <c r="T1379" s="5">
        <f>(I1379/[1]Parameters!$B$25)*60</f>
        <v>4.8274924516823603</v>
      </c>
      <c r="U1379" s="10">
        <f>IF(AND('[1]Pizza Sales Calculations'!G1379=TRUE,'[1]Pizza Sales Calculations'!S1379="TRUE"),T1379*[1]Parameters!$B$40*2,0)</f>
        <v>0.3013447660034192</v>
      </c>
      <c r="V1379">
        <f>INDEX([1]Parameters!$A$3:$C$5,MATCH('[1]Pizza Sales Calculations'!D1379,[1]Parameters!$A$3:$A$5,0),2)</f>
        <v>7</v>
      </c>
      <c r="W1379">
        <f>INDEX([1]Parameters!$A$3:$C$5,MATCH('[1]Pizza Sales Calculations'!E1379,[1]Parameters!$A$3:$A$5,0),2)</f>
        <v>10</v>
      </c>
      <c r="X1379" t="e">
        <f>INDEX([1]Parameters!$A$3:$C$5,MATCH('[1]Pizza Sales Calculations'!F1379,[1]Parameters!$A$3:$A$5,0),2)</f>
        <v>#N/A</v>
      </c>
    </row>
    <row r="1380" spans="1:24" x14ac:dyDescent="0.3">
      <c r="A1380">
        <v>1379</v>
      </c>
      <c r="B1380" s="14">
        <v>42383.494571759256</v>
      </c>
      <c r="C1380" s="14">
        <v>42383.504965277774</v>
      </c>
      <c r="D1380" t="s">
        <v>3</v>
      </c>
      <c r="G1380" t="b">
        <v>0</v>
      </c>
      <c r="H1380">
        <v>70805</v>
      </c>
      <c r="I1380" s="5">
        <v>0</v>
      </c>
      <c r="J1380" s="14">
        <v>42383.507048611114</v>
      </c>
      <c r="K1380">
        <v>7.99</v>
      </c>
      <c r="L1380" s="5">
        <f>('[1]Pizza Sales Calculations'!$J1380-'[1]Pizza Sales Calculations'!$C1380)*24*60</f>
        <v>3.000000009778887</v>
      </c>
      <c r="M1380">
        <f>COUNTA('[1]Pizza Sales Calculations'!$D1380:$F1380)</f>
        <v>1</v>
      </c>
      <c r="N1380">
        <f>IFERROR(VLOOKUP(D1380,[1]Parameters!$A$3:$C$5,3,FALSE),0)</f>
        <v>1</v>
      </c>
      <c r="O1380">
        <f>IFERROR(VLOOKUP(E1380,[1]Parameters!$A$3:$C$5,3,FALSE),0)</f>
        <v>0</v>
      </c>
      <c r="P1380">
        <f>IFERROR(VLOOKUP(F1380,[1]Parameters!$A$3:$C$5,3,FALSE),0)</f>
        <v>0</v>
      </c>
      <c r="Q1380">
        <f t="shared" si="21"/>
        <v>1</v>
      </c>
      <c r="R1380" s="10">
        <f>IF('[1]Pizza Sales Calculations'!$G1380=TRUE, [1]Parameters!$B$17*'[1]Pizza Sales Calculations'!$L1380*2, 0)</f>
        <v>0</v>
      </c>
      <c r="S1380" t="str">
        <f>IF(I1380&lt;[1]Parameters!$B$21,"TRUE","FALSE")</f>
        <v>TRUE</v>
      </c>
      <c r="T1380" s="5">
        <f>(I1380/[1]Parameters!$B$25)*60</f>
        <v>0</v>
      </c>
      <c r="U1380" s="10">
        <f>IF(AND('[1]Pizza Sales Calculations'!G1380=TRUE,'[1]Pizza Sales Calculations'!S1380="TRUE"),T1380*[1]Parameters!$B$40*2,0)</f>
        <v>0</v>
      </c>
      <c r="V1380">
        <f>INDEX([1]Parameters!$A$3:$C$5,MATCH('[1]Pizza Sales Calculations'!D1380,[1]Parameters!$A$3:$A$5,0),2)</f>
        <v>7</v>
      </c>
      <c r="W1380" t="e">
        <f>INDEX([1]Parameters!$A$3:$C$5,MATCH('[1]Pizza Sales Calculations'!E1380,[1]Parameters!$A$3:$A$5,0),2)</f>
        <v>#N/A</v>
      </c>
      <c r="X1380" t="e">
        <f>INDEX([1]Parameters!$A$3:$C$5,MATCH('[1]Pizza Sales Calculations'!F1380,[1]Parameters!$A$3:$A$5,0),2)</f>
        <v>#N/A</v>
      </c>
    </row>
    <row r="1381" spans="1:24" x14ac:dyDescent="0.3">
      <c r="A1381">
        <v>1380</v>
      </c>
      <c r="B1381" s="14">
        <v>42383.487453703703</v>
      </c>
      <c r="C1381" s="14">
        <v>42383.497881944444</v>
      </c>
      <c r="D1381" t="s">
        <v>4</v>
      </c>
      <c r="G1381" t="b">
        <v>0</v>
      </c>
      <c r="H1381">
        <v>70806</v>
      </c>
      <c r="I1381" s="5">
        <v>0</v>
      </c>
      <c r="J1381" s="14">
        <v>42383.499976851854</v>
      </c>
      <c r="K1381">
        <v>11.59</v>
      </c>
      <c r="L1381" s="5">
        <f>('[1]Pizza Sales Calculations'!$J1381-'[1]Pizza Sales Calculations'!$C1381)*24*60</f>
        <v>3.0166666698642075</v>
      </c>
      <c r="M1381">
        <f>COUNTA('[1]Pizza Sales Calculations'!$D1381:$F1381)</f>
        <v>1</v>
      </c>
      <c r="N1381">
        <f>IFERROR(VLOOKUP(D1381,[1]Parameters!$A$3:$C$5,3,FALSE),0)</f>
        <v>1.7</v>
      </c>
      <c r="O1381">
        <f>IFERROR(VLOOKUP(E1381,[1]Parameters!$A$3:$C$5,3,FALSE),0)</f>
        <v>0</v>
      </c>
      <c r="P1381">
        <f>IFERROR(VLOOKUP(F1381,[1]Parameters!$A$3:$C$5,3,FALSE),0)</f>
        <v>0</v>
      </c>
      <c r="Q1381">
        <f t="shared" si="21"/>
        <v>1.7</v>
      </c>
      <c r="R1381" s="10">
        <f>IF('[1]Pizza Sales Calculations'!$G1381=TRUE, [1]Parameters!$B$17*'[1]Pizza Sales Calculations'!$L1381*2, 0)</f>
        <v>0</v>
      </c>
      <c r="S1381" t="str">
        <f>IF(I1381&lt;[1]Parameters!$B$21,"TRUE","FALSE")</f>
        <v>TRUE</v>
      </c>
      <c r="T1381" s="5">
        <f>(I1381/[1]Parameters!$B$25)*60</f>
        <v>0</v>
      </c>
      <c r="U1381" s="10">
        <f>IF(AND('[1]Pizza Sales Calculations'!G1381=TRUE,'[1]Pizza Sales Calculations'!S1381="TRUE"),T1381*[1]Parameters!$B$40*2,0)</f>
        <v>0</v>
      </c>
      <c r="V1381">
        <f>INDEX([1]Parameters!$A$3:$C$5,MATCH('[1]Pizza Sales Calculations'!D1381,[1]Parameters!$A$3:$A$5,0),2)</f>
        <v>10</v>
      </c>
      <c r="W1381" t="e">
        <f>INDEX([1]Parameters!$A$3:$C$5,MATCH('[1]Pizza Sales Calculations'!E1381,[1]Parameters!$A$3:$A$5,0),2)</f>
        <v>#N/A</v>
      </c>
      <c r="X1381" t="e">
        <f>INDEX([1]Parameters!$A$3:$C$5,MATCH('[1]Pizza Sales Calculations'!F1381,[1]Parameters!$A$3:$A$5,0),2)</f>
        <v>#N/A</v>
      </c>
    </row>
    <row r="1382" spans="1:24" x14ac:dyDescent="0.3">
      <c r="A1382">
        <v>1381</v>
      </c>
      <c r="B1382" s="14">
        <v>42383.469594907408</v>
      </c>
      <c r="C1382" s="14">
        <v>42383.480034722219</v>
      </c>
      <c r="D1382" t="s">
        <v>3</v>
      </c>
      <c r="E1382" t="s">
        <v>5</v>
      </c>
      <c r="G1382" t="b">
        <v>0</v>
      </c>
      <c r="H1382">
        <v>70806</v>
      </c>
      <c r="I1382" s="5">
        <v>0</v>
      </c>
      <c r="J1382" s="14">
        <v>42383.482094907406</v>
      </c>
      <c r="K1382">
        <v>23.34</v>
      </c>
      <c r="L1382" s="5">
        <f>('[1]Pizza Sales Calculations'!$J1382-'[1]Pizza Sales Calculations'!$C1382)*24*60</f>
        <v>2.9666666686534882</v>
      </c>
      <c r="M1382">
        <f>COUNTA('[1]Pizza Sales Calculations'!$D1382:$F1382)</f>
        <v>2</v>
      </c>
      <c r="N1382">
        <f>IFERROR(VLOOKUP(D1382,[1]Parameters!$A$3:$C$5,3,FALSE),0)</f>
        <v>1</v>
      </c>
      <c r="O1382">
        <f>IFERROR(VLOOKUP(E1382,[1]Parameters!$A$3:$C$5,3,FALSE),0)</f>
        <v>2.2999999999999998</v>
      </c>
      <c r="P1382">
        <f>IFERROR(VLOOKUP(F1382,[1]Parameters!$A$3:$C$5,3,FALSE),0)</f>
        <v>0</v>
      </c>
      <c r="Q1382">
        <f t="shared" si="21"/>
        <v>3.3</v>
      </c>
      <c r="R1382" s="10">
        <f>IF('[1]Pizza Sales Calculations'!$G1382=TRUE, [1]Parameters!$B$17*'[1]Pizza Sales Calculations'!$L1382*2, 0)</f>
        <v>0</v>
      </c>
      <c r="S1382" t="str">
        <f>IF(I1382&lt;[1]Parameters!$B$21,"TRUE","FALSE")</f>
        <v>TRUE</v>
      </c>
      <c r="T1382" s="5">
        <f>(I1382/[1]Parameters!$B$25)*60</f>
        <v>0</v>
      </c>
      <c r="U1382" s="10">
        <f>IF(AND('[1]Pizza Sales Calculations'!G1382=TRUE,'[1]Pizza Sales Calculations'!S1382="TRUE"),T1382*[1]Parameters!$B$40*2,0)</f>
        <v>0</v>
      </c>
      <c r="V1382">
        <f>INDEX([1]Parameters!$A$3:$C$5,MATCH('[1]Pizza Sales Calculations'!D1382,[1]Parameters!$A$3:$A$5,0),2)</f>
        <v>7</v>
      </c>
      <c r="W1382">
        <f>INDEX([1]Parameters!$A$3:$C$5,MATCH('[1]Pizza Sales Calculations'!E1382,[1]Parameters!$A$3:$A$5,0),2)</f>
        <v>14</v>
      </c>
      <c r="X1382" t="e">
        <f>INDEX([1]Parameters!$A$3:$C$5,MATCH('[1]Pizza Sales Calculations'!F1382,[1]Parameters!$A$3:$A$5,0),2)</f>
        <v>#N/A</v>
      </c>
    </row>
    <row r="1383" spans="1:24" x14ac:dyDescent="0.3">
      <c r="A1383">
        <v>1382</v>
      </c>
      <c r="B1383" s="14">
        <v>42383.48096064815</v>
      </c>
      <c r="C1383" s="14">
        <v>42383.491377314815</v>
      </c>
      <c r="D1383" t="s">
        <v>5</v>
      </c>
      <c r="G1383" t="b">
        <v>1</v>
      </c>
      <c r="H1383">
        <v>70803</v>
      </c>
      <c r="I1383" s="5">
        <v>1.8215872001918401</v>
      </c>
      <c r="J1383" s="14">
        <v>42383.497696759259</v>
      </c>
      <c r="K1383">
        <v>15.35</v>
      </c>
      <c r="L1383" s="5">
        <f>('[1]Pizza Sales Calculations'!$J1383-'[1]Pizza Sales Calculations'!$C1383)*24*60</f>
        <v>9.1000000003259629</v>
      </c>
      <c r="M1383">
        <f>COUNTA('[1]Pizza Sales Calculations'!$D1383:$F1383)</f>
        <v>1</v>
      </c>
      <c r="N1383">
        <f>IFERROR(VLOOKUP(D1383,[1]Parameters!$A$3:$C$5,3,FALSE),0)</f>
        <v>2.2999999999999998</v>
      </c>
      <c r="O1383">
        <f>IFERROR(VLOOKUP(E1383,[1]Parameters!$A$3:$C$5,3,FALSE),0)</f>
        <v>0</v>
      </c>
      <c r="P1383">
        <f>IFERROR(VLOOKUP(F1383,[1]Parameters!$A$3:$C$5,3,FALSE),0)</f>
        <v>0</v>
      </c>
      <c r="Q1383">
        <f t="shared" si="21"/>
        <v>2.2999999999999998</v>
      </c>
      <c r="R1383" s="10">
        <f>IF('[1]Pizza Sales Calculations'!$G1383=TRUE, [1]Parameters!$B$17*'[1]Pizza Sales Calculations'!$L1383*2, 0)</f>
        <v>2.5783333334256895</v>
      </c>
      <c r="S1383" t="str">
        <f>IF(I1383&lt;[1]Parameters!$B$21,"TRUE","FALSE")</f>
        <v>TRUE</v>
      </c>
      <c r="T1383" s="5">
        <f>(I1383/[1]Parameters!$B$25)*60</f>
        <v>3.6431744003836801</v>
      </c>
      <c r="U1383" s="10">
        <f>IF(AND('[1]Pizza Sales Calculations'!G1383=TRUE,'[1]Pizza Sales Calculations'!S1383="TRUE"),T1383*[1]Parameters!$B$40*2,0)</f>
        <v>0.22741652072613197</v>
      </c>
      <c r="V1383">
        <f>INDEX([1]Parameters!$A$3:$C$5,MATCH('[1]Pizza Sales Calculations'!D1383,[1]Parameters!$A$3:$A$5,0),2)</f>
        <v>14</v>
      </c>
      <c r="W1383" t="e">
        <f>INDEX([1]Parameters!$A$3:$C$5,MATCH('[1]Pizza Sales Calculations'!E1383,[1]Parameters!$A$3:$A$5,0),2)</f>
        <v>#N/A</v>
      </c>
      <c r="X1383" t="e">
        <f>INDEX([1]Parameters!$A$3:$C$5,MATCH('[1]Pizza Sales Calculations'!F1383,[1]Parameters!$A$3:$A$5,0),2)</f>
        <v>#N/A</v>
      </c>
    </row>
    <row r="1384" spans="1:24" x14ac:dyDescent="0.3">
      <c r="A1384">
        <v>1383</v>
      </c>
      <c r="B1384" s="14">
        <v>42383.43246527778</v>
      </c>
      <c r="C1384" s="14">
        <v>42383.442870370367</v>
      </c>
      <c r="D1384" t="s">
        <v>5</v>
      </c>
      <c r="G1384" t="b">
        <v>1</v>
      </c>
      <c r="H1384">
        <v>70807</v>
      </c>
      <c r="I1384" s="5">
        <v>3.9234695385179301</v>
      </c>
      <c r="J1384" s="14">
        <v>42383.456493055557</v>
      </c>
      <c r="K1384">
        <v>15.35</v>
      </c>
      <c r="L1384" s="5">
        <f>('[1]Pizza Sales Calculations'!$J1384-'[1]Pizza Sales Calculations'!$C1384)*24*60</f>
        <v>19.61666667368263</v>
      </c>
      <c r="M1384">
        <f>COUNTA('[1]Pizza Sales Calculations'!$D1384:$F1384)</f>
        <v>1</v>
      </c>
      <c r="N1384">
        <f>IFERROR(VLOOKUP(D1384,[1]Parameters!$A$3:$C$5,3,FALSE),0)</f>
        <v>2.2999999999999998</v>
      </c>
      <c r="O1384">
        <f>IFERROR(VLOOKUP(E1384,[1]Parameters!$A$3:$C$5,3,FALSE),0)</f>
        <v>0</v>
      </c>
      <c r="P1384">
        <f>IFERROR(VLOOKUP(F1384,[1]Parameters!$A$3:$C$5,3,FALSE),0)</f>
        <v>0</v>
      </c>
      <c r="Q1384">
        <f t="shared" si="21"/>
        <v>2.2999999999999998</v>
      </c>
      <c r="R1384" s="10">
        <f>IF('[1]Pizza Sales Calculations'!$G1384=TRUE, [1]Parameters!$B$17*'[1]Pizza Sales Calculations'!$L1384*2, 0)</f>
        <v>5.5580555575434119</v>
      </c>
      <c r="S1384" t="str">
        <f>IF(I1384&lt;[1]Parameters!$B$21,"TRUE","FALSE")</f>
        <v>FALSE</v>
      </c>
      <c r="T1384" s="5">
        <f>(I1384/[1]Parameters!$B$25)*60</f>
        <v>7.8469390770358602</v>
      </c>
      <c r="U1384" s="10">
        <f>IF(AND('[1]Pizza Sales Calculations'!G1384=TRUE,'[1]Pizza Sales Calculations'!S1384="TRUE"),T1384*[1]Parameters!$B$40*2,0)</f>
        <v>0</v>
      </c>
      <c r="V1384">
        <f>INDEX([1]Parameters!$A$3:$C$5,MATCH('[1]Pizza Sales Calculations'!D1384,[1]Parameters!$A$3:$A$5,0),2)</f>
        <v>14</v>
      </c>
      <c r="W1384" t="e">
        <f>INDEX([1]Parameters!$A$3:$C$5,MATCH('[1]Pizza Sales Calculations'!E1384,[1]Parameters!$A$3:$A$5,0),2)</f>
        <v>#N/A</v>
      </c>
      <c r="X1384" t="e">
        <f>INDEX([1]Parameters!$A$3:$C$5,MATCH('[1]Pizza Sales Calculations'!F1384,[1]Parameters!$A$3:$A$5,0),2)</f>
        <v>#N/A</v>
      </c>
    </row>
    <row r="1385" spans="1:24" x14ac:dyDescent="0.3">
      <c r="A1385">
        <v>1384</v>
      </c>
      <c r="B1385" s="14">
        <v>42383.504016203704</v>
      </c>
      <c r="C1385" s="14">
        <v>42383.514421296299</v>
      </c>
      <c r="D1385" t="s">
        <v>5</v>
      </c>
      <c r="G1385" t="b">
        <v>0</v>
      </c>
      <c r="H1385">
        <v>70806</v>
      </c>
      <c r="I1385" s="5">
        <v>0</v>
      </c>
      <c r="J1385" s="14">
        <v>42383.516516203701</v>
      </c>
      <c r="K1385">
        <v>15.35</v>
      </c>
      <c r="L1385" s="5">
        <f>('[1]Pizza Sales Calculations'!$J1385-'[1]Pizza Sales Calculations'!$C1385)*24*60</f>
        <v>3.0166666593868285</v>
      </c>
      <c r="M1385">
        <f>COUNTA('[1]Pizza Sales Calculations'!$D1385:$F1385)</f>
        <v>1</v>
      </c>
      <c r="N1385">
        <f>IFERROR(VLOOKUP(D1385,[1]Parameters!$A$3:$C$5,3,FALSE),0)</f>
        <v>2.2999999999999998</v>
      </c>
      <c r="O1385">
        <f>IFERROR(VLOOKUP(E1385,[1]Parameters!$A$3:$C$5,3,FALSE),0)</f>
        <v>0</v>
      </c>
      <c r="P1385">
        <f>IFERROR(VLOOKUP(F1385,[1]Parameters!$A$3:$C$5,3,FALSE),0)</f>
        <v>0</v>
      </c>
      <c r="Q1385">
        <f t="shared" si="21"/>
        <v>2.2999999999999998</v>
      </c>
      <c r="R1385" s="10">
        <f>IF('[1]Pizza Sales Calculations'!$G1385=TRUE, [1]Parameters!$B$17*'[1]Pizza Sales Calculations'!$L1385*2, 0)</f>
        <v>0</v>
      </c>
      <c r="S1385" t="str">
        <f>IF(I1385&lt;[1]Parameters!$B$21,"TRUE","FALSE")</f>
        <v>TRUE</v>
      </c>
      <c r="T1385" s="5">
        <f>(I1385/[1]Parameters!$B$25)*60</f>
        <v>0</v>
      </c>
      <c r="U1385" s="10">
        <f>IF(AND('[1]Pizza Sales Calculations'!G1385=TRUE,'[1]Pizza Sales Calculations'!S1385="TRUE"),T1385*[1]Parameters!$B$40*2,0)</f>
        <v>0</v>
      </c>
      <c r="V1385">
        <f>INDEX([1]Parameters!$A$3:$C$5,MATCH('[1]Pizza Sales Calculations'!D1385,[1]Parameters!$A$3:$A$5,0),2)</f>
        <v>14</v>
      </c>
      <c r="W1385" t="e">
        <f>INDEX([1]Parameters!$A$3:$C$5,MATCH('[1]Pizza Sales Calculations'!E1385,[1]Parameters!$A$3:$A$5,0),2)</f>
        <v>#N/A</v>
      </c>
      <c r="X1385" t="e">
        <f>INDEX([1]Parameters!$A$3:$C$5,MATCH('[1]Pizza Sales Calculations'!F1385,[1]Parameters!$A$3:$A$5,0),2)</f>
        <v>#N/A</v>
      </c>
    </row>
    <row r="1386" spans="1:24" x14ac:dyDescent="0.3">
      <c r="A1386">
        <v>1385</v>
      </c>
      <c r="B1386" s="14">
        <v>42383.482199074075</v>
      </c>
      <c r="C1386" s="14">
        <v>42383.492604166669</v>
      </c>
      <c r="D1386" t="s">
        <v>4</v>
      </c>
      <c r="G1386" t="b">
        <v>1</v>
      </c>
      <c r="H1386">
        <v>70803</v>
      </c>
      <c r="I1386" s="5">
        <v>2.4342202562431301</v>
      </c>
      <c r="J1386" s="14">
        <v>42383.50105324074</v>
      </c>
      <c r="K1386">
        <v>11.59</v>
      </c>
      <c r="L1386" s="5">
        <f>('[1]Pizza Sales Calculations'!$J1386-'[1]Pizza Sales Calculations'!$C1386)*24*60</f>
        <v>12.166666660923511</v>
      </c>
      <c r="M1386">
        <f>COUNTA('[1]Pizza Sales Calculations'!$D1386:$F1386)</f>
        <v>1</v>
      </c>
      <c r="N1386">
        <f>IFERROR(VLOOKUP(D1386,[1]Parameters!$A$3:$C$5,3,FALSE),0)</f>
        <v>1.7</v>
      </c>
      <c r="O1386">
        <f>IFERROR(VLOOKUP(E1386,[1]Parameters!$A$3:$C$5,3,FALSE),0)</f>
        <v>0</v>
      </c>
      <c r="P1386">
        <f>IFERROR(VLOOKUP(F1386,[1]Parameters!$A$3:$C$5,3,FALSE),0)</f>
        <v>0</v>
      </c>
      <c r="Q1386">
        <f t="shared" si="21"/>
        <v>1.7</v>
      </c>
      <c r="R1386" s="10">
        <f>IF('[1]Pizza Sales Calculations'!$G1386=TRUE, [1]Parameters!$B$17*'[1]Pizza Sales Calculations'!$L1386*2, 0)</f>
        <v>3.4472222205949947</v>
      </c>
      <c r="S1386" t="str">
        <f>IF(I1386&lt;[1]Parameters!$B$21,"TRUE","FALSE")</f>
        <v>TRUE</v>
      </c>
      <c r="T1386" s="5">
        <f>(I1386/[1]Parameters!$B$25)*60</f>
        <v>4.8684405124862602</v>
      </c>
      <c r="U1386" s="10">
        <f>IF(AND('[1]Pizza Sales Calculations'!G1386=TRUE,'[1]Pizza Sales Calculations'!S1386="TRUE"),T1386*[1]Parameters!$B$40*2,0)</f>
        <v>0.30390085157470681</v>
      </c>
      <c r="V1386">
        <f>INDEX([1]Parameters!$A$3:$C$5,MATCH('[1]Pizza Sales Calculations'!D1386,[1]Parameters!$A$3:$A$5,0),2)</f>
        <v>10</v>
      </c>
      <c r="W1386" t="e">
        <f>INDEX([1]Parameters!$A$3:$C$5,MATCH('[1]Pizza Sales Calculations'!E1386,[1]Parameters!$A$3:$A$5,0),2)</f>
        <v>#N/A</v>
      </c>
      <c r="X1386" t="e">
        <f>INDEX([1]Parameters!$A$3:$C$5,MATCH('[1]Pizza Sales Calculations'!F1386,[1]Parameters!$A$3:$A$5,0),2)</f>
        <v>#N/A</v>
      </c>
    </row>
    <row r="1387" spans="1:24" x14ac:dyDescent="0.3">
      <c r="A1387">
        <v>1386</v>
      </c>
      <c r="B1387" s="14">
        <v>42383.433148148149</v>
      </c>
      <c r="C1387" s="14">
        <v>42383.443553240744</v>
      </c>
      <c r="D1387" t="s">
        <v>5</v>
      </c>
      <c r="G1387" t="b">
        <v>1</v>
      </c>
      <c r="H1387">
        <v>70806</v>
      </c>
      <c r="I1387" s="5">
        <v>3.0581777182136101</v>
      </c>
      <c r="J1387" s="14">
        <v>42383.45416666667</v>
      </c>
      <c r="K1387">
        <v>15.35</v>
      </c>
      <c r="L1387" s="5">
        <f>('[1]Pizza Sales Calculations'!$J1387-'[1]Pizza Sales Calculations'!$C1387)*24*60</f>
        <v>15.283333333209157</v>
      </c>
      <c r="M1387">
        <f>COUNTA('[1]Pizza Sales Calculations'!$D1387:$F1387)</f>
        <v>1</v>
      </c>
      <c r="N1387">
        <f>IFERROR(VLOOKUP(D1387,[1]Parameters!$A$3:$C$5,3,FALSE),0)</f>
        <v>2.2999999999999998</v>
      </c>
      <c r="O1387">
        <f>IFERROR(VLOOKUP(E1387,[1]Parameters!$A$3:$C$5,3,FALSE),0)</f>
        <v>0</v>
      </c>
      <c r="P1387">
        <f>IFERROR(VLOOKUP(F1387,[1]Parameters!$A$3:$C$5,3,FALSE),0)</f>
        <v>0</v>
      </c>
      <c r="Q1387">
        <f t="shared" si="21"/>
        <v>2.2999999999999998</v>
      </c>
      <c r="R1387" s="10">
        <f>IF('[1]Pizza Sales Calculations'!$G1387=TRUE, [1]Parameters!$B$17*'[1]Pizza Sales Calculations'!$L1387*2, 0)</f>
        <v>4.3302777777425945</v>
      </c>
      <c r="S1387" t="str">
        <f>IF(I1387&lt;[1]Parameters!$B$21,"TRUE","FALSE")</f>
        <v>TRUE</v>
      </c>
      <c r="T1387" s="5">
        <f>(I1387/[1]Parameters!$B$25)*60</f>
        <v>6.1163554364272201</v>
      </c>
      <c r="U1387" s="10">
        <f>IF(AND('[1]Pizza Sales Calculations'!G1387=TRUE,'[1]Pizza Sales Calculations'!S1387="TRUE"),T1387*[1]Parameters!$B$40*2,0)</f>
        <v>0.3817989807817469</v>
      </c>
      <c r="V1387">
        <f>INDEX([1]Parameters!$A$3:$C$5,MATCH('[1]Pizza Sales Calculations'!D1387,[1]Parameters!$A$3:$A$5,0),2)</f>
        <v>14</v>
      </c>
      <c r="W1387" t="e">
        <f>INDEX([1]Parameters!$A$3:$C$5,MATCH('[1]Pizza Sales Calculations'!E1387,[1]Parameters!$A$3:$A$5,0),2)</f>
        <v>#N/A</v>
      </c>
      <c r="X1387" t="e">
        <f>INDEX([1]Parameters!$A$3:$C$5,MATCH('[1]Pizza Sales Calculations'!F1387,[1]Parameters!$A$3:$A$5,0),2)</f>
        <v>#N/A</v>
      </c>
    </row>
    <row r="1388" spans="1:24" x14ac:dyDescent="0.3">
      <c r="A1388">
        <v>1387</v>
      </c>
      <c r="B1388" s="14">
        <v>42383.577152777776</v>
      </c>
      <c r="C1388" s="14">
        <v>42383.587546296294</v>
      </c>
      <c r="D1388" t="s">
        <v>3</v>
      </c>
      <c r="G1388" t="b">
        <v>1</v>
      </c>
      <c r="H1388">
        <v>70804</v>
      </c>
      <c r="I1388" s="5">
        <v>2.9992621087192002</v>
      </c>
      <c r="J1388" s="14">
        <v>42383.597951388889</v>
      </c>
      <c r="K1388">
        <v>7.99</v>
      </c>
      <c r="L1388" s="5">
        <f>('[1]Pizza Sales Calculations'!$J1388-'[1]Pizza Sales Calculations'!$C1388)*24*60</f>
        <v>14.98333333642222</v>
      </c>
      <c r="M1388">
        <f>COUNTA('[1]Pizza Sales Calculations'!$D1388:$F1388)</f>
        <v>1</v>
      </c>
      <c r="N1388">
        <f>IFERROR(VLOOKUP(D1388,[1]Parameters!$A$3:$C$5,3,FALSE),0)</f>
        <v>1</v>
      </c>
      <c r="O1388">
        <f>IFERROR(VLOOKUP(E1388,[1]Parameters!$A$3:$C$5,3,FALSE),0)</f>
        <v>0</v>
      </c>
      <c r="P1388">
        <f>IFERROR(VLOOKUP(F1388,[1]Parameters!$A$3:$C$5,3,FALSE),0)</f>
        <v>0</v>
      </c>
      <c r="Q1388">
        <f t="shared" si="21"/>
        <v>1</v>
      </c>
      <c r="R1388" s="10">
        <f>IF('[1]Pizza Sales Calculations'!$G1388=TRUE, [1]Parameters!$B$17*'[1]Pizza Sales Calculations'!$L1388*2, 0)</f>
        <v>4.2452777786529623</v>
      </c>
      <c r="S1388" t="str">
        <f>IF(I1388&lt;[1]Parameters!$B$21,"TRUE","FALSE")</f>
        <v>TRUE</v>
      </c>
      <c r="T1388" s="5">
        <f>(I1388/[1]Parameters!$B$25)*60</f>
        <v>5.9985242174384004</v>
      </c>
      <c r="U1388" s="10">
        <f>IF(AND('[1]Pizza Sales Calculations'!G1388=TRUE,'[1]Pizza Sales Calculations'!S1388="TRUE"),T1388*[1]Parameters!$B$40*2,0)</f>
        <v>0.37444364641934735</v>
      </c>
      <c r="V1388">
        <f>INDEX([1]Parameters!$A$3:$C$5,MATCH('[1]Pizza Sales Calculations'!D1388,[1]Parameters!$A$3:$A$5,0),2)</f>
        <v>7</v>
      </c>
      <c r="W1388" t="e">
        <f>INDEX([1]Parameters!$A$3:$C$5,MATCH('[1]Pizza Sales Calculations'!E1388,[1]Parameters!$A$3:$A$5,0),2)</f>
        <v>#N/A</v>
      </c>
      <c r="X1388" t="e">
        <f>INDEX([1]Parameters!$A$3:$C$5,MATCH('[1]Pizza Sales Calculations'!F1388,[1]Parameters!$A$3:$A$5,0),2)</f>
        <v>#N/A</v>
      </c>
    </row>
    <row r="1389" spans="1:24" x14ac:dyDescent="0.3">
      <c r="A1389">
        <v>1388</v>
      </c>
      <c r="B1389" s="14">
        <v>42383.459108796298</v>
      </c>
      <c r="C1389" s="14">
        <v>42383.469513888886</v>
      </c>
      <c r="D1389" t="s">
        <v>5</v>
      </c>
      <c r="G1389" t="b">
        <v>0</v>
      </c>
      <c r="H1389">
        <v>70804</v>
      </c>
      <c r="I1389" s="5">
        <v>0</v>
      </c>
      <c r="J1389" s="14">
        <v>42383.471597222226</v>
      </c>
      <c r="K1389">
        <v>15.35</v>
      </c>
      <c r="L1389" s="5">
        <f>('[1]Pizza Sales Calculations'!$J1389-'[1]Pizza Sales Calculations'!$C1389)*24*60</f>
        <v>3.000000009778887</v>
      </c>
      <c r="M1389">
        <f>COUNTA('[1]Pizza Sales Calculations'!$D1389:$F1389)</f>
        <v>1</v>
      </c>
      <c r="N1389">
        <f>IFERROR(VLOOKUP(D1389,[1]Parameters!$A$3:$C$5,3,FALSE),0)</f>
        <v>2.2999999999999998</v>
      </c>
      <c r="O1389">
        <f>IFERROR(VLOOKUP(E1389,[1]Parameters!$A$3:$C$5,3,FALSE),0)</f>
        <v>0</v>
      </c>
      <c r="P1389">
        <f>IFERROR(VLOOKUP(F1389,[1]Parameters!$A$3:$C$5,3,FALSE),0)</f>
        <v>0</v>
      </c>
      <c r="Q1389">
        <f t="shared" si="21"/>
        <v>2.2999999999999998</v>
      </c>
      <c r="R1389" s="10">
        <f>IF('[1]Pizza Sales Calculations'!$G1389=TRUE, [1]Parameters!$B$17*'[1]Pizza Sales Calculations'!$L1389*2, 0)</f>
        <v>0</v>
      </c>
      <c r="S1389" t="str">
        <f>IF(I1389&lt;[1]Parameters!$B$21,"TRUE","FALSE")</f>
        <v>TRUE</v>
      </c>
      <c r="T1389" s="5">
        <f>(I1389/[1]Parameters!$B$25)*60</f>
        <v>0</v>
      </c>
      <c r="U1389" s="10">
        <f>IF(AND('[1]Pizza Sales Calculations'!G1389=TRUE,'[1]Pizza Sales Calculations'!S1389="TRUE"),T1389*[1]Parameters!$B$40*2,0)</f>
        <v>0</v>
      </c>
      <c r="V1389">
        <f>INDEX([1]Parameters!$A$3:$C$5,MATCH('[1]Pizza Sales Calculations'!D1389,[1]Parameters!$A$3:$A$5,0),2)</f>
        <v>14</v>
      </c>
      <c r="W1389" t="e">
        <f>INDEX([1]Parameters!$A$3:$C$5,MATCH('[1]Pizza Sales Calculations'!E1389,[1]Parameters!$A$3:$A$5,0),2)</f>
        <v>#N/A</v>
      </c>
      <c r="X1389" t="e">
        <f>INDEX([1]Parameters!$A$3:$C$5,MATCH('[1]Pizza Sales Calculations'!F1389,[1]Parameters!$A$3:$A$5,0),2)</f>
        <v>#N/A</v>
      </c>
    </row>
    <row r="1390" spans="1:24" x14ac:dyDescent="0.3">
      <c r="A1390">
        <v>1389</v>
      </c>
      <c r="B1390" s="14">
        <v>42383.491990740738</v>
      </c>
      <c r="C1390" s="14">
        <v>42383.502418981479</v>
      </c>
      <c r="D1390" t="s">
        <v>5</v>
      </c>
      <c r="G1390" t="b">
        <v>0</v>
      </c>
      <c r="H1390">
        <v>70803</v>
      </c>
      <c r="I1390" s="5">
        <v>0</v>
      </c>
      <c r="J1390" s="14">
        <v>42383.504513888889</v>
      </c>
      <c r="K1390">
        <v>15.35</v>
      </c>
      <c r="L1390" s="5">
        <f>('[1]Pizza Sales Calculations'!$J1390-'[1]Pizza Sales Calculations'!$C1390)*24*60</f>
        <v>3.0166666698642075</v>
      </c>
      <c r="M1390">
        <f>COUNTA('[1]Pizza Sales Calculations'!$D1390:$F1390)</f>
        <v>1</v>
      </c>
      <c r="N1390">
        <f>IFERROR(VLOOKUP(D1390,[1]Parameters!$A$3:$C$5,3,FALSE),0)</f>
        <v>2.2999999999999998</v>
      </c>
      <c r="O1390">
        <f>IFERROR(VLOOKUP(E1390,[1]Parameters!$A$3:$C$5,3,FALSE),0)</f>
        <v>0</v>
      </c>
      <c r="P1390">
        <f>IFERROR(VLOOKUP(F1390,[1]Parameters!$A$3:$C$5,3,FALSE),0)</f>
        <v>0</v>
      </c>
      <c r="Q1390">
        <f t="shared" si="21"/>
        <v>2.2999999999999998</v>
      </c>
      <c r="R1390" s="10">
        <f>IF('[1]Pizza Sales Calculations'!$G1390=TRUE, [1]Parameters!$B$17*'[1]Pizza Sales Calculations'!$L1390*2, 0)</f>
        <v>0</v>
      </c>
      <c r="S1390" t="str">
        <f>IF(I1390&lt;[1]Parameters!$B$21,"TRUE","FALSE")</f>
        <v>TRUE</v>
      </c>
      <c r="T1390" s="5">
        <f>(I1390/[1]Parameters!$B$25)*60</f>
        <v>0</v>
      </c>
      <c r="U1390" s="10">
        <f>IF(AND('[1]Pizza Sales Calculations'!G1390=TRUE,'[1]Pizza Sales Calculations'!S1390="TRUE"),T1390*[1]Parameters!$B$40*2,0)</f>
        <v>0</v>
      </c>
      <c r="V1390">
        <f>INDEX([1]Parameters!$A$3:$C$5,MATCH('[1]Pizza Sales Calculations'!D1390,[1]Parameters!$A$3:$A$5,0),2)</f>
        <v>14</v>
      </c>
      <c r="W1390" t="e">
        <f>INDEX([1]Parameters!$A$3:$C$5,MATCH('[1]Pizza Sales Calculations'!E1390,[1]Parameters!$A$3:$A$5,0),2)</f>
        <v>#N/A</v>
      </c>
      <c r="X1390" t="e">
        <f>INDEX([1]Parameters!$A$3:$C$5,MATCH('[1]Pizza Sales Calculations'!F1390,[1]Parameters!$A$3:$A$5,0),2)</f>
        <v>#N/A</v>
      </c>
    </row>
    <row r="1391" spans="1:24" x14ac:dyDescent="0.3">
      <c r="A1391">
        <v>1390</v>
      </c>
      <c r="B1391" s="14">
        <v>42383.514965277776</v>
      </c>
      <c r="C1391" s="14">
        <v>42383.525381944448</v>
      </c>
      <c r="D1391" t="s">
        <v>4</v>
      </c>
      <c r="E1391" t="s">
        <v>5</v>
      </c>
      <c r="G1391" t="b">
        <v>0</v>
      </c>
      <c r="H1391">
        <v>70804</v>
      </c>
      <c r="I1391" s="5">
        <v>0</v>
      </c>
      <c r="J1391" s="14">
        <v>42383.527465277781</v>
      </c>
      <c r="K1391">
        <v>25.94</v>
      </c>
      <c r="L1391" s="5">
        <f>('[1]Pizza Sales Calculations'!$J1391-'[1]Pizza Sales Calculations'!$C1391)*24*60</f>
        <v>2.9999999993015081</v>
      </c>
      <c r="M1391">
        <f>COUNTA('[1]Pizza Sales Calculations'!$D1391:$F1391)</f>
        <v>2</v>
      </c>
      <c r="N1391">
        <f>IFERROR(VLOOKUP(D1391,[1]Parameters!$A$3:$C$5,3,FALSE),0)</f>
        <v>1.7</v>
      </c>
      <c r="O1391">
        <f>IFERROR(VLOOKUP(E1391,[1]Parameters!$A$3:$C$5,3,FALSE),0)</f>
        <v>2.2999999999999998</v>
      </c>
      <c r="P1391">
        <f>IFERROR(VLOOKUP(F1391,[1]Parameters!$A$3:$C$5,3,FALSE),0)</f>
        <v>0</v>
      </c>
      <c r="Q1391">
        <f t="shared" si="21"/>
        <v>4</v>
      </c>
      <c r="R1391" s="10">
        <f>IF('[1]Pizza Sales Calculations'!$G1391=TRUE, [1]Parameters!$B$17*'[1]Pizza Sales Calculations'!$L1391*2, 0)</f>
        <v>0</v>
      </c>
      <c r="S1391" t="str">
        <f>IF(I1391&lt;[1]Parameters!$B$21,"TRUE","FALSE")</f>
        <v>TRUE</v>
      </c>
      <c r="T1391" s="5">
        <f>(I1391/[1]Parameters!$B$25)*60</f>
        <v>0</v>
      </c>
      <c r="U1391" s="10">
        <f>IF(AND('[1]Pizza Sales Calculations'!G1391=TRUE,'[1]Pizza Sales Calculations'!S1391="TRUE"),T1391*[1]Parameters!$B$40*2,0)</f>
        <v>0</v>
      </c>
      <c r="V1391">
        <f>INDEX([1]Parameters!$A$3:$C$5,MATCH('[1]Pizza Sales Calculations'!D1391,[1]Parameters!$A$3:$A$5,0),2)</f>
        <v>10</v>
      </c>
      <c r="W1391">
        <f>INDEX([1]Parameters!$A$3:$C$5,MATCH('[1]Pizza Sales Calculations'!E1391,[1]Parameters!$A$3:$A$5,0),2)</f>
        <v>14</v>
      </c>
      <c r="X1391" t="e">
        <f>INDEX([1]Parameters!$A$3:$C$5,MATCH('[1]Pizza Sales Calculations'!F1391,[1]Parameters!$A$3:$A$5,0),2)</f>
        <v>#N/A</v>
      </c>
    </row>
    <row r="1392" spans="1:24" x14ac:dyDescent="0.3">
      <c r="A1392">
        <v>1391</v>
      </c>
      <c r="B1392" s="14">
        <v>42383.549178240741</v>
      </c>
      <c r="C1392" s="14">
        <v>42383.559560185182</v>
      </c>
      <c r="D1392" t="s">
        <v>5</v>
      </c>
      <c r="G1392" t="b">
        <v>0</v>
      </c>
      <c r="H1392">
        <v>70805</v>
      </c>
      <c r="I1392" s="5">
        <v>0</v>
      </c>
      <c r="J1392" s="14">
        <v>42383.561643518522</v>
      </c>
      <c r="K1392">
        <v>15.35</v>
      </c>
      <c r="L1392" s="5">
        <f>('[1]Pizza Sales Calculations'!$J1392-'[1]Pizza Sales Calculations'!$C1392)*24*60</f>
        <v>3.000000009778887</v>
      </c>
      <c r="M1392">
        <f>COUNTA('[1]Pizza Sales Calculations'!$D1392:$F1392)</f>
        <v>1</v>
      </c>
      <c r="N1392">
        <f>IFERROR(VLOOKUP(D1392,[1]Parameters!$A$3:$C$5,3,FALSE),0)</f>
        <v>2.2999999999999998</v>
      </c>
      <c r="O1392">
        <f>IFERROR(VLOOKUP(E1392,[1]Parameters!$A$3:$C$5,3,FALSE),0)</f>
        <v>0</v>
      </c>
      <c r="P1392">
        <f>IFERROR(VLOOKUP(F1392,[1]Parameters!$A$3:$C$5,3,FALSE),0)</f>
        <v>0</v>
      </c>
      <c r="Q1392">
        <f t="shared" si="21"/>
        <v>2.2999999999999998</v>
      </c>
      <c r="R1392" s="10">
        <f>IF('[1]Pizza Sales Calculations'!$G1392=TRUE, [1]Parameters!$B$17*'[1]Pizza Sales Calculations'!$L1392*2, 0)</f>
        <v>0</v>
      </c>
      <c r="S1392" t="str">
        <f>IF(I1392&lt;[1]Parameters!$B$21,"TRUE","FALSE")</f>
        <v>TRUE</v>
      </c>
      <c r="T1392" s="5">
        <f>(I1392/[1]Parameters!$B$25)*60</f>
        <v>0</v>
      </c>
      <c r="U1392" s="10">
        <f>IF(AND('[1]Pizza Sales Calculations'!G1392=TRUE,'[1]Pizza Sales Calculations'!S1392="TRUE"),T1392*[1]Parameters!$B$40*2,0)</f>
        <v>0</v>
      </c>
      <c r="V1392">
        <f>INDEX([1]Parameters!$A$3:$C$5,MATCH('[1]Pizza Sales Calculations'!D1392,[1]Parameters!$A$3:$A$5,0),2)</f>
        <v>14</v>
      </c>
      <c r="W1392" t="e">
        <f>INDEX([1]Parameters!$A$3:$C$5,MATCH('[1]Pizza Sales Calculations'!E1392,[1]Parameters!$A$3:$A$5,0),2)</f>
        <v>#N/A</v>
      </c>
      <c r="X1392" t="e">
        <f>INDEX([1]Parameters!$A$3:$C$5,MATCH('[1]Pizza Sales Calculations'!F1392,[1]Parameters!$A$3:$A$5,0),2)</f>
        <v>#N/A</v>
      </c>
    </row>
    <row r="1393" spans="1:24" x14ac:dyDescent="0.3">
      <c r="A1393">
        <v>1392</v>
      </c>
      <c r="B1393" s="14">
        <v>42383.460393518515</v>
      </c>
      <c r="C1393" s="14">
        <v>42383.47079861111</v>
      </c>
      <c r="D1393" t="s">
        <v>3</v>
      </c>
      <c r="G1393" t="b">
        <v>0</v>
      </c>
      <c r="H1393">
        <v>70805</v>
      </c>
      <c r="I1393" s="5">
        <v>0</v>
      </c>
      <c r="J1393" s="14">
        <v>42383.472870370373</v>
      </c>
      <c r="K1393">
        <v>7.99</v>
      </c>
      <c r="L1393" s="5">
        <f>('[1]Pizza Sales Calculations'!$J1393-'[1]Pizza Sales Calculations'!$C1393)*24*60</f>
        <v>2.9833333392161876</v>
      </c>
      <c r="M1393">
        <f>COUNTA('[1]Pizza Sales Calculations'!$D1393:$F1393)</f>
        <v>1</v>
      </c>
      <c r="N1393">
        <f>IFERROR(VLOOKUP(D1393,[1]Parameters!$A$3:$C$5,3,FALSE),0)</f>
        <v>1</v>
      </c>
      <c r="O1393">
        <f>IFERROR(VLOOKUP(E1393,[1]Parameters!$A$3:$C$5,3,FALSE),0)</f>
        <v>0</v>
      </c>
      <c r="P1393">
        <f>IFERROR(VLOOKUP(F1393,[1]Parameters!$A$3:$C$5,3,FALSE),0)</f>
        <v>0</v>
      </c>
      <c r="Q1393">
        <f t="shared" si="21"/>
        <v>1</v>
      </c>
      <c r="R1393" s="10">
        <f>IF('[1]Pizza Sales Calculations'!$G1393=TRUE, [1]Parameters!$B$17*'[1]Pizza Sales Calculations'!$L1393*2, 0)</f>
        <v>0</v>
      </c>
      <c r="S1393" t="str">
        <f>IF(I1393&lt;[1]Parameters!$B$21,"TRUE","FALSE")</f>
        <v>TRUE</v>
      </c>
      <c r="T1393" s="5">
        <f>(I1393/[1]Parameters!$B$25)*60</f>
        <v>0</v>
      </c>
      <c r="U1393" s="10">
        <f>IF(AND('[1]Pizza Sales Calculations'!G1393=TRUE,'[1]Pizza Sales Calculations'!S1393="TRUE"),T1393*[1]Parameters!$B$40*2,0)</f>
        <v>0</v>
      </c>
      <c r="V1393">
        <f>INDEX([1]Parameters!$A$3:$C$5,MATCH('[1]Pizza Sales Calculations'!D1393,[1]Parameters!$A$3:$A$5,0),2)</f>
        <v>7</v>
      </c>
      <c r="W1393" t="e">
        <f>INDEX([1]Parameters!$A$3:$C$5,MATCH('[1]Pizza Sales Calculations'!E1393,[1]Parameters!$A$3:$A$5,0),2)</f>
        <v>#N/A</v>
      </c>
      <c r="X1393" t="e">
        <f>INDEX([1]Parameters!$A$3:$C$5,MATCH('[1]Pizza Sales Calculations'!F1393,[1]Parameters!$A$3:$A$5,0),2)</f>
        <v>#N/A</v>
      </c>
    </row>
    <row r="1394" spans="1:24" x14ac:dyDescent="0.3">
      <c r="A1394">
        <v>1393</v>
      </c>
      <c r="B1394" s="14">
        <v>42383.461053240739</v>
      </c>
      <c r="C1394" s="14">
        <v>42383.471458333333</v>
      </c>
      <c r="D1394" t="s">
        <v>5</v>
      </c>
      <c r="G1394" t="b">
        <v>1</v>
      </c>
      <c r="H1394">
        <v>70805</v>
      </c>
      <c r="I1394" s="5">
        <v>3.06720998046127</v>
      </c>
      <c r="J1394" s="14">
        <v>42383.482106481482</v>
      </c>
      <c r="K1394">
        <v>15.35</v>
      </c>
      <c r="L1394" s="5">
        <f>('[1]Pizza Sales Calculations'!$J1394-'[1]Pizza Sales Calculations'!$C1394)*24*60</f>
        <v>15.333333334419876</v>
      </c>
      <c r="M1394">
        <f>COUNTA('[1]Pizza Sales Calculations'!$D1394:$F1394)</f>
        <v>1</v>
      </c>
      <c r="N1394">
        <f>IFERROR(VLOOKUP(D1394,[1]Parameters!$A$3:$C$5,3,FALSE),0)</f>
        <v>2.2999999999999998</v>
      </c>
      <c r="O1394">
        <f>IFERROR(VLOOKUP(E1394,[1]Parameters!$A$3:$C$5,3,FALSE),0)</f>
        <v>0</v>
      </c>
      <c r="P1394">
        <f>IFERROR(VLOOKUP(F1394,[1]Parameters!$A$3:$C$5,3,FALSE),0)</f>
        <v>0</v>
      </c>
      <c r="Q1394">
        <f t="shared" si="21"/>
        <v>2.2999999999999998</v>
      </c>
      <c r="R1394" s="10">
        <f>IF('[1]Pizza Sales Calculations'!$G1394=TRUE, [1]Parameters!$B$17*'[1]Pizza Sales Calculations'!$L1394*2, 0)</f>
        <v>4.3444444447522983</v>
      </c>
      <c r="S1394" t="str">
        <f>IF(I1394&lt;[1]Parameters!$B$21,"TRUE","FALSE")</f>
        <v>TRUE</v>
      </c>
      <c r="T1394" s="5">
        <f>(I1394/[1]Parameters!$B$25)*60</f>
        <v>6.13441996092254</v>
      </c>
      <c r="U1394" s="10">
        <f>IF(AND('[1]Pizza Sales Calculations'!G1394=TRUE,'[1]Pizza Sales Calculations'!S1394="TRUE"),T1394*[1]Parameters!$B$40*2,0)</f>
        <v>0.38292661587625815</v>
      </c>
      <c r="V1394">
        <f>INDEX([1]Parameters!$A$3:$C$5,MATCH('[1]Pizza Sales Calculations'!D1394,[1]Parameters!$A$3:$A$5,0),2)</f>
        <v>14</v>
      </c>
      <c r="W1394" t="e">
        <f>INDEX([1]Parameters!$A$3:$C$5,MATCH('[1]Pizza Sales Calculations'!E1394,[1]Parameters!$A$3:$A$5,0),2)</f>
        <v>#N/A</v>
      </c>
      <c r="X1394" t="e">
        <f>INDEX([1]Parameters!$A$3:$C$5,MATCH('[1]Pizza Sales Calculations'!F1394,[1]Parameters!$A$3:$A$5,0),2)</f>
        <v>#N/A</v>
      </c>
    </row>
    <row r="1395" spans="1:24" x14ac:dyDescent="0.3">
      <c r="A1395">
        <v>1394</v>
      </c>
      <c r="B1395" s="14">
        <v>42383.439733796295</v>
      </c>
      <c r="C1395" s="14">
        <v>42383.450162037036</v>
      </c>
      <c r="D1395" t="s">
        <v>3</v>
      </c>
      <c r="E1395" t="s">
        <v>4</v>
      </c>
      <c r="G1395" t="b">
        <v>1</v>
      </c>
      <c r="H1395">
        <v>70808</v>
      </c>
      <c r="I1395" s="5">
        <v>3.70940530968485</v>
      </c>
      <c r="J1395" s="14">
        <v>42383.46303240741</v>
      </c>
      <c r="K1395">
        <v>19.579999999999998</v>
      </c>
      <c r="L1395" s="5">
        <f>('[1]Pizza Sales Calculations'!$J1395-'[1]Pizza Sales Calculations'!$C1395)*24*60</f>
        <v>18.533333338564262</v>
      </c>
      <c r="M1395">
        <f>COUNTA('[1]Pizza Sales Calculations'!$D1395:$F1395)</f>
        <v>2</v>
      </c>
      <c r="N1395">
        <f>IFERROR(VLOOKUP(D1395,[1]Parameters!$A$3:$C$5,3,FALSE),0)</f>
        <v>1</v>
      </c>
      <c r="O1395">
        <f>IFERROR(VLOOKUP(E1395,[1]Parameters!$A$3:$C$5,3,FALSE),0)</f>
        <v>1.7</v>
      </c>
      <c r="P1395">
        <f>IFERROR(VLOOKUP(F1395,[1]Parameters!$A$3:$C$5,3,FALSE),0)</f>
        <v>0</v>
      </c>
      <c r="Q1395">
        <f t="shared" si="21"/>
        <v>2.7</v>
      </c>
      <c r="R1395" s="10">
        <f>IF('[1]Pizza Sales Calculations'!$G1395=TRUE, [1]Parameters!$B$17*'[1]Pizza Sales Calculations'!$L1395*2, 0)</f>
        <v>5.2511111125932075</v>
      </c>
      <c r="S1395" t="str">
        <f>IF(I1395&lt;[1]Parameters!$B$21,"TRUE","FALSE")</f>
        <v>FALSE</v>
      </c>
      <c r="T1395" s="5">
        <f>(I1395/[1]Parameters!$B$25)*60</f>
        <v>7.4188106193697001</v>
      </c>
      <c r="U1395" s="10">
        <f>IF(AND('[1]Pizza Sales Calculations'!G1395=TRUE,'[1]Pizza Sales Calculations'!S1395="TRUE"),T1395*[1]Parameters!$B$40*2,0)</f>
        <v>0</v>
      </c>
      <c r="V1395">
        <f>INDEX([1]Parameters!$A$3:$C$5,MATCH('[1]Pizza Sales Calculations'!D1395,[1]Parameters!$A$3:$A$5,0),2)</f>
        <v>7</v>
      </c>
      <c r="W1395">
        <f>INDEX([1]Parameters!$A$3:$C$5,MATCH('[1]Pizza Sales Calculations'!E1395,[1]Parameters!$A$3:$A$5,0),2)</f>
        <v>10</v>
      </c>
      <c r="X1395" t="e">
        <f>INDEX([1]Parameters!$A$3:$C$5,MATCH('[1]Pizza Sales Calculations'!F1395,[1]Parameters!$A$3:$A$5,0),2)</f>
        <v>#N/A</v>
      </c>
    </row>
    <row r="1396" spans="1:24" x14ac:dyDescent="0.3">
      <c r="A1396">
        <v>1395</v>
      </c>
      <c r="B1396" s="14">
        <v>42383.534594907411</v>
      </c>
      <c r="C1396" s="14">
        <v>42383.545011574075</v>
      </c>
      <c r="D1396" t="s">
        <v>3</v>
      </c>
      <c r="E1396" t="s">
        <v>5</v>
      </c>
      <c r="G1396" t="b">
        <v>1</v>
      </c>
      <c r="H1396">
        <v>70805</v>
      </c>
      <c r="I1396" s="5">
        <v>3.3451497235301302</v>
      </c>
      <c r="J1396" s="14">
        <v>42383.556620370371</v>
      </c>
      <c r="K1396">
        <v>23.34</v>
      </c>
      <c r="L1396" s="5">
        <f>('[1]Pizza Sales Calculations'!$J1396-'[1]Pizza Sales Calculations'!$C1396)*24*60</f>
        <v>16.716666666325182</v>
      </c>
      <c r="M1396">
        <f>COUNTA('[1]Pizza Sales Calculations'!$D1396:$F1396)</f>
        <v>2</v>
      </c>
      <c r="N1396">
        <f>IFERROR(VLOOKUP(D1396,[1]Parameters!$A$3:$C$5,3,FALSE),0)</f>
        <v>1</v>
      </c>
      <c r="O1396">
        <f>IFERROR(VLOOKUP(E1396,[1]Parameters!$A$3:$C$5,3,FALSE),0)</f>
        <v>2.2999999999999998</v>
      </c>
      <c r="P1396">
        <f>IFERROR(VLOOKUP(F1396,[1]Parameters!$A$3:$C$5,3,FALSE),0)</f>
        <v>0</v>
      </c>
      <c r="Q1396">
        <f t="shared" si="21"/>
        <v>3.3</v>
      </c>
      <c r="R1396" s="10">
        <f>IF('[1]Pizza Sales Calculations'!$G1396=TRUE, [1]Parameters!$B$17*'[1]Pizza Sales Calculations'!$L1396*2, 0)</f>
        <v>4.7363888887921348</v>
      </c>
      <c r="S1396" t="str">
        <f>IF(I1396&lt;[1]Parameters!$B$21,"TRUE","FALSE")</f>
        <v>FALSE</v>
      </c>
      <c r="T1396" s="5">
        <f>(I1396/[1]Parameters!$B$25)*60</f>
        <v>6.6902994470602604</v>
      </c>
      <c r="U1396" s="10">
        <f>IF(AND('[1]Pizza Sales Calculations'!G1396=TRUE,'[1]Pizza Sales Calculations'!S1396="TRUE"),T1396*[1]Parameters!$B$40*2,0)</f>
        <v>0</v>
      </c>
      <c r="V1396">
        <f>INDEX([1]Parameters!$A$3:$C$5,MATCH('[1]Pizza Sales Calculations'!D1396,[1]Parameters!$A$3:$A$5,0),2)</f>
        <v>7</v>
      </c>
      <c r="W1396">
        <f>INDEX([1]Parameters!$A$3:$C$5,MATCH('[1]Pizza Sales Calculations'!E1396,[1]Parameters!$A$3:$A$5,0),2)</f>
        <v>14</v>
      </c>
      <c r="X1396" t="e">
        <f>INDEX([1]Parameters!$A$3:$C$5,MATCH('[1]Pizza Sales Calculations'!F1396,[1]Parameters!$A$3:$A$5,0),2)</f>
        <v>#N/A</v>
      </c>
    </row>
    <row r="1397" spans="1:24" x14ac:dyDescent="0.3">
      <c r="A1397">
        <v>1396</v>
      </c>
      <c r="B1397" s="14">
        <v>42383.583009259259</v>
      </c>
      <c r="C1397" s="14">
        <v>42383.593449074076</v>
      </c>
      <c r="D1397" t="s">
        <v>3</v>
      </c>
      <c r="E1397" t="s">
        <v>4</v>
      </c>
      <c r="G1397" t="b">
        <v>1</v>
      </c>
      <c r="H1397">
        <v>70805</v>
      </c>
      <c r="I1397" s="5">
        <v>2.2626825535685802</v>
      </c>
      <c r="J1397" s="14">
        <v>42383.6012962963</v>
      </c>
      <c r="K1397">
        <v>19.579999999999998</v>
      </c>
      <c r="L1397" s="5">
        <f>('[1]Pizza Sales Calculations'!$J1397-'[1]Pizza Sales Calculations'!$C1397)*24*60</f>
        <v>11.300000001210719</v>
      </c>
      <c r="M1397">
        <f>COUNTA('[1]Pizza Sales Calculations'!$D1397:$F1397)</f>
        <v>2</v>
      </c>
      <c r="N1397">
        <f>IFERROR(VLOOKUP(D1397,[1]Parameters!$A$3:$C$5,3,FALSE),0)</f>
        <v>1</v>
      </c>
      <c r="O1397">
        <f>IFERROR(VLOOKUP(E1397,[1]Parameters!$A$3:$C$5,3,FALSE),0)</f>
        <v>1.7</v>
      </c>
      <c r="P1397">
        <f>IFERROR(VLOOKUP(F1397,[1]Parameters!$A$3:$C$5,3,FALSE),0)</f>
        <v>0</v>
      </c>
      <c r="Q1397">
        <f t="shared" si="21"/>
        <v>2.7</v>
      </c>
      <c r="R1397" s="10">
        <f>IF('[1]Pizza Sales Calculations'!$G1397=TRUE, [1]Parameters!$B$17*'[1]Pizza Sales Calculations'!$L1397*2, 0)</f>
        <v>3.2016666670097038</v>
      </c>
      <c r="S1397" t="str">
        <f>IF(I1397&lt;[1]Parameters!$B$21,"TRUE","FALSE")</f>
        <v>TRUE</v>
      </c>
      <c r="T1397" s="5">
        <f>(I1397/[1]Parameters!$B$25)*60</f>
        <v>4.5253651071371603</v>
      </c>
      <c r="U1397" s="10">
        <f>IF(AND('[1]Pizza Sales Calculations'!G1397=TRUE,'[1]Pizza Sales Calculations'!S1397="TRUE"),T1397*[1]Parameters!$B$40*2,0)</f>
        <v>0.28248518313374965</v>
      </c>
      <c r="V1397">
        <f>INDEX([1]Parameters!$A$3:$C$5,MATCH('[1]Pizza Sales Calculations'!D1397,[1]Parameters!$A$3:$A$5,0),2)</f>
        <v>7</v>
      </c>
      <c r="W1397">
        <f>INDEX([1]Parameters!$A$3:$C$5,MATCH('[1]Pizza Sales Calculations'!E1397,[1]Parameters!$A$3:$A$5,0),2)</f>
        <v>10</v>
      </c>
      <c r="X1397" t="e">
        <f>INDEX([1]Parameters!$A$3:$C$5,MATCH('[1]Pizza Sales Calculations'!F1397,[1]Parameters!$A$3:$A$5,0),2)</f>
        <v>#N/A</v>
      </c>
    </row>
    <row r="1398" spans="1:24" x14ac:dyDescent="0.3">
      <c r="A1398">
        <v>1397</v>
      </c>
      <c r="B1398" s="14">
        <v>42383.432129629633</v>
      </c>
      <c r="C1398" s="14">
        <v>42383.442546296297</v>
      </c>
      <c r="D1398" t="s">
        <v>3</v>
      </c>
      <c r="E1398" t="s">
        <v>4</v>
      </c>
      <c r="G1398" t="b">
        <v>0</v>
      </c>
      <c r="H1398">
        <v>70806</v>
      </c>
      <c r="I1398" s="5">
        <v>0</v>
      </c>
      <c r="J1398" s="14">
        <v>42383.44462962963</v>
      </c>
      <c r="K1398">
        <v>19.579999999999998</v>
      </c>
      <c r="L1398" s="5">
        <f>('[1]Pizza Sales Calculations'!$J1398-'[1]Pizza Sales Calculations'!$C1398)*24*60</f>
        <v>2.9999999993015081</v>
      </c>
      <c r="M1398">
        <f>COUNTA('[1]Pizza Sales Calculations'!$D1398:$F1398)</f>
        <v>2</v>
      </c>
      <c r="N1398">
        <f>IFERROR(VLOOKUP(D1398,[1]Parameters!$A$3:$C$5,3,FALSE),0)</f>
        <v>1</v>
      </c>
      <c r="O1398">
        <f>IFERROR(VLOOKUP(E1398,[1]Parameters!$A$3:$C$5,3,FALSE),0)</f>
        <v>1.7</v>
      </c>
      <c r="P1398">
        <f>IFERROR(VLOOKUP(F1398,[1]Parameters!$A$3:$C$5,3,FALSE),0)</f>
        <v>0</v>
      </c>
      <c r="Q1398">
        <f t="shared" si="21"/>
        <v>2.7</v>
      </c>
      <c r="R1398" s="10">
        <f>IF('[1]Pizza Sales Calculations'!$G1398=TRUE, [1]Parameters!$B$17*'[1]Pizza Sales Calculations'!$L1398*2, 0)</f>
        <v>0</v>
      </c>
      <c r="S1398" t="str">
        <f>IF(I1398&lt;[1]Parameters!$B$21,"TRUE","FALSE")</f>
        <v>TRUE</v>
      </c>
      <c r="T1398" s="5">
        <f>(I1398/[1]Parameters!$B$25)*60</f>
        <v>0</v>
      </c>
      <c r="U1398" s="10">
        <f>IF(AND('[1]Pizza Sales Calculations'!G1398=TRUE,'[1]Pizza Sales Calculations'!S1398="TRUE"),T1398*[1]Parameters!$B$40*2,0)</f>
        <v>0</v>
      </c>
      <c r="V1398">
        <f>INDEX([1]Parameters!$A$3:$C$5,MATCH('[1]Pizza Sales Calculations'!D1398,[1]Parameters!$A$3:$A$5,0),2)</f>
        <v>7</v>
      </c>
      <c r="W1398">
        <f>INDEX([1]Parameters!$A$3:$C$5,MATCH('[1]Pizza Sales Calculations'!E1398,[1]Parameters!$A$3:$A$5,0),2)</f>
        <v>10</v>
      </c>
      <c r="X1398" t="e">
        <f>INDEX([1]Parameters!$A$3:$C$5,MATCH('[1]Pizza Sales Calculations'!F1398,[1]Parameters!$A$3:$A$5,0),2)</f>
        <v>#N/A</v>
      </c>
    </row>
    <row r="1399" spans="1:24" x14ac:dyDescent="0.3">
      <c r="A1399">
        <v>1398</v>
      </c>
      <c r="B1399" s="14">
        <v>42383.436249999999</v>
      </c>
      <c r="C1399" s="14">
        <v>42383.446655092594</v>
      </c>
      <c r="D1399" t="s">
        <v>5</v>
      </c>
      <c r="G1399" t="b">
        <v>0</v>
      </c>
      <c r="H1399">
        <v>70805</v>
      </c>
      <c r="I1399" s="5">
        <v>0</v>
      </c>
      <c r="J1399" s="14">
        <v>42383.448738425926</v>
      </c>
      <c r="K1399">
        <v>15.35</v>
      </c>
      <c r="L1399" s="5">
        <f>('[1]Pizza Sales Calculations'!$J1399-'[1]Pizza Sales Calculations'!$C1399)*24*60</f>
        <v>2.9999999993015081</v>
      </c>
      <c r="M1399">
        <f>COUNTA('[1]Pizza Sales Calculations'!$D1399:$F1399)</f>
        <v>1</v>
      </c>
      <c r="N1399">
        <f>IFERROR(VLOOKUP(D1399,[1]Parameters!$A$3:$C$5,3,FALSE),0)</f>
        <v>2.2999999999999998</v>
      </c>
      <c r="O1399">
        <f>IFERROR(VLOOKUP(E1399,[1]Parameters!$A$3:$C$5,3,FALSE),0)</f>
        <v>0</v>
      </c>
      <c r="P1399">
        <f>IFERROR(VLOOKUP(F1399,[1]Parameters!$A$3:$C$5,3,FALSE),0)</f>
        <v>0</v>
      </c>
      <c r="Q1399">
        <f t="shared" si="21"/>
        <v>2.2999999999999998</v>
      </c>
      <c r="R1399" s="10">
        <f>IF('[1]Pizza Sales Calculations'!$G1399=TRUE, [1]Parameters!$B$17*'[1]Pizza Sales Calculations'!$L1399*2, 0)</f>
        <v>0</v>
      </c>
      <c r="S1399" t="str">
        <f>IF(I1399&lt;[1]Parameters!$B$21,"TRUE","FALSE")</f>
        <v>TRUE</v>
      </c>
      <c r="T1399" s="5">
        <f>(I1399/[1]Parameters!$B$25)*60</f>
        <v>0</v>
      </c>
      <c r="U1399" s="10">
        <f>IF(AND('[1]Pizza Sales Calculations'!G1399=TRUE,'[1]Pizza Sales Calculations'!S1399="TRUE"),T1399*[1]Parameters!$B$40*2,0)</f>
        <v>0</v>
      </c>
      <c r="V1399">
        <f>INDEX([1]Parameters!$A$3:$C$5,MATCH('[1]Pizza Sales Calculations'!D1399,[1]Parameters!$A$3:$A$5,0),2)</f>
        <v>14</v>
      </c>
      <c r="W1399" t="e">
        <f>INDEX([1]Parameters!$A$3:$C$5,MATCH('[1]Pizza Sales Calculations'!E1399,[1]Parameters!$A$3:$A$5,0),2)</f>
        <v>#N/A</v>
      </c>
      <c r="X1399" t="e">
        <f>INDEX([1]Parameters!$A$3:$C$5,MATCH('[1]Pizza Sales Calculations'!F1399,[1]Parameters!$A$3:$A$5,0),2)</f>
        <v>#N/A</v>
      </c>
    </row>
    <row r="1400" spans="1:24" x14ac:dyDescent="0.3">
      <c r="A1400">
        <v>1399</v>
      </c>
      <c r="B1400" s="14">
        <v>42383.534837962965</v>
      </c>
      <c r="C1400" s="14">
        <v>42383.545243055552</v>
      </c>
      <c r="D1400" t="s">
        <v>3</v>
      </c>
      <c r="E1400" t="s">
        <v>5</v>
      </c>
      <c r="G1400" t="b">
        <v>1</v>
      </c>
      <c r="H1400">
        <v>70804</v>
      </c>
      <c r="I1400" s="5">
        <v>4.67007832133213</v>
      </c>
      <c r="J1400" s="14">
        <v>42383.56145833333</v>
      </c>
      <c r="K1400">
        <v>23.34</v>
      </c>
      <c r="L1400" s="5">
        <f>('[1]Pizza Sales Calculations'!$J1400-'[1]Pizza Sales Calculations'!$C1400)*24*60</f>
        <v>23.349999999627471</v>
      </c>
      <c r="M1400">
        <f>COUNTA('[1]Pizza Sales Calculations'!$D1400:$F1400)</f>
        <v>2</v>
      </c>
      <c r="N1400">
        <f>IFERROR(VLOOKUP(D1400,[1]Parameters!$A$3:$C$5,3,FALSE),0)</f>
        <v>1</v>
      </c>
      <c r="O1400">
        <f>IFERROR(VLOOKUP(E1400,[1]Parameters!$A$3:$C$5,3,FALSE),0)</f>
        <v>2.2999999999999998</v>
      </c>
      <c r="P1400">
        <f>IFERROR(VLOOKUP(F1400,[1]Parameters!$A$3:$C$5,3,FALSE),0)</f>
        <v>0</v>
      </c>
      <c r="Q1400">
        <f t="shared" si="21"/>
        <v>3.3</v>
      </c>
      <c r="R1400" s="10">
        <f>IF('[1]Pizza Sales Calculations'!$G1400=TRUE, [1]Parameters!$B$17*'[1]Pizza Sales Calculations'!$L1400*2, 0)</f>
        <v>6.6158333332277834</v>
      </c>
      <c r="S1400" t="str">
        <f>IF(I1400&lt;[1]Parameters!$B$21,"TRUE","FALSE")</f>
        <v>FALSE</v>
      </c>
      <c r="T1400" s="5">
        <f>(I1400/[1]Parameters!$B$25)*60</f>
        <v>9.3401566426642599</v>
      </c>
      <c r="U1400" s="10">
        <f>IF(AND('[1]Pizza Sales Calculations'!G1400=TRUE,'[1]Pizza Sales Calculations'!S1400="TRUE"),T1400*[1]Parameters!$B$40*2,0)</f>
        <v>0</v>
      </c>
      <c r="V1400">
        <f>INDEX([1]Parameters!$A$3:$C$5,MATCH('[1]Pizza Sales Calculations'!D1400,[1]Parameters!$A$3:$A$5,0),2)</f>
        <v>7</v>
      </c>
      <c r="W1400">
        <f>INDEX([1]Parameters!$A$3:$C$5,MATCH('[1]Pizza Sales Calculations'!E1400,[1]Parameters!$A$3:$A$5,0),2)</f>
        <v>14</v>
      </c>
      <c r="X1400" t="e">
        <f>INDEX([1]Parameters!$A$3:$C$5,MATCH('[1]Pizza Sales Calculations'!F1400,[1]Parameters!$A$3:$A$5,0),2)</f>
        <v>#N/A</v>
      </c>
    </row>
    <row r="1401" spans="1:24" x14ac:dyDescent="0.3">
      <c r="A1401">
        <v>1400</v>
      </c>
      <c r="B1401" s="14">
        <v>42383.564155092594</v>
      </c>
      <c r="C1401" s="14">
        <v>42383.574560185189</v>
      </c>
      <c r="D1401" t="s">
        <v>4</v>
      </c>
      <c r="E1401" t="s">
        <v>5</v>
      </c>
      <c r="G1401" t="b">
        <v>1</v>
      </c>
      <c r="H1401">
        <v>70803</v>
      </c>
      <c r="I1401" s="5">
        <v>3.5021260097186402</v>
      </c>
      <c r="J1401" s="14">
        <v>42383.586712962962</v>
      </c>
      <c r="K1401">
        <v>25.94</v>
      </c>
      <c r="L1401" s="5">
        <f>('[1]Pizza Sales Calculations'!$J1401-'[1]Pizza Sales Calculations'!$C1401)*24*60</f>
        <v>17.499999994179234</v>
      </c>
      <c r="M1401">
        <f>COUNTA('[1]Pizza Sales Calculations'!$D1401:$F1401)</f>
        <v>2</v>
      </c>
      <c r="N1401">
        <f>IFERROR(VLOOKUP(D1401,[1]Parameters!$A$3:$C$5,3,FALSE),0)</f>
        <v>1.7</v>
      </c>
      <c r="O1401">
        <f>IFERROR(VLOOKUP(E1401,[1]Parameters!$A$3:$C$5,3,FALSE),0)</f>
        <v>2.2999999999999998</v>
      </c>
      <c r="P1401">
        <f>IFERROR(VLOOKUP(F1401,[1]Parameters!$A$3:$C$5,3,FALSE),0)</f>
        <v>0</v>
      </c>
      <c r="Q1401">
        <f t="shared" si="21"/>
        <v>4</v>
      </c>
      <c r="R1401" s="10">
        <f>IF('[1]Pizza Sales Calculations'!$G1401=TRUE, [1]Parameters!$B$17*'[1]Pizza Sales Calculations'!$L1401*2, 0)</f>
        <v>4.9583333316841163</v>
      </c>
      <c r="S1401" t="str">
        <f>IF(I1401&lt;[1]Parameters!$B$21,"TRUE","FALSE")</f>
        <v>FALSE</v>
      </c>
      <c r="T1401" s="5">
        <f>(I1401/[1]Parameters!$B$25)*60</f>
        <v>7.0042520194372804</v>
      </c>
      <c r="U1401" s="10">
        <f>IF(AND('[1]Pizza Sales Calculations'!G1401=TRUE,'[1]Pizza Sales Calculations'!S1401="TRUE"),T1401*[1]Parameters!$B$40*2,0)</f>
        <v>0</v>
      </c>
      <c r="V1401">
        <f>INDEX([1]Parameters!$A$3:$C$5,MATCH('[1]Pizza Sales Calculations'!D1401,[1]Parameters!$A$3:$A$5,0),2)</f>
        <v>10</v>
      </c>
      <c r="W1401">
        <f>INDEX([1]Parameters!$A$3:$C$5,MATCH('[1]Pizza Sales Calculations'!E1401,[1]Parameters!$A$3:$A$5,0),2)</f>
        <v>14</v>
      </c>
      <c r="X1401" t="e">
        <f>INDEX([1]Parameters!$A$3:$C$5,MATCH('[1]Pizza Sales Calculations'!F1401,[1]Parameters!$A$3:$A$5,0),2)</f>
        <v>#N/A</v>
      </c>
    </row>
    <row r="1402" spans="1:24" x14ac:dyDescent="0.3">
      <c r="A1402">
        <v>1401</v>
      </c>
      <c r="B1402" s="14">
        <v>42383.492256944446</v>
      </c>
      <c r="C1402" s="14">
        <v>42383.502662037034</v>
      </c>
      <c r="D1402" t="s">
        <v>5</v>
      </c>
      <c r="G1402" t="b">
        <v>0</v>
      </c>
      <c r="H1402">
        <v>70804</v>
      </c>
      <c r="I1402" s="5">
        <v>0</v>
      </c>
      <c r="J1402" s="14">
        <v>42383.504745370374</v>
      </c>
      <c r="K1402">
        <v>15.35</v>
      </c>
      <c r="L1402" s="5">
        <f>('[1]Pizza Sales Calculations'!$J1402-'[1]Pizza Sales Calculations'!$C1402)*24*60</f>
        <v>3.000000009778887</v>
      </c>
      <c r="M1402">
        <f>COUNTA('[1]Pizza Sales Calculations'!$D1402:$F1402)</f>
        <v>1</v>
      </c>
      <c r="N1402">
        <f>IFERROR(VLOOKUP(D1402,[1]Parameters!$A$3:$C$5,3,FALSE),0)</f>
        <v>2.2999999999999998</v>
      </c>
      <c r="O1402">
        <f>IFERROR(VLOOKUP(E1402,[1]Parameters!$A$3:$C$5,3,FALSE),0)</f>
        <v>0</v>
      </c>
      <c r="P1402">
        <f>IFERROR(VLOOKUP(F1402,[1]Parameters!$A$3:$C$5,3,FALSE),0)</f>
        <v>0</v>
      </c>
      <c r="Q1402">
        <f t="shared" si="21"/>
        <v>2.2999999999999998</v>
      </c>
      <c r="R1402" s="10">
        <f>IF('[1]Pizza Sales Calculations'!$G1402=TRUE, [1]Parameters!$B$17*'[1]Pizza Sales Calculations'!$L1402*2, 0)</f>
        <v>0</v>
      </c>
      <c r="S1402" t="str">
        <f>IF(I1402&lt;[1]Parameters!$B$21,"TRUE","FALSE")</f>
        <v>TRUE</v>
      </c>
      <c r="T1402" s="5">
        <f>(I1402/[1]Parameters!$B$25)*60</f>
        <v>0</v>
      </c>
      <c r="U1402" s="10">
        <f>IF(AND('[1]Pizza Sales Calculations'!G1402=TRUE,'[1]Pizza Sales Calculations'!S1402="TRUE"),T1402*[1]Parameters!$B$40*2,0)</f>
        <v>0</v>
      </c>
      <c r="V1402">
        <f>INDEX([1]Parameters!$A$3:$C$5,MATCH('[1]Pizza Sales Calculations'!D1402,[1]Parameters!$A$3:$A$5,0),2)</f>
        <v>14</v>
      </c>
      <c r="W1402" t="e">
        <f>INDEX([1]Parameters!$A$3:$C$5,MATCH('[1]Pizza Sales Calculations'!E1402,[1]Parameters!$A$3:$A$5,0),2)</f>
        <v>#N/A</v>
      </c>
      <c r="X1402" t="e">
        <f>INDEX([1]Parameters!$A$3:$C$5,MATCH('[1]Pizza Sales Calculations'!F1402,[1]Parameters!$A$3:$A$5,0),2)</f>
        <v>#N/A</v>
      </c>
    </row>
    <row r="1403" spans="1:24" x14ac:dyDescent="0.3">
      <c r="A1403">
        <v>1402</v>
      </c>
      <c r="B1403" s="14">
        <v>42383.464305555557</v>
      </c>
      <c r="C1403" s="14">
        <v>42383.474710648145</v>
      </c>
      <c r="D1403" t="s">
        <v>3</v>
      </c>
      <c r="E1403" t="s">
        <v>4</v>
      </c>
      <c r="G1403" t="b">
        <v>0</v>
      </c>
      <c r="H1403">
        <v>70807</v>
      </c>
      <c r="I1403" s="5">
        <v>0</v>
      </c>
      <c r="J1403" s="14">
        <v>42383.476793981485</v>
      </c>
      <c r="K1403">
        <v>19.579999999999998</v>
      </c>
      <c r="L1403" s="5">
        <f>('[1]Pizza Sales Calculations'!$J1403-'[1]Pizza Sales Calculations'!$C1403)*24*60</f>
        <v>3.000000009778887</v>
      </c>
      <c r="M1403">
        <f>COUNTA('[1]Pizza Sales Calculations'!$D1403:$F1403)</f>
        <v>2</v>
      </c>
      <c r="N1403">
        <f>IFERROR(VLOOKUP(D1403,[1]Parameters!$A$3:$C$5,3,FALSE),0)</f>
        <v>1</v>
      </c>
      <c r="O1403">
        <f>IFERROR(VLOOKUP(E1403,[1]Parameters!$A$3:$C$5,3,FALSE),0)</f>
        <v>1.7</v>
      </c>
      <c r="P1403">
        <f>IFERROR(VLOOKUP(F1403,[1]Parameters!$A$3:$C$5,3,FALSE),0)</f>
        <v>0</v>
      </c>
      <c r="Q1403">
        <f t="shared" si="21"/>
        <v>2.7</v>
      </c>
      <c r="R1403" s="10">
        <f>IF('[1]Pizza Sales Calculations'!$G1403=TRUE, [1]Parameters!$B$17*'[1]Pizza Sales Calculations'!$L1403*2, 0)</f>
        <v>0</v>
      </c>
      <c r="S1403" t="str">
        <f>IF(I1403&lt;[1]Parameters!$B$21,"TRUE","FALSE")</f>
        <v>TRUE</v>
      </c>
      <c r="T1403" s="5">
        <f>(I1403/[1]Parameters!$B$25)*60</f>
        <v>0</v>
      </c>
      <c r="U1403" s="10">
        <f>IF(AND('[1]Pizza Sales Calculations'!G1403=TRUE,'[1]Pizza Sales Calculations'!S1403="TRUE"),T1403*[1]Parameters!$B$40*2,0)</f>
        <v>0</v>
      </c>
      <c r="V1403">
        <f>INDEX([1]Parameters!$A$3:$C$5,MATCH('[1]Pizza Sales Calculations'!D1403,[1]Parameters!$A$3:$A$5,0),2)</f>
        <v>7</v>
      </c>
      <c r="W1403">
        <f>INDEX([1]Parameters!$A$3:$C$5,MATCH('[1]Pizza Sales Calculations'!E1403,[1]Parameters!$A$3:$A$5,0),2)</f>
        <v>10</v>
      </c>
      <c r="X1403" t="e">
        <f>INDEX([1]Parameters!$A$3:$C$5,MATCH('[1]Pizza Sales Calculations'!F1403,[1]Parameters!$A$3:$A$5,0),2)</f>
        <v>#N/A</v>
      </c>
    </row>
    <row r="1404" spans="1:24" x14ac:dyDescent="0.3">
      <c r="A1404">
        <v>1403</v>
      </c>
      <c r="B1404" s="14">
        <v>42383.535266203704</v>
      </c>
      <c r="C1404" s="14">
        <v>42383.545694444445</v>
      </c>
      <c r="D1404" t="s">
        <v>4</v>
      </c>
      <c r="G1404" t="b">
        <v>1</v>
      </c>
      <c r="H1404">
        <v>70804</v>
      </c>
      <c r="I1404" s="5">
        <v>3.6472874630972898</v>
      </c>
      <c r="J1404" s="14">
        <v>42383.558356481481</v>
      </c>
      <c r="K1404">
        <v>11.59</v>
      </c>
      <c r="L1404" s="5">
        <f>('[1]Pizza Sales Calculations'!$J1404-'[1]Pizza Sales Calculations'!$C1404)*24*60</f>
        <v>18.233333331299946</v>
      </c>
      <c r="M1404">
        <f>COUNTA('[1]Pizza Sales Calculations'!$D1404:$F1404)</f>
        <v>1</v>
      </c>
      <c r="N1404">
        <f>IFERROR(VLOOKUP(D1404,[1]Parameters!$A$3:$C$5,3,FALSE),0)</f>
        <v>1.7</v>
      </c>
      <c r="O1404">
        <f>IFERROR(VLOOKUP(E1404,[1]Parameters!$A$3:$C$5,3,FALSE),0)</f>
        <v>0</v>
      </c>
      <c r="P1404">
        <f>IFERROR(VLOOKUP(F1404,[1]Parameters!$A$3:$C$5,3,FALSE),0)</f>
        <v>0</v>
      </c>
      <c r="Q1404">
        <f t="shared" si="21"/>
        <v>1.7</v>
      </c>
      <c r="R1404" s="10">
        <f>IF('[1]Pizza Sales Calculations'!$G1404=TRUE, [1]Parameters!$B$17*'[1]Pizza Sales Calculations'!$L1404*2, 0)</f>
        <v>5.1661111105349846</v>
      </c>
      <c r="S1404" t="str">
        <f>IF(I1404&lt;[1]Parameters!$B$21,"TRUE","FALSE")</f>
        <v>FALSE</v>
      </c>
      <c r="T1404" s="5">
        <f>(I1404/[1]Parameters!$B$25)*60</f>
        <v>7.2945749261945796</v>
      </c>
      <c r="U1404" s="10">
        <f>IF(AND('[1]Pizza Sales Calculations'!G1404=TRUE,'[1]Pizza Sales Calculations'!S1404="TRUE"),T1404*[1]Parameters!$B$40*2,0)</f>
        <v>0</v>
      </c>
      <c r="V1404">
        <f>INDEX([1]Parameters!$A$3:$C$5,MATCH('[1]Pizza Sales Calculations'!D1404,[1]Parameters!$A$3:$A$5,0),2)</f>
        <v>10</v>
      </c>
      <c r="W1404" t="e">
        <f>INDEX([1]Parameters!$A$3:$C$5,MATCH('[1]Pizza Sales Calculations'!E1404,[1]Parameters!$A$3:$A$5,0),2)</f>
        <v>#N/A</v>
      </c>
      <c r="X1404" t="e">
        <f>INDEX([1]Parameters!$A$3:$C$5,MATCH('[1]Pizza Sales Calculations'!F1404,[1]Parameters!$A$3:$A$5,0),2)</f>
        <v>#N/A</v>
      </c>
    </row>
    <row r="1405" spans="1:24" x14ac:dyDescent="0.3">
      <c r="A1405">
        <v>1404</v>
      </c>
      <c r="B1405" s="14">
        <v>42384.464791666665</v>
      </c>
      <c r="C1405" s="14">
        <v>42384.475185185183</v>
      </c>
      <c r="D1405" t="s">
        <v>3</v>
      </c>
      <c r="E1405" t="s">
        <v>4</v>
      </c>
      <c r="G1405" t="b">
        <v>0</v>
      </c>
      <c r="H1405">
        <v>70804</v>
      </c>
      <c r="I1405" s="5">
        <v>0</v>
      </c>
      <c r="J1405" s="14">
        <v>42384.477280092593</v>
      </c>
      <c r="K1405">
        <v>19.579999999999998</v>
      </c>
      <c r="L1405" s="5">
        <f>('[1]Pizza Sales Calculations'!$J1405-'[1]Pizza Sales Calculations'!$C1405)*24*60</f>
        <v>3.0166666698642075</v>
      </c>
      <c r="M1405">
        <f>COUNTA('[1]Pizza Sales Calculations'!$D1405:$F1405)</f>
        <v>2</v>
      </c>
      <c r="N1405">
        <f>IFERROR(VLOOKUP(D1405,[1]Parameters!$A$3:$C$5,3,FALSE),0)</f>
        <v>1</v>
      </c>
      <c r="O1405">
        <f>IFERROR(VLOOKUP(E1405,[1]Parameters!$A$3:$C$5,3,FALSE),0)</f>
        <v>1.7</v>
      </c>
      <c r="P1405">
        <f>IFERROR(VLOOKUP(F1405,[1]Parameters!$A$3:$C$5,3,FALSE),0)</f>
        <v>0</v>
      </c>
      <c r="Q1405">
        <f t="shared" si="21"/>
        <v>2.7</v>
      </c>
      <c r="R1405" s="10">
        <f>IF('[1]Pizza Sales Calculations'!$G1405=TRUE, [1]Parameters!$B$17*'[1]Pizza Sales Calculations'!$L1405*2, 0)</f>
        <v>0</v>
      </c>
      <c r="S1405" t="str">
        <f>IF(I1405&lt;[1]Parameters!$B$21,"TRUE","FALSE")</f>
        <v>TRUE</v>
      </c>
      <c r="T1405" s="5">
        <f>(I1405/[1]Parameters!$B$25)*60</f>
        <v>0</v>
      </c>
      <c r="U1405" s="10">
        <f>IF(AND('[1]Pizza Sales Calculations'!G1405=TRUE,'[1]Pizza Sales Calculations'!S1405="TRUE"),T1405*[1]Parameters!$B$40*2,0)</f>
        <v>0</v>
      </c>
      <c r="V1405">
        <f>INDEX([1]Parameters!$A$3:$C$5,MATCH('[1]Pizza Sales Calculations'!D1405,[1]Parameters!$A$3:$A$5,0),2)</f>
        <v>7</v>
      </c>
      <c r="W1405">
        <f>INDEX([1]Parameters!$A$3:$C$5,MATCH('[1]Pizza Sales Calculations'!E1405,[1]Parameters!$A$3:$A$5,0),2)</f>
        <v>10</v>
      </c>
      <c r="X1405" t="e">
        <f>INDEX([1]Parameters!$A$3:$C$5,MATCH('[1]Pizza Sales Calculations'!F1405,[1]Parameters!$A$3:$A$5,0),2)</f>
        <v>#N/A</v>
      </c>
    </row>
    <row r="1406" spans="1:24" x14ac:dyDescent="0.3">
      <c r="A1406">
        <v>1405</v>
      </c>
      <c r="B1406" s="14">
        <v>42384.43917824074</v>
      </c>
      <c r="C1406" s="14">
        <v>42384.449594907404</v>
      </c>
      <c r="D1406" t="s">
        <v>4</v>
      </c>
      <c r="G1406" t="b">
        <v>1</v>
      </c>
      <c r="H1406">
        <v>70805</v>
      </c>
      <c r="I1406" s="5">
        <v>2.66780235016904</v>
      </c>
      <c r="J1406" s="14">
        <v>42384.458854166667</v>
      </c>
      <c r="K1406">
        <v>11.59</v>
      </c>
      <c r="L1406" s="5">
        <f>('[1]Pizza Sales Calculations'!$J1406-'[1]Pizza Sales Calculations'!$C1406)*24*60</f>
        <v>13.333333338377997</v>
      </c>
      <c r="M1406">
        <f>COUNTA('[1]Pizza Sales Calculations'!$D1406:$F1406)</f>
        <v>1</v>
      </c>
      <c r="N1406">
        <f>IFERROR(VLOOKUP(D1406,[1]Parameters!$A$3:$C$5,3,FALSE),0)</f>
        <v>1.7</v>
      </c>
      <c r="O1406">
        <f>IFERROR(VLOOKUP(E1406,[1]Parameters!$A$3:$C$5,3,FALSE),0)</f>
        <v>0</v>
      </c>
      <c r="P1406">
        <f>IFERROR(VLOOKUP(F1406,[1]Parameters!$A$3:$C$5,3,FALSE),0)</f>
        <v>0</v>
      </c>
      <c r="Q1406">
        <f t="shared" si="21"/>
        <v>1.7</v>
      </c>
      <c r="R1406" s="10">
        <f>IF('[1]Pizza Sales Calculations'!$G1406=TRUE, [1]Parameters!$B$17*'[1]Pizza Sales Calculations'!$L1406*2, 0)</f>
        <v>3.7777777792070992</v>
      </c>
      <c r="S1406" t="str">
        <f>IF(I1406&lt;[1]Parameters!$B$21,"TRUE","FALSE")</f>
        <v>TRUE</v>
      </c>
      <c r="T1406" s="5">
        <f>(I1406/[1]Parameters!$B$25)*60</f>
        <v>5.33560470033808</v>
      </c>
      <c r="U1406" s="10">
        <f>IF(AND('[1]Pizza Sales Calculations'!G1406=TRUE,'[1]Pizza Sales Calculations'!S1406="TRUE"),T1406*[1]Parameters!$B$40*2,0)</f>
        <v>0.33306246793815109</v>
      </c>
      <c r="V1406">
        <f>INDEX([1]Parameters!$A$3:$C$5,MATCH('[1]Pizza Sales Calculations'!D1406,[1]Parameters!$A$3:$A$5,0),2)</f>
        <v>10</v>
      </c>
      <c r="W1406" t="e">
        <f>INDEX([1]Parameters!$A$3:$C$5,MATCH('[1]Pizza Sales Calculations'!E1406,[1]Parameters!$A$3:$A$5,0),2)</f>
        <v>#N/A</v>
      </c>
      <c r="X1406" t="e">
        <f>INDEX([1]Parameters!$A$3:$C$5,MATCH('[1]Pizza Sales Calculations'!F1406,[1]Parameters!$A$3:$A$5,0),2)</f>
        <v>#N/A</v>
      </c>
    </row>
    <row r="1407" spans="1:24" x14ac:dyDescent="0.3">
      <c r="A1407">
        <v>1406</v>
      </c>
      <c r="B1407" s="14">
        <v>42384.520902777775</v>
      </c>
      <c r="C1407" s="14">
        <v>42384.531319444446</v>
      </c>
      <c r="D1407" t="s">
        <v>5</v>
      </c>
      <c r="G1407" t="b">
        <v>0</v>
      </c>
      <c r="H1407">
        <v>70805</v>
      </c>
      <c r="I1407" s="5">
        <v>0</v>
      </c>
      <c r="J1407" s="14">
        <v>42384.533391203702</v>
      </c>
      <c r="K1407">
        <v>15.35</v>
      </c>
      <c r="L1407" s="5">
        <f>('[1]Pizza Sales Calculations'!$J1407-'[1]Pizza Sales Calculations'!$C1407)*24*60</f>
        <v>2.9833333287388086</v>
      </c>
      <c r="M1407">
        <f>COUNTA('[1]Pizza Sales Calculations'!$D1407:$F1407)</f>
        <v>1</v>
      </c>
      <c r="N1407">
        <f>IFERROR(VLOOKUP(D1407,[1]Parameters!$A$3:$C$5,3,FALSE),0)</f>
        <v>2.2999999999999998</v>
      </c>
      <c r="O1407">
        <f>IFERROR(VLOOKUP(E1407,[1]Parameters!$A$3:$C$5,3,FALSE),0)</f>
        <v>0</v>
      </c>
      <c r="P1407">
        <f>IFERROR(VLOOKUP(F1407,[1]Parameters!$A$3:$C$5,3,FALSE),0)</f>
        <v>0</v>
      </c>
      <c r="Q1407">
        <f t="shared" si="21"/>
        <v>2.2999999999999998</v>
      </c>
      <c r="R1407" s="10">
        <f>IF('[1]Pizza Sales Calculations'!$G1407=TRUE, [1]Parameters!$B$17*'[1]Pizza Sales Calculations'!$L1407*2, 0)</f>
        <v>0</v>
      </c>
      <c r="S1407" t="str">
        <f>IF(I1407&lt;[1]Parameters!$B$21,"TRUE","FALSE")</f>
        <v>TRUE</v>
      </c>
      <c r="T1407" s="5">
        <f>(I1407/[1]Parameters!$B$25)*60</f>
        <v>0</v>
      </c>
      <c r="U1407" s="10">
        <f>IF(AND('[1]Pizza Sales Calculations'!G1407=TRUE,'[1]Pizza Sales Calculations'!S1407="TRUE"),T1407*[1]Parameters!$B$40*2,0)</f>
        <v>0</v>
      </c>
      <c r="V1407">
        <f>INDEX([1]Parameters!$A$3:$C$5,MATCH('[1]Pizza Sales Calculations'!D1407,[1]Parameters!$A$3:$A$5,0),2)</f>
        <v>14</v>
      </c>
      <c r="W1407" t="e">
        <f>INDEX([1]Parameters!$A$3:$C$5,MATCH('[1]Pizza Sales Calculations'!E1407,[1]Parameters!$A$3:$A$5,0),2)</f>
        <v>#N/A</v>
      </c>
      <c r="X1407" t="e">
        <f>INDEX([1]Parameters!$A$3:$C$5,MATCH('[1]Pizza Sales Calculations'!F1407,[1]Parameters!$A$3:$A$5,0),2)</f>
        <v>#N/A</v>
      </c>
    </row>
    <row r="1408" spans="1:24" x14ac:dyDescent="0.3">
      <c r="A1408">
        <v>1407</v>
      </c>
      <c r="B1408" s="14">
        <v>42384.559247685182</v>
      </c>
      <c r="C1408" s="14">
        <v>42384.569641203707</v>
      </c>
      <c r="D1408" t="s">
        <v>3</v>
      </c>
      <c r="E1408" t="s">
        <v>5</v>
      </c>
      <c r="G1408" t="b">
        <v>1</v>
      </c>
      <c r="H1408">
        <v>70803</v>
      </c>
      <c r="I1408" s="5">
        <v>3.8011596849810698</v>
      </c>
      <c r="J1408" s="14">
        <v>42384.582835648151</v>
      </c>
      <c r="K1408">
        <v>23.34</v>
      </c>
      <c r="L1408" s="5">
        <f>('[1]Pizza Sales Calculations'!$J1408-'[1]Pizza Sales Calculations'!$C1408)*24*60</f>
        <v>18.999999999068677</v>
      </c>
      <c r="M1408">
        <f>COUNTA('[1]Pizza Sales Calculations'!$D1408:$F1408)</f>
        <v>2</v>
      </c>
      <c r="N1408">
        <f>IFERROR(VLOOKUP(D1408,[1]Parameters!$A$3:$C$5,3,FALSE),0)</f>
        <v>1</v>
      </c>
      <c r="O1408">
        <f>IFERROR(VLOOKUP(E1408,[1]Parameters!$A$3:$C$5,3,FALSE),0)</f>
        <v>2.2999999999999998</v>
      </c>
      <c r="P1408">
        <f>IFERROR(VLOOKUP(F1408,[1]Parameters!$A$3:$C$5,3,FALSE),0)</f>
        <v>0</v>
      </c>
      <c r="Q1408">
        <f t="shared" si="21"/>
        <v>3.3</v>
      </c>
      <c r="R1408" s="10">
        <f>IF('[1]Pizza Sales Calculations'!$G1408=TRUE, [1]Parameters!$B$17*'[1]Pizza Sales Calculations'!$L1408*2, 0)</f>
        <v>5.3833333330694586</v>
      </c>
      <c r="S1408" t="str">
        <f>IF(I1408&lt;[1]Parameters!$B$21,"TRUE","FALSE")</f>
        <v>FALSE</v>
      </c>
      <c r="T1408" s="5">
        <f>(I1408/[1]Parameters!$B$25)*60</f>
        <v>7.6023193699621396</v>
      </c>
      <c r="U1408" s="10">
        <f>IF(AND('[1]Pizza Sales Calculations'!G1408=TRUE,'[1]Pizza Sales Calculations'!S1408="TRUE"),T1408*[1]Parameters!$B$40*2,0)</f>
        <v>0</v>
      </c>
      <c r="V1408">
        <f>INDEX([1]Parameters!$A$3:$C$5,MATCH('[1]Pizza Sales Calculations'!D1408,[1]Parameters!$A$3:$A$5,0),2)</f>
        <v>7</v>
      </c>
      <c r="W1408">
        <f>INDEX([1]Parameters!$A$3:$C$5,MATCH('[1]Pizza Sales Calculations'!E1408,[1]Parameters!$A$3:$A$5,0),2)</f>
        <v>14</v>
      </c>
      <c r="X1408" t="e">
        <f>INDEX([1]Parameters!$A$3:$C$5,MATCH('[1]Pizza Sales Calculations'!F1408,[1]Parameters!$A$3:$A$5,0),2)</f>
        <v>#N/A</v>
      </c>
    </row>
    <row r="1409" spans="1:24" x14ac:dyDescent="0.3">
      <c r="A1409">
        <v>1408</v>
      </c>
      <c r="B1409" s="14">
        <v>42384.482187499998</v>
      </c>
      <c r="C1409" s="14">
        <v>42384.492592592593</v>
      </c>
      <c r="D1409" t="s">
        <v>4</v>
      </c>
      <c r="E1409" t="s">
        <v>5</v>
      </c>
      <c r="G1409" t="b">
        <v>1</v>
      </c>
      <c r="H1409">
        <v>70805</v>
      </c>
      <c r="I1409" s="5">
        <v>4.6230381190994096</v>
      </c>
      <c r="J1409" s="14">
        <v>42384.508634259262</v>
      </c>
      <c r="K1409">
        <v>25.94</v>
      </c>
      <c r="L1409" s="5">
        <f>('[1]Pizza Sales Calculations'!$J1409-'[1]Pizza Sales Calculations'!$C1409)*24*60</f>
        <v>23.100000004051253</v>
      </c>
      <c r="M1409">
        <f>COUNTA('[1]Pizza Sales Calculations'!$D1409:$F1409)</f>
        <v>2</v>
      </c>
      <c r="N1409">
        <f>IFERROR(VLOOKUP(D1409,[1]Parameters!$A$3:$C$5,3,FALSE),0)</f>
        <v>1.7</v>
      </c>
      <c r="O1409">
        <f>IFERROR(VLOOKUP(E1409,[1]Parameters!$A$3:$C$5,3,FALSE),0)</f>
        <v>2.2999999999999998</v>
      </c>
      <c r="P1409">
        <f>IFERROR(VLOOKUP(F1409,[1]Parameters!$A$3:$C$5,3,FALSE),0)</f>
        <v>0</v>
      </c>
      <c r="Q1409">
        <f t="shared" si="21"/>
        <v>4</v>
      </c>
      <c r="R1409" s="10">
        <f>IF('[1]Pizza Sales Calculations'!$G1409=TRUE, [1]Parameters!$B$17*'[1]Pizza Sales Calculations'!$L1409*2, 0)</f>
        <v>6.5450000011478551</v>
      </c>
      <c r="S1409" t="str">
        <f>IF(I1409&lt;[1]Parameters!$B$21,"TRUE","FALSE")</f>
        <v>FALSE</v>
      </c>
      <c r="T1409" s="5">
        <f>(I1409/[1]Parameters!$B$25)*60</f>
        <v>9.2460762381988193</v>
      </c>
      <c r="U1409" s="10">
        <f>IF(AND('[1]Pizza Sales Calculations'!G1409=TRUE,'[1]Pizza Sales Calculations'!S1409="TRUE"),T1409*[1]Parameters!$B$40*2,0)</f>
        <v>0</v>
      </c>
      <c r="V1409">
        <f>INDEX([1]Parameters!$A$3:$C$5,MATCH('[1]Pizza Sales Calculations'!D1409,[1]Parameters!$A$3:$A$5,0),2)</f>
        <v>10</v>
      </c>
      <c r="W1409">
        <f>INDEX([1]Parameters!$A$3:$C$5,MATCH('[1]Pizza Sales Calculations'!E1409,[1]Parameters!$A$3:$A$5,0),2)</f>
        <v>14</v>
      </c>
      <c r="X1409" t="e">
        <f>INDEX([1]Parameters!$A$3:$C$5,MATCH('[1]Pizza Sales Calculations'!F1409,[1]Parameters!$A$3:$A$5,0),2)</f>
        <v>#N/A</v>
      </c>
    </row>
    <row r="1410" spans="1:24" x14ac:dyDescent="0.3">
      <c r="A1410">
        <v>1409</v>
      </c>
      <c r="B1410" s="14">
        <v>42384.459606481483</v>
      </c>
      <c r="C1410" s="14">
        <v>42384.47</v>
      </c>
      <c r="D1410" t="s">
        <v>4</v>
      </c>
      <c r="G1410" t="b">
        <v>0</v>
      </c>
      <c r="H1410">
        <v>70805</v>
      </c>
      <c r="I1410" s="5">
        <v>0</v>
      </c>
      <c r="J1410" s="14">
        <v>42384.472071759257</v>
      </c>
      <c r="K1410">
        <v>11.59</v>
      </c>
      <c r="L1410" s="5">
        <f>('[1]Pizza Sales Calculations'!$J1410-'[1]Pizza Sales Calculations'!$C1410)*24*60</f>
        <v>2.9833333287388086</v>
      </c>
      <c r="M1410">
        <f>COUNTA('[1]Pizza Sales Calculations'!$D1410:$F1410)</f>
        <v>1</v>
      </c>
      <c r="N1410">
        <f>IFERROR(VLOOKUP(D1410,[1]Parameters!$A$3:$C$5,3,FALSE),0)</f>
        <v>1.7</v>
      </c>
      <c r="O1410">
        <f>IFERROR(VLOOKUP(E1410,[1]Parameters!$A$3:$C$5,3,FALSE),0)</f>
        <v>0</v>
      </c>
      <c r="P1410">
        <f>IFERROR(VLOOKUP(F1410,[1]Parameters!$A$3:$C$5,3,FALSE),0)</f>
        <v>0</v>
      </c>
      <c r="Q1410">
        <f t="shared" si="21"/>
        <v>1.7</v>
      </c>
      <c r="R1410" s="10">
        <f>IF('[1]Pizza Sales Calculations'!$G1410=TRUE, [1]Parameters!$B$17*'[1]Pizza Sales Calculations'!$L1410*2, 0)</f>
        <v>0</v>
      </c>
      <c r="S1410" t="str">
        <f>IF(I1410&lt;[1]Parameters!$B$21,"TRUE","FALSE")</f>
        <v>TRUE</v>
      </c>
      <c r="T1410" s="5">
        <f>(I1410/[1]Parameters!$B$25)*60</f>
        <v>0</v>
      </c>
      <c r="U1410" s="10">
        <f>IF(AND('[1]Pizza Sales Calculations'!G1410=TRUE,'[1]Pizza Sales Calculations'!S1410="TRUE"),T1410*[1]Parameters!$B$40*2,0)</f>
        <v>0</v>
      </c>
      <c r="V1410">
        <f>INDEX([1]Parameters!$A$3:$C$5,MATCH('[1]Pizza Sales Calculations'!D1410,[1]Parameters!$A$3:$A$5,0),2)</f>
        <v>10</v>
      </c>
      <c r="W1410" t="e">
        <f>INDEX([1]Parameters!$A$3:$C$5,MATCH('[1]Pizza Sales Calculations'!E1410,[1]Parameters!$A$3:$A$5,0),2)</f>
        <v>#N/A</v>
      </c>
      <c r="X1410" t="e">
        <f>INDEX([1]Parameters!$A$3:$C$5,MATCH('[1]Pizza Sales Calculations'!F1410,[1]Parameters!$A$3:$A$5,0),2)</f>
        <v>#N/A</v>
      </c>
    </row>
    <row r="1411" spans="1:24" x14ac:dyDescent="0.3">
      <c r="A1411">
        <v>1410</v>
      </c>
      <c r="B1411" s="14">
        <v>42384.542754629627</v>
      </c>
      <c r="C1411" s="14">
        <v>42384.553171296298</v>
      </c>
      <c r="D1411" t="s">
        <v>5</v>
      </c>
      <c r="G1411" t="b">
        <v>1</v>
      </c>
      <c r="H1411">
        <v>70803</v>
      </c>
      <c r="I1411" s="5">
        <v>4.9431116580604604</v>
      </c>
      <c r="J1411" s="14">
        <v>42384.570324074077</v>
      </c>
      <c r="K1411">
        <v>15.35</v>
      </c>
      <c r="L1411" s="5">
        <f>('[1]Pizza Sales Calculations'!$J1411-'[1]Pizza Sales Calculations'!$C1411)*24*60</f>
        <v>24.700000000884756</v>
      </c>
      <c r="M1411">
        <f>COUNTA('[1]Pizza Sales Calculations'!$D1411:$F1411)</f>
        <v>1</v>
      </c>
      <c r="N1411">
        <f>IFERROR(VLOOKUP(D1411,[1]Parameters!$A$3:$C$5,3,FALSE),0)</f>
        <v>2.2999999999999998</v>
      </c>
      <c r="O1411">
        <f>IFERROR(VLOOKUP(E1411,[1]Parameters!$A$3:$C$5,3,FALSE),0)</f>
        <v>0</v>
      </c>
      <c r="P1411">
        <f>IFERROR(VLOOKUP(F1411,[1]Parameters!$A$3:$C$5,3,FALSE),0)</f>
        <v>0</v>
      </c>
      <c r="Q1411">
        <f t="shared" ref="Q1411:Q1474" si="22">SUM(N1411:P1411)</f>
        <v>2.2999999999999998</v>
      </c>
      <c r="R1411" s="10">
        <f>IF('[1]Pizza Sales Calculations'!$G1411=TRUE, [1]Parameters!$B$17*'[1]Pizza Sales Calculations'!$L1411*2, 0)</f>
        <v>6.9983333335840143</v>
      </c>
      <c r="S1411" t="str">
        <f>IF(I1411&lt;[1]Parameters!$B$21,"TRUE","FALSE")</f>
        <v>FALSE</v>
      </c>
      <c r="T1411" s="5">
        <f>(I1411/[1]Parameters!$B$25)*60</f>
        <v>9.8862233161209208</v>
      </c>
      <c r="U1411" s="10">
        <f>IF(AND('[1]Pizza Sales Calculations'!G1411=TRUE,'[1]Pizza Sales Calculations'!S1411="TRUE"),T1411*[1]Parameters!$B$40*2,0)</f>
        <v>0</v>
      </c>
      <c r="V1411">
        <f>INDEX([1]Parameters!$A$3:$C$5,MATCH('[1]Pizza Sales Calculations'!D1411,[1]Parameters!$A$3:$A$5,0),2)</f>
        <v>14</v>
      </c>
      <c r="W1411" t="e">
        <f>INDEX([1]Parameters!$A$3:$C$5,MATCH('[1]Pizza Sales Calculations'!E1411,[1]Parameters!$A$3:$A$5,0),2)</f>
        <v>#N/A</v>
      </c>
      <c r="X1411" t="e">
        <f>INDEX([1]Parameters!$A$3:$C$5,MATCH('[1]Pizza Sales Calculations'!F1411,[1]Parameters!$A$3:$A$5,0),2)</f>
        <v>#N/A</v>
      </c>
    </row>
    <row r="1412" spans="1:24" x14ac:dyDescent="0.3">
      <c r="A1412">
        <v>1411</v>
      </c>
      <c r="B1412" s="14">
        <v>42384.521921296298</v>
      </c>
      <c r="C1412" s="14">
        <v>42384.532349537039</v>
      </c>
      <c r="D1412" t="s">
        <v>4</v>
      </c>
      <c r="G1412" t="b">
        <v>1</v>
      </c>
      <c r="H1412">
        <v>70806</v>
      </c>
      <c r="I1412" s="5">
        <v>4.0166064335788398</v>
      </c>
      <c r="J1412" s="14">
        <v>42384.546284722222</v>
      </c>
      <c r="K1412">
        <v>11.59</v>
      </c>
      <c r="L1412" s="5">
        <f>('[1]Pizza Sales Calculations'!$J1412-'[1]Pizza Sales Calculations'!$C1412)*24*60</f>
        <v>20.066666663624346</v>
      </c>
      <c r="M1412">
        <f>COUNTA('[1]Pizza Sales Calculations'!$D1412:$F1412)</f>
        <v>1</v>
      </c>
      <c r="N1412">
        <f>IFERROR(VLOOKUP(D1412,[1]Parameters!$A$3:$C$5,3,FALSE),0)</f>
        <v>1.7</v>
      </c>
      <c r="O1412">
        <f>IFERROR(VLOOKUP(E1412,[1]Parameters!$A$3:$C$5,3,FALSE),0)</f>
        <v>0</v>
      </c>
      <c r="P1412">
        <f>IFERROR(VLOOKUP(F1412,[1]Parameters!$A$3:$C$5,3,FALSE),0)</f>
        <v>0</v>
      </c>
      <c r="Q1412">
        <f t="shared" si="22"/>
        <v>1.7</v>
      </c>
      <c r="R1412" s="10">
        <f>IF('[1]Pizza Sales Calculations'!$G1412=TRUE, [1]Parameters!$B$17*'[1]Pizza Sales Calculations'!$L1412*2, 0)</f>
        <v>5.6855555546935648</v>
      </c>
      <c r="S1412" t="str">
        <f>IF(I1412&lt;[1]Parameters!$B$21,"TRUE","FALSE")</f>
        <v>FALSE</v>
      </c>
      <c r="T1412" s="5">
        <f>(I1412/[1]Parameters!$B$25)*60</f>
        <v>8.0332128671576797</v>
      </c>
      <c r="U1412" s="10">
        <f>IF(AND('[1]Pizza Sales Calculations'!G1412=TRUE,'[1]Pizza Sales Calculations'!S1412="TRUE"),T1412*[1]Parameters!$B$40*2,0)</f>
        <v>0</v>
      </c>
      <c r="V1412">
        <f>INDEX([1]Parameters!$A$3:$C$5,MATCH('[1]Pizza Sales Calculations'!D1412,[1]Parameters!$A$3:$A$5,0),2)</f>
        <v>10</v>
      </c>
      <c r="W1412" t="e">
        <f>INDEX([1]Parameters!$A$3:$C$5,MATCH('[1]Pizza Sales Calculations'!E1412,[1]Parameters!$A$3:$A$5,0),2)</f>
        <v>#N/A</v>
      </c>
      <c r="X1412" t="e">
        <f>INDEX([1]Parameters!$A$3:$C$5,MATCH('[1]Pizza Sales Calculations'!F1412,[1]Parameters!$A$3:$A$5,0),2)</f>
        <v>#N/A</v>
      </c>
    </row>
    <row r="1413" spans="1:24" x14ac:dyDescent="0.3">
      <c r="A1413">
        <v>1412</v>
      </c>
      <c r="B1413" s="14">
        <v>42384.478217592594</v>
      </c>
      <c r="C1413" s="14">
        <v>42384.488622685189</v>
      </c>
      <c r="D1413" t="s">
        <v>3</v>
      </c>
      <c r="E1413" t="s">
        <v>4</v>
      </c>
      <c r="G1413" t="b">
        <v>0</v>
      </c>
      <c r="H1413">
        <v>70804</v>
      </c>
      <c r="I1413" s="5">
        <v>0</v>
      </c>
      <c r="J1413" s="14">
        <v>42384.490694444445</v>
      </c>
      <c r="K1413">
        <v>19.579999999999998</v>
      </c>
      <c r="L1413" s="5">
        <f>('[1]Pizza Sales Calculations'!$J1413-'[1]Pizza Sales Calculations'!$C1413)*24*60</f>
        <v>2.9833333287388086</v>
      </c>
      <c r="M1413">
        <f>COUNTA('[1]Pizza Sales Calculations'!$D1413:$F1413)</f>
        <v>2</v>
      </c>
      <c r="N1413">
        <f>IFERROR(VLOOKUP(D1413,[1]Parameters!$A$3:$C$5,3,FALSE),0)</f>
        <v>1</v>
      </c>
      <c r="O1413">
        <f>IFERROR(VLOOKUP(E1413,[1]Parameters!$A$3:$C$5,3,FALSE),0)</f>
        <v>1.7</v>
      </c>
      <c r="P1413">
        <f>IFERROR(VLOOKUP(F1413,[1]Parameters!$A$3:$C$5,3,FALSE),0)</f>
        <v>0</v>
      </c>
      <c r="Q1413">
        <f t="shared" si="22"/>
        <v>2.7</v>
      </c>
      <c r="R1413" s="10">
        <f>IF('[1]Pizza Sales Calculations'!$G1413=TRUE, [1]Parameters!$B$17*'[1]Pizza Sales Calculations'!$L1413*2, 0)</f>
        <v>0</v>
      </c>
      <c r="S1413" t="str">
        <f>IF(I1413&lt;[1]Parameters!$B$21,"TRUE","FALSE")</f>
        <v>TRUE</v>
      </c>
      <c r="T1413" s="5">
        <f>(I1413/[1]Parameters!$B$25)*60</f>
        <v>0</v>
      </c>
      <c r="U1413" s="10">
        <f>IF(AND('[1]Pizza Sales Calculations'!G1413=TRUE,'[1]Pizza Sales Calculations'!S1413="TRUE"),T1413*[1]Parameters!$B$40*2,0)</f>
        <v>0</v>
      </c>
      <c r="V1413">
        <f>INDEX([1]Parameters!$A$3:$C$5,MATCH('[1]Pizza Sales Calculations'!D1413,[1]Parameters!$A$3:$A$5,0),2)</f>
        <v>7</v>
      </c>
      <c r="W1413">
        <f>INDEX([1]Parameters!$A$3:$C$5,MATCH('[1]Pizza Sales Calculations'!E1413,[1]Parameters!$A$3:$A$5,0),2)</f>
        <v>10</v>
      </c>
      <c r="X1413" t="e">
        <f>INDEX([1]Parameters!$A$3:$C$5,MATCH('[1]Pizza Sales Calculations'!F1413,[1]Parameters!$A$3:$A$5,0),2)</f>
        <v>#N/A</v>
      </c>
    </row>
    <row r="1414" spans="1:24" x14ac:dyDescent="0.3">
      <c r="A1414">
        <v>1413</v>
      </c>
      <c r="B1414" s="14">
        <v>42384.470659722225</v>
      </c>
      <c r="C1414" s="14">
        <v>42384.481064814812</v>
      </c>
      <c r="D1414" t="s">
        <v>3</v>
      </c>
      <c r="E1414" t="s">
        <v>5</v>
      </c>
      <c r="G1414" t="b">
        <v>1</v>
      </c>
      <c r="H1414">
        <v>70804</v>
      </c>
      <c r="I1414" s="5">
        <v>3.3014230874417398</v>
      </c>
      <c r="J1414" s="14">
        <v>42384.492523148147</v>
      </c>
      <c r="K1414">
        <v>23.34</v>
      </c>
      <c r="L1414" s="5">
        <f>('[1]Pizza Sales Calculations'!$J1414-'[1]Pizza Sales Calculations'!$C1414)*24*60</f>
        <v>16.500000001396984</v>
      </c>
      <c r="M1414">
        <f>COUNTA('[1]Pizza Sales Calculations'!$D1414:$F1414)</f>
        <v>2</v>
      </c>
      <c r="N1414">
        <f>IFERROR(VLOOKUP(D1414,[1]Parameters!$A$3:$C$5,3,FALSE),0)</f>
        <v>1</v>
      </c>
      <c r="O1414">
        <f>IFERROR(VLOOKUP(E1414,[1]Parameters!$A$3:$C$5,3,FALSE),0)</f>
        <v>2.2999999999999998</v>
      </c>
      <c r="P1414">
        <f>IFERROR(VLOOKUP(F1414,[1]Parameters!$A$3:$C$5,3,FALSE),0)</f>
        <v>0</v>
      </c>
      <c r="Q1414">
        <f t="shared" si="22"/>
        <v>3.3</v>
      </c>
      <c r="R1414" s="10">
        <f>IF('[1]Pizza Sales Calculations'!$G1414=TRUE, [1]Parameters!$B$17*'[1]Pizza Sales Calculations'!$L1414*2, 0)</f>
        <v>4.6750000003958121</v>
      </c>
      <c r="S1414" t="str">
        <f>IF(I1414&lt;[1]Parameters!$B$21,"TRUE","FALSE")</f>
        <v>FALSE</v>
      </c>
      <c r="T1414" s="5">
        <f>(I1414/[1]Parameters!$B$25)*60</f>
        <v>6.6028461748834797</v>
      </c>
      <c r="U1414" s="10">
        <f>IF(AND('[1]Pizza Sales Calculations'!G1414=TRUE,'[1]Pizza Sales Calculations'!S1414="TRUE"),T1414*[1]Parameters!$B$40*2,0)</f>
        <v>0</v>
      </c>
      <c r="V1414">
        <f>INDEX([1]Parameters!$A$3:$C$5,MATCH('[1]Pizza Sales Calculations'!D1414,[1]Parameters!$A$3:$A$5,0),2)</f>
        <v>7</v>
      </c>
      <c r="W1414">
        <f>INDEX([1]Parameters!$A$3:$C$5,MATCH('[1]Pizza Sales Calculations'!E1414,[1]Parameters!$A$3:$A$5,0),2)</f>
        <v>14</v>
      </c>
      <c r="X1414" t="e">
        <f>INDEX([1]Parameters!$A$3:$C$5,MATCH('[1]Pizza Sales Calculations'!F1414,[1]Parameters!$A$3:$A$5,0),2)</f>
        <v>#N/A</v>
      </c>
    </row>
    <row r="1415" spans="1:24" x14ac:dyDescent="0.3">
      <c r="A1415">
        <v>1414</v>
      </c>
      <c r="B1415" s="14">
        <v>42384.478217592594</v>
      </c>
      <c r="C1415" s="14">
        <v>42384.488634259258</v>
      </c>
      <c r="D1415" t="s">
        <v>5</v>
      </c>
      <c r="G1415" t="b">
        <v>1</v>
      </c>
      <c r="H1415">
        <v>70803</v>
      </c>
      <c r="I1415" s="5">
        <v>3.5556427356567299</v>
      </c>
      <c r="J1415" s="14">
        <v>42384.500972222224</v>
      </c>
      <c r="K1415">
        <v>15.35</v>
      </c>
      <c r="L1415" s="5">
        <f>('[1]Pizza Sales Calculations'!$J1415-'[1]Pizza Sales Calculations'!$C1415)*24*60</f>
        <v>17.76666667079553</v>
      </c>
      <c r="M1415">
        <f>COUNTA('[1]Pizza Sales Calculations'!$D1415:$F1415)</f>
        <v>1</v>
      </c>
      <c r="N1415">
        <f>IFERROR(VLOOKUP(D1415,[1]Parameters!$A$3:$C$5,3,FALSE),0)</f>
        <v>2.2999999999999998</v>
      </c>
      <c r="O1415">
        <f>IFERROR(VLOOKUP(E1415,[1]Parameters!$A$3:$C$5,3,FALSE),0)</f>
        <v>0</v>
      </c>
      <c r="P1415">
        <f>IFERROR(VLOOKUP(F1415,[1]Parameters!$A$3:$C$5,3,FALSE),0)</f>
        <v>0</v>
      </c>
      <c r="Q1415">
        <f t="shared" si="22"/>
        <v>2.2999999999999998</v>
      </c>
      <c r="R1415" s="10">
        <f>IF('[1]Pizza Sales Calculations'!$G1415=TRUE, [1]Parameters!$B$17*'[1]Pizza Sales Calculations'!$L1415*2, 0)</f>
        <v>5.0338888900587335</v>
      </c>
      <c r="S1415" t="str">
        <f>IF(I1415&lt;[1]Parameters!$B$21,"TRUE","FALSE")</f>
        <v>FALSE</v>
      </c>
      <c r="T1415" s="5">
        <f>(I1415/[1]Parameters!$B$25)*60</f>
        <v>7.1112854713134599</v>
      </c>
      <c r="U1415" s="10">
        <f>IF(AND('[1]Pizza Sales Calculations'!G1415=TRUE,'[1]Pizza Sales Calculations'!S1415="TRUE"),T1415*[1]Parameters!$B$40*2,0)</f>
        <v>0</v>
      </c>
      <c r="V1415">
        <f>INDEX([1]Parameters!$A$3:$C$5,MATCH('[1]Pizza Sales Calculations'!D1415,[1]Parameters!$A$3:$A$5,0),2)</f>
        <v>14</v>
      </c>
      <c r="W1415" t="e">
        <f>INDEX([1]Parameters!$A$3:$C$5,MATCH('[1]Pizza Sales Calculations'!E1415,[1]Parameters!$A$3:$A$5,0),2)</f>
        <v>#N/A</v>
      </c>
      <c r="X1415" t="e">
        <f>INDEX([1]Parameters!$A$3:$C$5,MATCH('[1]Pizza Sales Calculations'!F1415,[1]Parameters!$A$3:$A$5,0),2)</f>
        <v>#N/A</v>
      </c>
    </row>
    <row r="1416" spans="1:24" x14ac:dyDescent="0.3">
      <c r="A1416">
        <v>1415</v>
      </c>
      <c r="B1416" s="14">
        <v>42384.500289351854</v>
      </c>
      <c r="C1416" s="14">
        <v>42384.510694444441</v>
      </c>
      <c r="D1416" t="s">
        <v>3</v>
      </c>
      <c r="G1416" t="b">
        <v>1</v>
      </c>
      <c r="H1416">
        <v>70803</v>
      </c>
      <c r="I1416" s="5">
        <v>2.4658333750005101</v>
      </c>
      <c r="J1416" s="14">
        <v>42384.519247685188</v>
      </c>
      <c r="K1416">
        <v>7.99</v>
      </c>
      <c r="L1416" s="5">
        <f>('[1]Pizza Sales Calculations'!$J1416-'[1]Pizza Sales Calculations'!$C1416)*24*60</f>
        <v>12.316666675033048</v>
      </c>
      <c r="M1416">
        <f>COUNTA('[1]Pizza Sales Calculations'!$D1416:$F1416)</f>
        <v>1</v>
      </c>
      <c r="N1416">
        <f>IFERROR(VLOOKUP(D1416,[1]Parameters!$A$3:$C$5,3,FALSE),0)</f>
        <v>1</v>
      </c>
      <c r="O1416">
        <f>IFERROR(VLOOKUP(E1416,[1]Parameters!$A$3:$C$5,3,FALSE),0)</f>
        <v>0</v>
      </c>
      <c r="P1416">
        <f>IFERROR(VLOOKUP(F1416,[1]Parameters!$A$3:$C$5,3,FALSE),0)</f>
        <v>0</v>
      </c>
      <c r="Q1416">
        <f t="shared" si="22"/>
        <v>1</v>
      </c>
      <c r="R1416" s="10">
        <f>IF('[1]Pizza Sales Calculations'!$G1416=TRUE, [1]Parameters!$B$17*'[1]Pizza Sales Calculations'!$L1416*2, 0)</f>
        <v>3.4897222245926969</v>
      </c>
      <c r="S1416" t="str">
        <f>IF(I1416&lt;[1]Parameters!$B$21,"TRUE","FALSE")</f>
        <v>TRUE</v>
      </c>
      <c r="T1416" s="5">
        <f>(I1416/[1]Parameters!$B$25)*60</f>
        <v>4.9316667500010203</v>
      </c>
      <c r="U1416" s="10">
        <f>IF(AND('[1]Pizza Sales Calculations'!G1416=TRUE,'[1]Pizza Sales Calculations'!S1416="TRUE"),T1416*[1]Parameters!$B$40*2,0)</f>
        <v>0.30784759948573087</v>
      </c>
      <c r="V1416">
        <f>INDEX([1]Parameters!$A$3:$C$5,MATCH('[1]Pizza Sales Calculations'!D1416,[1]Parameters!$A$3:$A$5,0),2)</f>
        <v>7</v>
      </c>
      <c r="W1416" t="e">
        <f>INDEX([1]Parameters!$A$3:$C$5,MATCH('[1]Pizza Sales Calculations'!E1416,[1]Parameters!$A$3:$A$5,0),2)</f>
        <v>#N/A</v>
      </c>
      <c r="X1416" t="e">
        <f>INDEX([1]Parameters!$A$3:$C$5,MATCH('[1]Pizza Sales Calculations'!F1416,[1]Parameters!$A$3:$A$5,0),2)</f>
        <v>#N/A</v>
      </c>
    </row>
    <row r="1417" spans="1:24" x14ac:dyDescent="0.3">
      <c r="A1417">
        <v>1416</v>
      </c>
      <c r="B1417" s="14">
        <v>42384.481527777774</v>
      </c>
      <c r="C1417" s="14">
        <v>42384.491956018515</v>
      </c>
      <c r="D1417" t="s">
        <v>4</v>
      </c>
      <c r="G1417" t="b">
        <v>0</v>
      </c>
      <c r="H1417">
        <v>70804</v>
      </c>
      <c r="I1417" s="5">
        <v>0</v>
      </c>
      <c r="J1417" s="14">
        <v>42384.494050925925</v>
      </c>
      <c r="K1417">
        <v>11.59</v>
      </c>
      <c r="L1417" s="5">
        <f>('[1]Pizza Sales Calculations'!$J1417-'[1]Pizza Sales Calculations'!$C1417)*24*60</f>
        <v>3.0166666698642075</v>
      </c>
      <c r="M1417">
        <f>COUNTA('[1]Pizza Sales Calculations'!$D1417:$F1417)</f>
        <v>1</v>
      </c>
      <c r="N1417">
        <f>IFERROR(VLOOKUP(D1417,[1]Parameters!$A$3:$C$5,3,FALSE),0)</f>
        <v>1.7</v>
      </c>
      <c r="O1417">
        <f>IFERROR(VLOOKUP(E1417,[1]Parameters!$A$3:$C$5,3,FALSE),0)</f>
        <v>0</v>
      </c>
      <c r="P1417">
        <f>IFERROR(VLOOKUP(F1417,[1]Parameters!$A$3:$C$5,3,FALSE),0)</f>
        <v>0</v>
      </c>
      <c r="Q1417">
        <f t="shared" si="22"/>
        <v>1.7</v>
      </c>
      <c r="R1417" s="10">
        <f>IF('[1]Pizza Sales Calculations'!$G1417=TRUE, [1]Parameters!$B$17*'[1]Pizza Sales Calculations'!$L1417*2, 0)</f>
        <v>0</v>
      </c>
      <c r="S1417" t="str">
        <f>IF(I1417&lt;[1]Parameters!$B$21,"TRUE","FALSE")</f>
        <v>TRUE</v>
      </c>
      <c r="T1417" s="5">
        <f>(I1417/[1]Parameters!$B$25)*60</f>
        <v>0</v>
      </c>
      <c r="U1417" s="10">
        <f>IF(AND('[1]Pizza Sales Calculations'!G1417=TRUE,'[1]Pizza Sales Calculations'!S1417="TRUE"),T1417*[1]Parameters!$B$40*2,0)</f>
        <v>0</v>
      </c>
      <c r="V1417">
        <f>INDEX([1]Parameters!$A$3:$C$5,MATCH('[1]Pizza Sales Calculations'!D1417,[1]Parameters!$A$3:$A$5,0),2)</f>
        <v>10</v>
      </c>
      <c r="W1417" t="e">
        <f>INDEX([1]Parameters!$A$3:$C$5,MATCH('[1]Pizza Sales Calculations'!E1417,[1]Parameters!$A$3:$A$5,0),2)</f>
        <v>#N/A</v>
      </c>
      <c r="X1417" t="e">
        <f>INDEX([1]Parameters!$A$3:$C$5,MATCH('[1]Pizza Sales Calculations'!F1417,[1]Parameters!$A$3:$A$5,0),2)</f>
        <v>#N/A</v>
      </c>
    </row>
    <row r="1418" spans="1:24" x14ac:dyDescent="0.3">
      <c r="A1418">
        <v>1417</v>
      </c>
      <c r="B1418" s="14">
        <v>42384.438703703701</v>
      </c>
      <c r="C1418" s="14">
        <v>42384.449120370373</v>
      </c>
      <c r="D1418" t="s">
        <v>3</v>
      </c>
      <c r="E1418" t="s">
        <v>5</v>
      </c>
      <c r="G1418" t="b">
        <v>0</v>
      </c>
      <c r="H1418">
        <v>70803</v>
      </c>
      <c r="I1418" s="5">
        <v>0</v>
      </c>
      <c r="J1418" s="14">
        <v>42384.451192129629</v>
      </c>
      <c r="K1418">
        <v>23.34</v>
      </c>
      <c r="L1418" s="5">
        <f>('[1]Pizza Sales Calculations'!$J1418-'[1]Pizza Sales Calculations'!$C1418)*24*60</f>
        <v>2.9833333287388086</v>
      </c>
      <c r="M1418">
        <f>COUNTA('[1]Pizza Sales Calculations'!$D1418:$F1418)</f>
        <v>2</v>
      </c>
      <c r="N1418">
        <f>IFERROR(VLOOKUP(D1418,[1]Parameters!$A$3:$C$5,3,FALSE),0)</f>
        <v>1</v>
      </c>
      <c r="O1418">
        <f>IFERROR(VLOOKUP(E1418,[1]Parameters!$A$3:$C$5,3,FALSE),0)</f>
        <v>2.2999999999999998</v>
      </c>
      <c r="P1418">
        <f>IFERROR(VLOOKUP(F1418,[1]Parameters!$A$3:$C$5,3,FALSE),0)</f>
        <v>0</v>
      </c>
      <c r="Q1418">
        <f t="shared" si="22"/>
        <v>3.3</v>
      </c>
      <c r="R1418" s="10">
        <f>IF('[1]Pizza Sales Calculations'!$G1418=TRUE, [1]Parameters!$B$17*'[1]Pizza Sales Calculations'!$L1418*2, 0)</f>
        <v>0</v>
      </c>
      <c r="S1418" t="str">
        <f>IF(I1418&lt;[1]Parameters!$B$21,"TRUE","FALSE")</f>
        <v>TRUE</v>
      </c>
      <c r="T1418" s="5">
        <f>(I1418/[1]Parameters!$B$25)*60</f>
        <v>0</v>
      </c>
      <c r="U1418" s="10">
        <f>IF(AND('[1]Pizza Sales Calculations'!G1418=TRUE,'[1]Pizza Sales Calculations'!S1418="TRUE"),T1418*[1]Parameters!$B$40*2,0)</f>
        <v>0</v>
      </c>
      <c r="V1418">
        <f>INDEX([1]Parameters!$A$3:$C$5,MATCH('[1]Pizza Sales Calculations'!D1418,[1]Parameters!$A$3:$A$5,0),2)</f>
        <v>7</v>
      </c>
      <c r="W1418">
        <f>INDEX([1]Parameters!$A$3:$C$5,MATCH('[1]Pizza Sales Calculations'!E1418,[1]Parameters!$A$3:$A$5,0),2)</f>
        <v>14</v>
      </c>
      <c r="X1418" t="e">
        <f>INDEX([1]Parameters!$A$3:$C$5,MATCH('[1]Pizza Sales Calculations'!F1418,[1]Parameters!$A$3:$A$5,0),2)</f>
        <v>#N/A</v>
      </c>
    </row>
    <row r="1419" spans="1:24" x14ac:dyDescent="0.3">
      <c r="A1419">
        <v>1418</v>
      </c>
      <c r="B1419" s="14">
        <v>42384.509525462963</v>
      </c>
      <c r="C1419" s="14">
        <v>42384.519942129627</v>
      </c>
      <c r="D1419" t="s">
        <v>5</v>
      </c>
      <c r="G1419" t="b">
        <v>1</v>
      </c>
      <c r="H1419">
        <v>70806</v>
      </c>
      <c r="I1419" s="5">
        <v>3.90127837905152</v>
      </c>
      <c r="J1419" s="14">
        <v>42384.533483796295</v>
      </c>
      <c r="K1419">
        <v>15.35</v>
      </c>
      <c r="L1419" s="5">
        <f>('[1]Pizza Sales Calculations'!$J1419-'[1]Pizza Sales Calculations'!$C1419)*24*60</f>
        <v>19.500000000698492</v>
      </c>
      <c r="M1419">
        <f>COUNTA('[1]Pizza Sales Calculations'!$D1419:$F1419)</f>
        <v>1</v>
      </c>
      <c r="N1419">
        <f>IFERROR(VLOOKUP(D1419,[1]Parameters!$A$3:$C$5,3,FALSE),0)</f>
        <v>2.2999999999999998</v>
      </c>
      <c r="O1419">
        <f>IFERROR(VLOOKUP(E1419,[1]Parameters!$A$3:$C$5,3,FALSE),0)</f>
        <v>0</v>
      </c>
      <c r="P1419">
        <f>IFERROR(VLOOKUP(F1419,[1]Parameters!$A$3:$C$5,3,FALSE),0)</f>
        <v>0</v>
      </c>
      <c r="Q1419">
        <f t="shared" si="22"/>
        <v>2.2999999999999998</v>
      </c>
      <c r="R1419" s="10">
        <f>IF('[1]Pizza Sales Calculations'!$G1419=TRUE, [1]Parameters!$B$17*'[1]Pizza Sales Calculations'!$L1419*2, 0)</f>
        <v>5.525000000197906</v>
      </c>
      <c r="S1419" t="str">
        <f>IF(I1419&lt;[1]Parameters!$B$21,"TRUE","FALSE")</f>
        <v>FALSE</v>
      </c>
      <c r="T1419" s="5">
        <f>(I1419/[1]Parameters!$B$25)*60</f>
        <v>7.8025567581030391</v>
      </c>
      <c r="U1419" s="10">
        <f>IF(AND('[1]Pizza Sales Calculations'!G1419=TRUE,'[1]Pizza Sales Calculations'!S1419="TRUE"),T1419*[1]Parameters!$B$40*2,0)</f>
        <v>0</v>
      </c>
      <c r="V1419">
        <f>INDEX([1]Parameters!$A$3:$C$5,MATCH('[1]Pizza Sales Calculations'!D1419,[1]Parameters!$A$3:$A$5,0),2)</f>
        <v>14</v>
      </c>
      <c r="W1419" t="e">
        <f>INDEX([1]Parameters!$A$3:$C$5,MATCH('[1]Pizza Sales Calculations'!E1419,[1]Parameters!$A$3:$A$5,0),2)</f>
        <v>#N/A</v>
      </c>
      <c r="X1419" t="e">
        <f>INDEX([1]Parameters!$A$3:$C$5,MATCH('[1]Pizza Sales Calculations'!F1419,[1]Parameters!$A$3:$A$5,0),2)</f>
        <v>#N/A</v>
      </c>
    </row>
    <row r="1420" spans="1:24" x14ac:dyDescent="0.3">
      <c r="A1420">
        <v>1419</v>
      </c>
      <c r="B1420" s="14">
        <v>42384.522233796299</v>
      </c>
      <c r="C1420" s="14">
        <v>42384.532650462963</v>
      </c>
      <c r="D1420" t="s">
        <v>3</v>
      </c>
      <c r="E1420" t="s">
        <v>5</v>
      </c>
      <c r="G1420" t="b">
        <v>1</v>
      </c>
      <c r="H1420">
        <v>70804</v>
      </c>
      <c r="I1420" s="5">
        <v>1.76331961032439</v>
      </c>
      <c r="J1420" s="14">
        <v>42384.538761574076</v>
      </c>
      <c r="K1420">
        <v>23.34</v>
      </c>
      <c r="L1420" s="5">
        <f>('[1]Pizza Sales Calculations'!$J1420-'[1]Pizza Sales Calculations'!$C1420)*24*60</f>
        <v>8.8000000035390258</v>
      </c>
      <c r="M1420">
        <f>COUNTA('[1]Pizza Sales Calculations'!$D1420:$F1420)</f>
        <v>2</v>
      </c>
      <c r="N1420">
        <f>IFERROR(VLOOKUP(D1420,[1]Parameters!$A$3:$C$5,3,FALSE),0)</f>
        <v>1</v>
      </c>
      <c r="O1420">
        <f>IFERROR(VLOOKUP(E1420,[1]Parameters!$A$3:$C$5,3,FALSE),0)</f>
        <v>2.2999999999999998</v>
      </c>
      <c r="P1420">
        <f>IFERROR(VLOOKUP(F1420,[1]Parameters!$A$3:$C$5,3,FALSE),0)</f>
        <v>0</v>
      </c>
      <c r="Q1420">
        <f t="shared" si="22"/>
        <v>3.3</v>
      </c>
      <c r="R1420" s="10">
        <f>IF('[1]Pizza Sales Calculations'!$G1420=TRUE, [1]Parameters!$B$17*'[1]Pizza Sales Calculations'!$L1420*2, 0)</f>
        <v>2.4933333343360573</v>
      </c>
      <c r="S1420" t="str">
        <f>IF(I1420&lt;[1]Parameters!$B$21,"TRUE","FALSE")</f>
        <v>TRUE</v>
      </c>
      <c r="T1420" s="5">
        <f>(I1420/[1]Parameters!$B$25)*60</f>
        <v>3.52663922064878</v>
      </c>
      <c r="U1420" s="10">
        <f>IF(AND('[1]Pizza Sales Calculations'!G1420=TRUE,'[1]Pizza Sales Calculations'!S1420="TRUE"),T1420*[1]Parameters!$B$40*2,0)</f>
        <v>0.22014208854009271</v>
      </c>
      <c r="V1420">
        <f>INDEX([1]Parameters!$A$3:$C$5,MATCH('[1]Pizza Sales Calculations'!D1420,[1]Parameters!$A$3:$A$5,0),2)</f>
        <v>7</v>
      </c>
      <c r="W1420">
        <f>INDEX([1]Parameters!$A$3:$C$5,MATCH('[1]Pizza Sales Calculations'!E1420,[1]Parameters!$A$3:$A$5,0),2)</f>
        <v>14</v>
      </c>
      <c r="X1420" t="e">
        <f>INDEX([1]Parameters!$A$3:$C$5,MATCH('[1]Pizza Sales Calculations'!F1420,[1]Parameters!$A$3:$A$5,0),2)</f>
        <v>#N/A</v>
      </c>
    </row>
    <row r="1421" spans="1:24" x14ac:dyDescent="0.3">
      <c r="A1421">
        <v>1420</v>
      </c>
      <c r="B1421" s="14">
        <v>42384.530925925923</v>
      </c>
      <c r="C1421" s="14">
        <v>42384.541342592594</v>
      </c>
      <c r="D1421" t="s">
        <v>5</v>
      </c>
      <c r="G1421" t="b">
        <v>0</v>
      </c>
      <c r="H1421">
        <v>70805</v>
      </c>
      <c r="I1421" s="5">
        <v>0</v>
      </c>
      <c r="J1421" s="14">
        <v>42384.543425925927</v>
      </c>
      <c r="K1421">
        <v>15.35</v>
      </c>
      <c r="L1421" s="5">
        <f>('[1]Pizza Sales Calculations'!$J1421-'[1]Pizza Sales Calculations'!$C1421)*24*60</f>
        <v>2.9999999993015081</v>
      </c>
      <c r="M1421">
        <f>COUNTA('[1]Pizza Sales Calculations'!$D1421:$F1421)</f>
        <v>1</v>
      </c>
      <c r="N1421">
        <f>IFERROR(VLOOKUP(D1421,[1]Parameters!$A$3:$C$5,3,FALSE),0)</f>
        <v>2.2999999999999998</v>
      </c>
      <c r="O1421">
        <f>IFERROR(VLOOKUP(E1421,[1]Parameters!$A$3:$C$5,3,FALSE),0)</f>
        <v>0</v>
      </c>
      <c r="P1421">
        <f>IFERROR(VLOOKUP(F1421,[1]Parameters!$A$3:$C$5,3,FALSE),0)</f>
        <v>0</v>
      </c>
      <c r="Q1421">
        <f t="shared" si="22"/>
        <v>2.2999999999999998</v>
      </c>
      <c r="R1421" s="10">
        <f>IF('[1]Pizza Sales Calculations'!$G1421=TRUE, [1]Parameters!$B$17*'[1]Pizza Sales Calculations'!$L1421*2, 0)</f>
        <v>0</v>
      </c>
      <c r="S1421" t="str">
        <f>IF(I1421&lt;[1]Parameters!$B$21,"TRUE","FALSE")</f>
        <v>TRUE</v>
      </c>
      <c r="T1421" s="5">
        <f>(I1421/[1]Parameters!$B$25)*60</f>
        <v>0</v>
      </c>
      <c r="U1421" s="10">
        <f>IF(AND('[1]Pizza Sales Calculations'!G1421=TRUE,'[1]Pizza Sales Calculations'!S1421="TRUE"),T1421*[1]Parameters!$B$40*2,0)</f>
        <v>0</v>
      </c>
      <c r="V1421">
        <f>INDEX([1]Parameters!$A$3:$C$5,MATCH('[1]Pizza Sales Calculations'!D1421,[1]Parameters!$A$3:$A$5,0),2)</f>
        <v>14</v>
      </c>
      <c r="W1421" t="e">
        <f>INDEX([1]Parameters!$A$3:$C$5,MATCH('[1]Pizza Sales Calculations'!E1421,[1]Parameters!$A$3:$A$5,0),2)</f>
        <v>#N/A</v>
      </c>
      <c r="X1421" t="e">
        <f>INDEX([1]Parameters!$A$3:$C$5,MATCH('[1]Pizza Sales Calculations'!F1421,[1]Parameters!$A$3:$A$5,0),2)</f>
        <v>#N/A</v>
      </c>
    </row>
    <row r="1422" spans="1:24" x14ac:dyDescent="0.3">
      <c r="A1422">
        <v>1421</v>
      </c>
      <c r="B1422" s="14">
        <v>42384.478194444448</v>
      </c>
      <c r="C1422" s="14">
        <v>42384.488587962966</v>
      </c>
      <c r="D1422" t="s">
        <v>4</v>
      </c>
      <c r="G1422" t="b">
        <v>1</v>
      </c>
      <c r="H1422">
        <v>70803</v>
      </c>
      <c r="I1422" s="5">
        <v>3.37314815662126</v>
      </c>
      <c r="J1422" s="14">
        <v>42384.500289351854</v>
      </c>
      <c r="K1422">
        <v>11.59</v>
      </c>
      <c r="L1422" s="5">
        <f>('[1]Pizza Sales Calculations'!$J1422-'[1]Pizza Sales Calculations'!$C1422)*24*60</f>
        <v>16.84999999939464</v>
      </c>
      <c r="M1422">
        <f>COUNTA('[1]Pizza Sales Calculations'!$D1422:$F1422)</f>
        <v>1</v>
      </c>
      <c r="N1422">
        <f>IFERROR(VLOOKUP(D1422,[1]Parameters!$A$3:$C$5,3,FALSE),0)</f>
        <v>1.7</v>
      </c>
      <c r="O1422">
        <f>IFERROR(VLOOKUP(E1422,[1]Parameters!$A$3:$C$5,3,FALSE),0)</f>
        <v>0</v>
      </c>
      <c r="P1422">
        <f>IFERROR(VLOOKUP(F1422,[1]Parameters!$A$3:$C$5,3,FALSE),0)</f>
        <v>0</v>
      </c>
      <c r="Q1422">
        <f t="shared" si="22"/>
        <v>1.7</v>
      </c>
      <c r="R1422" s="10">
        <f>IF('[1]Pizza Sales Calculations'!$G1422=TRUE, [1]Parameters!$B$17*'[1]Pizza Sales Calculations'!$L1422*2, 0)</f>
        <v>4.7741666664951481</v>
      </c>
      <c r="S1422" t="str">
        <f>IF(I1422&lt;[1]Parameters!$B$21,"TRUE","FALSE")</f>
        <v>FALSE</v>
      </c>
      <c r="T1422" s="5">
        <f>(I1422/[1]Parameters!$B$25)*60</f>
        <v>6.74629631324252</v>
      </c>
      <c r="U1422" s="10">
        <f>IF(AND('[1]Pizza Sales Calculations'!G1422=TRUE,'[1]Pizza Sales Calculations'!S1422="TRUE"),T1422*[1]Parameters!$B$40*2,0)</f>
        <v>0</v>
      </c>
      <c r="V1422">
        <f>INDEX([1]Parameters!$A$3:$C$5,MATCH('[1]Pizza Sales Calculations'!D1422,[1]Parameters!$A$3:$A$5,0),2)</f>
        <v>10</v>
      </c>
      <c r="W1422" t="e">
        <f>INDEX([1]Parameters!$A$3:$C$5,MATCH('[1]Pizza Sales Calculations'!E1422,[1]Parameters!$A$3:$A$5,0),2)</f>
        <v>#N/A</v>
      </c>
      <c r="X1422" t="e">
        <f>INDEX([1]Parameters!$A$3:$C$5,MATCH('[1]Pizza Sales Calculations'!F1422,[1]Parameters!$A$3:$A$5,0),2)</f>
        <v>#N/A</v>
      </c>
    </row>
    <row r="1423" spans="1:24" x14ac:dyDescent="0.3">
      <c r="A1423">
        <v>1422</v>
      </c>
      <c r="B1423" s="14">
        <v>42384.536840277775</v>
      </c>
      <c r="C1423" s="14">
        <v>42384.54724537037</v>
      </c>
      <c r="D1423" t="s">
        <v>5</v>
      </c>
      <c r="G1423" t="b">
        <v>0</v>
      </c>
      <c r="H1423">
        <v>70806</v>
      </c>
      <c r="I1423" s="5">
        <v>0</v>
      </c>
      <c r="J1423" s="14">
        <v>42384.549317129633</v>
      </c>
      <c r="K1423">
        <v>15.35</v>
      </c>
      <c r="L1423" s="5">
        <f>('[1]Pizza Sales Calculations'!$J1423-'[1]Pizza Sales Calculations'!$C1423)*24*60</f>
        <v>2.9833333392161876</v>
      </c>
      <c r="M1423">
        <f>COUNTA('[1]Pizza Sales Calculations'!$D1423:$F1423)</f>
        <v>1</v>
      </c>
      <c r="N1423">
        <f>IFERROR(VLOOKUP(D1423,[1]Parameters!$A$3:$C$5,3,FALSE),0)</f>
        <v>2.2999999999999998</v>
      </c>
      <c r="O1423">
        <f>IFERROR(VLOOKUP(E1423,[1]Parameters!$A$3:$C$5,3,FALSE),0)</f>
        <v>0</v>
      </c>
      <c r="P1423">
        <f>IFERROR(VLOOKUP(F1423,[1]Parameters!$A$3:$C$5,3,FALSE),0)</f>
        <v>0</v>
      </c>
      <c r="Q1423">
        <f t="shared" si="22"/>
        <v>2.2999999999999998</v>
      </c>
      <c r="R1423" s="10">
        <f>IF('[1]Pizza Sales Calculations'!$G1423=TRUE, [1]Parameters!$B$17*'[1]Pizza Sales Calculations'!$L1423*2, 0)</f>
        <v>0</v>
      </c>
      <c r="S1423" t="str">
        <f>IF(I1423&lt;[1]Parameters!$B$21,"TRUE","FALSE")</f>
        <v>TRUE</v>
      </c>
      <c r="T1423" s="5">
        <f>(I1423/[1]Parameters!$B$25)*60</f>
        <v>0</v>
      </c>
      <c r="U1423" s="10">
        <f>IF(AND('[1]Pizza Sales Calculations'!G1423=TRUE,'[1]Pizza Sales Calculations'!S1423="TRUE"),T1423*[1]Parameters!$B$40*2,0)</f>
        <v>0</v>
      </c>
      <c r="V1423">
        <f>INDEX([1]Parameters!$A$3:$C$5,MATCH('[1]Pizza Sales Calculations'!D1423,[1]Parameters!$A$3:$A$5,0),2)</f>
        <v>14</v>
      </c>
      <c r="W1423" t="e">
        <f>INDEX([1]Parameters!$A$3:$C$5,MATCH('[1]Pizza Sales Calculations'!E1423,[1]Parameters!$A$3:$A$5,0),2)</f>
        <v>#N/A</v>
      </c>
      <c r="X1423" t="e">
        <f>INDEX([1]Parameters!$A$3:$C$5,MATCH('[1]Pizza Sales Calculations'!F1423,[1]Parameters!$A$3:$A$5,0),2)</f>
        <v>#N/A</v>
      </c>
    </row>
    <row r="1424" spans="1:24" x14ac:dyDescent="0.3">
      <c r="A1424">
        <v>1423</v>
      </c>
      <c r="B1424" s="14">
        <v>42384.560497685183</v>
      </c>
      <c r="C1424" s="14">
        <v>42384.570891203701</v>
      </c>
      <c r="D1424" t="s">
        <v>3</v>
      </c>
      <c r="G1424" t="b">
        <v>1</v>
      </c>
      <c r="H1424">
        <v>70808</v>
      </c>
      <c r="I1424" s="5">
        <v>2.7230500948332801</v>
      </c>
      <c r="J1424" s="14">
        <v>42384.580335648148</v>
      </c>
      <c r="K1424">
        <v>7.99</v>
      </c>
      <c r="L1424" s="5">
        <f>('[1]Pizza Sales Calculations'!$J1424-'[1]Pizza Sales Calculations'!$C1424)*24*60</f>
        <v>13.600000004516914</v>
      </c>
      <c r="M1424">
        <f>COUNTA('[1]Pizza Sales Calculations'!$D1424:$F1424)</f>
        <v>1</v>
      </c>
      <c r="N1424">
        <f>IFERROR(VLOOKUP(D1424,[1]Parameters!$A$3:$C$5,3,FALSE),0)</f>
        <v>1</v>
      </c>
      <c r="O1424">
        <f>IFERROR(VLOOKUP(E1424,[1]Parameters!$A$3:$C$5,3,FALSE),0)</f>
        <v>0</v>
      </c>
      <c r="P1424">
        <f>IFERROR(VLOOKUP(F1424,[1]Parameters!$A$3:$C$5,3,FALSE),0)</f>
        <v>0</v>
      </c>
      <c r="Q1424">
        <f t="shared" si="22"/>
        <v>1</v>
      </c>
      <c r="R1424" s="10">
        <f>IF('[1]Pizza Sales Calculations'!$G1424=TRUE, [1]Parameters!$B$17*'[1]Pizza Sales Calculations'!$L1424*2, 0)</f>
        <v>3.8533333346131258</v>
      </c>
      <c r="S1424" t="str">
        <f>IF(I1424&lt;[1]Parameters!$B$21,"TRUE","FALSE")</f>
        <v>TRUE</v>
      </c>
      <c r="T1424" s="5">
        <f>(I1424/[1]Parameters!$B$25)*60</f>
        <v>5.4461001896665602</v>
      </c>
      <c r="U1424" s="10">
        <f>IF(AND('[1]Pizza Sales Calculations'!G1424=TRUE,'[1]Pizza Sales Calculations'!S1424="TRUE"),T1424*[1]Parameters!$B$40*2,0)</f>
        <v>0.33995988677606559</v>
      </c>
      <c r="V1424">
        <f>INDEX([1]Parameters!$A$3:$C$5,MATCH('[1]Pizza Sales Calculations'!D1424,[1]Parameters!$A$3:$A$5,0),2)</f>
        <v>7</v>
      </c>
      <c r="W1424" t="e">
        <f>INDEX([1]Parameters!$A$3:$C$5,MATCH('[1]Pizza Sales Calculations'!E1424,[1]Parameters!$A$3:$A$5,0),2)</f>
        <v>#N/A</v>
      </c>
      <c r="X1424" t="e">
        <f>INDEX([1]Parameters!$A$3:$C$5,MATCH('[1]Pizza Sales Calculations'!F1424,[1]Parameters!$A$3:$A$5,0),2)</f>
        <v>#N/A</v>
      </c>
    </row>
    <row r="1425" spans="1:24" x14ac:dyDescent="0.3">
      <c r="A1425">
        <v>1424</v>
      </c>
      <c r="B1425" s="14">
        <v>42384.469189814816</v>
      </c>
      <c r="C1425" s="14">
        <v>42384.479583333334</v>
      </c>
      <c r="D1425" t="s">
        <v>4</v>
      </c>
      <c r="G1425" t="b">
        <v>1</v>
      </c>
      <c r="H1425">
        <v>70805</v>
      </c>
      <c r="I1425" s="5">
        <v>3.43075711305235</v>
      </c>
      <c r="J1425" s="14">
        <v>42384.491493055553</v>
      </c>
      <c r="K1425">
        <v>11.59</v>
      </c>
      <c r="L1425" s="5">
        <f>('[1]Pizza Sales Calculations'!$J1425-'[1]Pizza Sales Calculations'!$C1425)*24*60</f>
        <v>17.149999996181577</v>
      </c>
      <c r="M1425">
        <f>COUNTA('[1]Pizza Sales Calculations'!$D1425:$F1425)</f>
        <v>1</v>
      </c>
      <c r="N1425">
        <f>IFERROR(VLOOKUP(D1425,[1]Parameters!$A$3:$C$5,3,FALSE),0)</f>
        <v>1.7</v>
      </c>
      <c r="O1425">
        <f>IFERROR(VLOOKUP(E1425,[1]Parameters!$A$3:$C$5,3,FALSE),0)</f>
        <v>0</v>
      </c>
      <c r="P1425">
        <f>IFERROR(VLOOKUP(F1425,[1]Parameters!$A$3:$C$5,3,FALSE),0)</f>
        <v>0</v>
      </c>
      <c r="Q1425">
        <f t="shared" si="22"/>
        <v>1.7</v>
      </c>
      <c r="R1425" s="10">
        <f>IF('[1]Pizza Sales Calculations'!$G1425=TRUE, [1]Parameters!$B$17*'[1]Pizza Sales Calculations'!$L1425*2, 0)</f>
        <v>4.8591666655847803</v>
      </c>
      <c r="S1425" t="str">
        <f>IF(I1425&lt;[1]Parameters!$B$21,"TRUE","FALSE")</f>
        <v>FALSE</v>
      </c>
      <c r="T1425" s="5">
        <f>(I1425/[1]Parameters!$B$25)*60</f>
        <v>6.8615142261047</v>
      </c>
      <c r="U1425" s="10">
        <f>IF(AND('[1]Pizza Sales Calculations'!G1425=TRUE,'[1]Pizza Sales Calculations'!S1425="TRUE"),T1425*[1]Parameters!$B$40*2,0)</f>
        <v>0</v>
      </c>
      <c r="V1425">
        <f>INDEX([1]Parameters!$A$3:$C$5,MATCH('[1]Pizza Sales Calculations'!D1425,[1]Parameters!$A$3:$A$5,0),2)</f>
        <v>10</v>
      </c>
      <c r="W1425" t="e">
        <f>INDEX([1]Parameters!$A$3:$C$5,MATCH('[1]Pizza Sales Calculations'!E1425,[1]Parameters!$A$3:$A$5,0),2)</f>
        <v>#N/A</v>
      </c>
      <c r="X1425" t="e">
        <f>INDEX([1]Parameters!$A$3:$C$5,MATCH('[1]Pizza Sales Calculations'!F1425,[1]Parameters!$A$3:$A$5,0),2)</f>
        <v>#N/A</v>
      </c>
    </row>
    <row r="1426" spans="1:24" x14ac:dyDescent="0.3">
      <c r="A1426">
        <v>1425</v>
      </c>
      <c r="B1426" s="14">
        <v>42384.515497685185</v>
      </c>
      <c r="C1426" s="14">
        <v>42384.525902777779</v>
      </c>
      <c r="D1426" t="s">
        <v>4</v>
      </c>
      <c r="G1426" t="b">
        <v>0</v>
      </c>
      <c r="H1426">
        <v>70805</v>
      </c>
      <c r="I1426" s="5">
        <v>0</v>
      </c>
      <c r="J1426" s="14">
        <v>42384.527962962966</v>
      </c>
      <c r="K1426">
        <v>11.59</v>
      </c>
      <c r="L1426" s="5">
        <f>('[1]Pizza Sales Calculations'!$J1426-'[1]Pizza Sales Calculations'!$C1426)*24*60</f>
        <v>2.9666666686534882</v>
      </c>
      <c r="M1426">
        <f>COUNTA('[1]Pizza Sales Calculations'!$D1426:$F1426)</f>
        <v>1</v>
      </c>
      <c r="N1426">
        <f>IFERROR(VLOOKUP(D1426,[1]Parameters!$A$3:$C$5,3,FALSE),0)</f>
        <v>1.7</v>
      </c>
      <c r="O1426">
        <f>IFERROR(VLOOKUP(E1426,[1]Parameters!$A$3:$C$5,3,FALSE),0)</f>
        <v>0</v>
      </c>
      <c r="P1426">
        <f>IFERROR(VLOOKUP(F1426,[1]Parameters!$A$3:$C$5,3,FALSE),0)</f>
        <v>0</v>
      </c>
      <c r="Q1426">
        <f t="shared" si="22"/>
        <v>1.7</v>
      </c>
      <c r="R1426" s="10">
        <f>IF('[1]Pizza Sales Calculations'!$G1426=TRUE, [1]Parameters!$B$17*'[1]Pizza Sales Calculations'!$L1426*2, 0)</f>
        <v>0</v>
      </c>
      <c r="S1426" t="str">
        <f>IF(I1426&lt;[1]Parameters!$B$21,"TRUE","FALSE")</f>
        <v>TRUE</v>
      </c>
      <c r="T1426" s="5">
        <f>(I1426/[1]Parameters!$B$25)*60</f>
        <v>0</v>
      </c>
      <c r="U1426" s="10">
        <f>IF(AND('[1]Pizza Sales Calculations'!G1426=TRUE,'[1]Pizza Sales Calculations'!S1426="TRUE"),T1426*[1]Parameters!$B$40*2,0)</f>
        <v>0</v>
      </c>
      <c r="V1426">
        <f>INDEX([1]Parameters!$A$3:$C$5,MATCH('[1]Pizza Sales Calculations'!D1426,[1]Parameters!$A$3:$A$5,0),2)</f>
        <v>10</v>
      </c>
      <c r="W1426" t="e">
        <f>INDEX([1]Parameters!$A$3:$C$5,MATCH('[1]Pizza Sales Calculations'!E1426,[1]Parameters!$A$3:$A$5,0),2)</f>
        <v>#N/A</v>
      </c>
      <c r="X1426" t="e">
        <f>INDEX([1]Parameters!$A$3:$C$5,MATCH('[1]Pizza Sales Calculations'!F1426,[1]Parameters!$A$3:$A$5,0),2)</f>
        <v>#N/A</v>
      </c>
    </row>
    <row r="1427" spans="1:24" x14ac:dyDescent="0.3">
      <c r="A1427">
        <v>1426</v>
      </c>
      <c r="B1427" s="14">
        <v>42384.477523148147</v>
      </c>
      <c r="C1427" s="14">
        <v>42384.487962962965</v>
      </c>
      <c r="D1427" t="s">
        <v>4</v>
      </c>
      <c r="G1427" t="b">
        <v>1</v>
      </c>
      <c r="H1427">
        <v>70804</v>
      </c>
      <c r="I1427" s="5">
        <v>3.0599527654355101</v>
      </c>
      <c r="J1427" s="14">
        <v>42384.498576388891</v>
      </c>
      <c r="K1427">
        <v>11.59</v>
      </c>
      <c r="L1427" s="5">
        <f>('[1]Pizza Sales Calculations'!$J1427-'[1]Pizza Sales Calculations'!$C1427)*24*60</f>
        <v>15.283333333209157</v>
      </c>
      <c r="M1427">
        <f>COUNTA('[1]Pizza Sales Calculations'!$D1427:$F1427)</f>
        <v>1</v>
      </c>
      <c r="N1427">
        <f>IFERROR(VLOOKUP(D1427,[1]Parameters!$A$3:$C$5,3,FALSE),0)</f>
        <v>1.7</v>
      </c>
      <c r="O1427">
        <f>IFERROR(VLOOKUP(E1427,[1]Parameters!$A$3:$C$5,3,FALSE),0)</f>
        <v>0</v>
      </c>
      <c r="P1427">
        <f>IFERROR(VLOOKUP(F1427,[1]Parameters!$A$3:$C$5,3,FALSE),0)</f>
        <v>0</v>
      </c>
      <c r="Q1427">
        <f t="shared" si="22"/>
        <v>1.7</v>
      </c>
      <c r="R1427" s="10">
        <f>IF('[1]Pizza Sales Calculations'!$G1427=TRUE, [1]Parameters!$B$17*'[1]Pizza Sales Calculations'!$L1427*2, 0)</f>
        <v>4.3302777777425945</v>
      </c>
      <c r="S1427" t="str">
        <f>IF(I1427&lt;[1]Parameters!$B$21,"TRUE","FALSE")</f>
        <v>TRUE</v>
      </c>
      <c r="T1427" s="5">
        <f>(I1427/[1]Parameters!$B$25)*60</f>
        <v>6.1199055308710202</v>
      </c>
      <c r="U1427" s="10">
        <f>IF(AND('[1]Pizza Sales Calculations'!G1427=TRUE,'[1]Pizza Sales Calculations'!S1427="TRUE"),T1427*[1]Parameters!$B$40*2,0)</f>
        <v>0.38202058700695896</v>
      </c>
      <c r="V1427">
        <f>INDEX([1]Parameters!$A$3:$C$5,MATCH('[1]Pizza Sales Calculations'!D1427,[1]Parameters!$A$3:$A$5,0),2)</f>
        <v>10</v>
      </c>
      <c r="W1427" t="e">
        <f>INDEX([1]Parameters!$A$3:$C$5,MATCH('[1]Pizza Sales Calculations'!E1427,[1]Parameters!$A$3:$A$5,0),2)</f>
        <v>#N/A</v>
      </c>
      <c r="X1427" t="e">
        <f>INDEX([1]Parameters!$A$3:$C$5,MATCH('[1]Pizza Sales Calculations'!F1427,[1]Parameters!$A$3:$A$5,0),2)</f>
        <v>#N/A</v>
      </c>
    </row>
    <row r="1428" spans="1:24" x14ac:dyDescent="0.3">
      <c r="A1428">
        <v>1427</v>
      </c>
      <c r="B1428" s="14">
        <v>42384.466782407406</v>
      </c>
      <c r="C1428" s="14">
        <v>42384.477187500001</v>
      </c>
      <c r="D1428" t="s">
        <v>5</v>
      </c>
      <c r="G1428" t="b">
        <v>0</v>
      </c>
      <c r="H1428">
        <v>70803</v>
      </c>
      <c r="I1428" s="5">
        <v>0</v>
      </c>
      <c r="J1428" s="14">
        <v>42384.47923611111</v>
      </c>
      <c r="K1428">
        <v>15.35</v>
      </c>
      <c r="L1428" s="5">
        <f>('[1]Pizza Sales Calculations'!$J1428-'[1]Pizza Sales Calculations'!$C1428)*24*60</f>
        <v>2.9499999980907887</v>
      </c>
      <c r="M1428">
        <f>COUNTA('[1]Pizza Sales Calculations'!$D1428:$F1428)</f>
        <v>1</v>
      </c>
      <c r="N1428">
        <f>IFERROR(VLOOKUP(D1428,[1]Parameters!$A$3:$C$5,3,FALSE),0)</f>
        <v>2.2999999999999998</v>
      </c>
      <c r="O1428">
        <f>IFERROR(VLOOKUP(E1428,[1]Parameters!$A$3:$C$5,3,FALSE),0)</f>
        <v>0</v>
      </c>
      <c r="P1428">
        <f>IFERROR(VLOOKUP(F1428,[1]Parameters!$A$3:$C$5,3,FALSE),0)</f>
        <v>0</v>
      </c>
      <c r="Q1428">
        <f t="shared" si="22"/>
        <v>2.2999999999999998</v>
      </c>
      <c r="R1428" s="10">
        <f>IF('[1]Pizza Sales Calculations'!$G1428=TRUE, [1]Parameters!$B$17*'[1]Pizza Sales Calculations'!$L1428*2, 0)</f>
        <v>0</v>
      </c>
      <c r="S1428" t="str">
        <f>IF(I1428&lt;[1]Parameters!$B$21,"TRUE","FALSE")</f>
        <v>TRUE</v>
      </c>
      <c r="T1428" s="5">
        <f>(I1428/[1]Parameters!$B$25)*60</f>
        <v>0</v>
      </c>
      <c r="U1428" s="10">
        <f>IF(AND('[1]Pizza Sales Calculations'!G1428=TRUE,'[1]Pizza Sales Calculations'!S1428="TRUE"),T1428*[1]Parameters!$B$40*2,0)</f>
        <v>0</v>
      </c>
      <c r="V1428">
        <f>INDEX([1]Parameters!$A$3:$C$5,MATCH('[1]Pizza Sales Calculations'!D1428,[1]Parameters!$A$3:$A$5,0),2)</f>
        <v>14</v>
      </c>
      <c r="W1428" t="e">
        <f>INDEX([1]Parameters!$A$3:$C$5,MATCH('[1]Pizza Sales Calculations'!E1428,[1]Parameters!$A$3:$A$5,0),2)</f>
        <v>#N/A</v>
      </c>
      <c r="X1428" t="e">
        <f>INDEX([1]Parameters!$A$3:$C$5,MATCH('[1]Pizza Sales Calculations'!F1428,[1]Parameters!$A$3:$A$5,0),2)</f>
        <v>#N/A</v>
      </c>
    </row>
    <row r="1429" spans="1:24" x14ac:dyDescent="0.3">
      <c r="A1429">
        <v>1428</v>
      </c>
      <c r="B1429" s="14">
        <v>42384.565578703703</v>
      </c>
      <c r="C1429" s="14">
        <v>42384.575995370367</v>
      </c>
      <c r="D1429" t="s">
        <v>5</v>
      </c>
      <c r="G1429" t="b">
        <v>0</v>
      </c>
      <c r="H1429">
        <v>70806</v>
      </c>
      <c r="I1429" s="5">
        <v>0</v>
      </c>
      <c r="J1429" s="14">
        <v>42384.578067129631</v>
      </c>
      <c r="K1429">
        <v>15.35</v>
      </c>
      <c r="L1429" s="5">
        <f>('[1]Pizza Sales Calculations'!$J1429-'[1]Pizza Sales Calculations'!$C1429)*24*60</f>
        <v>2.9833333392161876</v>
      </c>
      <c r="M1429">
        <f>COUNTA('[1]Pizza Sales Calculations'!$D1429:$F1429)</f>
        <v>1</v>
      </c>
      <c r="N1429">
        <f>IFERROR(VLOOKUP(D1429,[1]Parameters!$A$3:$C$5,3,FALSE),0)</f>
        <v>2.2999999999999998</v>
      </c>
      <c r="O1429">
        <f>IFERROR(VLOOKUP(E1429,[1]Parameters!$A$3:$C$5,3,FALSE),0)</f>
        <v>0</v>
      </c>
      <c r="P1429">
        <f>IFERROR(VLOOKUP(F1429,[1]Parameters!$A$3:$C$5,3,FALSE),0)</f>
        <v>0</v>
      </c>
      <c r="Q1429">
        <f t="shared" si="22"/>
        <v>2.2999999999999998</v>
      </c>
      <c r="R1429" s="10">
        <f>IF('[1]Pizza Sales Calculations'!$G1429=TRUE, [1]Parameters!$B$17*'[1]Pizza Sales Calculations'!$L1429*2, 0)</f>
        <v>0</v>
      </c>
      <c r="S1429" t="str">
        <f>IF(I1429&lt;[1]Parameters!$B$21,"TRUE","FALSE")</f>
        <v>TRUE</v>
      </c>
      <c r="T1429" s="5">
        <f>(I1429/[1]Parameters!$B$25)*60</f>
        <v>0</v>
      </c>
      <c r="U1429" s="10">
        <f>IF(AND('[1]Pizza Sales Calculations'!G1429=TRUE,'[1]Pizza Sales Calculations'!S1429="TRUE"),T1429*[1]Parameters!$B$40*2,0)</f>
        <v>0</v>
      </c>
      <c r="V1429">
        <f>INDEX([1]Parameters!$A$3:$C$5,MATCH('[1]Pizza Sales Calculations'!D1429,[1]Parameters!$A$3:$A$5,0),2)</f>
        <v>14</v>
      </c>
      <c r="W1429" t="e">
        <f>INDEX([1]Parameters!$A$3:$C$5,MATCH('[1]Pizza Sales Calculations'!E1429,[1]Parameters!$A$3:$A$5,0),2)</f>
        <v>#N/A</v>
      </c>
      <c r="X1429" t="e">
        <f>INDEX([1]Parameters!$A$3:$C$5,MATCH('[1]Pizza Sales Calculations'!F1429,[1]Parameters!$A$3:$A$5,0),2)</f>
        <v>#N/A</v>
      </c>
    </row>
    <row r="1430" spans="1:24" x14ac:dyDescent="0.3">
      <c r="A1430">
        <v>1429</v>
      </c>
      <c r="B1430" s="14">
        <v>42384.513321759259</v>
      </c>
      <c r="C1430" s="14">
        <v>42384.5237037037</v>
      </c>
      <c r="D1430" t="s">
        <v>3</v>
      </c>
      <c r="G1430" t="b">
        <v>0</v>
      </c>
      <c r="H1430">
        <v>70805</v>
      </c>
      <c r="I1430" s="5">
        <v>0</v>
      </c>
      <c r="J1430" s="14">
        <v>42384.525787037041</v>
      </c>
      <c r="K1430">
        <v>7.99</v>
      </c>
      <c r="L1430" s="5">
        <f>('[1]Pizza Sales Calculations'!$J1430-'[1]Pizza Sales Calculations'!$C1430)*24*60</f>
        <v>3.000000009778887</v>
      </c>
      <c r="M1430">
        <f>COUNTA('[1]Pizza Sales Calculations'!$D1430:$F1430)</f>
        <v>1</v>
      </c>
      <c r="N1430">
        <f>IFERROR(VLOOKUP(D1430,[1]Parameters!$A$3:$C$5,3,FALSE),0)</f>
        <v>1</v>
      </c>
      <c r="O1430">
        <f>IFERROR(VLOOKUP(E1430,[1]Parameters!$A$3:$C$5,3,FALSE),0)</f>
        <v>0</v>
      </c>
      <c r="P1430">
        <f>IFERROR(VLOOKUP(F1430,[1]Parameters!$A$3:$C$5,3,FALSE),0)</f>
        <v>0</v>
      </c>
      <c r="Q1430">
        <f t="shared" si="22"/>
        <v>1</v>
      </c>
      <c r="R1430" s="10">
        <f>IF('[1]Pizza Sales Calculations'!$G1430=TRUE, [1]Parameters!$B$17*'[1]Pizza Sales Calculations'!$L1430*2, 0)</f>
        <v>0</v>
      </c>
      <c r="S1430" t="str">
        <f>IF(I1430&lt;[1]Parameters!$B$21,"TRUE","FALSE")</f>
        <v>TRUE</v>
      </c>
      <c r="T1430" s="5">
        <f>(I1430/[1]Parameters!$B$25)*60</f>
        <v>0</v>
      </c>
      <c r="U1430" s="10">
        <f>IF(AND('[1]Pizza Sales Calculations'!G1430=TRUE,'[1]Pizza Sales Calculations'!S1430="TRUE"),T1430*[1]Parameters!$B$40*2,0)</f>
        <v>0</v>
      </c>
      <c r="V1430">
        <f>INDEX([1]Parameters!$A$3:$C$5,MATCH('[1]Pizza Sales Calculations'!D1430,[1]Parameters!$A$3:$A$5,0),2)</f>
        <v>7</v>
      </c>
      <c r="W1430" t="e">
        <f>INDEX([1]Parameters!$A$3:$C$5,MATCH('[1]Pizza Sales Calculations'!E1430,[1]Parameters!$A$3:$A$5,0),2)</f>
        <v>#N/A</v>
      </c>
      <c r="X1430" t="e">
        <f>INDEX([1]Parameters!$A$3:$C$5,MATCH('[1]Pizza Sales Calculations'!F1430,[1]Parameters!$A$3:$A$5,0),2)</f>
        <v>#N/A</v>
      </c>
    </row>
    <row r="1431" spans="1:24" x14ac:dyDescent="0.3">
      <c r="A1431">
        <v>1430</v>
      </c>
      <c r="B1431" s="14">
        <v>42384.525416666664</v>
      </c>
      <c r="C1431" s="14">
        <v>42384.535833333335</v>
      </c>
      <c r="D1431" t="s">
        <v>3</v>
      </c>
      <c r="G1431" t="b">
        <v>1</v>
      </c>
      <c r="H1431">
        <v>70803</v>
      </c>
      <c r="I1431" s="5">
        <v>1.29283265150414</v>
      </c>
      <c r="J1431" s="14">
        <v>42384.540312500001</v>
      </c>
      <c r="K1431">
        <v>7.99</v>
      </c>
      <c r="L1431" s="5">
        <f>('[1]Pizza Sales Calculations'!$J1431-'[1]Pizza Sales Calculations'!$C1431)*24*60</f>
        <v>6.4499999990221113</v>
      </c>
      <c r="M1431">
        <f>COUNTA('[1]Pizza Sales Calculations'!$D1431:$F1431)</f>
        <v>1</v>
      </c>
      <c r="N1431">
        <f>IFERROR(VLOOKUP(D1431,[1]Parameters!$A$3:$C$5,3,FALSE),0)</f>
        <v>1</v>
      </c>
      <c r="O1431">
        <f>IFERROR(VLOOKUP(E1431,[1]Parameters!$A$3:$C$5,3,FALSE),0)</f>
        <v>0</v>
      </c>
      <c r="P1431">
        <f>IFERROR(VLOOKUP(F1431,[1]Parameters!$A$3:$C$5,3,FALSE),0)</f>
        <v>0</v>
      </c>
      <c r="Q1431">
        <f t="shared" si="22"/>
        <v>1</v>
      </c>
      <c r="R1431" s="10">
        <f>IF('[1]Pizza Sales Calculations'!$G1431=TRUE, [1]Parameters!$B$17*'[1]Pizza Sales Calculations'!$L1431*2, 0)</f>
        <v>1.8274999997229315</v>
      </c>
      <c r="S1431" t="str">
        <f>IF(I1431&lt;[1]Parameters!$B$21,"TRUE","FALSE")</f>
        <v>TRUE</v>
      </c>
      <c r="T1431" s="5">
        <f>(I1431/[1]Parameters!$B$25)*60</f>
        <v>2.5856653030082799</v>
      </c>
      <c r="U1431" s="10">
        <f>IF(AND('[1]Pizza Sales Calculations'!G1431=TRUE,'[1]Pizza Sales Calculations'!S1431="TRUE"),T1431*[1]Parameters!$B$40*2,0)</f>
        <v>0.16140402362030631</v>
      </c>
      <c r="V1431">
        <f>INDEX([1]Parameters!$A$3:$C$5,MATCH('[1]Pizza Sales Calculations'!D1431,[1]Parameters!$A$3:$A$5,0),2)</f>
        <v>7</v>
      </c>
      <c r="W1431" t="e">
        <f>INDEX([1]Parameters!$A$3:$C$5,MATCH('[1]Pizza Sales Calculations'!E1431,[1]Parameters!$A$3:$A$5,0),2)</f>
        <v>#N/A</v>
      </c>
      <c r="X1431" t="e">
        <f>INDEX([1]Parameters!$A$3:$C$5,MATCH('[1]Pizza Sales Calculations'!F1431,[1]Parameters!$A$3:$A$5,0),2)</f>
        <v>#N/A</v>
      </c>
    </row>
    <row r="1432" spans="1:24" x14ac:dyDescent="0.3">
      <c r="A1432">
        <v>1431</v>
      </c>
      <c r="B1432" s="14">
        <v>42384.545312499999</v>
      </c>
      <c r="C1432" s="14">
        <v>42384.555706018517</v>
      </c>
      <c r="D1432" t="s">
        <v>3</v>
      </c>
      <c r="E1432" t="s">
        <v>4</v>
      </c>
      <c r="G1432" t="b">
        <v>0</v>
      </c>
      <c r="H1432">
        <v>70805</v>
      </c>
      <c r="I1432" s="5">
        <v>0</v>
      </c>
      <c r="J1432" s="14">
        <v>42384.55777777778</v>
      </c>
      <c r="K1432">
        <v>19.579999999999998</v>
      </c>
      <c r="L1432" s="5">
        <f>('[1]Pizza Sales Calculations'!$J1432-'[1]Pizza Sales Calculations'!$C1432)*24*60</f>
        <v>2.9833333392161876</v>
      </c>
      <c r="M1432">
        <f>COUNTA('[1]Pizza Sales Calculations'!$D1432:$F1432)</f>
        <v>2</v>
      </c>
      <c r="N1432">
        <f>IFERROR(VLOOKUP(D1432,[1]Parameters!$A$3:$C$5,3,FALSE),0)</f>
        <v>1</v>
      </c>
      <c r="O1432">
        <f>IFERROR(VLOOKUP(E1432,[1]Parameters!$A$3:$C$5,3,FALSE),0)</f>
        <v>1.7</v>
      </c>
      <c r="P1432">
        <f>IFERROR(VLOOKUP(F1432,[1]Parameters!$A$3:$C$5,3,FALSE),0)</f>
        <v>0</v>
      </c>
      <c r="Q1432">
        <f t="shared" si="22"/>
        <v>2.7</v>
      </c>
      <c r="R1432" s="10">
        <f>IF('[1]Pizza Sales Calculations'!$G1432=TRUE, [1]Parameters!$B$17*'[1]Pizza Sales Calculations'!$L1432*2, 0)</f>
        <v>0</v>
      </c>
      <c r="S1432" t="str">
        <f>IF(I1432&lt;[1]Parameters!$B$21,"TRUE","FALSE")</f>
        <v>TRUE</v>
      </c>
      <c r="T1432" s="5">
        <f>(I1432/[1]Parameters!$B$25)*60</f>
        <v>0</v>
      </c>
      <c r="U1432" s="10">
        <f>IF(AND('[1]Pizza Sales Calculations'!G1432=TRUE,'[1]Pizza Sales Calculations'!S1432="TRUE"),T1432*[1]Parameters!$B$40*2,0)</f>
        <v>0</v>
      </c>
      <c r="V1432">
        <f>INDEX([1]Parameters!$A$3:$C$5,MATCH('[1]Pizza Sales Calculations'!D1432,[1]Parameters!$A$3:$A$5,0),2)</f>
        <v>7</v>
      </c>
      <c r="W1432">
        <f>INDEX([1]Parameters!$A$3:$C$5,MATCH('[1]Pizza Sales Calculations'!E1432,[1]Parameters!$A$3:$A$5,0),2)</f>
        <v>10</v>
      </c>
      <c r="X1432" t="e">
        <f>INDEX([1]Parameters!$A$3:$C$5,MATCH('[1]Pizza Sales Calculations'!F1432,[1]Parameters!$A$3:$A$5,0),2)</f>
        <v>#N/A</v>
      </c>
    </row>
    <row r="1433" spans="1:24" x14ac:dyDescent="0.3">
      <c r="A1433">
        <v>1432</v>
      </c>
      <c r="B1433" s="14">
        <v>42384.469074074077</v>
      </c>
      <c r="C1433" s="14">
        <v>42384.479502314818</v>
      </c>
      <c r="D1433" t="s">
        <v>3</v>
      </c>
      <c r="G1433" t="b">
        <v>1</v>
      </c>
      <c r="H1433">
        <v>70804</v>
      </c>
      <c r="I1433" s="5">
        <v>3.2151253123589099</v>
      </c>
      <c r="J1433" s="14">
        <v>42384.490659722222</v>
      </c>
      <c r="K1433">
        <v>7.99</v>
      </c>
      <c r="L1433" s="5">
        <f>('[1]Pizza Sales Calculations'!$J1433-'[1]Pizza Sales Calculations'!$C1433)*24*60</f>
        <v>16.066666661063209</v>
      </c>
      <c r="M1433">
        <f>COUNTA('[1]Pizza Sales Calculations'!$D1433:$F1433)</f>
        <v>1</v>
      </c>
      <c r="N1433">
        <f>IFERROR(VLOOKUP(D1433,[1]Parameters!$A$3:$C$5,3,FALSE),0)</f>
        <v>1</v>
      </c>
      <c r="O1433">
        <f>IFERROR(VLOOKUP(E1433,[1]Parameters!$A$3:$C$5,3,FALSE),0)</f>
        <v>0</v>
      </c>
      <c r="P1433">
        <f>IFERROR(VLOOKUP(F1433,[1]Parameters!$A$3:$C$5,3,FALSE),0)</f>
        <v>0</v>
      </c>
      <c r="Q1433">
        <f t="shared" si="22"/>
        <v>1</v>
      </c>
      <c r="R1433" s="10">
        <f>IF('[1]Pizza Sales Calculations'!$G1433=TRUE, [1]Parameters!$B$17*'[1]Pizza Sales Calculations'!$L1433*2, 0)</f>
        <v>4.5522222206345759</v>
      </c>
      <c r="S1433" t="str">
        <f>IF(I1433&lt;[1]Parameters!$B$21,"TRUE","FALSE")</f>
        <v>FALSE</v>
      </c>
      <c r="T1433" s="5">
        <f>(I1433/[1]Parameters!$B$25)*60</f>
        <v>6.4302506247178197</v>
      </c>
      <c r="U1433" s="10">
        <f>IF(AND('[1]Pizza Sales Calculations'!G1433=TRUE,'[1]Pizza Sales Calculations'!S1433="TRUE"),T1433*[1]Parameters!$B$40*2,0)</f>
        <v>0</v>
      </c>
      <c r="V1433">
        <f>INDEX([1]Parameters!$A$3:$C$5,MATCH('[1]Pizza Sales Calculations'!D1433,[1]Parameters!$A$3:$A$5,0),2)</f>
        <v>7</v>
      </c>
      <c r="W1433" t="e">
        <f>INDEX([1]Parameters!$A$3:$C$5,MATCH('[1]Pizza Sales Calculations'!E1433,[1]Parameters!$A$3:$A$5,0),2)</f>
        <v>#N/A</v>
      </c>
      <c r="X1433" t="e">
        <f>INDEX([1]Parameters!$A$3:$C$5,MATCH('[1]Pizza Sales Calculations'!F1433,[1]Parameters!$A$3:$A$5,0),2)</f>
        <v>#N/A</v>
      </c>
    </row>
    <row r="1434" spans="1:24" x14ac:dyDescent="0.3">
      <c r="A1434">
        <v>1433</v>
      </c>
      <c r="B1434" s="14">
        <v>42384.526226851849</v>
      </c>
      <c r="C1434" s="14">
        <v>42384.536631944444</v>
      </c>
      <c r="D1434" t="s">
        <v>5</v>
      </c>
      <c r="G1434" t="b">
        <v>1</v>
      </c>
      <c r="H1434">
        <v>70807</v>
      </c>
      <c r="I1434" s="5">
        <v>3.7001527055119201</v>
      </c>
      <c r="J1434" s="14">
        <v>42384.549479166664</v>
      </c>
      <c r="K1434">
        <v>15.35</v>
      </c>
      <c r="L1434" s="5">
        <f>('[1]Pizza Sales Calculations'!$J1434-'[1]Pizza Sales Calculations'!$C1434)*24*60</f>
        <v>18.499999997438863</v>
      </c>
      <c r="M1434">
        <f>COUNTA('[1]Pizza Sales Calculations'!$D1434:$F1434)</f>
        <v>1</v>
      </c>
      <c r="N1434">
        <f>IFERROR(VLOOKUP(D1434,[1]Parameters!$A$3:$C$5,3,FALSE),0)</f>
        <v>2.2999999999999998</v>
      </c>
      <c r="O1434">
        <f>IFERROR(VLOOKUP(E1434,[1]Parameters!$A$3:$C$5,3,FALSE),0)</f>
        <v>0</v>
      </c>
      <c r="P1434">
        <f>IFERROR(VLOOKUP(F1434,[1]Parameters!$A$3:$C$5,3,FALSE),0)</f>
        <v>0</v>
      </c>
      <c r="Q1434">
        <f t="shared" si="22"/>
        <v>2.2999999999999998</v>
      </c>
      <c r="R1434" s="10">
        <f>IF('[1]Pizza Sales Calculations'!$G1434=TRUE, [1]Parameters!$B$17*'[1]Pizza Sales Calculations'!$L1434*2, 0)</f>
        <v>5.2416666659410112</v>
      </c>
      <c r="S1434" t="str">
        <f>IF(I1434&lt;[1]Parameters!$B$21,"TRUE","FALSE")</f>
        <v>FALSE</v>
      </c>
      <c r="T1434" s="5">
        <f>(I1434/[1]Parameters!$B$25)*60</f>
        <v>7.4003054110238402</v>
      </c>
      <c r="U1434" s="10">
        <f>IF(AND('[1]Pizza Sales Calculations'!G1434=TRUE,'[1]Pizza Sales Calculations'!S1434="TRUE"),T1434*[1]Parameters!$B$40*2,0)</f>
        <v>0</v>
      </c>
      <c r="V1434">
        <f>INDEX([1]Parameters!$A$3:$C$5,MATCH('[1]Pizza Sales Calculations'!D1434,[1]Parameters!$A$3:$A$5,0),2)</f>
        <v>14</v>
      </c>
      <c r="W1434" t="e">
        <f>INDEX([1]Parameters!$A$3:$C$5,MATCH('[1]Pizza Sales Calculations'!E1434,[1]Parameters!$A$3:$A$5,0),2)</f>
        <v>#N/A</v>
      </c>
      <c r="X1434" t="e">
        <f>INDEX([1]Parameters!$A$3:$C$5,MATCH('[1]Pizza Sales Calculations'!F1434,[1]Parameters!$A$3:$A$5,0),2)</f>
        <v>#N/A</v>
      </c>
    </row>
    <row r="1435" spans="1:24" x14ac:dyDescent="0.3">
      <c r="A1435">
        <v>1434</v>
      </c>
      <c r="B1435" s="14">
        <v>42384.526064814818</v>
      </c>
      <c r="C1435" s="14">
        <v>42384.536446759259</v>
      </c>
      <c r="D1435" t="s">
        <v>5</v>
      </c>
      <c r="G1435" t="b">
        <v>0</v>
      </c>
      <c r="H1435">
        <v>70804</v>
      </c>
      <c r="I1435" s="5">
        <v>0</v>
      </c>
      <c r="J1435" s="14">
        <v>42384.538530092592</v>
      </c>
      <c r="K1435">
        <v>15.35</v>
      </c>
      <c r="L1435" s="5">
        <f>('[1]Pizza Sales Calculations'!$J1435-'[1]Pizza Sales Calculations'!$C1435)*24*60</f>
        <v>2.9999999993015081</v>
      </c>
      <c r="M1435">
        <f>COUNTA('[1]Pizza Sales Calculations'!$D1435:$F1435)</f>
        <v>1</v>
      </c>
      <c r="N1435">
        <f>IFERROR(VLOOKUP(D1435,[1]Parameters!$A$3:$C$5,3,FALSE),0)</f>
        <v>2.2999999999999998</v>
      </c>
      <c r="O1435">
        <f>IFERROR(VLOOKUP(E1435,[1]Parameters!$A$3:$C$5,3,FALSE),0)</f>
        <v>0</v>
      </c>
      <c r="P1435">
        <f>IFERROR(VLOOKUP(F1435,[1]Parameters!$A$3:$C$5,3,FALSE),0)</f>
        <v>0</v>
      </c>
      <c r="Q1435">
        <f t="shared" si="22"/>
        <v>2.2999999999999998</v>
      </c>
      <c r="R1435" s="10">
        <f>IF('[1]Pizza Sales Calculations'!$G1435=TRUE, [1]Parameters!$B$17*'[1]Pizza Sales Calculations'!$L1435*2, 0)</f>
        <v>0</v>
      </c>
      <c r="S1435" t="str">
        <f>IF(I1435&lt;[1]Parameters!$B$21,"TRUE","FALSE")</f>
        <v>TRUE</v>
      </c>
      <c r="T1435" s="5">
        <f>(I1435/[1]Parameters!$B$25)*60</f>
        <v>0</v>
      </c>
      <c r="U1435" s="10">
        <f>IF(AND('[1]Pizza Sales Calculations'!G1435=TRUE,'[1]Pizza Sales Calculations'!S1435="TRUE"),T1435*[1]Parameters!$B$40*2,0)</f>
        <v>0</v>
      </c>
      <c r="V1435">
        <f>INDEX([1]Parameters!$A$3:$C$5,MATCH('[1]Pizza Sales Calculations'!D1435,[1]Parameters!$A$3:$A$5,0),2)</f>
        <v>14</v>
      </c>
      <c r="W1435" t="e">
        <f>INDEX([1]Parameters!$A$3:$C$5,MATCH('[1]Pizza Sales Calculations'!E1435,[1]Parameters!$A$3:$A$5,0),2)</f>
        <v>#N/A</v>
      </c>
      <c r="X1435" t="e">
        <f>INDEX([1]Parameters!$A$3:$C$5,MATCH('[1]Pizza Sales Calculations'!F1435,[1]Parameters!$A$3:$A$5,0),2)</f>
        <v>#N/A</v>
      </c>
    </row>
    <row r="1436" spans="1:24" x14ac:dyDescent="0.3">
      <c r="A1436">
        <v>1435</v>
      </c>
      <c r="B1436" s="14">
        <v>42384.488657407404</v>
      </c>
      <c r="C1436" s="14">
        <v>42384.499062499999</v>
      </c>
      <c r="D1436" t="s">
        <v>3</v>
      </c>
      <c r="E1436" t="s">
        <v>4</v>
      </c>
      <c r="G1436" t="b">
        <v>1</v>
      </c>
      <c r="H1436">
        <v>70807</v>
      </c>
      <c r="I1436" s="5">
        <v>1.58299192399289</v>
      </c>
      <c r="J1436" s="14">
        <v>42384.504548611112</v>
      </c>
      <c r="K1436">
        <v>19.579999999999998</v>
      </c>
      <c r="L1436" s="5">
        <f>('[1]Pizza Sales Calculations'!$J1436-'[1]Pizza Sales Calculations'!$C1436)*24*60</f>
        <v>7.9000000027008355</v>
      </c>
      <c r="M1436">
        <f>COUNTA('[1]Pizza Sales Calculations'!$D1436:$F1436)</f>
        <v>2</v>
      </c>
      <c r="N1436">
        <f>IFERROR(VLOOKUP(D1436,[1]Parameters!$A$3:$C$5,3,FALSE),0)</f>
        <v>1</v>
      </c>
      <c r="O1436">
        <f>IFERROR(VLOOKUP(E1436,[1]Parameters!$A$3:$C$5,3,FALSE),0)</f>
        <v>1.7</v>
      </c>
      <c r="P1436">
        <f>IFERROR(VLOOKUP(F1436,[1]Parameters!$A$3:$C$5,3,FALSE),0)</f>
        <v>0</v>
      </c>
      <c r="Q1436">
        <f t="shared" si="22"/>
        <v>2.7</v>
      </c>
      <c r="R1436" s="10">
        <f>IF('[1]Pizza Sales Calculations'!$G1436=TRUE, [1]Parameters!$B$17*'[1]Pizza Sales Calculations'!$L1436*2, 0)</f>
        <v>2.23833333409857</v>
      </c>
      <c r="S1436" t="str">
        <f>IF(I1436&lt;[1]Parameters!$B$21,"TRUE","FALSE")</f>
        <v>TRUE</v>
      </c>
      <c r="T1436" s="5">
        <f>(I1436/[1]Parameters!$B$25)*60</f>
        <v>3.16598384798578</v>
      </c>
      <c r="U1436" s="10">
        <f>IF(AND('[1]Pizza Sales Calculations'!G1436=TRUE,'[1]Pizza Sales Calculations'!S1436="TRUE"),T1436*[1]Parameters!$B$40*2,0)</f>
        <v>0.19762903233735693</v>
      </c>
      <c r="V1436">
        <f>INDEX([1]Parameters!$A$3:$C$5,MATCH('[1]Pizza Sales Calculations'!D1436,[1]Parameters!$A$3:$A$5,0),2)</f>
        <v>7</v>
      </c>
      <c r="W1436">
        <f>INDEX([1]Parameters!$A$3:$C$5,MATCH('[1]Pizza Sales Calculations'!E1436,[1]Parameters!$A$3:$A$5,0),2)</f>
        <v>10</v>
      </c>
      <c r="X1436" t="e">
        <f>INDEX([1]Parameters!$A$3:$C$5,MATCH('[1]Pizza Sales Calculations'!F1436,[1]Parameters!$A$3:$A$5,0),2)</f>
        <v>#N/A</v>
      </c>
    </row>
    <row r="1437" spans="1:24" x14ac:dyDescent="0.3">
      <c r="A1437">
        <v>1436</v>
      </c>
      <c r="B1437" s="14">
        <v>42384.427858796298</v>
      </c>
      <c r="C1437" s="14">
        <v>42384.438263888886</v>
      </c>
      <c r="D1437" t="s">
        <v>3</v>
      </c>
      <c r="G1437" t="b">
        <v>0</v>
      </c>
      <c r="H1437">
        <v>70806</v>
      </c>
      <c r="I1437" s="5">
        <v>0</v>
      </c>
      <c r="J1437" s="14">
        <v>42384.440335648149</v>
      </c>
      <c r="K1437">
        <v>7.99</v>
      </c>
      <c r="L1437" s="5">
        <f>('[1]Pizza Sales Calculations'!$J1437-'[1]Pizza Sales Calculations'!$C1437)*24*60</f>
        <v>2.9833333392161876</v>
      </c>
      <c r="M1437">
        <f>COUNTA('[1]Pizza Sales Calculations'!$D1437:$F1437)</f>
        <v>1</v>
      </c>
      <c r="N1437">
        <f>IFERROR(VLOOKUP(D1437,[1]Parameters!$A$3:$C$5,3,FALSE),0)</f>
        <v>1</v>
      </c>
      <c r="O1437">
        <f>IFERROR(VLOOKUP(E1437,[1]Parameters!$A$3:$C$5,3,FALSE),0)</f>
        <v>0</v>
      </c>
      <c r="P1437">
        <f>IFERROR(VLOOKUP(F1437,[1]Parameters!$A$3:$C$5,3,FALSE),0)</f>
        <v>0</v>
      </c>
      <c r="Q1437">
        <f t="shared" si="22"/>
        <v>1</v>
      </c>
      <c r="R1437" s="10">
        <f>IF('[1]Pizza Sales Calculations'!$G1437=TRUE, [1]Parameters!$B$17*'[1]Pizza Sales Calculations'!$L1437*2, 0)</f>
        <v>0</v>
      </c>
      <c r="S1437" t="str">
        <f>IF(I1437&lt;[1]Parameters!$B$21,"TRUE","FALSE")</f>
        <v>TRUE</v>
      </c>
      <c r="T1437" s="5">
        <f>(I1437/[1]Parameters!$B$25)*60</f>
        <v>0</v>
      </c>
      <c r="U1437" s="10">
        <f>IF(AND('[1]Pizza Sales Calculations'!G1437=TRUE,'[1]Pizza Sales Calculations'!S1437="TRUE"),T1437*[1]Parameters!$B$40*2,0)</f>
        <v>0</v>
      </c>
      <c r="V1437">
        <f>INDEX([1]Parameters!$A$3:$C$5,MATCH('[1]Pizza Sales Calculations'!D1437,[1]Parameters!$A$3:$A$5,0),2)</f>
        <v>7</v>
      </c>
      <c r="W1437" t="e">
        <f>INDEX([1]Parameters!$A$3:$C$5,MATCH('[1]Pizza Sales Calculations'!E1437,[1]Parameters!$A$3:$A$5,0),2)</f>
        <v>#N/A</v>
      </c>
      <c r="X1437" t="e">
        <f>INDEX([1]Parameters!$A$3:$C$5,MATCH('[1]Pizza Sales Calculations'!F1437,[1]Parameters!$A$3:$A$5,0),2)</f>
        <v>#N/A</v>
      </c>
    </row>
    <row r="1438" spans="1:24" x14ac:dyDescent="0.3">
      <c r="A1438">
        <v>1437</v>
      </c>
      <c r="B1438" s="14">
        <v>42384.521319444444</v>
      </c>
      <c r="C1438" s="14">
        <v>42384.531724537039</v>
      </c>
      <c r="D1438" t="s">
        <v>4</v>
      </c>
      <c r="G1438" t="b">
        <v>0</v>
      </c>
      <c r="H1438">
        <v>70805</v>
      </c>
      <c r="I1438" s="5">
        <v>0</v>
      </c>
      <c r="J1438" s="14">
        <v>42384.533819444441</v>
      </c>
      <c r="K1438">
        <v>11.59</v>
      </c>
      <c r="L1438" s="5">
        <f>('[1]Pizza Sales Calculations'!$J1438-'[1]Pizza Sales Calculations'!$C1438)*24*60</f>
        <v>3.0166666593868285</v>
      </c>
      <c r="M1438">
        <f>COUNTA('[1]Pizza Sales Calculations'!$D1438:$F1438)</f>
        <v>1</v>
      </c>
      <c r="N1438">
        <f>IFERROR(VLOOKUP(D1438,[1]Parameters!$A$3:$C$5,3,FALSE),0)</f>
        <v>1.7</v>
      </c>
      <c r="O1438">
        <f>IFERROR(VLOOKUP(E1438,[1]Parameters!$A$3:$C$5,3,FALSE),0)</f>
        <v>0</v>
      </c>
      <c r="P1438">
        <f>IFERROR(VLOOKUP(F1438,[1]Parameters!$A$3:$C$5,3,FALSE),0)</f>
        <v>0</v>
      </c>
      <c r="Q1438">
        <f t="shared" si="22"/>
        <v>1.7</v>
      </c>
      <c r="R1438" s="10">
        <f>IF('[1]Pizza Sales Calculations'!$G1438=TRUE, [1]Parameters!$B$17*'[1]Pizza Sales Calculations'!$L1438*2, 0)</f>
        <v>0</v>
      </c>
      <c r="S1438" t="str">
        <f>IF(I1438&lt;[1]Parameters!$B$21,"TRUE","FALSE")</f>
        <v>TRUE</v>
      </c>
      <c r="T1438" s="5">
        <f>(I1438/[1]Parameters!$B$25)*60</f>
        <v>0</v>
      </c>
      <c r="U1438" s="10">
        <f>IF(AND('[1]Pizza Sales Calculations'!G1438=TRUE,'[1]Pizza Sales Calculations'!S1438="TRUE"),T1438*[1]Parameters!$B$40*2,0)</f>
        <v>0</v>
      </c>
      <c r="V1438">
        <f>INDEX([1]Parameters!$A$3:$C$5,MATCH('[1]Pizza Sales Calculations'!D1438,[1]Parameters!$A$3:$A$5,0),2)</f>
        <v>10</v>
      </c>
      <c r="W1438" t="e">
        <f>INDEX([1]Parameters!$A$3:$C$5,MATCH('[1]Pizza Sales Calculations'!E1438,[1]Parameters!$A$3:$A$5,0),2)</f>
        <v>#N/A</v>
      </c>
      <c r="X1438" t="e">
        <f>INDEX([1]Parameters!$A$3:$C$5,MATCH('[1]Pizza Sales Calculations'!F1438,[1]Parameters!$A$3:$A$5,0),2)</f>
        <v>#N/A</v>
      </c>
    </row>
    <row r="1439" spans="1:24" x14ac:dyDescent="0.3">
      <c r="A1439">
        <v>1438</v>
      </c>
      <c r="B1439" s="14">
        <v>42384.514016203706</v>
      </c>
      <c r="C1439" s="14">
        <v>42384.524409722224</v>
      </c>
      <c r="D1439" t="s">
        <v>3</v>
      </c>
      <c r="E1439" t="s">
        <v>4</v>
      </c>
      <c r="G1439" t="b">
        <v>0</v>
      </c>
      <c r="H1439">
        <v>70805</v>
      </c>
      <c r="I1439" s="5">
        <v>0</v>
      </c>
      <c r="J1439" s="14">
        <v>42384.526469907411</v>
      </c>
      <c r="K1439">
        <v>19.579999999999998</v>
      </c>
      <c r="L1439" s="5">
        <f>('[1]Pizza Sales Calculations'!$J1439-'[1]Pizza Sales Calculations'!$C1439)*24*60</f>
        <v>2.9666666686534882</v>
      </c>
      <c r="M1439">
        <f>COUNTA('[1]Pizza Sales Calculations'!$D1439:$F1439)</f>
        <v>2</v>
      </c>
      <c r="N1439">
        <f>IFERROR(VLOOKUP(D1439,[1]Parameters!$A$3:$C$5,3,FALSE),0)</f>
        <v>1</v>
      </c>
      <c r="O1439">
        <f>IFERROR(VLOOKUP(E1439,[1]Parameters!$A$3:$C$5,3,FALSE),0)</f>
        <v>1.7</v>
      </c>
      <c r="P1439">
        <f>IFERROR(VLOOKUP(F1439,[1]Parameters!$A$3:$C$5,3,FALSE),0)</f>
        <v>0</v>
      </c>
      <c r="Q1439">
        <f t="shared" si="22"/>
        <v>2.7</v>
      </c>
      <c r="R1439" s="10">
        <f>IF('[1]Pizza Sales Calculations'!$G1439=TRUE, [1]Parameters!$B$17*'[1]Pizza Sales Calculations'!$L1439*2, 0)</f>
        <v>0</v>
      </c>
      <c r="S1439" t="str">
        <f>IF(I1439&lt;[1]Parameters!$B$21,"TRUE","FALSE")</f>
        <v>TRUE</v>
      </c>
      <c r="T1439" s="5">
        <f>(I1439/[1]Parameters!$B$25)*60</f>
        <v>0</v>
      </c>
      <c r="U1439" s="10">
        <f>IF(AND('[1]Pizza Sales Calculations'!G1439=TRUE,'[1]Pizza Sales Calculations'!S1439="TRUE"),T1439*[1]Parameters!$B$40*2,0)</f>
        <v>0</v>
      </c>
      <c r="V1439">
        <f>INDEX([1]Parameters!$A$3:$C$5,MATCH('[1]Pizza Sales Calculations'!D1439,[1]Parameters!$A$3:$A$5,0),2)</f>
        <v>7</v>
      </c>
      <c r="W1439">
        <f>INDEX([1]Parameters!$A$3:$C$5,MATCH('[1]Pizza Sales Calculations'!E1439,[1]Parameters!$A$3:$A$5,0),2)</f>
        <v>10</v>
      </c>
      <c r="X1439" t="e">
        <f>INDEX([1]Parameters!$A$3:$C$5,MATCH('[1]Pizza Sales Calculations'!F1439,[1]Parameters!$A$3:$A$5,0),2)</f>
        <v>#N/A</v>
      </c>
    </row>
    <row r="1440" spans="1:24" x14ac:dyDescent="0.3">
      <c r="A1440">
        <v>1439</v>
      </c>
      <c r="B1440" s="14">
        <v>42384.563784722224</v>
      </c>
      <c r="C1440" s="14">
        <v>42384.574178240742</v>
      </c>
      <c r="D1440" t="s">
        <v>4</v>
      </c>
      <c r="G1440" t="b">
        <v>1</v>
      </c>
      <c r="H1440">
        <v>70803</v>
      </c>
      <c r="I1440" s="5">
        <v>2.7435719012633202</v>
      </c>
      <c r="J1440" s="14">
        <v>42384.583703703705</v>
      </c>
      <c r="K1440">
        <v>11.59</v>
      </c>
      <c r="L1440" s="5">
        <f>('[1]Pizza Sales Calculations'!$J1440-'[1]Pizza Sales Calculations'!$C1440)*24*60</f>
        <v>13.716666667023674</v>
      </c>
      <c r="M1440">
        <f>COUNTA('[1]Pizza Sales Calculations'!$D1440:$F1440)</f>
        <v>1</v>
      </c>
      <c r="N1440">
        <f>IFERROR(VLOOKUP(D1440,[1]Parameters!$A$3:$C$5,3,FALSE),0)</f>
        <v>1.7</v>
      </c>
      <c r="O1440">
        <f>IFERROR(VLOOKUP(E1440,[1]Parameters!$A$3:$C$5,3,FALSE),0)</f>
        <v>0</v>
      </c>
      <c r="P1440">
        <f>IFERROR(VLOOKUP(F1440,[1]Parameters!$A$3:$C$5,3,FALSE),0)</f>
        <v>0</v>
      </c>
      <c r="Q1440">
        <f t="shared" si="22"/>
        <v>1.7</v>
      </c>
      <c r="R1440" s="10">
        <f>IF('[1]Pizza Sales Calculations'!$G1440=TRUE, [1]Parameters!$B$17*'[1]Pizza Sales Calculations'!$L1440*2, 0)</f>
        <v>3.8863888889900409</v>
      </c>
      <c r="S1440" t="str">
        <f>IF(I1440&lt;[1]Parameters!$B$21,"TRUE","FALSE")</f>
        <v>TRUE</v>
      </c>
      <c r="T1440" s="5">
        <f>(I1440/[1]Parameters!$B$25)*60</f>
        <v>5.4871438025266404</v>
      </c>
      <c r="U1440" s="10">
        <f>IF(AND('[1]Pizza Sales Calculations'!G1440=TRUE,'[1]Pizza Sales Calculations'!S1440="TRUE"),T1440*[1]Parameters!$B$40*2,0)</f>
        <v>0.34252193695782102</v>
      </c>
      <c r="V1440">
        <f>INDEX([1]Parameters!$A$3:$C$5,MATCH('[1]Pizza Sales Calculations'!D1440,[1]Parameters!$A$3:$A$5,0),2)</f>
        <v>10</v>
      </c>
      <c r="W1440" t="e">
        <f>INDEX([1]Parameters!$A$3:$C$5,MATCH('[1]Pizza Sales Calculations'!E1440,[1]Parameters!$A$3:$A$5,0),2)</f>
        <v>#N/A</v>
      </c>
      <c r="X1440" t="e">
        <f>INDEX([1]Parameters!$A$3:$C$5,MATCH('[1]Pizza Sales Calculations'!F1440,[1]Parameters!$A$3:$A$5,0),2)</f>
        <v>#N/A</v>
      </c>
    </row>
    <row r="1441" spans="1:24" x14ac:dyDescent="0.3">
      <c r="A1441">
        <v>1440</v>
      </c>
      <c r="B1441" s="14">
        <v>42384.50371527778</v>
      </c>
      <c r="C1441" s="14">
        <v>42384.514108796298</v>
      </c>
      <c r="D1441" t="s">
        <v>5</v>
      </c>
      <c r="G1441" t="b">
        <v>0</v>
      </c>
      <c r="H1441">
        <v>70804</v>
      </c>
      <c r="I1441" s="5">
        <v>0</v>
      </c>
      <c r="J1441" s="14">
        <v>42384.516192129631</v>
      </c>
      <c r="K1441">
        <v>15.35</v>
      </c>
      <c r="L1441" s="5">
        <f>('[1]Pizza Sales Calculations'!$J1441-'[1]Pizza Sales Calculations'!$C1441)*24*60</f>
        <v>2.9999999993015081</v>
      </c>
      <c r="M1441">
        <f>COUNTA('[1]Pizza Sales Calculations'!$D1441:$F1441)</f>
        <v>1</v>
      </c>
      <c r="N1441">
        <f>IFERROR(VLOOKUP(D1441,[1]Parameters!$A$3:$C$5,3,FALSE),0)</f>
        <v>2.2999999999999998</v>
      </c>
      <c r="O1441">
        <f>IFERROR(VLOOKUP(E1441,[1]Parameters!$A$3:$C$5,3,FALSE),0)</f>
        <v>0</v>
      </c>
      <c r="P1441">
        <f>IFERROR(VLOOKUP(F1441,[1]Parameters!$A$3:$C$5,3,FALSE),0)</f>
        <v>0</v>
      </c>
      <c r="Q1441">
        <f t="shared" si="22"/>
        <v>2.2999999999999998</v>
      </c>
      <c r="R1441" s="10">
        <f>IF('[1]Pizza Sales Calculations'!$G1441=TRUE, [1]Parameters!$B$17*'[1]Pizza Sales Calculations'!$L1441*2, 0)</f>
        <v>0</v>
      </c>
      <c r="S1441" t="str">
        <f>IF(I1441&lt;[1]Parameters!$B$21,"TRUE","FALSE")</f>
        <v>TRUE</v>
      </c>
      <c r="T1441" s="5">
        <f>(I1441/[1]Parameters!$B$25)*60</f>
        <v>0</v>
      </c>
      <c r="U1441" s="10">
        <f>IF(AND('[1]Pizza Sales Calculations'!G1441=TRUE,'[1]Pizza Sales Calculations'!S1441="TRUE"),T1441*[1]Parameters!$B$40*2,0)</f>
        <v>0</v>
      </c>
      <c r="V1441">
        <f>INDEX([1]Parameters!$A$3:$C$5,MATCH('[1]Pizza Sales Calculations'!D1441,[1]Parameters!$A$3:$A$5,0),2)</f>
        <v>14</v>
      </c>
      <c r="W1441" t="e">
        <f>INDEX([1]Parameters!$A$3:$C$5,MATCH('[1]Pizza Sales Calculations'!E1441,[1]Parameters!$A$3:$A$5,0),2)</f>
        <v>#N/A</v>
      </c>
      <c r="X1441" t="e">
        <f>INDEX([1]Parameters!$A$3:$C$5,MATCH('[1]Pizza Sales Calculations'!F1441,[1]Parameters!$A$3:$A$5,0),2)</f>
        <v>#N/A</v>
      </c>
    </row>
    <row r="1442" spans="1:24" x14ac:dyDescent="0.3">
      <c r="A1442">
        <v>1441</v>
      </c>
      <c r="B1442" s="14">
        <v>42384.483553240738</v>
      </c>
      <c r="C1442" s="14">
        <v>42384.493946759256</v>
      </c>
      <c r="D1442" t="s">
        <v>5</v>
      </c>
      <c r="G1442" t="b">
        <v>0</v>
      </c>
      <c r="H1442">
        <v>70805</v>
      </c>
      <c r="I1442" s="5">
        <v>0</v>
      </c>
      <c r="J1442" s="14">
        <v>42384.496018518519</v>
      </c>
      <c r="K1442">
        <v>15.35</v>
      </c>
      <c r="L1442" s="5">
        <f>('[1]Pizza Sales Calculations'!$J1442-'[1]Pizza Sales Calculations'!$C1442)*24*60</f>
        <v>2.9833333392161876</v>
      </c>
      <c r="M1442">
        <f>COUNTA('[1]Pizza Sales Calculations'!$D1442:$F1442)</f>
        <v>1</v>
      </c>
      <c r="N1442">
        <f>IFERROR(VLOOKUP(D1442,[1]Parameters!$A$3:$C$5,3,FALSE),0)</f>
        <v>2.2999999999999998</v>
      </c>
      <c r="O1442">
        <f>IFERROR(VLOOKUP(E1442,[1]Parameters!$A$3:$C$5,3,FALSE),0)</f>
        <v>0</v>
      </c>
      <c r="P1442">
        <f>IFERROR(VLOOKUP(F1442,[1]Parameters!$A$3:$C$5,3,FALSE),0)</f>
        <v>0</v>
      </c>
      <c r="Q1442">
        <f t="shared" si="22"/>
        <v>2.2999999999999998</v>
      </c>
      <c r="R1442" s="10">
        <f>IF('[1]Pizza Sales Calculations'!$G1442=TRUE, [1]Parameters!$B$17*'[1]Pizza Sales Calculations'!$L1442*2, 0)</f>
        <v>0</v>
      </c>
      <c r="S1442" t="str">
        <f>IF(I1442&lt;[1]Parameters!$B$21,"TRUE","FALSE")</f>
        <v>TRUE</v>
      </c>
      <c r="T1442" s="5">
        <f>(I1442/[1]Parameters!$B$25)*60</f>
        <v>0</v>
      </c>
      <c r="U1442" s="10">
        <f>IF(AND('[1]Pizza Sales Calculations'!G1442=TRUE,'[1]Pizza Sales Calculations'!S1442="TRUE"),T1442*[1]Parameters!$B$40*2,0)</f>
        <v>0</v>
      </c>
      <c r="V1442">
        <f>INDEX([1]Parameters!$A$3:$C$5,MATCH('[1]Pizza Sales Calculations'!D1442,[1]Parameters!$A$3:$A$5,0),2)</f>
        <v>14</v>
      </c>
      <c r="W1442" t="e">
        <f>INDEX([1]Parameters!$A$3:$C$5,MATCH('[1]Pizza Sales Calculations'!E1442,[1]Parameters!$A$3:$A$5,0),2)</f>
        <v>#N/A</v>
      </c>
      <c r="X1442" t="e">
        <f>INDEX([1]Parameters!$A$3:$C$5,MATCH('[1]Pizza Sales Calculations'!F1442,[1]Parameters!$A$3:$A$5,0),2)</f>
        <v>#N/A</v>
      </c>
    </row>
    <row r="1443" spans="1:24" x14ac:dyDescent="0.3">
      <c r="A1443">
        <v>1442</v>
      </c>
      <c r="B1443" s="14">
        <v>42384.567835648151</v>
      </c>
      <c r="C1443" s="14">
        <v>42384.578252314815</v>
      </c>
      <c r="D1443" t="s">
        <v>3</v>
      </c>
      <c r="E1443" t="s">
        <v>4</v>
      </c>
      <c r="G1443" t="b">
        <v>1</v>
      </c>
      <c r="H1443">
        <v>70807</v>
      </c>
      <c r="I1443" s="5">
        <v>4.3124970280342696</v>
      </c>
      <c r="J1443" s="14">
        <v>42384.593217592592</v>
      </c>
      <c r="K1443">
        <v>19.579999999999998</v>
      </c>
      <c r="L1443" s="5">
        <f>('[1]Pizza Sales Calculations'!$J1443-'[1]Pizza Sales Calculations'!$C1443)*24*60</f>
        <v>21.54999999795109</v>
      </c>
      <c r="M1443">
        <f>COUNTA('[1]Pizza Sales Calculations'!$D1443:$F1443)</f>
        <v>2</v>
      </c>
      <c r="N1443">
        <f>IFERROR(VLOOKUP(D1443,[1]Parameters!$A$3:$C$5,3,FALSE),0)</f>
        <v>1</v>
      </c>
      <c r="O1443">
        <f>IFERROR(VLOOKUP(E1443,[1]Parameters!$A$3:$C$5,3,FALSE),0)</f>
        <v>1.7</v>
      </c>
      <c r="P1443">
        <f>IFERROR(VLOOKUP(F1443,[1]Parameters!$A$3:$C$5,3,FALSE),0)</f>
        <v>0</v>
      </c>
      <c r="Q1443">
        <f t="shared" si="22"/>
        <v>2.7</v>
      </c>
      <c r="R1443" s="10">
        <f>IF('[1]Pizza Sales Calculations'!$G1443=TRUE, [1]Parameters!$B$17*'[1]Pizza Sales Calculations'!$L1443*2, 0)</f>
        <v>6.1058333327528089</v>
      </c>
      <c r="S1443" t="str">
        <f>IF(I1443&lt;[1]Parameters!$B$21,"TRUE","FALSE")</f>
        <v>FALSE</v>
      </c>
      <c r="T1443" s="5">
        <f>(I1443/[1]Parameters!$B$25)*60</f>
        <v>8.6249940560685392</v>
      </c>
      <c r="U1443" s="10">
        <f>IF(AND('[1]Pizza Sales Calculations'!G1443=TRUE,'[1]Pizza Sales Calculations'!S1443="TRUE"),T1443*[1]Parameters!$B$40*2,0)</f>
        <v>0</v>
      </c>
      <c r="V1443">
        <f>INDEX([1]Parameters!$A$3:$C$5,MATCH('[1]Pizza Sales Calculations'!D1443,[1]Parameters!$A$3:$A$5,0),2)</f>
        <v>7</v>
      </c>
      <c r="W1443">
        <f>INDEX([1]Parameters!$A$3:$C$5,MATCH('[1]Pizza Sales Calculations'!E1443,[1]Parameters!$A$3:$A$5,0),2)</f>
        <v>10</v>
      </c>
      <c r="X1443" t="e">
        <f>INDEX([1]Parameters!$A$3:$C$5,MATCH('[1]Pizza Sales Calculations'!F1443,[1]Parameters!$A$3:$A$5,0),2)</f>
        <v>#N/A</v>
      </c>
    </row>
    <row r="1444" spans="1:24" x14ac:dyDescent="0.3">
      <c r="A1444">
        <v>1443</v>
      </c>
      <c r="B1444" s="14">
        <v>42384.512719907405</v>
      </c>
      <c r="C1444" s="14">
        <v>42384.523159722223</v>
      </c>
      <c r="D1444" t="s">
        <v>4</v>
      </c>
      <c r="G1444" t="b">
        <v>0</v>
      </c>
      <c r="H1444">
        <v>70805</v>
      </c>
      <c r="I1444" s="5">
        <v>0</v>
      </c>
      <c r="J1444" s="14">
        <v>42384.525219907409</v>
      </c>
      <c r="K1444">
        <v>11.59</v>
      </c>
      <c r="L1444" s="5">
        <f>('[1]Pizza Sales Calculations'!$J1444-'[1]Pizza Sales Calculations'!$C1444)*24*60</f>
        <v>2.9666666686534882</v>
      </c>
      <c r="M1444">
        <f>COUNTA('[1]Pizza Sales Calculations'!$D1444:$F1444)</f>
        <v>1</v>
      </c>
      <c r="N1444">
        <f>IFERROR(VLOOKUP(D1444,[1]Parameters!$A$3:$C$5,3,FALSE),0)</f>
        <v>1.7</v>
      </c>
      <c r="O1444">
        <f>IFERROR(VLOOKUP(E1444,[1]Parameters!$A$3:$C$5,3,FALSE),0)</f>
        <v>0</v>
      </c>
      <c r="P1444">
        <f>IFERROR(VLOOKUP(F1444,[1]Parameters!$A$3:$C$5,3,FALSE),0)</f>
        <v>0</v>
      </c>
      <c r="Q1444">
        <f t="shared" si="22"/>
        <v>1.7</v>
      </c>
      <c r="R1444" s="10">
        <f>IF('[1]Pizza Sales Calculations'!$G1444=TRUE, [1]Parameters!$B$17*'[1]Pizza Sales Calculations'!$L1444*2, 0)</f>
        <v>0</v>
      </c>
      <c r="S1444" t="str">
        <f>IF(I1444&lt;[1]Parameters!$B$21,"TRUE","FALSE")</f>
        <v>TRUE</v>
      </c>
      <c r="T1444" s="5">
        <f>(I1444/[1]Parameters!$B$25)*60</f>
        <v>0</v>
      </c>
      <c r="U1444" s="10">
        <f>IF(AND('[1]Pizza Sales Calculations'!G1444=TRUE,'[1]Pizza Sales Calculations'!S1444="TRUE"),T1444*[1]Parameters!$B$40*2,0)</f>
        <v>0</v>
      </c>
      <c r="V1444">
        <f>INDEX([1]Parameters!$A$3:$C$5,MATCH('[1]Pizza Sales Calculations'!D1444,[1]Parameters!$A$3:$A$5,0),2)</f>
        <v>10</v>
      </c>
      <c r="W1444" t="e">
        <f>INDEX([1]Parameters!$A$3:$C$5,MATCH('[1]Pizza Sales Calculations'!E1444,[1]Parameters!$A$3:$A$5,0),2)</f>
        <v>#N/A</v>
      </c>
      <c r="X1444" t="e">
        <f>INDEX([1]Parameters!$A$3:$C$5,MATCH('[1]Pizza Sales Calculations'!F1444,[1]Parameters!$A$3:$A$5,0),2)</f>
        <v>#N/A</v>
      </c>
    </row>
    <row r="1445" spans="1:24" x14ac:dyDescent="0.3">
      <c r="A1445">
        <v>1444</v>
      </c>
      <c r="B1445" s="14">
        <v>42384.523275462961</v>
      </c>
      <c r="C1445" s="14">
        <v>42384.533692129633</v>
      </c>
      <c r="D1445" t="s">
        <v>3</v>
      </c>
      <c r="E1445" t="s">
        <v>4</v>
      </c>
      <c r="G1445" t="b">
        <v>0</v>
      </c>
      <c r="H1445">
        <v>70807</v>
      </c>
      <c r="I1445" s="5">
        <v>0</v>
      </c>
      <c r="J1445" s="14">
        <v>42384.535787037035</v>
      </c>
      <c r="K1445">
        <v>19.579999999999998</v>
      </c>
      <c r="L1445" s="5">
        <f>('[1]Pizza Sales Calculations'!$J1445-'[1]Pizza Sales Calculations'!$C1445)*24*60</f>
        <v>3.0166666593868285</v>
      </c>
      <c r="M1445">
        <f>COUNTA('[1]Pizza Sales Calculations'!$D1445:$F1445)</f>
        <v>2</v>
      </c>
      <c r="N1445">
        <f>IFERROR(VLOOKUP(D1445,[1]Parameters!$A$3:$C$5,3,FALSE),0)</f>
        <v>1</v>
      </c>
      <c r="O1445">
        <f>IFERROR(VLOOKUP(E1445,[1]Parameters!$A$3:$C$5,3,FALSE),0)</f>
        <v>1.7</v>
      </c>
      <c r="P1445">
        <f>IFERROR(VLOOKUP(F1445,[1]Parameters!$A$3:$C$5,3,FALSE),0)</f>
        <v>0</v>
      </c>
      <c r="Q1445">
        <f t="shared" si="22"/>
        <v>2.7</v>
      </c>
      <c r="R1445" s="10">
        <f>IF('[1]Pizza Sales Calculations'!$G1445=TRUE, [1]Parameters!$B$17*'[1]Pizza Sales Calculations'!$L1445*2, 0)</f>
        <v>0</v>
      </c>
      <c r="S1445" t="str">
        <f>IF(I1445&lt;[1]Parameters!$B$21,"TRUE","FALSE")</f>
        <v>TRUE</v>
      </c>
      <c r="T1445" s="5">
        <f>(I1445/[1]Parameters!$B$25)*60</f>
        <v>0</v>
      </c>
      <c r="U1445" s="10">
        <f>IF(AND('[1]Pizza Sales Calculations'!G1445=TRUE,'[1]Pizza Sales Calculations'!S1445="TRUE"),T1445*[1]Parameters!$B$40*2,0)</f>
        <v>0</v>
      </c>
      <c r="V1445">
        <f>INDEX([1]Parameters!$A$3:$C$5,MATCH('[1]Pizza Sales Calculations'!D1445,[1]Parameters!$A$3:$A$5,0),2)</f>
        <v>7</v>
      </c>
      <c r="W1445">
        <f>INDEX([1]Parameters!$A$3:$C$5,MATCH('[1]Pizza Sales Calculations'!E1445,[1]Parameters!$A$3:$A$5,0),2)</f>
        <v>10</v>
      </c>
      <c r="X1445" t="e">
        <f>INDEX([1]Parameters!$A$3:$C$5,MATCH('[1]Pizza Sales Calculations'!F1445,[1]Parameters!$A$3:$A$5,0),2)</f>
        <v>#N/A</v>
      </c>
    </row>
    <row r="1446" spans="1:24" x14ac:dyDescent="0.3">
      <c r="A1446">
        <v>1445</v>
      </c>
      <c r="B1446" s="14">
        <v>42384.531365740739</v>
      </c>
      <c r="C1446" s="14">
        <v>42384.54178240741</v>
      </c>
      <c r="D1446" t="s">
        <v>5</v>
      </c>
      <c r="G1446" t="b">
        <v>1</v>
      </c>
      <c r="H1446">
        <v>70804</v>
      </c>
      <c r="I1446" s="5">
        <v>2.1088836788949799</v>
      </c>
      <c r="J1446" s="14">
        <v>42384.549097222225</v>
      </c>
      <c r="K1446">
        <v>15.35</v>
      </c>
      <c r="L1446" s="5">
        <f>('[1]Pizza Sales Calculations'!$J1446-'[1]Pizza Sales Calculations'!$C1446)*24*60</f>
        <v>10.533333333441988</v>
      </c>
      <c r="M1446">
        <f>COUNTA('[1]Pizza Sales Calculations'!$D1446:$F1446)</f>
        <v>1</v>
      </c>
      <c r="N1446">
        <f>IFERROR(VLOOKUP(D1446,[1]Parameters!$A$3:$C$5,3,FALSE),0)</f>
        <v>2.2999999999999998</v>
      </c>
      <c r="O1446">
        <f>IFERROR(VLOOKUP(E1446,[1]Parameters!$A$3:$C$5,3,FALSE),0)</f>
        <v>0</v>
      </c>
      <c r="P1446">
        <f>IFERROR(VLOOKUP(F1446,[1]Parameters!$A$3:$C$5,3,FALSE),0)</f>
        <v>0</v>
      </c>
      <c r="Q1446">
        <f t="shared" si="22"/>
        <v>2.2999999999999998</v>
      </c>
      <c r="R1446" s="10">
        <f>IF('[1]Pizza Sales Calculations'!$G1446=TRUE, [1]Parameters!$B$17*'[1]Pizza Sales Calculations'!$L1446*2, 0)</f>
        <v>2.9844444444752298</v>
      </c>
      <c r="S1446" t="str">
        <f>IF(I1446&lt;[1]Parameters!$B$21,"TRUE","FALSE")</f>
        <v>TRUE</v>
      </c>
      <c r="T1446" s="5">
        <f>(I1446/[1]Parameters!$B$25)*60</f>
        <v>4.2177673577899597</v>
      </c>
      <c r="U1446" s="10">
        <f>IF(AND('[1]Pizza Sales Calculations'!G1446=TRUE,'[1]Pizza Sales Calculations'!S1446="TRUE"),T1446*[1]Parameters!$B$40*2,0)</f>
        <v>0.26328412321952704</v>
      </c>
      <c r="V1446">
        <f>INDEX([1]Parameters!$A$3:$C$5,MATCH('[1]Pizza Sales Calculations'!D1446,[1]Parameters!$A$3:$A$5,0),2)</f>
        <v>14</v>
      </c>
      <c r="W1446" t="e">
        <f>INDEX([1]Parameters!$A$3:$C$5,MATCH('[1]Pizza Sales Calculations'!E1446,[1]Parameters!$A$3:$A$5,0),2)</f>
        <v>#N/A</v>
      </c>
      <c r="X1446" t="e">
        <f>INDEX([1]Parameters!$A$3:$C$5,MATCH('[1]Pizza Sales Calculations'!F1446,[1]Parameters!$A$3:$A$5,0),2)</f>
        <v>#N/A</v>
      </c>
    </row>
    <row r="1447" spans="1:24" x14ac:dyDescent="0.3">
      <c r="A1447">
        <v>1446</v>
      </c>
      <c r="B1447" s="14">
        <v>42384.468425925923</v>
      </c>
      <c r="C1447" s="14">
        <v>42384.478831018518</v>
      </c>
      <c r="D1447" t="s">
        <v>4</v>
      </c>
      <c r="G1447" t="b">
        <v>1</v>
      </c>
      <c r="H1447">
        <v>70804</v>
      </c>
      <c r="I1447" s="5">
        <v>3.47424357854563</v>
      </c>
      <c r="J1447" s="14">
        <v>42384.490891203706</v>
      </c>
      <c r="K1447">
        <v>11.59</v>
      </c>
      <c r="L1447" s="5">
        <f>('[1]Pizza Sales Calculations'!$J1447-'[1]Pizza Sales Calculations'!$C1447)*24*60</f>
        <v>17.366666671587154</v>
      </c>
      <c r="M1447">
        <f>COUNTA('[1]Pizza Sales Calculations'!$D1447:$F1447)</f>
        <v>1</v>
      </c>
      <c r="N1447">
        <f>IFERROR(VLOOKUP(D1447,[1]Parameters!$A$3:$C$5,3,FALSE),0)</f>
        <v>1.7</v>
      </c>
      <c r="O1447">
        <f>IFERROR(VLOOKUP(E1447,[1]Parameters!$A$3:$C$5,3,FALSE),0)</f>
        <v>0</v>
      </c>
      <c r="P1447">
        <f>IFERROR(VLOOKUP(F1447,[1]Parameters!$A$3:$C$5,3,FALSE),0)</f>
        <v>0</v>
      </c>
      <c r="Q1447">
        <f t="shared" si="22"/>
        <v>1.7</v>
      </c>
      <c r="R1447" s="10">
        <f>IF('[1]Pizza Sales Calculations'!$G1447=TRUE, [1]Parameters!$B$17*'[1]Pizza Sales Calculations'!$L1447*2, 0)</f>
        <v>4.9205555569496937</v>
      </c>
      <c r="S1447" t="str">
        <f>IF(I1447&lt;[1]Parameters!$B$21,"TRUE","FALSE")</f>
        <v>FALSE</v>
      </c>
      <c r="T1447" s="5">
        <f>(I1447/[1]Parameters!$B$25)*60</f>
        <v>6.9484871570912601</v>
      </c>
      <c r="U1447" s="10">
        <f>IF(AND('[1]Pizza Sales Calculations'!G1447=TRUE,'[1]Pizza Sales Calculations'!S1447="TRUE"),T1447*[1]Parameters!$B$40*2,0)</f>
        <v>0</v>
      </c>
      <c r="V1447">
        <f>INDEX([1]Parameters!$A$3:$C$5,MATCH('[1]Pizza Sales Calculations'!D1447,[1]Parameters!$A$3:$A$5,0),2)</f>
        <v>10</v>
      </c>
      <c r="W1447" t="e">
        <f>INDEX([1]Parameters!$A$3:$C$5,MATCH('[1]Pizza Sales Calculations'!E1447,[1]Parameters!$A$3:$A$5,0),2)</f>
        <v>#N/A</v>
      </c>
      <c r="X1447" t="e">
        <f>INDEX([1]Parameters!$A$3:$C$5,MATCH('[1]Pizza Sales Calculations'!F1447,[1]Parameters!$A$3:$A$5,0),2)</f>
        <v>#N/A</v>
      </c>
    </row>
    <row r="1448" spans="1:24" x14ac:dyDescent="0.3">
      <c r="A1448">
        <v>1447</v>
      </c>
      <c r="B1448" s="14">
        <v>42384.575358796297</v>
      </c>
      <c r="C1448" s="14">
        <v>42384.585775462961</v>
      </c>
      <c r="D1448" t="s">
        <v>4</v>
      </c>
      <c r="E1448" t="s">
        <v>5</v>
      </c>
      <c r="G1448" t="b">
        <v>0</v>
      </c>
      <c r="H1448">
        <v>70805</v>
      </c>
      <c r="I1448" s="5">
        <v>0</v>
      </c>
      <c r="J1448" s="14">
        <v>42384.587847222225</v>
      </c>
      <c r="K1448">
        <v>25.94</v>
      </c>
      <c r="L1448" s="5">
        <f>('[1]Pizza Sales Calculations'!$J1448-'[1]Pizza Sales Calculations'!$C1448)*24*60</f>
        <v>2.9833333392161876</v>
      </c>
      <c r="M1448">
        <f>COUNTA('[1]Pizza Sales Calculations'!$D1448:$F1448)</f>
        <v>2</v>
      </c>
      <c r="N1448">
        <f>IFERROR(VLOOKUP(D1448,[1]Parameters!$A$3:$C$5,3,FALSE),0)</f>
        <v>1.7</v>
      </c>
      <c r="O1448">
        <f>IFERROR(VLOOKUP(E1448,[1]Parameters!$A$3:$C$5,3,FALSE),0)</f>
        <v>2.2999999999999998</v>
      </c>
      <c r="P1448">
        <f>IFERROR(VLOOKUP(F1448,[1]Parameters!$A$3:$C$5,3,FALSE),0)</f>
        <v>0</v>
      </c>
      <c r="Q1448">
        <f t="shared" si="22"/>
        <v>4</v>
      </c>
      <c r="R1448" s="10">
        <f>IF('[1]Pizza Sales Calculations'!$G1448=TRUE, [1]Parameters!$B$17*'[1]Pizza Sales Calculations'!$L1448*2, 0)</f>
        <v>0</v>
      </c>
      <c r="S1448" t="str">
        <f>IF(I1448&lt;[1]Parameters!$B$21,"TRUE","FALSE")</f>
        <v>TRUE</v>
      </c>
      <c r="T1448" s="5">
        <f>(I1448/[1]Parameters!$B$25)*60</f>
        <v>0</v>
      </c>
      <c r="U1448" s="10">
        <f>IF(AND('[1]Pizza Sales Calculations'!G1448=TRUE,'[1]Pizza Sales Calculations'!S1448="TRUE"),T1448*[1]Parameters!$B$40*2,0)</f>
        <v>0</v>
      </c>
      <c r="V1448">
        <f>INDEX([1]Parameters!$A$3:$C$5,MATCH('[1]Pizza Sales Calculations'!D1448,[1]Parameters!$A$3:$A$5,0),2)</f>
        <v>10</v>
      </c>
      <c r="W1448">
        <f>INDEX([1]Parameters!$A$3:$C$5,MATCH('[1]Pizza Sales Calculations'!E1448,[1]Parameters!$A$3:$A$5,0),2)</f>
        <v>14</v>
      </c>
      <c r="X1448" t="e">
        <f>INDEX([1]Parameters!$A$3:$C$5,MATCH('[1]Pizza Sales Calculations'!F1448,[1]Parameters!$A$3:$A$5,0),2)</f>
        <v>#N/A</v>
      </c>
    </row>
    <row r="1449" spans="1:24" x14ac:dyDescent="0.3">
      <c r="A1449">
        <v>1448</v>
      </c>
      <c r="B1449" s="14">
        <v>42384.577372685184</v>
      </c>
      <c r="C1449" s="14">
        <v>42384.587800925925</v>
      </c>
      <c r="D1449" t="s">
        <v>4</v>
      </c>
      <c r="G1449" t="b">
        <v>0</v>
      </c>
      <c r="H1449">
        <v>70803</v>
      </c>
      <c r="I1449" s="5">
        <v>0</v>
      </c>
      <c r="J1449" s="14">
        <v>42384.589884259258</v>
      </c>
      <c r="K1449">
        <v>11.59</v>
      </c>
      <c r="L1449" s="5">
        <f>('[1]Pizza Sales Calculations'!$J1449-'[1]Pizza Sales Calculations'!$C1449)*24*60</f>
        <v>2.9999999993015081</v>
      </c>
      <c r="M1449">
        <f>COUNTA('[1]Pizza Sales Calculations'!$D1449:$F1449)</f>
        <v>1</v>
      </c>
      <c r="N1449">
        <f>IFERROR(VLOOKUP(D1449,[1]Parameters!$A$3:$C$5,3,FALSE),0)</f>
        <v>1.7</v>
      </c>
      <c r="O1449">
        <f>IFERROR(VLOOKUP(E1449,[1]Parameters!$A$3:$C$5,3,FALSE),0)</f>
        <v>0</v>
      </c>
      <c r="P1449">
        <f>IFERROR(VLOOKUP(F1449,[1]Parameters!$A$3:$C$5,3,FALSE),0)</f>
        <v>0</v>
      </c>
      <c r="Q1449">
        <f t="shared" si="22"/>
        <v>1.7</v>
      </c>
      <c r="R1449" s="10">
        <f>IF('[1]Pizza Sales Calculations'!$G1449=TRUE, [1]Parameters!$B$17*'[1]Pizza Sales Calculations'!$L1449*2, 0)</f>
        <v>0</v>
      </c>
      <c r="S1449" t="str">
        <f>IF(I1449&lt;[1]Parameters!$B$21,"TRUE","FALSE")</f>
        <v>TRUE</v>
      </c>
      <c r="T1449" s="5">
        <f>(I1449/[1]Parameters!$B$25)*60</f>
        <v>0</v>
      </c>
      <c r="U1449" s="10">
        <f>IF(AND('[1]Pizza Sales Calculations'!G1449=TRUE,'[1]Pizza Sales Calculations'!S1449="TRUE"),T1449*[1]Parameters!$B$40*2,0)</f>
        <v>0</v>
      </c>
      <c r="V1449">
        <f>INDEX([1]Parameters!$A$3:$C$5,MATCH('[1]Pizza Sales Calculations'!D1449,[1]Parameters!$A$3:$A$5,0),2)</f>
        <v>10</v>
      </c>
      <c r="W1449" t="e">
        <f>INDEX([1]Parameters!$A$3:$C$5,MATCH('[1]Pizza Sales Calculations'!E1449,[1]Parameters!$A$3:$A$5,0),2)</f>
        <v>#N/A</v>
      </c>
      <c r="X1449" t="e">
        <f>INDEX([1]Parameters!$A$3:$C$5,MATCH('[1]Pizza Sales Calculations'!F1449,[1]Parameters!$A$3:$A$5,0),2)</f>
        <v>#N/A</v>
      </c>
    </row>
    <row r="1450" spans="1:24" x14ac:dyDescent="0.3">
      <c r="A1450">
        <v>1449</v>
      </c>
      <c r="B1450" s="14">
        <v>42384.486238425925</v>
      </c>
      <c r="C1450" s="14">
        <v>42384.496666666666</v>
      </c>
      <c r="D1450" t="s">
        <v>4</v>
      </c>
      <c r="G1450" t="b">
        <v>0</v>
      </c>
      <c r="H1450">
        <v>70806</v>
      </c>
      <c r="I1450" s="5">
        <v>0</v>
      </c>
      <c r="J1450" s="14">
        <v>42384.498749999999</v>
      </c>
      <c r="K1450">
        <v>11.59</v>
      </c>
      <c r="L1450" s="5">
        <f>('[1]Pizza Sales Calculations'!$J1450-'[1]Pizza Sales Calculations'!$C1450)*24*60</f>
        <v>2.9999999993015081</v>
      </c>
      <c r="M1450">
        <f>COUNTA('[1]Pizza Sales Calculations'!$D1450:$F1450)</f>
        <v>1</v>
      </c>
      <c r="N1450">
        <f>IFERROR(VLOOKUP(D1450,[1]Parameters!$A$3:$C$5,3,FALSE),0)</f>
        <v>1.7</v>
      </c>
      <c r="O1450">
        <f>IFERROR(VLOOKUP(E1450,[1]Parameters!$A$3:$C$5,3,FALSE),0)</f>
        <v>0</v>
      </c>
      <c r="P1450">
        <f>IFERROR(VLOOKUP(F1450,[1]Parameters!$A$3:$C$5,3,FALSE),0)</f>
        <v>0</v>
      </c>
      <c r="Q1450">
        <f t="shared" si="22"/>
        <v>1.7</v>
      </c>
      <c r="R1450" s="10">
        <f>IF('[1]Pizza Sales Calculations'!$G1450=TRUE, [1]Parameters!$B$17*'[1]Pizza Sales Calculations'!$L1450*2, 0)</f>
        <v>0</v>
      </c>
      <c r="S1450" t="str">
        <f>IF(I1450&lt;[1]Parameters!$B$21,"TRUE","FALSE")</f>
        <v>TRUE</v>
      </c>
      <c r="T1450" s="5">
        <f>(I1450/[1]Parameters!$B$25)*60</f>
        <v>0</v>
      </c>
      <c r="U1450" s="10">
        <f>IF(AND('[1]Pizza Sales Calculations'!G1450=TRUE,'[1]Pizza Sales Calculations'!S1450="TRUE"),T1450*[1]Parameters!$B$40*2,0)</f>
        <v>0</v>
      </c>
      <c r="V1450">
        <f>INDEX([1]Parameters!$A$3:$C$5,MATCH('[1]Pizza Sales Calculations'!D1450,[1]Parameters!$A$3:$A$5,0),2)</f>
        <v>10</v>
      </c>
      <c r="W1450" t="e">
        <f>INDEX([1]Parameters!$A$3:$C$5,MATCH('[1]Pizza Sales Calculations'!E1450,[1]Parameters!$A$3:$A$5,0),2)</f>
        <v>#N/A</v>
      </c>
      <c r="X1450" t="e">
        <f>INDEX([1]Parameters!$A$3:$C$5,MATCH('[1]Pizza Sales Calculations'!F1450,[1]Parameters!$A$3:$A$5,0),2)</f>
        <v>#N/A</v>
      </c>
    </row>
    <row r="1451" spans="1:24" x14ac:dyDescent="0.3">
      <c r="A1451">
        <v>1450</v>
      </c>
      <c r="B1451" s="14">
        <v>42384.521921296298</v>
      </c>
      <c r="C1451" s="14">
        <v>42384.532337962963</v>
      </c>
      <c r="D1451" t="s">
        <v>3</v>
      </c>
      <c r="G1451" t="b">
        <v>1</v>
      </c>
      <c r="H1451">
        <v>70804</v>
      </c>
      <c r="I1451" s="5">
        <v>2.2557557448441199</v>
      </c>
      <c r="J1451" s="14">
        <v>42384.540162037039</v>
      </c>
      <c r="K1451">
        <v>7.99</v>
      </c>
      <c r="L1451" s="5">
        <f>('[1]Pizza Sales Calculations'!$J1451-'[1]Pizza Sales Calculations'!$C1451)*24*60</f>
        <v>11.266666670562699</v>
      </c>
      <c r="M1451">
        <f>COUNTA('[1]Pizza Sales Calculations'!$D1451:$F1451)</f>
        <v>1</v>
      </c>
      <c r="N1451">
        <f>IFERROR(VLOOKUP(D1451,[1]Parameters!$A$3:$C$5,3,FALSE),0)</f>
        <v>1</v>
      </c>
      <c r="O1451">
        <f>IFERROR(VLOOKUP(E1451,[1]Parameters!$A$3:$C$5,3,FALSE),0)</f>
        <v>0</v>
      </c>
      <c r="P1451">
        <f>IFERROR(VLOOKUP(F1451,[1]Parameters!$A$3:$C$5,3,FALSE),0)</f>
        <v>0</v>
      </c>
      <c r="Q1451">
        <f t="shared" si="22"/>
        <v>1</v>
      </c>
      <c r="R1451" s="10">
        <f>IF('[1]Pizza Sales Calculations'!$G1451=TRUE, [1]Parameters!$B$17*'[1]Pizza Sales Calculations'!$L1451*2, 0)</f>
        <v>3.1922222233260982</v>
      </c>
      <c r="S1451" t="str">
        <f>IF(I1451&lt;[1]Parameters!$B$21,"TRUE","FALSE")</f>
        <v>TRUE</v>
      </c>
      <c r="T1451" s="5">
        <f>(I1451/[1]Parameters!$B$25)*60</f>
        <v>4.5115114896882398</v>
      </c>
      <c r="U1451" s="10">
        <f>IF(AND('[1]Pizza Sales Calculations'!G1451=TRUE,'[1]Pizza Sales Calculations'!S1451="TRUE"),T1451*[1]Parameters!$B$40*2,0)</f>
        <v>0.28162040392379128</v>
      </c>
      <c r="V1451">
        <f>INDEX([1]Parameters!$A$3:$C$5,MATCH('[1]Pizza Sales Calculations'!D1451,[1]Parameters!$A$3:$A$5,0),2)</f>
        <v>7</v>
      </c>
      <c r="W1451" t="e">
        <f>INDEX([1]Parameters!$A$3:$C$5,MATCH('[1]Pizza Sales Calculations'!E1451,[1]Parameters!$A$3:$A$5,0),2)</f>
        <v>#N/A</v>
      </c>
      <c r="X1451" t="e">
        <f>INDEX([1]Parameters!$A$3:$C$5,MATCH('[1]Pizza Sales Calculations'!F1451,[1]Parameters!$A$3:$A$5,0),2)</f>
        <v>#N/A</v>
      </c>
    </row>
    <row r="1452" spans="1:24" x14ac:dyDescent="0.3">
      <c r="A1452">
        <v>1451</v>
      </c>
      <c r="B1452" s="14">
        <v>42384.471226851849</v>
      </c>
      <c r="C1452" s="14">
        <v>42384.481631944444</v>
      </c>
      <c r="D1452" t="s">
        <v>4</v>
      </c>
      <c r="G1452" t="b">
        <v>1</v>
      </c>
      <c r="H1452">
        <v>70805</v>
      </c>
      <c r="I1452" s="5">
        <v>4.3980134060995804</v>
      </c>
      <c r="J1452" s="14">
        <v>42384.496898148151</v>
      </c>
      <c r="K1452">
        <v>11.59</v>
      </c>
      <c r="L1452" s="5">
        <f>('[1]Pizza Sales Calculations'!$J1452-'[1]Pizza Sales Calculations'!$C1452)*24*60</f>
        <v>21.983333338284865</v>
      </c>
      <c r="M1452">
        <f>COUNTA('[1]Pizza Sales Calculations'!$D1452:$F1452)</f>
        <v>1</v>
      </c>
      <c r="N1452">
        <f>IFERROR(VLOOKUP(D1452,[1]Parameters!$A$3:$C$5,3,FALSE),0)</f>
        <v>1.7</v>
      </c>
      <c r="O1452">
        <f>IFERROR(VLOOKUP(E1452,[1]Parameters!$A$3:$C$5,3,FALSE),0)</f>
        <v>0</v>
      </c>
      <c r="P1452">
        <f>IFERROR(VLOOKUP(F1452,[1]Parameters!$A$3:$C$5,3,FALSE),0)</f>
        <v>0</v>
      </c>
      <c r="Q1452">
        <f t="shared" si="22"/>
        <v>1.7</v>
      </c>
      <c r="R1452" s="10">
        <f>IF('[1]Pizza Sales Calculations'!$G1452=TRUE, [1]Parameters!$B$17*'[1]Pizza Sales Calculations'!$L1452*2, 0)</f>
        <v>6.2286111125140451</v>
      </c>
      <c r="S1452" t="str">
        <f>IF(I1452&lt;[1]Parameters!$B$21,"TRUE","FALSE")</f>
        <v>FALSE</v>
      </c>
      <c r="T1452" s="5">
        <f>(I1452/[1]Parameters!$B$25)*60</f>
        <v>8.7960268121991607</v>
      </c>
      <c r="U1452" s="10">
        <f>IF(AND('[1]Pizza Sales Calculations'!G1452=TRUE,'[1]Pizza Sales Calculations'!S1452="TRUE"),T1452*[1]Parameters!$B$40*2,0)</f>
        <v>0</v>
      </c>
      <c r="V1452">
        <f>INDEX([1]Parameters!$A$3:$C$5,MATCH('[1]Pizza Sales Calculations'!D1452,[1]Parameters!$A$3:$A$5,0),2)</f>
        <v>10</v>
      </c>
      <c r="W1452" t="e">
        <f>INDEX([1]Parameters!$A$3:$C$5,MATCH('[1]Pizza Sales Calculations'!E1452,[1]Parameters!$A$3:$A$5,0),2)</f>
        <v>#N/A</v>
      </c>
      <c r="X1452" t="e">
        <f>INDEX([1]Parameters!$A$3:$C$5,MATCH('[1]Pizza Sales Calculations'!F1452,[1]Parameters!$A$3:$A$5,0),2)</f>
        <v>#N/A</v>
      </c>
    </row>
    <row r="1453" spans="1:24" x14ac:dyDescent="0.3">
      <c r="A1453">
        <v>1452</v>
      </c>
      <c r="B1453" s="14">
        <v>42384.492696759262</v>
      </c>
      <c r="C1453" s="14">
        <v>42384.503125000003</v>
      </c>
      <c r="D1453" t="s">
        <v>3</v>
      </c>
      <c r="E1453" t="s">
        <v>4</v>
      </c>
      <c r="G1453" t="b">
        <v>1</v>
      </c>
      <c r="H1453">
        <v>70804</v>
      </c>
      <c r="I1453" s="5">
        <v>2.9777260476284999</v>
      </c>
      <c r="J1453" s="14">
        <v>42384.513460648152</v>
      </c>
      <c r="K1453">
        <v>19.579999999999998</v>
      </c>
      <c r="L1453" s="5">
        <f>('[1]Pizza Sales Calculations'!$J1453-'[1]Pizza Sales Calculations'!$C1453)*24*60</f>
        <v>14.883333334000781</v>
      </c>
      <c r="M1453">
        <f>COUNTA('[1]Pizza Sales Calculations'!$D1453:$F1453)</f>
        <v>2</v>
      </c>
      <c r="N1453">
        <f>IFERROR(VLOOKUP(D1453,[1]Parameters!$A$3:$C$5,3,FALSE),0)</f>
        <v>1</v>
      </c>
      <c r="O1453">
        <f>IFERROR(VLOOKUP(E1453,[1]Parameters!$A$3:$C$5,3,FALSE),0)</f>
        <v>1.7</v>
      </c>
      <c r="P1453">
        <f>IFERROR(VLOOKUP(F1453,[1]Parameters!$A$3:$C$5,3,FALSE),0)</f>
        <v>0</v>
      </c>
      <c r="Q1453">
        <f t="shared" si="22"/>
        <v>2.7</v>
      </c>
      <c r="R1453" s="10">
        <f>IF('[1]Pizza Sales Calculations'!$G1453=TRUE, [1]Parameters!$B$17*'[1]Pizza Sales Calculations'!$L1453*2, 0)</f>
        <v>4.2169444446335547</v>
      </c>
      <c r="S1453" t="str">
        <f>IF(I1453&lt;[1]Parameters!$B$21,"TRUE","FALSE")</f>
        <v>TRUE</v>
      </c>
      <c r="T1453" s="5">
        <f>(I1453/[1]Parameters!$B$25)*60</f>
        <v>5.9554520952569998</v>
      </c>
      <c r="U1453" s="10">
        <f>IF(AND('[1]Pizza Sales Calculations'!G1453=TRUE,'[1]Pizza Sales Calculations'!S1453="TRUE"),T1453*[1]Parameters!$B$40*2,0)</f>
        <v>0.37175497135461444</v>
      </c>
      <c r="V1453">
        <f>INDEX([1]Parameters!$A$3:$C$5,MATCH('[1]Pizza Sales Calculations'!D1453,[1]Parameters!$A$3:$A$5,0),2)</f>
        <v>7</v>
      </c>
      <c r="W1453">
        <f>INDEX([1]Parameters!$A$3:$C$5,MATCH('[1]Pizza Sales Calculations'!E1453,[1]Parameters!$A$3:$A$5,0),2)</f>
        <v>10</v>
      </c>
      <c r="X1453" t="e">
        <f>INDEX([1]Parameters!$A$3:$C$5,MATCH('[1]Pizza Sales Calculations'!F1453,[1]Parameters!$A$3:$A$5,0),2)</f>
        <v>#N/A</v>
      </c>
    </row>
    <row r="1454" spans="1:24" x14ac:dyDescent="0.3">
      <c r="A1454">
        <v>1453</v>
      </c>
      <c r="B1454" s="14">
        <v>42384.500833333332</v>
      </c>
      <c r="C1454" s="14">
        <v>42384.511238425926</v>
      </c>
      <c r="D1454" t="s">
        <v>5</v>
      </c>
      <c r="G1454" t="b">
        <v>1</v>
      </c>
      <c r="H1454">
        <v>70806</v>
      </c>
      <c r="I1454" s="5">
        <v>5.6788347040169702</v>
      </c>
      <c r="J1454" s="14">
        <v>42384.530949074076</v>
      </c>
      <c r="K1454">
        <v>15.35</v>
      </c>
      <c r="L1454" s="5">
        <f>('[1]Pizza Sales Calculations'!$J1454-'[1]Pizza Sales Calculations'!$C1454)*24*60</f>
        <v>28.383333336096257</v>
      </c>
      <c r="M1454">
        <f>COUNTA('[1]Pizza Sales Calculations'!$D1454:$F1454)</f>
        <v>1</v>
      </c>
      <c r="N1454">
        <f>IFERROR(VLOOKUP(D1454,[1]Parameters!$A$3:$C$5,3,FALSE),0)</f>
        <v>2.2999999999999998</v>
      </c>
      <c r="O1454">
        <f>IFERROR(VLOOKUP(E1454,[1]Parameters!$A$3:$C$5,3,FALSE),0)</f>
        <v>0</v>
      </c>
      <c r="P1454">
        <f>IFERROR(VLOOKUP(F1454,[1]Parameters!$A$3:$C$5,3,FALSE),0)</f>
        <v>0</v>
      </c>
      <c r="Q1454">
        <f t="shared" si="22"/>
        <v>2.2999999999999998</v>
      </c>
      <c r="R1454" s="10">
        <f>IF('[1]Pizza Sales Calculations'!$G1454=TRUE, [1]Parameters!$B$17*'[1]Pizza Sales Calculations'!$L1454*2, 0)</f>
        <v>8.0419444452272728</v>
      </c>
      <c r="S1454" t="str">
        <f>IF(I1454&lt;[1]Parameters!$B$21,"TRUE","FALSE")</f>
        <v>FALSE</v>
      </c>
      <c r="T1454" s="5">
        <f>(I1454/[1]Parameters!$B$25)*60</f>
        <v>11.35766940803394</v>
      </c>
      <c r="U1454" s="10">
        <f>IF(AND('[1]Pizza Sales Calculations'!G1454=TRUE,'[1]Pizza Sales Calculations'!S1454="TRUE"),T1454*[1]Parameters!$B$40*2,0)</f>
        <v>0</v>
      </c>
      <c r="V1454">
        <f>INDEX([1]Parameters!$A$3:$C$5,MATCH('[1]Pizza Sales Calculations'!D1454,[1]Parameters!$A$3:$A$5,0),2)</f>
        <v>14</v>
      </c>
      <c r="W1454" t="e">
        <f>INDEX([1]Parameters!$A$3:$C$5,MATCH('[1]Pizza Sales Calculations'!E1454,[1]Parameters!$A$3:$A$5,0),2)</f>
        <v>#N/A</v>
      </c>
      <c r="X1454" t="e">
        <f>INDEX([1]Parameters!$A$3:$C$5,MATCH('[1]Pizza Sales Calculations'!F1454,[1]Parameters!$A$3:$A$5,0),2)</f>
        <v>#N/A</v>
      </c>
    </row>
    <row r="1455" spans="1:24" x14ac:dyDescent="0.3">
      <c r="A1455">
        <v>1454</v>
      </c>
      <c r="B1455" s="14">
        <v>42384.420069444444</v>
      </c>
      <c r="C1455" s="14">
        <v>42384.430486111109</v>
      </c>
      <c r="D1455" t="s">
        <v>3</v>
      </c>
      <c r="G1455" t="b">
        <v>1</v>
      </c>
      <c r="H1455">
        <v>70805</v>
      </c>
      <c r="I1455" s="5">
        <v>1.5187440581186999</v>
      </c>
      <c r="J1455" s="14">
        <v>42384.435752314814</v>
      </c>
      <c r="K1455">
        <v>7.99</v>
      </c>
      <c r="L1455" s="5">
        <f>('[1]Pizza Sales Calculations'!$J1455-'[1]Pizza Sales Calculations'!$C1455)*24*60</f>
        <v>7.5833333353511989</v>
      </c>
      <c r="M1455">
        <f>COUNTA('[1]Pizza Sales Calculations'!$D1455:$F1455)</f>
        <v>1</v>
      </c>
      <c r="N1455">
        <f>IFERROR(VLOOKUP(D1455,[1]Parameters!$A$3:$C$5,3,FALSE),0)</f>
        <v>1</v>
      </c>
      <c r="O1455">
        <f>IFERROR(VLOOKUP(E1455,[1]Parameters!$A$3:$C$5,3,FALSE),0)</f>
        <v>0</v>
      </c>
      <c r="P1455">
        <f>IFERROR(VLOOKUP(F1455,[1]Parameters!$A$3:$C$5,3,FALSE),0)</f>
        <v>0</v>
      </c>
      <c r="Q1455">
        <f t="shared" si="22"/>
        <v>1</v>
      </c>
      <c r="R1455" s="10">
        <f>IF('[1]Pizza Sales Calculations'!$G1455=TRUE, [1]Parameters!$B$17*'[1]Pizza Sales Calculations'!$L1455*2, 0)</f>
        <v>2.1486111116828397</v>
      </c>
      <c r="S1455" t="str">
        <f>IF(I1455&lt;[1]Parameters!$B$21,"TRUE","FALSE")</f>
        <v>TRUE</v>
      </c>
      <c r="T1455" s="5">
        <f>(I1455/[1]Parameters!$B$25)*60</f>
        <v>3.0374881162373999</v>
      </c>
      <c r="U1455" s="10">
        <f>IF(AND('[1]Pizza Sales Calculations'!G1455=TRUE,'[1]Pizza Sales Calculations'!S1455="TRUE"),T1455*[1]Parameters!$B$40*2,0)</f>
        <v>0.18960799106101905</v>
      </c>
      <c r="V1455">
        <f>INDEX([1]Parameters!$A$3:$C$5,MATCH('[1]Pizza Sales Calculations'!D1455,[1]Parameters!$A$3:$A$5,0),2)</f>
        <v>7</v>
      </c>
      <c r="W1455" t="e">
        <f>INDEX([1]Parameters!$A$3:$C$5,MATCH('[1]Pizza Sales Calculations'!E1455,[1]Parameters!$A$3:$A$5,0),2)</f>
        <v>#N/A</v>
      </c>
      <c r="X1455" t="e">
        <f>INDEX([1]Parameters!$A$3:$C$5,MATCH('[1]Pizza Sales Calculations'!F1455,[1]Parameters!$A$3:$A$5,0),2)</f>
        <v>#N/A</v>
      </c>
    </row>
    <row r="1456" spans="1:24" x14ac:dyDescent="0.3">
      <c r="A1456">
        <v>1455</v>
      </c>
      <c r="B1456" s="14">
        <v>42384.467627314814</v>
      </c>
      <c r="C1456" s="14">
        <v>42384.478020833332</v>
      </c>
      <c r="D1456" t="s">
        <v>5</v>
      </c>
      <c r="G1456" t="b">
        <v>0</v>
      </c>
      <c r="H1456">
        <v>70803</v>
      </c>
      <c r="I1456" s="5">
        <v>0</v>
      </c>
      <c r="J1456" s="14">
        <v>42384.480115740742</v>
      </c>
      <c r="K1456">
        <v>15.35</v>
      </c>
      <c r="L1456" s="5">
        <f>('[1]Pizza Sales Calculations'!$J1456-'[1]Pizza Sales Calculations'!$C1456)*24*60</f>
        <v>3.0166666698642075</v>
      </c>
      <c r="M1456">
        <f>COUNTA('[1]Pizza Sales Calculations'!$D1456:$F1456)</f>
        <v>1</v>
      </c>
      <c r="N1456">
        <f>IFERROR(VLOOKUP(D1456,[1]Parameters!$A$3:$C$5,3,FALSE),0)</f>
        <v>2.2999999999999998</v>
      </c>
      <c r="O1456">
        <f>IFERROR(VLOOKUP(E1456,[1]Parameters!$A$3:$C$5,3,FALSE),0)</f>
        <v>0</v>
      </c>
      <c r="P1456">
        <f>IFERROR(VLOOKUP(F1456,[1]Parameters!$A$3:$C$5,3,FALSE),0)</f>
        <v>0</v>
      </c>
      <c r="Q1456">
        <f t="shared" si="22"/>
        <v>2.2999999999999998</v>
      </c>
      <c r="R1456" s="10">
        <f>IF('[1]Pizza Sales Calculations'!$G1456=TRUE, [1]Parameters!$B$17*'[1]Pizza Sales Calculations'!$L1456*2, 0)</f>
        <v>0</v>
      </c>
      <c r="S1456" t="str">
        <f>IF(I1456&lt;[1]Parameters!$B$21,"TRUE","FALSE")</f>
        <v>TRUE</v>
      </c>
      <c r="T1456" s="5">
        <f>(I1456/[1]Parameters!$B$25)*60</f>
        <v>0</v>
      </c>
      <c r="U1456" s="10">
        <f>IF(AND('[1]Pizza Sales Calculations'!G1456=TRUE,'[1]Pizza Sales Calculations'!S1456="TRUE"),T1456*[1]Parameters!$B$40*2,0)</f>
        <v>0</v>
      </c>
      <c r="V1456">
        <f>INDEX([1]Parameters!$A$3:$C$5,MATCH('[1]Pizza Sales Calculations'!D1456,[1]Parameters!$A$3:$A$5,0),2)</f>
        <v>14</v>
      </c>
      <c r="W1456" t="e">
        <f>INDEX([1]Parameters!$A$3:$C$5,MATCH('[1]Pizza Sales Calculations'!E1456,[1]Parameters!$A$3:$A$5,0),2)</f>
        <v>#N/A</v>
      </c>
      <c r="X1456" t="e">
        <f>INDEX([1]Parameters!$A$3:$C$5,MATCH('[1]Pizza Sales Calculations'!F1456,[1]Parameters!$A$3:$A$5,0),2)</f>
        <v>#N/A</v>
      </c>
    </row>
    <row r="1457" spans="1:24" x14ac:dyDescent="0.3">
      <c r="A1457">
        <v>1456</v>
      </c>
      <c r="B1457" s="14">
        <v>42384.431006944447</v>
      </c>
      <c r="C1457" s="14">
        <v>42384.441435185188</v>
      </c>
      <c r="D1457" t="s">
        <v>3</v>
      </c>
      <c r="G1457" t="b">
        <v>1</v>
      </c>
      <c r="H1457">
        <v>70806</v>
      </c>
      <c r="I1457" s="5">
        <v>4.4564730466691298</v>
      </c>
      <c r="J1457" s="14">
        <v>42384.45689814815</v>
      </c>
      <c r="K1457">
        <v>7.99</v>
      </c>
      <c r="L1457" s="5">
        <f>('[1]Pizza Sales Calculations'!$J1457-'[1]Pizza Sales Calculations'!$C1457)*24*60</f>
        <v>22.266666664509103</v>
      </c>
      <c r="M1457">
        <f>COUNTA('[1]Pizza Sales Calculations'!$D1457:$F1457)</f>
        <v>1</v>
      </c>
      <c r="N1457">
        <f>IFERROR(VLOOKUP(D1457,[1]Parameters!$A$3:$C$5,3,FALSE),0)</f>
        <v>1</v>
      </c>
      <c r="O1457">
        <f>IFERROR(VLOOKUP(E1457,[1]Parameters!$A$3:$C$5,3,FALSE),0)</f>
        <v>0</v>
      </c>
      <c r="P1457">
        <f>IFERROR(VLOOKUP(F1457,[1]Parameters!$A$3:$C$5,3,FALSE),0)</f>
        <v>0</v>
      </c>
      <c r="Q1457">
        <f t="shared" si="22"/>
        <v>1</v>
      </c>
      <c r="R1457" s="10">
        <f>IF('[1]Pizza Sales Calculations'!$G1457=TRUE, [1]Parameters!$B$17*'[1]Pizza Sales Calculations'!$L1457*2, 0)</f>
        <v>6.3088888882775791</v>
      </c>
      <c r="S1457" t="str">
        <f>IF(I1457&lt;[1]Parameters!$B$21,"TRUE","FALSE")</f>
        <v>FALSE</v>
      </c>
      <c r="T1457" s="5">
        <f>(I1457/[1]Parameters!$B$25)*60</f>
        <v>8.9129460933382596</v>
      </c>
      <c r="U1457" s="10">
        <f>IF(AND('[1]Pizza Sales Calculations'!G1457=TRUE,'[1]Pizza Sales Calculations'!S1457="TRUE"),T1457*[1]Parameters!$B$40*2,0)</f>
        <v>0</v>
      </c>
      <c r="V1457">
        <f>INDEX([1]Parameters!$A$3:$C$5,MATCH('[1]Pizza Sales Calculations'!D1457,[1]Parameters!$A$3:$A$5,0),2)</f>
        <v>7</v>
      </c>
      <c r="W1457" t="e">
        <f>INDEX([1]Parameters!$A$3:$C$5,MATCH('[1]Pizza Sales Calculations'!E1457,[1]Parameters!$A$3:$A$5,0),2)</f>
        <v>#N/A</v>
      </c>
      <c r="X1457" t="e">
        <f>INDEX([1]Parameters!$A$3:$C$5,MATCH('[1]Pizza Sales Calculations'!F1457,[1]Parameters!$A$3:$A$5,0),2)</f>
        <v>#N/A</v>
      </c>
    </row>
    <row r="1458" spans="1:24" x14ac:dyDescent="0.3">
      <c r="A1458">
        <v>1457</v>
      </c>
      <c r="B1458" s="14">
        <v>42384.52306712963</v>
      </c>
      <c r="C1458" s="14">
        <v>42384.533495370371</v>
      </c>
      <c r="D1458" t="s">
        <v>5</v>
      </c>
      <c r="G1458" t="b">
        <v>0</v>
      </c>
      <c r="H1458">
        <v>70807</v>
      </c>
      <c r="I1458" s="5">
        <v>0</v>
      </c>
      <c r="J1458" s="14">
        <v>42384.535567129627</v>
      </c>
      <c r="K1458">
        <v>15.35</v>
      </c>
      <c r="L1458" s="5">
        <f>('[1]Pizza Sales Calculations'!$J1458-'[1]Pizza Sales Calculations'!$C1458)*24*60</f>
        <v>2.9833333287388086</v>
      </c>
      <c r="M1458">
        <f>COUNTA('[1]Pizza Sales Calculations'!$D1458:$F1458)</f>
        <v>1</v>
      </c>
      <c r="N1458">
        <f>IFERROR(VLOOKUP(D1458,[1]Parameters!$A$3:$C$5,3,FALSE),0)</f>
        <v>2.2999999999999998</v>
      </c>
      <c r="O1458">
        <f>IFERROR(VLOOKUP(E1458,[1]Parameters!$A$3:$C$5,3,FALSE),0)</f>
        <v>0</v>
      </c>
      <c r="P1458">
        <f>IFERROR(VLOOKUP(F1458,[1]Parameters!$A$3:$C$5,3,FALSE),0)</f>
        <v>0</v>
      </c>
      <c r="Q1458">
        <f t="shared" si="22"/>
        <v>2.2999999999999998</v>
      </c>
      <c r="R1458" s="10">
        <f>IF('[1]Pizza Sales Calculations'!$G1458=TRUE, [1]Parameters!$B$17*'[1]Pizza Sales Calculations'!$L1458*2, 0)</f>
        <v>0</v>
      </c>
      <c r="S1458" t="str">
        <f>IF(I1458&lt;[1]Parameters!$B$21,"TRUE","FALSE")</f>
        <v>TRUE</v>
      </c>
      <c r="T1458" s="5">
        <f>(I1458/[1]Parameters!$B$25)*60</f>
        <v>0</v>
      </c>
      <c r="U1458" s="10">
        <f>IF(AND('[1]Pizza Sales Calculations'!G1458=TRUE,'[1]Pizza Sales Calculations'!S1458="TRUE"),T1458*[1]Parameters!$B$40*2,0)</f>
        <v>0</v>
      </c>
      <c r="V1458">
        <f>INDEX([1]Parameters!$A$3:$C$5,MATCH('[1]Pizza Sales Calculations'!D1458,[1]Parameters!$A$3:$A$5,0),2)</f>
        <v>14</v>
      </c>
      <c r="W1458" t="e">
        <f>INDEX([1]Parameters!$A$3:$C$5,MATCH('[1]Pizza Sales Calculations'!E1458,[1]Parameters!$A$3:$A$5,0),2)</f>
        <v>#N/A</v>
      </c>
      <c r="X1458" t="e">
        <f>INDEX([1]Parameters!$A$3:$C$5,MATCH('[1]Pizza Sales Calculations'!F1458,[1]Parameters!$A$3:$A$5,0),2)</f>
        <v>#N/A</v>
      </c>
    </row>
    <row r="1459" spans="1:24" x14ac:dyDescent="0.3">
      <c r="A1459">
        <v>1458</v>
      </c>
      <c r="B1459" s="14">
        <v>42384.502164351848</v>
      </c>
      <c r="C1459" s="14">
        <v>42384.51258101852</v>
      </c>
      <c r="D1459" t="s">
        <v>4</v>
      </c>
      <c r="G1459" t="b">
        <v>1</v>
      </c>
      <c r="H1459">
        <v>70803</v>
      </c>
      <c r="I1459" s="5">
        <v>4.0107425739059197</v>
      </c>
      <c r="J1459" s="14">
        <v>42384.526504629626</v>
      </c>
      <c r="K1459">
        <v>11.59</v>
      </c>
      <c r="L1459" s="5">
        <f>('[1]Pizza Sales Calculations'!$J1459-'[1]Pizza Sales Calculations'!$C1459)*24*60</f>
        <v>20.049999993061647</v>
      </c>
      <c r="M1459">
        <f>COUNTA('[1]Pizza Sales Calculations'!$D1459:$F1459)</f>
        <v>1</v>
      </c>
      <c r="N1459">
        <f>IFERROR(VLOOKUP(D1459,[1]Parameters!$A$3:$C$5,3,FALSE),0)</f>
        <v>1.7</v>
      </c>
      <c r="O1459">
        <f>IFERROR(VLOOKUP(E1459,[1]Parameters!$A$3:$C$5,3,FALSE),0)</f>
        <v>0</v>
      </c>
      <c r="P1459">
        <f>IFERROR(VLOOKUP(F1459,[1]Parameters!$A$3:$C$5,3,FALSE),0)</f>
        <v>0</v>
      </c>
      <c r="Q1459">
        <f t="shared" si="22"/>
        <v>1.7</v>
      </c>
      <c r="R1459" s="10">
        <f>IF('[1]Pizza Sales Calculations'!$G1459=TRUE, [1]Parameters!$B$17*'[1]Pizza Sales Calculations'!$L1459*2, 0)</f>
        <v>5.6808333313674666</v>
      </c>
      <c r="S1459" t="str">
        <f>IF(I1459&lt;[1]Parameters!$B$21,"TRUE","FALSE")</f>
        <v>FALSE</v>
      </c>
      <c r="T1459" s="5">
        <f>(I1459/[1]Parameters!$B$25)*60</f>
        <v>8.0214851478118394</v>
      </c>
      <c r="U1459" s="10">
        <f>IF(AND('[1]Pizza Sales Calculations'!G1459=TRUE,'[1]Pizza Sales Calculations'!S1459="TRUE"),T1459*[1]Parameters!$B$40*2,0)</f>
        <v>0</v>
      </c>
      <c r="V1459">
        <f>INDEX([1]Parameters!$A$3:$C$5,MATCH('[1]Pizza Sales Calculations'!D1459,[1]Parameters!$A$3:$A$5,0),2)</f>
        <v>10</v>
      </c>
      <c r="W1459" t="e">
        <f>INDEX([1]Parameters!$A$3:$C$5,MATCH('[1]Pizza Sales Calculations'!E1459,[1]Parameters!$A$3:$A$5,0),2)</f>
        <v>#N/A</v>
      </c>
      <c r="X1459" t="e">
        <f>INDEX([1]Parameters!$A$3:$C$5,MATCH('[1]Pizza Sales Calculations'!F1459,[1]Parameters!$A$3:$A$5,0),2)</f>
        <v>#N/A</v>
      </c>
    </row>
    <row r="1460" spans="1:24" x14ac:dyDescent="0.3">
      <c r="A1460">
        <v>1459</v>
      </c>
      <c r="B1460" s="14">
        <v>42384.495324074072</v>
      </c>
      <c r="C1460" s="14">
        <v>42384.505752314813</v>
      </c>
      <c r="D1460" t="s">
        <v>5</v>
      </c>
      <c r="G1460" t="b">
        <v>1</v>
      </c>
      <c r="H1460">
        <v>70804</v>
      </c>
      <c r="I1460" s="5">
        <v>3.8648232711881199</v>
      </c>
      <c r="J1460" s="14">
        <v>42384.519166666665</v>
      </c>
      <c r="K1460">
        <v>15.35</v>
      </c>
      <c r="L1460" s="5">
        <f>('[1]Pizza Sales Calculations'!$J1460-'[1]Pizza Sales Calculations'!$C1460)*24*60</f>
        <v>19.316666666418314</v>
      </c>
      <c r="M1460">
        <f>COUNTA('[1]Pizza Sales Calculations'!$D1460:$F1460)</f>
        <v>1</v>
      </c>
      <c r="N1460">
        <f>IFERROR(VLOOKUP(D1460,[1]Parameters!$A$3:$C$5,3,FALSE),0)</f>
        <v>2.2999999999999998</v>
      </c>
      <c r="O1460">
        <f>IFERROR(VLOOKUP(E1460,[1]Parameters!$A$3:$C$5,3,FALSE),0)</f>
        <v>0</v>
      </c>
      <c r="P1460">
        <f>IFERROR(VLOOKUP(F1460,[1]Parameters!$A$3:$C$5,3,FALSE),0)</f>
        <v>0</v>
      </c>
      <c r="Q1460">
        <f t="shared" si="22"/>
        <v>2.2999999999999998</v>
      </c>
      <c r="R1460" s="10">
        <f>IF('[1]Pizza Sales Calculations'!$G1460=TRUE, [1]Parameters!$B$17*'[1]Pizza Sales Calculations'!$L1460*2, 0)</f>
        <v>5.473055555485189</v>
      </c>
      <c r="S1460" t="str">
        <f>IF(I1460&lt;[1]Parameters!$B$21,"TRUE","FALSE")</f>
        <v>FALSE</v>
      </c>
      <c r="T1460" s="5">
        <f>(I1460/[1]Parameters!$B$25)*60</f>
        <v>7.7296465423762397</v>
      </c>
      <c r="U1460" s="10">
        <f>IF(AND('[1]Pizza Sales Calculations'!G1460=TRUE,'[1]Pizza Sales Calculations'!S1460="TRUE"),T1460*[1]Parameters!$B$40*2,0)</f>
        <v>0</v>
      </c>
      <c r="V1460">
        <f>INDEX([1]Parameters!$A$3:$C$5,MATCH('[1]Pizza Sales Calculations'!D1460,[1]Parameters!$A$3:$A$5,0),2)</f>
        <v>14</v>
      </c>
      <c r="W1460" t="e">
        <f>INDEX([1]Parameters!$A$3:$C$5,MATCH('[1]Pizza Sales Calculations'!E1460,[1]Parameters!$A$3:$A$5,0),2)</f>
        <v>#N/A</v>
      </c>
      <c r="X1460" t="e">
        <f>INDEX([1]Parameters!$A$3:$C$5,MATCH('[1]Pizza Sales Calculations'!F1460,[1]Parameters!$A$3:$A$5,0),2)</f>
        <v>#N/A</v>
      </c>
    </row>
    <row r="1461" spans="1:24" x14ac:dyDescent="0.3">
      <c r="A1461">
        <v>1460</v>
      </c>
      <c r="B1461" s="14">
        <v>42384.494525462964</v>
      </c>
      <c r="C1461" s="14">
        <v>42384.504918981482</v>
      </c>
      <c r="D1461" t="s">
        <v>3</v>
      </c>
      <c r="G1461" t="b">
        <v>1</v>
      </c>
      <c r="H1461">
        <v>70805</v>
      </c>
      <c r="I1461" s="5">
        <v>1.4908358283422201</v>
      </c>
      <c r="J1461" s="14">
        <v>42384.510092592594</v>
      </c>
      <c r="K1461">
        <v>7.99</v>
      </c>
      <c r="L1461" s="5">
        <f>('[1]Pizza Sales Calculations'!$J1461-'[1]Pizza Sales Calculations'!$C1461)*24*60</f>
        <v>7.4500000022817403</v>
      </c>
      <c r="M1461">
        <f>COUNTA('[1]Pizza Sales Calculations'!$D1461:$F1461)</f>
        <v>1</v>
      </c>
      <c r="N1461">
        <f>IFERROR(VLOOKUP(D1461,[1]Parameters!$A$3:$C$5,3,FALSE),0)</f>
        <v>1</v>
      </c>
      <c r="O1461">
        <f>IFERROR(VLOOKUP(E1461,[1]Parameters!$A$3:$C$5,3,FALSE),0)</f>
        <v>0</v>
      </c>
      <c r="P1461">
        <f>IFERROR(VLOOKUP(F1461,[1]Parameters!$A$3:$C$5,3,FALSE),0)</f>
        <v>0</v>
      </c>
      <c r="Q1461">
        <f t="shared" si="22"/>
        <v>1</v>
      </c>
      <c r="R1461" s="10">
        <f>IF('[1]Pizza Sales Calculations'!$G1461=TRUE, [1]Parameters!$B$17*'[1]Pizza Sales Calculations'!$L1461*2, 0)</f>
        <v>2.1108333339798264</v>
      </c>
      <c r="S1461" t="str">
        <f>IF(I1461&lt;[1]Parameters!$B$21,"TRUE","FALSE")</f>
        <v>TRUE</v>
      </c>
      <c r="T1461" s="5">
        <f>(I1461/[1]Parameters!$B$25)*60</f>
        <v>2.9816716566844401</v>
      </c>
      <c r="U1461" s="10">
        <f>IF(AND('[1]Pizza Sales Calculations'!G1461=TRUE,'[1]Pizza Sales Calculations'!S1461="TRUE"),T1461*[1]Parameters!$B$40*2,0)</f>
        <v>0.18612378096406398</v>
      </c>
      <c r="V1461">
        <f>INDEX([1]Parameters!$A$3:$C$5,MATCH('[1]Pizza Sales Calculations'!D1461,[1]Parameters!$A$3:$A$5,0),2)</f>
        <v>7</v>
      </c>
      <c r="W1461" t="e">
        <f>INDEX([1]Parameters!$A$3:$C$5,MATCH('[1]Pizza Sales Calculations'!E1461,[1]Parameters!$A$3:$A$5,0),2)</f>
        <v>#N/A</v>
      </c>
      <c r="X1461" t="e">
        <f>INDEX([1]Parameters!$A$3:$C$5,MATCH('[1]Pizza Sales Calculations'!F1461,[1]Parameters!$A$3:$A$5,0),2)</f>
        <v>#N/A</v>
      </c>
    </row>
    <row r="1462" spans="1:24" x14ac:dyDescent="0.3">
      <c r="A1462">
        <v>1461</v>
      </c>
      <c r="B1462" s="14">
        <v>42384.528148148151</v>
      </c>
      <c r="C1462" s="14">
        <v>42384.538576388892</v>
      </c>
      <c r="D1462" t="s">
        <v>5</v>
      </c>
      <c r="G1462" t="b">
        <v>0</v>
      </c>
      <c r="H1462">
        <v>70803</v>
      </c>
      <c r="I1462" s="5">
        <v>0</v>
      </c>
      <c r="J1462" s="14">
        <v>42384.540648148148</v>
      </c>
      <c r="K1462">
        <v>15.35</v>
      </c>
      <c r="L1462" s="5">
        <f>('[1]Pizza Sales Calculations'!$J1462-'[1]Pizza Sales Calculations'!$C1462)*24*60</f>
        <v>2.9833333287388086</v>
      </c>
      <c r="M1462">
        <f>COUNTA('[1]Pizza Sales Calculations'!$D1462:$F1462)</f>
        <v>1</v>
      </c>
      <c r="N1462">
        <f>IFERROR(VLOOKUP(D1462,[1]Parameters!$A$3:$C$5,3,FALSE),0)</f>
        <v>2.2999999999999998</v>
      </c>
      <c r="O1462">
        <f>IFERROR(VLOOKUP(E1462,[1]Parameters!$A$3:$C$5,3,FALSE),0)</f>
        <v>0</v>
      </c>
      <c r="P1462">
        <f>IFERROR(VLOOKUP(F1462,[1]Parameters!$A$3:$C$5,3,FALSE),0)</f>
        <v>0</v>
      </c>
      <c r="Q1462">
        <f t="shared" si="22"/>
        <v>2.2999999999999998</v>
      </c>
      <c r="R1462" s="10">
        <f>IF('[1]Pizza Sales Calculations'!$G1462=TRUE, [1]Parameters!$B$17*'[1]Pizza Sales Calculations'!$L1462*2, 0)</f>
        <v>0</v>
      </c>
      <c r="S1462" t="str">
        <f>IF(I1462&lt;[1]Parameters!$B$21,"TRUE","FALSE")</f>
        <v>TRUE</v>
      </c>
      <c r="T1462" s="5">
        <f>(I1462/[1]Parameters!$B$25)*60</f>
        <v>0</v>
      </c>
      <c r="U1462" s="10">
        <f>IF(AND('[1]Pizza Sales Calculations'!G1462=TRUE,'[1]Pizza Sales Calculations'!S1462="TRUE"),T1462*[1]Parameters!$B$40*2,0)</f>
        <v>0</v>
      </c>
      <c r="V1462">
        <f>INDEX([1]Parameters!$A$3:$C$5,MATCH('[1]Pizza Sales Calculations'!D1462,[1]Parameters!$A$3:$A$5,0),2)</f>
        <v>14</v>
      </c>
      <c r="W1462" t="e">
        <f>INDEX([1]Parameters!$A$3:$C$5,MATCH('[1]Pizza Sales Calculations'!E1462,[1]Parameters!$A$3:$A$5,0),2)</f>
        <v>#N/A</v>
      </c>
      <c r="X1462" t="e">
        <f>INDEX([1]Parameters!$A$3:$C$5,MATCH('[1]Pizza Sales Calculations'!F1462,[1]Parameters!$A$3:$A$5,0),2)</f>
        <v>#N/A</v>
      </c>
    </row>
    <row r="1463" spans="1:24" x14ac:dyDescent="0.3">
      <c r="A1463">
        <v>1462</v>
      </c>
      <c r="B1463" s="14">
        <v>42384.530115740738</v>
      </c>
      <c r="C1463" s="14">
        <v>42384.540520833332</v>
      </c>
      <c r="D1463" t="s">
        <v>3</v>
      </c>
      <c r="E1463" t="s">
        <v>5</v>
      </c>
      <c r="G1463" t="b">
        <v>1</v>
      </c>
      <c r="H1463">
        <v>70804</v>
      </c>
      <c r="I1463" s="5">
        <v>4.3295274065632503</v>
      </c>
      <c r="J1463" s="14">
        <v>42384.555543981478</v>
      </c>
      <c r="K1463">
        <v>23.34</v>
      </c>
      <c r="L1463" s="5">
        <f>('[1]Pizza Sales Calculations'!$J1463-'[1]Pizza Sales Calculations'!$C1463)*24*60</f>
        <v>21.63333332980983</v>
      </c>
      <c r="M1463">
        <f>COUNTA('[1]Pizza Sales Calculations'!$D1463:$F1463)</f>
        <v>2</v>
      </c>
      <c r="N1463">
        <f>IFERROR(VLOOKUP(D1463,[1]Parameters!$A$3:$C$5,3,FALSE),0)</f>
        <v>1</v>
      </c>
      <c r="O1463">
        <f>IFERROR(VLOOKUP(E1463,[1]Parameters!$A$3:$C$5,3,FALSE),0)</f>
        <v>2.2999999999999998</v>
      </c>
      <c r="P1463">
        <f>IFERROR(VLOOKUP(F1463,[1]Parameters!$A$3:$C$5,3,FALSE),0)</f>
        <v>0</v>
      </c>
      <c r="Q1463">
        <f t="shared" si="22"/>
        <v>3.3</v>
      </c>
      <c r="R1463" s="10">
        <f>IF('[1]Pizza Sales Calculations'!$G1463=TRUE, [1]Parameters!$B$17*'[1]Pizza Sales Calculations'!$L1463*2, 0)</f>
        <v>6.1294444434461184</v>
      </c>
      <c r="S1463" t="str">
        <f>IF(I1463&lt;[1]Parameters!$B$21,"TRUE","FALSE")</f>
        <v>FALSE</v>
      </c>
      <c r="T1463" s="5">
        <f>(I1463/[1]Parameters!$B$25)*60</f>
        <v>8.6590548131265006</v>
      </c>
      <c r="U1463" s="10">
        <f>IF(AND('[1]Pizza Sales Calculations'!G1463=TRUE,'[1]Pizza Sales Calculations'!S1463="TRUE"),T1463*[1]Parameters!$B$40*2,0)</f>
        <v>0</v>
      </c>
      <c r="V1463">
        <f>INDEX([1]Parameters!$A$3:$C$5,MATCH('[1]Pizza Sales Calculations'!D1463,[1]Parameters!$A$3:$A$5,0),2)</f>
        <v>7</v>
      </c>
      <c r="W1463">
        <f>INDEX([1]Parameters!$A$3:$C$5,MATCH('[1]Pizza Sales Calculations'!E1463,[1]Parameters!$A$3:$A$5,0),2)</f>
        <v>14</v>
      </c>
      <c r="X1463" t="e">
        <f>INDEX([1]Parameters!$A$3:$C$5,MATCH('[1]Pizza Sales Calculations'!F1463,[1]Parameters!$A$3:$A$5,0),2)</f>
        <v>#N/A</v>
      </c>
    </row>
    <row r="1464" spans="1:24" x14ac:dyDescent="0.3">
      <c r="A1464">
        <v>1463</v>
      </c>
      <c r="B1464" s="14">
        <v>42384.480011574073</v>
      </c>
      <c r="C1464" s="14">
        <v>42384.490428240744</v>
      </c>
      <c r="D1464" t="s">
        <v>3</v>
      </c>
      <c r="G1464" t="b">
        <v>1</v>
      </c>
      <c r="H1464">
        <v>70805</v>
      </c>
      <c r="I1464" s="5">
        <v>3.6590756221118501</v>
      </c>
      <c r="J1464" s="14">
        <v>42384.503125000003</v>
      </c>
      <c r="K1464">
        <v>7.99</v>
      </c>
      <c r="L1464" s="5">
        <f>('[1]Pizza Sales Calculations'!$J1464-'[1]Pizza Sales Calculations'!$C1464)*24*60</f>
        <v>18.283333332510665</v>
      </c>
      <c r="M1464">
        <f>COUNTA('[1]Pizza Sales Calculations'!$D1464:$F1464)</f>
        <v>1</v>
      </c>
      <c r="N1464">
        <f>IFERROR(VLOOKUP(D1464,[1]Parameters!$A$3:$C$5,3,FALSE),0)</f>
        <v>1</v>
      </c>
      <c r="O1464">
        <f>IFERROR(VLOOKUP(E1464,[1]Parameters!$A$3:$C$5,3,FALSE),0)</f>
        <v>0</v>
      </c>
      <c r="P1464">
        <f>IFERROR(VLOOKUP(F1464,[1]Parameters!$A$3:$C$5,3,FALSE),0)</f>
        <v>0</v>
      </c>
      <c r="Q1464">
        <f t="shared" si="22"/>
        <v>1</v>
      </c>
      <c r="R1464" s="10">
        <f>IF('[1]Pizza Sales Calculations'!$G1464=TRUE, [1]Parameters!$B$17*'[1]Pizza Sales Calculations'!$L1464*2, 0)</f>
        <v>5.1802777775446884</v>
      </c>
      <c r="S1464" t="str">
        <f>IF(I1464&lt;[1]Parameters!$B$21,"TRUE","FALSE")</f>
        <v>FALSE</v>
      </c>
      <c r="T1464" s="5">
        <f>(I1464/[1]Parameters!$B$25)*60</f>
        <v>7.3181512442237002</v>
      </c>
      <c r="U1464" s="10">
        <f>IF(AND('[1]Pizza Sales Calculations'!G1464=TRUE,'[1]Pizza Sales Calculations'!S1464="TRUE"),T1464*[1]Parameters!$B$40*2,0)</f>
        <v>0</v>
      </c>
      <c r="V1464">
        <f>INDEX([1]Parameters!$A$3:$C$5,MATCH('[1]Pizza Sales Calculations'!D1464,[1]Parameters!$A$3:$A$5,0),2)</f>
        <v>7</v>
      </c>
      <c r="W1464" t="e">
        <f>INDEX([1]Parameters!$A$3:$C$5,MATCH('[1]Pizza Sales Calculations'!E1464,[1]Parameters!$A$3:$A$5,0),2)</f>
        <v>#N/A</v>
      </c>
      <c r="X1464" t="e">
        <f>INDEX([1]Parameters!$A$3:$C$5,MATCH('[1]Pizza Sales Calculations'!F1464,[1]Parameters!$A$3:$A$5,0),2)</f>
        <v>#N/A</v>
      </c>
    </row>
    <row r="1465" spans="1:24" x14ac:dyDescent="0.3">
      <c r="A1465">
        <v>1464</v>
      </c>
      <c r="B1465" s="14">
        <v>42384.531446759262</v>
      </c>
      <c r="C1465" s="14">
        <v>42384.541863425926</v>
      </c>
      <c r="D1465" t="s">
        <v>3</v>
      </c>
      <c r="G1465" t="b">
        <v>0</v>
      </c>
      <c r="H1465">
        <v>70804</v>
      </c>
      <c r="I1465" s="5">
        <v>0</v>
      </c>
      <c r="J1465" s="14">
        <v>42384.543946759259</v>
      </c>
      <c r="K1465">
        <v>7.99</v>
      </c>
      <c r="L1465" s="5">
        <f>('[1]Pizza Sales Calculations'!$J1465-'[1]Pizza Sales Calculations'!$C1465)*24*60</f>
        <v>2.9999999993015081</v>
      </c>
      <c r="M1465">
        <f>COUNTA('[1]Pizza Sales Calculations'!$D1465:$F1465)</f>
        <v>1</v>
      </c>
      <c r="N1465">
        <f>IFERROR(VLOOKUP(D1465,[1]Parameters!$A$3:$C$5,3,FALSE),0)</f>
        <v>1</v>
      </c>
      <c r="O1465">
        <f>IFERROR(VLOOKUP(E1465,[1]Parameters!$A$3:$C$5,3,FALSE),0)</f>
        <v>0</v>
      </c>
      <c r="P1465">
        <f>IFERROR(VLOOKUP(F1465,[1]Parameters!$A$3:$C$5,3,FALSE),0)</f>
        <v>0</v>
      </c>
      <c r="Q1465">
        <f t="shared" si="22"/>
        <v>1</v>
      </c>
      <c r="R1465" s="10">
        <f>IF('[1]Pizza Sales Calculations'!$G1465=TRUE, [1]Parameters!$B$17*'[1]Pizza Sales Calculations'!$L1465*2, 0)</f>
        <v>0</v>
      </c>
      <c r="S1465" t="str">
        <f>IF(I1465&lt;[1]Parameters!$B$21,"TRUE","FALSE")</f>
        <v>TRUE</v>
      </c>
      <c r="T1465" s="5">
        <f>(I1465/[1]Parameters!$B$25)*60</f>
        <v>0</v>
      </c>
      <c r="U1465" s="10">
        <f>IF(AND('[1]Pizza Sales Calculations'!G1465=TRUE,'[1]Pizza Sales Calculations'!S1465="TRUE"),T1465*[1]Parameters!$B$40*2,0)</f>
        <v>0</v>
      </c>
      <c r="V1465">
        <f>INDEX([1]Parameters!$A$3:$C$5,MATCH('[1]Pizza Sales Calculations'!D1465,[1]Parameters!$A$3:$A$5,0),2)</f>
        <v>7</v>
      </c>
      <c r="W1465" t="e">
        <f>INDEX([1]Parameters!$A$3:$C$5,MATCH('[1]Pizza Sales Calculations'!E1465,[1]Parameters!$A$3:$A$5,0),2)</f>
        <v>#N/A</v>
      </c>
      <c r="X1465" t="e">
        <f>INDEX([1]Parameters!$A$3:$C$5,MATCH('[1]Pizza Sales Calculations'!F1465,[1]Parameters!$A$3:$A$5,0),2)</f>
        <v>#N/A</v>
      </c>
    </row>
    <row r="1466" spans="1:24" x14ac:dyDescent="0.3">
      <c r="A1466">
        <v>1465</v>
      </c>
      <c r="B1466" s="14">
        <v>42384.533310185187</v>
      </c>
      <c r="C1466" s="14">
        <v>42384.543726851851</v>
      </c>
      <c r="D1466" t="s">
        <v>4</v>
      </c>
      <c r="G1466" t="b">
        <v>0</v>
      </c>
      <c r="H1466">
        <v>70805</v>
      </c>
      <c r="I1466" s="5">
        <v>0</v>
      </c>
      <c r="J1466" s="14">
        <v>42384.545810185184</v>
      </c>
      <c r="K1466">
        <v>11.59</v>
      </c>
      <c r="L1466" s="5">
        <f>('[1]Pizza Sales Calculations'!$J1466-'[1]Pizza Sales Calculations'!$C1466)*24*60</f>
        <v>2.9999999993015081</v>
      </c>
      <c r="M1466">
        <f>COUNTA('[1]Pizza Sales Calculations'!$D1466:$F1466)</f>
        <v>1</v>
      </c>
      <c r="N1466">
        <f>IFERROR(VLOOKUP(D1466,[1]Parameters!$A$3:$C$5,3,FALSE),0)</f>
        <v>1.7</v>
      </c>
      <c r="O1466">
        <f>IFERROR(VLOOKUP(E1466,[1]Parameters!$A$3:$C$5,3,FALSE),0)</f>
        <v>0</v>
      </c>
      <c r="P1466">
        <f>IFERROR(VLOOKUP(F1466,[1]Parameters!$A$3:$C$5,3,FALSE),0)</f>
        <v>0</v>
      </c>
      <c r="Q1466">
        <f t="shared" si="22"/>
        <v>1.7</v>
      </c>
      <c r="R1466" s="10">
        <f>IF('[1]Pizza Sales Calculations'!$G1466=TRUE, [1]Parameters!$B$17*'[1]Pizza Sales Calculations'!$L1466*2, 0)</f>
        <v>0</v>
      </c>
      <c r="S1466" t="str">
        <f>IF(I1466&lt;[1]Parameters!$B$21,"TRUE","FALSE")</f>
        <v>TRUE</v>
      </c>
      <c r="T1466" s="5">
        <f>(I1466/[1]Parameters!$B$25)*60</f>
        <v>0</v>
      </c>
      <c r="U1466" s="10">
        <f>IF(AND('[1]Pizza Sales Calculations'!G1466=TRUE,'[1]Pizza Sales Calculations'!S1466="TRUE"),T1466*[1]Parameters!$B$40*2,0)</f>
        <v>0</v>
      </c>
      <c r="V1466">
        <f>INDEX([1]Parameters!$A$3:$C$5,MATCH('[1]Pizza Sales Calculations'!D1466,[1]Parameters!$A$3:$A$5,0),2)</f>
        <v>10</v>
      </c>
      <c r="W1466" t="e">
        <f>INDEX([1]Parameters!$A$3:$C$5,MATCH('[1]Pizza Sales Calculations'!E1466,[1]Parameters!$A$3:$A$5,0),2)</f>
        <v>#N/A</v>
      </c>
      <c r="X1466" t="e">
        <f>INDEX([1]Parameters!$A$3:$C$5,MATCH('[1]Pizza Sales Calculations'!F1466,[1]Parameters!$A$3:$A$5,0),2)</f>
        <v>#N/A</v>
      </c>
    </row>
    <row r="1467" spans="1:24" x14ac:dyDescent="0.3">
      <c r="A1467">
        <v>1466</v>
      </c>
      <c r="B1467" s="14">
        <v>42384.504537037035</v>
      </c>
      <c r="C1467" s="14">
        <v>42384.514953703707</v>
      </c>
      <c r="D1467" t="s">
        <v>4</v>
      </c>
      <c r="G1467" t="b">
        <v>0</v>
      </c>
      <c r="H1467">
        <v>70805</v>
      </c>
      <c r="I1467" s="5">
        <v>0</v>
      </c>
      <c r="J1467" s="14">
        <v>42384.517048611109</v>
      </c>
      <c r="K1467">
        <v>11.59</v>
      </c>
      <c r="L1467" s="5">
        <f>('[1]Pizza Sales Calculations'!$J1467-'[1]Pizza Sales Calculations'!$C1467)*24*60</f>
        <v>3.0166666593868285</v>
      </c>
      <c r="M1467">
        <f>COUNTA('[1]Pizza Sales Calculations'!$D1467:$F1467)</f>
        <v>1</v>
      </c>
      <c r="N1467">
        <f>IFERROR(VLOOKUP(D1467,[1]Parameters!$A$3:$C$5,3,FALSE),0)</f>
        <v>1.7</v>
      </c>
      <c r="O1467">
        <f>IFERROR(VLOOKUP(E1467,[1]Parameters!$A$3:$C$5,3,FALSE),0)</f>
        <v>0</v>
      </c>
      <c r="P1467">
        <f>IFERROR(VLOOKUP(F1467,[1]Parameters!$A$3:$C$5,3,FALSE),0)</f>
        <v>0</v>
      </c>
      <c r="Q1467">
        <f t="shared" si="22"/>
        <v>1.7</v>
      </c>
      <c r="R1467" s="10">
        <f>IF('[1]Pizza Sales Calculations'!$G1467=TRUE, [1]Parameters!$B$17*'[1]Pizza Sales Calculations'!$L1467*2, 0)</f>
        <v>0</v>
      </c>
      <c r="S1467" t="str">
        <f>IF(I1467&lt;[1]Parameters!$B$21,"TRUE","FALSE")</f>
        <v>TRUE</v>
      </c>
      <c r="T1467" s="5">
        <f>(I1467/[1]Parameters!$B$25)*60</f>
        <v>0</v>
      </c>
      <c r="U1467" s="10">
        <f>IF(AND('[1]Pizza Sales Calculations'!G1467=TRUE,'[1]Pizza Sales Calculations'!S1467="TRUE"),T1467*[1]Parameters!$B$40*2,0)</f>
        <v>0</v>
      </c>
      <c r="V1467">
        <f>INDEX([1]Parameters!$A$3:$C$5,MATCH('[1]Pizza Sales Calculations'!D1467,[1]Parameters!$A$3:$A$5,0),2)</f>
        <v>10</v>
      </c>
      <c r="W1467" t="e">
        <f>INDEX([1]Parameters!$A$3:$C$5,MATCH('[1]Pizza Sales Calculations'!E1467,[1]Parameters!$A$3:$A$5,0),2)</f>
        <v>#N/A</v>
      </c>
      <c r="X1467" t="e">
        <f>INDEX([1]Parameters!$A$3:$C$5,MATCH('[1]Pizza Sales Calculations'!F1467,[1]Parameters!$A$3:$A$5,0),2)</f>
        <v>#N/A</v>
      </c>
    </row>
    <row r="1468" spans="1:24" x14ac:dyDescent="0.3">
      <c r="A1468">
        <v>1467</v>
      </c>
      <c r="B1468" s="14">
        <v>42384.420439814814</v>
      </c>
      <c r="C1468" s="14">
        <v>42384.430868055555</v>
      </c>
      <c r="D1468" t="s">
        <v>5</v>
      </c>
      <c r="G1468" t="b">
        <v>1</v>
      </c>
      <c r="H1468">
        <v>70803</v>
      </c>
      <c r="I1468" s="5">
        <v>2.7262808506313898</v>
      </c>
      <c r="J1468" s="14">
        <v>42384.440324074072</v>
      </c>
      <c r="K1468">
        <v>15.35</v>
      </c>
      <c r="L1468" s="5">
        <f>('[1]Pizza Sales Calculations'!$J1468-'[1]Pizza Sales Calculations'!$C1468)*24*60</f>
        <v>13.616666664602235</v>
      </c>
      <c r="M1468">
        <f>COUNTA('[1]Pizza Sales Calculations'!$D1468:$F1468)</f>
        <v>1</v>
      </c>
      <c r="N1468">
        <f>IFERROR(VLOOKUP(D1468,[1]Parameters!$A$3:$C$5,3,FALSE),0)</f>
        <v>2.2999999999999998</v>
      </c>
      <c r="O1468">
        <f>IFERROR(VLOOKUP(E1468,[1]Parameters!$A$3:$C$5,3,FALSE),0)</f>
        <v>0</v>
      </c>
      <c r="P1468">
        <f>IFERROR(VLOOKUP(F1468,[1]Parameters!$A$3:$C$5,3,FALSE),0)</f>
        <v>0</v>
      </c>
      <c r="Q1468">
        <f t="shared" si="22"/>
        <v>2.2999999999999998</v>
      </c>
      <c r="R1468" s="10">
        <f>IF('[1]Pizza Sales Calculations'!$G1468=TRUE, [1]Parameters!$B$17*'[1]Pizza Sales Calculations'!$L1468*2, 0)</f>
        <v>3.8580555549706332</v>
      </c>
      <c r="S1468" t="str">
        <f>IF(I1468&lt;[1]Parameters!$B$21,"TRUE","FALSE")</f>
        <v>TRUE</v>
      </c>
      <c r="T1468" s="5">
        <f>(I1468/[1]Parameters!$B$25)*60</f>
        <v>5.4525617012627796</v>
      </c>
      <c r="U1468" s="10">
        <f>IF(AND('[1]Pizza Sales Calculations'!G1468=TRUE,'[1]Pizza Sales Calculations'!S1468="TRUE"),T1468*[1]Parameters!$B$40*2,0)</f>
        <v>0.34036323131144908</v>
      </c>
      <c r="V1468">
        <f>INDEX([1]Parameters!$A$3:$C$5,MATCH('[1]Pizza Sales Calculations'!D1468,[1]Parameters!$A$3:$A$5,0),2)</f>
        <v>14</v>
      </c>
      <c r="W1468" t="e">
        <f>INDEX([1]Parameters!$A$3:$C$5,MATCH('[1]Pizza Sales Calculations'!E1468,[1]Parameters!$A$3:$A$5,0),2)</f>
        <v>#N/A</v>
      </c>
      <c r="X1468" t="e">
        <f>INDEX([1]Parameters!$A$3:$C$5,MATCH('[1]Pizza Sales Calculations'!F1468,[1]Parameters!$A$3:$A$5,0),2)</f>
        <v>#N/A</v>
      </c>
    </row>
    <row r="1469" spans="1:24" x14ac:dyDescent="0.3">
      <c r="A1469">
        <v>1468</v>
      </c>
      <c r="B1469" s="14">
        <v>42384.468506944446</v>
      </c>
      <c r="C1469" s="14">
        <v>42384.478900462964</v>
      </c>
      <c r="D1469" t="s">
        <v>3</v>
      </c>
      <c r="E1469" t="s">
        <v>4</v>
      </c>
      <c r="G1469" t="b">
        <v>0</v>
      </c>
      <c r="H1469">
        <v>70808</v>
      </c>
      <c r="I1469" s="5">
        <v>0</v>
      </c>
      <c r="J1469" s="14">
        <v>42384.48097222222</v>
      </c>
      <c r="K1469">
        <v>19.579999999999998</v>
      </c>
      <c r="L1469" s="5">
        <f>('[1]Pizza Sales Calculations'!$J1469-'[1]Pizza Sales Calculations'!$C1469)*24*60</f>
        <v>2.9833333287388086</v>
      </c>
      <c r="M1469">
        <f>COUNTA('[1]Pizza Sales Calculations'!$D1469:$F1469)</f>
        <v>2</v>
      </c>
      <c r="N1469">
        <f>IFERROR(VLOOKUP(D1469,[1]Parameters!$A$3:$C$5,3,FALSE),0)</f>
        <v>1</v>
      </c>
      <c r="O1469">
        <f>IFERROR(VLOOKUP(E1469,[1]Parameters!$A$3:$C$5,3,FALSE),0)</f>
        <v>1.7</v>
      </c>
      <c r="P1469">
        <f>IFERROR(VLOOKUP(F1469,[1]Parameters!$A$3:$C$5,3,FALSE),0)</f>
        <v>0</v>
      </c>
      <c r="Q1469">
        <f t="shared" si="22"/>
        <v>2.7</v>
      </c>
      <c r="R1469" s="10">
        <f>IF('[1]Pizza Sales Calculations'!$G1469=TRUE, [1]Parameters!$B$17*'[1]Pizza Sales Calculations'!$L1469*2, 0)</f>
        <v>0</v>
      </c>
      <c r="S1469" t="str">
        <f>IF(I1469&lt;[1]Parameters!$B$21,"TRUE","FALSE")</f>
        <v>TRUE</v>
      </c>
      <c r="T1469" s="5">
        <f>(I1469/[1]Parameters!$B$25)*60</f>
        <v>0</v>
      </c>
      <c r="U1469" s="10">
        <f>IF(AND('[1]Pizza Sales Calculations'!G1469=TRUE,'[1]Pizza Sales Calculations'!S1469="TRUE"),T1469*[1]Parameters!$B$40*2,0)</f>
        <v>0</v>
      </c>
      <c r="V1469">
        <f>INDEX([1]Parameters!$A$3:$C$5,MATCH('[1]Pizza Sales Calculations'!D1469,[1]Parameters!$A$3:$A$5,0),2)</f>
        <v>7</v>
      </c>
      <c r="W1469">
        <f>INDEX([1]Parameters!$A$3:$C$5,MATCH('[1]Pizza Sales Calculations'!E1469,[1]Parameters!$A$3:$A$5,0),2)</f>
        <v>10</v>
      </c>
      <c r="X1469" t="e">
        <f>INDEX([1]Parameters!$A$3:$C$5,MATCH('[1]Pizza Sales Calculations'!F1469,[1]Parameters!$A$3:$A$5,0),2)</f>
        <v>#N/A</v>
      </c>
    </row>
    <row r="1470" spans="1:24" x14ac:dyDescent="0.3">
      <c r="A1470">
        <v>1469</v>
      </c>
      <c r="B1470" s="14">
        <v>42384.58997685185</v>
      </c>
      <c r="C1470" s="14">
        <v>42384.600405092591</v>
      </c>
      <c r="D1470" t="s">
        <v>4</v>
      </c>
      <c r="G1470" t="b">
        <v>0</v>
      </c>
      <c r="H1470">
        <v>70806</v>
      </c>
      <c r="I1470" s="5">
        <v>0</v>
      </c>
      <c r="J1470" s="14">
        <v>42384.602476851855</v>
      </c>
      <c r="K1470">
        <v>11.59</v>
      </c>
      <c r="L1470" s="5">
        <f>('[1]Pizza Sales Calculations'!$J1470-'[1]Pizza Sales Calculations'!$C1470)*24*60</f>
        <v>2.9833333392161876</v>
      </c>
      <c r="M1470">
        <f>COUNTA('[1]Pizza Sales Calculations'!$D1470:$F1470)</f>
        <v>1</v>
      </c>
      <c r="N1470">
        <f>IFERROR(VLOOKUP(D1470,[1]Parameters!$A$3:$C$5,3,FALSE),0)</f>
        <v>1.7</v>
      </c>
      <c r="O1470">
        <f>IFERROR(VLOOKUP(E1470,[1]Parameters!$A$3:$C$5,3,FALSE),0)</f>
        <v>0</v>
      </c>
      <c r="P1470">
        <f>IFERROR(VLOOKUP(F1470,[1]Parameters!$A$3:$C$5,3,FALSE),0)</f>
        <v>0</v>
      </c>
      <c r="Q1470">
        <f t="shared" si="22"/>
        <v>1.7</v>
      </c>
      <c r="R1470" s="10">
        <f>IF('[1]Pizza Sales Calculations'!$G1470=TRUE, [1]Parameters!$B$17*'[1]Pizza Sales Calculations'!$L1470*2, 0)</f>
        <v>0</v>
      </c>
      <c r="S1470" t="str">
        <f>IF(I1470&lt;[1]Parameters!$B$21,"TRUE","FALSE")</f>
        <v>TRUE</v>
      </c>
      <c r="T1470" s="5">
        <f>(I1470/[1]Parameters!$B$25)*60</f>
        <v>0</v>
      </c>
      <c r="U1470" s="10">
        <f>IF(AND('[1]Pizza Sales Calculations'!G1470=TRUE,'[1]Pizza Sales Calculations'!S1470="TRUE"),T1470*[1]Parameters!$B$40*2,0)</f>
        <v>0</v>
      </c>
      <c r="V1470">
        <f>INDEX([1]Parameters!$A$3:$C$5,MATCH('[1]Pizza Sales Calculations'!D1470,[1]Parameters!$A$3:$A$5,0),2)</f>
        <v>10</v>
      </c>
      <c r="W1470" t="e">
        <f>INDEX([1]Parameters!$A$3:$C$5,MATCH('[1]Pizza Sales Calculations'!E1470,[1]Parameters!$A$3:$A$5,0),2)</f>
        <v>#N/A</v>
      </c>
      <c r="X1470" t="e">
        <f>INDEX([1]Parameters!$A$3:$C$5,MATCH('[1]Pizza Sales Calculations'!F1470,[1]Parameters!$A$3:$A$5,0),2)</f>
        <v>#N/A</v>
      </c>
    </row>
    <row r="1471" spans="1:24" x14ac:dyDescent="0.3">
      <c r="A1471">
        <v>1470</v>
      </c>
      <c r="B1471" s="14">
        <v>42384.457256944443</v>
      </c>
      <c r="C1471" s="14">
        <v>42384.467650462961</v>
      </c>
      <c r="D1471" t="s">
        <v>4</v>
      </c>
      <c r="G1471" t="b">
        <v>0</v>
      </c>
      <c r="H1471">
        <v>70805</v>
      </c>
      <c r="I1471" s="5">
        <v>0</v>
      </c>
      <c r="J1471" s="14">
        <v>42384.469733796293</v>
      </c>
      <c r="K1471">
        <v>11.59</v>
      </c>
      <c r="L1471" s="5">
        <f>('[1]Pizza Sales Calculations'!$J1471-'[1]Pizza Sales Calculations'!$C1471)*24*60</f>
        <v>2.9999999993015081</v>
      </c>
      <c r="M1471">
        <f>COUNTA('[1]Pizza Sales Calculations'!$D1471:$F1471)</f>
        <v>1</v>
      </c>
      <c r="N1471">
        <f>IFERROR(VLOOKUP(D1471,[1]Parameters!$A$3:$C$5,3,FALSE),0)</f>
        <v>1.7</v>
      </c>
      <c r="O1471">
        <f>IFERROR(VLOOKUP(E1471,[1]Parameters!$A$3:$C$5,3,FALSE),0)</f>
        <v>0</v>
      </c>
      <c r="P1471">
        <f>IFERROR(VLOOKUP(F1471,[1]Parameters!$A$3:$C$5,3,FALSE),0)</f>
        <v>0</v>
      </c>
      <c r="Q1471">
        <f t="shared" si="22"/>
        <v>1.7</v>
      </c>
      <c r="R1471" s="10">
        <f>IF('[1]Pizza Sales Calculations'!$G1471=TRUE, [1]Parameters!$B$17*'[1]Pizza Sales Calculations'!$L1471*2, 0)</f>
        <v>0</v>
      </c>
      <c r="S1471" t="str">
        <f>IF(I1471&lt;[1]Parameters!$B$21,"TRUE","FALSE")</f>
        <v>TRUE</v>
      </c>
      <c r="T1471" s="5">
        <f>(I1471/[1]Parameters!$B$25)*60</f>
        <v>0</v>
      </c>
      <c r="U1471" s="10">
        <f>IF(AND('[1]Pizza Sales Calculations'!G1471=TRUE,'[1]Pizza Sales Calculations'!S1471="TRUE"),T1471*[1]Parameters!$B$40*2,0)</f>
        <v>0</v>
      </c>
      <c r="V1471">
        <f>INDEX([1]Parameters!$A$3:$C$5,MATCH('[1]Pizza Sales Calculations'!D1471,[1]Parameters!$A$3:$A$5,0),2)</f>
        <v>10</v>
      </c>
      <c r="W1471" t="e">
        <f>INDEX([1]Parameters!$A$3:$C$5,MATCH('[1]Pizza Sales Calculations'!E1471,[1]Parameters!$A$3:$A$5,0),2)</f>
        <v>#N/A</v>
      </c>
      <c r="X1471" t="e">
        <f>INDEX([1]Parameters!$A$3:$C$5,MATCH('[1]Pizza Sales Calculations'!F1471,[1]Parameters!$A$3:$A$5,0),2)</f>
        <v>#N/A</v>
      </c>
    </row>
    <row r="1472" spans="1:24" x14ac:dyDescent="0.3">
      <c r="A1472">
        <v>1471</v>
      </c>
      <c r="B1472" s="14">
        <v>42384.520509259259</v>
      </c>
      <c r="C1472" s="14">
        <v>42384.530925925923</v>
      </c>
      <c r="D1472" t="s">
        <v>3</v>
      </c>
      <c r="E1472" t="s">
        <v>5</v>
      </c>
      <c r="G1472" t="b">
        <v>0</v>
      </c>
      <c r="H1472">
        <v>70806</v>
      </c>
      <c r="I1472" s="5">
        <v>0</v>
      </c>
      <c r="J1472" s="14">
        <v>42384.532997685186</v>
      </c>
      <c r="K1472">
        <v>23.34</v>
      </c>
      <c r="L1472" s="5">
        <f>('[1]Pizza Sales Calculations'!$J1472-'[1]Pizza Sales Calculations'!$C1472)*24*60</f>
        <v>2.9833333392161876</v>
      </c>
      <c r="M1472">
        <f>COUNTA('[1]Pizza Sales Calculations'!$D1472:$F1472)</f>
        <v>2</v>
      </c>
      <c r="N1472">
        <f>IFERROR(VLOOKUP(D1472,[1]Parameters!$A$3:$C$5,3,FALSE),0)</f>
        <v>1</v>
      </c>
      <c r="O1472">
        <f>IFERROR(VLOOKUP(E1472,[1]Parameters!$A$3:$C$5,3,FALSE),0)</f>
        <v>2.2999999999999998</v>
      </c>
      <c r="P1472">
        <f>IFERROR(VLOOKUP(F1472,[1]Parameters!$A$3:$C$5,3,FALSE),0)</f>
        <v>0</v>
      </c>
      <c r="Q1472">
        <f t="shared" si="22"/>
        <v>3.3</v>
      </c>
      <c r="R1472" s="10">
        <f>IF('[1]Pizza Sales Calculations'!$G1472=TRUE, [1]Parameters!$B$17*'[1]Pizza Sales Calculations'!$L1472*2, 0)</f>
        <v>0</v>
      </c>
      <c r="S1472" t="str">
        <f>IF(I1472&lt;[1]Parameters!$B$21,"TRUE","FALSE")</f>
        <v>TRUE</v>
      </c>
      <c r="T1472" s="5">
        <f>(I1472/[1]Parameters!$B$25)*60</f>
        <v>0</v>
      </c>
      <c r="U1472" s="10">
        <f>IF(AND('[1]Pizza Sales Calculations'!G1472=TRUE,'[1]Pizza Sales Calculations'!S1472="TRUE"),T1472*[1]Parameters!$B$40*2,0)</f>
        <v>0</v>
      </c>
      <c r="V1472">
        <f>INDEX([1]Parameters!$A$3:$C$5,MATCH('[1]Pizza Sales Calculations'!D1472,[1]Parameters!$A$3:$A$5,0),2)</f>
        <v>7</v>
      </c>
      <c r="W1472">
        <f>INDEX([1]Parameters!$A$3:$C$5,MATCH('[1]Pizza Sales Calculations'!E1472,[1]Parameters!$A$3:$A$5,0),2)</f>
        <v>14</v>
      </c>
      <c r="X1472" t="e">
        <f>INDEX([1]Parameters!$A$3:$C$5,MATCH('[1]Pizza Sales Calculations'!F1472,[1]Parameters!$A$3:$A$5,0),2)</f>
        <v>#N/A</v>
      </c>
    </row>
    <row r="1473" spans="1:24" x14ac:dyDescent="0.3">
      <c r="A1473">
        <v>1472</v>
      </c>
      <c r="B1473" s="14">
        <v>42384.524756944447</v>
      </c>
      <c r="C1473" s="14">
        <v>42384.535150462965</v>
      </c>
      <c r="D1473" t="s">
        <v>3</v>
      </c>
      <c r="E1473" t="s">
        <v>4</v>
      </c>
      <c r="G1473" t="b">
        <v>1</v>
      </c>
      <c r="H1473">
        <v>70804</v>
      </c>
      <c r="I1473" s="5">
        <v>2.5320635649657399</v>
      </c>
      <c r="J1473" s="14">
        <v>42384.543935185182</v>
      </c>
      <c r="K1473">
        <v>19.579999999999998</v>
      </c>
      <c r="L1473" s="5">
        <f>('[1]Pizza Sales Calculations'!$J1473-'[1]Pizza Sales Calculations'!$C1473)*24*60</f>
        <v>12.649999991990626</v>
      </c>
      <c r="M1473">
        <f>COUNTA('[1]Pizza Sales Calculations'!$D1473:$F1473)</f>
        <v>2</v>
      </c>
      <c r="N1473">
        <f>IFERROR(VLOOKUP(D1473,[1]Parameters!$A$3:$C$5,3,FALSE),0)</f>
        <v>1</v>
      </c>
      <c r="O1473">
        <f>IFERROR(VLOOKUP(E1473,[1]Parameters!$A$3:$C$5,3,FALSE),0)</f>
        <v>1.7</v>
      </c>
      <c r="P1473">
        <f>IFERROR(VLOOKUP(F1473,[1]Parameters!$A$3:$C$5,3,FALSE),0)</f>
        <v>0</v>
      </c>
      <c r="Q1473">
        <f t="shared" si="22"/>
        <v>2.7</v>
      </c>
      <c r="R1473" s="10">
        <f>IF('[1]Pizza Sales Calculations'!$G1473=TRUE, [1]Parameters!$B$17*'[1]Pizza Sales Calculations'!$L1473*2, 0)</f>
        <v>3.584166664397344</v>
      </c>
      <c r="S1473" t="str">
        <f>IF(I1473&lt;[1]Parameters!$B$21,"TRUE","FALSE")</f>
        <v>TRUE</v>
      </c>
      <c r="T1473" s="5">
        <f>(I1473/[1]Parameters!$B$25)*60</f>
        <v>5.0641271299314798</v>
      </c>
      <c r="U1473" s="10">
        <f>IF(AND('[1]Pizza Sales Calculations'!G1473=TRUE,'[1]Pizza Sales Calculations'!S1473="TRUE"),T1473*[1]Parameters!$B$40*2,0)</f>
        <v>0.31611612452111604</v>
      </c>
      <c r="V1473">
        <f>INDEX([1]Parameters!$A$3:$C$5,MATCH('[1]Pizza Sales Calculations'!D1473,[1]Parameters!$A$3:$A$5,0),2)</f>
        <v>7</v>
      </c>
      <c r="W1473">
        <f>INDEX([1]Parameters!$A$3:$C$5,MATCH('[1]Pizza Sales Calculations'!E1473,[1]Parameters!$A$3:$A$5,0),2)</f>
        <v>10</v>
      </c>
      <c r="X1473" t="e">
        <f>INDEX([1]Parameters!$A$3:$C$5,MATCH('[1]Pizza Sales Calculations'!F1473,[1]Parameters!$A$3:$A$5,0),2)</f>
        <v>#N/A</v>
      </c>
    </row>
    <row r="1474" spans="1:24" x14ac:dyDescent="0.3">
      <c r="A1474">
        <v>1473</v>
      </c>
      <c r="B1474" s="14">
        <v>42384.467835648145</v>
      </c>
      <c r="C1474" s="14">
        <v>42384.478252314817</v>
      </c>
      <c r="D1474" t="s">
        <v>3</v>
      </c>
      <c r="E1474" t="s">
        <v>4</v>
      </c>
      <c r="G1474" t="b">
        <v>0</v>
      </c>
      <c r="H1474">
        <v>70805</v>
      </c>
      <c r="I1474" s="5">
        <v>0</v>
      </c>
      <c r="J1474" s="14">
        <v>42384.480324074073</v>
      </c>
      <c r="K1474">
        <v>19.579999999999998</v>
      </c>
      <c r="L1474" s="5">
        <f>('[1]Pizza Sales Calculations'!$J1474-'[1]Pizza Sales Calculations'!$C1474)*24*60</f>
        <v>2.9833333287388086</v>
      </c>
      <c r="M1474">
        <f>COUNTA('[1]Pizza Sales Calculations'!$D1474:$F1474)</f>
        <v>2</v>
      </c>
      <c r="N1474">
        <f>IFERROR(VLOOKUP(D1474,[1]Parameters!$A$3:$C$5,3,FALSE),0)</f>
        <v>1</v>
      </c>
      <c r="O1474">
        <f>IFERROR(VLOOKUP(E1474,[1]Parameters!$A$3:$C$5,3,FALSE),0)</f>
        <v>1.7</v>
      </c>
      <c r="P1474">
        <f>IFERROR(VLOOKUP(F1474,[1]Parameters!$A$3:$C$5,3,FALSE),0)</f>
        <v>0</v>
      </c>
      <c r="Q1474">
        <f t="shared" si="22"/>
        <v>2.7</v>
      </c>
      <c r="R1474" s="10">
        <f>IF('[1]Pizza Sales Calculations'!$G1474=TRUE, [1]Parameters!$B$17*'[1]Pizza Sales Calculations'!$L1474*2, 0)</f>
        <v>0</v>
      </c>
      <c r="S1474" t="str">
        <f>IF(I1474&lt;[1]Parameters!$B$21,"TRUE","FALSE")</f>
        <v>TRUE</v>
      </c>
      <c r="T1474" s="5">
        <f>(I1474/[1]Parameters!$B$25)*60</f>
        <v>0</v>
      </c>
      <c r="U1474" s="10">
        <f>IF(AND('[1]Pizza Sales Calculations'!G1474=TRUE,'[1]Pizza Sales Calculations'!S1474="TRUE"),T1474*[1]Parameters!$B$40*2,0)</f>
        <v>0</v>
      </c>
      <c r="V1474">
        <f>INDEX([1]Parameters!$A$3:$C$5,MATCH('[1]Pizza Sales Calculations'!D1474,[1]Parameters!$A$3:$A$5,0),2)</f>
        <v>7</v>
      </c>
      <c r="W1474">
        <f>INDEX([1]Parameters!$A$3:$C$5,MATCH('[1]Pizza Sales Calculations'!E1474,[1]Parameters!$A$3:$A$5,0),2)</f>
        <v>10</v>
      </c>
      <c r="X1474" t="e">
        <f>INDEX([1]Parameters!$A$3:$C$5,MATCH('[1]Pizza Sales Calculations'!F1474,[1]Parameters!$A$3:$A$5,0),2)</f>
        <v>#N/A</v>
      </c>
    </row>
    <row r="1475" spans="1:24" x14ac:dyDescent="0.3">
      <c r="A1475">
        <v>1474</v>
      </c>
      <c r="B1475" s="14">
        <v>42384.470266203702</v>
      </c>
      <c r="C1475" s="14">
        <v>42384.480682870373</v>
      </c>
      <c r="D1475" t="s">
        <v>3</v>
      </c>
      <c r="E1475" t="s">
        <v>4</v>
      </c>
      <c r="G1475" t="b">
        <v>0</v>
      </c>
      <c r="H1475">
        <v>70805</v>
      </c>
      <c r="I1475" s="5">
        <v>0</v>
      </c>
      <c r="J1475" s="14">
        <v>42384.482766203706</v>
      </c>
      <c r="K1475">
        <v>19.579999999999998</v>
      </c>
      <c r="L1475" s="5">
        <f>('[1]Pizza Sales Calculations'!$J1475-'[1]Pizza Sales Calculations'!$C1475)*24*60</f>
        <v>2.9999999993015081</v>
      </c>
      <c r="M1475">
        <f>COUNTA('[1]Pizza Sales Calculations'!$D1475:$F1475)</f>
        <v>2</v>
      </c>
      <c r="N1475">
        <f>IFERROR(VLOOKUP(D1475,[1]Parameters!$A$3:$C$5,3,FALSE),0)</f>
        <v>1</v>
      </c>
      <c r="O1475">
        <f>IFERROR(VLOOKUP(E1475,[1]Parameters!$A$3:$C$5,3,FALSE),0)</f>
        <v>1.7</v>
      </c>
      <c r="P1475">
        <f>IFERROR(VLOOKUP(F1475,[1]Parameters!$A$3:$C$5,3,FALSE),0)</f>
        <v>0</v>
      </c>
      <c r="Q1475">
        <f t="shared" ref="Q1475:Q1501" si="23">SUM(N1475:P1475)</f>
        <v>2.7</v>
      </c>
      <c r="R1475" s="10">
        <f>IF('[1]Pizza Sales Calculations'!$G1475=TRUE, [1]Parameters!$B$17*'[1]Pizza Sales Calculations'!$L1475*2, 0)</f>
        <v>0</v>
      </c>
      <c r="S1475" t="str">
        <f>IF(I1475&lt;[1]Parameters!$B$21,"TRUE","FALSE")</f>
        <v>TRUE</v>
      </c>
      <c r="T1475" s="5">
        <f>(I1475/[1]Parameters!$B$25)*60</f>
        <v>0</v>
      </c>
      <c r="U1475" s="10">
        <f>IF(AND('[1]Pizza Sales Calculations'!G1475=TRUE,'[1]Pizza Sales Calculations'!S1475="TRUE"),T1475*[1]Parameters!$B$40*2,0)</f>
        <v>0</v>
      </c>
      <c r="V1475">
        <f>INDEX([1]Parameters!$A$3:$C$5,MATCH('[1]Pizza Sales Calculations'!D1475,[1]Parameters!$A$3:$A$5,0),2)</f>
        <v>7</v>
      </c>
      <c r="W1475">
        <f>INDEX([1]Parameters!$A$3:$C$5,MATCH('[1]Pizza Sales Calculations'!E1475,[1]Parameters!$A$3:$A$5,0),2)</f>
        <v>10</v>
      </c>
      <c r="X1475" t="e">
        <f>INDEX([1]Parameters!$A$3:$C$5,MATCH('[1]Pizza Sales Calculations'!F1475,[1]Parameters!$A$3:$A$5,0),2)</f>
        <v>#N/A</v>
      </c>
    </row>
    <row r="1476" spans="1:24" x14ac:dyDescent="0.3">
      <c r="A1476">
        <v>1475</v>
      </c>
      <c r="B1476" s="14">
        <v>42384.570983796293</v>
      </c>
      <c r="C1476" s="14">
        <v>42384.581412037034</v>
      </c>
      <c r="D1476" t="s">
        <v>3</v>
      </c>
      <c r="E1476" t="s">
        <v>4</v>
      </c>
      <c r="G1476" t="b">
        <v>0</v>
      </c>
      <c r="H1476">
        <v>70805</v>
      </c>
      <c r="I1476" s="5">
        <v>0</v>
      </c>
      <c r="J1476" s="14">
        <v>42384.583506944444</v>
      </c>
      <c r="K1476">
        <v>19.579999999999998</v>
      </c>
      <c r="L1476" s="5">
        <f>('[1]Pizza Sales Calculations'!$J1476-'[1]Pizza Sales Calculations'!$C1476)*24*60</f>
        <v>3.0166666698642075</v>
      </c>
      <c r="M1476">
        <f>COUNTA('[1]Pizza Sales Calculations'!$D1476:$F1476)</f>
        <v>2</v>
      </c>
      <c r="N1476">
        <f>IFERROR(VLOOKUP(D1476,[1]Parameters!$A$3:$C$5,3,FALSE),0)</f>
        <v>1</v>
      </c>
      <c r="O1476">
        <f>IFERROR(VLOOKUP(E1476,[1]Parameters!$A$3:$C$5,3,FALSE),0)</f>
        <v>1.7</v>
      </c>
      <c r="P1476">
        <f>IFERROR(VLOOKUP(F1476,[1]Parameters!$A$3:$C$5,3,FALSE),0)</f>
        <v>0</v>
      </c>
      <c r="Q1476">
        <f t="shared" si="23"/>
        <v>2.7</v>
      </c>
      <c r="R1476" s="10">
        <f>IF('[1]Pizza Sales Calculations'!$G1476=TRUE, [1]Parameters!$B$17*'[1]Pizza Sales Calculations'!$L1476*2, 0)</f>
        <v>0</v>
      </c>
      <c r="S1476" t="str">
        <f>IF(I1476&lt;[1]Parameters!$B$21,"TRUE","FALSE")</f>
        <v>TRUE</v>
      </c>
      <c r="T1476" s="5">
        <f>(I1476/[1]Parameters!$B$25)*60</f>
        <v>0</v>
      </c>
      <c r="U1476" s="10">
        <f>IF(AND('[1]Pizza Sales Calculations'!G1476=TRUE,'[1]Pizza Sales Calculations'!S1476="TRUE"),T1476*[1]Parameters!$B$40*2,0)</f>
        <v>0</v>
      </c>
      <c r="V1476">
        <f>INDEX([1]Parameters!$A$3:$C$5,MATCH('[1]Pizza Sales Calculations'!D1476,[1]Parameters!$A$3:$A$5,0),2)</f>
        <v>7</v>
      </c>
      <c r="W1476">
        <f>INDEX([1]Parameters!$A$3:$C$5,MATCH('[1]Pizza Sales Calculations'!E1476,[1]Parameters!$A$3:$A$5,0),2)</f>
        <v>10</v>
      </c>
      <c r="X1476" t="e">
        <f>INDEX([1]Parameters!$A$3:$C$5,MATCH('[1]Pizza Sales Calculations'!F1476,[1]Parameters!$A$3:$A$5,0),2)</f>
        <v>#N/A</v>
      </c>
    </row>
    <row r="1477" spans="1:24" x14ac:dyDescent="0.3">
      <c r="A1477">
        <v>1476</v>
      </c>
      <c r="B1477" s="14">
        <v>42384.521967592591</v>
      </c>
      <c r="C1477" s="14">
        <v>42384.532384259262</v>
      </c>
      <c r="D1477" t="s">
        <v>3</v>
      </c>
      <c r="G1477" t="b">
        <v>0</v>
      </c>
      <c r="H1477">
        <v>70806</v>
      </c>
      <c r="I1477" s="5">
        <v>0</v>
      </c>
      <c r="J1477" s="14">
        <v>42384.534444444442</v>
      </c>
      <c r="K1477">
        <v>7.99</v>
      </c>
      <c r="L1477" s="5">
        <f>('[1]Pizza Sales Calculations'!$J1477-'[1]Pizza Sales Calculations'!$C1477)*24*60</f>
        <v>2.9666666581761092</v>
      </c>
      <c r="M1477">
        <f>COUNTA('[1]Pizza Sales Calculations'!$D1477:$F1477)</f>
        <v>1</v>
      </c>
      <c r="N1477">
        <f>IFERROR(VLOOKUP(D1477,[1]Parameters!$A$3:$C$5,3,FALSE),0)</f>
        <v>1</v>
      </c>
      <c r="O1477">
        <f>IFERROR(VLOOKUP(E1477,[1]Parameters!$A$3:$C$5,3,FALSE),0)</f>
        <v>0</v>
      </c>
      <c r="P1477">
        <f>IFERROR(VLOOKUP(F1477,[1]Parameters!$A$3:$C$5,3,FALSE),0)</f>
        <v>0</v>
      </c>
      <c r="Q1477">
        <f t="shared" si="23"/>
        <v>1</v>
      </c>
      <c r="R1477" s="10">
        <f>IF('[1]Pizza Sales Calculations'!$G1477=TRUE, [1]Parameters!$B$17*'[1]Pizza Sales Calculations'!$L1477*2, 0)</f>
        <v>0</v>
      </c>
      <c r="S1477" t="str">
        <f>IF(I1477&lt;[1]Parameters!$B$21,"TRUE","FALSE")</f>
        <v>TRUE</v>
      </c>
      <c r="T1477" s="5">
        <f>(I1477/[1]Parameters!$B$25)*60</f>
        <v>0</v>
      </c>
      <c r="U1477" s="10">
        <f>IF(AND('[1]Pizza Sales Calculations'!G1477=TRUE,'[1]Pizza Sales Calculations'!S1477="TRUE"),T1477*[1]Parameters!$B$40*2,0)</f>
        <v>0</v>
      </c>
      <c r="V1477">
        <f>INDEX([1]Parameters!$A$3:$C$5,MATCH('[1]Pizza Sales Calculations'!D1477,[1]Parameters!$A$3:$A$5,0),2)</f>
        <v>7</v>
      </c>
      <c r="W1477" t="e">
        <f>INDEX([1]Parameters!$A$3:$C$5,MATCH('[1]Pizza Sales Calculations'!E1477,[1]Parameters!$A$3:$A$5,0),2)</f>
        <v>#N/A</v>
      </c>
      <c r="X1477" t="e">
        <f>INDEX([1]Parameters!$A$3:$C$5,MATCH('[1]Pizza Sales Calculations'!F1477,[1]Parameters!$A$3:$A$5,0),2)</f>
        <v>#N/A</v>
      </c>
    </row>
    <row r="1478" spans="1:24" x14ac:dyDescent="0.3">
      <c r="A1478">
        <v>1477</v>
      </c>
      <c r="B1478" s="14">
        <v>42384.536053240743</v>
      </c>
      <c r="C1478" s="14">
        <v>42384.546469907407</v>
      </c>
      <c r="D1478" t="s">
        <v>3</v>
      </c>
      <c r="E1478" t="s">
        <v>4</v>
      </c>
      <c r="G1478" t="b">
        <v>0</v>
      </c>
      <c r="H1478">
        <v>70804</v>
      </c>
      <c r="I1478" s="5">
        <v>0</v>
      </c>
      <c r="J1478" s="14">
        <v>42384.54855324074</v>
      </c>
      <c r="K1478">
        <v>19.579999999999998</v>
      </c>
      <c r="L1478" s="5">
        <f>('[1]Pizza Sales Calculations'!$J1478-'[1]Pizza Sales Calculations'!$C1478)*24*60</f>
        <v>2.9999999993015081</v>
      </c>
      <c r="M1478">
        <f>COUNTA('[1]Pizza Sales Calculations'!$D1478:$F1478)</f>
        <v>2</v>
      </c>
      <c r="N1478">
        <f>IFERROR(VLOOKUP(D1478,[1]Parameters!$A$3:$C$5,3,FALSE),0)</f>
        <v>1</v>
      </c>
      <c r="O1478">
        <f>IFERROR(VLOOKUP(E1478,[1]Parameters!$A$3:$C$5,3,FALSE),0)</f>
        <v>1.7</v>
      </c>
      <c r="P1478">
        <f>IFERROR(VLOOKUP(F1478,[1]Parameters!$A$3:$C$5,3,FALSE),0)</f>
        <v>0</v>
      </c>
      <c r="Q1478">
        <f t="shared" si="23"/>
        <v>2.7</v>
      </c>
      <c r="R1478" s="10">
        <f>IF('[1]Pizza Sales Calculations'!$G1478=TRUE, [1]Parameters!$B$17*'[1]Pizza Sales Calculations'!$L1478*2, 0)</f>
        <v>0</v>
      </c>
      <c r="S1478" t="str">
        <f>IF(I1478&lt;[1]Parameters!$B$21,"TRUE","FALSE")</f>
        <v>TRUE</v>
      </c>
      <c r="T1478" s="5">
        <f>(I1478/[1]Parameters!$B$25)*60</f>
        <v>0</v>
      </c>
      <c r="U1478" s="10">
        <f>IF(AND('[1]Pizza Sales Calculations'!G1478=TRUE,'[1]Pizza Sales Calculations'!S1478="TRUE"),T1478*[1]Parameters!$B$40*2,0)</f>
        <v>0</v>
      </c>
      <c r="V1478">
        <f>INDEX([1]Parameters!$A$3:$C$5,MATCH('[1]Pizza Sales Calculations'!D1478,[1]Parameters!$A$3:$A$5,0),2)</f>
        <v>7</v>
      </c>
      <c r="W1478">
        <f>INDEX([1]Parameters!$A$3:$C$5,MATCH('[1]Pizza Sales Calculations'!E1478,[1]Parameters!$A$3:$A$5,0),2)</f>
        <v>10</v>
      </c>
      <c r="X1478" t="e">
        <f>INDEX([1]Parameters!$A$3:$C$5,MATCH('[1]Pizza Sales Calculations'!F1478,[1]Parameters!$A$3:$A$5,0),2)</f>
        <v>#N/A</v>
      </c>
    </row>
    <row r="1479" spans="1:24" x14ac:dyDescent="0.3">
      <c r="A1479">
        <v>1478</v>
      </c>
      <c r="B1479" s="14">
        <v>42384.482905092591</v>
      </c>
      <c r="C1479" s="14">
        <v>42384.493298611109</v>
      </c>
      <c r="D1479" t="s">
        <v>5</v>
      </c>
      <c r="G1479" t="b">
        <v>1</v>
      </c>
      <c r="H1479">
        <v>70806</v>
      </c>
      <c r="I1479" s="5">
        <v>2.9128691247071501</v>
      </c>
      <c r="J1479" s="14">
        <v>42384.50340277778</v>
      </c>
      <c r="K1479">
        <v>15.35</v>
      </c>
      <c r="L1479" s="5">
        <f>('[1]Pizza Sales Calculations'!$J1479-'[1]Pizza Sales Calculations'!$C1479)*24*60</f>
        <v>14.550000006565824</v>
      </c>
      <c r="M1479">
        <f>COUNTA('[1]Pizza Sales Calculations'!$D1479:$F1479)</f>
        <v>1</v>
      </c>
      <c r="N1479">
        <f>IFERROR(VLOOKUP(D1479,[1]Parameters!$A$3:$C$5,3,FALSE),0)</f>
        <v>2.2999999999999998</v>
      </c>
      <c r="O1479">
        <f>IFERROR(VLOOKUP(E1479,[1]Parameters!$A$3:$C$5,3,FALSE),0)</f>
        <v>0</v>
      </c>
      <c r="P1479">
        <f>IFERROR(VLOOKUP(F1479,[1]Parameters!$A$3:$C$5,3,FALSE),0)</f>
        <v>0</v>
      </c>
      <c r="Q1479">
        <f t="shared" si="23"/>
        <v>2.2999999999999998</v>
      </c>
      <c r="R1479" s="10">
        <f>IF('[1]Pizza Sales Calculations'!$G1479=TRUE, [1]Parameters!$B$17*'[1]Pizza Sales Calculations'!$L1479*2, 0)</f>
        <v>4.1225000018603168</v>
      </c>
      <c r="S1479" t="str">
        <f>IF(I1479&lt;[1]Parameters!$B$21,"TRUE","FALSE")</f>
        <v>TRUE</v>
      </c>
      <c r="T1479" s="5">
        <f>(I1479/[1]Parameters!$B$25)*60</f>
        <v>5.8257382494143002</v>
      </c>
      <c r="U1479" s="10">
        <f>IF(AND('[1]Pizza Sales Calculations'!G1479=TRUE,'[1]Pizza Sales Calculations'!S1479="TRUE"),T1479*[1]Parameters!$B$40*2,0)</f>
        <v>0.3636578921951743</v>
      </c>
      <c r="V1479">
        <f>INDEX([1]Parameters!$A$3:$C$5,MATCH('[1]Pizza Sales Calculations'!D1479,[1]Parameters!$A$3:$A$5,0),2)</f>
        <v>14</v>
      </c>
      <c r="W1479" t="e">
        <f>INDEX([1]Parameters!$A$3:$C$5,MATCH('[1]Pizza Sales Calculations'!E1479,[1]Parameters!$A$3:$A$5,0),2)</f>
        <v>#N/A</v>
      </c>
      <c r="X1479" t="e">
        <f>INDEX([1]Parameters!$A$3:$C$5,MATCH('[1]Pizza Sales Calculations'!F1479,[1]Parameters!$A$3:$A$5,0),2)</f>
        <v>#N/A</v>
      </c>
    </row>
    <row r="1480" spans="1:24" x14ac:dyDescent="0.3">
      <c r="A1480">
        <v>1479</v>
      </c>
      <c r="B1480" s="14">
        <v>42384.449814814812</v>
      </c>
      <c r="C1480" s="14">
        <v>42384.460219907407</v>
      </c>
      <c r="D1480" t="s">
        <v>5</v>
      </c>
      <c r="G1480" t="b">
        <v>1</v>
      </c>
      <c r="H1480">
        <v>70804</v>
      </c>
      <c r="I1480" s="5">
        <v>0.67596521174083202</v>
      </c>
      <c r="J1480" s="14">
        <v>42384.462557870371</v>
      </c>
      <c r="K1480">
        <v>15.35</v>
      </c>
      <c r="L1480" s="5">
        <f>('[1]Pizza Sales Calculations'!$J1480-'[1]Pizza Sales Calculations'!$C1480)*24*60</f>
        <v>3.366666667861864</v>
      </c>
      <c r="M1480">
        <f>COUNTA('[1]Pizza Sales Calculations'!$D1480:$F1480)</f>
        <v>1</v>
      </c>
      <c r="N1480">
        <f>IFERROR(VLOOKUP(D1480,[1]Parameters!$A$3:$C$5,3,FALSE),0)</f>
        <v>2.2999999999999998</v>
      </c>
      <c r="O1480">
        <f>IFERROR(VLOOKUP(E1480,[1]Parameters!$A$3:$C$5,3,FALSE),0)</f>
        <v>0</v>
      </c>
      <c r="P1480">
        <f>IFERROR(VLOOKUP(F1480,[1]Parameters!$A$3:$C$5,3,FALSE),0)</f>
        <v>0</v>
      </c>
      <c r="Q1480">
        <f t="shared" si="23"/>
        <v>2.2999999999999998</v>
      </c>
      <c r="R1480" s="10">
        <f>IF('[1]Pizza Sales Calculations'!$G1480=TRUE, [1]Parameters!$B$17*'[1]Pizza Sales Calculations'!$L1480*2, 0)</f>
        <v>0.95388888922752813</v>
      </c>
      <c r="S1480" t="str">
        <f>IF(I1480&lt;[1]Parameters!$B$21,"TRUE","FALSE")</f>
        <v>TRUE</v>
      </c>
      <c r="T1480" s="5">
        <f>(I1480/[1]Parameters!$B$25)*60</f>
        <v>1.351930423481664</v>
      </c>
      <c r="U1480" s="10">
        <f>IF(AND('[1]Pizza Sales Calculations'!G1480=TRUE,'[1]Pizza Sales Calculations'!S1480="TRUE"),T1480*[1]Parameters!$B$40*2,0)</f>
        <v>8.43910500522915E-2</v>
      </c>
      <c r="V1480">
        <f>INDEX([1]Parameters!$A$3:$C$5,MATCH('[1]Pizza Sales Calculations'!D1480,[1]Parameters!$A$3:$A$5,0),2)</f>
        <v>14</v>
      </c>
      <c r="W1480" t="e">
        <f>INDEX([1]Parameters!$A$3:$C$5,MATCH('[1]Pizza Sales Calculations'!E1480,[1]Parameters!$A$3:$A$5,0),2)</f>
        <v>#N/A</v>
      </c>
      <c r="X1480" t="e">
        <f>INDEX([1]Parameters!$A$3:$C$5,MATCH('[1]Pizza Sales Calculations'!F1480,[1]Parameters!$A$3:$A$5,0),2)</f>
        <v>#N/A</v>
      </c>
    </row>
    <row r="1481" spans="1:24" x14ac:dyDescent="0.3">
      <c r="A1481">
        <v>1480</v>
      </c>
      <c r="B1481" s="14">
        <v>42384.53633101852</v>
      </c>
      <c r="C1481" s="14">
        <v>42384.546747685185</v>
      </c>
      <c r="D1481" t="s">
        <v>3</v>
      </c>
      <c r="E1481" t="s">
        <v>4</v>
      </c>
      <c r="G1481" t="b">
        <v>1</v>
      </c>
      <c r="H1481">
        <v>70805</v>
      </c>
      <c r="I1481" s="5">
        <v>5.1379089968484601</v>
      </c>
      <c r="J1481" s="14">
        <v>42384.564583333333</v>
      </c>
      <c r="K1481">
        <v>19.579999999999998</v>
      </c>
      <c r="L1481" s="5">
        <f>('[1]Pizza Sales Calculations'!$J1481-'[1]Pizza Sales Calculations'!$C1481)*24*60</f>
        <v>25.683333333581686</v>
      </c>
      <c r="M1481">
        <f>COUNTA('[1]Pizza Sales Calculations'!$D1481:$F1481)</f>
        <v>2</v>
      </c>
      <c r="N1481">
        <f>IFERROR(VLOOKUP(D1481,[1]Parameters!$A$3:$C$5,3,FALSE),0)</f>
        <v>1</v>
      </c>
      <c r="O1481">
        <f>IFERROR(VLOOKUP(E1481,[1]Parameters!$A$3:$C$5,3,FALSE),0)</f>
        <v>1.7</v>
      </c>
      <c r="P1481">
        <f>IFERROR(VLOOKUP(F1481,[1]Parameters!$A$3:$C$5,3,FALSE),0)</f>
        <v>0</v>
      </c>
      <c r="Q1481">
        <f t="shared" si="23"/>
        <v>2.7</v>
      </c>
      <c r="R1481" s="10">
        <f>IF('[1]Pizza Sales Calculations'!$G1481=TRUE, [1]Parameters!$B$17*'[1]Pizza Sales Calculations'!$L1481*2, 0)</f>
        <v>7.276944444514811</v>
      </c>
      <c r="S1481" t="str">
        <f>IF(I1481&lt;[1]Parameters!$B$21,"TRUE","FALSE")</f>
        <v>FALSE</v>
      </c>
      <c r="T1481" s="5">
        <f>(I1481/[1]Parameters!$B$25)*60</f>
        <v>10.27581799369692</v>
      </c>
      <c r="U1481" s="10">
        <f>IF(AND('[1]Pizza Sales Calculations'!G1481=TRUE,'[1]Pizza Sales Calculations'!S1481="TRUE"),T1481*[1]Parameters!$B$40*2,0)</f>
        <v>0</v>
      </c>
      <c r="V1481">
        <f>INDEX([1]Parameters!$A$3:$C$5,MATCH('[1]Pizza Sales Calculations'!D1481,[1]Parameters!$A$3:$A$5,0),2)</f>
        <v>7</v>
      </c>
      <c r="W1481">
        <f>INDEX([1]Parameters!$A$3:$C$5,MATCH('[1]Pizza Sales Calculations'!E1481,[1]Parameters!$A$3:$A$5,0),2)</f>
        <v>10</v>
      </c>
      <c r="X1481" t="e">
        <f>INDEX([1]Parameters!$A$3:$C$5,MATCH('[1]Pizza Sales Calculations'!F1481,[1]Parameters!$A$3:$A$5,0),2)</f>
        <v>#N/A</v>
      </c>
    </row>
    <row r="1482" spans="1:24" x14ac:dyDescent="0.3">
      <c r="A1482">
        <v>1481</v>
      </c>
      <c r="B1482" s="14">
        <v>42384.463738425926</v>
      </c>
      <c r="C1482" s="14">
        <v>42384.474166666667</v>
      </c>
      <c r="D1482" t="s">
        <v>5</v>
      </c>
      <c r="G1482" t="b">
        <v>1</v>
      </c>
      <c r="H1482">
        <v>70805</v>
      </c>
      <c r="I1482" s="5">
        <v>2.6640946008201398</v>
      </c>
      <c r="J1482" s="14">
        <v>42384.483414351853</v>
      </c>
      <c r="K1482">
        <v>15.35</v>
      </c>
      <c r="L1482" s="5">
        <f>('[1]Pizza Sales Calculations'!$J1482-'[1]Pizza Sales Calculations'!$C1482)*24*60</f>
        <v>13.316666667815298</v>
      </c>
      <c r="M1482">
        <f>COUNTA('[1]Pizza Sales Calculations'!$D1482:$F1482)</f>
        <v>1</v>
      </c>
      <c r="N1482">
        <f>IFERROR(VLOOKUP(D1482,[1]Parameters!$A$3:$C$5,3,FALSE),0)</f>
        <v>2.2999999999999998</v>
      </c>
      <c r="O1482">
        <f>IFERROR(VLOOKUP(E1482,[1]Parameters!$A$3:$C$5,3,FALSE),0)</f>
        <v>0</v>
      </c>
      <c r="P1482">
        <f>IFERROR(VLOOKUP(F1482,[1]Parameters!$A$3:$C$5,3,FALSE),0)</f>
        <v>0</v>
      </c>
      <c r="Q1482">
        <f t="shared" si="23"/>
        <v>2.2999999999999998</v>
      </c>
      <c r="R1482" s="10">
        <f>IF('[1]Pizza Sales Calculations'!$G1482=TRUE, [1]Parameters!$B$17*'[1]Pizza Sales Calculations'!$L1482*2, 0)</f>
        <v>3.7730555558810011</v>
      </c>
      <c r="S1482" t="str">
        <f>IF(I1482&lt;[1]Parameters!$B$21,"TRUE","FALSE")</f>
        <v>TRUE</v>
      </c>
      <c r="T1482" s="5">
        <f>(I1482/[1]Parameters!$B$25)*60</f>
        <v>5.3281892016402796</v>
      </c>
      <c r="U1482" s="10">
        <f>IF(AND('[1]Pizza Sales Calculations'!G1482=TRUE,'[1]Pizza Sales Calculations'!S1482="TRUE"),T1482*[1]Parameters!$B$40*2,0)</f>
        <v>0.3325995730207062</v>
      </c>
      <c r="V1482">
        <f>INDEX([1]Parameters!$A$3:$C$5,MATCH('[1]Pizza Sales Calculations'!D1482,[1]Parameters!$A$3:$A$5,0),2)</f>
        <v>14</v>
      </c>
      <c r="W1482" t="e">
        <f>INDEX([1]Parameters!$A$3:$C$5,MATCH('[1]Pizza Sales Calculations'!E1482,[1]Parameters!$A$3:$A$5,0),2)</f>
        <v>#N/A</v>
      </c>
      <c r="X1482" t="e">
        <f>INDEX([1]Parameters!$A$3:$C$5,MATCH('[1]Pizza Sales Calculations'!F1482,[1]Parameters!$A$3:$A$5,0),2)</f>
        <v>#N/A</v>
      </c>
    </row>
    <row r="1483" spans="1:24" x14ac:dyDescent="0.3">
      <c r="A1483">
        <v>1482</v>
      </c>
      <c r="B1483" s="14">
        <v>42384.540983796294</v>
      </c>
      <c r="C1483" s="14">
        <v>42384.551412037035</v>
      </c>
      <c r="D1483" t="s">
        <v>3</v>
      </c>
      <c r="E1483" t="s">
        <v>5</v>
      </c>
      <c r="G1483" t="b">
        <v>0</v>
      </c>
      <c r="H1483">
        <v>70805</v>
      </c>
      <c r="I1483" s="5">
        <v>0</v>
      </c>
      <c r="J1483" s="14">
        <v>42384.553472222222</v>
      </c>
      <c r="K1483">
        <v>23.34</v>
      </c>
      <c r="L1483" s="5">
        <f>('[1]Pizza Sales Calculations'!$J1483-'[1]Pizza Sales Calculations'!$C1483)*24*60</f>
        <v>2.9666666686534882</v>
      </c>
      <c r="M1483">
        <f>COUNTA('[1]Pizza Sales Calculations'!$D1483:$F1483)</f>
        <v>2</v>
      </c>
      <c r="N1483">
        <f>IFERROR(VLOOKUP(D1483,[1]Parameters!$A$3:$C$5,3,FALSE),0)</f>
        <v>1</v>
      </c>
      <c r="O1483">
        <f>IFERROR(VLOOKUP(E1483,[1]Parameters!$A$3:$C$5,3,FALSE),0)</f>
        <v>2.2999999999999998</v>
      </c>
      <c r="P1483">
        <f>IFERROR(VLOOKUP(F1483,[1]Parameters!$A$3:$C$5,3,FALSE),0)</f>
        <v>0</v>
      </c>
      <c r="Q1483">
        <f t="shared" si="23"/>
        <v>3.3</v>
      </c>
      <c r="R1483" s="10">
        <f>IF('[1]Pizza Sales Calculations'!$G1483=TRUE, [1]Parameters!$B$17*'[1]Pizza Sales Calculations'!$L1483*2, 0)</f>
        <v>0</v>
      </c>
      <c r="S1483" t="str">
        <f>IF(I1483&lt;[1]Parameters!$B$21,"TRUE","FALSE")</f>
        <v>TRUE</v>
      </c>
      <c r="T1483" s="5">
        <f>(I1483/[1]Parameters!$B$25)*60</f>
        <v>0</v>
      </c>
      <c r="U1483" s="10">
        <f>IF(AND('[1]Pizza Sales Calculations'!G1483=TRUE,'[1]Pizza Sales Calculations'!S1483="TRUE"),T1483*[1]Parameters!$B$40*2,0)</f>
        <v>0</v>
      </c>
      <c r="V1483">
        <f>INDEX([1]Parameters!$A$3:$C$5,MATCH('[1]Pizza Sales Calculations'!D1483,[1]Parameters!$A$3:$A$5,0),2)</f>
        <v>7</v>
      </c>
      <c r="W1483">
        <f>INDEX([1]Parameters!$A$3:$C$5,MATCH('[1]Pizza Sales Calculations'!E1483,[1]Parameters!$A$3:$A$5,0),2)</f>
        <v>14</v>
      </c>
      <c r="X1483" t="e">
        <f>INDEX([1]Parameters!$A$3:$C$5,MATCH('[1]Pizza Sales Calculations'!F1483,[1]Parameters!$A$3:$A$5,0),2)</f>
        <v>#N/A</v>
      </c>
    </row>
    <row r="1484" spans="1:24" x14ac:dyDescent="0.3">
      <c r="A1484">
        <v>1483</v>
      </c>
      <c r="B1484" s="14">
        <v>42384.592881944445</v>
      </c>
      <c r="C1484" s="14">
        <v>42384.603263888886</v>
      </c>
      <c r="D1484" t="s">
        <v>5</v>
      </c>
      <c r="G1484" t="b">
        <v>1</v>
      </c>
      <c r="H1484">
        <v>70804</v>
      </c>
      <c r="I1484" s="5">
        <v>6.0262860107950997</v>
      </c>
      <c r="J1484" s="14">
        <v>42384.624178240738</v>
      </c>
      <c r="K1484">
        <v>15.35</v>
      </c>
      <c r="L1484" s="5">
        <f>('[1]Pizza Sales Calculations'!$J1484-'[1]Pizza Sales Calculations'!$C1484)*24*60</f>
        <v>30.116666665999219</v>
      </c>
      <c r="M1484">
        <f>COUNTA('[1]Pizza Sales Calculations'!$D1484:$F1484)</f>
        <v>1</v>
      </c>
      <c r="N1484">
        <f>IFERROR(VLOOKUP(D1484,[1]Parameters!$A$3:$C$5,3,FALSE),0)</f>
        <v>2.2999999999999998</v>
      </c>
      <c r="O1484">
        <f>IFERROR(VLOOKUP(E1484,[1]Parameters!$A$3:$C$5,3,FALSE),0)</f>
        <v>0</v>
      </c>
      <c r="P1484">
        <f>IFERROR(VLOOKUP(F1484,[1]Parameters!$A$3:$C$5,3,FALSE),0)</f>
        <v>0</v>
      </c>
      <c r="Q1484">
        <f t="shared" si="23"/>
        <v>2.2999999999999998</v>
      </c>
      <c r="R1484" s="10">
        <f>IF('[1]Pizza Sales Calculations'!$G1484=TRUE, [1]Parameters!$B$17*'[1]Pizza Sales Calculations'!$L1484*2, 0)</f>
        <v>8.5330555553664453</v>
      </c>
      <c r="S1484" t="str">
        <f>IF(I1484&lt;[1]Parameters!$B$21,"TRUE","FALSE")</f>
        <v>FALSE</v>
      </c>
      <c r="T1484" s="5">
        <f>(I1484/[1]Parameters!$B$25)*60</f>
        <v>12.052572021590199</v>
      </c>
      <c r="U1484" s="10">
        <f>IF(AND('[1]Pizza Sales Calculations'!G1484=TRUE,'[1]Pizza Sales Calculations'!S1484="TRUE"),T1484*[1]Parameters!$B$40*2,0)</f>
        <v>0</v>
      </c>
      <c r="V1484">
        <f>INDEX([1]Parameters!$A$3:$C$5,MATCH('[1]Pizza Sales Calculations'!D1484,[1]Parameters!$A$3:$A$5,0),2)</f>
        <v>14</v>
      </c>
      <c r="W1484" t="e">
        <f>INDEX([1]Parameters!$A$3:$C$5,MATCH('[1]Pizza Sales Calculations'!E1484,[1]Parameters!$A$3:$A$5,0),2)</f>
        <v>#N/A</v>
      </c>
      <c r="X1484" t="e">
        <f>INDEX([1]Parameters!$A$3:$C$5,MATCH('[1]Pizza Sales Calculations'!F1484,[1]Parameters!$A$3:$A$5,0),2)</f>
        <v>#N/A</v>
      </c>
    </row>
    <row r="1485" spans="1:24" x14ac:dyDescent="0.3">
      <c r="A1485">
        <v>1484</v>
      </c>
      <c r="B1485" s="14">
        <v>42384.480995370373</v>
      </c>
      <c r="C1485" s="14">
        <v>42384.491412037038</v>
      </c>
      <c r="D1485" t="s">
        <v>4</v>
      </c>
      <c r="G1485" t="b">
        <v>1</v>
      </c>
      <c r="H1485">
        <v>70804</v>
      </c>
      <c r="I1485" s="5">
        <v>2.4311442521818298</v>
      </c>
      <c r="J1485" s="14">
        <v>42384.499849537038</v>
      </c>
      <c r="K1485">
        <v>11.59</v>
      </c>
      <c r="L1485" s="5">
        <f>('[1]Pizza Sales Calculations'!$J1485-'[1]Pizza Sales Calculations'!$C1485)*24*60</f>
        <v>12.15000000083819</v>
      </c>
      <c r="M1485">
        <f>COUNTA('[1]Pizza Sales Calculations'!$D1485:$F1485)</f>
        <v>1</v>
      </c>
      <c r="N1485">
        <f>IFERROR(VLOOKUP(D1485,[1]Parameters!$A$3:$C$5,3,FALSE),0)</f>
        <v>1.7</v>
      </c>
      <c r="O1485">
        <f>IFERROR(VLOOKUP(E1485,[1]Parameters!$A$3:$C$5,3,FALSE),0)</f>
        <v>0</v>
      </c>
      <c r="P1485">
        <f>IFERROR(VLOOKUP(F1485,[1]Parameters!$A$3:$C$5,3,FALSE),0)</f>
        <v>0</v>
      </c>
      <c r="Q1485">
        <f t="shared" si="23"/>
        <v>1.7</v>
      </c>
      <c r="R1485" s="10">
        <f>IF('[1]Pizza Sales Calculations'!$G1485=TRUE, [1]Parameters!$B$17*'[1]Pizza Sales Calculations'!$L1485*2, 0)</f>
        <v>3.4425000002374873</v>
      </c>
      <c r="S1485" t="str">
        <f>IF(I1485&lt;[1]Parameters!$B$21,"TRUE","FALSE")</f>
        <v>TRUE</v>
      </c>
      <c r="T1485" s="5">
        <f>(I1485/[1]Parameters!$B$25)*60</f>
        <v>4.8622885043636597</v>
      </c>
      <c r="U1485" s="10">
        <f>IF(AND('[1]Pizza Sales Calculations'!G1485=TRUE,'[1]Pizza Sales Calculations'!S1485="TRUE"),T1485*[1]Parameters!$B$40*2,0)</f>
        <v>0.30351682705955502</v>
      </c>
      <c r="V1485">
        <f>INDEX([1]Parameters!$A$3:$C$5,MATCH('[1]Pizza Sales Calculations'!D1485,[1]Parameters!$A$3:$A$5,0),2)</f>
        <v>10</v>
      </c>
      <c r="W1485" t="e">
        <f>INDEX([1]Parameters!$A$3:$C$5,MATCH('[1]Pizza Sales Calculations'!E1485,[1]Parameters!$A$3:$A$5,0),2)</f>
        <v>#N/A</v>
      </c>
      <c r="X1485" t="e">
        <f>INDEX([1]Parameters!$A$3:$C$5,MATCH('[1]Pizza Sales Calculations'!F1485,[1]Parameters!$A$3:$A$5,0),2)</f>
        <v>#N/A</v>
      </c>
    </row>
    <row r="1486" spans="1:24" x14ac:dyDescent="0.3">
      <c r="A1486">
        <v>1485</v>
      </c>
      <c r="B1486" s="14">
        <v>42384.497407407405</v>
      </c>
      <c r="C1486" s="14">
        <v>42384.5078125</v>
      </c>
      <c r="D1486" t="s">
        <v>4</v>
      </c>
      <c r="G1486" t="b">
        <v>0</v>
      </c>
      <c r="H1486">
        <v>70804</v>
      </c>
      <c r="I1486" s="5">
        <v>0</v>
      </c>
      <c r="J1486" s="14">
        <v>42384.509872685187</v>
      </c>
      <c r="K1486">
        <v>11.59</v>
      </c>
      <c r="L1486" s="5">
        <f>('[1]Pizza Sales Calculations'!$J1486-'[1]Pizza Sales Calculations'!$C1486)*24*60</f>
        <v>2.9666666686534882</v>
      </c>
      <c r="M1486">
        <f>COUNTA('[1]Pizza Sales Calculations'!$D1486:$F1486)</f>
        <v>1</v>
      </c>
      <c r="N1486">
        <f>IFERROR(VLOOKUP(D1486,[1]Parameters!$A$3:$C$5,3,FALSE),0)</f>
        <v>1.7</v>
      </c>
      <c r="O1486">
        <f>IFERROR(VLOOKUP(E1486,[1]Parameters!$A$3:$C$5,3,FALSE),0)</f>
        <v>0</v>
      </c>
      <c r="P1486">
        <f>IFERROR(VLOOKUP(F1486,[1]Parameters!$A$3:$C$5,3,FALSE),0)</f>
        <v>0</v>
      </c>
      <c r="Q1486">
        <f t="shared" si="23"/>
        <v>1.7</v>
      </c>
      <c r="R1486" s="10">
        <f>IF('[1]Pizza Sales Calculations'!$G1486=TRUE, [1]Parameters!$B$17*'[1]Pizza Sales Calculations'!$L1486*2, 0)</f>
        <v>0</v>
      </c>
      <c r="S1486" t="str">
        <f>IF(I1486&lt;[1]Parameters!$B$21,"TRUE","FALSE")</f>
        <v>TRUE</v>
      </c>
      <c r="T1486" s="5">
        <f>(I1486/[1]Parameters!$B$25)*60</f>
        <v>0</v>
      </c>
      <c r="U1486" s="10">
        <f>IF(AND('[1]Pizza Sales Calculations'!G1486=TRUE,'[1]Pizza Sales Calculations'!S1486="TRUE"),T1486*[1]Parameters!$B$40*2,0)</f>
        <v>0</v>
      </c>
      <c r="V1486">
        <f>INDEX([1]Parameters!$A$3:$C$5,MATCH('[1]Pizza Sales Calculations'!D1486,[1]Parameters!$A$3:$A$5,0),2)</f>
        <v>10</v>
      </c>
      <c r="W1486" t="e">
        <f>INDEX([1]Parameters!$A$3:$C$5,MATCH('[1]Pizza Sales Calculations'!E1486,[1]Parameters!$A$3:$A$5,0),2)</f>
        <v>#N/A</v>
      </c>
      <c r="X1486" t="e">
        <f>INDEX([1]Parameters!$A$3:$C$5,MATCH('[1]Pizza Sales Calculations'!F1486,[1]Parameters!$A$3:$A$5,0),2)</f>
        <v>#N/A</v>
      </c>
    </row>
    <row r="1487" spans="1:24" x14ac:dyDescent="0.3">
      <c r="A1487">
        <v>1486</v>
      </c>
      <c r="B1487" s="14">
        <v>42384.478206018517</v>
      </c>
      <c r="C1487" s="14">
        <v>42384.488611111112</v>
      </c>
      <c r="D1487" t="s">
        <v>4</v>
      </c>
      <c r="G1487" t="b">
        <v>0</v>
      </c>
      <c r="H1487">
        <v>70803</v>
      </c>
      <c r="I1487" s="5">
        <v>0</v>
      </c>
      <c r="J1487" s="14">
        <v>42384.490706018521</v>
      </c>
      <c r="K1487">
        <v>11.59</v>
      </c>
      <c r="L1487" s="5">
        <f>('[1]Pizza Sales Calculations'!$J1487-'[1]Pizza Sales Calculations'!$C1487)*24*60</f>
        <v>3.0166666698642075</v>
      </c>
      <c r="M1487">
        <f>COUNTA('[1]Pizza Sales Calculations'!$D1487:$F1487)</f>
        <v>1</v>
      </c>
      <c r="N1487">
        <f>IFERROR(VLOOKUP(D1487,[1]Parameters!$A$3:$C$5,3,FALSE),0)</f>
        <v>1.7</v>
      </c>
      <c r="O1487">
        <f>IFERROR(VLOOKUP(E1487,[1]Parameters!$A$3:$C$5,3,FALSE),0)</f>
        <v>0</v>
      </c>
      <c r="P1487">
        <f>IFERROR(VLOOKUP(F1487,[1]Parameters!$A$3:$C$5,3,FALSE),0)</f>
        <v>0</v>
      </c>
      <c r="Q1487">
        <f t="shared" si="23"/>
        <v>1.7</v>
      </c>
      <c r="R1487" s="10">
        <f>IF('[1]Pizza Sales Calculations'!$G1487=TRUE, [1]Parameters!$B$17*'[1]Pizza Sales Calculations'!$L1487*2, 0)</f>
        <v>0</v>
      </c>
      <c r="S1487" t="str">
        <f>IF(I1487&lt;[1]Parameters!$B$21,"TRUE","FALSE")</f>
        <v>TRUE</v>
      </c>
      <c r="T1487" s="5">
        <f>(I1487/[1]Parameters!$B$25)*60</f>
        <v>0</v>
      </c>
      <c r="U1487" s="10">
        <f>IF(AND('[1]Pizza Sales Calculations'!G1487=TRUE,'[1]Pizza Sales Calculations'!S1487="TRUE"),T1487*[1]Parameters!$B$40*2,0)</f>
        <v>0</v>
      </c>
      <c r="V1487">
        <f>INDEX([1]Parameters!$A$3:$C$5,MATCH('[1]Pizza Sales Calculations'!D1487,[1]Parameters!$A$3:$A$5,0),2)</f>
        <v>10</v>
      </c>
      <c r="W1487" t="e">
        <f>INDEX([1]Parameters!$A$3:$C$5,MATCH('[1]Pizza Sales Calculations'!E1487,[1]Parameters!$A$3:$A$5,0),2)</f>
        <v>#N/A</v>
      </c>
      <c r="X1487" t="e">
        <f>INDEX([1]Parameters!$A$3:$C$5,MATCH('[1]Pizza Sales Calculations'!F1487,[1]Parameters!$A$3:$A$5,0),2)</f>
        <v>#N/A</v>
      </c>
    </row>
    <row r="1488" spans="1:24" x14ac:dyDescent="0.3">
      <c r="A1488">
        <v>1487</v>
      </c>
      <c r="B1488" s="14">
        <v>42384.462557870371</v>
      </c>
      <c r="C1488" s="14">
        <v>42384.472974537035</v>
      </c>
      <c r="D1488" t="s">
        <v>5</v>
      </c>
      <c r="G1488" t="b">
        <v>1</v>
      </c>
      <c r="H1488">
        <v>70804</v>
      </c>
      <c r="I1488" s="5">
        <v>2.4228389394357102</v>
      </c>
      <c r="J1488" s="14">
        <v>42384.481377314813</v>
      </c>
      <c r="K1488">
        <v>15.35</v>
      </c>
      <c r="L1488" s="5">
        <f>('[1]Pizza Sales Calculations'!$J1488-'[1]Pizza Sales Calculations'!$C1488)*24*60</f>
        <v>12.099999999627471</v>
      </c>
      <c r="M1488">
        <f>COUNTA('[1]Pizza Sales Calculations'!$D1488:$F1488)</f>
        <v>1</v>
      </c>
      <c r="N1488">
        <f>IFERROR(VLOOKUP(D1488,[1]Parameters!$A$3:$C$5,3,FALSE),0)</f>
        <v>2.2999999999999998</v>
      </c>
      <c r="O1488">
        <f>IFERROR(VLOOKUP(E1488,[1]Parameters!$A$3:$C$5,3,FALSE),0)</f>
        <v>0</v>
      </c>
      <c r="P1488">
        <f>IFERROR(VLOOKUP(F1488,[1]Parameters!$A$3:$C$5,3,FALSE),0)</f>
        <v>0</v>
      </c>
      <c r="Q1488">
        <f t="shared" si="23"/>
        <v>2.2999999999999998</v>
      </c>
      <c r="R1488" s="10">
        <f>IF('[1]Pizza Sales Calculations'!$G1488=TRUE, [1]Parameters!$B$17*'[1]Pizza Sales Calculations'!$L1488*2, 0)</f>
        <v>3.4283333332277834</v>
      </c>
      <c r="S1488" t="str">
        <f>IF(I1488&lt;[1]Parameters!$B$21,"TRUE","FALSE")</f>
        <v>TRUE</v>
      </c>
      <c r="T1488" s="5">
        <f>(I1488/[1]Parameters!$B$25)*60</f>
        <v>4.8456778788714203</v>
      </c>
      <c r="U1488" s="10">
        <f>IF(AND('[1]Pizza Sales Calculations'!G1488=TRUE,'[1]Pizza Sales Calculations'!S1488="TRUE"),T1488*[1]Parameters!$B$40*2,0)</f>
        <v>0.302479948161819</v>
      </c>
      <c r="V1488">
        <f>INDEX([1]Parameters!$A$3:$C$5,MATCH('[1]Pizza Sales Calculations'!D1488,[1]Parameters!$A$3:$A$5,0),2)</f>
        <v>14</v>
      </c>
      <c r="W1488" t="e">
        <f>INDEX([1]Parameters!$A$3:$C$5,MATCH('[1]Pizza Sales Calculations'!E1488,[1]Parameters!$A$3:$A$5,0),2)</f>
        <v>#N/A</v>
      </c>
      <c r="X1488" t="e">
        <f>INDEX([1]Parameters!$A$3:$C$5,MATCH('[1]Pizza Sales Calculations'!F1488,[1]Parameters!$A$3:$A$5,0),2)</f>
        <v>#N/A</v>
      </c>
    </row>
    <row r="1489" spans="1:24" x14ac:dyDescent="0.3">
      <c r="A1489">
        <v>1488</v>
      </c>
      <c r="B1489" s="14">
        <v>42384.476157407407</v>
      </c>
      <c r="C1489" s="14">
        <v>42384.486550925925</v>
      </c>
      <c r="D1489" t="s">
        <v>5</v>
      </c>
      <c r="G1489" t="b">
        <v>1</v>
      </c>
      <c r="H1489">
        <v>70804</v>
      </c>
      <c r="I1489" s="5">
        <v>3.97112199346246</v>
      </c>
      <c r="J1489" s="14">
        <v>42384.500335648147</v>
      </c>
      <c r="K1489">
        <v>15.35</v>
      </c>
      <c r="L1489" s="5">
        <f>('[1]Pizza Sales Calculations'!$J1489-'[1]Pizza Sales Calculations'!$C1489)*24*60</f>
        <v>19.849999998696148</v>
      </c>
      <c r="M1489">
        <f>COUNTA('[1]Pizza Sales Calculations'!$D1489:$F1489)</f>
        <v>1</v>
      </c>
      <c r="N1489">
        <f>IFERROR(VLOOKUP(D1489,[1]Parameters!$A$3:$C$5,3,FALSE),0)</f>
        <v>2.2999999999999998</v>
      </c>
      <c r="O1489">
        <f>IFERROR(VLOOKUP(E1489,[1]Parameters!$A$3:$C$5,3,FALSE),0)</f>
        <v>0</v>
      </c>
      <c r="P1489">
        <f>IFERROR(VLOOKUP(F1489,[1]Parameters!$A$3:$C$5,3,FALSE),0)</f>
        <v>0</v>
      </c>
      <c r="Q1489">
        <f t="shared" si="23"/>
        <v>2.2999999999999998</v>
      </c>
      <c r="R1489" s="10">
        <f>IF('[1]Pizza Sales Calculations'!$G1489=TRUE, [1]Parameters!$B$17*'[1]Pizza Sales Calculations'!$L1489*2, 0)</f>
        <v>5.624166666297242</v>
      </c>
      <c r="S1489" t="str">
        <f>IF(I1489&lt;[1]Parameters!$B$21,"TRUE","FALSE")</f>
        <v>FALSE</v>
      </c>
      <c r="T1489" s="5">
        <f>(I1489/[1]Parameters!$B$25)*60</f>
        <v>7.94224398692492</v>
      </c>
      <c r="U1489" s="10">
        <f>IF(AND('[1]Pizza Sales Calculations'!G1489=TRUE,'[1]Pizza Sales Calculations'!S1489="TRUE"),T1489*[1]Parameters!$B$40*2,0)</f>
        <v>0</v>
      </c>
      <c r="V1489">
        <f>INDEX([1]Parameters!$A$3:$C$5,MATCH('[1]Pizza Sales Calculations'!D1489,[1]Parameters!$A$3:$A$5,0),2)</f>
        <v>14</v>
      </c>
      <c r="W1489" t="e">
        <f>INDEX([1]Parameters!$A$3:$C$5,MATCH('[1]Pizza Sales Calculations'!E1489,[1]Parameters!$A$3:$A$5,0),2)</f>
        <v>#N/A</v>
      </c>
      <c r="X1489" t="e">
        <f>INDEX([1]Parameters!$A$3:$C$5,MATCH('[1]Pizza Sales Calculations'!F1489,[1]Parameters!$A$3:$A$5,0),2)</f>
        <v>#N/A</v>
      </c>
    </row>
    <row r="1490" spans="1:24" x14ac:dyDescent="0.3">
      <c r="A1490">
        <v>1489</v>
      </c>
      <c r="B1490" s="14">
        <v>42384.513182870367</v>
      </c>
      <c r="C1490" s="14">
        <v>42384.523599537039</v>
      </c>
      <c r="D1490" t="s">
        <v>5</v>
      </c>
      <c r="G1490" t="b">
        <v>0</v>
      </c>
      <c r="H1490">
        <v>70807</v>
      </c>
      <c r="I1490" s="5">
        <v>0</v>
      </c>
      <c r="J1490" s="14">
        <v>42384.525682870371</v>
      </c>
      <c r="K1490">
        <v>15.35</v>
      </c>
      <c r="L1490" s="5">
        <f>('[1]Pizza Sales Calculations'!$J1490-'[1]Pizza Sales Calculations'!$C1490)*24*60</f>
        <v>2.9999999993015081</v>
      </c>
      <c r="M1490">
        <f>COUNTA('[1]Pizza Sales Calculations'!$D1490:$F1490)</f>
        <v>1</v>
      </c>
      <c r="N1490">
        <f>IFERROR(VLOOKUP(D1490,[1]Parameters!$A$3:$C$5,3,FALSE),0)</f>
        <v>2.2999999999999998</v>
      </c>
      <c r="O1490">
        <f>IFERROR(VLOOKUP(E1490,[1]Parameters!$A$3:$C$5,3,FALSE),0)</f>
        <v>0</v>
      </c>
      <c r="P1490">
        <f>IFERROR(VLOOKUP(F1490,[1]Parameters!$A$3:$C$5,3,FALSE),0)</f>
        <v>0</v>
      </c>
      <c r="Q1490">
        <f t="shared" si="23"/>
        <v>2.2999999999999998</v>
      </c>
      <c r="R1490" s="10">
        <f>IF('[1]Pizza Sales Calculations'!$G1490=TRUE, [1]Parameters!$B$17*'[1]Pizza Sales Calculations'!$L1490*2, 0)</f>
        <v>0</v>
      </c>
      <c r="S1490" t="str">
        <f>IF(I1490&lt;[1]Parameters!$B$21,"TRUE","FALSE")</f>
        <v>TRUE</v>
      </c>
      <c r="T1490" s="5">
        <f>(I1490/[1]Parameters!$B$25)*60</f>
        <v>0</v>
      </c>
      <c r="U1490" s="10">
        <f>IF(AND('[1]Pizza Sales Calculations'!G1490=TRUE,'[1]Pizza Sales Calculations'!S1490="TRUE"),T1490*[1]Parameters!$B$40*2,0)</f>
        <v>0</v>
      </c>
      <c r="V1490">
        <f>INDEX([1]Parameters!$A$3:$C$5,MATCH('[1]Pizza Sales Calculations'!D1490,[1]Parameters!$A$3:$A$5,0),2)</f>
        <v>14</v>
      </c>
      <c r="W1490" t="e">
        <f>INDEX([1]Parameters!$A$3:$C$5,MATCH('[1]Pizza Sales Calculations'!E1490,[1]Parameters!$A$3:$A$5,0),2)</f>
        <v>#N/A</v>
      </c>
      <c r="X1490" t="e">
        <f>INDEX([1]Parameters!$A$3:$C$5,MATCH('[1]Pizza Sales Calculations'!F1490,[1]Parameters!$A$3:$A$5,0),2)</f>
        <v>#N/A</v>
      </c>
    </row>
    <row r="1491" spans="1:24" x14ac:dyDescent="0.3">
      <c r="A1491">
        <v>1490</v>
      </c>
      <c r="B1491" s="14">
        <v>42384.448831018519</v>
      </c>
      <c r="C1491" s="14">
        <v>42384.459224537037</v>
      </c>
      <c r="D1491" t="s">
        <v>3</v>
      </c>
      <c r="E1491" t="s">
        <v>5</v>
      </c>
      <c r="G1491" t="b">
        <v>0</v>
      </c>
      <c r="H1491">
        <v>70805</v>
      </c>
      <c r="I1491" s="5">
        <v>0</v>
      </c>
      <c r="J1491" s="14">
        <v>42384.461296296293</v>
      </c>
      <c r="K1491">
        <v>23.34</v>
      </c>
      <c r="L1491" s="5">
        <f>('[1]Pizza Sales Calculations'!$J1491-'[1]Pizza Sales Calculations'!$C1491)*24*60</f>
        <v>2.9833333287388086</v>
      </c>
      <c r="M1491">
        <f>COUNTA('[1]Pizza Sales Calculations'!$D1491:$F1491)</f>
        <v>2</v>
      </c>
      <c r="N1491">
        <f>IFERROR(VLOOKUP(D1491,[1]Parameters!$A$3:$C$5,3,FALSE),0)</f>
        <v>1</v>
      </c>
      <c r="O1491">
        <f>IFERROR(VLOOKUP(E1491,[1]Parameters!$A$3:$C$5,3,FALSE),0)</f>
        <v>2.2999999999999998</v>
      </c>
      <c r="P1491">
        <f>IFERROR(VLOOKUP(F1491,[1]Parameters!$A$3:$C$5,3,FALSE),0)</f>
        <v>0</v>
      </c>
      <c r="Q1491">
        <f t="shared" si="23"/>
        <v>3.3</v>
      </c>
      <c r="R1491" s="10">
        <f>IF('[1]Pizza Sales Calculations'!$G1491=TRUE, [1]Parameters!$B$17*'[1]Pizza Sales Calculations'!$L1491*2, 0)</f>
        <v>0</v>
      </c>
      <c r="S1491" t="str">
        <f>IF(I1491&lt;[1]Parameters!$B$21,"TRUE","FALSE")</f>
        <v>TRUE</v>
      </c>
      <c r="T1491" s="5">
        <f>(I1491/[1]Parameters!$B$25)*60</f>
        <v>0</v>
      </c>
      <c r="U1491" s="10">
        <f>IF(AND('[1]Pizza Sales Calculations'!G1491=TRUE,'[1]Pizza Sales Calculations'!S1491="TRUE"),T1491*[1]Parameters!$B$40*2,0)</f>
        <v>0</v>
      </c>
      <c r="V1491">
        <f>INDEX([1]Parameters!$A$3:$C$5,MATCH('[1]Pizza Sales Calculations'!D1491,[1]Parameters!$A$3:$A$5,0),2)</f>
        <v>7</v>
      </c>
      <c r="W1491">
        <f>INDEX([1]Parameters!$A$3:$C$5,MATCH('[1]Pizza Sales Calculations'!E1491,[1]Parameters!$A$3:$A$5,0),2)</f>
        <v>14</v>
      </c>
      <c r="X1491" t="e">
        <f>INDEX([1]Parameters!$A$3:$C$5,MATCH('[1]Pizza Sales Calculations'!F1491,[1]Parameters!$A$3:$A$5,0),2)</f>
        <v>#N/A</v>
      </c>
    </row>
    <row r="1492" spans="1:24" x14ac:dyDescent="0.3">
      <c r="A1492">
        <v>1491</v>
      </c>
      <c r="B1492" s="14">
        <v>42384.556990740741</v>
      </c>
      <c r="C1492" s="14">
        <v>42384.567407407405</v>
      </c>
      <c r="D1492" t="s">
        <v>5</v>
      </c>
      <c r="G1492" t="b">
        <v>0</v>
      </c>
      <c r="H1492">
        <v>70805</v>
      </c>
      <c r="I1492" s="5">
        <v>0</v>
      </c>
      <c r="J1492" s="14">
        <v>42384.569479166668</v>
      </c>
      <c r="K1492">
        <v>15.35</v>
      </c>
      <c r="L1492" s="5">
        <f>('[1]Pizza Sales Calculations'!$J1492-'[1]Pizza Sales Calculations'!$C1492)*24*60</f>
        <v>2.9833333392161876</v>
      </c>
      <c r="M1492">
        <f>COUNTA('[1]Pizza Sales Calculations'!$D1492:$F1492)</f>
        <v>1</v>
      </c>
      <c r="N1492">
        <f>IFERROR(VLOOKUP(D1492,[1]Parameters!$A$3:$C$5,3,FALSE),0)</f>
        <v>2.2999999999999998</v>
      </c>
      <c r="O1492">
        <f>IFERROR(VLOOKUP(E1492,[1]Parameters!$A$3:$C$5,3,FALSE),0)</f>
        <v>0</v>
      </c>
      <c r="P1492">
        <f>IFERROR(VLOOKUP(F1492,[1]Parameters!$A$3:$C$5,3,FALSE),0)</f>
        <v>0</v>
      </c>
      <c r="Q1492">
        <f t="shared" si="23"/>
        <v>2.2999999999999998</v>
      </c>
      <c r="R1492" s="10">
        <f>IF('[1]Pizza Sales Calculations'!$G1492=TRUE, [1]Parameters!$B$17*'[1]Pizza Sales Calculations'!$L1492*2, 0)</f>
        <v>0</v>
      </c>
      <c r="S1492" t="str">
        <f>IF(I1492&lt;[1]Parameters!$B$21,"TRUE","FALSE")</f>
        <v>TRUE</v>
      </c>
      <c r="T1492" s="5">
        <f>(I1492/[1]Parameters!$B$25)*60</f>
        <v>0</v>
      </c>
      <c r="U1492" s="10">
        <f>IF(AND('[1]Pizza Sales Calculations'!G1492=TRUE,'[1]Pizza Sales Calculations'!S1492="TRUE"),T1492*[1]Parameters!$B$40*2,0)</f>
        <v>0</v>
      </c>
      <c r="V1492">
        <f>INDEX([1]Parameters!$A$3:$C$5,MATCH('[1]Pizza Sales Calculations'!D1492,[1]Parameters!$A$3:$A$5,0),2)</f>
        <v>14</v>
      </c>
      <c r="W1492" t="e">
        <f>INDEX([1]Parameters!$A$3:$C$5,MATCH('[1]Pizza Sales Calculations'!E1492,[1]Parameters!$A$3:$A$5,0),2)</f>
        <v>#N/A</v>
      </c>
      <c r="X1492" t="e">
        <f>INDEX([1]Parameters!$A$3:$C$5,MATCH('[1]Pizza Sales Calculations'!F1492,[1]Parameters!$A$3:$A$5,0),2)</f>
        <v>#N/A</v>
      </c>
    </row>
    <row r="1493" spans="1:24" x14ac:dyDescent="0.3">
      <c r="A1493">
        <v>1492</v>
      </c>
      <c r="B1493" s="14">
        <v>42384.461921296293</v>
      </c>
      <c r="C1493" s="14">
        <v>42384.472361111111</v>
      </c>
      <c r="D1493" t="s">
        <v>3</v>
      </c>
      <c r="G1493" t="b">
        <v>1</v>
      </c>
      <c r="H1493">
        <v>70805</v>
      </c>
      <c r="I1493" s="5">
        <v>2.8258600289238598</v>
      </c>
      <c r="J1493" s="14">
        <v>42384.482164351852</v>
      </c>
      <c r="K1493">
        <v>7.99</v>
      </c>
      <c r="L1493" s="5">
        <f>('[1]Pizza Sales Calculations'!$J1493-'[1]Pizza Sales Calculations'!$C1493)*24*60</f>
        <v>14.116666666232049</v>
      </c>
      <c r="M1493">
        <f>COUNTA('[1]Pizza Sales Calculations'!$D1493:$F1493)</f>
        <v>1</v>
      </c>
      <c r="N1493">
        <f>IFERROR(VLOOKUP(D1493,[1]Parameters!$A$3:$C$5,3,FALSE),0)</f>
        <v>1</v>
      </c>
      <c r="O1493">
        <f>IFERROR(VLOOKUP(E1493,[1]Parameters!$A$3:$C$5,3,FALSE),0)</f>
        <v>0</v>
      </c>
      <c r="P1493">
        <f>IFERROR(VLOOKUP(F1493,[1]Parameters!$A$3:$C$5,3,FALSE),0)</f>
        <v>0</v>
      </c>
      <c r="Q1493">
        <f t="shared" si="23"/>
        <v>1</v>
      </c>
      <c r="R1493" s="10">
        <f>IF('[1]Pizza Sales Calculations'!$G1493=TRUE, [1]Parameters!$B$17*'[1]Pizza Sales Calculations'!$L1493*2, 0)</f>
        <v>3.9997222220990807</v>
      </c>
      <c r="S1493" t="str">
        <f>IF(I1493&lt;[1]Parameters!$B$21,"TRUE","FALSE")</f>
        <v>TRUE</v>
      </c>
      <c r="T1493" s="5">
        <f>(I1493/[1]Parameters!$B$25)*60</f>
        <v>5.6517200578477196</v>
      </c>
      <c r="U1493" s="10">
        <f>IF(AND('[1]Pizza Sales Calculations'!G1493=TRUE,'[1]Pizza Sales Calculations'!S1493="TRUE"),T1493*[1]Parameters!$B$40*2,0)</f>
        <v>0.35279521933906355</v>
      </c>
      <c r="V1493">
        <f>INDEX([1]Parameters!$A$3:$C$5,MATCH('[1]Pizza Sales Calculations'!D1493,[1]Parameters!$A$3:$A$5,0),2)</f>
        <v>7</v>
      </c>
      <c r="W1493" t="e">
        <f>INDEX([1]Parameters!$A$3:$C$5,MATCH('[1]Pizza Sales Calculations'!E1493,[1]Parameters!$A$3:$A$5,0),2)</f>
        <v>#N/A</v>
      </c>
      <c r="X1493" t="e">
        <f>INDEX([1]Parameters!$A$3:$C$5,MATCH('[1]Pizza Sales Calculations'!F1493,[1]Parameters!$A$3:$A$5,0),2)</f>
        <v>#N/A</v>
      </c>
    </row>
    <row r="1494" spans="1:24" x14ac:dyDescent="0.3">
      <c r="A1494">
        <v>1493</v>
      </c>
      <c r="B1494" s="14">
        <v>42384.498993055553</v>
      </c>
      <c r="C1494" s="14">
        <v>42384.509409722225</v>
      </c>
      <c r="D1494" t="s">
        <v>5</v>
      </c>
      <c r="G1494" t="b">
        <v>1</v>
      </c>
      <c r="H1494">
        <v>70803</v>
      </c>
      <c r="I1494" s="5">
        <v>2.8273028164035998</v>
      </c>
      <c r="J1494" s="14">
        <v>42384.519224537034</v>
      </c>
      <c r="K1494">
        <v>15.35</v>
      </c>
      <c r="L1494" s="5">
        <f>('[1]Pizza Sales Calculations'!$J1494-'[1]Pizza Sales Calculations'!$C1494)*24*60</f>
        <v>14.13333332631737</v>
      </c>
      <c r="M1494">
        <f>COUNTA('[1]Pizza Sales Calculations'!$D1494:$F1494)</f>
        <v>1</v>
      </c>
      <c r="N1494">
        <f>IFERROR(VLOOKUP(D1494,[1]Parameters!$A$3:$C$5,3,FALSE),0)</f>
        <v>2.2999999999999998</v>
      </c>
      <c r="O1494">
        <f>IFERROR(VLOOKUP(E1494,[1]Parameters!$A$3:$C$5,3,FALSE),0)</f>
        <v>0</v>
      </c>
      <c r="P1494">
        <f>IFERROR(VLOOKUP(F1494,[1]Parameters!$A$3:$C$5,3,FALSE),0)</f>
        <v>0</v>
      </c>
      <c r="Q1494">
        <f t="shared" si="23"/>
        <v>2.2999999999999998</v>
      </c>
      <c r="R1494" s="10">
        <f>IF('[1]Pizza Sales Calculations'!$G1494=TRUE, [1]Parameters!$B$17*'[1]Pizza Sales Calculations'!$L1494*2, 0)</f>
        <v>4.0044444424565881</v>
      </c>
      <c r="S1494" t="str">
        <f>IF(I1494&lt;[1]Parameters!$B$21,"TRUE","FALSE")</f>
        <v>TRUE</v>
      </c>
      <c r="T1494" s="5">
        <f>(I1494/[1]Parameters!$B$25)*60</f>
        <v>5.6546056328071996</v>
      </c>
      <c r="U1494" s="10">
        <f>IF(AND('[1]Pizza Sales Calculations'!G1494=TRUE,'[1]Pizza Sales Calculations'!S1494="TRUE"),T1494*[1]Parameters!$B$40*2,0)</f>
        <v>0.35297534451163565</v>
      </c>
      <c r="V1494">
        <f>INDEX([1]Parameters!$A$3:$C$5,MATCH('[1]Pizza Sales Calculations'!D1494,[1]Parameters!$A$3:$A$5,0),2)</f>
        <v>14</v>
      </c>
      <c r="W1494" t="e">
        <f>INDEX([1]Parameters!$A$3:$C$5,MATCH('[1]Pizza Sales Calculations'!E1494,[1]Parameters!$A$3:$A$5,0),2)</f>
        <v>#N/A</v>
      </c>
      <c r="X1494" t="e">
        <f>INDEX([1]Parameters!$A$3:$C$5,MATCH('[1]Pizza Sales Calculations'!F1494,[1]Parameters!$A$3:$A$5,0),2)</f>
        <v>#N/A</v>
      </c>
    </row>
    <row r="1495" spans="1:24" x14ac:dyDescent="0.3">
      <c r="A1495">
        <v>1494</v>
      </c>
      <c r="B1495" s="14">
        <v>42384.512199074074</v>
      </c>
      <c r="C1495" s="14">
        <v>42384.522592592592</v>
      </c>
      <c r="D1495" t="s">
        <v>4</v>
      </c>
      <c r="G1495" t="b">
        <v>0</v>
      </c>
      <c r="H1495">
        <v>70806</v>
      </c>
      <c r="I1495" s="5">
        <v>0</v>
      </c>
      <c r="J1495" s="14">
        <v>42384.524675925924</v>
      </c>
      <c r="K1495">
        <v>11.59</v>
      </c>
      <c r="L1495" s="5">
        <f>('[1]Pizza Sales Calculations'!$J1495-'[1]Pizza Sales Calculations'!$C1495)*24*60</f>
        <v>2.9999999993015081</v>
      </c>
      <c r="M1495">
        <f>COUNTA('[1]Pizza Sales Calculations'!$D1495:$F1495)</f>
        <v>1</v>
      </c>
      <c r="N1495">
        <f>IFERROR(VLOOKUP(D1495,[1]Parameters!$A$3:$C$5,3,FALSE),0)</f>
        <v>1.7</v>
      </c>
      <c r="O1495">
        <f>IFERROR(VLOOKUP(E1495,[1]Parameters!$A$3:$C$5,3,FALSE),0)</f>
        <v>0</v>
      </c>
      <c r="P1495">
        <f>IFERROR(VLOOKUP(F1495,[1]Parameters!$A$3:$C$5,3,FALSE),0)</f>
        <v>0</v>
      </c>
      <c r="Q1495">
        <f t="shared" si="23"/>
        <v>1.7</v>
      </c>
      <c r="R1495" s="10">
        <f>IF('[1]Pizza Sales Calculations'!$G1495=TRUE, [1]Parameters!$B$17*'[1]Pizza Sales Calculations'!$L1495*2, 0)</f>
        <v>0</v>
      </c>
      <c r="S1495" t="str">
        <f>IF(I1495&lt;[1]Parameters!$B$21,"TRUE","FALSE")</f>
        <v>TRUE</v>
      </c>
      <c r="T1495" s="5">
        <f>(I1495/[1]Parameters!$B$25)*60</f>
        <v>0</v>
      </c>
      <c r="U1495" s="10">
        <f>IF(AND('[1]Pizza Sales Calculations'!G1495=TRUE,'[1]Pizza Sales Calculations'!S1495="TRUE"),T1495*[1]Parameters!$B$40*2,0)</f>
        <v>0</v>
      </c>
      <c r="V1495">
        <f>INDEX([1]Parameters!$A$3:$C$5,MATCH('[1]Pizza Sales Calculations'!D1495,[1]Parameters!$A$3:$A$5,0),2)</f>
        <v>10</v>
      </c>
      <c r="W1495" t="e">
        <f>INDEX([1]Parameters!$A$3:$C$5,MATCH('[1]Pizza Sales Calculations'!E1495,[1]Parameters!$A$3:$A$5,0),2)</f>
        <v>#N/A</v>
      </c>
      <c r="X1495" t="e">
        <f>INDEX([1]Parameters!$A$3:$C$5,MATCH('[1]Pizza Sales Calculations'!F1495,[1]Parameters!$A$3:$A$5,0),2)</f>
        <v>#N/A</v>
      </c>
    </row>
    <row r="1496" spans="1:24" x14ac:dyDescent="0.3">
      <c r="A1496">
        <v>1495</v>
      </c>
      <c r="B1496" s="14">
        <v>42384.504687499997</v>
      </c>
      <c r="C1496" s="14">
        <v>42384.515092592592</v>
      </c>
      <c r="D1496" t="s">
        <v>5</v>
      </c>
      <c r="G1496" t="b">
        <v>1</v>
      </c>
      <c r="H1496">
        <v>70804</v>
      </c>
      <c r="I1496" s="5">
        <v>4.6139872192451197</v>
      </c>
      <c r="J1496" s="14">
        <v>42384.531111111108</v>
      </c>
      <c r="K1496">
        <v>15.35</v>
      </c>
      <c r="L1496" s="5">
        <f>('[1]Pizza Sales Calculations'!$J1496-'[1]Pizza Sales Calculations'!$C1496)*24*60</f>
        <v>23.066666662925854</v>
      </c>
      <c r="M1496">
        <f>COUNTA('[1]Pizza Sales Calculations'!$D1496:$F1496)</f>
        <v>1</v>
      </c>
      <c r="N1496">
        <f>IFERROR(VLOOKUP(D1496,[1]Parameters!$A$3:$C$5,3,FALSE),0)</f>
        <v>2.2999999999999998</v>
      </c>
      <c r="O1496">
        <f>IFERROR(VLOOKUP(E1496,[1]Parameters!$A$3:$C$5,3,FALSE),0)</f>
        <v>0</v>
      </c>
      <c r="P1496">
        <f>IFERROR(VLOOKUP(F1496,[1]Parameters!$A$3:$C$5,3,FALSE),0)</f>
        <v>0</v>
      </c>
      <c r="Q1496">
        <f t="shared" si="23"/>
        <v>2.2999999999999998</v>
      </c>
      <c r="R1496" s="10">
        <f>IF('[1]Pizza Sales Calculations'!$G1496=TRUE, [1]Parameters!$B$17*'[1]Pizza Sales Calculations'!$L1496*2, 0)</f>
        <v>6.5355555544956587</v>
      </c>
      <c r="S1496" t="str">
        <f>IF(I1496&lt;[1]Parameters!$B$21,"TRUE","FALSE")</f>
        <v>FALSE</v>
      </c>
      <c r="T1496" s="5">
        <f>(I1496/[1]Parameters!$B$25)*60</f>
        <v>9.2279744384902394</v>
      </c>
      <c r="U1496" s="10">
        <f>IF(AND('[1]Pizza Sales Calculations'!G1496=TRUE,'[1]Pizza Sales Calculations'!S1496="TRUE"),T1496*[1]Parameters!$B$40*2,0)</f>
        <v>0</v>
      </c>
      <c r="V1496">
        <f>INDEX([1]Parameters!$A$3:$C$5,MATCH('[1]Pizza Sales Calculations'!D1496,[1]Parameters!$A$3:$A$5,0),2)</f>
        <v>14</v>
      </c>
      <c r="W1496" t="e">
        <f>INDEX([1]Parameters!$A$3:$C$5,MATCH('[1]Pizza Sales Calculations'!E1496,[1]Parameters!$A$3:$A$5,0),2)</f>
        <v>#N/A</v>
      </c>
      <c r="X1496" t="e">
        <f>INDEX([1]Parameters!$A$3:$C$5,MATCH('[1]Pizza Sales Calculations'!F1496,[1]Parameters!$A$3:$A$5,0),2)</f>
        <v>#N/A</v>
      </c>
    </row>
    <row r="1497" spans="1:24" x14ac:dyDescent="0.3">
      <c r="A1497">
        <v>1496</v>
      </c>
      <c r="B1497" s="14">
        <v>42384.521168981482</v>
      </c>
      <c r="C1497" s="14">
        <v>42384.531597222223</v>
      </c>
      <c r="D1497" t="s">
        <v>5</v>
      </c>
      <c r="G1497" t="b">
        <v>1</v>
      </c>
      <c r="H1497">
        <v>70806</v>
      </c>
      <c r="I1497" s="5">
        <v>2.3301394650990499</v>
      </c>
      <c r="J1497" s="14">
        <v>42384.539687500001</v>
      </c>
      <c r="K1497">
        <v>15.35</v>
      </c>
      <c r="L1497" s="5">
        <f>('[1]Pizza Sales Calculations'!$J1497-'[1]Pizza Sales Calculations'!$C1497)*24*60</f>
        <v>11.649999999208376</v>
      </c>
      <c r="M1497">
        <f>COUNTA('[1]Pizza Sales Calculations'!$D1497:$F1497)</f>
        <v>1</v>
      </c>
      <c r="N1497">
        <f>IFERROR(VLOOKUP(D1497,[1]Parameters!$A$3:$C$5,3,FALSE),0)</f>
        <v>2.2999999999999998</v>
      </c>
      <c r="O1497">
        <f>IFERROR(VLOOKUP(E1497,[1]Parameters!$A$3:$C$5,3,FALSE),0)</f>
        <v>0</v>
      </c>
      <c r="P1497">
        <f>IFERROR(VLOOKUP(F1497,[1]Parameters!$A$3:$C$5,3,FALSE),0)</f>
        <v>0</v>
      </c>
      <c r="Q1497">
        <f t="shared" si="23"/>
        <v>2.2999999999999998</v>
      </c>
      <c r="R1497" s="10">
        <f>IF('[1]Pizza Sales Calculations'!$G1497=TRUE, [1]Parameters!$B$17*'[1]Pizza Sales Calculations'!$L1497*2, 0)</f>
        <v>3.3008333331090398</v>
      </c>
      <c r="S1497" t="str">
        <f>IF(I1497&lt;[1]Parameters!$B$21,"TRUE","FALSE")</f>
        <v>TRUE</v>
      </c>
      <c r="T1497" s="5">
        <f>(I1497/[1]Parameters!$B$25)*60</f>
        <v>4.6602789301980998</v>
      </c>
      <c r="U1497" s="10">
        <f>IF(AND('[1]Pizza Sales Calculations'!G1497=TRUE,'[1]Pizza Sales Calculations'!S1497="TRUE"),T1497*[1]Parameters!$B$40*2,0)</f>
        <v>0.29090685853725179</v>
      </c>
      <c r="V1497">
        <f>INDEX([1]Parameters!$A$3:$C$5,MATCH('[1]Pizza Sales Calculations'!D1497,[1]Parameters!$A$3:$A$5,0),2)</f>
        <v>14</v>
      </c>
      <c r="W1497" t="e">
        <f>INDEX([1]Parameters!$A$3:$C$5,MATCH('[1]Pizza Sales Calculations'!E1497,[1]Parameters!$A$3:$A$5,0),2)</f>
        <v>#N/A</v>
      </c>
      <c r="X1497" t="e">
        <f>INDEX([1]Parameters!$A$3:$C$5,MATCH('[1]Pizza Sales Calculations'!F1497,[1]Parameters!$A$3:$A$5,0),2)</f>
        <v>#N/A</v>
      </c>
    </row>
    <row r="1498" spans="1:24" x14ac:dyDescent="0.3">
      <c r="A1498">
        <v>1497</v>
      </c>
      <c r="B1498" s="14">
        <v>42384.538344907407</v>
      </c>
      <c r="C1498" s="14">
        <v>42384.548761574071</v>
      </c>
      <c r="D1498" t="s">
        <v>3</v>
      </c>
      <c r="G1498" t="b">
        <v>1</v>
      </c>
      <c r="H1498">
        <v>70808</v>
      </c>
      <c r="I1498" s="5">
        <v>0.49409141066170598</v>
      </c>
      <c r="J1498" s="14">
        <v>42384.550474537034</v>
      </c>
      <c r="K1498">
        <v>7.99</v>
      </c>
      <c r="L1498" s="5">
        <f>('[1]Pizza Sales Calculations'!$J1498-'[1]Pizza Sales Calculations'!$C1498)*24*60</f>
        <v>2.4666666670236737</v>
      </c>
      <c r="M1498">
        <f>COUNTA('[1]Pizza Sales Calculations'!$D1498:$F1498)</f>
        <v>1</v>
      </c>
      <c r="N1498">
        <f>IFERROR(VLOOKUP(D1498,[1]Parameters!$A$3:$C$5,3,FALSE),0)</f>
        <v>1</v>
      </c>
      <c r="O1498">
        <f>IFERROR(VLOOKUP(E1498,[1]Parameters!$A$3:$C$5,3,FALSE),0)</f>
        <v>0</v>
      </c>
      <c r="P1498">
        <f>IFERROR(VLOOKUP(F1498,[1]Parameters!$A$3:$C$5,3,FALSE),0)</f>
        <v>0</v>
      </c>
      <c r="Q1498">
        <f t="shared" si="23"/>
        <v>1</v>
      </c>
      <c r="R1498" s="10">
        <f>IF('[1]Pizza Sales Calculations'!$G1498=TRUE, [1]Parameters!$B$17*'[1]Pizza Sales Calculations'!$L1498*2, 0)</f>
        <v>0.69888888899004087</v>
      </c>
      <c r="S1498" t="str">
        <f>IF(I1498&lt;[1]Parameters!$B$21,"TRUE","FALSE")</f>
        <v>TRUE</v>
      </c>
      <c r="T1498" s="5">
        <f>(I1498/[1]Parameters!$B$25)*60</f>
        <v>0.98818282132341206</v>
      </c>
      <c r="U1498" s="10">
        <f>IF(AND('[1]Pizza Sales Calculations'!G1498=TRUE,'[1]Pizza Sales Calculations'!S1498="TRUE"),T1498*[1]Parameters!$B$40*2,0)</f>
        <v>6.168496875775039E-2</v>
      </c>
      <c r="V1498">
        <f>INDEX([1]Parameters!$A$3:$C$5,MATCH('[1]Pizza Sales Calculations'!D1498,[1]Parameters!$A$3:$A$5,0),2)</f>
        <v>7</v>
      </c>
      <c r="W1498" t="e">
        <f>INDEX([1]Parameters!$A$3:$C$5,MATCH('[1]Pizza Sales Calculations'!E1498,[1]Parameters!$A$3:$A$5,0),2)</f>
        <v>#N/A</v>
      </c>
      <c r="X1498" t="e">
        <f>INDEX([1]Parameters!$A$3:$C$5,MATCH('[1]Pizza Sales Calculations'!F1498,[1]Parameters!$A$3:$A$5,0),2)</f>
        <v>#N/A</v>
      </c>
    </row>
    <row r="1499" spans="1:24" x14ac:dyDescent="0.3">
      <c r="A1499">
        <v>1498</v>
      </c>
      <c r="B1499" s="14">
        <v>42384.520624999997</v>
      </c>
      <c r="C1499" s="14">
        <v>42384.531030092592</v>
      </c>
      <c r="D1499" t="s">
        <v>5</v>
      </c>
      <c r="G1499" t="b">
        <v>0</v>
      </c>
      <c r="H1499">
        <v>70804</v>
      </c>
      <c r="I1499" s="5">
        <v>0</v>
      </c>
      <c r="J1499" s="14">
        <v>42384.533113425925</v>
      </c>
      <c r="K1499">
        <v>15.35</v>
      </c>
      <c r="L1499" s="5">
        <f>('[1]Pizza Sales Calculations'!$J1499-'[1]Pizza Sales Calculations'!$C1499)*24*60</f>
        <v>2.9999999993015081</v>
      </c>
      <c r="M1499">
        <f>COUNTA('[1]Pizza Sales Calculations'!$D1499:$F1499)</f>
        <v>1</v>
      </c>
      <c r="N1499">
        <f>IFERROR(VLOOKUP(D1499,[1]Parameters!$A$3:$C$5,3,FALSE),0)</f>
        <v>2.2999999999999998</v>
      </c>
      <c r="O1499">
        <f>IFERROR(VLOOKUP(E1499,[1]Parameters!$A$3:$C$5,3,FALSE),0)</f>
        <v>0</v>
      </c>
      <c r="P1499">
        <f>IFERROR(VLOOKUP(F1499,[1]Parameters!$A$3:$C$5,3,FALSE),0)</f>
        <v>0</v>
      </c>
      <c r="Q1499">
        <f t="shared" si="23"/>
        <v>2.2999999999999998</v>
      </c>
      <c r="R1499" s="10">
        <f>IF('[1]Pizza Sales Calculations'!$G1499=TRUE, [1]Parameters!$B$17*'[1]Pizza Sales Calculations'!$L1499*2, 0)</f>
        <v>0</v>
      </c>
      <c r="S1499" t="str">
        <f>IF(I1499&lt;[1]Parameters!$B$21,"TRUE","FALSE")</f>
        <v>TRUE</v>
      </c>
      <c r="T1499" s="5">
        <f>(I1499/[1]Parameters!$B$25)*60</f>
        <v>0</v>
      </c>
      <c r="U1499" s="10">
        <f>IF(AND('[1]Pizza Sales Calculations'!G1499=TRUE,'[1]Pizza Sales Calculations'!S1499="TRUE"),T1499*[1]Parameters!$B$40*2,0)</f>
        <v>0</v>
      </c>
      <c r="V1499">
        <f>INDEX([1]Parameters!$A$3:$C$5,MATCH('[1]Pizza Sales Calculations'!D1499,[1]Parameters!$A$3:$A$5,0),2)</f>
        <v>14</v>
      </c>
      <c r="W1499" t="e">
        <f>INDEX([1]Parameters!$A$3:$C$5,MATCH('[1]Pizza Sales Calculations'!E1499,[1]Parameters!$A$3:$A$5,0),2)</f>
        <v>#N/A</v>
      </c>
      <c r="X1499" t="e">
        <f>INDEX([1]Parameters!$A$3:$C$5,MATCH('[1]Pizza Sales Calculations'!F1499,[1]Parameters!$A$3:$A$5,0),2)</f>
        <v>#N/A</v>
      </c>
    </row>
    <row r="1500" spans="1:24" x14ac:dyDescent="0.3">
      <c r="A1500">
        <v>1499</v>
      </c>
      <c r="B1500" s="14">
        <v>42384.492245370369</v>
      </c>
      <c r="C1500" s="14">
        <v>42384.502650462964</v>
      </c>
      <c r="D1500" t="s">
        <v>3</v>
      </c>
      <c r="E1500" t="s">
        <v>5</v>
      </c>
      <c r="G1500" t="b">
        <v>1</v>
      </c>
      <c r="H1500">
        <v>70806</v>
      </c>
      <c r="I1500" s="5">
        <v>3.64231542397917</v>
      </c>
      <c r="J1500" s="14">
        <v>42384.515289351853</v>
      </c>
      <c r="K1500">
        <v>23.34</v>
      </c>
      <c r="L1500" s="5">
        <f>('[1]Pizza Sales Calculations'!$J1500-'[1]Pizza Sales Calculations'!$C1500)*24*60</f>
        <v>18.200000000651926</v>
      </c>
      <c r="M1500">
        <f>COUNTA('[1]Pizza Sales Calculations'!$D1500:$F1500)</f>
        <v>2</v>
      </c>
      <c r="N1500">
        <f>IFERROR(VLOOKUP(D1500,[1]Parameters!$A$3:$C$5,3,FALSE),0)</f>
        <v>1</v>
      </c>
      <c r="O1500">
        <f>IFERROR(VLOOKUP(E1500,[1]Parameters!$A$3:$C$5,3,FALSE),0)</f>
        <v>2.2999999999999998</v>
      </c>
      <c r="P1500">
        <f>IFERROR(VLOOKUP(F1500,[1]Parameters!$A$3:$C$5,3,FALSE),0)</f>
        <v>0</v>
      </c>
      <c r="Q1500">
        <f t="shared" si="23"/>
        <v>3.3</v>
      </c>
      <c r="R1500" s="10">
        <f>IF('[1]Pizza Sales Calculations'!$G1500=TRUE, [1]Parameters!$B$17*'[1]Pizza Sales Calculations'!$L1500*2, 0)</f>
        <v>5.156666666851379</v>
      </c>
      <c r="S1500" t="str">
        <f>IF(I1500&lt;[1]Parameters!$B$21,"TRUE","FALSE")</f>
        <v>FALSE</v>
      </c>
      <c r="T1500" s="5">
        <f>(I1500/[1]Parameters!$B$25)*60</f>
        <v>7.2846308479583399</v>
      </c>
      <c r="U1500" s="10">
        <f>IF(AND('[1]Pizza Sales Calculations'!G1500=TRUE,'[1]Pizza Sales Calculations'!S1500="TRUE"),T1500*[1]Parameters!$B$40*2,0)</f>
        <v>0</v>
      </c>
      <c r="V1500">
        <f>INDEX([1]Parameters!$A$3:$C$5,MATCH('[1]Pizza Sales Calculations'!D1500,[1]Parameters!$A$3:$A$5,0),2)</f>
        <v>7</v>
      </c>
      <c r="W1500">
        <f>INDEX([1]Parameters!$A$3:$C$5,MATCH('[1]Pizza Sales Calculations'!E1500,[1]Parameters!$A$3:$A$5,0),2)</f>
        <v>14</v>
      </c>
      <c r="X1500" t="e">
        <f>INDEX([1]Parameters!$A$3:$C$5,MATCH('[1]Pizza Sales Calculations'!F1500,[1]Parameters!$A$3:$A$5,0),2)</f>
        <v>#N/A</v>
      </c>
    </row>
    <row r="1501" spans="1:24" x14ac:dyDescent="0.3">
      <c r="A1501">
        <v>1500</v>
      </c>
      <c r="B1501" s="14">
        <v>42384.517291666663</v>
      </c>
      <c r="C1501" s="14">
        <v>42384.527708333335</v>
      </c>
      <c r="D1501" t="s">
        <v>4</v>
      </c>
      <c r="G1501" t="b">
        <v>1</v>
      </c>
      <c r="H1501">
        <v>70804</v>
      </c>
      <c r="I1501" s="5">
        <v>3.8662889003245402</v>
      </c>
      <c r="J1501" s="14">
        <v>42384.541122685187</v>
      </c>
      <c r="K1501">
        <v>11.59</v>
      </c>
      <c r="L1501" s="5">
        <f>('[1]Pizza Sales Calculations'!$J1501-'[1]Pizza Sales Calculations'!$C1501)*24*60</f>
        <v>19.316666666418314</v>
      </c>
      <c r="M1501">
        <f>COUNTA('[1]Pizza Sales Calculations'!$D1501:$F1501)</f>
        <v>1</v>
      </c>
      <c r="N1501">
        <f>IFERROR(VLOOKUP(D1501,[1]Parameters!$A$3:$C$5,3,FALSE),0)</f>
        <v>1.7</v>
      </c>
      <c r="O1501">
        <f>IFERROR(VLOOKUP(E1501,[1]Parameters!$A$3:$C$5,3,FALSE),0)</f>
        <v>0</v>
      </c>
      <c r="P1501">
        <f>IFERROR(VLOOKUP(F1501,[1]Parameters!$A$3:$C$5,3,FALSE),0)</f>
        <v>0</v>
      </c>
      <c r="Q1501">
        <f t="shared" si="23"/>
        <v>1.7</v>
      </c>
      <c r="R1501" s="10">
        <f>IF('[1]Pizza Sales Calculations'!$G1501=TRUE, [1]Parameters!$B$17*'[1]Pizza Sales Calculations'!$L1501*2, 0)</f>
        <v>5.473055555485189</v>
      </c>
      <c r="S1501" t="str">
        <f>IF(I1501&lt;[1]Parameters!$B$21,"TRUE","FALSE")</f>
        <v>FALSE</v>
      </c>
      <c r="T1501" s="5">
        <f>(I1501/[1]Parameters!$B$25)*60</f>
        <v>7.7325778006490804</v>
      </c>
      <c r="U1501" s="10">
        <f>IF(AND('[1]Pizza Sales Calculations'!G1501=TRUE,'[1]Pizza Sales Calculations'!S1501="TRUE"),T1501*[1]Parameters!$B$40*2,0)</f>
        <v>0</v>
      </c>
      <c r="V1501">
        <f>INDEX([1]Parameters!$A$3:$C$5,MATCH('[1]Pizza Sales Calculations'!D1501,[1]Parameters!$A$3:$A$5,0),2)</f>
        <v>10</v>
      </c>
      <c r="W1501" t="e">
        <f>INDEX([1]Parameters!$A$3:$C$5,MATCH('[1]Pizza Sales Calculations'!E1501,[1]Parameters!$A$3:$A$5,0),2)</f>
        <v>#N/A</v>
      </c>
      <c r="X1501" t="e">
        <f>INDEX([1]Parameters!$A$3:$C$5,MATCH('[1]Pizza Sales Calculations'!F1501,[1]Parameters!$A$3:$A$5,0),2)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865E-233A-4177-A9F9-903ECDDF2B63}">
  <dimension ref="A2:H45"/>
  <sheetViews>
    <sheetView workbookViewId="0"/>
  </sheetViews>
  <sheetFormatPr defaultRowHeight="14.4" x14ac:dyDescent="0.3"/>
  <cols>
    <col min="1" max="1" width="41.5546875" bestFit="1" customWidth="1"/>
  </cols>
  <sheetData>
    <row r="2" spans="1:3" ht="15.6" x14ac:dyDescent="0.3">
      <c r="A2" s="1" t="s">
        <v>0</v>
      </c>
      <c r="B2" t="s">
        <v>1</v>
      </c>
      <c r="C2" t="s">
        <v>2</v>
      </c>
    </row>
    <row r="3" spans="1:3" x14ac:dyDescent="0.3">
      <c r="A3" t="s">
        <v>3</v>
      </c>
      <c r="B3">
        <v>7</v>
      </c>
      <c r="C3">
        <v>1</v>
      </c>
    </row>
    <row r="4" spans="1:3" x14ac:dyDescent="0.3">
      <c r="A4" t="s">
        <v>4</v>
      </c>
      <c r="B4">
        <v>10</v>
      </c>
      <c r="C4">
        <v>1.7</v>
      </c>
    </row>
    <row r="5" spans="1:3" x14ac:dyDescent="0.3">
      <c r="A5" t="s">
        <v>5</v>
      </c>
      <c r="B5">
        <v>14</v>
      </c>
      <c r="C5">
        <v>2.2999999999999998</v>
      </c>
    </row>
    <row r="7" spans="1:3" x14ac:dyDescent="0.3">
      <c r="A7" t="s">
        <v>6</v>
      </c>
      <c r="B7">
        <v>6</v>
      </c>
    </row>
    <row r="8" spans="1:3" x14ac:dyDescent="0.3">
      <c r="A8" t="s">
        <v>7</v>
      </c>
      <c r="B8" s="2"/>
    </row>
    <row r="9" spans="1:3" x14ac:dyDescent="0.3">
      <c r="A9" t="s">
        <v>8</v>
      </c>
      <c r="B9" s="2"/>
    </row>
    <row r="10" spans="1:3" x14ac:dyDescent="0.3">
      <c r="A10" t="s">
        <v>9</v>
      </c>
      <c r="B10">
        <v>3</v>
      </c>
    </row>
    <row r="13" spans="1:3" ht="15.6" x14ac:dyDescent="0.3">
      <c r="A13" s="1" t="s">
        <v>10</v>
      </c>
      <c r="B13" t="s">
        <v>11</v>
      </c>
    </row>
    <row r="14" spans="1:3" x14ac:dyDescent="0.3">
      <c r="A14" t="s">
        <v>12</v>
      </c>
      <c r="B14" s="3">
        <f>7+1</f>
        <v>8</v>
      </c>
    </row>
    <row r="15" spans="1:3" x14ac:dyDescent="0.3">
      <c r="A15" t="s">
        <v>13</v>
      </c>
      <c r="B15" s="3">
        <v>0.5</v>
      </c>
    </row>
    <row r="16" spans="1:3" x14ac:dyDescent="0.3">
      <c r="A16" t="s">
        <v>14</v>
      </c>
      <c r="B16" s="3">
        <v>2</v>
      </c>
    </row>
    <row r="17" spans="1:8" x14ac:dyDescent="0.3">
      <c r="A17" t="s">
        <v>15</v>
      </c>
      <c r="B17" s="3">
        <f>(B14+B15)/60</f>
        <v>0.14166666666666666</v>
      </c>
    </row>
    <row r="18" spans="1:8" x14ac:dyDescent="0.3">
      <c r="B18" s="3"/>
    </row>
    <row r="20" spans="1:8" ht="15.6" x14ac:dyDescent="0.3">
      <c r="A20" s="1" t="s">
        <v>16</v>
      </c>
      <c r="B20" t="s">
        <v>17</v>
      </c>
      <c r="H20" t="s">
        <v>18</v>
      </c>
    </row>
    <row r="21" spans="1:8" x14ac:dyDescent="0.3">
      <c r="A21" t="s">
        <v>19</v>
      </c>
      <c r="B21">
        <v>3.2</v>
      </c>
    </row>
    <row r="22" spans="1:8" x14ac:dyDescent="0.3">
      <c r="A22" t="s">
        <v>20</v>
      </c>
      <c r="B22">
        <v>32</v>
      </c>
    </row>
    <row r="23" spans="1:8" x14ac:dyDescent="0.3">
      <c r="A23" t="s">
        <v>21</v>
      </c>
      <c r="B23">
        <v>13.23</v>
      </c>
    </row>
    <row r="24" spans="1:8" x14ac:dyDescent="0.3">
      <c r="A24" t="s">
        <v>22</v>
      </c>
      <c r="B24">
        <v>38</v>
      </c>
    </row>
    <row r="25" spans="1:8" x14ac:dyDescent="0.3">
      <c r="A25" t="s">
        <v>23</v>
      </c>
      <c r="B25">
        <v>30</v>
      </c>
    </row>
    <row r="26" spans="1:8" x14ac:dyDescent="0.3">
      <c r="A26" t="s">
        <v>24</v>
      </c>
      <c r="B26" s="4">
        <v>5000</v>
      </c>
    </row>
    <row r="27" spans="1:8" x14ac:dyDescent="0.3">
      <c r="A27" t="s">
        <v>25</v>
      </c>
      <c r="B27" s="4">
        <v>500</v>
      </c>
    </row>
    <row r="28" spans="1:8" x14ac:dyDescent="0.3">
      <c r="B28" s="4"/>
    </row>
    <row r="29" spans="1:8" x14ac:dyDescent="0.3">
      <c r="A29" t="s">
        <v>26</v>
      </c>
      <c r="B29" s="5">
        <f>(B8*2)/B25</f>
        <v>0</v>
      </c>
    </row>
    <row r="30" spans="1:8" x14ac:dyDescent="0.3">
      <c r="A30" t="s">
        <v>27</v>
      </c>
      <c r="B30" s="6" t="e">
        <f>1/B29</f>
        <v>#DIV/0!</v>
      </c>
    </row>
    <row r="33" spans="1:2" ht="15.6" x14ac:dyDescent="0.3">
      <c r="A33" s="1" t="s">
        <v>28</v>
      </c>
    </row>
    <row r="34" spans="1:2" x14ac:dyDescent="0.3">
      <c r="A34" t="s">
        <v>29</v>
      </c>
      <c r="B34" s="3">
        <v>10</v>
      </c>
    </row>
    <row r="35" spans="1:2" x14ac:dyDescent="0.3">
      <c r="A35" t="s">
        <v>30</v>
      </c>
      <c r="B35">
        <v>12</v>
      </c>
    </row>
    <row r="36" spans="1:2" x14ac:dyDescent="0.3">
      <c r="A36" t="s">
        <v>31</v>
      </c>
      <c r="B36" s="7">
        <f>0.05/60</f>
        <v>8.3333333333333339E-4</v>
      </c>
    </row>
    <row r="38" spans="1:2" x14ac:dyDescent="0.3">
      <c r="A38" t="s">
        <v>32</v>
      </c>
      <c r="B38" s="8">
        <f>((B34/B35)/60)+B36</f>
        <v>1.4722222222222223E-2</v>
      </c>
    </row>
    <row r="39" spans="1:2" x14ac:dyDescent="0.3">
      <c r="A39" t="s">
        <v>33</v>
      </c>
      <c r="B39" s="9">
        <f>((B26/3)+B27)/365/B7/60</f>
        <v>1.6489091831557588E-2</v>
      </c>
    </row>
    <row r="40" spans="1:2" x14ac:dyDescent="0.3">
      <c r="A40" t="s">
        <v>34</v>
      </c>
      <c r="B40" s="9">
        <f>B38+B39</f>
        <v>3.1211314053779811E-2</v>
      </c>
    </row>
    <row r="42" spans="1:2" x14ac:dyDescent="0.3">
      <c r="A42" s="10" t="s">
        <v>35</v>
      </c>
      <c r="B42">
        <v>100</v>
      </c>
    </row>
    <row r="43" spans="1:2" x14ac:dyDescent="0.3">
      <c r="A43" t="s">
        <v>36</v>
      </c>
      <c r="B43" s="11"/>
    </row>
    <row r="44" spans="1:2" x14ac:dyDescent="0.3">
      <c r="A44" t="s">
        <v>37</v>
      </c>
      <c r="B44" s="12"/>
    </row>
    <row r="45" spans="1:2" x14ac:dyDescent="0.3">
      <c r="A45" t="s">
        <v>38</v>
      </c>
      <c r="B4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Pizza Sales Calculations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2020-08-19T19:30:10Z</dcterms:created>
  <dcterms:modified xsi:type="dcterms:W3CDTF">2020-08-19T19:35:20Z</dcterms:modified>
</cp:coreProperties>
</file>