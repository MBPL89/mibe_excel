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admin\Downloads\excel\excel\"/>
    </mc:Choice>
  </mc:AlternateContent>
  <xr:revisionPtr revIDLastSave="0" documentId="13_ncr:1_{E6D7E0B5-BACB-44C4-8048-D13D6734C1B9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Topic 1- References" sheetId="1" r:id="rId1"/>
    <sheet name="Topic 2- Conditional Formatting" sheetId="2" r:id="rId2"/>
    <sheet name="Topic 3- Text functions" sheetId="3" r:id="rId3"/>
    <sheet name="Topic 4- IF" sheetId="4" r:id="rId4"/>
    <sheet name="Topic 5- VLOOKUP" sheetId="5" r:id="rId5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5" l="1"/>
  <c r="G12" i="5"/>
  <c r="H12" i="5"/>
  <c r="I12" i="5"/>
  <c r="J12" i="5"/>
  <c r="K12" i="5"/>
  <c r="L12" i="5"/>
  <c r="M12" i="5"/>
  <c r="E12" i="5"/>
  <c r="F12" i="4"/>
  <c r="G12" i="4"/>
  <c r="H12" i="4"/>
  <c r="I12" i="4"/>
  <c r="J12" i="4"/>
  <c r="K12" i="4"/>
  <c r="L12" i="4"/>
  <c r="M12" i="4"/>
  <c r="E12" i="4"/>
  <c r="M12" i="3"/>
  <c r="L12" i="3"/>
  <c r="K12" i="3"/>
  <c r="J12" i="3"/>
  <c r="I12" i="3"/>
  <c r="H12" i="3"/>
  <c r="G12" i="3"/>
  <c r="F12" i="3"/>
  <c r="E12" i="3"/>
  <c r="M12" i="2"/>
  <c r="L12" i="2"/>
  <c r="K12" i="2"/>
  <c r="J12" i="2"/>
  <c r="I12" i="2"/>
  <c r="H12" i="2"/>
  <c r="G12" i="2"/>
  <c r="F12" i="2"/>
  <c r="E12" i="2"/>
  <c r="L12" i="1"/>
  <c r="H12" i="1"/>
  <c r="I12" i="1"/>
  <c r="J12" i="1"/>
  <c r="F12" i="1"/>
  <c r="G12" i="1"/>
  <c r="K12" i="1"/>
  <c r="M12" i="1"/>
  <c r="E12" i="1"/>
</calcChain>
</file>

<file path=xl/sharedStrings.xml><?xml version="1.0" encoding="utf-8"?>
<sst xmlns="http://schemas.openxmlformats.org/spreadsheetml/2006/main" count="230" uniqueCount="56">
  <si>
    <t>Name</t>
  </si>
  <si>
    <t>Team(s) played for (years)[a]</t>
  </si>
  <si>
    <t>AllStar</t>
  </si>
  <si>
    <t>Kareem Abdul-Jabbar*</t>
  </si>
  <si>
    <t>C</t>
  </si>
  <si>
    <t>Nate Archibald*</t>
  </si>
  <si>
    <t>G</t>
  </si>
  <si>
    <t>Paul Arizin*</t>
  </si>
  <si>
    <t>F</t>
  </si>
  <si>
    <t>Charles Barkley*</t>
  </si>
  <si>
    <t>Rick Barry*</t>
  </si>
  <si>
    <t>Elgin Baylor*</t>
  </si>
  <si>
    <t>Dave Bing*</t>
  </si>
  <si>
    <t>Larry Bird*</t>
  </si>
  <si>
    <t>Wilt Chamberlain*</t>
  </si>
  <si>
    <t>MVP won</t>
  </si>
  <si>
    <t>Finals MVP won</t>
  </si>
  <si>
    <t>Position</t>
  </si>
  <si>
    <t>Points</t>
  </si>
  <si>
    <t>Rebounds</t>
  </si>
  <si>
    <t>Assists</t>
  </si>
  <si>
    <t>Bob Cousy*</t>
  </si>
  <si>
    <t>Boston Celtics (1950–1963); Cincinnati Royals (1969–1970)</t>
  </si>
  <si>
    <t>Games</t>
  </si>
  <si>
    <t>Seasons</t>
  </si>
  <si>
    <t>Totals</t>
  </si>
  <si>
    <t>Average</t>
  </si>
  <si>
    <t>Max</t>
  </si>
  <si>
    <r>
      <t>Championships</t>
    </r>
    <r>
      <rPr>
        <b/>
        <sz val="12"/>
        <color theme="1"/>
        <rFont val="Arial"/>
      </rPr>
      <t>won</t>
    </r>
    <r>
      <rPr>
        <b/>
        <vertAlign val="superscript"/>
        <sz val="12"/>
        <color theme="1"/>
        <rFont val="Arial"/>
      </rPr>
      <t>[b]</t>
    </r>
  </si>
  <si>
    <r>
      <t>Milwaukee Bucks</t>
    </r>
    <r>
      <rPr>
        <sz val="12"/>
        <color theme="1"/>
        <rFont val="Arial"/>
      </rPr>
      <t> (1969–1975); Los Angeles Lakers (1975–1989)</t>
    </r>
  </si>
  <si>
    <r>
      <t>Cincinnati Royals / Kansas City-Omaha / Kansas City Kings</t>
    </r>
    <r>
      <rPr>
        <sz val="12"/>
        <color theme="1"/>
        <rFont val="Arial"/>
      </rPr>
      <t> (1970–1976); New York Nets (1976–1977); Boston Celtics (1977–1983); Milwaukee Bucks (1983–1984)</t>
    </r>
  </si>
  <si>
    <r>
      <t>Philadelphia Warriors</t>
    </r>
    <r>
      <rPr>
        <sz val="12"/>
        <color theme="1"/>
        <rFont val="Arial"/>
      </rPr>
      <t> (1950–1952, 1954–1962)</t>
    </r>
  </si>
  <si>
    <r>
      <t>Philadelphia 76ers</t>
    </r>
    <r>
      <rPr>
        <sz val="12"/>
        <color theme="1"/>
        <rFont val="Arial"/>
      </rPr>
      <t> (1984–1992); Phoenix Suns (1992–1996);Houston Rockets (1996–2000)</t>
    </r>
  </si>
  <si>
    <r>
      <t>San Francisco / Golden State Warriors</t>
    </r>
    <r>
      <rPr>
        <sz val="12"/>
        <color theme="1"/>
        <rFont val="Arial"/>
      </rPr>
      <t>(1965–1967, 1972–1978); Houston Rockets (1978–1980)</t>
    </r>
  </si>
  <si>
    <r>
      <t>Minneapolis / Los Angeles Lakers</t>
    </r>
    <r>
      <rPr>
        <sz val="12"/>
        <color theme="1"/>
        <rFont val="Arial"/>
      </rPr>
      <t> (1958–1971)</t>
    </r>
  </si>
  <si>
    <r>
      <t>Detroit Pistons</t>
    </r>
    <r>
      <rPr>
        <sz val="12"/>
        <color theme="1"/>
        <rFont val="Arial"/>
      </rPr>
      <t> (1966–1975); Washington Bullets (1975–1977); Boston Celtics (1977–1978)</t>
    </r>
  </si>
  <si>
    <r>
      <t>Boston Celtics</t>
    </r>
    <r>
      <rPr>
        <sz val="12"/>
        <color theme="1"/>
        <rFont val="Arial"/>
      </rPr>
      <t> (1979–1992)</t>
    </r>
  </si>
  <si>
    <r>
      <t>Philadelphia / San Francisco Warriors</t>
    </r>
    <r>
      <rPr>
        <sz val="12"/>
        <color theme="1"/>
        <rFont val="Arial"/>
      </rPr>
      <t> (1959–1965); Philadelphia 76ers (1965–1968); Los Angeles Lakers (1968–1973)</t>
    </r>
  </si>
  <si>
    <t>Compute the following</t>
  </si>
  <si>
    <t>a) Split in multiple columns the different  teams in which each player played</t>
  </si>
  <si>
    <t>a) Flag the players that won the most championships (top 3)</t>
  </si>
  <si>
    <t>b) Visually show the number of seasons played by each player</t>
  </si>
  <si>
    <t>b) Use MVP titles to show those who won MANY, FEW and MEDIUM (nested IF)</t>
  </si>
  <si>
    <t>b) Name the player who grabbed the greatest number of rebounds</t>
  </si>
  <si>
    <t>a) Name the player who played most seasons</t>
  </si>
  <si>
    <t>b) Combine them together separated by a space</t>
  </si>
  <si>
    <t>a) Insert "above average" for players who scored more points than the average. Insert "below average" for the others.</t>
  </si>
  <si>
    <t>a) Average points per game for each player</t>
  </si>
  <si>
    <t>b) Proportion of each player points over the total points scored</t>
  </si>
  <si>
    <r>
      <t>Milwaukee Bucks</t>
    </r>
    <r>
      <rPr>
        <sz val="12"/>
        <color theme="1"/>
        <rFont val="Arial"/>
      </rPr>
      <t> (1969–1975);Los Angeles Lakers (1975–1989)</t>
    </r>
  </si>
  <si>
    <r>
      <t>Cincinnati Royals / Kansas City-Omaha / Kansas City Kings</t>
    </r>
    <r>
      <rPr>
        <sz val="12"/>
        <color theme="1"/>
        <rFont val="Arial"/>
      </rPr>
      <t> (1970–1976); New York Nets (1976–1977);Boston Celtics (1977–1983);Milwaukee Bucks (1983–1984)</t>
    </r>
  </si>
  <si>
    <r>
      <t>Philadelphia 76ers</t>
    </r>
    <r>
      <rPr>
        <sz val="12"/>
        <color theme="1"/>
        <rFont val="Arial"/>
      </rPr>
      <t> (1984–1992);Phoenix Suns (1992–1996);Houston Rockets (1996–2000)</t>
    </r>
  </si>
  <si>
    <r>
      <t>San Francisco / Golden State Warriors</t>
    </r>
    <r>
      <rPr>
        <sz val="12"/>
        <color theme="1"/>
        <rFont val="Arial"/>
      </rPr>
      <t>(1965–1967, 1972–1978);Houston Rockets (1978–1980)</t>
    </r>
  </si>
  <si>
    <r>
      <t>Detroit Pistons</t>
    </r>
    <r>
      <rPr>
        <sz val="12"/>
        <color theme="1"/>
        <rFont val="Arial"/>
      </rPr>
      <t> (1966–1975);Washington Bullets (1975–1977);Boston Celtics (1977–1978)</t>
    </r>
  </si>
  <si>
    <r>
      <t>Philadelphia / San Francisco Warriors</t>
    </r>
    <r>
      <rPr>
        <sz val="12"/>
        <color theme="1"/>
        <rFont val="Arial"/>
      </rPr>
      <t> (1959–1965);Philadelphia 76ers (1965–1968); Los Angeles Lakers (1968–1973)</t>
    </r>
  </si>
  <si>
    <t>Boston Celtics (1950–1963);Cincinnati Royals (1969–1970)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</si>
</sst>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</font>
    <font>
      <b/>
      <vertAlign val="superscript"/>
      <sz val="12"/>
      <color theme="1"/>
      <name val="Arial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3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50_Greatest_Players_in_NBA_History" TargetMode="External"/><Relationship Id="rId3" Type="http://schemas.openxmlformats.org/officeDocument/2006/relationships/hyperlink" Target="https://en.wikipedia.org/wiki/50_Greatest_Players_in_NBA_History" TargetMode="External"/><Relationship Id="rId7" Type="http://schemas.openxmlformats.org/officeDocument/2006/relationships/hyperlink" Target="https://en.wikipedia.org/wiki/50_Greatest_Players_in_NBA_History" TargetMode="External"/><Relationship Id="rId2" Type="http://schemas.openxmlformats.org/officeDocument/2006/relationships/hyperlink" Target="https://en.wikipedia.org/wiki/50_Greatest_Players_in_NBA_History" TargetMode="External"/><Relationship Id="rId1" Type="http://schemas.openxmlformats.org/officeDocument/2006/relationships/hyperlink" Target="https://en.wikipedia.org/wiki/50_Greatest_Players_in_NBA_History" TargetMode="External"/><Relationship Id="rId6" Type="http://schemas.openxmlformats.org/officeDocument/2006/relationships/hyperlink" Target="https://en.wikipedia.org/wiki/50_Greatest_Players_in_NBA_Histor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en.wikipedia.org/wiki/50_Greatest_Players_in_NBA_History" TargetMode="External"/><Relationship Id="rId10" Type="http://schemas.openxmlformats.org/officeDocument/2006/relationships/hyperlink" Target="https://en.wikipedia.org/wiki/Bill_Russell_NBA_Finals_Most_Valuable_Player_Award" TargetMode="External"/><Relationship Id="rId4" Type="http://schemas.openxmlformats.org/officeDocument/2006/relationships/hyperlink" Target="https://en.wikipedia.org/wiki/50_Greatest_Players_in_NBA_History" TargetMode="External"/><Relationship Id="rId9" Type="http://schemas.openxmlformats.org/officeDocument/2006/relationships/hyperlink" Target="https://en.wikipedia.org/wiki/50_Greatest_Players_in_NBA_History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50_Greatest_Players_in_NBA_History" TargetMode="External"/><Relationship Id="rId3" Type="http://schemas.openxmlformats.org/officeDocument/2006/relationships/hyperlink" Target="https://en.wikipedia.org/wiki/50_Greatest_Players_in_NBA_History" TargetMode="External"/><Relationship Id="rId7" Type="http://schemas.openxmlformats.org/officeDocument/2006/relationships/hyperlink" Target="https://en.wikipedia.org/wiki/50_Greatest_Players_in_NBA_History" TargetMode="External"/><Relationship Id="rId2" Type="http://schemas.openxmlformats.org/officeDocument/2006/relationships/hyperlink" Target="https://en.wikipedia.org/wiki/50_Greatest_Players_in_NBA_History" TargetMode="External"/><Relationship Id="rId1" Type="http://schemas.openxmlformats.org/officeDocument/2006/relationships/hyperlink" Target="https://en.wikipedia.org/wiki/50_Greatest_Players_in_NBA_History" TargetMode="External"/><Relationship Id="rId6" Type="http://schemas.openxmlformats.org/officeDocument/2006/relationships/hyperlink" Target="https://en.wikipedia.org/wiki/50_Greatest_Players_in_NBA_History" TargetMode="External"/><Relationship Id="rId5" Type="http://schemas.openxmlformats.org/officeDocument/2006/relationships/hyperlink" Target="https://en.wikipedia.org/wiki/50_Greatest_Players_in_NBA_History" TargetMode="External"/><Relationship Id="rId10" Type="http://schemas.openxmlformats.org/officeDocument/2006/relationships/hyperlink" Target="https://en.wikipedia.org/wiki/Bill_Russell_NBA_Finals_Most_Valuable_Player_Award" TargetMode="External"/><Relationship Id="rId4" Type="http://schemas.openxmlformats.org/officeDocument/2006/relationships/hyperlink" Target="https://en.wikipedia.org/wiki/50_Greatest_Players_in_NBA_History" TargetMode="External"/><Relationship Id="rId9" Type="http://schemas.openxmlformats.org/officeDocument/2006/relationships/hyperlink" Target="https://en.wikipedia.org/wiki/50_Greatest_Players_in_NBA_History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50_Greatest_Players_in_NBA_History" TargetMode="External"/><Relationship Id="rId3" Type="http://schemas.openxmlformats.org/officeDocument/2006/relationships/hyperlink" Target="https://en.wikipedia.org/wiki/50_Greatest_Players_in_NBA_History" TargetMode="External"/><Relationship Id="rId7" Type="http://schemas.openxmlformats.org/officeDocument/2006/relationships/hyperlink" Target="https://en.wikipedia.org/wiki/50_Greatest_Players_in_NBA_History" TargetMode="External"/><Relationship Id="rId2" Type="http://schemas.openxmlformats.org/officeDocument/2006/relationships/hyperlink" Target="https://en.wikipedia.org/wiki/50_Greatest_Players_in_NBA_History" TargetMode="External"/><Relationship Id="rId1" Type="http://schemas.openxmlformats.org/officeDocument/2006/relationships/hyperlink" Target="https://en.wikipedia.org/wiki/50_Greatest_Players_in_NBA_History" TargetMode="External"/><Relationship Id="rId6" Type="http://schemas.openxmlformats.org/officeDocument/2006/relationships/hyperlink" Target="https://en.wikipedia.org/wiki/50_Greatest_Players_in_NBA_History" TargetMode="External"/><Relationship Id="rId5" Type="http://schemas.openxmlformats.org/officeDocument/2006/relationships/hyperlink" Target="https://en.wikipedia.org/wiki/50_Greatest_Players_in_NBA_History" TargetMode="External"/><Relationship Id="rId10" Type="http://schemas.openxmlformats.org/officeDocument/2006/relationships/hyperlink" Target="https://en.wikipedia.org/wiki/Bill_Russell_NBA_Finals_Most_Valuable_Player_Award" TargetMode="External"/><Relationship Id="rId4" Type="http://schemas.openxmlformats.org/officeDocument/2006/relationships/hyperlink" Target="https://en.wikipedia.org/wiki/50_Greatest_Players_in_NBA_History" TargetMode="External"/><Relationship Id="rId9" Type="http://schemas.openxmlformats.org/officeDocument/2006/relationships/hyperlink" Target="https://en.wikipedia.org/wiki/50_Greatest_Players_in_NBA_History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50_Greatest_Players_in_NBA_History" TargetMode="External"/><Relationship Id="rId3" Type="http://schemas.openxmlformats.org/officeDocument/2006/relationships/hyperlink" Target="https://en.wikipedia.org/wiki/50_Greatest_Players_in_NBA_History" TargetMode="External"/><Relationship Id="rId7" Type="http://schemas.openxmlformats.org/officeDocument/2006/relationships/hyperlink" Target="https://en.wikipedia.org/wiki/50_Greatest_Players_in_NBA_History" TargetMode="External"/><Relationship Id="rId2" Type="http://schemas.openxmlformats.org/officeDocument/2006/relationships/hyperlink" Target="https://en.wikipedia.org/wiki/50_Greatest_Players_in_NBA_History" TargetMode="External"/><Relationship Id="rId1" Type="http://schemas.openxmlformats.org/officeDocument/2006/relationships/hyperlink" Target="https://en.wikipedia.org/wiki/50_Greatest_Players_in_NBA_History" TargetMode="External"/><Relationship Id="rId6" Type="http://schemas.openxmlformats.org/officeDocument/2006/relationships/hyperlink" Target="https://en.wikipedia.org/wiki/50_Greatest_Players_in_NBA_History" TargetMode="External"/><Relationship Id="rId5" Type="http://schemas.openxmlformats.org/officeDocument/2006/relationships/hyperlink" Target="https://en.wikipedia.org/wiki/50_Greatest_Players_in_NBA_History" TargetMode="External"/><Relationship Id="rId10" Type="http://schemas.openxmlformats.org/officeDocument/2006/relationships/hyperlink" Target="https://en.wikipedia.org/wiki/Bill_Russell_NBA_Finals_Most_Valuable_Player_Award" TargetMode="External"/><Relationship Id="rId4" Type="http://schemas.openxmlformats.org/officeDocument/2006/relationships/hyperlink" Target="https://en.wikipedia.org/wiki/50_Greatest_Players_in_NBA_History" TargetMode="External"/><Relationship Id="rId9" Type="http://schemas.openxmlformats.org/officeDocument/2006/relationships/hyperlink" Target="https://en.wikipedia.org/wiki/50_Greatest_Players_in_NBA_History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50_Greatest_Players_in_NBA_History" TargetMode="External"/><Relationship Id="rId3" Type="http://schemas.openxmlformats.org/officeDocument/2006/relationships/hyperlink" Target="https://en.wikipedia.org/wiki/50_Greatest_Players_in_NBA_History" TargetMode="External"/><Relationship Id="rId7" Type="http://schemas.openxmlformats.org/officeDocument/2006/relationships/hyperlink" Target="https://en.wikipedia.org/wiki/50_Greatest_Players_in_NBA_History" TargetMode="External"/><Relationship Id="rId2" Type="http://schemas.openxmlformats.org/officeDocument/2006/relationships/hyperlink" Target="https://en.wikipedia.org/wiki/50_Greatest_Players_in_NBA_History" TargetMode="External"/><Relationship Id="rId1" Type="http://schemas.openxmlformats.org/officeDocument/2006/relationships/hyperlink" Target="https://en.wikipedia.org/wiki/50_Greatest_Players_in_NBA_History" TargetMode="External"/><Relationship Id="rId6" Type="http://schemas.openxmlformats.org/officeDocument/2006/relationships/hyperlink" Target="https://en.wikipedia.org/wiki/50_Greatest_Players_in_NBA_History" TargetMode="External"/><Relationship Id="rId5" Type="http://schemas.openxmlformats.org/officeDocument/2006/relationships/hyperlink" Target="https://en.wikipedia.org/wiki/50_Greatest_Players_in_NBA_History" TargetMode="External"/><Relationship Id="rId10" Type="http://schemas.openxmlformats.org/officeDocument/2006/relationships/hyperlink" Target="https://en.wikipedia.org/wiki/Bill_Russell_NBA_Finals_Most_Valuable_Player_Award" TargetMode="External"/><Relationship Id="rId4" Type="http://schemas.openxmlformats.org/officeDocument/2006/relationships/hyperlink" Target="https://en.wikipedia.org/wiki/50_Greatest_Players_in_NBA_History" TargetMode="External"/><Relationship Id="rId9" Type="http://schemas.openxmlformats.org/officeDocument/2006/relationships/hyperlink" Target="https://en.wikipedia.org/wiki/50_Greatest_Players_in_NBA_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zoomScaleNormal="100" workbookViewId="0">
      <selection activeCell="B1" sqref="B1"/>
    </sheetView>
  </sheetViews>
  <sheetFormatPr defaultColWidth="10.8984375" defaultRowHeight="15.6" x14ac:dyDescent="0.3"/>
  <cols>
    <col min="1" max="1" width="6.5" style="1" customWidth="1"/>
    <col min="2" max="2" width="19.5" style="1" bestFit="1" customWidth="1"/>
    <col min="3" max="3" width="36.3984375" style="1" customWidth="1"/>
    <col min="4" max="4" width="7.8984375" style="1" bestFit="1" customWidth="1"/>
    <col min="5" max="5" width="7.09765625" style="1" bestFit="1" customWidth="1"/>
    <col min="6" max="6" width="9.3984375" style="1" bestFit="1" customWidth="1"/>
    <col min="7" max="7" width="6.59765625" style="1" bestFit="1" customWidth="1"/>
    <col min="8" max="8" width="19.5" style="1" bestFit="1" customWidth="1"/>
    <col min="9" max="9" width="9.09765625" style="1" bestFit="1" customWidth="1"/>
    <col min="10" max="10" width="14.3984375" style="1" bestFit="1" customWidth="1"/>
    <col min="11" max="11" width="6.59765625" style="1" bestFit="1" customWidth="1"/>
    <col min="12" max="12" width="7.8984375" style="1" bestFit="1" customWidth="1"/>
    <col min="13" max="13" width="6.8984375" style="1" bestFit="1" customWidth="1"/>
    <col min="14" max="16384" width="10.8984375" style="1"/>
  </cols>
  <sheetData>
    <row r="1" spans="1:13" ht="18" x14ac:dyDescent="0.3">
      <c r="A1" s="3"/>
      <c r="B1" s="3" t="s">
        <v>0</v>
      </c>
      <c r="C1" s="3" t="s">
        <v>1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28</v>
      </c>
      <c r="I1" s="3" t="s">
        <v>15</v>
      </c>
      <c r="J1" s="3" t="s">
        <v>16</v>
      </c>
      <c r="K1" s="3" t="s">
        <v>2</v>
      </c>
      <c r="L1" s="3" t="s">
        <v>24</v>
      </c>
      <c r="M1" s="3" t="s">
        <v>23</v>
      </c>
    </row>
    <row r="2" spans="1:13" x14ac:dyDescent="0.3">
      <c r="A2" s="1">
        <v>1</v>
      </c>
      <c r="B2" s="1" t="s">
        <v>3</v>
      </c>
      <c r="C2" s="1" t="s">
        <v>49</v>
      </c>
      <c r="D2" s="1" t="s">
        <v>4</v>
      </c>
      <c r="E2" s="1">
        <v>38387</v>
      </c>
      <c r="F2" s="1">
        <v>17440</v>
      </c>
      <c r="G2" s="1">
        <v>5660</v>
      </c>
      <c r="H2" s="1">
        <v>6</v>
      </c>
      <c r="I2" s="1">
        <v>6</v>
      </c>
      <c r="J2" s="1">
        <v>2</v>
      </c>
      <c r="K2" s="1">
        <v>19</v>
      </c>
      <c r="L2" s="1">
        <v>20</v>
      </c>
      <c r="M2" s="1">
        <v>1560</v>
      </c>
    </row>
    <row r="3" spans="1:13" x14ac:dyDescent="0.3">
      <c r="A3" s="1">
        <v>2</v>
      </c>
      <c r="B3" s="1" t="s">
        <v>5</v>
      </c>
      <c r="C3" s="1" t="s">
        <v>50</v>
      </c>
      <c r="D3" s="1" t="s">
        <v>6</v>
      </c>
      <c r="E3" s="1">
        <v>16481</v>
      </c>
      <c r="F3" s="1">
        <v>2046</v>
      </c>
      <c r="G3" s="1">
        <v>6476</v>
      </c>
      <c r="H3" s="1">
        <v>1</v>
      </c>
      <c r="I3" s="1">
        <v>0</v>
      </c>
      <c r="J3" s="1">
        <v>0</v>
      </c>
      <c r="K3" s="1">
        <v>6</v>
      </c>
      <c r="L3" s="1">
        <v>13</v>
      </c>
      <c r="M3" s="1">
        <v>876</v>
      </c>
    </row>
    <row r="4" spans="1:13" x14ac:dyDescent="0.3">
      <c r="A4" s="1">
        <v>3</v>
      </c>
      <c r="B4" s="1" t="s">
        <v>7</v>
      </c>
      <c r="C4" s="1" t="s">
        <v>31</v>
      </c>
      <c r="D4" s="1" t="s">
        <v>8</v>
      </c>
      <c r="E4" s="1">
        <v>16266</v>
      </c>
      <c r="F4" s="1">
        <v>6129</v>
      </c>
      <c r="G4" s="1">
        <v>1665</v>
      </c>
      <c r="H4" s="1">
        <v>1</v>
      </c>
      <c r="I4" s="1">
        <v>0</v>
      </c>
      <c r="J4" s="1">
        <v>0</v>
      </c>
      <c r="K4" s="1">
        <v>10</v>
      </c>
      <c r="L4" s="1">
        <v>10</v>
      </c>
      <c r="M4" s="1">
        <v>713</v>
      </c>
    </row>
    <row r="5" spans="1:13" x14ac:dyDescent="0.3">
      <c r="A5" s="1">
        <v>4</v>
      </c>
      <c r="B5" s="1" t="s">
        <v>9</v>
      </c>
      <c r="C5" s="1" t="s">
        <v>51</v>
      </c>
      <c r="D5" s="1" t="s">
        <v>8</v>
      </c>
      <c r="E5" s="1">
        <v>23757</v>
      </c>
      <c r="F5" s="1">
        <v>12546</v>
      </c>
      <c r="G5" s="1">
        <v>4215</v>
      </c>
      <c r="H5" s="1">
        <v>0</v>
      </c>
      <c r="I5" s="1">
        <v>1</v>
      </c>
      <c r="J5" s="1">
        <v>0</v>
      </c>
      <c r="K5" s="1">
        <v>11</v>
      </c>
      <c r="L5" s="1">
        <v>16</v>
      </c>
      <c r="M5" s="1">
        <v>1070</v>
      </c>
    </row>
    <row r="6" spans="1:13" x14ac:dyDescent="0.3">
      <c r="A6" s="1">
        <v>5</v>
      </c>
      <c r="B6" s="1" t="s">
        <v>10</v>
      </c>
      <c r="C6" s="1" t="s">
        <v>52</v>
      </c>
      <c r="D6" s="1" t="s">
        <v>8</v>
      </c>
      <c r="E6" s="1">
        <v>18395</v>
      </c>
      <c r="F6" s="1">
        <v>5168</v>
      </c>
      <c r="G6" s="1">
        <v>4017</v>
      </c>
      <c r="H6" s="1">
        <v>1</v>
      </c>
      <c r="I6" s="1">
        <v>0</v>
      </c>
      <c r="J6" s="1">
        <v>1</v>
      </c>
      <c r="K6" s="1">
        <v>8</v>
      </c>
      <c r="L6" s="1">
        <v>14</v>
      </c>
      <c r="M6" s="1">
        <v>1020</v>
      </c>
    </row>
    <row r="7" spans="1:13" x14ac:dyDescent="0.3">
      <c r="A7" s="1">
        <v>6</v>
      </c>
      <c r="B7" s="1" t="s">
        <v>11</v>
      </c>
      <c r="C7" s="1" t="s">
        <v>34</v>
      </c>
      <c r="D7" s="1" t="s">
        <v>8</v>
      </c>
      <c r="E7" s="1">
        <v>23149</v>
      </c>
      <c r="F7" s="1">
        <v>11463</v>
      </c>
      <c r="G7" s="1">
        <v>3650</v>
      </c>
      <c r="H7" s="1">
        <v>0</v>
      </c>
      <c r="I7" s="1">
        <v>0</v>
      </c>
      <c r="J7" s="1">
        <v>0</v>
      </c>
      <c r="K7" s="1">
        <v>11</v>
      </c>
      <c r="L7" s="1">
        <v>14</v>
      </c>
      <c r="M7" s="1">
        <v>846</v>
      </c>
    </row>
    <row r="8" spans="1:13" x14ac:dyDescent="0.3">
      <c r="A8" s="1">
        <v>7</v>
      </c>
      <c r="B8" s="1" t="s">
        <v>12</v>
      </c>
      <c r="C8" s="1" t="s">
        <v>53</v>
      </c>
      <c r="D8" s="1" t="s">
        <v>6</v>
      </c>
      <c r="E8" s="1">
        <v>18327</v>
      </c>
      <c r="F8" s="1">
        <v>3420</v>
      </c>
      <c r="G8" s="1">
        <v>5397</v>
      </c>
      <c r="H8" s="1">
        <v>0</v>
      </c>
      <c r="I8" s="1">
        <v>0</v>
      </c>
      <c r="J8" s="1">
        <v>0</v>
      </c>
      <c r="K8" s="1">
        <v>7</v>
      </c>
      <c r="L8" s="1">
        <v>12</v>
      </c>
      <c r="M8" s="1">
        <v>901</v>
      </c>
    </row>
    <row r="9" spans="1:13" x14ac:dyDescent="0.3">
      <c r="A9" s="1">
        <v>8</v>
      </c>
      <c r="B9" s="1" t="s">
        <v>13</v>
      </c>
      <c r="C9" s="1" t="s">
        <v>36</v>
      </c>
      <c r="D9" s="1" t="s">
        <v>8</v>
      </c>
      <c r="E9" s="1">
        <v>21791</v>
      </c>
      <c r="F9" s="1">
        <v>8974</v>
      </c>
      <c r="G9" s="1">
        <v>5695</v>
      </c>
      <c r="H9" s="1">
        <v>3</v>
      </c>
      <c r="I9" s="1">
        <v>3</v>
      </c>
      <c r="J9" s="1">
        <v>2</v>
      </c>
      <c r="K9" s="1">
        <v>12</v>
      </c>
      <c r="L9" s="1">
        <v>13</v>
      </c>
      <c r="M9" s="1">
        <v>897</v>
      </c>
    </row>
    <row r="10" spans="1:13" x14ac:dyDescent="0.3">
      <c r="A10" s="1">
        <v>9</v>
      </c>
      <c r="B10" s="1" t="s">
        <v>14</v>
      </c>
      <c r="C10" s="1" t="s">
        <v>54</v>
      </c>
      <c r="D10" s="1" t="s">
        <v>4</v>
      </c>
      <c r="E10" s="1">
        <v>31419</v>
      </c>
      <c r="F10" s="1">
        <v>23924</v>
      </c>
      <c r="G10" s="1">
        <v>4643</v>
      </c>
      <c r="H10" s="1">
        <v>2</v>
      </c>
      <c r="I10" s="1">
        <v>4</v>
      </c>
      <c r="J10" s="1">
        <v>1</v>
      </c>
      <c r="K10" s="1">
        <v>13</v>
      </c>
      <c r="L10" s="1">
        <v>15</v>
      </c>
      <c r="M10" s="1">
        <v>1045</v>
      </c>
    </row>
    <row r="11" spans="1:13" x14ac:dyDescent="0.3">
      <c r="A11" s="1">
        <v>10</v>
      </c>
      <c r="B11" s="1" t="s">
        <v>21</v>
      </c>
      <c r="C11" s="1" t="s">
        <v>55</v>
      </c>
      <c r="D11" s="1" t="s">
        <v>6</v>
      </c>
      <c r="E11" s="2">
        <v>16960</v>
      </c>
      <c r="F11" s="2">
        <v>4786</v>
      </c>
      <c r="G11" s="2">
        <v>6955</v>
      </c>
      <c r="H11" s="1">
        <v>6</v>
      </c>
      <c r="I11" s="1">
        <v>1</v>
      </c>
      <c r="J11" s="1">
        <v>0</v>
      </c>
      <c r="K11" s="1">
        <v>13</v>
      </c>
      <c r="L11" s="1">
        <v>14</v>
      </c>
      <c r="M11" s="1">
        <v>924</v>
      </c>
    </row>
    <row r="12" spans="1:13" x14ac:dyDescent="0.3">
      <c r="A12" s="3" t="s">
        <v>25</v>
      </c>
      <c r="E12" s="1">
        <f>SUM(E2:E11)</f>
        <v>224932</v>
      </c>
      <c r="F12" s="1">
        <f t="shared" ref="F12:M12" si="0">SUM(F2:F11)</f>
        <v>95896</v>
      </c>
      <c r="G12" s="1">
        <f t="shared" si="0"/>
        <v>48373</v>
      </c>
      <c r="H12" s="1">
        <f t="shared" ref="H12" si="1">SUM(H2:H11)</f>
        <v>20</v>
      </c>
      <c r="I12" s="1">
        <f t="shared" ref="I12" si="2">SUM(I2:I11)</f>
        <v>15</v>
      </c>
      <c r="J12" s="1">
        <f t="shared" ref="J12" si="3">SUM(J2:J11)</f>
        <v>6</v>
      </c>
      <c r="K12" s="1">
        <f t="shared" si="0"/>
        <v>110</v>
      </c>
      <c r="L12" s="1">
        <f t="shared" si="0"/>
        <v>141</v>
      </c>
      <c r="M12" s="1">
        <f t="shared" si="0"/>
        <v>9852</v>
      </c>
    </row>
    <row r="14" spans="1:13" x14ac:dyDescent="0.3">
      <c r="A14" s="3" t="s">
        <v>38</v>
      </c>
    </row>
    <row r="15" spans="1:13" x14ac:dyDescent="0.3">
      <c r="A15" s="1" t="s">
        <v>47</v>
      </c>
    </row>
    <row r="16" spans="1:13" x14ac:dyDescent="0.3">
      <c r="A16" s="1" t="s">
        <v>48</v>
      </c>
    </row>
  </sheetData>
  <hyperlinks>
    <hyperlink ref="M2" r:id="rId1" location="cite_note-5" display="[5]" xr:uid="{00000000-0004-0000-0000-000000000000}"/>
    <hyperlink ref="M3" r:id="rId2" location="cite_note-6" display="[6]" xr:uid="{00000000-0004-0000-0000-000001000000}"/>
    <hyperlink ref="M4" r:id="rId3" location="cite_note-7" display="[7]" xr:uid="{00000000-0004-0000-0000-000002000000}"/>
    <hyperlink ref="M5" r:id="rId4" location="cite_note-8" display="[8]" xr:uid="{00000000-0004-0000-0000-000003000000}"/>
    <hyperlink ref="M6" r:id="rId5" location="cite_note-9" display="[9]" xr:uid="{00000000-0004-0000-0000-000004000000}"/>
    <hyperlink ref="M7" r:id="rId6" location="cite_note-10" display="[10]" xr:uid="{00000000-0004-0000-0000-000005000000}"/>
    <hyperlink ref="M8" r:id="rId7" location="cite_note-11" display="[11]" xr:uid="{00000000-0004-0000-0000-000006000000}"/>
    <hyperlink ref="M9" r:id="rId8" location="cite_note-12" display="[12]" xr:uid="{00000000-0004-0000-0000-000007000000}"/>
    <hyperlink ref="M10" r:id="rId9" location="cite_note-13" display="[13]" xr:uid="{00000000-0004-0000-0000-000008000000}"/>
    <hyperlink ref="J1" r:id="rId10" tooltip="Bill Russell NBA Finals Most Valuable Player Award" xr:uid="{00000000-0004-0000-0000-000009000000}"/>
  </hyperlinks>
  <pageMargins left="0.7" right="0.7" top="0.75" bottom="0.75" header="0.3" footer="0.3"/>
  <pageSetup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zoomScaleNormal="100" workbookViewId="0">
      <selection activeCell="I2" sqref="I2:I11"/>
    </sheetView>
  </sheetViews>
  <sheetFormatPr defaultColWidth="10.8984375" defaultRowHeight="15.6" x14ac:dyDescent="0.3"/>
  <cols>
    <col min="1" max="1" width="8.3984375" style="1" customWidth="1"/>
    <col min="2" max="2" width="19.8984375" style="1" bestFit="1" customWidth="1"/>
    <col min="3" max="16384" width="10.8984375" style="1"/>
  </cols>
  <sheetData>
    <row r="1" spans="1:13" ht="18" x14ac:dyDescent="0.3">
      <c r="A1" s="3"/>
      <c r="B1" s="3" t="s">
        <v>0</v>
      </c>
      <c r="C1" s="3" t="s">
        <v>1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28</v>
      </c>
      <c r="I1" s="3" t="s">
        <v>15</v>
      </c>
      <c r="J1" s="3" t="s">
        <v>16</v>
      </c>
      <c r="K1" s="3" t="s">
        <v>2</v>
      </c>
      <c r="L1" s="3" t="s">
        <v>24</v>
      </c>
      <c r="M1" s="3" t="s">
        <v>23</v>
      </c>
    </row>
    <row r="2" spans="1:13" x14ac:dyDescent="0.3">
      <c r="A2" s="1">
        <v>1</v>
      </c>
      <c r="B2" s="1" t="s">
        <v>3</v>
      </c>
      <c r="C2" s="1" t="s">
        <v>29</v>
      </c>
      <c r="D2" s="1" t="s">
        <v>4</v>
      </c>
      <c r="E2" s="1">
        <v>38387</v>
      </c>
      <c r="F2" s="1">
        <v>17440</v>
      </c>
      <c r="G2" s="1">
        <v>5660</v>
      </c>
      <c r="H2" s="1">
        <v>6</v>
      </c>
      <c r="I2" s="1">
        <v>6</v>
      </c>
      <c r="J2" s="1">
        <v>2</v>
      </c>
      <c r="K2" s="1">
        <v>19</v>
      </c>
      <c r="L2" s="1">
        <v>20</v>
      </c>
      <c r="M2" s="1">
        <v>1560</v>
      </c>
    </row>
    <row r="3" spans="1:13" x14ac:dyDescent="0.3">
      <c r="A3" s="1">
        <v>2</v>
      </c>
      <c r="B3" s="1" t="s">
        <v>5</v>
      </c>
      <c r="C3" s="1" t="s">
        <v>30</v>
      </c>
      <c r="D3" s="1" t="s">
        <v>6</v>
      </c>
      <c r="E3" s="1">
        <v>16481</v>
      </c>
      <c r="F3" s="1">
        <v>2046</v>
      </c>
      <c r="G3" s="1">
        <v>6476</v>
      </c>
      <c r="H3" s="1">
        <v>1</v>
      </c>
      <c r="I3" s="1">
        <v>0</v>
      </c>
      <c r="J3" s="1">
        <v>0</v>
      </c>
      <c r="K3" s="1">
        <v>6</v>
      </c>
      <c r="L3" s="1">
        <v>13</v>
      </c>
      <c r="M3" s="1">
        <v>876</v>
      </c>
    </row>
    <row r="4" spans="1:13" x14ac:dyDescent="0.3">
      <c r="A4" s="1">
        <v>3</v>
      </c>
      <c r="B4" s="1" t="s">
        <v>7</v>
      </c>
      <c r="C4" s="1" t="s">
        <v>31</v>
      </c>
      <c r="D4" s="1" t="s">
        <v>8</v>
      </c>
      <c r="E4" s="1">
        <v>16266</v>
      </c>
      <c r="F4" s="1">
        <v>6129</v>
      </c>
      <c r="G4" s="1">
        <v>1665</v>
      </c>
      <c r="H4" s="1">
        <v>1</v>
      </c>
      <c r="I4" s="1">
        <v>0</v>
      </c>
      <c r="J4" s="1">
        <v>0</v>
      </c>
      <c r="K4" s="1">
        <v>10</v>
      </c>
      <c r="L4" s="1">
        <v>10</v>
      </c>
      <c r="M4" s="1">
        <v>713</v>
      </c>
    </row>
    <row r="5" spans="1:13" x14ac:dyDescent="0.3">
      <c r="A5" s="1">
        <v>4</v>
      </c>
      <c r="B5" s="1" t="s">
        <v>9</v>
      </c>
      <c r="C5" s="1" t="s">
        <v>32</v>
      </c>
      <c r="D5" s="1" t="s">
        <v>8</v>
      </c>
      <c r="E5" s="1">
        <v>23757</v>
      </c>
      <c r="F5" s="1">
        <v>12546</v>
      </c>
      <c r="G5" s="1">
        <v>4215</v>
      </c>
      <c r="H5" s="1">
        <v>0</v>
      </c>
      <c r="I5" s="1">
        <v>1</v>
      </c>
      <c r="J5" s="1">
        <v>0</v>
      </c>
      <c r="K5" s="1">
        <v>11</v>
      </c>
      <c r="L5" s="1">
        <v>16</v>
      </c>
      <c r="M5" s="1">
        <v>1070</v>
      </c>
    </row>
    <row r="6" spans="1:13" x14ac:dyDescent="0.3">
      <c r="A6" s="1">
        <v>5</v>
      </c>
      <c r="B6" s="1" t="s">
        <v>10</v>
      </c>
      <c r="C6" s="1" t="s">
        <v>33</v>
      </c>
      <c r="D6" s="1" t="s">
        <v>8</v>
      </c>
      <c r="E6" s="1">
        <v>18395</v>
      </c>
      <c r="F6" s="1">
        <v>5168</v>
      </c>
      <c r="G6" s="1">
        <v>4017</v>
      </c>
      <c r="H6" s="1">
        <v>1</v>
      </c>
      <c r="I6" s="1">
        <v>0</v>
      </c>
      <c r="J6" s="1">
        <v>1</v>
      </c>
      <c r="K6" s="1">
        <v>8</v>
      </c>
      <c r="L6" s="1">
        <v>14</v>
      </c>
      <c r="M6" s="1">
        <v>1020</v>
      </c>
    </row>
    <row r="7" spans="1:13" x14ac:dyDescent="0.3">
      <c r="A7" s="1">
        <v>6</v>
      </c>
      <c r="B7" s="1" t="s">
        <v>11</v>
      </c>
      <c r="C7" s="1" t="s">
        <v>34</v>
      </c>
      <c r="D7" s="1" t="s">
        <v>8</v>
      </c>
      <c r="E7" s="1">
        <v>23149</v>
      </c>
      <c r="F7" s="1">
        <v>11463</v>
      </c>
      <c r="G7" s="1">
        <v>3650</v>
      </c>
      <c r="H7" s="1">
        <v>0</v>
      </c>
      <c r="I7" s="1">
        <v>0</v>
      </c>
      <c r="J7" s="1">
        <v>0</v>
      </c>
      <c r="K7" s="1">
        <v>11</v>
      </c>
      <c r="L7" s="1">
        <v>14</v>
      </c>
      <c r="M7" s="1">
        <v>846</v>
      </c>
    </row>
    <row r="8" spans="1:13" x14ac:dyDescent="0.3">
      <c r="A8" s="1">
        <v>7</v>
      </c>
      <c r="B8" s="1" t="s">
        <v>12</v>
      </c>
      <c r="C8" s="1" t="s">
        <v>35</v>
      </c>
      <c r="D8" s="1" t="s">
        <v>6</v>
      </c>
      <c r="E8" s="1">
        <v>18327</v>
      </c>
      <c r="F8" s="1">
        <v>3420</v>
      </c>
      <c r="G8" s="1">
        <v>5397</v>
      </c>
      <c r="H8" s="1">
        <v>0</v>
      </c>
      <c r="I8" s="1">
        <v>0</v>
      </c>
      <c r="J8" s="1">
        <v>0</v>
      </c>
      <c r="K8" s="1">
        <v>7</v>
      </c>
      <c r="L8" s="1">
        <v>12</v>
      </c>
      <c r="M8" s="1">
        <v>901</v>
      </c>
    </row>
    <row r="9" spans="1:13" x14ac:dyDescent="0.3">
      <c r="A9" s="1">
        <v>8</v>
      </c>
      <c r="B9" s="1" t="s">
        <v>13</v>
      </c>
      <c r="C9" s="1" t="s">
        <v>36</v>
      </c>
      <c r="D9" s="1" t="s">
        <v>8</v>
      </c>
      <c r="E9" s="1">
        <v>21791</v>
      </c>
      <c r="F9" s="1">
        <v>8974</v>
      </c>
      <c r="G9" s="1">
        <v>5695</v>
      </c>
      <c r="H9" s="1">
        <v>3</v>
      </c>
      <c r="I9" s="1">
        <v>3</v>
      </c>
      <c r="J9" s="1">
        <v>2</v>
      </c>
      <c r="K9" s="1">
        <v>12</v>
      </c>
      <c r="L9" s="1">
        <v>13</v>
      </c>
      <c r="M9" s="1">
        <v>897</v>
      </c>
    </row>
    <row r="10" spans="1:13" x14ac:dyDescent="0.3">
      <c r="A10" s="1">
        <v>9</v>
      </c>
      <c r="B10" s="1" t="s">
        <v>14</v>
      </c>
      <c r="C10" s="1" t="s">
        <v>37</v>
      </c>
      <c r="D10" s="1" t="s">
        <v>4</v>
      </c>
      <c r="E10" s="1">
        <v>31419</v>
      </c>
      <c r="F10" s="1">
        <v>23924</v>
      </c>
      <c r="G10" s="1">
        <v>4643</v>
      </c>
      <c r="H10" s="1">
        <v>2</v>
      </c>
      <c r="I10" s="1">
        <v>4</v>
      </c>
      <c r="J10" s="1">
        <v>1</v>
      </c>
      <c r="K10" s="1">
        <v>13</v>
      </c>
      <c r="L10" s="1">
        <v>15</v>
      </c>
      <c r="M10" s="1">
        <v>1045</v>
      </c>
    </row>
    <row r="11" spans="1:13" x14ac:dyDescent="0.3">
      <c r="A11" s="1">
        <v>10</v>
      </c>
      <c r="B11" s="1" t="s">
        <v>21</v>
      </c>
      <c r="C11" s="1" t="s">
        <v>22</v>
      </c>
      <c r="D11" s="1" t="s">
        <v>6</v>
      </c>
      <c r="E11" s="2">
        <v>16960</v>
      </c>
      <c r="F11" s="2">
        <v>4786</v>
      </c>
      <c r="G11" s="2">
        <v>6955</v>
      </c>
      <c r="H11" s="1">
        <v>6</v>
      </c>
      <c r="I11" s="1">
        <v>1</v>
      </c>
      <c r="J11" s="1">
        <v>0</v>
      </c>
      <c r="K11" s="1">
        <v>13</v>
      </c>
      <c r="L11" s="1">
        <v>14</v>
      </c>
      <c r="M11" s="1">
        <v>924</v>
      </c>
    </row>
    <row r="12" spans="1:13" x14ac:dyDescent="0.3">
      <c r="A12" s="3" t="s">
        <v>25</v>
      </c>
      <c r="E12" s="1">
        <f>SUM(E2:E11)</f>
        <v>224932</v>
      </c>
      <c r="F12" s="1">
        <f t="shared" ref="F12:M12" si="0">SUM(F2:F11)</f>
        <v>95896</v>
      </c>
      <c r="G12" s="1">
        <f t="shared" si="0"/>
        <v>48373</v>
      </c>
      <c r="H12" s="1">
        <f t="shared" si="0"/>
        <v>20</v>
      </c>
      <c r="I12" s="1">
        <f t="shared" si="0"/>
        <v>15</v>
      </c>
      <c r="J12" s="1">
        <f t="shared" si="0"/>
        <v>6</v>
      </c>
      <c r="K12" s="1">
        <f t="shared" si="0"/>
        <v>110</v>
      </c>
      <c r="L12" s="1">
        <f t="shared" si="0"/>
        <v>141</v>
      </c>
      <c r="M12" s="1">
        <f t="shared" si="0"/>
        <v>9852</v>
      </c>
    </row>
    <row r="15" spans="1:13" x14ac:dyDescent="0.3">
      <c r="A15" s="3" t="s">
        <v>38</v>
      </c>
    </row>
    <row r="16" spans="1:13" x14ac:dyDescent="0.3">
      <c r="A16" s="1" t="s">
        <v>40</v>
      </c>
    </row>
    <row r="17" spans="1:1" x14ac:dyDescent="0.3">
      <c r="A17" s="1" t="s">
        <v>41</v>
      </c>
    </row>
  </sheetData>
  <hyperlinks>
    <hyperlink ref="M2" r:id="rId1" location="cite_note-5" display="[5]" xr:uid="{00000000-0004-0000-0100-000000000000}"/>
    <hyperlink ref="M3" r:id="rId2" location="cite_note-6" display="[6]" xr:uid="{00000000-0004-0000-0100-000001000000}"/>
    <hyperlink ref="M4" r:id="rId3" location="cite_note-7" display="[7]" xr:uid="{00000000-0004-0000-0100-000002000000}"/>
    <hyperlink ref="M5" r:id="rId4" location="cite_note-8" display="[8]" xr:uid="{00000000-0004-0000-0100-000003000000}"/>
    <hyperlink ref="M6" r:id="rId5" location="cite_note-9" display="[9]" xr:uid="{00000000-0004-0000-0100-000004000000}"/>
    <hyperlink ref="M7" r:id="rId6" location="cite_note-10" display="[10]" xr:uid="{00000000-0004-0000-0100-000005000000}"/>
    <hyperlink ref="M8" r:id="rId7" location="cite_note-11" display="[11]" xr:uid="{00000000-0004-0000-0100-000006000000}"/>
    <hyperlink ref="M9" r:id="rId8" location="cite_note-12" display="[12]" xr:uid="{00000000-0004-0000-0100-000007000000}"/>
    <hyperlink ref="M10" r:id="rId9" location="cite_note-13" display="[13]" xr:uid="{00000000-0004-0000-0100-000008000000}"/>
    <hyperlink ref="J1" r:id="rId10" tooltip="Bill Russell NBA Finals Most Valuable Player Award" xr:uid="{00000000-0004-0000-0100-000009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zoomScaleNormal="100" workbookViewId="0">
      <selection activeCell="L7" sqref="L7"/>
    </sheetView>
  </sheetViews>
  <sheetFormatPr defaultColWidth="10.8984375" defaultRowHeight="15.6" x14ac:dyDescent="0.3"/>
  <cols>
    <col min="1" max="1" width="6.59765625" style="1" customWidth="1"/>
    <col min="2" max="2" width="19.8984375" style="1" bestFit="1" customWidth="1"/>
    <col min="3" max="16384" width="10.8984375" style="1"/>
  </cols>
  <sheetData>
    <row r="1" spans="1:13" ht="18" x14ac:dyDescent="0.3">
      <c r="A1" s="3"/>
      <c r="B1" s="3" t="s">
        <v>0</v>
      </c>
      <c r="C1" s="3" t="s">
        <v>1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28</v>
      </c>
      <c r="I1" s="3" t="s">
        <v>15</v>
      </c>
      <c r="J1" s="3" t="s">
        <v>16</v>
      </c>
      <c r="K1" s="3" t="s">
        <v>2</v>
      </c>
      <c r="L1" s="3" t="s">
        <v>24</v>
      </c>
      <c r="M1" s="3" t="s">
        <v>23</v>
      </c>
    </row>
    <row r="2" spans="1:13" x14ac:dyDescent="0.3">
      <c r="A2" s="1">
        <v>1</v>
      </c>
      <c r="B2" s="1" t="s">
        <v>3</v>
      </c>
      <c r="C2" s="1" t="s">
        <v>29</v>
      </c>
      <c r="D2" s="1" t="s">
        <v>4</v>
      </c>
      <c r="E2" s="1">
        <v>38387</v>
      </c>
      <c r="F2" s="1">
        <v>17440</v>
      </c>
      <c r="G2" s="1">
        <v>5660</v>
      </c>
      <c r="H2" s="1">
        <v>6</v>
      </c>
      <c r="I2" s="1">
        <v>6</v>
      </c>
      <c r="J2" s="1">
        <v>2</v>
      </c>
      <c r="K2" s="1">
        <v>19</v>
      </c>
      <c r="L2" s="1">
        <v>20</v>
      </c>
      <c r="M2" s="1">
        <v>1560</v>
      </c>
    </row>
    <row r="3" spans="1:13" x14ac:dyDescent="0.3">
      <c r="A3" s="1">
        <v>2</v>
      </c>
      <c r="B3" s="1" t="s">
        <v>5</v>
      </c>
      <c r="C3" s="1" t="s">
        <v>30</v>
      </c>
      <c r="D3" s="1" t="s">
        <v>6</v>
      </c>
      <c r="E3" s="1">
        <v>16481</v>
      </c>
      <c r="F3" s="1">
        <v>2046</v>
      </c>
      <c r="G3" s="1">
        <v>6476</v>
      </c>
      <c r="H3" s="1">
        <v>1</v>
      </c>
      <c r="I3" s="1">
        <v>0</v>
      </c>
      <c r="J3" s="1">
        <v>0</v>
      </c>
      <c r="K3" s="1">
        <v>6</v>
      </c>
      <c r="L3" s="1">
        <v>13</v>
      </c>
      <c r="M3" s="1">
        <v>876</v>
      </c>
    </row>
    <row r="4" spans="1:13" x14ac:dyDescent="0.3">
      <c r="A4" s="1">
        <v>3</v>
      </c>
      <c r="B4" s="1" t="s">
        <v>7</v>
      </c>
      <c r="C4" s="1" t="s">
        <v>31</v>
      </c>
      <c r="D4" s="1" t="s">
        <v>8</v>
      </c>
      <c r="E4" s="1">
        <v>16266</v>
      </c>
      <c r="F4" s="1">
        <v>6129</v>
      </c>
      <c r="G4" s="1">
        <v>1665</v>
      </c>
      <c r="H4" s="1">
        <v>1</v>
      </c>
      <c r="I4" s="1">
        <v>0</v>
      </c>
      <c r="J4" s="1">
        <v>0</v>
      </c>
      <c r="K4" s="1">
        <v>10</v>
      </c>
      <c r="L4" s="1">
        <v>10</v>
      </c>
      <c r="M4" s="1">
        <v>713</v>
      </c>
    </row>
    <row r="5" spans="1:13" x14ac:dyDescent="0.3">
      <c r="A5" s="1">
        <v>4</v>
      </c>
      <c r="B5" s="1" t="s">
        <v>9</v>
      </c>
      <c r="C5" s="1" t="s">
        <v>32</v>
      </c>
      <c r="D5" s="1" t="s">
        <v>8</v>
      </c>
      <c r="E5" s="1">
        <v>23757</v>
      </c>
      <c r="F5" s="1">
        <v>12546</v>
      </c>
      <c r="G5" s="1">
        <v>4215</v>
      </c>
      <c r="H5" s="1">
        <v>0</v>
      </c>
      <c r="I5" s="1">
        <v>1</v>
      </c>
      <c r="J5" s="1">
        <v>0</v>
      </c>
      <c r="K5" s="1">
        <v>11</v>
      </c>
      <c r="L5" s="1">
        <v>16</v>
      </c>
      <c r="M5" s="1">
        <v>1070</v>
      </c>
    </row>
    <row r="6" spans="1:13" x14ac:dyDescent="0.3">
      <c r="A6" s="1">
        <v>5</v>
      </c>
      <c r="B6" s="1" t="s">
        <v>10</v>
      </c>
      <c r="C6" s="1" t="s">
        <v>33</v>
      </c>
      <c r="D6" s="1" t="s">
        <v>8</v>
      </c>
      <c r="E6" s="1">
        <v>18395</v>
      </c>
      <c r="F6" s="1">
        <v>5168</v>
      </c>
      <c r="G6" s="1">
        <v>4017</v>
      </c>
      <c r="H6" s="1">
        <v>1</v>
      </c>
      <c r="I6" s="1">
        <v>0</v>
      </c>
      <c r="J6" s="1">
        <v>1</v>
      </c>
      <c r="K6" s="1">
        <v>8</v>
      </c>
      <c r="L6" s="1">
        <v>14</v>
      </c>
      <c r="M6" s="1">
        <v>1020</v>
      </c>
    </row>
    <row r="7" spans="1:13" x14ac:dyDescent="0.3">
      <c r="A7" s="1">
        <v>6</v>
      </c>
      <c r="B7" s="1" t="s">
        <v>11</v>
      </c>
      <c r="C7" s="1" t="s">
        <v>34</v>
      </c>
      <c r="D7" s="1" t="s">
        <v>8</v>
      </c>
      <c r="E7" s="1">
        <v>23149</v>
      </c>
      <c r="F7" s="1">
        <v>11463</v>
      </c>
      <c r="G7" s="1">
        <v>3650</v>
      </c>
      <c r="H7" s="1">
        <v>0</v>
      </c>
      <c r="I7" s="1">
        <v>0</v>
      </c>
      <c r="J7" s="1">
        <v>0</v>
      </c>
      <c r="K7" s="1">
        <v>11</v>
      </c>
      <c r="L7" s="1">
        <v>14</v>
      </c>
      <c r="M7" s="1">
        <v>846</v>
      </c>
    </row>
    <row r="8" spans="1:13" x14ac:dyDescent="0.3">
      <c r="A8" s="1">
        <v>7</v>
      </c>
      <c r="B8" s="1" t="s">
        <v>12</v>
      </c>
      <c r="C8" s="1" t="s">
        <v>35</v>
      </c>
      <c r="D8" s="1" t="s">
        <v>6</v>
      </c>
      <c r="E8" s="1">
        <v>18327</v>
      </c>
      <c r="F8" s="1">
        <v>3420</v>
      </c>
      <c r="G8" s="1">
        <v>5397</v>
      </c>
      <c r="H8" s="1">
        <v>0</v>
      </c>
      <c r="I8" s="1">
        <v>0</v>
      </c>
      <c r="J8" s="1">
        <v>0</v>
      </c>
      <c r="K8" s="1">
        <v>7</v>
      </c>
      <c r="L8" s="1">
        <v>12</v>
      </c>
      <c r="M8" s="1">
        <v>901</v>
      </c>
    </row>
    <row r="9" spans="1:13" x14ac:dyDescent="0.3">
      <c r="A9" s="1">
        <v>8</v>
      </c>
      <c r="B9" s="1" t="s">
        <v>13</v>
      </c>
      <c r="C9" s="1" t="s">
        <v>36</v>
      </c>
      <c r="D9" s="1" t="s">
        <v>8</v>
      </c>
      <c r="E9" s="1">
        <v>21791</v>
      </c>
      <c r="F9" s="1">
        <v>8974</v>
      </c>
      <c r="G9" s="1">
        <v>5695</v>
      </c>
      <c r="H9" s="1">
        <v>3</v>
      </c>
      <c r="I9" s="1">
        <v>3</v>
      </c>
      <c r="J9" s="1">
        <v>2</v>
      </c>
      <c r="K9" s="1">
        <v>12</v>
      </c>
      <c r="L9" s="1">
        <v>13</v>
      </c>
      <c r="M9" s="1">
        <v>897</v>
      </c>
    </row>
    <row r="10" spans="1:13" x14ac:dyDescent="0.3">
      <c r="A10" s="1">
        <v>9</v>
      </c>
      <c r="B10" s="1" t="s">
        <v>14</v>
      </c>
      <c r="C10" s="1" t="s">
        <v>37</v>
      </c>
      <c r="D10" s="1" t="s">
        <v>4</v>
      </c>
      <c r="E10" s="1">
        <v>31419</v>
      </c>
      <c r="F10" s="1">
        <v>23924</v>
      </c>
      <c r="G10" s="1">
        <v>4643</v>
      </c>
      <c r="H10" s="1">
        <v>2</v>
      </c>
      <c r="I10" s="1">
        <v>4</v>
      </c>
      <c r="J10" s="1">
        <v>1</v>
      </c>
      <c r="K10" s="1">
        <v>13</v>
      </c>
      <c r="L10" s="1">
        <v>15</v>
      </c>
      <c r="M10" s="1">
        <v>1045</v>
      </c>
    </row>
    <row r="11" spans="1:13" x14ac:dyDescent="0.3">
      <c r="A11" s="1">
        <v>10</v>
      </c>
      <c r="B11" s="1" t="s">
        <v>21</v>
      </c>
      <c r="C11" s="1" t="s">
        <v>22</v>
      </c>
      <c r="D11" s="1" t="s">
        <v>6</v>
      </c>
      <c r="E11" s="2">
        <v>16960</v>
      </c>
      <c r="F11" s="2">
        <v>4786</v>
      </c>
      <c r="G11" s="2">
        <v>6955</v>
      </c>
      <c r="H11" s="1">
        <v>6</v>
      </c>
      <c r="I11" s="1">
        <v>1</v>
      </c>
      <c r="J11" s="1">
        <v>0</v>
      </c>
      <c r="K11" s="1">
        <v>13</v>
      </c>
      <c r="L11" s="1">
        <v>14</v>
      </c>
      <c r="M11" s="1">
        <v>924</v>
      </c>
    </row>
    <row r="12" spans="1:13" x14ac:dyDescent="0.3">
      <c r="A12" s="3" t="s">
        <v>25</v>
      </c>
      <c r="E12" s="1">
        <f>SUM(E2:E11)</f>
        <v>224932</v>
      </c>
      <c r="F12" s="1">
        <f t="shared" ref="F12:M12" si="0">SUM(F2:F11)</f>
        <v>95896</v>
      </c>
      <c r="G12" s="1">
        <f t="shared" si="0"/>
        <v>48373</v>
      </c>
      <c r="H12" s="1">
        <f t="shared" si="0"/>
        <v>20</v>
      </c>
      <c r="I12" s="1">
        <f t="shared" si="0"/>
        <v>15</v>
      </c>
      <c r="J12" s="1">
        <f t="shared" si="0"/>
        <v>6</v>
      </c>
      <c r="K12" s="1">
        <f t="shared" si="0"/>
        <v>110</v>
      </c>
      <c r="L12" s="1">
        <f t="shared" si="0"/>
        <v>141</v>
      </c>
      <c r="M12" s="1">
        <f t="shared" si="0"/>
        <v>9852</v>
      </c>
    </row>
    <row r="15" spans="1:13" x14ac:dyDescent="0.3">
      <c r="A15" s="3" t="s">
        <v>38</v>
      </c>
    </row>
    <row r="16" spans="1:13" x14ac:dyDescent="0.3">
      <c r="A16" s="1" t="s">
        <v>39</v>
      </c>
    </row>
    <row r="17" spans="1:1" x14ac:dyDescent="0.3">
      <c r="A17" s="1" t="s">
        <v>45</v>
      </c>
    </row>
  </sheetData>
  <hyperlinks>
    <hyperlink ref="M2" r:id="rId1" location="cite_note-5" display="[5]" xr:uid="{00000000-0004-0000-0200-000000000000}"/>
    <hyperlink ref="M3" r:id="rId2" location="cite_note-6" display="[6]" xr:uid="{00000000-0004-0000-0200-000001000000}"/>
    <hyperlink ref="M4" r:id="rId3" location="cite_note-7" display="[7]" xr:uid="{00000000-0004-0000-0200-000002000000}"/>
    <hyperlink ref="M5" r:id="rId4" location="cite_note-8" display="[8]" xr:uid="{00000000-0004-0000-0200-000003000000}"/>
    <hyperlink ref="M6" r:id="rId5" location="cite_note-9" display="[9]" xr:uid="{00000000-0004-0000-0200-000004000000}"/>
    <hyperlink ref="M7" r:id="rId6" location="cite_note-10" display="[10]" xr:uid="{00000000-0004-0000-0200-000005000000}"/>
    <hyperlink ref="M8" r:id="rId7" location="cite_note-11" display="[11]" xr:uid="{00000000-0004-0000-0200-000006000000}"/>
    <hyperlink ref="M9" r:id="rId8" location="cite_note-12" display="[12]" xr:uid="{00000000-0004-0000-0200-000007000000}"/>
    <hyperlink ref="M10" r:id="rId9" location="cite_note-13" display="[13]" xr:uid="{00000000-0004-0000-0200-000008000000}"/>
    <hyperlink ref="J1" r:id="rId10" tooltip="Bill Russell NBA Finals Most Valuable Player Award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zoomScaleNormal="100" workbookViewId="0">
      <selection activeCell="I21" sqref="I21:I25"/>
    </sheetView>
  </sheetViews>
  <sheetFormatPr defaultColWidth="10.8984375" defaultRowHeight="15.6" x14ac:dyDescent="0.3"/>
  <cols>
    <col min="1" max="1" width="7.09765625" style="1" customWidth="1"/>
    <col min="2" max="2" width="19.8984375" style="1" bestFit="1" customWidth="1"/>
    <col min="3" max="16384" width="10.8984375" style="1"/>
  </cols>
  <sheetData>
    <row r="1" spans="1:13" ht="18" x14ac:dyDescent="0.3">
      <c r="A1" s="3"/>
      <c r="B1" s="3" t="s">
        <v>0</v>
      </c>
      <c r="C1" s="3" t="s">
        <v>1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28</v>
      </c>
      <c r="I1" s="3" t="s">
        <v>15</v>
      </c>
      <c r="J1" s="3" t="s">
        <v>16</v>
      </c>
      <c r="K1" s="3" t="s">
        <v>2</v>
      </c>
      <c r="L1" s="3" t="s">
        <v>24</v>
      </c>
      <c r="M1" s="3" t="s">
        <v>23</v>
      </c>
    </row>
    <row r="2" spans="1:13" x14ac:dyDescent="0.3">
      <c r="A2" s="1">
        <v>1</v>
      </c>
      <c r="B2" s="1" t="s">
        <v>3</v>
      </c>
      <c r="C2" s="1" t="s">
        <v>29</v>
      </c>
      <c r="D2" s="1" t="s">
        <v>4</v>
      </c>
      <c r="E2" s="1">
        <v>38387</v>
      </c>
      <c r="F2" s="1">
        <v>17440</v>
      </c>
      <c r="G2" s="1">
        <v>5660</v>
      </c>
      <c r="H2" s="1">
        <v>6</v>
      </c>
      <c r="I2" s="1">
        <v>6</v>
      </c>
      <c r="J2" s="1">
        <v>2</v>
      </c>
      <c r="K2" s="1">
        <v>19</v>
      </c>
      <c r="L2" s="1">
        <v>20</v>
      </c>
      <c r="M2" s="1">
        <v>1560</v>
      </c>
    </row>
    <row r="3" spans="1:13" x14ac:dyDescent="0.3">
      <c r="A3" s="1">
        <v>2</v>
      </c>
      <c r="B3" s="1" t="s">
        <v>5</v>
      </c>
      <c r="C3" s="1" t="s">
        <v>30</v>
      </c>
      <c r="D3" s="1" t="s">
        <v>6</v>
      </c>
      <c r="E3" s="1">
        <v>16481</v>
      </c>
      <c r="F3" s="1">
        <v>2046</v>
      </c>
      <c r="G3" s="1">
        <v>6476</v>
      </c>
      <c r="H3" s="1">
        <v>1</v>
      </c>
      <c r="I3" s="1">
        <v>0</v>
      </c>
      <c r="J3" s="1">
        <v>0</v>
      </c>
      <c r="K3" s="1">
        <v>6</v>
      </c>
      <c r="L3" s="1">
        <v>13</v>
      </c>
      <c r="M3" s="1">
        <v>876</v>
      </c>
    </row>
    <row r="4" spans="1:13" x14ac:dyDescent="0.3">
      <c r="A4" s="1">
        <v>3</v>
      </c>
      <c r="B4" s="1" t="s">
        <v>7</v>
      </c>
      <c r="C4" s="1" t="s">
        <v>31</v>
      </c>
      <c r="D4" s="1" t="s">
        <v>8</v>
      </c>
      <c r="E4" s="1">
        <v>16266</v>
      </c>
      <c r="F4" s="1">
        <v>6129</v>
      </c>
      <c r="G4" s="1">
        <v>1665</v>
      </c>
      <c r="H4" s="1">
        <v>1</v>
      </c>
      <c r="I4" s="1">
        <v>0</v>
      </c>
      <c r="J4" s="1">
        <v>0</v>
      </c>
      <c r="K4" s="1">
        <v>10</v>
      </c>
      <c r="L4" s="1">
        <v>10</v>
      </c>
      <c r="M4" s="1">
        <v>713</v>
      </c>
    </row>
    <row r="5" spans="1:13" x14ac:dyDescent="0.3">
      <c r="A5" s="1">
        <v>4</v>
      </c>
      <c r="B5" s="1" t="s">
        <v>9</v>
      </c>
      <c r="C5" s="1" t="s">
        <v>32</v>
      </c>
      <c r="D5" s="1" t="s">
        <v>8</v>
      </c>
      <c r="E5" s="1">
        <v>23757</v>
      </c>
      <c r="F5" s="1">
        <v>12546</v>
      </c>
      <c r="G5" s="1">
        <v>4215</v>
      </c>
      <c r="H5" s="1">
        <v>0</v>
      </c>
      <c r="I5" s="1">
        <v>1</v>
      </c>
      <c r="J5" s="1">
        <v>0</v>
      </c>
      <c r="K5" s="1">
        <v>11</v>
      </c>
      <c r="L5" s="1">
        <v>16</v>
      </c>
      <c r="M5" s="1">
        <v>1070</v>
      </c>
    </row>
    <row r="6" spans="1:13" x14ac:dyDescent="0.3">
      <c r="A6" s="1">
        <v>5</v>
      </c>
      <c r="B6" s="1" t="s">
        <v>10</v>
      </c>
      <c r="C6" s="1" t="s">
        <v>33</v>
      </c>
      <c r="D6" s="1" t="s">
        <v>8</v>
      </c>
      <c r="E6" s="1">
        <v>18395</v>
      </c>
      <c r="F6" s="1">
        <v>5168</v>
      </c>
      <c r="G6" s="1">
        <v>4017</v>
      </c>
      <c r="H6" s="1">
        <v>1</v>
      </c>
      <c r="I6" s="1">
        <v>0</v>
      </c>
      <c r="J6" s="1">
        <v>1</v>
      </c>
      <c r="K6" s="1">
        <v>8</v>
      </c>
      <c r="L6" s="1">
        <v>14</v>
      </c>
      <c r="M6" s="1">
        <v>1020</v>
      </c>
    </row>
    <row r="7" spans="1:13" x14ac:dyDescent="0.3">
      <c r="A7" s="1">
        <v>6</v>
      </c>
      <c r="B7" s="1" t="s">
        <v>11</v>
      </c>
      <c r="C7" s="1" t="s">
        <v>34</v>
      </c>
      <c r="D7" s="1" t="s">
        <v>8</v>
      </c>
      <c r="E7" s="1">
        <v>23149</v>
      </c>
      <c r="F7" s="1">
        <v>11463</v>
      </c>
      <c r="G7" s="1">
        <v>3650</v>
      </c>
      <c r="H7" s="1">
        <v>0</v>
      </c>
      <c r="I7" s="1">
        <v>0</v>
      </c>
      <c r="J7" s="1">
        <v>0</v>
      </c>
      <c r="K7" s="1">
        <v>11</v>
      </c>
      <c r="L7" s="1">
        <v>14</v>
      </c>
      <c r="M7" s="1">
        <v>846</v>
      </c>
    </row>
    <row r="8" spans="1:13" x14ac:dyDescent="0.3">
      <c r="A8" s="1">
        <v>7</v>
      </c>
      <c r="B8" s="1" t="s">
        <v>12</v>
      </c>
      <c r="C8" s="1" t="s">
        <v>35</v>
      </c>
      <c r="D8" s="1" t="s">
        <v>6</v>
      </c>
      <c r="E8" s="1">
        <v>18327</v>
      </c>
      <c r="F8" s="1">
        <v>3420</v>
      </c>
      <c r="G8" s="1">
        <v>5397</v>
      </c>
      <c r="H8" s="1">
        <v>0</v>
      </c>
      <c r="I8" s="1">
        <v>0</v>
      </c>
      <c r="J8" s="1">
        <v>0</v>
      </c>
      <c r="K8" s="1">
        <v>7</v>
      </c>
      <c r="L8" s="1">
        <v>12</v>
      </c>
      <c r="M8" s="1">
        <v>901</v>
      </c>
    </row>
    <row r="9" spans="1:13" x14ac:dyDescent="0.3">
      <c r="A9" s="1">
        <v>8</v>
      </c>
      <c r="B9" s="1" t="s">
        <v>13</v>
      </c>
      <c r="C9" s="1" t="s">
        <v>36</v>
      </c>
      <c r="D9" s="1" t="s">
        <v>8</v>
      </c>
      <c r="E9" s="1">
        <v>21791</v>
      </c>
      <c r="F9" s="1">
        <v>8974</v>
      </c>
      <c r="G9" s="1">
        <v>5695</v>
      </c>
      <c r="H9" s="1">
        <v>3</v>
      </c>
      <c r="I9" s="1">
        <v>3</v>
      </c>
      <c r="J9" s="1">
        <v>2</v>
      </c>
      <c r="K9" s="1">
        <v>12</v>
      </c>
      <c r="L9" s="1">
        <v>13</v>
      </c>
      <c r="M9" s="1">
        <v>897</v>
      </c>
    </row>
    <row r="10" spans="1:13" x14ac:dyDescent="0.3">
      <c r="A10" s="1">
        <v>9</v>
      </c>
      <c r="B10" s="1" t="s">
        <v>14</v>
      </c>
      <c r="C10" s="1" t="s">
        <v>37</v>
      </c>
      <c r="D10" s="1" t="s">
        <v>4</v>
      </c>
      <c r="E10" s="1">
        <v>31419</v>
      </c>
      <c r="F10" s="1">
        <v>23924</v>
      </c>
      <c r="G10" s="1">
        <v>4643</v>
      </c>
      <c r="H10" s="1">
        <v>2</v>
      </c>
      <c r="I10" s="1">
        <v>4</v>
      </c>
      <c r="J10" s="1">
        <v>1</v>
      </c>
      <c r="K10" s="1">
        <v>13</v>
      </c>
      <c r="L10" s="1">
        <v>15</v>
      </c>
      <c r="M10" s="1">
        <v>1045</v>
      </c>
    </row>
    <row r="11" spans="1:13" x14ac:dyDescent="0.3">
      <c r="A11" s="1">
        <v>10</v>
      </c>
      <c r="B11" s="1" t="s">
        <v>21</v>
      </c>
      <c r="C11" s="1" t="s">
        <v>22</v>
      </c>
      <c r="D11" s="1" t="s">
        <v>6</v>
      </c>
      <c r="E11" s="2">
        <v>16960</v>
      </c>
      <c r="F11" s="2">
        <v>4786</v>
      </c>
      <c r="G11" s="2">
        <v>6955</v>
      </c>
      <c r="H11" s="1">
        <v>6</v>
      </c>
      <c r="I11" s="1">
        <v>1</v>
      </c>
      <c r="J11" s="1">
        <v>0</v>
      </c>
      <c r="K11" s="1">
        <v>13</v>
      </c>
      <c r="L11" s="1">
        <v>14</v>
      </c>
      <c r="M11" s="1">
        <v>924</v>
      </c>
    </row>
    <row r="12" spans="1:13" x14ac:dyDescent="0.3">
      <c r="A12" s="3" t="s">
        <v>26</v>
      </c>
      <c r="E12" s="1">
        <f>AVERAGE(E2:E11)</f>
        <v>22493.200000000001</v>
      </c>
      <c r="F12" s="1">
        <f t="shared" ref="F12:M12" si="0">AVERAGE(F2:F11)</f>
        <v>9589.6</v>
      </c>
      <c r="G12" s="1">
        <f t="shared" si="0"/>
        <v>4837.3</v>
      </c>
      <c r="H12" s="1">
        <f t="shared" si="0"/>
        <v>2</v>
      </c>
      <c r="I12" s="1">
        <f t="shared" si="0"/>
        <v>1.5</v>
      </c>
      <c r="J12" s="1">
        <f t="shared" si="0"/>
        <v>0.6</v>
      </c>
      <c r="K12" s="1">
        <f t="shared" si="0"/>
        <v>11</v>
      </c>
      <c r="L12" s="1">
        <f t="shared" si="0"/>
        <v>14.1</v>
      </c>
      <c r="M12" s="1">
        <f t="shared" si="0"/>
        <v>985.2</v>
      </c>
    </row>
    <row r="15" spans="1:13" x14ac:dyDescent="0.3">
      <c r="A15" s="3" t="s">
        <v>38</v>
      </c>
    </row>
    <row r="16" spans="1:13" x14ac:dyDescent="0.3">
      <c r="A16" s="1" t="s">
        <v>46</v>
      </c>
    </row>
    <row r="17" spans="1:1" x14ac:dyDescent="0.3">
      <c r="A17" s="1" t="s">
        <v>42</v>
      </c>
    </row>
  </sheetData>
  <hyperlinks>
    <hyperlink ref="M2" r:id="rId1" location="cite_note-5" display="[5]" xr:uid="{00000000-0004-0000-0300-000000000000}"/>
    <hyperlink ref="M3" r:id="rId2" location="cite_note-6" display="[6]" xr:uid="{00000000-0004-0000-0300-000001000000}"/>
    <hyperlink ref="M4" r:id="rId3" location="cite_note-7" display="[7]" xr:uid="{00000000-0004-0000-0300-000002000000}"/>
    <hyperlink ref="M5" r:id="rId4" location="cite_note-8" display="[8]" xr:uid="{00000000-0004-0000-0300-000003000000}"/>
    <hyperlink ref="M6" r:id="rId5" location="cite_note-9" display="[9]" xr:uid="{00000000-0004-0000-0300-000004000000}"/>
    <hyperlink ref="M7" r:id="rId6" location="cite_note-10" display="[10]" xr:uid="{00000000-0004-0000-0300-000005000000}"/>
    <hyperlink ref="M8" r:id="rId7" location="cite_note-11" display="[11]" xr:uid="{00000000-0004-0000-0300-000006000000}"/>
    <hyperlink ref="M9" r:id="rId8" location="cite_note-12" display="[12]" xr:uid="{00000000-0004-0000-0300-000007000000}"/>
    <hyperlink ref="M10" r:id="rId9" location="cite_note-13" display="[13]" xr:uid="{00000000-0004-0000-0300-000008000000}"/>
    <hyperlink ref="J1" r:id="rId10" tooltip="Bill Russell NBA Finals Most Valuable Player Award" xr:uid="{00000000-0004-0000-0300-000009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7"/>
  <sheetViews>
    <sheetView zoomScaleNormal="100" workbookViewId="0">
      <selection activeCell="N1" sqref="N1:N11"/>
    </sheetView>
  </sheetViews>
  <sheetFormatPr defaultColWidth="10.8984375" defaultRowHeight="15.6" x14ac:dyDescent="0.3"/>
  <cols>
    <col min="1" max="1" width="5.09765625" style="1" customWidth="1"/>
    <col min="2" max="2" width="19.8984375" style="1" bestFit="1" customWidth="1"/>
    <col min="3" max="16384" width="10.8984375" style="1"/>
  </cols>
  <sheetData>
    <row r="1" spans="1:13" ht="18" x14ac:dyDescent="0.3">
      <c r="A1" s="3"/>
      <c r="B1" s="3" t="s">
        <v>0</v>
      </c>
      <c r="C1" s="3" t="s">
        <v>1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28</v>
      </c>
      <c r="I1" s="3" t="s">
        <v>15</v>
      </c>
      <c r="J1" s="3" t="s">
        <v>16</v>
      </c>
      <c r="K1" s="3" t="s">
        <v>2</v>
      </c>
      <c r="L1" s="3" t="s">
        <v>24</v>
      </c>
      <c r="M1" s="3" t="s">
        <v>23</v>
      </c>
    </row>
    <row r="2" spans="1:13" x14ac:dyDescent="0.3">
      <c r="A2" s="1">
        <v>1</v>
      </c>
      <c r="B2" s="1" t="s">
        <v>3</v>
      </c>
      <c r="C2" s="1" t="s">
        <v>29</v>
      </c>
      <c r="D2" s="1" t="s">
        <v>4</v>
      </c>
      <c r="E2" s="1">
        <v>38387</v>
      </c>
      <c r="F2" s="1">
        <v>17440</v>
      </c>
      <c r="G2" s="1">
        <v>5660</v>
      </c>
      <c r="H2" s="1">
        <v>6</v>
      </c>
      <c r="I2" s="1">
        <v>6</v>
      </c>
      <c r="J2" s="1">
        <v>2</v>
      </c>
      <c r="K2" s="1">
        <v>19</v>
      </c>
      <c r="L2" s="1">
        <v>20</v>
      </c>
      <c r="M2" s="1">
        <v>1560</v>
      </c>
    </row>
    <row r="3" spans="1:13" x14ac:dyDescent="0.3">
      <c r="A3" s="1">
        <v>2</v>
      </c>
      <c r="B3" s="1" t="s">
        <v>5</v>
      </c>
      <c r="C3" s="1" t="s">
        <v>30</v>
      </c>
      <c r="D3" s="1" t="s">
        <v>6</v>
      </c>
      <c r="E3" s="1">
        <v>16481</v>
      </c>
      <c r="F3" s="1">
        <v>2046</v>
      </c>
      <c r="G3" s="1">
        <v>6476</v>
      </c>
      <c r="H3" s="1">
        <v>1</v>
      </c>
      <c r="I3" s="1">
        <v>0</v>
      </c>
      <c r="J3" s="1">
        <v>0</v>
      </c>
      <c r="K3" s="1">
        <v>6</v>
      </c>
      <c r="L3" s="1">
        <v>13</v>
      </c>
      <c r="M3" s="1">
        <v>876</v>
      </c>
    </row>
    <row r="4" spans="1:13" x14ac:dyDescent="0.3">
      <c r="A4" s="1">
        <v>3</v>
      </c>
      <c r="B4" s="1" t="s">
        <v>7</v>
      </c>
      <c r="C4" s="1" t="s">
        <v>31</v>
      </c>
      <c r="D4" s="1" t="s">
        <v>8</v>
      </c>
      <c r="E4" s="1">
        <v>16266</v>
      </c>
      <c r="F4" s="1">
        <v>6129</v>
      </c>
      <c r="G4" s="1">
        <v>1665</v>
      </c>
      <c r="H4" s="1">
        <v>1</v>
      </c>
      <c r="I4" s="1">
        <v>0</v>
      </c>
      <c r="J4" s="1">
        <v>0</v>
      </c>
      <c r="K4" s="1">
        <v>10</v>
      </c>
      <c r="L4" s="1">
        <v>10</v>
      </c>
      <c r="M4" s="1">
        <v>713</v>
      </c>
    </row>
    <row r="5" spans="1:13" x14ac:dyDescent="0.3">
      <c r="A5" s="1">
        <v>4</v>
      </c>
      <c r="B5" s="1" t="s">
        <v>9</v>
      </c>
      <c r="C5" s="1" t="s">
        <v>32</v>
      </c>
      <c r="D5" s="1" t="s">
        <v>8</v>
      </c>
      <c r="E5" s="1">
        <v>23757</v>
      </c>
      <c r="F5" s="1">
        <v>12546</v>
      </c>
      <c r="G5" s="1">
        <v>4215</v>
      </c>
      <c r="H5" s="1">
        <v>0</v>
      </c>
      <c r="I5" s="1">
        <v>1</v>
      </c>
      <c r="J5" s="1">
        <v>0</v>
      </c>
      <c r="K5" s="1">
        <v>11</v>
      </c>
      <c r="L5" s="1">
        <v>16</v>
      </c>
      <c r="M5" s="1">
        <v>1070</v>
      </c>
    </row>
    <row r="6" spans="1:13" x14ac:dyDescent="0.3">
      <c r="A6" s="1">
        <v>5</v>
      </c>
      <c r="B6" s="1" t="s">
        <v>10</v>
      </c>
      <c r="C6" s="1" t="s">
        <v>33</v>
      </c>
      <c r="D6" s="1" t="s">
        <v>8</v>
      </c>
      <c r="E6" s="1">
        <v>18395</v>
      </c>
      <c r="F6" s="1">
        <v>5168</v>
      </c>
      <c r="G6" s="1">
        <v>4017</v>
      </c>
      <c r="H6" s="1">
        <v>1</v>
      </c>
      <c r="I6" s="1">
        <v>0</v>
      </c>
      <c r="J6" s="1">
        <v>1</v>
      </c>
      <c r="K6" s="1">
        <v>8</v>
      </c>
      <c r="L6" s="1">
        <v>14</v>
      </c>
      <c r="M6" s="1">
        <v>1020</v>
      </c>
    </row>
    <row r="7" spans="1:13" x14ac:dyDescent="0.3">
      <c r="A7" s="1">
        <v>6</v>
      </c>
      <c r="B7" s="1" t="s">
        <v>11</v>
      </c>
      <c r="C7" s="1" t="s">
        <v>34</v>
      </c>
      <c r="D7" s="1" t="s">
        <v>8</v>
      </c>
      <c r="E7" s="1">
        <v>23149</v>
      </c>
      <c r="F7" s="1">
        <v>11463</v>
      </c>
      <c r="G7" s="1">
        <v>3650</v>
      </c>
      <c r="H7" s="1">
        <v>0</v>
      </c>
      <c r="I7" s="1">
        <v>0</v>
      </c>
      <c r="J7" s="1">
        <v>0</v>
      </c>
      <c r="K7" s="1">
        <v>11</v>
      </c>
      <c r="L7" s="1">
        <v>14</v>
      </c>
      <c r="M7" s="1">
        <v>846</v>
      </c>
    </row>
    <row r="8" spans="1:13" x14ac:dyDescent="0.3">
      <c r="A8" s="1">
        <v>7</v>
      </c>
      <c r="B8" s="1" t="s">
        <v>12</v>
      </c>
      <c r="C8" s="1" t="s">
        <v>35</v>
      </c>
      <c r="D8" s="1" t="s">
        <v>6</v>
      </c>
      <c r="E8" s="1">
        <v>18327</v>
      </c>
      <c r="F8" s="1">
        <v>3420</v>
      </c>
      <c r="G8" s="1">
        <v>5397</v>
      </c>
      <c r="H8" s="1">
        <v>0</v>
      </c>
      <c r="I8" s="1">
        <v>0</v>
      </c>
      <c r="J8" s="1">
        <v>0</v>
      </c>
      <c r="K8" s="1">
        <v>7</v>
      </c>
      <c r="L8" s="1">
        <v>12</v>
      </c>
      <c r="M8" s="1">
        <v>901</v>
      </c>
    </row>
    <row r="9" spans="1:13" x14ac:dyDescent="0.3">
      <c r="A9" s="1">
        <v>8</v>
      </c>
      <c r="B9" s="1" t="s">
        <v>13</v>
      </c>
      <c r="C9" s="1" t="s">
        <v>36</v>
      </c>
      <c r="D9" s="1" t="s">
        <v>8</v>
      </c>
      <c r="E9" s="1">
        <v>21791</v>
      </c>
      <c r="F9" s="1">
        <v>8974</v>
      </c>
      <c r="G9" s="1">
        <v>5695</v>
      </c>
      <c r="H9" s="1">
        <v>3</v>
      </c>
      <c r="I9" s="1">
        <v>3</v>
      </c>
      <c r="J9" s="1">
        <v>2</v>
      </c>
      <c r="K9" s="1">
        <v>12</v>
      </c>
      <c r="L9" s="1">
        <v>13</v>
      </c>
      <c r="M9" s="1">
        <v>897</v>
      </c>
    </row>
    <row r="10" spans="1:13" x14ac:dyDescent="0.3">
      <c r="A10" s="1">
        <v>9</v>
      </c>
      <c r="B10" s="1" t="s">
        <v>14</v>
      </c>
      <c r="C10" s="1" t="s">
        <v>37</v>
      </c>
      <c r="D10" s="1" t="s">
        <v>4</v>
      </c>
      <c r="E10" s="1">
        <v>31419</v>
      </c>
      <c r="F10" s="1">
        <v>23924</v>
      </c>
      <c r="G10" s="1">
        <v>4643</v>
      </c>
      <c r="H10" s="1">
        <v>2</v>
      </c>
      <c r="I10" s="1">
        <v>4</v>
      </c>
      <c r="J10" s="1">
        <v>1</v>
      </c>
      <c r="K10" s="1">
        <v>13</v>
      </c>
      <c r="L10" s="1">
        <v>15</v>
      </c>
      <c r="M10" s="1">
        <v>1045</v>
      </c>
    </row>
    <row r="11" spans="1:13" x14ac:dyDescent="0.3">
      <c r="A11" s="1">
        <v>10</v>
      </c>
      <c r="B11" s="1" t="s">
        <v>21</v>
      </c>
      <c r="C11" s="1" t="s">
        <v>22</v>
      </c>
      <c r="D11" s="1" t="s">
        <v>6</v>
      </c>
      <c r="E11" s="2">
        <v>16960</v>
      </c>
      <c r="F11" s="2">
        <v>4786</v>
      </c>
      <c r="G11" s="2">
        <v>6955</v>
      </c>
      <c r="H11" s="1">
        <v>6</v>
      </c>
      <c r="I11" s="1">
        <v>1</v>
      </c>
      <c r="J11" s="1">
        <v>0</v>
      </c>
      <c r="K11" s="1">
        <v>13</v>
      </c>
      <c r="L11" s="1">
        <v>14</v>
      </c>
      <c r="M11" s="1">
        <v>924</v>
      </c>
    </row>
    <row r="12" spans="1:13" x14ac:dyDescent="0.3">
      <c r="A12" s="3" t="s">
        <v>27</v>
      </c>
      <c r="E12" s="1">
        <f>MAX(E2:E11)</f>
        <v>38387</v>
      </c>
      <c r="F12" s="1">
        <f t="shared" ref="F12:M12" si="0">MAX(F2:F11)</f>
        <v>23924</v>
      </c>
      <c r="G12" s="1">
        <f t="shared" si="0"/>
        <v>6955</v>
      </c>
      <c r="H12" s="1">
        <f t="shared" si="0"/>
        <v>6</v>
      </c>
      <c r="I12" s="1">
        <f t="shared" si="0"/>
        <v>6</v>
      </c>
      <c r="J12" s="1">
        <f t="shared" si="0"/>
        <v>2</v>
      </c>
      <c r="K12" s="1">
        <f t="shared" si="0"/>
        <v>19</v>
      </c>
      <c r="L12" s="1">
        <f t="shared" si="0"/>
        <v>20</v>
      </c>
      <c r="M12" s="1">
        <f t="shared" si="0"/>
        <v>1560</v>
      </c>
    </row>
    <row r="15" spans="1:13" x14ac:dyDescent="0.3">
      <c r="A15" s="3" t="s">
        <v>38</v>
      </c>
    </row>
    <row r="16" spans="1:13" x14ac:dyDescent="0.3">
      <c r="A16" s="1" t="s">
        <v>44</v>
      </c>
    </row>
    <row r="17" spans="1:1" x14ac:dyDescent="0.3">
      <c r="A17" s="1" t="s">
        <v>43</v>
      </c>
    </row>
  </sheetData>
  <hyperlinks>
    <hyperlink ref="M2" r:id="rId1" location="cite_note-5" display="[5]" xr:uid="{00000000-0004-0000-0400-000000000000}"/>
    <hyperlink ref="M3" r:id="rId2" location="cite_note-6" display="[6]" xr:uid="{00000000-0004-0000-0400-000001000000}"/>
    <hyperlink ref="M4" r:id="rId3" location="cite_note-7" display="[7]" xr:uid="{00000000-0004-0000-0400-000002000000}"/>
    <hyperlink ref="M5" r:id="rId4" location="cite_note-8" display="[8]" xr:uid="{00000000-0004-0000-0400-000003000000}"/>
    <hyperlink ref="M6" r:id="rId5" location="cite_note-9" display="[9]" xr:uid="{00000000-0004-0000-0400-000004000000}"/>
    <hyperlink ref="M7" r:id="rId6" location="cite_note-10" display="[10]" xr:uid="{00000000-0004-0000-0400-000005000000}"/>
    <hyperlink ref="M8" r:id="rId7" location="cite_note-11" display="[11]" xr:uid="{00000000-0004-0000-0400-000006000000}"/>
    <hyperlink ref="M9" r:id="rId8" location="cite_note-12" display="[12]" xr:uid="{00000000-0004-0000-0400-000007000000}"/>
    <hyperlink ref="M10" r:id="rId9" location="cite_note-13" display="[13]" xr:uid="{00000000-0004-0000-0400-000008000000}"/>
    <hyperlink ref="J1" r:id="rId10" tooltip="Bill Russell NBA Finals Most Valuable Player Award" xr:uid="{00000000-0004-0000-04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Topic 1- References</vt:lpstr>
      <vt:lpstr>Topic 2- Conditional Formatting</vt:lpstr>
      <vt:lpstr>Topic 3- Text functions</vt:lpstr>
      <vt:lpstr>Topic 4- IF</vt:lpstr>
      <vt:lpstr>Topic 5-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2017-03-10T17:35:40Z</dcterms:created>
  <dcterms:modified xsi:type="dcterms:W3CDTF">2020-11-27T08:01:34Z</dcterms:modified>
</cp:coreProperties>
</file>