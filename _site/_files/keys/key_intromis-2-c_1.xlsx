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Biagio/Desktop/"/>
    </mc:Choice>
  </mc:AlternateContent>
  <xr:revisionPtr revIDLastSave="0" documentId="13_ncr:1_{410BC4FE-21AB-7047-957A-8A5C9EF0B663}" xr6:coauthVersionLast="34" xr6:coauthVersionMax="34" xr10:uidLastSave="{00000000-0000-0000-0000-000000000000}"/>
  <workbookProtection lockStructure="1"/>
  <bookViews>
    <workbookView xWindow="28800" yWindow="0" windowWidth="38400" windowHeight="21600" tabRatio="500" xr2:uid="{00000000-000D-0000-FFFF-FFFF00000000}"/>
  </bookViews>
  <sheets>
    <sheet name="Advanced Calculations" sheetId="1" r:id="rId1"/>
  </sheets>
  <definedNames>
    <definedName name="storeUnits">'Advanced Calculations'!$F$2:$F$101</definedName>
  </definedName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2" i="1"/>
  <c r="G105" i="1" l="1"/>
  <c r="G102" i="1"/>
  <c r="G103" i="1"/>
  <c r="G104" i="1"/>
  <c r="F105" i="1"/>
  <c r="F104" i="1"/>
  <c r="F103" i="1"/>
  <c r="F102" i="1"/>
</calcChain>
</file>

<file path=xl/sharedStrings.xml><?xml version="1.0" encoding="utf-8"?>
<sst xmlns="http://schemas.openxmlformats.org/spreadsheetml/2006/main" count="616" uniqueCount="433">
  <si>
    <t>Restaurant Name</t>
  </si>
  <si>
    <t>Principle Executive</t>
  </si>
  <si>
    <t>2015 Gross Sales</t>
  </si>
  <si>
    <t>David W. Gibbs</t>
  </si>
  <si>
    <t>Plano, TX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</si>
  <si>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</si>
  <si>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</si>
  <si>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</si>
  <si>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</si>
  <si>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</si>
  <si>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</si>
  <si>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</si>
  <si>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</si>
  <si>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Ken Calwell</t>
  </si>
  <si>
    <t>Vancouver, WA</t>
  </si>
  <si>
    <t>G. J. Hart</t>
  </si>
  <si>
    <t>Playa Vista, CA</t>
  </si>
  <si>
    <t>J. David Karam</t>
  </si>
  <si>
    <t>Columbus, OH</t>
  </si>
  <si>
    <t>Darin Harris</t>
  </si>
  <si>
    <t>Coppell, TX</t>
  </si>
  <si>
    <t>Thomas Leverton</t>
  </si>
  <si>
    <t>Irving, TX</t>
  </si>
  <si>
    <t>Marco’s Pizza</t>
  </si>
  <si>
    <t>John Butorac</t>
  </si>
  <si>
    <t>Toledo, OH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</si>
  <si>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</si>
  <si>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</si>
  <si>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</si>
  <si>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</si>
  <si>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</si>
  <si>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</si>
  <si>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</si>
  <si>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</si>
  <si>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Robert Gartlan</t>
  </si>
  <si>
    <t>Omaha, NE</t>
  </si>
  <si>
    <t>Mike Mrlik</t>
  </si>
  <si>
    <t>Louisville, CO</t>
  </si>
  <si>
    <t>Pizza Ranch</t>
  </si>
  <si>
    <t>Adrie Groeneweg</t>
  </si>
  <si>
    <t>Orange City, IA</t>
  </si>
  <si>
    <t>Aaron D. Spencer</t>
  </si>
  <si>
    <t>West Roxbury, MA</t>
  </si>
  <si>
    <t>Charles Bruce</t>
  </si>
  <si>
    <t>Phoenix, AZ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</si>
  <si>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</si>
  <si>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</si>
  <si>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</si>
  <si>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</si>
  <si>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</si>
  <si>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</si>
  <si>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</si>
  <si>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</si>
  <si>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</si>
  <si>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</si>
  <si>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</si>
  <si>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</si>
  <si>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</si>
  <si>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</si>
  <si>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</si>
  <si>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</si>
  <si>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</si>
  <si>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</si>
  <si>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Mountain Mike’s Pizza</t>
  </si>
  <si>
    <t>Brad Gordon</t>
  </si>
  <si>
    <t>Lake Mary, FL</t>
  </si>
  <si>
    <t>Ken Selby</t>
  </si>
  <si>
    <t>Tulsa, OK</t>
  </si>
  <si>
    <t>Randy Gier</t>
  </si>
  <si>
    <t>The Colony, TX</t>
  </si>
  <si>
    <t>Mark Deblois</t>
  </si>
  <si>
    <t>Dedham, MA</t>
  </si>
  <si>
    <t>Ledo Pizza</t>
  </si>
  <si>
    <t>Robert Beall</t>
  </si>
  <si>
    <t>Annapolis, MD</t>
  </si>
  <si>
    <t>Villa Fresh Italian Kitchen</t>
  </si>
  <si>
    <t>Anthony Scotto</t>
  </si>
  <si>
    <t>Morristown, NJ</t>
  </si>
  <si>
    <t>Imo’s Pizza</t>
  </si>
  <si>
    <t>Edward Imo</t>
  </si>
  <si>
    <t>St. Louis, MO</t>
  </si>
  <si>
    <t>Yorgo Koutsogiorgas</t>
  </si>
  <si>
    <t>Chicago, IL</t>
  </si>
  <si>
    <t>Paul Kolak</t>
  </si>
  <si>
    <t>White Plains, NY</t>
  </si>
  <si>
    <t>Paul W. Mobley</t>
  </si>
  <si>
    <t>Indianapolis, IN</t>
  </si>
  <si>
    <t>Scott Stevens</t>
  </si>
  <si>
    <t>Cabot, AR</t>
  </si>
  <si>
    <t>Bruce Jackson</t>
  </si>
  <si>
    <t>Hapeville, GA</t>
  </si>
  <si>
    <t>Giovanni’s Pizza</t>
  </si>
  <si>
    <t>Tom Lemaster</t>
  </si>
  <si>
    <t>Ashland, KY</t>
  </si>
  <si>
    <t>Monical’s Pizza</t>
  </si>
  <si>
    <t>Janelle Reents</t>
  </si>
  <si>
    <t>Bradley, IL</t>
  </si>
  <si>
    <t>Antonio Swad</t>
  </si>
  <si>
    <t>Dallas, TX</t>
  </si>
  <si>
    <t>Pizza Factory “We Toss’em, They’re Awesome”</t>
  </si>
  <si>
    <t>Mary Jane Riva</t>
  </si>
  <si>
    <t>Oakhurst, CA</t>
  </si>
  <si>
    <t>William Tilley</t>
  </si>
  <si>
    <t>Alhambra, CA</t>
  </si>
  <si>
    <t>John Jarrett</t>
  </si>
  <si>
    <t>Bloomfield Hills, MI</t>
  </si>
  <si>
    <t>Bob Baker</t>
  </si>
  <si>
    <t>Rancho Santa Margarita, CA</t>
  </si>
  <si>
    <t>B.J. DuMond</t>
  </si>
  <si>
    <t>Sid Fanarof</t>
  </si>
  <si>
    <t>Newport Beach, CA</t>
  </si>
  <si>
    <t>Grotto Pizza</t>
  </si>
  <si>
    <t>Dominick Pulieri</t>
  </si>
  <si>
    <t>Rehoboth Beach, DE</t>
  </si>
  <si>
    <t>Beggars Pizza</t>
  </si>
  <si>
    <t>Larry Garetto</t>
  </si>
  <si>
    <t>Blue Island, IL</t>
  </si>
  <si>
    <t>John Nasir</t>
  </si>
  <si>
    <t>Pikesville, MD</t>
  </si>
  <si>
    <t>John A. Ferdinandi</t>
  </si>
  <si>
    <t>Fresno, CA</t>
  </si>
  <si>
    <t>Don Bellis</t>
  </si>
  <si>
    <t>Sumner, WA</t>
  </si>
  <si>
    <t>Vocelli Pizza</t>
  </si>
  <si>
    <t>Dan Wenz</t>
  </si>
  <si>
    <t>Pittsburgh, PA</t>
  </si>
  <si>
    <t>Pizza Guys</t>
  </si>
  <si>
    <t>Shahpour Nejad</t>
  </si>
  <si>
    <t>Rancho Cordova, CA</t>
  </si>
  <si>
    <t>Dave Terzian</t>
  </si>
  <si>
    <t>Gaithersburg, MD</t>
  </si>
  <si>
    <t>Salvatore’s Old Fashioned Pizzeria</t>
  </si>
  <si>
    <t>Salvatore SS. Fantauzzo</t>
  </si>
  <si>
    <t>Webster, NY</t>
  </si>
  <si>
    <t>Valentino’s</t>
  </si>
  <si>
    <t>Anthony O. Messineo, Jr.</t>
  </si>
  <si>
    <t>Lincoln, NE</t>
  </si>
  <si>
    <t>J. Michael Gaston</t>
  </si>
  <si>
    <t>Westminster, CO</t>
  </si>
  <si>
    <t>Joseph Aurelio</t>
  </si>
  <si>
    <t>Homewood, IL</t>
  </si>
  <si>
    <t>Happy Joe’s Pizza</t>
  </si>
  <si>
    <t>“Happy” Joe Whitty</t>
  </si>
  <si>
    <t>Bettendord, IA</t>
  </si>
  <si>
    <t>Dave Freeman</t>
  </si>
  <si>
    <t>Albany, OR</t>
  </si>
  <si>
    <t>Jeff Van Dyke</t>
  </si>
  <si>
    <t>Charlotte, NC</t>
  </si>
  <si>
    <t>Scott Gittrich</t>
  </si>
  <si>
    <t>Whitewater, WI</t>
  </si>
  <si>
    <t>Scott Schultz</t>
  </si>
  <si>
    <t>Lafayette, IN</t>
  </si>
  <si>
    <t>Pizza My Heart</t>
  </si>
  <si>
    <t>Chuck Hammers</t>
  </si>
  <si>
    <t>Los Gatos, CA</t>
  </si>
  <si>
    <t>Anthony Buscemi</t>
  </si>
  <si>
    <t>Roseville, MI</t>
  </si>
  <si>
    <t>Thomas C. Barro</t>
  </si>
  <si>
    <t>Tustin, CA</t>
  </si>
  <si>
    <t>Tom Hester</t>
  </si>
  <si>
    <t>Oconomowoc, WI</t>
  </si>
  <si>
    <t>Nancy’s Pizza</t>
  </si>
  <si>
    <t>David C. Howey, Jr.</t>
  </si>
  <si>
    <t>Mokena, IL</t>
  </si>
  <si>
    <t>Ameci Pizza and Pasta</t>
  </si>
  <si>
    <t>Nick Andrisano</t>
  </si>
  <si>
    <t>Canoga Park, CA</t>
  </si>
  <si>
    <t>Hideaway Pizza</t>
  </si>
  <si>
    <t>Brett Murphy/Darren Lister</t>
  </si>
  <si>
    <t>Anthony Collins</t>
  </si>
  <si>
    <t>Lima, OH</t>
  </si>
  <si>
    <t>Rick Barsness</t>
  </si>
  <si>
    <t>Springfield, MO</t>
  </si>
  <si>
    <t>William Liberto</t>
  </si>
  <si>
    <t>Canfield, OH</t>
  </si>
  <si>
    <t>Peter Salas</t>
  </si>
  <si>
    <t>Woburn, MA</t>
  </si>
  <si>
    <t>Oggi’s Pizza &amp; Brewing Company</t>
  </si>
  <si>
    <t>George Hadjis</t>
  </si>
  <si>
    <t>San Clemente, CA</t>
  </si>
  <si>
    <t>Johnny’s Pizza House</t>
  </si>
  <si>
    <t>Melvin DeLacerea</t>
  </si>
  <si>
    <t>West Monroe, LA</t>
  </si>
  <si>
    <t>Fred Bilstein, Sr.</t>
  </si>
  <si>
    <t>Mick Stenson</t>
  </si>
  <si>
    <t>Minneapolis, MN</t>
  </si>
  <si>
    <t>Minsky’s Pizza Café/Bar</t>
  </si>
  <si>
    <t>Gregg D. Johnson</t>
  </si>
  <si>
    <t>Kansas City, MO</t>
  </si>
  <si>
    <t>Buddy’s Pizza</t>
  </si>
  <si>
    <t>Robert Jacobs</t>
  </si>
  <si>
    <t>Farmington Hills, MI</t>
  </si>
  <si>
    <t>Cottage Inn Pizza</t>
  </si>
  <si>
    <t>George Michos</t>
  </si>
  <si>
    <t>Anthony Russo</t>
  </si>
  <si>
    <t>Houston, TX</t>
  </si>
  <si>
    <t>Harry Ilardo</t>
  </si>
  <si>
    <t>Towson, MD</t>
  </si>
  <si>
    <t>James Gordon</t>
  </si>
  <si>
    <t>Willmar, MN</t>
  </si>
  <si>
    <t>Vince Albano</t>
  </si>
  <si>
    <t>Sonoma, CA</t>
  </si>
  <si>
    <t>Abby’s Legendary Pizza</t>
  </si>
  <si>
    <t>B. Mills Sinclair</t>
  </si>
  <si>
    <t>Eugene, OR</t>
  </si>
  <si>
    <t>Chris Thomas</t>
  </si>
  <si>
    <t>Victor J. Cassano, III</t>
  </si>
  <si>
    <t>Kettering, OH</t>
  </si>
  <si>
    <t>Todd Parent</t>
  </si>
  <si>
    <t>San Rafael, CA</t>
  </si>
  <si>
    <t>John Patten</t>
  </si>
  <si>
    <t>Albuquerque, NM</t>
  </si>
  <si>
    <t>Romeo’s Pizza</t>
  </si>
  <si>
    <t>Sean Brauser</t>
  </si>
  <si>
    <t>Medina, OH</t>
  </si>
  <si>
    <t>Snappy Tomato Pizza</t>
  </si>
  <si>
    <t>Jeremy Deters</t>
  </si>
  <si>
    <t>Burlington, KY</t>
  </si>
  <si>
    <t>Pizza Plus</t>
  </si>
  <si>
    <t>Daniel R. Morrison</t>
  </si>
  <si>
    <t>Blountsville, TN</t>
  </si>
  <si>
    <t>Mark Edwards</t>
  </si>
  <si>
    <t>Downey, CA</t>
  </si>
  <si>
    <t>Chuck Thorpe</t>
  </si>
  <si>
    <t>Chris Nelson</t>
  </si>
  <si>
    <t>Boyne City, MI</t>
  </si>
  <si>
    <t>Samuel Mancino’s Italian Eateries</t>
  </si>
  <si>
    <t>Samuel Mancino, Jr.</t>
  </si>
  <si>
    <t>Portage, MI</t>
  </si>
  <si>
    <t>Figaro’s Pizza</t>
  </si>
  <si>
    <t>Ron Berger</t>
  </si>
  <si>
    <t>Salem, OR</t>
  </si>
  <si>
    <t>Jonathan Fornaci</t>
  </si>
  <si>
    <t>San Ramon, CA</t>
  </si>
  <si>
    <t>Fresh Brothers</t>
  </si>
  <si>
    <t>Adam Goldberg</t>
  </si>
  <si>
    <t>Los Angeles, CA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</si>
  <si>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</si>
  <si>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</si>
  <si>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</si>
  <si>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</si>
  <si>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</si>
  <si>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</si>
  <si>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</si>
  <si>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</si>
  <si>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</si>
  <si>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</si>
  <si>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</si>
  <si>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</si>
  <si>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</si>
  <si>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</si>
  <si>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</si>
  <si>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</si>
  <si>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</si>
  <si>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</si>
  <si>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</si>
  <si>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</si>
  <si>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</si>
  <si>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</si>
  <si>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</si>
  <si>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</si>
  <si>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</si>
  <si>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</si>
  <si>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</si>
  <si>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</si>
  <si>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</si>
  <si>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</si>
  <si>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</si>
  <si>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</si>
  <si>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</si>
  <si>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</si>
  <si>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</si>
  <si>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</si>
  <si>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</si>
  <si>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</si>
  <si>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</si>
  <si>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</si>
  <si>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</si>
  <si>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</si>
  <si>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</si>
  <si>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</si>
  <si>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</si>
  <si>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</si>
  <si>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</si>
  <si>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</si>
  <si>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</si>
  <si>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</si>
  <si>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</si>
  <si>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</si>
  <si>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</si>
  <si>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</si>
  <si>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</si>
  <si>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</si>
  <si>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</si>
  <si>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</si>
  <si>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</si>
  <si>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City and State</t>
  </si>
  <si>
    <t>Total</t>
  </si>
  <si>
    <t>Average</t>
  </si>
  <si>
    <t>Min</t>
  </si>
  <si>
    <t>Max</t>
  </si>
  <si>
    <t>Above Average Gross Sales</t>
  </si>
  <si>
    <t>Pizza</t>
  </si>
  <si>
    <t>Menu Type</t>
  </si>
  <si>
    <t>Units</t>
  </si>
  <si>
    <t>Above Average Units</t>
  </si>
  <si>
    <t>CityandState</t>
  </si>
  <si>
    <t>City</t>
  </si>
  <si>
    <t>State</t>
  </si>
  <si>
    <t>Plano</t>
  </si>
  <si>
    <t xml:space="preserve"> TX</t>
  </si>
  <si>
    <t>Ann Arbor</t>
  </si>
  <si>
    <t xml:space="preserve"> MI</t>
  </si>
  <si>
    <t>Detroit</t>
  </si>
  <si>
    <t>Louisville</t>
  </si>
  <si>
    <t>KY</t>
  </si>
  <si>
    <t>Vancouver</t>
  </si>
  <si>
    <t xml:space="preserve"> WA</t>
  </si>
  <si>
    <t>Playa Vista</t>
  </si>
  <si>
    <t xml:space="preserve"> CA</t>
  </si>
  <si>
    <t>Columbus</t>
  </si>
  <si>
    <t xml:space="preserve"> OH</t>
  </si>
  <si>
    <t>Coppell</t>
  </si>
  <si>
    <t>Irving</t>
  </si>
  <si>
    <t>Toledo</t>
  </si>
  <si>
    <t>Concord</t>
  </si>
  <si>
    <t>Sterling Heights</t>
  </si>
  <si>
    <t>Madison Heights</t>
  </si>
  <si>
    <t>Omaha</t>
  </si>
  <si>
    <t xml:space="preserve"> NE</t>
  </si>
  <si>
    <t xml:space="preserve"> CO</t>
  </si>
  <si>
    <t>Orange City</t>
  </si>
  <si>
    <t xml:space="preserve"> IA</t>
  </si>
  <si>
    <t>West Roxbury</t>
  </si>
  <si>
    <t xml:space="preserve"> MA</t>
  </si>
  <si>
    <t>Phoenix</t>
  </si>
  <si>
    <t xml:space="preserve"> AZ</t>
  </si>
  <si>
    <t>Atlanta</t>
  </si>
  <si>
    <t xml:space="preserve"> GA</t>
  </si>
  <si>
    <t>Northborough</t>
  </si>
  <si>
    <t>Elgin</t>
  </si>
  <si>
    <t xml:space="preserve"> IL</t>
  </si>
  <si>
    <t>Austin</t>
  </si>
  <si>
    <t>Cincinnati</t>
  </si>
  <si>
    <t>Murrysville</t>
  </si>
  <si>
    <t xml:space="preserve"> PA</t>
  </si>
  <si>
    <t>Lake Mary</t>
  </si>
  <si>
    <t xml:space="preserve"> FL</t>
  </si>
  <si>
    <t>Tulsa</t>
  </si>
  <si>
    <t xml:space="preserve"> OK</t>
  </si>
  <si>
    <t>The Colony</t>
  </si>
  <si>
    <t>Dedham</t>
  </si>
  <si>
    <t>Annapolis</t>
  </si>
  <si>
    <t xml:space="preserve"> MD</t>
  </si>
  <si>
    <t>Morristown</t>
  </si>
  <si>
    <t xml:space="preserve"> NJ</t>
  </si>
  <si>
    <t>St. Louis</t>
  </si>
  <si>
    <t xml:space="preserve"> MO</t>
  </si>
  <si>
    <t>Chicago</t>
  </si>
  <si>
    <t>White Plains</t>
  </si>
  <si>
    <t xml:space="preserve"> NY</t>
  </si>
  <si>
    <t>Indianapolis</t>
  </si>
  <si>
    <t xml:space="preserve"> IN</t>
  </si>
  <si>
    <t>Cabot</t>
  </si>
  <si>
    <t xml:space="preserve"> AR</t>
  </si>
  <si>
    <t>Hapeville</t>
  </si>
  <si>
    <t>Ashland</t>
  </si>
  <si>
    <t xml:space="preserve"> KY</t>
  </si>
  <si>
    <t>Bradley</t>
  </si>
  <si>
    <t>Dallas</t>
  </si>
  <si>
    <t>Oakhurst</t>
  </si>
  <si>
    <t>Alhambra</t>
  </si>
  <si>
    <t>Bloomfield Hills</t>
  </si>
  <si>
    <t>Rancho Santa Margarita</t>
  </si>
  <si>
    <t>Newport Beach</t>
  </si>
  <si>
    <t>Rehoboth Beach</t>
  </si>
  <si>
    <t xml:space="preserve"> DE</t>
  </si>
  <si>
    <t>Blue Island</t>
  </si>
  <si>
    <t>Pikesville</t>
  </si>
  <si>
    <t>Fresno</t>
  </si>
  <si>
    <t>Sumner</t>
  </si>
  <si>
    <t>Pittsburgh</t>
  </si>
  <si>
    <t>Rancho Cordova</t>
  </si>
  <si>
    <t>Gaithersburg</t>
  </si>
  <si>
    <t>Webster</t>
  </si>
  <si>
    <t>Lincoln</t>
  </si>
  <si>
    <t>Westminster</t>
  </si>
  <si>
    <t>Homewood</t>
  </si>
  <si>
    <t>Bettendord</t>
  </si>
  <si>
    <t>Albany</t>
  </si>
  <si>
    <t xml:space="preserve"> OR</t>
  </si>
  <si>
    <t>Charlotte</t>
  </si>
  <si>
    <t xml:space="preserve"> NC</t>
  </si>
  <si>
    <t>Whitewater</t>
  </si>
  <si>
    <t xml:space="preserve"> WI</t>
  </si>
  <si>
    <t>Lafayette</t>
  </si>
  <si>
    <t>Los Gatos</t>
  </si>
  <si>
    <t>Roseville</t>
  </si>
  <si>
    <t>Tustin</t>
  </si>
  <si>
    <t>Oconomowoc</t>
  </si>
  <si>
    <t>Mokena</t>
  </si>
  <si>
    <t>Canoga Park</t>
  </si>
  <si>
    <t>Lima</t>
  </si>
  <si>
    <t>Springfield</t>
  </si>
  <si>
    <t>Canfield</t>
  </si>
  <si>
    <t>Woburn</t>
  </si>
  <si>
    <t>San Clemente</t>
  </si>
  <si>
    <t>West Monroe</t>
  </si>
  <si>
    <t xml:space="preserve"> LA</t>
  </si>
  <si>
    <t>Minneapolis</t>
  </si>
  <si>
    <t xml:space="preserve"> MN</t>
  </si>
  <si>
    <t>Kansas City</t>
  </si>
  <si>
    <t>Farmington Hills</t>
  </si>
  <si>
    <t>Houston</t>
  </si>
  <si>
    <t>Towson</t>
  </si>
  <si>
    <t>Willmar</t>
  </si>
  <si>
    <t>Sonoma</t>
  </si>
  <si>
    <t>Eugene</t>
  </si>
  <si>
    <t>Kettering</t>
  </si>
  <si>
    <t>San Rafael</t>
  </si>
  <si>
    <t>Albuquerque</t>
  </si>
  <si>
    <t xml:space="preserve"> NM</t>
  </si>
  <si>
    <t>Medina</t>
  </si>
  <si>
    <t>Burlington</t>
  </si>
  <si>
    <t>Blountsville</t>
  </si>
  <si>
    <t xml:space="preserve"> TN</t>
  </si>
  <si>
    <t>Downey</t>
  </si>
  <si>
    <t>Boyne City</t>
  </si>
  <si>
    <t>Portage</t>
  </si>
  <si>
    <t>Salem</t>
  </si>
  <si>
    <t>San Ramon</t>
  </si>
  <si>
    <t>Los Angeles</t>
  </si>
  <si>
    <t>Restaurant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</si>
</sst>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selection activeCell="K17" sqref="K17"/>
    </sheetView>
  </sheetViews>
  <sheetFormatPr baseColWidth="10" defaultRowHeight="16"/>
  <cols>
    <col min="1" max="1" width="8" bestFit="1" customWidth="1"/>
    <col min="2" max="2" width="40.1640625" bestFit="1" customWidth="1"/>
    <col min="3" max="3" width="6.5" bestFit="1" customWidth="1"/>
    <col min="4" max="4" width="23.6640625" bestFit="1" customWidth="1"/>
    <col min="5" max="5" width="24.5" bestFit="1" customWidth="1"/>
    <col min="6" max="6" width="7.1640625" bestFit="1" customWidth="1"/>
    <col min="7" max="7" width="19.83203125" bestFit="1" customWidth="1"/>
    <col min="8" max="8" width="21.1640625" bestFit="1" customWidth="1"/>
    <col min="9" max="9" width="7.1640625" bestFit="1" customWidth="1"/>
    <col min="10" max="10" width="24.5" bestFit="1" customWidth="1"/>
    <col min="11" max="11" width="25.33203125" bestFit="1" customWidth="1"/>
    <col min="12" max="12" width="32.33203125" bestFit="1" customWidth="1"/>
    <col min="13" max="13" width="44.33203125" bestFit="1" customWidth="1"/>
    <col min="14" max="14" width="14" bestFit="1" customWidth="1"/>
  </cols>
  <sheetData>
    <row r="1" spans="1:14" ht="21">
      <c r="A1" s="3">
        <v>2015</v>
      </c>
      <c r="B1" s="3" t="s">
        <v>0</v>
      </c>
      <c r="C1" s="3">
        <v>2014</v>
      </c>
      <c r="D1" s="3" t="s">
        <v>1</v>
      </c>
      <c r="E1" s="3" t="s">
        <v>306</v>
      </c>
      <c r="F1" s="3" t="s">
        <v>304</v>
      </c>
      <c r="G1" s="3" t="s">
        <v>2</v>
      </c>
      <c r="H1" s="3" t="s">
        <v>307</v>
      </c>
      <c r="I1" s="3" t="s">
        <v>308</v>
      </c>
      <c r="J1" s="3" t="s">
        <v>296</v>
      </c>
      <c r="K1" s="3" t="s">
        <v>305</v>
      </c>
      <c r="L1" s="5" t="s">
        <v>301</v>
      </c>
      <c r="M1" s="5" t="s">
        <v>432</v>
      </c>
      <c r="N1" s="5" t="s">
        <v>303</v>
      </c>
    </row>
    <row r="2" spans="1:14">
      <c r="A2">
        <v>1</v>
      </c>
      <c r="B2" t="s">
        <v>237</v>
      </c>
      <c r="C2">
        <v>1</v>
      </c>
      <c r="D2" t="s">
        <v>3</v>
      </c>
      <c r="E2" t="s">
        <v>4</v>
      </c>
      <c r="F2" s="1">
        <v>15605</v>
      </c>
      <c r="G2" s="2">
        <v>13400000000</v>
      </c>
      <c r="H2" t="s">
        <v>309</v>
      </c>
      <c r="I2" t="s">
        <v>310</v>
      </c>
      <c r="J2" t="str">
        <f>_xlfn.CONCAT(H2,";", "",I2)</f>
        <v>Plano; TX</v>
      </c>
      <c r="K2" t="str">
        <f>IF(F2&gt;$F$103, "Yes", "")</f>
        <v>Yes</v>
      </c>
      <c r="L2" t="str">
        <f>IF(G2&gt;$G$103, "Yes", "No")</f>
        <v>Yes</v>
      </c>
      <c r="M2" t="str">
        <f>UPPER(B2)</f>
        <v>PIZZA HUT</v>
      </c>
      <c r="N2" t="s">
        <v>302</v>
      </c>
    </row>
    <row r="3" spans="1:14">
      <c r="A3">
        <v>2</v>
      </c>
      <c r="B3" t="s">
        <v>238</v>
      </c>
      <c r="C3">
        <v>2</v>
      </c>
      <c r="D3" t="s">
        <v>5</v>
      </c>
      <c r="E3" t="s">
        <v>6</v>
      </c>
      <c r="F3" s="1">
        <v>11629</v>
      </c>
      <c r="G3" s="2">
        <v>8900000000</v>
      </c>
      <c r="H3" t="s">
        <v>311</v>
      </c>
      <c r="I3" t="s">
        <v>312</v>
      </c>
      <c r="J3" t="str">
        <f t="shared" ref="J3:J66" si="0">_xlfn.CONCAT(H3,";", "",I3)</f>
        <v>Ann Arbor; MI</v>
      </c>
      <c r="K3" t="str">
        <f t="shared" ref="K3:K66" si="1">IF(F3&gt;$F$103, "Yes", "")</f>
        <v>Yes</v>
      </c>
      <c r="L3" t="str">
        <f t="shared" ref="L3:L66" si="2">IF(G3&gt;$G$103, "Yes", "No")</f>
        <v>Yes</v>
      </c>
      <c r="M3" t="str">
        <f t="shared" ref="M3:M66" si="3">UPPER(B3)</f>
        <v>DOMINO'S</v>
      </c>
      <c r="N3" t="s">
        <v>302</v>
      </c>
    </row>
    <row r="4" spans="1:14">
      <c r="A4">
        <v>3</v>
      </c>
      <c r="B4" t="s">
        <v>7</v>
      </c>
      <c r="C4">
        <v>3</v>
      </c>
      <c r="D4" t="s">
        <v>8</v>
      </c>
      <c r="E4" t="s">
        <v>9</v>
      </c>
      <c r="F4" s="1">
        <v>4059</v>
      </c>
      <c r="G4" s="2">
        <v>3400000000</v>
      </c>
      <c r="H4" t="s">
        <v>313</v>
      </c>
      <c r="I4" t="s">
        <v>312</v>
      </c>
      <c r="J4" t="str">
        <f t="shared" si="0"/>
        <v>Detroit; MI</v>
      </c>
      <c r="K4" t="str">
        <f t="shared" si="1"/>
        <v>Yes</v>
      </c>
      <c r="L4" t="str">
        <f t="shared" si="2"/>
        <v>Yes</v>
      </c>
      <c r="M4" t="str">
        <f t="shared" si="3"/>
        <v>LITTLE CAESARS PIZZA</v>
      </c>
      <c r="N4" t="s">
        <v>302</v>
      </c>
    </row>
    <row r="5" spans="1:14">
      <c r="A5">
        <v>4</v>
      </c>
      <c r="B5" t="s">
        <v>10</v>
      </c>
      <c r="C5">
        <v>4</v>
      </c>
      <c r="D5" t="s">
        <v>11</v>
      </c>
      <c r="E5" t="s">
        <v>12</v>
      </c>
      <c r="F5">
        <v>4708</v>
      </c>
      <c r="G5" s="2">
        <v>3332000000</v>
      </c>
      <c r="H5" t="s">
        <v>314</v>
      </c>
      <c r="I5" t="s">
        <v>315</v>
      </c>
      <c r="J5" t="str">
        <f t="shared" si="0"/>
        <v>Louisville;KY</v>
      </c>
      <c r="K5" t="str">
        <f t="shared" si="1"/>
        <v>Yes</v>
      </c>
      <c r="L5" t="str">
        <f t="shared" si="2"/>
        <v>Yes</v>
      </c>
      <c r="M5" t="str">
        <f t="shared" si="3"/>
        <v>PAPA JOHNS' INTERNATIONAL</v>
      </c>
      <c r="N5" t="s">
        <v>302</v>
      </c>
    </row>
    <row r="6" spans="1:14">
      <c r="A6">
        <v>5</v>
      </c>
      <c r="B6" t="s">
        <v>239</v>
      </c>
      <c r="C6">
        <v>5</v>
      </c>
      <c r="D6" t="s">
        <v>13</v>
      </c>
      <c r="E6" t="s">
        <v>14</v>
      </c>
      <c r="F6">
        <v>1425</v>
      </c>
      <c r="G6" s="2">
        <v>785360000</v>
      </c>
      <c r="H6" t="s">
        <v>316</v>
      </c>
      <c r="I6" t="s">
        <v>317</v>
      </c>
      <c r="J6" t="str">
        <f t="shared" si="0"/>
        <v>Vancouver; WA</v>
      </c>
      <c r="K6" t="str">
        <f t="shared" si="1"/>
        <v>Yes</v>
      </c>
      <c r="L6" t="str">
        <f t="shared" si="2"/>
        <v>Yes</v>
      </c>
      <c r="M6" t="str">
        <f t="shared" si="3"/>
        <v>PAPA MURPHY’S INTERNATIONAL</v>
      </c>
      <c r="N6" t="s">
        <v>302</v>
      </c>
    </row>
    <row r="7" spans="1:14">
      <c r="A7">
        <v>6</v>
      </c>
      <c r="B7" t="s">
        <v>240</v>
      </c>
      <c r="C7">
        <v>6</v>
      </c>
      <c r="D7" t="s">
        <v>15</v>
      </c>
      <c r="E7" t="s">
        <v>16</v>
      </c>
      <c r="F7">
        <v>290</v>
      </c>
      <c r="G7" s="2">
        <v>745000000</v>
      </c>
      <c r="H7" t="s">
        <v>318</v>
      </c>
      <c r="I7" t="s">
        <v>319</v>
      </c>
      <c r="J7" t="str">
        <f t="shared" si="0"/>
        <v>Playa Vista; CA</v>
      </c>
      <c r="K7" t="str">
        <f t="shared" si="1"/>
        <v/>
      </c>
      <c r="L7" t="str">
        <f t="shared" si="2"/>
        <v>Yes</v>
      </c>
      <c r="M7" t="str">
        <f t="shared" si="3"/>
        <v>CALIFORNIA PIZZA KITCHEN</v>
      </c>
      <c r="N7" t="s">
        <v>302</v>
      </c>
    </row>
    <row r="8" spans="1:14">
      <c r="A8">
        <v>7</v>
      </c>
      <c r="B8" t="s">
        <v>241</v>
      </c>
      <c r="C8">
        <v>7</v>
      </c>
      <c r="D8" t="s">
        <v>17</v>
      </c>
      <c r="E8" t="s">
        <v>18</v>
      </c>
      <c r="F8">
        <v>820</v>
      </c>
      <c r="G8" s="2">
        <v>602000000</v>
      </c>
      <c r="H8" t="s">
        <v>320</v>
      </c>
      <c r="I8" t="s">
        <v>321</v>
      </c>
      <c r="J8" t="str">
        <f t="shared" si="0"/>
        <v>Columbus; OH</v>
      </c>
      <c r="K8" t="str">
        <f t="shared" si="1"/>
        <v>Yes</v>
      </c>
      <c r="L8" t="str">
        <f t="shared" si="2"/>
        <v>Yes</v>
      </c>
      <c r="M8" t="str">
        <f t="shared" si="3"/>
        <v>SBARRO</v>
      </c>
      <c r="N8" t="s">
        <v>302</v>
      </c>
    </row>
    <row r="9" spans="1:14">
      <c r="A9">
        <v>8</v>
      </c>
      <c r="B9" t="s">
        <v>242</v>
      </c>
      <c r="C9">
        <v>8</v>
      </c>
      <c r="D9" t="s">
        <v>19</v>
      </c>
      <c r="E9" t="s">
        <v>20</v>
      </c>
      <c r="F9">
        <v>519</v>
      </c>
      <c r="G9" s="2">
        <v>475000000</v>
      </c>
      <c r="H9" t="s">
        <v>322</v>
      </c>
      <c r="I9" t="s">
        <v>310</v>
      </c>
      <c r="J9" t="str">
        <f t="shared" si="0"/>
        <v>Coppell; TX</v>
      </c>
      <c r="K9" t="str">
        <f t="shared" si="1"/>
        <v>Yes</v>
      </c>
      <c r="L9" t="str">
        <f t="shared" si="2"/>
        <v>Yes</v>
      </c>
      <c r="M9" t="str">
        <f t="shared" si="3"/>
        <v>CICI’S PIZZA</v>
      </c>
      <c r="N9" t="s">
        <v>302</v>
      </c>
    </row>
    <row r="10" spans="1:14">
      <c r="A10">
        <v>9</v>
      </c>
      <c r="B10" t="s">
        <v>243</v>
      </c>
      <c r="C10">
        <v>9</v>
      </c>
      <c r="D10" t="s">
        <v>21</v>
      </c>
      <c r="E10" t="s">
        <v>22</v>
      </c>
      <c r="F10">
        <v>577</v>
      </c>
      <c r="G10" s="2">
        <v>405000000</v>
      </c>
      <c r="H10" t="s">
        <v>323</v>
      </c>
      <c r="I10" t="s">
        <v>310</v>
      </c>
      <c r="J10" t="str">
        <f t="shared" si="0"/>
        <v>Irving; TX</v>
      </c>
      <c r="K10" t="str">
        <f t="shared" si="1"/>
        <v>Yes</v>
      </c>
      <c r="L10" t="str">
        <f t="shared" si="2"/>
        <v>Yes</v>
      </c>
      <c r="M10" t="str">
        <f t="shared" si="3"/>
        <v>CHUCK E. CHEESE’S</v>
      </c>
      <c r="N10" t="s">
        <v>302</v>
      </c>
    </row>
    <row r="11" spans="1:14">
      <c r="A11">
        <v>10</v>
      </c>
      <c r="B11" t="s">
        <v>23</v>
      </c>
      <c r="C11">
        <v>12</v>
      </c>
      <c r="D11" t="s">
        <v>24</v>
      </c>
      <c r="E11" t="s">
        <v>25</v>
      </c>
      <c r="F11">
        <v>640</v>
      </c>
      <c r="G11" s="2">
        <v>380000000</v>
      </c>
      <c r="H11" t="s">
        <v>324</v>
      </c>
      <c r="I11" t="s">
        <v>321</v>
      </c>
      <c r="J11" t="str">
        <f t="shared" si="0"/>
        <v>Toledo; OH</v>
      </c>
      <c r="K11" t="str">
        <f t="shared" si="1"/>
        <v>Yes</v>
      </c>
      <c r="L11" t="str">
        <f t="shared" si="2"/>
        <v>No</v>
      </c>
      <c r="M11" t="str">
        <f t="shared" si="3"/>
        <v>MARCO’S PIZZA</v>
      </c>
      <c r="N11" t="s">
        <v>302</v>
      </c>
    </row>
    <row r="12" spans="1:14">
      <c r="A12">
        <v>11</v>
      </c>
      <c r="B12" t="s">
        <v>244</v>
      </c>
      <c r="C12">
        <v>10</v>
      </c>
      <c r="D12" t="s">
        <v>26</v>
      </c>
      <c r="E12" t="s">
        <v>27</v>
      </c>
      <c r="F12">
        <v>439</v>
      </c>
      <c r="G12" s="2">
        <v>378000000</v>
      </c>
      <c r="H12" t="s">
        <v>325</v>
      </c>
      <c r="I12" t="s">
        <v>319</v>
      </c>
      <c r="J12" t="str">
        <f t="shared" si="0"/>
        <v>Concord; CA</v>
      </c>
      <c r="K12" t="str">
        <f t="shared" si="1"/>
        <v/>
      </c>
      <c r="L12" t="str">
        <f t="shared" si="2"/>
        <v>No</v>
      </c>
      <c r="M12" t="str">
        <f t="shared" si="3"/>
        <v>ROUND TABLE PIZZA</v>
      </c>
      <c r="N12" t="s">
        <v>302</v>
      </c>
    </row>
    <row r="13" spans="1:14">
      <c r="A13">
        <v>12</v>
      </c>
      <c r="B13" t="s">
        <v>28</v>
      </c>
      <c r="C13">
        <v>14</v>
      </c>
      <c r="D13" t="s">
        <v>29</v>
      </c>
      <c r="E13" t="s">
        <v>30</v>
      </c>
      <c r="F13">
        <v>375</v>
      </c>
      <c r="G13" s="2">
        <v>350000000</v>
      </c>
      <c r="H13" t="s">
        <v>326</v>
      </c>
      <c r="I13" t="s">
        <v>312</v>
      </c>
      <c r="J13" t="str">
        <f t="shared" si="0"/>
        <v>Sterling Heights; MI</v>
      </c>
      <c r="K13" t="str">
        <f t="shared" si="1"/>
        <v/>
      </c>
      <c r="L13" t="str">
        <f t="shared" si="2"/>
        <v>No</v>
      </c>
      <c r="M13" t="str">
        <f t="shared" si="3"/>
        <v>JET’S PIZZA</v>
      </c>
      <c r="N13" t="s">
        <v>302</v>
      </c>
    </row>
    <row r="14" spans="1:14">
      <c r="A14">
        <v>13</v>
      </c>
      <c r="B14" t="s">
        <v>31</v>
      </c>
      <c r="C14">
        <v>13</v>
      </c>
      <c r="D14" t="s">
        <v>32</v>
      </c>
      <c r="E14" t="s">
        <v>33</v>
      </c>
      <c r="F14">
        <v>551</v>
      </c>
      <c r="G14" s="2">
        <v>337069011</v>
      </c>
      <c r="H14" t="s">
        <v>327</v>
      </c>
      <c r="I14" t="s">
        <v>312</v>
      </c>
      <c r="J14" t="str">
        <f t="shared" si="0"/>
        <v>Madison Heights; MI</v>
      </c>
      <c r="K14" t="str">
        <f t="shared" si="1"/>
        <v>Yes</v>
      </c>
      <c r="L14" t="str">
        <f t="shared" si="2"/>
        <v>No</v>
      </c>
      <c r="M14" t="str">
        <f t="shared" si="3"/>
        <v>HUNGRY HOWIE’S PIZZA</v>
      </c>
      <c r="N14" t="s">
        <v>302</v>
      </c>
    </row>
    <row r="15" spans="1:14">
      <c r="A15">
        <v>14</v>
      </c>
      <c r="B15" t="s">
        <v>245</v>
      </c>
      <c r="C15">
        <v>11</v>
      </c>
      <c r="D15" t="s">
        <v>34</v>
      </c>
      <c r="E15" t="s">
        <v>35</v>
      </c>
      <c r="F15">
        <v>620</v>
      </c>
      <c r="G15" s="2">
        <v>325600000</v>
      </c>
      <c r="H15" t="s">
        <v>328</v>
      </c>
      <c r="I15" t="s">
        <v>329</v>
      </c>
      <c r="J15" t="str">
        <f t="shared" si="0"/>
        <v>Omaha; NE</v>
      </c>
      <c r="K15" t="str">
        <f t="shared" si="1"/>
        <v>Yes</v>
      </c>
      <c r="L15" t="str">
        <f t="shared" si="2"/>
        <v>No</v>
      </c>
      <c r="M15" t="str">
        <f t="shared" si="3"/>
        <v>GODFATHER’S PIZZA</v>
      </c>
      <c r="N15" t="s">
        <v>302</v>
      </c>
    </row>
    <row r="16" spans="1:14">
      <c r="A16">
        <v>15</v>
      </c>
      <c r="B16" t="s">
        <v>246</v>
      </c>
      <c r="C16">
        <v>15</v>
      </c>
      <c r="D16" t="s">
        <v>36</v>
      </c>
      <c r="E16" t="s">
        <v>37</v>
      </c>
      <c r="F16">
        <v>96</v>
      </c>
      <c r="G16" s="2">
        <v>320000000</v>
      </c>
      <c r="H16" t="s">
        <v>314</v>
      </c>
      <c r="I16" t="s">
        <v>330</v>
      </c>
      <c r="J16" t="str">
        <f t="shared" si="0"/>
        <v>Louisville; CO</v>
      </c>
      <c r="K16" t="str">
        <f t="shared" si="1"/>
        <v/>
      </c>
      <c r="L16" t="str">
        <f t="shared" si="2"/>
        <v>No</v>
      </c>
      <c r="M16" t="str">
        <f t="shared" si="3"/>
        <v>OLD CHICAGO/ROCK BOTTOM RESTAURANT</v>
      </c>
      <c r="N16" t="s">
        <v>302</v>
      </c>
    </row>
    <row r="17" spans="1:14">
      <c r="A17">
        <v>16</v>
      </c>
      <c r="B17" t="s">
        <v>38</v>
      </c>
      <c r="C17">
        <v>17</v>
      </c>
      <c r="D17" t="s">
        <v>39</v>
      </c>
      <c r="E17" t="s">
        <v>40</v>
      </c>
      <c r="F17">
        <v>190</v>
      </c>
      <c r="G17" s="2">
        <v>222274500</v>
      </c>
      <c r="H17" t="s">
        <v>331</v>
      </c>
      <c r="I17" t="s">
        <v>332</v>
      </c>
      <c r="J17" t="str">
        <f t="shared" si="0"/>
        <v>Orange City; IA</v>
      </c>
      <c r="K17" t="str">
        <f t="shared" si="1"/>
        <v/>
      </c>
      <c r="L17" t="str">
        <f t="shared" si="2"/>
        <v>No</v>
      </c>
      <c r="M17" t="str">
        <f t="shared" si="3"/>
        <v>PIZZA RANCH</v>
      </c>
      <c r="N17" t="s">
        <v>302</v>
      </c>
    </row>
    <row r="18" spans="1:14">
      <c r="A18">
        <v>17</v>
      </c>
      <c r="B18" t="s">
        <v>247</v>
      </c>
      <c r="C18">
        <v>16</v>
      </c>
      <c r="D18" t="s">
        <v>41</v>
      </c>
      <c r="E18" t="s">
        <v>42</v>
      </c>
      <c r="F18">
        <v>149</v>
      </c>
      <c r="G18" s="2">
        <v>210500000</v>
      </c>
      <c r="H18" t="s">
        <v>333</v>
      </c>
      <c r="I18" t="s">
        <v>334</v>
      </c>
      <c r="J18" t="str">
        <f t="shared" si="0"/>
        <v>West Roxbury; MA</v>
      </c>
      <c r="K18" t="str">
        <f t="shared" si="1"/>
        <v/>
      </c>
      <c r="L18" t="str">
        <f t="shared" si="2"/>
        <v>No</v>
      </c>
      <c r="M18" t="str">
        <f t="shared" si="3"/>
        <v>UNO CHICAGO GRILL</v>
      </c>
      <c r="N18" t="s">
        <v>302</v>
      </c>
    </row>
    <row r="19" spans="1:14">
      <c r="A19">
        <v>18</v>
      </c>
      <c r="B19" t="s">
        <v>248</v>
      </c>
      <c r="C19">
        <v>18</v>
      </c>
      <c r="D19" t="s">
        <v>43</v>
      </c>
      <c r="E19" t="s">
        <v>44</v>
      </c>
      <c r="F19">
        <v>142</v>
      </c>
      <c r="G19" s="2">
        <v>198000000</v>
      </c>
      <c r="H19" t="s">
        <v>335</v>
      </c>
      <c r="I19" t="s">
        <v>336</v>
      </c>
      <c r="J19" t="str">
        <f t="shared" si="0"/>
        <v>Phoenix; AZ</v>
      </c>
      <c r="K19" t="str">
        <f t="shared" si="1"/>
        <v/>
      </c>
      <c r="L19" t="str">
        <f t="shared" si="2"/>
        <v>No</v>
      </c>
      <c r="M19" t="str">
        <f t="shared" si="3"/>
        <v>PETER PIPER PIZZA</v>
      </c>
      <c r="N19" t="s">
        <v>302</v>
      </c>
    </row>
    <row r="20" spans="1:14">
      <c r="A20">
        <v>19</v>
      </c>
      <c r="B20" t="s">
        <v>249</v>
      </c>
      <c r="C20">
        <v>20</v>
      </c>
      <c r="D20" t="s">
        <v>45</v>
      </c>
      <c r="E20" t="s">
        <v>46</v>
      </c>
      <c r="F20">
        <v>175</v>
      </c>
      <c r="G20" s="2">
        <v>191000000</v>
      </c>
      <c r="H20" t="s">
        <v>337</v>
      </c>
      <c r="I20" t="s">
        <v>338</v>
      </c>
      <c r="J20" t="str">
        <f t="shared" si="0"/>
        <v>Atlanta; GA</v>
      </c>
      <c r="K20" t="str">
        <f t="shared" si="1"/>
        <v/>
      </c>
      <c r="L20" t="str">
        <f t="shared" si="2"/>
        <v>No</v>
      </c>
      <c r="M20" t="str">
        <f t="shared" si="3"/>
        <v>MELLOW MUSHROOM</v>
      </c>
      <c r="N20" t="s">
        <v>302</v>
      </c>
    </row>
    <row r="21" spans="1:14">
      <c r="A21">
        <v>20</v>
      </c>
      <c r="B21" t="s">
        <v>47</v>
      </c>
      <c r="C21">
        <v>19</v>
      </c>
      <c r="D21" t="s">
        <v>48</v>
      </c>
      <c r="E21" t="s">
        <v>49</v>
      </c>
      <c r="F21">
        <v>88</v>
      </c>
      <c r="G21" s="2">
        <v>188000000</v>
      </c>
      <c r="H21" t="s">
        <v>339</v>
      </c>
      <c r="I21" t="s">
        <v>334</v>
      </c>
      <c r="J21" t="str">
        <f t="shared" si="0"/>
        <v>Northborough; MA</v>
      </c>
      <c r="K21" t="str">
        <f t="shared" si="1"/>
        <v/>
      </c>
      <c r="L21" t="str">
        <f t="shared" si="2"/>
        <v>No</v>
      </c>
      <c r="M21" t="str">
        <f t="shared" si="3"/>
        <v>BERTUCCI’S ITALIAN</v>
      </c>
      <c r="N21" t="s">
        <v>302</v>
      </c>
    </row>
    <row r="22" spans="1:14">
      <c r="A22">
        <v>21</v>
      </c>
      <c r="B22" t="s">
        <v>50</v>
      </c>
      <c r="C22">
        <v>21</v>
      </c>
      <c r="D22" t="s">
        <v>51</v>
      </c>
      <c r="E22" t="s">
        <v>52</v>
      </c>
      <c r="F22">
        <v>126</v>
      </c>
      <c r="G22" s="2">
        <v>188000000</v>
      </c>
      <c r="H22" t="s">
        <v>340</v>
      </c>
      <c r="I22" t="s">
        <v>341</v>
      </c>
      <c r="J22" t="str">
        <f t="shared" si="0"/>
        <v>Elgin; IL</v>
      </c>
      <c r="K22" t="str">
        <f t="shared" si="1"/>
        <v/>
      </c>
      <c r="L22" t="str">
        <f t="shared" si="2"/>
        <v>No</v>
      </c>
      <c r="M22" t="str">
        <f t="shared" si="3"/>
        <v>ROSATI'S PIZZA</v>
      </c>
      <c r="N22" t="s">
        <v>302</v>
      </c>
    </row>
    <row r="23" spans="1:14">
      <c r="A23">
        <v>22</v>
      </c>
      <c r="B23" t="s">
        <v>53</v>
      </c>
      <c r="C23">
        <v>22</v>
      </c>
      <c r="D23" t="s">
        <v>54</v>
      </c>
      <c r="E23" t="s">
        <v>18</v>
      </c>
      <c r="F23">
        <v>153</v>
      </c>
      <c r="G23" s="2">
        <v>175000000</v>
      </c>
      <c r="H23" t="s">
        <v>320</v>
      </c>
      <c r="I23" t="s">
        <v>321</v>
      </c>
      <c r="J23" t="str">
        <f t="shared" si="0"/>
        <v>Columbus; OH</v>
      </c>
      <c r="K23" t="str">
        <f t="shared" si="1"/>
        <v/>
      </c>
      <c r="L23" t="str">
        <f t="shared" si="2"/>
        <v>No</v>
      </c>
      <c r="M23" t="str">
        <f t="shared" si="3"/>
        <v>DONATOS PIZZA</v>
      </c>
      <c r="N23" t="s">
        <v>302</v>
      </c>
    </row>
    <row r="24" spans="1:14">
      <c r="A24">
        <v>23</v>
      </c>
      <c r="B24" t="s">
        <v>250</v>
      </c>
      <c r="C24">
        <v>23</v>
      </c>
      <c r="D24" t="s">
        <v>55</v>
      </c>
      <c r="E24" t="s">
        <v>56</v>
      </c>
      <c r="F24">
        <v>110</v>
      </c>
      <c r="G24" s="2">
        <v>145000000</v>
      </c>
      <c r="H24" t="s">
        <v>342</v>
      </c>
      <c r="I24" t="s">
        <v>310</v>
      </c>
      <c r="J24" t="str">
        <f t="shared" si="0"/>
        <v>Austin; TX</v>
      </c>
      <c r="K24" t="str">
        <f t="shared" si="1"/>
        <v/>
      </c>
      <c r="L24" t="str">
        <f t="shared" si="2"/>
        <v>No</v>
      </c>
      <c r="M24" t="str">
        <f t="shared" si="3"/>
        <v>GATTI’S PIZZA</v>
      </c>
      <c r="N24" t="s">
        <v>302</v>
      </c>
    </row>
    <row r="25" spans="1:14">
      <c r="A25">
        <v>24</v>
      </c>
      <c r="B25" t="s">
        <v>57</v>
      </c>
      <c r="C25">
        <v>24</v>
      </c>
      <c r="D25" t="s">
        <v>58</v>
      </c>
      <c r="E25" t="s">
        <v>59</v>
      </c>
      <c r="F25">
        <v>66</v>
      </c>
      <c r="G25" s="2">
        <v>143599000</v>
      </c>
      <c r="H25" t="s">
        <v>343</v>
      </c>
      <c r="I25" t="s">
        <v>321</v>
      </c>
      <c r="J25" t="str">
        <f t="shared" si="0"/>
        <v>Cincinnati; OH</v>
      </c>
      <c r="K25" t="str">
        <f t="shared" si="1"/>
        <v/>
      </c>
      <c r="L25" t="str">
        <f t="shared" si="2"/>
        <v>No</v>
      </c>
      <c r="M25" t="str">
        <f t="shared" si="3"/>
        <v>LAROSA’S PIZZERIA</v>
      </c>
      <c r="N25" t="s">
        <v>302</v>
      </c>
    </row>
    <row r="26" spans="1:14">
      <c r="A26">
        <v>25</v>
      </c>
      <c r="B26" t="s">
        <v>60</v>
      </c>
      <c r="C26">
        <v>25</v>
      </c>
      <c r="D26" t="s">
        <v>61</v>
      </c>
      <c r="E26" t="s">
        <v>62</v>
      </c>
      <c r="F26">
        <v>250</v>
      </c>
      <c r="G26" s="2">
        <v>131250000</v>
      </c>
      <c r="H26" t="s">
        <v>344</v>
      </c>
      <c r="I26" t="s">
        <v>345</v>
      </c>
      <c r="J26" t="str">
        <f t="shared" si="0"/>
        <v>Murrysville; PA</v>
      </c>
      <c r="K26" t="str">
        <f t="shared" si="1"/>
        <v/>
      </c>
      <c r="L26" t="str">
        <f t="shared" si="2"/>
        <v>No</v>
      </c>
      <c r="M26" t="str">
        <f t="shared" si="3"/>
        <v>FOX'S PIZZA DEN</v>
      </c>
      <c r="N26" t="s">
        <v>302</v>
      </c>
    </row>
    <row r="27" spans="1:14">
      <c r="A27">
        <v>26</v>
      </c>
      <c r="B27" t="s">
        <v>63</v>
      </c>
      <c r="C27">
        <v>30</v>
      </c>
      <c r="D27" t="s">
        <v>64</v>
      </c>
      <c r="E27" t="s">
        <v>65</v>
      </c>
      <c r="F27">
        <v>170</v>
      </c>
      <c r="G27" s="2">
        <v>130000000</v>
      </c>
      <c r="H27" t="s">
        <v>346</v>
      </c>
      <c r="I27" t="s">
        <v>347</v>
      </c>
      <c r="J27" t="str">
        <f t="shared" si="0"/>
        <v>Lake Mary; FL</v>
      </c>
      <c r="K27" t="str">
        <f t="shared" si="1"/>
        <v/>
      </c>
      <c r="L27" t="str">
        <f t="shared" si="2"/>
        <v>No</v>
      </c>
      <c r="M27" t="str">
        <f t="shared" si="3"/>
        <v>MOUNTAIN MIKE’S PIZZA</v>
      </c>
      <c r="N27" t="s">
        <v>302</v>
      </c>
    </row>
    <row r="28" spans="1:14">
      <c r="A28">
        <v>27</v>
      </c>
      <c r="B28" t="s">
        <v>251</v>
      </c>
      <c r="C28">
        <v>26</v>
      </c>
      <c r="D28" t="s">
        <v>66</v>
      </c>
      <c r="E28" t="s">
        <v>67</v>
      </c>
      <c r="F28">
        <v>143</v>
      </c>
      <c r="G28" s="2">
        <v>122000000</v>
      </c>
      <c r="H28" t="s">
        <v>348</v>
      </c>
      <c r="I28" t="s">
        <v>349</v>
      </c>
      <c r="J28" t="str">
        <f t="shared" si="0"/>
        <v>Tulsa; OK</v>
      </c>
      <c r="K28" t="str">
        <f t="shared" si="1"/>
        <v/>
      </c>
      <c r="L28" t="str">
        <f t="shared" si="2"/>
        <v>No</v>
      </c>
      <c r="M28" t="str">
        <f t="shared" si="3"/>
        <v>MAZZIO’S ITALIAN EATERY</v>
      </c>
      <c r="N28" t="s">
        <v>302</v>
      </c>
    </row>
    <row r="29" spans="1:14">
      <c r="A29">
        <v>28</v>
      </c>
      <c r="B29" t="s">
        <v>252</v>
      </c>
      <c r="C29">
        <v>27</v>
      </c>
      <c r="D29" t="s">
        <v>68</v>
      </c>
      <c r="E29" t="s">
        <v>69</v>
      </c>
      <c r="F29">
        <v>217</v>
      </c>
      <c r="G29" s="2">
        <v>120854000</v>
      </c>
      <c r="H29" t="s">
        <v>350</v>
      </c>
      <c r="I29" t="s">
        <v>310</v>
      </c>
      <c r="J29" t="str">
        <f t="shared" si="0"/>
        <v>The Colony; TX</v>
      </c>
      <c r="K29" t="str">
        <f t="shared" si="1"/>
        <v/>
      </c>
      <c r="L29" t="str">
        <f t="shared" si="2"/>
        <v>No</v>
      </c>
      <c r="M29" t="str">
        <f t="shared" si="3"/>
        <v>PIZZA INN/PIVE FIVE PIZZA</v>
      </c>
      <c r="N29" t="s">
        <v>302</v>
      </c>
    </row>
    <row r="30" spans="1:14">
      <c r="A30">
        <v>29</v>
      </c>
      <c r="B30" t="s">
        <v>253</v>
      </c>
      <c r="C30">
        <v>28</v>
      </c>
      <c r="D30" t="s">
        <v>70</v>
      </c>
      <c r="E30" t="s">
        <v>71</v>
      </c>
      <c r="F30">
        <v>151</v>
      </c>
      <c r="G30" s="2">
        <v>114500000</v>
      </c>
      <c r="H30" t="s">
        <v>351</v>
      </c>
      <c r="I30" t="s">
        <v>334</v>
      </c>
      <c r="J30" t="str">
        <f t="shared" si="0"/>
        <v>Dedham; MA</v>
      </c>
      <c r="K30" t="str">
        <f t="shared" si="1"/>
        <v/>
      </c>
      <c r="L30" t="str">
        <f t="shared" si="2"/>
        <v>No</v>
      </c>
      <c r="M30" t="str">
        <f t="shared" si="3"/>
        <v>PAPA GINO’S PIZZERIA</v>
      </c>
      <c r="N30" t="s">
        <v>302</v>
      </c>
    </row>
    <row r="31" spans="1:14">
      <c r="A31">
        <v>30</v>
      </c>
      <c r="B31" t="s">
        <v>72</v>
      </c>
      <c r="C31">
        <v>31</v>
      </c>
      <c r="D31" t="s">
        <v>73</v>
      </c>
      <c r="E31" t="s">
        <v>74</v>
      </c>
      <c r="F31">
        <v>102</v>
      </c>
      <c r="G31" s="2">
        <v>110000000</v>
      </c>
      <c r="H31" t="s">
        <v>352</v>
      </c>
      <c r="I31" t="s">
        <v>353</v>
      </c>
      <c r="J31" t="str">
        <f t="shared" si="0"/>
        <v>Annapolis; MD</v>
      </c>
      <c r="K31" t="str">
        <f t="shared" si="1"/>
        <v/>
      </c>
      <c r="L31" t="str">
        <f t="shared" si="2"/>
        <v>No</v>
      </c>
      <c r="M31" t="str">
        <f t="shared" si="3"/>
        <v>LEDO PIZZA</v>
      </c>
      <c r="N31" t="s">
        <v>302</v>
      </c>
    </row>
    <row r="32" spans="1:14">
      <c r="A32">
        <v>31</v>
      </c>
      <c r="B32" t="s">
        <v>75</v>
      </c>
      <c r="C32">
        <v>35</v>
      </c>
      <c r="D32" t="s">
        <v>76</v>
      </c>
      <c r="E32" t="s">
        <v>77</v>
      </c>
      <c r="F32">
        <v>271</v>
      </c>
      <c r="G32" s="2">
        <v>105806602</v>
      </c>
      <c r="H32" t="s">
        <v>354</v>
      </c>
      <c r="I32" t="s">
        <v>355</v>
      </c>
      <c r="J32" t="str">
        <f t="shared" si="0"/>
        <v>Morristown; NJ</v>
      </c>
      <c r="K32" t="str">
        <f t="shared" si="1"/>
        <v/>
      </c>
      <c r="L32" t="str">
        <f t="shared" si="2"/>
        <v>No</v>
      </c>
      <c r="M32" t="str">
        <f t="shared" si="3"/>
        <v>VILLA FRESH ITALIAN KITCHEN</v>
      </c>
      <c r="N32" t="s">
        <v>302</v>
      </c>
    </row>
    <row r="33" spans="1:14">
      <c r="A33">
        <v>32</v>
      </c>
      <c r="B33" t="s">
        <v>78</v>
      </c>
      <c r="C33">
        <v>32</v>
      </c>
      <c r="D33" t="s">
        <v>79</v>
      </c>
      <c r="E33" t="s">
        <v>80</v>
      </c>
      <c r="F33">
        <v>95</v>
      </c>
      <c r="G33" s="2">
        <v>93815000</v>
      </c>
      <c r="H33" t="s">
        <v>356</v>
      </c>
      <c r="I33" t="s">
        <v>357</v>
      </c>
      <c r="J33" t="str">
        <f t="shared" si="0"/>
        <v>St. Louis; MO</v>
      </c>
      <c r="K33" t="str">
        <f t="shared" si="1"/>
        <v/>
      </c>
      <c r="L33" t="str">
        <f t="shared" si="2"/>
        <v>No</v>
      </c>
      <c r="M33" t="str">
        <f t="shared" si="3"/>
        <v>IMO’S PIZZA</v>
      </c>
      <c r="N33" t="s">
        <v>302</v>
      </c>
    </row>
    <row r="34" spans="1:14">
      <c r="A34">
        <v>33</v>
      </c>
      <c r="B34" t="s">
        <v>254</v>
      </c>
      <c r="C34">
        <v>33</v>
      </c>
      <c r="D34" t="s">
        <v>81</v>
      </c>
      <c r="E34" t="s">
        <v>82</v>
      </c>
      <c r="F34">
        <v>47</v>
      </c>
      <c r="G34" s="2">
        <v>90795000</v>
      </c>
      <c r="H34" t="s">
        <v>358</v>
      </c>
      <c r="I34" t="s">
        <v>341</v>
      </c>
      <c r="J34" t="str">
        <f t="shared" si="0"/>
        <v>Chicago; IL</v>
      </c>
      <c r="K34" t="str">
        <f t="shared" si="1"/>
        <v/>
      </c>
      <c r="L34" t="str">
        <f t="shared" si="2"/>
        <v>No</v>
      </c>
      <c r="M34" t="str">
        <f t="shared" si="3"/>
        <v>GIORDANO’S RESTAURANT &amp; PIZZERIA</v>
      </c>
      <c r="N34" t="s">
        <v>302</v>
      </c>
    </row>
    <row r="35" spans="1:14">
      <c r="A35">
        <v>34</v>
      </c>
      <c r="B35" t="s">
        <v>255</v>
      </c>
      <c r="C35">
        <v>29</v>
      </c>
      <c r="D35" t="s">
        <v>83</v>
      </c>
      <c r="E35" t="s">
        <v>84</v>
      </c>
      <c r="F35">
        <v>103</v>
      </c>
      <c r="G35" s="2">
        <v>82400000</v>
      </c>
      <c r="H35" t="s">
        <v>359</v>
      </c>
      <c r="I35" t="s">
        <v>360</v>
      </c>
      <c r="J35" t="str">
        <f t="shared" si="0"/>
        <v>White Plains; NY</v>
      </c>
      <c r="K35" t="str">
        <f t="shared" si="1"/>
        <v/>
      </c>
      <c r="L35" t="str">
        <f t="shared" si="2"/>
        <v>No</v>
      </c>
      <c r="M35" t="str">
        <f t="shared" si="3"/>
        <v>FAMOUS FAMIGLIA</v>
      </c>
      <c r="N35" t="s">
        <v>302</v>
      </c>
    </row>
    <row r="36" spans="1:14">
      <c r="A36">
        <v>35</v>
      </c>
      <c r="B36" t="s">
        <v>256</v>
      </c>
      <c r="C36">
        <v>38</v>
      </c>
      <c r="D36" t="s">
        <v>85</v>
      </c>
      <c r="E36" t="s">
        <v>86</v>
      </c>
      <c r="F36">
        <v>2215</v>
      </c>
      <c r="G36" s="2">
        <v>80000000</v>
      </c>
      <c r="H36" t="s">
        <v>361</v>
      </c>
      <c r="I36" t="s">
        <v>362</v>
      </c>
      <c r="J36" t="str">
        <f t="shared" si="0"/>
        <v>Indianapolis; IN</v>
      </c>
      <c r="K36" t="str">
        <f t="shared" si="1"/>
        <v>Yes</v>
      </c>
      <c r="L36" t="str">
        <f t="shared" si="2"/>
        <v>No</v>
      </c>
      <c r="M36" t="str">
        <f t="shared" si="3"/>
        <v>NOBLE ROMAN’S PIZZA</v>
      </c>
      <c r="N36" t="s">
        <v>302</v>
      </c>
    </row>
    <row r="37" spans="1:14">
      <c r="A37">
        <v>36</v>
      </c>
      <c r="B37" t="s">
        <v>257</v>
      </c>
      <c r="C37">
        <v>34</v>
      </c>
      <c r="D37" t="s">
        <v>87</v>
      </c>
      <c r="E37" t="s">
        <v>88</v>
      </c>
      <c r="F37">
        <v>395</v>
      </c>
      <c r="G37" s="2">
        <v>79142000</v>
      </c>
      <c r="H37" t="s">
        <v>363</v>
      </c>
      <c r="I37" t="s">
        <v>364</v>
      </c>
      <c r="J37" t="str">
        <f t="shared" si="0"/>
        <v>Cabot; AR</v>
      </c>
      <c r="K37" t="str">
        <f t="shared" si="1"/>
        <v/>
      </c>
      <c r="L37" t="str">
        <f t="shared" si="2"/>
        <v>No</v>
      </c>
      <c r="M37" t="str">
        <f t="shared" si="3"/>
        <v>PIZZA PRO</v>
      </c>
      <c r="N37" t="s">
        <v>302</v>
      </c>
    </row>
    <row r="38" spans="1:14">
      <c r="A38">
        <v>37</v>
      </c>
      <c r="B38" t="s">
        <v>258</v>
      </c>
      <c r="C38">
        <v>49</v>
      </c>
      <c r="D38" t="s">
        <v>89</v>
      </c>
      <c r="E38" t="s">
        <v>90</v>
      </c>
      <c r="F38">
        <v>74</v>
      </c>
      <c r="G38" s="2">
        <v>76000000</v>
      </c>
      <c r="H38" t="s">
        <v>365</v>
      </c>
      <c r="I38" t="s">
        <v>338</v>
      </c>
      <c r="J38" t="str">
        <f t="shared" si="0"/>
        <v>Hapeville; GA</v>
      </c>
      <c r="K38" t="str">
        <f t="shared" si="1"/>
        <v/>
      </c>
      <c r="L38" t="str">
        <f t="shared" si="2"/>
        <v>No</v>
      </c>
      <c r="M38" t="str">
        <f t="shared" si="3"/>
        <v>JOHNNY’S NY STYLE PIZZA/JOHNNY BUSCO’S PIZZA</v>
      </c>
      <c r="N38" t="s">
        <v>302</v>
      </c>
    </row>
    <row r="39" spans="1:14">
      <c r="A39">
        <v>38</v>
      </c>
      <c r="B39" t="s">
        <v>91</v>
      </c>
      <c r="C39">
        <v>37</v>
      </c>
      <c r="D39" t="s">
        <v>92</v>
      </c>
      <c r="E39" t="s">
        <v>93</v>
      </c>
      <c r="F39">
        <v>108</v>
      </c>
      <c r="G39" s="2">
        <v>67000000</v>
      </c>
      <c r="H39" t="s">
        <v>366</v>
      </c>
      <c r="I39" t="s">
        <v>367</v>
      </c>
      <c r="J39" t="str">
        <f t="shared" si="0"/>
        <v>Ashland; KY</v>
      </c>
      <c r="K39" t="str">
        <f t="shared" si="1"/>
        <v/>
      </c>
      <c r="L39" t="str">
        <f t="shared" si="2"/>
        <v>No</v>
      </c>
      <c r="M39" t="str">
        <f t="shared" si="3"/>
        <v>GIOVANNI’S PIZZA</v>
      </c>
      <c r="N39" t="s">
        <v>302</v>
      </c>
    </row>
    <row r="40" spans="1:14">
      <c r="A40">
        <v>39</v>
      </c>
      <c r="B40" t="s">
        <v>94</v>
      </c>
      <c r="C40">
        <v>41</v>
      </c>
      <c r="D40" t="s">
        <v>95</v>
      </c>
      <c r="E40" t="s">
        <v>96</v>
      </c>
      <c r="F40">
        <v>65</v>
      </c>
      <c r="G40" s="2">
        <v>63610000</v>
      </c>
      <c r="H40" t="s">
        <v>368</v>
      </c>
      <c r="I40" t="s">
        <v>341</v>
      </c>
      <c r="J40" t="str">
        <f t="shared" si="0"/>
        <v>Bradley; IL</v>
      </c>
      <c r="K40" t="str">
        <f t="shared" si="1"/>
        <v/>
      </c>
      <c r="L40" t="str">
        <f t="shared" si="2"/>
        <v>No</v>
      </c>
      <c r="M40" t="str">
        <f t="shared" si="3"/>
        <v>MONICAL’S PIZZA</v>
      </c>
      <c r="N40" t="s">
        <v>302</v>
      </c>
    </row>
    <row r="41" spans="1:14">
      <c r="A41">
        <v>40</v>
      </c>
      <c r="B41" t="s">
        <v>259</v>
      </c>
      <c r="C41">
        <v>39</v>
      </c>
      <c r="D41" t="s">
        <v>97</v>
      </c>
      <c r="E41" t="s">
        <v>98</v>
      </c>
      <c r="F41">
        <v>90</v>
      </c>
      <c r="G41" s="2">
        <v>62000000</v>
      </c>
      <c r="H41" t="s">
        <v>369</v>
      </c>
      <c r="I41" t="s">
        <v>310</v>
      </c>
      <c r="J41" t="str">
        <f t="shared" si="0"/>
        <v>Dallas; TX</v>
      </c>
      <c r="K41" t="str">
        <f t="shared" si="1"/>
        <v/>
      </c>
      <c r="L41" t="str">
        <f t="shared" si="2"/>
        <v>No</v>
      </c>
      <c r="M41" t="str">
        <f t="shared" si="3"/>
        <v>PIZZA PATRON</v>
      </c>
      <c r="N41" t="s">
        <v>302</v>
      </c>
    </row>
    <row r="42" spans="1:14">
      <c r="A42">
        <v>41</v>
      </c>
      <c r="B42" t="s">
        <v>99</v>
      </c>
      <c r="C42">
        <v>44</v>
      </c>
      <c r="D42" t="s">
        <v>100</v>
      </c>
      <c r="E42" t="s">
        <v>101</v>
      </c>
      <c r="F42">
        <v>108</v>
      </c>
      <c r="G42" s="2">
        <v>60311704</v>
      </c>
      <c r="H42" t="s">
        <v>370</v>
      </c>
      <c r="I42" t="s">
        <v>319</v>
      </c>
      <c r="J42" t="str">
        <f t="shared" si="0"/>
        <v>Oakhurst; CA</v>
      </c>
      <c r="K42" t="str">
        <f t="shared" si="1"/>
        <v/>
      </c>
      <c r="L42" t="str">
        <f t="shared" si="2"/>
        <v>No</v>
      </c>
      <c r="M42" t="str">
        <f t="shared" si="3"/>
        <v>PIZZA FACTORY “WE TOSS’EM, THEY’RE AWESOME”</v>
      </c>
      <c r="N42" t="s">
        <v>302</v>
      </c>
    </row>
    <row r="43" spans="1:14">
      <c r="A43">
        <v>42</v>
      </c>
      <c r="B43" t="s">
        <v>260</v>
      </c>
      <c r="C43">
        <v>42</v>
      </c>
      <c r="D43" t="s">
        <v>102</v>
      </c>
      <c r="E43" t="s">
        <v>103</v>
      </c>
      <c r="F43">
        <v>59</v>
      </c>
      <c r="G43" s="2">
        <v>59000000</v>
      </c>
      <c r="H43" t="s">
        <v>371</v>
      </c>
      <c r="I43" t="s">
        <v>319</v>
      </c>
      <c r="J43" t="str">
        <f t="shared" si="0"/>
        <v>Alhambra; CA</v>
      </c>
      <c r="K43" t="str">
        <f t="shared" si="1"/>
        <v/>
      </c>
      <c r="L43" t="str">
        <f t="shared" si="2"/>
        <v>No</v>
      </c>
      <c r="M43" t="str">
        <f t="shared" si="3"/>
        <v>SHAKEY’S PIZZA</v>
      </c>
      <c r="N43" t="s">
        <v>302</v>
      </c>
    </row>
    <row r="44" spans="1:14">
      <c r="A44">
        <v>43</v>
      </c>
      <c r="B44" t="s">
        <v>261</v>
      </c>
      <c r="C44">
        <v>43</v>
      </c>
      <c r="D44" t="s">
        <v>104</v>
      </c>
      <c r="E44" t="s">
        <v>105</v>
      </c>
      <c r="F44">
        <v>30</v>
      </c>
      <c r="G44" s="2">
        <v>52727000</v>
      </c>
      <c r="H44" t="s">
        <v>372</v>
      </c>
      <c r="I44" t="s">
        <v>312</v>
      </c>
      <c r="J44" t="str">
        <f t="shared" si="0"/>
        <v>Bloomfield Hills; MI</v>
      </c>
      <c r="K44" t="str">
        <f t="shared" si="1"/>
        <v/>
      </c>
      <c r="L44" t="str">
        <f t="shared" si="2"/>
        <v>No</v>
      </c>
      <c r="M44" t="str">
        <f t="shared" si="3"/>
        <v>BREADEAUX PIZZA</v>
      </c>
      <c r="N44" t="s">
        <v>302</v>
      </c>
    </row>
    <row r="45" spans="1:14">
      <c r="A45">
        <v>44</v>
      </c>
      <c r="B45" t="s">
        <v>262</v>
      </c>
      <c r="D45" t="s">
        <v>106</v>
      </c>
      <c r="E45" t="s">
        <v>107</v>
      </c>
      <c r="F45">
        <v>47</v>
      </c>
      <c r="G45" s="2">
        <v>51000000</v>
      </c>
      <c r="H45" t="s">
        <v>373</v>
      </c>
      <c r="I45" t="s">
        <v>319</v>
      </c>
      <c r="J45" t="str">
        <f t="shared" si="0"/>
        <v>Rancho Santa Margarita; CA</v>
      </c>
      <c r="K45" t="str">
        <f t="shared" si="1"/>
        <v/>
      </c>
      <c r="L45" t="str">
        <f t="shared" si="2"/>
        <v>No</v>
      </c>
      <c r="M45" t="str">
        <f t="shared" si="3"/>
        <v>PIEOLOGY PIZZERIA</v>
      </c>
      <c r="N45" t="s">
        <v>302</v>
      </c>
    </row>
    <row r="46" spans="1:14">
      <c r="A46">
        <v>45</v>
      </c>
      <c r="B46" t="s">
        <v>263</v>
      </c>
      <c r="C46">
        <v>47</v>
      </c>
      <c r="D46" t="s">
        <v>108</v>
      </c>
      <c r="E46" t="s">
        <v>67</v>
      </c>
      <c r="F46">
        <v>206</v>
      </c>
      <c r="G46" s="2">
        <v>49500000</v>
      </c>
      <c r="H46" t="s">
        <v>348</v>
      </c>
      <c r="I46" t="s">
        <v>349</v>
      </c>
      <c r="J46" t="str">
        <f t="shared" si="0"/>
        <v>Tulsa; OK</v>
      </c>
      <c r="K46" t="str">
        <f t="shared" si="1"/>
        <v/>
      </c>
      <c r="L46" t="str">
        <f t="shared" si="2"/>
        <v>No</v>
      </c>
      <c r="M46" t="str">
        <f t="shared" si="3"/>
        <v>SIMPLE SIMON’S PIZZA</v>
      </c>
      <c r="N46" t="s">
        <v>302</v>
      </c>
    </row>
    <row r="47" spans="1:14">
      <c r="A47">
        <v>46</v>
      </c>
      <c r="B47" t="s">
        <v>264</v>
      </c>
      <c r="C47">
        <v>48</v>
      </c>
      <c r="D47" t="s">
        <v>109</v>
      </c>
      <c r="E47" t="s">
        <v>110</v>
      </c>
      <c r="F47">
        <v>95</v>
      </c>
      <c r="G47" s="2">
        <v>48560000</v>
      </c>
      <c r="H47" t="s">
        <v>374</v>
      </c>
      <c r="I47" t="s">
        <v>319</v>
      </c>
      <c r="J47" t="str">
        <f t="shared" si="0"/>
        <v>Newport Beach; CA</v>
      </c>
      <c r="K47" t="str">
        <f t="shared" si="1"/>
        <v/>
      </c>
      <c r="L47" t="str">
        <f t="shared" si="2"/>
        <v>No</v>
      </c>
      <c r="M47" t="str">
        <f t="shared" si="3"/>
        <v>ZPIZZA</v>
      </c>
      <c r="N47" t="s">
        <v>302</v>
      </c>
    </row>
    <row r="48" spans="1:14">
      <c r="A48">
        <v>47</v>
      </c>
      <c r="B48" t="s">
        <v>111</v>
      </c>
      <c r="C48">
        <v>49</v>
      </c>
      <c r="D48" t="s">
        <v>112</v>
      </c>
      <c r="E48" t="s">
        <v>113</v>
      </c>
      <c r="F48">
        <v>21</v>
      </c>
      <c r="G48" s="2">
        <v>47500000</v>
      </c>
      <c r="H48" t="s">
        <v>375</v>
      </c>
      <c r="I48" t="s">
        <v>376</v>
      </c>
      <c r="J48" t="str">
        <f t="shared" si="0"/>
        <v>Rehoboth Beach; DE</v>
      </c>
      <c r="K48" t="str">
        <f t="shared" si="1"/>
        <v/>
      </c>
      <c r="L48" t="str">
        <f t="shared" si="2"/>
        <v>No</v>
      </c>
      <c r="M48" t="str">
        <f t="shared" si="3"/>
        <v>GROTTO PIZZA</v>
      </c>
      <c r="N48" t="s">
        <v>302</v>
      </c>
    </row>
    <row r="49" spans="1:14">
      <c r="A49">
        <v>48</v>
      </c>
      <c r="B49" t="s">
        <v>114</v>
      </c>
      <c r="C49">
        <v>54</v>
      </c>
      <c r="D49" t="s">
        <v>115</v>
      </c>
      <c r="E49" t="s">
        <v>116</v>
      </c>
      <c r="F49">
        <v>22</v>
      </c>
      <c r="G49" s="2">
        <v>47480200</v>
      </c>
      <c r="H49" t="s">
        <v>377</v>
      </c>
      <c r="I49" t="s">
        <v>341</v>
      </c>
      <c r="J49" t="str">
        <f t="shared" si="0"/>
        <v>Blue Island; IL</v>
      </c>
      <c r="K49" t="str">
        <f t="shared" si="1"/>
        <v/>
      </c>
      <c r="L49" t="str">
        <f t="shared" si="2"/>
        <v>No</v>
      </c>
      <c r="M49" t="str">
        <f t="shared" si="3"/>
        <v>BEGGARS PIZZA</v>
      </c>
      <c r="N49" t="s">
        <v>302</v>
      </c>
    </row>
    <row r="50" spans="1:14">
      <c r="A50">
        <v>49</v>
      </c>
      <c r="B50" t="s">
        <v>265</v>
      </c>
      <c r="C50">
        <v>51</v>
      </c>
      <c r="D50" t="s">
        <v>117</v>
      </c>
      <c r="E50" t="s">
        <v>118</v>
      </c>
      <c r="F50">
        <v>72</v>
      </c>
      <c r="G50" s="2">
        <v>46350000</v>
      </c>
      <c r="H50" t="s">
        <v>378</v>
      </c>
      <c r="I50" t="s">
        <v>353</v>
      </c>
      <c r="J50" t="str">
        <f t="shared" si="0"/>
        <v>Pikesville; MD</v>
      </c>
      <c r="K50" t="str">
        <f t="shared" si="1"/>
        <v/>
      </c>
      <c r="L50" t="str">
        <f t="shared" si="2"/>
        <v>No</v>
      </c>
      <c r="M50" t="str">
        <f t="shared" si="3"/>
        <v>PIZZA BOLI’S</v>
      </c>
      <c r="N50" t="s">
        <v>302</v>
      </c>
    </row>
    <row r="51" spans="1:14">
      <c r="A51">
        <v>50</v>
      </c>
      <c r="B51" t="s">
        <v>266</v>
      </c>
      <c r="C51">
        <v>69</v>
      </c>
      <c r="D51" t="s">
        <v>119</v>
      </c>
      <c r="E51" t="s">
        <v>120</v>
      </c>
      <c r="F51">
        <v>68</v>
      </c>
      <c r="G51" s="2">
        <v>44500000</v>
      </c>
      <c r="H51" t="s">
        <v>379</v>
      </c>
      <c r="I51" t="s">
        <v>319</v>
      </c>
      <c r="J51" t="str">
        <f t="shared" si="0"/>
        <v>Fresno; CA</v>
      </c>
      <c r="K51" t="str">
        <f t="shared" si="1"/>
        <v/>
      </c>
      <c r="L51" t="str">
        <f t="shared" si="2"/>
        <v>No</v>
      </c>
      <c r="M51" t="str">
        <f t="shared" si="3"/>
        <v>ME-N-ED’S PIZZERIA/BLAST 825 PIZZA</v>
      </c>
      <c r="N51" t="s">
        <v>302</v>
      </c>
    </row>
    <row r="52" spans="1:14">
      <c r="A52">
        <v>51</v>
      </c>
      <c r="B52" t="s">
        <v>267</v>
      </c>
      <c r="C52">
        <v>52</v>
      </c>
      <c r="D52" t="s">
        <v>121</v>
      </c>
      <c r="E52" t="s">
        <v>122</v>
      </c>
      <c r="F52">
        <v>22</v>
      </c>
      <c r="G52" s="2">
        <v>44000000</v>
      </c>
      <c r="H52" t="s">
        <v>380</v>
      </c>
      <c r="I52" t="s">
        <v>317</v>
      </c>
      <c r="J52" t="str">
        <f t="shared" si="0"/>
        <v>Sumner; WA</v>
      </c>
      <c r="K52" t="str">
        <f t="shared" si="1"/>
        <v/>
      </c>
      <c r="L52" t="str">
        <f t="shared" si="2"/>
        <v>No</v>
      </c>
      <c r="M52" t="str">
        <f t="shared" si="3"/>
        <v>THE ROCK WOOD FIRED KITCHEN</v>
      </c>
      <c r="N52" t="s">
        <v>302</v>
      </c>
    </row>
    <row r="53" spans="1:14">
      <c r="A53">
        <v>52</v>
      </c>
      <c r="B53" t="s">
        <v>123</v>
      </c>
      <c r="C53">
        <v>52</v>
      </c>
      <c r="D53" t="s">
        <v>124</v>
      </c>
      <c r="E53" t="s">
        <v>125</v>
      </c>
      <c r="F53">
        <v>89</v>
      </c>
      <c r="G53" s="2">
        <v>44000000</v>
      </c>
      <c r="H53" t="s">
        <v>381</v>
      </c>
      <c r="I53" t="s">
        <v>345</v>
      </c>
      <c r="J53" t="str">
        <f t="shared" si="0"/>
        <v>Pittsburgh; PA</v>
      </c>
      <c r="K53" t="str">
        <f t="shared" si="1"/>
        <v/>
      </c>
      <c r="L53" t="str">
        <f t="shared" si="2"/>
        <v>No</v>
      </c>
      <c r="M53" t="str">
        <f t="shared" si="3"/>
        <v>VOCELLI PIZZA</v>
      </c>
      <c r="N53" t="s">
        <v>302</v>
      </c>
    </row>
    <row r="54" spans="1:14">
      <c r="A54">
        <v>53</v>
      </c>
      <c r="B54" t="s">
        <v>126</v>
      </c>
      <c r="C54">
        <v>56</v>
      </c>
      <c r="D54" t="s">
        <v>127</v>
      </c>
      <c r="E54" t="s">
        <v>128</v>
      </c>
      <c r="F54">
        <v>61</v>
      </c>
      <c r="G54" s="2">
        <v>43588069</v>
      </c>
      <c r="H54" t="s">
        <v>382</v>
      </c>
      <c r="I54" t="s">
        <v>319</v>
      </c>
      <c r="J54" t="str">
        <f t="shared" si="0"/>
        <v>Rancho Cordova; CA</v>
      </c>
      <c r="K54" t="str">
        <f t="shared" si="1"/>
        <v/>
      </c>
      <c r="L54" t="str">
        <f t="shared" si="2"/>
        <v>No</v>
      </c>
      <c r="M54" t="str">
        <f t="shared" si="3"/>
        <v>PIZZA GUYS</v>
      </c>
      <c r="N54" t="s">
        <v>302</v>
      </c>
    </row>
    <row r="55" spans="1:14">
      <c r="A55">
        <v>54</v>
      </c>
      <c r="B55" t="s">
        <v>268</v>
      </c>
      <c r="C55">
        <v>36</v>
      </c>
      <c r="D55" t="s">
        <v>129</v>
      </c>
      <c r="E55" t="s">
        <v>130</v>
      </c>
      <c r="F55">
        <v>48</v>
      </c>
      <c r="G55" s="2">
        <v>42000000</v>
      </c>
      <c r="H55" t="s">
        <v>383</v>
      </c>
      <c r="I55" t="s">
        <v>353</v>
      </c>
      <c r="J55" t="str">
        <f t="shared" si="0"/>
        <v>Gaithersburg; MD</v>
      </c>
      <c r="K55" t="str">
        <f t="shared" si="1"/>
        <v/>
      </c>
      <c r="L55" t="str">
        <f t="shared" si="2"/>
        <v>No</v>
      </c>
      <c r="M55" t="str">
        <f t="shared" si="3"/>
        <v>JERRY’S SUBS &amp; PIZZA</v>
      </c>
      <c r="N55" t="s">
        <v>302</v>
      </c>
    </row>
    <row r="56" spans="1:14">
      <c r="A56">
        <v>55</v>
      </c>
      <c r="B56" t="s">
        <v>131</v>
      </c>
      <c r="D56" t="s">
        <v>132</v>
      </c>
      <c r="E56" t="s">
        <v>133</v>
      </c>
      <c r="F56">
        <v>35</v>
      </c>
      <c r="G56" s="2">
        <v>41000000</v>
      </c>
      <c r="H56" t="s">
        <v>384</v>
      </c>
      <c r="I56" t="s">
        <v>360</v>
      </c>
      <c r="J56" t="str">
        <f t="shared" si="0"/>
        <v>Webster; NY</v>
      </c>
      <c r="K56" t="str">
        <f t="shared" si="1"/>
        <v/>
      </c>
      <c r="L56" t="str">
        <f t="shared" si="2"/>
        <v>No</v>
      </c>
      <c r="M56" t="str">
        <f t="shared" si="3"/>
        <v>SALVATORE’S OLD FASHIONED PIZZERIA</v>
      </c>
      <c r="N56" t="s">
        <v>302</v>
      </c>
    </row>
    <row r="57" spans="1:14">
      <c r="A57">
        <v>56</v>
      </c>
      <c r="B57" t="s">
        <v>134</v>
      </c>
      <c r="C57">
        <v>57</v>
      </c>
      <c r="D57" t="s">
        <v>135</v>
      </c>
      <c r="E57" t="s">
        <v>136</v>
      </c>
      <c r="F57">
        <v>37</v>
      </c>
      <c r="G57" s="2">
        <v>41000000</v>
      </c>
      <c r="H57" t="s">
        <v>385</v>
      </c>
      <c r="I57" t="s">
        <v>329</v>
      </c>
      <c r="J57" t="str">
        <f t="shared" si="0"/>
        <v>Lincoln; NE</v>
      </c>
      <c r="K57" t="str">
        <f t="shared" si="1"/>
        <v/>
      </c>
      <c r="L57" t="str">
        <f t="shared" si="2"/>
        <v>No</v>
      </c>
      <c r="M57" t="str">
        <f t="shared" si="3"/>
        <v>VALENTINO’S</v>
      </c>
      <c r="N57" t="s">
        <v>302</v>
      </c>
    </row>
    <row r="58" spans="1:14">
      <c r="A58">
        <v>57</v>
      </c>
      <c r="B58" t="s">
        <v>269</v>
      </c>
      <c r="C58">
        <v>73</v>
      </c>
      <c r="D58" t="s">
        <v>137</v>
      </c>
      <c r="E58" t="s">
        <v>138</v>
      </c>
      <c r="F58">
        <v>45</v>
      </c>
      <c r="G58" s="2">
        <v>41000000</v>
      </c>
      <c r="H58" t="s">
        <v>386</v>
      </c>
      <c r="I58" t="s">
        <v>330</v>
      </c>
      <c r="J58" t="str">
        <f t="shared" si="0"/>
        <v>Westminster; CO</v>
      </c>
      <c r="K58" t="str">
        <f t="shared" si="1"/>
        <v/>
      </c>
      <c r="L58" t="str">
        <f t="shared" si="2"/>
        <v>No</v>
      </c>
      <c r="M58" t="str">
        <f t="shared" si="3"/>
        <v>BLACKJACK PIZZA</v>
      </c>
      <c r="N58" t="s">
        <v>302</v>
      </c>
    </row>
    <row r="59" spans="1:14">
      <c r="A59">
        <v>58</v>
      </c>
      <c r="B59" t="s">
        <v>270</v>
      </c>
      <c r="C59">
        <v>53</v>
      </c>
      <c r="D59" t="s">
        <v>139</v>
      </c>
      <c r="E59" t="s">
        <v>140</v>
      </c>
      <c r="F59">
        <v>40</v>
      </c>
      <c r="G59" s="2">
        <v>40800000</v>
      </c>
      <c r="H59" t="s">
        <v>387</v>
      </c>
      <c r="I59" t="s">
        <v>341</v>
      </c>
      <c r="J59" t="str">
        <f t="shared" si="0"/>
        <v>Homewood; IL</v>
      </c>
      <c r="K59" t="str">
        <f t="shared" si="1"/>
        <v/>
      </c>
      <c r="L59" t="str">
        <f t="shared" si="2"/>
        <v>No</v>
      </c>
      <c r="M59" t="str">
        <f t="shared" si="3"/>
        <v>AURELIO’S PIZZA</v>
      </c>
      <c r="N59" t="s">
        <v>302</v>
      </c>
    </row>
    <row r="60" spans="1:14">
      <c r="A60">
        <v>59</v>
      </c>
      <c r="B60" t="s">
        <v>141</v>
      </c>
      <c r="C60">
        <v>60</v>
      </c>
      <c r="D60" t="s">
        <v>142</v>
      </c>
      <c r="E60" t="s">
        <v>143</v>
      </c>
      <c r="F60">
        <v>40</v>
      </c>
      <c r="G60" s="2">
        <v>40400000</v>
      </c>
      <c r="H60" t="s">
        <v>388</v>
      </c>
      <c r="I60" t="s">
        <v>332</v>
      </c>
      <c r="J60" t="str">
        <f t="shared" si="0"/>
        <v>Bettendord; IA</v>
      </c>
      <c r="K60" t="str">
        <f t="shared" si="1"/>
        <v/>
      </c>
      <c r="L60" t="str">
        <f t="shared" si="2"/>
        <v>No</v>
      </c>
      <c r="M60" t="str">
        <f t="shared" si="3"/>
        <v>HAPPY JOE’S PIZZA</v>
      </c>
      <c r="N60" t="s">
        <v>302</v>
      </c>
    </row>
    <row r="61" spans="1:14">
      <c r="A61">
        <v>60</v>
      </c>
      <c r="B61" t="s">
        <v>271</v>
      </c>
      <c r="C61">
        <v>58</v>
      </c>
      <c r="D61" t="s">
        <v>144</v>
      </c>
      <c r="E61" t="s">
        <v>145</v>
      </c>
      <c r="F61">
        <v>18</v>
      </c>
      <c r="G61" s="2">
        <v>40000000</v>
      </c>
      <c r="H61" t="s">
        <v>389</v>
      </c>
      <c r="I61" t="s">
        <v>390</v>
      </c>
      <c r="J61" t="str">
        <f t="shared" si="0"/>
        <v>Albany; OR</v>
      </c>
      <c r="K61" t="str">
        <f t="shared" si="1"/>
        <v/>
      </c>
      <c r="L61" t="str">
        <f t="shared" si="2"/>
        <v>No</v>
      </c>
      <c r="M61" t="str">
        <f t="shared" si="3"/>
        <v>IZZY’S</v>
      </c>
      <c r="N61" t="s">
        <v>302</v>
      </c>
    </row>
    <row r="62" spans="1:14">
      <c r="A62">
        <v>61</v>
      </c>
      <c r="B62" t="s">
        <v>272</v>
      </c>
      <c r="C62">
        <v>59</v>
      </c>
      <c r="D62" t="s">
        <v>146</v>
      </c>
      <c r="E62" t="s">
        <v>147</v>
      </c>
      <c r="F62">
        <v>26</v>
      </c>
      <c r="G62" s="2">
        <v>40000000</v>
      </c>
      <c r="H62" t="s">
        <v>391</v>
      </c>
      <c r="I62" t="s">
        <v>392</v>
      </c>
      <c r="J62" t="str">
        <f t="shared" si="0"/>
        <v>Charlotte; NC</v>
      </c>
      <c r="K62" t="str">
        <f t="shared" si="1"/>
        <v/>
      </c>
      <c r="L62" t="str">
        <f t="shared" si="2"/>
        <v>No</v>
      </c>
      <c r="M62" t="str">
        <f t="shared" si="3"/>
        <v>BRIXX WOOD-FIRED PIZZA</v>
      </c>
      <c r="N62" t="s">
        <v>302</v>
      </c>
    </row>
    <row r="63" spans="1:14">
      <c r="A63">
        <v>62</v>
      </c>
      <c r="B63" t="s">
        <v>273</v>
      </c>
      <c r="C63">
        <v>55</v>
      </c>
      <c r="D63" t="s">
        <v>148</v>
      </c>
      <c r="E63" t="s">
        <v>149</v>
      </c>
      <c r="F63">
        <v>67</v>
      </c>
      <c r="G63" s="2">
        <v>39500000</v>
      </c>
      <c r="H63" t="s">
        <v>393</v>
      </c>
      <c r="I63" t="s">
        <v>394</v>
      </c>
      <c r="J63" t="str">
        <f t="shared" si="0"/>
        <v>Whitewater; WI</v>
      </c>
      <c r="K63" t="str">
        <f t="shared" si="1"/>
        <v/>
      </c>
      <c r="L63" t="str">
        <f t="shared" si="2"/>
        <v>No</v>
      </c>
      <c r="M63" t="str">
        <f t="shared" si="3"/>
        <v>TOPPERS PIZZA</v>
      </c>
      <c r="N63" t="s">
        <v>302</v>
      </c>
    </row>
    <row r="64" spans="1:14">
      <c r="A64">
        <v>63</v>
      </c>
      <c r="B64" t="s">
        <v>274</v>
      </c>
      <c r="C64">
        <v>45</v>
      </c>
      <c r="D64" t="s">
        <v>150</v>
      </c>
      <c r="E64" t="s">
        <v>151</v>
      </c>
      <c r="F64">
        <v>78</v>
      </c>
      <c r="G64" s="2">
        <v>39390000</v>
      </c>
      <c r="H64" t="s">
        <v>395</v>
      </c>
      <c r="I64" t="s">
        <v>362</v>
      </c>
      <c r="J64" t="str">
        <f t="shared" si="0"/>
        <v>Lafayette; IN</v>
      </c>
      <c r="K64" t="str">
        <f t="shared" si="1"/>
        <v/>
      </c>
      <c r="L64" t="str">
        <f t="shared" si="2"/>
        <v>No</v>
      </c>
      <c r="M64" t="str">
        <f t="shared" si="3"/>
        <v>PIZZA KING</v>
      </c>
      <c r="N64" t="s">
        <v>302</v>
      </c>
    </row>
    <row r="65" spans="1:14">
      <c r="A65">
        <v>64</v>
      </c>
      <c r="B65" t="s">
        <v>152</v>
      </c>
      <c r="C65">
        <v>68</v>
      </c>
      <c r="D65" t="s">
        <v>153</v>
      </c>
      <c r="E65" t="s">
        <v>154</v>
      </c>
      <c r="F65">
        <v>24</v>
      </c>
      <c r="G65" s="2">
        <v>39000000</v>
      </c>
      <c r="H65" t="s">
        <v>396</v>
      </c>
      <c r="I65" t="s">
        <v>319</v>
      </c>
      <c r="J65" t="str">
        <f t="shared" si="0"/>
        <v>Los Gatos; CA</v>
      </c>
      <c r="K65" t="str">
        <f t="shared" si="1"/>
        <v/>
      </c>
      <c r="L65" t="str">
        <f t="shared" si="2"/>
        <v>No</v>
      </c>
      <c r="M65" t="str">
        <f t="shared" si="3"/>
        <v>PIZZA MY HEART</v>
      </c>
      <c r="N65" t="s">
        <v>302</v>
      </c>
    </row>
    <row r="66" spans="1:14">
      <c r="A66">
        <v>65</v>
      </c>
      <c r="B66" t="s">
        <v>275</v>
      </c>
      <c r="C66">
        <v>40</v>
      </c>
      <c r="D66" t="s">
        <v>155</v>
      </c>
      <c r="E66" t="s">
        <v>156</v>
      </c>
      <c r="F66">
        <v>41</v>
      </c>
      <c r="G66" s="2">
        <v>37800000</v>
      </c>
      <c r="H66" t="s">
        <v>397</v>
      </c>
      <c r="I66" t="s">
        <v>312</v>
      </c>
      <c r="J66" t="str">
        <f t="shared" si="0"/>
        <v>Roseville; MI</v>
      </c>
      <c r="K66" t="str">
        <f t="shared" si="1"/>
        <v/>
      </c>
      <c r="L66" t="str">
        <f t="shared" si="2"/>
        <v>No</v>
      </c>
      <c r="M66" t="str">
        <f t="shared" si="3"/>
        <v>BUSCEMI’S PIZZA</v>
      </c>
      <c r="N66" t="s">
        <v>302</v>
      </c>
    </row>
    <row r="67" spans="1:14">
      <c r="A67">
        <v>66</v>
      </c>
      <c r="B67" t="s">
        <v>276</v>
      </c>
      <c r="C67">
        <v>62</v>
      </c>
      <c r="D67" t="s">
        <v>157</v>
      </c>
      <c r="E67" t="s">
        <v>158</v>
      </c>
      <c r="F67">
        <v>36</v>
      </c>
      <c r="G67" s="2">
        <v>37000000</v>
      </c>
      <c r="H67" t="s">
        <v>398</v>
      </c>
      <c r="I67" t="s">
        <v>319</v>
      </c>
      <c r="J67" t="str">
        <f t="shared" ref="J67:J104" si="4">_xlfn.CONCAT(H67,";", "",I67)</f>
        <v>Tustin; CA</v>
      </c>
      <c r="K67" t="str">
        <f t="shared" ref="K67:K104" si="5">IF(F67&gt;$F$103, "Yes", "")</f>
        <v/>
      </c>
      <c r="L67" t="str">
        <f t="shared" ref="L67:L104" si="6">IF(G67&gt;$G$103, "Yes", "No")</f>
        <v>No</v>
      </c>
      <c r="M67" t="str">
        <f t="shared" ref="M67:M104" si="7">UPPER(B67)</f>
        <v>LAMPPOST PIZZA</v>
      </c>
      <c r="N67" t="s">
        <v>302</v>
      </c>
    </row>
    <row r="68" spans="1:14">
      <c r="A68">
        <v>67</v>
      </c>
      <c r="B68" t="s">
        <v>277</v>
      </c>
      <c r="C68">
        <v>63</v>
      </c>
      <c r="D68" t="s">
        <v>159</v>
      </c>
      <c r="E68" t="s">
        <v>160</v>
      </c>
      <c r="F68">
        <v>40</v>
      </c>
      <c r="G68" s="2">
        <v>37000000</v>
      </c>
      <c r="H68" t="s">
        <v>399</v>
      </c>
      <c r="I68" t="s">
        <v>394</v>
      </c>
      <c r="J68" t="str">
        <f t="shared" si="4"/>
        <v>Oconomowoc; WI</v>
      </c>
      <c r="K68" t="str">
        <f t="shared" si="5"/>
        <v/>
      </c>
      <c r="L68" t="str">
        <f t="shared" si="6"/>
        <v>No</v>
      </c>
      <c r="M68" t="str">
        <f t="shared" si="7"/>
        <v>ROCKY ROCOCO</v>
      </c>
      <c r="N68" t="s">
        <v>302</v>
      </c>
    </row>
    <row r="69" spans="1:14">
      <c r="A69">
        <v>68</v>
      </c>
      <c r="B69" t="s">
        <v>161</v>
      </c>
      <c r="C69">
        <v>91</v>
      </c>
      <c r="D69" t="s">
        <v>162</v>
      </c>
      <c r="E69" t="s">
        <v>163</v>
      </c>
      <c r="F69">
        <v>34</v>
      </c>
      <c r="G69" s="2">
        <v>36800000</v>
      </c>
      <c r="H69" t="s">
        <v>400</v>
      </c>
      <c r="I69" t="s">
        <v>341</v>
      </c>
      <c r="J69" t="str">
        <f t="shared" si="4"/>
        <v>Mokena; IL</v>
      </c>
      <c r="K69" t="str">
        <f t="shared" si="5"/>
        <v/>
      </c>
      <c r="L69" t="str">
        <f t="shared" si="6"/>
        <v>No</v>
      </c>
      <c r="M69" t="str">
        <f t="shared" si="7"/>
        <v>NANCY’S PIZZA</v>
      </c>
      <c r="N69" t="s">
        <v>302</v>
      </c>
    </row>
    <row r="70" spans="1:14">
      <c r="A70">
        <v>69</v>
      </c>
      <c r="B70" t="s">
        <v>164</v>
      </c>
      <c r="C70">
        <v>67</v>
      </c>
      <c r="D70" t="s">
        <v>165</v>
      </c>
      <c r="E70" t="s">
        <v>166</v>
      </c>
      <c r="F70">
        <v>57</v>
      </c>
      <c r="G70" s="2">
        <v>36550000</v>
      </c>
      <c r="H70" t="s">
        <v>401</v>
      </c>
      <c r="I70" t="s">
        <v>319</v>
      </c>
      <c r="J70" t="str">
        <f t="shared" si="4"/>
        <v>Canoga Park; CA</v>
      </c>
      <c r="K70" t="str">
        <f t="shared" si="5"/>
        <v/>
      </c>
      <c r="L70" t="str">
        <f t="shared" si="6"/>
        <v>No</v>
      </c>
      <c r="M70" t="str">
        <f t="shared" si="7"/>
        <v>AMECI PIZZA AND PASTA</v>
      </c>
      <c r="N70" t="s">
        <v>302</v>
      </c>
    </row>
    <row r="71" spans="1:14">
      <c r="A71">
        <v>70</v>
      </c>
      <c r="B71" t="s">
        <v>167</v>
      </c>
      <c r="D71" t="s">
        <v>168</v>
      </c>
      <c r="E71" t="s">
        <v>67</v>
      </c>
      <c r="F71">
        <v>14</v>
      </c>
      <c r="G71" s="2">
        <v>35600000</v>
      </c>
      <c r="H71" t="s">
        <v>348</v>
      </c>
      <c r="I71" t="s">
        <v>349</v>
      </c>
      <c r="J71" t="str">
        <f t="shared" si="4"/>
        <v>Tulsa; OK</v>
      </c>
      <c r="K71" t="str">
        <f t="shared" si="5"/>
        <v/>
      </c>
      <c r="L71" t="str">
        <f t="shared" si="6"/>
        <v>No</v>
      </c>
      <c r="M71" t="str">
        <f t="shared" si="7"/>
        <v>HIDEAWAY PIZZA</v>
      </c>
      <c r="N71" t="s">
        <v>302</v>
      </c>
    </row>
    <row r="72" spans="1:14">
      <c r="A72">
        <v>71</v>
      </c>
      <c r="B72" t="s">
        <v>278</v>
      </c>
      <c r="C72">
        <v>70</v>
      </c>
      <c r="D72" t="s">
        <v>169</v>
      </c>
      <c r="E72" t="s">
        <v>170</v>
      </c>
      <c r="F72">
        <v>74</v>
      </c>
      <c r="G72" s="2">
        <v>35150000</v>
      </c>
      <c r="H72" t="s">
        <v>402</v>
      </c>
      <c r="I72" t="s">
        <v>321</v>
      </c>
      <c r="J72" t="str">
        <f t="shared" si="4"/>
        <v>Lima; OH</v>
      </c>
      <c r="K72" t="str">
        <f t="shared" si="5"/>
        <v/>
      </c>
      <c r="L72" t="str">
        <f t="shared" si="6"/>
        <v>No</v>
      </c>
      <c r="M72" t="str">
        <f t="shared" si="7"/>
        <v>EAST OF CHICAGO PIZZA</v>
      </c>
      <c r="N72" t="s">
        <v>302</v>
      </c>
    </row>
    <row r="73" spans="1:14">
      <c r="A73">
        <v>72</v>
      </c>
      <c r="B73" t="s">
        <v>279</v>
      </c>
      <c r="C73">
        <v>64</v>
      </c>
      <c r="D73" t="s">
        <v>171</v>
      </c>
      <c r="E73" t="s">
        <v>172</v>
      </c>
      <c r="F73">
        <v>11</v>
      </c>
      <c r="G73" s="2">
        <v>35000000</v>
      </c>
      <c r="H73" t="s">
        <v>403</v>
      </c>
      <c r="I73" t="s">
        <v>357</v>
      </c>
      <c r="J73" t="str">
        <f t="shared" si="4"/>
        <v>Springfield; MO</v>
      </c>
      <c r="K73" t="str">
        <f t="shared" si="5"/>
        <v/>
      </c>
      <c r="L73" t="str">
        <f t="shared" si="6"/>
        <v>No</v>
      </c>
      <c r="M73" t="str">
        <f t="shared" si="7"/>
        <v>AMERICA’S INCREDIBLE PIZZA</v>
      </c>
      <c r="N73" t="s">
        <v>302</v>
      </c>
    </row>
    <row r="74" spans="1:14">
      <c r="A74">
        <v>73</v>
      </c>
      <c r="B74" t="s">
        <v>280</v>
      </c>
      <c r="C74">
        <v>79</v>
      </c>
      <c r="D74" t="s">
        <v>173</v>
      </c>
      <c r="E74" t="s">
        <v>174</v>
      </c>
      <c r="F74">
        <v>17</v>
      </c>
      <c r="G74" s="2">
        <v>32867000</v>
      </c>
      <c r="H74" t="s">
        <v>404</v>
      </c>
      <c r="I74" t="s">
        <v>321</v>
      </c>
      <c r="J74" t="str">
        <f t="shared" si="4"/>
        <v>Canfield; OH</v>
      </c>
      <c r="K74" t="str">
        <f t="shared" si="5"/>
        <v/>
      </c>
      <c r="L74" t="str">
        <f t="shared" si="6"/>
        <v>No</v>
      </c>
      <c r="M74" t="str">
        <f t="shared" si="7"/>
        <v>BELLERIA PIZZERIA</v>
      </c>
      <c r="N74" t="s">
        <v>302</v>
      </c>
    </row>
    <row r="75" spans="1:14">
      <c r="A75">
        <v>74</v>
      </c>
      <c r="B75" t="s">
        <v>281</v>
      </c>
      <c r="C75">
        <v>75</v>
      </c>
      <c r="D75" t="s">
        <v>175</v>
      </c>
      <c r="E75" t="s">
        <v>176</v>
      </c>
      <c r="F75">
        <v>23</v>
      </c>
      <c r="G75" s="2">
        <v>32857000</v>
      </c>
      <c r="H75" t="s">
        <v>405</v>
      </c>
      <c r="I75" t="s">
        <v>334</v>
      </c>
      <c r="J75" t="str">
        <f t="shared" si="4"/>
        <v>Woburn; MA</v>
      </c>
      <c r="K75" t="str">
        <f t="shared" si="5"/>
        <v/>
      </c>
      <c r="L75" t="str">
        <f t="shared" si="6"/>
        <v>No</v>
      </c>
      <c r="M75" t="str">
        <f t="shared" si="7"/>
        <v>PIZZERIA REGINA/POLCARI’S RESTAURANT</v>
      </c>
      <c r="N75" t="s">
        <v>302</v>
      </c>
    </row>
    <row r="76" spans="1:14">
      <c r="A76">
        <v>75</v>
      </c>
      <c r="B76" t="s">
        <v>177</v>
      </c>
      <c r="C76">
        <v>77</v>
      </c>
      <c r="D76" t="s">
        <v>178</v>
      </c>
      <c r="E76" t="s">
        <v>179</v>
      </c>
      <c r="F76">
        <v>17</v>
      </c>
      <c r="G76" s="2">
        <v>32633488</v>
      </c>
      <c r="H76" t="s">
        <v>406</v>
      </c>
      <c r="I76" t="s">
        <v>319</v>
      </c>
      <c r="J76" t="str">
        <f t="shared" si="4"/>
        <v>San Clemente; CA</v>
      </c>
      <c r="K76" t="str">
        <f t="shared" si="5"/>
        <v/>
      </c>
      <c r="L76" t="str">
        <f t="shared" si="6"/>
        <v>No</v>
      </c>
      <c r="M76" t="str">
        <f t="shared" si="7"/>
        <v>OGGI’S PIZZA &amp; BREWING COMPANY</v>
      </c>
      <c r="N76" t="s">
        <v>302</v>
      </c>
    </row>
    <row r="77" spans="1:14">
      <c r="A77">
        <v>76</v>
      </c>
      <c r="B77" t="s">
        <v>180</v>
      </c>
      <c r="C77">
        <v>96</v>
      </c>
      <c r="D77" t="s">
        <v>181</v>
      </c>
      <c r="E77" t="s">
        <v>182</v>
      </c>
      <c r="F77">
        <v>45</v>
      </c>
      <c r="G77" s="2">
        <v>32077000</v>
      </c>
      <c r="H77" t="s">
        <v>407</v>
      </c>
      <c r="I77" t="s">
        <v>408</v>
      </c>
      <c r="J77" t="str">
        <f t="shared" si="4"/>
        <v>West Monroe; LA</v>
      </c>
      <c r="K77" t="str">
        <f t="shared" si="5"/>
        <v/>
      </c>
      <c r="L77" t="str">
        <f t="shared" si="6"/>
        <v>No</v>
      </c>
      <c r="M77" t="str">
        <f t="shared" si="7"/>
        <v>JOHNNY’S PIZZA HOUSE</v>
      </c>
      <c r="N77" t="s">
        <v>302</v>
      </c>
    </row>
    <row r="78" spans="1:14">
      <c r="A78">
        <v>77</v>
      </c>
      <c r="B78" t="s">
        <v>282</v>
      </c>
      <c r="C78">
        <v>72</v>
      </c>
      <c r="D78" t="s">
        <v>183</v>
      </c>
      <c r="E78" t="s">
        <v>46</v>
      </c>
      <c r="F78">
        <v>49</v>
      </c>
      <c r="G78" s="2">
        <v>32000000</v>
      </c>
      <c r="H78" t="s">
        <v>337</v>
      </c>
      <c r="I78" t="s">
        <v>338</v>
      </c>
      <c r="J78" t="str">
        <f t="shared" si="4"/>
        <v>Atlanta; GA</v>
      </c>
      <c r="K78" t="str">
        <f t="shared" si="5"/>
        <v/>
      </c>
      <c r="L78" t="str">
        <f t="shared" si="6"/>
        <v>No</v>
      </c>
      <c r="M78" t="str">
        <f t="shared" si="7"/>
        <v>STEVI’ B’S PIZZA</v>
      </c>
      <c r="N78" t="s">
        <v>302</v>
      </c>
    </row>
    <row r="79" spans="1:14">
      <c r="A79">
        <v>78</v>
      </c>
      <c r="B79" t="s">
        <v>283</v>
      </c>
      <c r="C79">
        <v>74</v>
      </c>
      <c r="D79" t="s">
        <v>184</v>
      </c>
      <c r="E79" t="s">
        <v>185</v>
      </c>
      <c r="F79">
        <v>21</v>
      </c>
      <c r="G79" s="2">
        <v>31500000</v>
      </c>
      <c r="H79" t="s">
        <v>409</v>
      </c>
      <c r="I79" t="s">
        <v>410</v>
      </c>
      <c r="J79" t="str">
        <f t="shared" si="4"/>
        <v>Minneapolis; MN</v>
      </c>
      <c r="K79" t="str">
        <f t="shared" si="5"/>
        <v/>
      </c>
      <c r="L79" t="str">
        <f t="shared" si="6"/>
        <v>No</v>
      </c>
      <c r="M79" t="str">
        <f t="shared" si="7"/>
        <v>DAVANNI’S PIZZA &amp; HOT HOAGIES</v>
      </c>
      <c r="N79" t="s">
        <v>302</v>
      </c>
    </row>
    <row r="80" spans="1:14">
      <c r="A80">
        <v>79</v>
      </c>
      <c r="B80" t="s">
        <v>186</v>
      </c>
      <c r="C80">
        <v>88</v>
      </c>
      <c r="D80" t="s">
        <v>187</v>
      </c>
      <c r="E80" t="s">
        <v>188</v>
      </c>
      <c r="F80">
        <v>15</v>
      </c>
      <c r="G80" s="2">
        <v>30296000</v>
      </c>
      <c r="H80" t="s">
        <v>411</v>
      </c>
      <c r="I80" t="s">
        <v>357</v>
      </c>
      <c r="J80" t="str">
        <f t="shared" si="4"/>
        <v>Kansas City; MO</v>
      </c>
      <c r="K80" t="str">
        <f t="shared" si="5"/>
        <v/>
      </c>
      <c r="L80" t="str">
        <f t="shared" si="6"/>
        <v>No</v>
      </c>
      <c r="M80" t="str">
        <f t="shared" si="7"/>
        <v>MINSKY’S PIZZA CAFÉ/BAR</v>
      </c>
      <c r="N80" t="s">
        <v>302</v>
      </c>
    </row>
    <row r="81" spans="1:14">
      <c r="A81">
        <v>80</v>
      </c>
      <c r="B81" t="s">
        <v>189</v>
      </c>
      <c r="C81">
        <v>83</v>
      </c>
      <c r="D81" t="s">
        <v>190</v>
      </c>
      <c r="E81" t="s">
        <v>191</v>
      </c>
      <c r="F81">
        <v>11</v>
      </c>
      <c r="G81" s="2">
        <v>30000000</v>
      </c>
      <c r="H81" t="s">
        <v>412</v>
      </c>
      <c r="I81" t="s">
        <v>312</v>
      </c>
      <c r="J81" t="str">
        <f t="shared" si="4"/>
        <v>Farmington Hills; MI</v>
      </c>
      <c r="K81" t="str">
        <f t="shared" si="5"/>
        <v/>
      </c>
      <c r="L81" t="str">
        <f t="shared" si="6"/>
        <v>No</v>
      </c>
      <c r="M81" t="str">
        <f t="shared" si="7"/>
        <v>BUDDY’S PIZZA</v>
      </c>
      <c r="N81" t="s">
        <v>302</v>
      </c>
    </row>
    <row r="82" spans="1:14">
      <c r="A82">
        <v>81</v>
      </c>
      <c r="B82" t="s">
        <v>192</v>
      </c>
      <c r="C82">
        <v>66</v>
      </c>
      <c r="D82" t="s">
        <v>193</v>
      </c>
      <c r="E82" t="s">
        <v>6</v>
      </c>
      <c r="F82">
        <v>51</v>
      </c>
      <c r="G82" s="2">
        <v>30000000</v>
      </c>
      <c r="H82" t="s">
        <v>311</v>
      </c>
      <c r="I82" t="s">
        <v>312</v>
      </c>
      <c r="J82" t="str">
        <f t="shared" si="4"/>
        <v>Ann Arbor; MI</v>
      </c>
      <c r="K82" t="str">
        <f t="shared" si="5"/>
        <v/>
      </c>
      <c r="L82" t="str">
        <f t="shared" si="6"/>
        <v>No</v>
      </c>
      <c r="M82" t="str">
        <f t="shared" si="7"/>
        <v>COTTAGE INN PIZZA</v>
      </c>
      <c r="N82" t="s">
        <v>302</v>
      </c>
    </row>
    <row r="83" spans="1:14">
      <c r="A83">
        <v>82</v>
      </c>
      <c r="B83" t="s">
        <v>284</v>
      </c>
      <c r="C83">
        <v>76</v>
      </c>
      <c r="D83" t="s">
        <v>194</v>
      </c>
      <c r="E83" t="s">
        <v>195</v>
      </c>
      <c r="F83">
        <v>34</v>
      </c>
      <c r="G83" s="2">
        <v>29700000</v>
      </c>
      <c r="H83" t="s">
        <v>413</v>
      </c>
      <c r="I83" t="s">
        <v>310</v>
      </c>
      <c r="J83" t="str">
        <f t="shared" si="4"/>
        <v>Houston; TX</v>
      </c>
      <c r="K83" t="str">
        <f t="shared" si="5"/>
        <v/>
      </c>
      <c r="L83" t="str">
        <f t="shared" si="6"/>
        <v>No</v>
      </c>
      <c r="M83" t="str">
        <f t="shared" si="7"/>
        <v>RUSSO’S NEW YORK PIZZERIA/NEW YORK PIZZERIA</v>
      </c>
      <c r="N83" t="s">
        <v>302</v>
      </c>
    </row>
    <row r="84" spans="1:14">
      <c r="A84">
        <v>83</v>
      </c>
      <c r="B84" t="s">
        <v>285</v>
      </c>
      <c r="C84">
        <v>78</v>
      </c>
      <c r="D84" t="s">
        <v>196</v>
      </c>
      <c r="E84" t="s">
        <v>197</v>
      </c>
      <c r="F84">
        <v>13</v>
      </c>
      <c r="G84" s="2">
        <v>29000000</v>
      </c>
      <c r="H84" t="s">
        <v>414</v>
      </c>
      <c r="I84" t="s">
        <v>353</v>
      </c>
      <c r="J84" t="str">
        <f t="shared" si="4"/>
        <v>Towson; MD</v>
      </c>
      <c r="K84" t="str">
        <f t="shared" si="5"/>
        <v/>
      </c>
      <c r="L84" t="str">
        <f t="shared" si="6"/>
        <v>No</v>
      </c>
      <c r="M84" t="str">
        <f t="shared" si="7"/>
        <v>MAMMA ILARDO’S PIZZERIA</v>
      </c>
      <c r="N84" t="s">
        <v>302</v>
      </c>
    </row>
    <row r="85" spans="1:14">
      <c r="A85">
        <v>84</v>
      </c>
      <c r="B85" t="s">
        <v>286</v>
      </c>
      <c r="C85">
        <v>81</v>
      </c>
      <c r="D85" t="s">
        <v>198</v>
      </c>
      <c r="E85" t="s">
        <v>199</v>
      </c>
      <c r="F85">
        <v>39</v>
      </c>
      <c r="G85" s="2">
        <v>29000000</v>
      </c>
      <c r="H85" t="s">
        <v>415</v>
      </c>
      <c r="I85" t="s">
        <v>410</v>
      </c>
      <c r="J85" t="str">
        <f t="shared" si="4"/>
        <v>Willmar; MN</v>
      </c>
      <c r="K85" t="str">
        <f t="shared" si="5"/>
        <v/>
      </c>
      <c r="L85" t="str">
        <f t="shared" si="6"/>
        <v>No</v>
      </c>
      <c r="M85" t="str">
        <f t="shared" si="7"/>
        <v>JIMMY’S PIZZA</v>
      </c>
      <c r="N85" t="s">
        <v>302</v>
      </c>
    </row>
    <row r="86" spans="1:14">
      <c r="A86">
        <v>85</v>
      </c>
      <c r="B86" t="s">
        <v>287</v>
      </c>
      <c r="C86">
        <v>82</v>
      </c>
      <c r="D86" t="s">
        <v>200</v>
      </c>
      <c r="E86" t="s">
        <v>201</v>
      </c>
      <c r="F86">
        <v>19</v>
      </c>
      <c r="G86" s="2">
        <v>28500000</v>
      </c>
      <c r="H86" t="s">
        <v>416</v>
      </c>
      <c r="I86" t="s">
        <v>319</v>
      </c>
      <c r="J86" t="str">
        <f t="shared" si="4"/>
        <v>Sonoma; CA</v>
      </c>
      <c r="K86" t="str">
        <f t="shared" si="5"/>
        <v/>
      </c>
      <c r="L86" t="str">
        <f t="shared" si="6"/>
        <v>No</v>
      </c>
      <c r="M86" t="str">
        <f t="shared" si="7"/>
        <v>MARY’S PIZZA SHACK</v>
      </c>
      <c r="N86" t="s">
        <v>302</v>
      </c>
    </row>
    <row r="87" spans="1:14">
      <c r="A87">
        <v>86</v>
      </c>
      <c r="B87" t="s">
        <v>202</v>
      </c>
      <c r="C87">
        <v>90</v>
      </c>
      <c r="D87" t="s">
        <v>203</v>
      </c>
      <c r="E87" t="s">
        <v>204</v>
      </c>
      <c r="F87">
        <v>35</v>
      </c>
      <c r="G87" s="2">
        <v>27600000</v>
      </c>
      <c r="H87" t="s">
        <v>417</v>
      </c>
      <c r="I87" t="s">
        <v>390</v>
      </c>
      <c r="J87" t="str">
        <f t="shared" si="4"/>
        <v>Eugene; OR</v>
      </c>
      <c r="K87" t="str">
        <f t="shared" si="5"/>
        <v/>
      </c>
      <c r="L87" t="str">
        <f t="shared" si="6"/>
        <v>No</v>
      </c>
      <c r="M87" t="str">
        <f t="shared" si="7"/>
        <v>ABBY’S LEGENDARY PIZZA</v>
      </c>
      <c r="N87" t="s">
        <v>302</v>
      </c>
    </row>
    <row r="88" spans="1:14">
      <c r="A88">
        <v>87</v>
      </c>
      <c r="B88" t="s">
        <v>288</v>
      </c>
      <c r="D88" t="s">
        <v>205</v>
      </c>
      <c r="E88" t="s">
        <v>44</v>
      </c>
      <c r="F88">
        <v>15</v>
      </c>
      <c r="G88" s="2">
        <v>25380000</v>
      </c>
      <c r="H88" t="s">
        <v>335</v>
      </c>
      <c r="I88" t="s">
        <v>336</v>
      </c>
      <c r="J88" t="str">
        <f t="shared" si="4"/>
        <v>Phoenix; AZ</v>
      </c>
      <c r="K88" t="str">
        <f t="shared" si="5"/>
        <v/>
      </c>
      <c r="L88" t="str">
        <f t="shared" si="6"/>
        <v>No</v>
      </c>
      <c r="M88" t="str">
        <f t="shared" si="7"/>
        <v>OREGANO’S PIZZA BISTRO</v>
      </c>
      <c r="N88" t="s">
        <v>302</v>
      </c>
    </row>
    <row r="89" spans="1:14">
      <c r="A89">
        <v>88</v>
      </c>
      <c r="B89" t="s">
        <v>289</v>
      </c>
      <c r="C89">
        <v>84</v>
      </c>
      <c r="D89" t="s">
        <v>206</v>
      </c>
      <c r="E89" t="s">
        <v>207</v>
      </c>
      <c r="F89">
        <v>33</v>
      </c>
      <c r="G89" s="2">
        <v>25235000</v>
      </c>
      <c r="H89" t="s">
        <v>418</v>
      </c>
      <c r="I89" t="s">
        <v>321</v>
      </c>
      <c r="J89" t="str">
        <f t="shared" si="4"/>
        <v>Kettering; OH</v>
      </c>
      <c r="K89" t="str">
        <f t="shared" si="5"/>
        <v/>
      </c>
      <c r="L89" t="str">
        <f t="shared" si="6"/>
        <v>No</v>
      </c>
      <c r="M89" t="str">
        <f t="shared" si="7"/>
        <v>CASSANO’S PIZZA KING</v>
      </c>
      <c r="N89" t="s">
        <v>302</v>
      </c>
    </row>
    <row r="90" spans="1:14">
      <c r="A90">
        <v>89</v>
      </c>
      <c r="B90" t="s">
        <v>290</v>
      </c>
      <c r="C90">
        <v>89</v>
      </c>
      <c r="D90" t="s">
        <v>208</v>
      </c>
      <c r="E90" t="s">
        <v>209</v>
      </c>
      <c r="F90">
        <v>41</v>
      </c>
      <c r="G90" s="2">
        <v>25000000</v>
      </c>
      <c r="H90" t="s">
        <v>419</v>
      </c>
      <c r="I90" t="s">
        <v>319</v>
      </c>
      <c r="J90" t="str">
        <f t="shared" si="4"/>
        <v>San Rafael; CA</v>
      </c>
      <c r="K90" t="str">
        <f t="shared" si="5"/>
        <v/>
      </c>
      <c r="L90" t="str">
        <f t="shared" si="6"/>
        <v>No</v>
      </c>
      <c r="M90" t="str">
        <f t="shared" si="7"/>
        <v>EXTREME PIZZA</v>
      </c>
      <c r="N90" t="s">
        <v>302</v>
      </c>
    </row>
    <row r="91" spans="1:14">
      <c r="A91">
        <v>90</v>
      </c>
      <c r="B91" t="s">
        <v>291</v>
      </c>
      <c r="C91">
        <v>95</v>
      </c>
      <c r="D91" t="s">
        <v>210</v>
      </c>
      <c r="E91" t="s">
        <v>211</v>
      </c>
      <c r="F91">
        <v>20</v>
      </c>
      <c r="G91" s="2">
        <v>24705000</v>
      </c>
      <c r="H91" t="s">
        <v>420</v>
      </c>
      <c r="I91" t="s">
        <v>421</v>
      </c>
      <c r="J91" t="str">
        <f t="shared" si="4"/>
        <v>Albuquerque; NM</v>
      </c>
      <c r="K91" t="str">
        <f t="shared" si="5"/>
        <v/>
      </c>
      <c r="L91" t="str">
        <f t="shared" si="6"/>
        <v>No</v>
      </c>
      <c r="M91" t="str">
        <f t="shared" si="7"/>
        <v>DION’S PIZZA</v>
      </c>
      <c r="N91" t="s">
        <v>302</v>
      </c>
    </row>
    <row r="92" spans="1:14">
      <c r="A92">
        <v>91</v>
      </c>
      <c r="B92" t="s">
        <v>212</v>
      </c>
      <c r="C92">
        <v>94</v>
      </c>
      <c r="D92" t="s">
        <v>213</v>
      </c>
      <c r="E92" t="s">
        <v>214</v>
      </c>
      <c r="F92">
        <v>33</v>
      </c>
      <c r="G92" s="2">
        <v>23650000</v>
      </c>
      <c r="H92" t="s">
        <v>422</v>
      </c>
      <c r="I92" t="s">
        <v>321</v>
      </c>
      <c r="J92" t="str">
        <f t="shared" si="4"/>
        <v>Medina; OH</v>
      </c>
      <c r="K92" t="str">
        <f t="shared" si="5"/>
        <v/>
      </c>
      <c r="L92" t="str">
        <f t="shared" si="6"/>
        <v>No</v>
      </c>
      <c r="M92" t="str">
        <f t="shared" si="7"/>
        <v>ROMEO’S PIZZA</v>
      </c>
      <c r="N92" t="s">
        <v>302</v>
      </c>
    </row>
    <row r="93" spans="1:14">
      <c r="A93">
        <v>92</v>
      </c>
      <c r="B93" t="s">
        <v>215</v>
      </c>
      <c r="C93">
        <v>92</v>
      </c>
      <c r="D93" t="s">
        <v>216</v>
      </c>
      <c r="E93" t="s">
        <v>217</v>
      </c>
      <c r="F93">
        <v>63</v>
      </c>
      <c r="G93" s="2">
        <v>23635000</v>
      </c>
      <c r="H93" t="s">
        <v>423</v>
      </c>
      <c r="I93" t="s">
        <v>367</v>
      </c>
      <c r="J93" t="str">
        <f t="shared" si="4"/>
        <v>Burlington; KY</v>
      </c>
      <c r="K93" t="str">
        <f t="shared" si="5"/>
        <v/>
      </c>
      <c r="L93" t="str">
        <f t="shared" si="6"/>
        <v>No</v>
      </c>
      <c r="M93" t="str">
        <f t="shared" si="7"/>
        <v>SNAPPY TOMATO PIZZA</v>
      </c>
      <c r="N93" t="s">
        <v>302</v>
      </c>
    </row>
    <row r="94" spans="1:14">
      <c r="A94">
        <v>93</v>
      </c>
      <c r="B94" t="s">
        <v>218</v>
      </c>
      <c r="D94" t="s">
        <v>219</v>
      </c>
      <c r="E94" t="s">
        <v>220</v>
      </c>
      <c r="F94">
        <v>58</v>
      </c>
      <c r="G94" s="2">
        <v>23500000</v>
      </c>
      <c r="H94" t="s">
        <v>424</v>
      </c>
      <c r="I94" t="s">
        <v>425</v>
      </c>
      <c r="J94" t="str">
        <f t="shared" si="4"/>
        <v>Blountsville; TN</v>
      </c>
      <c r="K94" t="str">
        <f t="shared" si="5"/>
        <v/>
      </c>
      <c r="L94" t="str">
        <f t="shared" si="6"/>
        <v>No</v>
      </c>
      <c r="M94" t="str">
        <f t="shared" si="7"/>
        <v>PIZZA PLUS</v>
      </c>
      <c r="N94" t="s">
        <v>302</v>
      </c>
    </row>
    <row r="95" spans="1:14">
      <c r="A95">
        <v>94</v>
      </c>
      <c r="B95" t="s">
        <v>292</v>
      </c>
      <c r="C95">
        <v>93</v>
      </c>
      <c r="D95" t="s">
        <v>221</v>
      </c>
      <c r="E95" t="s">
        <v>222</v>
      </c>
      <c r="F95">
        <v>37</v>
      </c>
      <c r="G95" s="2">
        <v>23000000</v>
      </c>
      <c r="H95" t="s">
        <v>426</v>
      </c>
      <c r="I95" t="s">
        <v>319</v>
      </c>
      <c r="J95" t="str">
        <f t="shared" si="4"/>
        <v>Downey; CA</v>
      </c>
      <c r="K95" t="str">
        <f t="shared" si="5"/>
        <v/>
      </c>
      <c r="L95" t="str">
        <f t="shared" si="6"/>
        <v>No</v>
      </c>
      <c r="M95" t="str">
        <f t="shared" si="7"/>
        <v>LA PIZZA LOCA</v>
      </c>
      <c r="N95" t="s">
        <v>302</v>
      </c>
    </row>
    <row r="96" spans="1:14">
      <c r="A96">
        <v>95</v>
      </c>
      <c r="B96" t="s">
        <v>293</v>
      </c>
      <c r="C96">
        <v>80</v>
      </c>
      <c r="D96" t="s">
        <v>223</v>
      </c>
      <c r="E96" t="s">
        <v>56</v>
      </c>
      <c r="F96">
        <v>48</v>
      </c>
      <c r="G96" s="2">
        <v>21000000</v>
      </c>
      <c r="H96" t="s">
        <v>342</v>
      </c>
      <c r="I96" t="s">
        <v>310</v>
      </c>
      <c r="J96" t="str">
        <f t="shared" si="4"/>
        <v>Austin; TX</v>
      </c>
      <c r="K96" t="str">
        <f t="shared" si="5"/>
        <v/>
      </c>
      <c r="L96" t="str">
        <f t="shared" si="6"/>
        <v>No</v>
      </c>
      <c r="M96" t="str">
        <f t="shared" si="7"/>
        <v>DOUBLEDAVE’S PIEWORKS</v>
      </c>
      <c r="N96" t="s">
        <v>302</v>
      </c>
    </row>
    <row r="97" spans="1:14">
      <c r="A97">
        <v>96</v>
      </c>
      <c r="B97" t="s">
        <v>294</v>
      </c>
      <c r="C97">
        <v>97</v>
      </c>
      <c r="D97" t="s">
        <v>224</v>
      </c>
      <c r="E97" t="s">
        <v>225</v>
      </c>
      <c r="F97">
        <v>35</v>
      </c>
      <c r="G97" s="2">
        <v>20500000</v>
      </c>
      <c r="H97" t="s">
        <v>427</v>
      </c>
      <c r="I97" t="s">
        <v>312</v>
      </c>
      <c r="J97" t="str">
        <f t="shared" si="4"/>
        <v>Boyne City; MI</v>
      </c>
      <c r="K97" t="str">
        <f t="shared" si="5"/>
        <v/>
      </c>
      <c r="L97" t="str">
        <f t="shared" si="6"/>
        <v>No</v>
      </c>
      <c r="M97" t="str">
        <f t="shared" si="7"/>
        <v>BC PIZZA</v>
      </c>
      <c r="N97" t="s">
        <v>302</v>
      </c>
    </row>
    <row r="98" spans="1:14">
      <c r="A98">
        <v>97</v>
      </c>
      <c r="B98" t="s">
        <v>226</v>
      </c>
      <c r="D98" t="s">
        <v>227</v>
      </c>
      <c r="E98" t="s">
        <v>228</v>
      </c>
      <c r="F98">
        <v>30</v>
      </c>
      <c r="G98" s="2">
        <v>20000000</v>
      </c>
      <c r="H98" t="s">
        <v>428</v>
      </c>
      <c r="I98" t="s">
        <v>312</v>
      </c>
      <c r="J98" t="str">
        <f t="shared" si="4"/>
        <v>Portage; MI</v>
      </c>
      <c r="K98" t="str">
        <f t="shared" si="5"/>
        <v/>
      </c>
      <c r="L98" t="str">
        <f t="shared" si="6"/>
        <v>No</v>
      </c>
      <c r="M98" t="str">
        <f t="shared" si="7"/>
        <v>SAMUEL MANCINO’S ITALIAN EATERIES</v>
      </c>
      <c r="N98" t="s">
        <v>302</v>
      </c>
    </row>
    <row r="99" spans="1:14">
      <c r="A99">
        <v>98</v>
      </c>
      <c r="B99" t="s">
        <v>229</v>
      </c>
      <c r="C99">
        <v>87</v>
      </c>
      <c r="D99" t="s">
        <v>230</v>
      </c>
      <c r="E99" t="s">
        <v>231</v>
      </c>
      <c r="F99">
        <v>46</v>
      </c>
      <c r="G99" s="2">
        <v>19980000</v>
      </c>
      <c r="H99" t="s">
        <v>429</v>
      </c>
      <c r="I99" t="s">
        <v>390</v>
      </c>
      <c r="J99" t="str">
        <f t="shared" si="4"/>
        <v>Salem; OR</v>
      </c>
      <c r="K99" t="str">
        <f t="shared" si="5"/>
        <v/>
      </c>
      <c r="L99" t="str">
        <f t="shared" si="6"/>
        <v>No</v>
      </c>
      <c r="M99" t="str">
        <f t="shared" si="7"/>
        <v>FIGARO’S PIZZA</v>
      </c>
      <c r="N99" t="s">
        <v>302</v>
      </c>
    </row>
    <row r="100" spans="1:14">
      <c r="A100">
        <v>99</v>
      </c>
      <c r="B100" t="s">
        <v>295</v>
      </c>
      <c r="C100">
        <v>85</v>
      </c>
      <c r="D100" t="s">
        <v>232</v>
      </c>
      <c r="E100" t="s">
        <v>233</v>
      </c>
      <c r="F100">
        <v>35</v>
      </c>
      <c r="G100" s="2">
        <v>19022000</v>
      </c>
      <c r="H100" t="s">
        <v>430</v>
      </c>
      <c r="I100" t="s">
        <v>319</v>
      </c>
      <c r="J100" t="str">
        <f t="shared" si="4"/>
        <v>San Ramon; CA</v>
      </c>
      <c r="K100" t="str">
        <f t="shared" si="5"/>
        <v/>
      </c>
      <c r="L100" t="str">
        <f t="shared" si="6"/>
        <v>No</v>
      </c>
      <c r="M100" t="str">
        <f t="shared" si="7"/>
        <v>STRAW HAT PIZZA</v>
      </c>
      <c r="N100" t="s">
        <v>302</v>
      </c>
    </row>
    <row r="101" spans="1:14">
      <c r="A101">
        <v>100</v>
      </c>
      <c r="B101" t="s">
        <v>234</v>
      </c>
      <c r="D101" t="s">
        <v>235</v>
      </c>
      <c r="E101" t="s">
        <v>236</v>
      </c>
      <c r="F101">
        <v>13</v>
      </c>
      <c r="G101" s="2">
        <v>19019254</v>
      </c>
      <c r="H101" t="s">
        <v>431</v>
      </c>
      <c r="I101" t="s">
        <v>319</v>
      </c>
      <c r="J101" t="str">
        <f t="shared" si="4"/>
        <v>Los Angeles; CA</v>
      </c>
      <c r="K101" t="str">
        <f t="shared" si="5"/>
        <v/>
      </c>
      <c r="L101" t="str">
        <f t="shared" si="6"/>
        <v>No</v>
      </c>
      <c r="M101" t="str">
        <f t="shared" si="7"/>
        <v>FRESH BROTHERS</v>
      </c>
      <c r="N101" t="s">
        <v>302</v>
      </c>
    </row>
    <row r="102" spans="1:14">
      <c r="A102" s="4" t="s">
        <v>297</v>
      </c>
      <c r="F102">
        <f>SUM(F2:F101)</f>
        <v>50609</v>
      </c>
      <c r="G102" s="2">
        <f>SUM(G2:G101)</f>
        <v>39440738828</v>
      </c>
      <c r="J102" t="str">
        <f t="shared" si="4"/>
        <v>;</v>
      </c>
      <c r="K102" t="str">
        <f t="shared" si="5"/>
        <v>Yes</v>
      </c>
      <c r="L102" t="str">
        <f t="shared" si="6"/>
        <v>Yes</v>
      </c>
      <c r="M102" t="str">
        <f t="shared" si="7"/>
        <v/>
      </c>
    </row>
    <row r="103" spans="1:14">
      <c r="A103" s="4" t="s">
        <v>298</v>
      </c>
      <c r="F103">
        <f>AVERAGE(F2:F101)</f>
        <v>506.09</v>
      </c>
      <c r="G103" s="2">
        <f>AVERAGE(G2:G101)</f>
        <v>394407388.27999997</v>
      </c>
      <c r="J103" t="str">
        <f t="shared" si="4"/>
        <v>;</v>
      </c>
      <c r="K103" t="str">
        <f t="shared" si="5"/>
        <v/>
      </c>
      <c r="L103" t="str">
        <f t="shared" si="6"/>
        <v>No</v>
      </c>
      <c r="M103" t="str">
        <f t="shared" si="7"/>
        <v/>
      </c>
    </row>
    <row r="104" spans="1:14">
      <c r="A104" s="4" t="s">
        <v>299</v>
      </c>
      <c r="F104">
        <f>MIN(F2:F101)</f>
        <v>11</v>
      </c>
      <c r="G104" s="2">
        <f>MIN(G2:G101)</f>
        <v>19019254</v>
      </c>
      <c r="J104" t="str">
        <f t="shared" si="4"/>
        <v>;</v>
      </c>
      <c r="K104" t="str">
        <f t="shared" si="5"/>
        <v/>
      </c>
      <c r="L104" t="str">
        <f t="shared" si="6"/>
        <v>No</v>
      </c>
      <c r="M104" t="str">
        <f t="shared" si="7"/>
        <v/>
      </c>
    </row>
    <row r="105" spans="1:14">
      <c r="A105" s="4" t="s">
        <v>300</v>
      </c>
      <c r="F105">
        <f>MAX(F2:F101)</f>
        <v>15605</v>
      </c>
      <c r="G105" s="2">
        <f>MAX(G2:G101)</f>
        <v>13400000000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Advanced Calculations</vt:lpstr>
      <vt:lpstr>storeUnits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2018-01-03T10:05:41Z</dcterms:created>
  <dcterms:modified xsi:type="dcterms:W3CDTF">2018-07-16T22:35:48Z</dcterms:modified>
</cp:coreProperties>
</file>