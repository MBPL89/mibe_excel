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d01ed0f4ecfdbb64/For_git_changes/excel-grader-content/Keys/intromis/"/>
    </mc:Choice>
  </mc:AlternateContent>
  <xr:revisionPtr revIDLastSave="3" documentId="11_A9AAF1C7C7BB068AEBF150E47E878BE20ED32436" xr6:coauthVersionLast="45" xr6:coauthVersionMax="45" xr10:uidLastSave="{13846AE4-E4EC-4C24-86D4-19BA7FEE9644}"/>
  <workbookProtection lockStructure="1"/>
  <bookViews>
    <workbookView xWindow="-108" yWindow="-108" windowWidth="23256" windowHeight="12576" tabRatio="500" activeTab="3" xr2:uid="{00000000-000D-0000-FFFF-FFFF00000000}"/>
  </bookViews>
  <sheets>
    <sheet name="Parameters" sheetId="18" r:id="rId1"/>
    <sheet name="Drone Delivery " sheetId="21" r:id="rId2"/>
    <sheet name="Market Size" sheetId="13" r:id="rId3"/>
    <sheet name="Pizza Chains by Sales and Units" sheetId="12" r:id="rId4"/>
  </sheets>
  <calcPr calcId="191029" iterate="1" iterateDelta="9.9999999999999995E-7"/>
  <pivotCaches>
    <pivotCache cacheId="3" r:id="rId5"/>
  </pivotCaches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39" i="18" l="1"/>
  <c r="B36" i="18"/>
  <c r="B38" i="18" s="1"/>
  <c r="B40" i="18" s="1"/>
  <c r="B14" i="18"/>
  <c r="B17" i="18" s="1"/>
  <c r="B44" i="18"/>
  <c r="B8" i="18"/>
  <c r="B43" i="18"/>
  <c r="B9" i="18"/>
  <c r="B45" i="18"/>
  <c r="B29" i="18" l="1"/>
  <c r="B30" i="18" s="1"/>
</calcChain>
</file>

<file path=xl/sharedStrings.xml><?xml version="1.0" encoding="utf-8"?>
<sst xmlns="http://schemas.openxmlformats.org/spreadsheetml/2006/main" count="68" uniqueCount="67">
  <si>
    <t>Small</t>
  </si>
  <si>
    <t>Medium</t>
  </si>
  <si>
    <t>Avg Price</t>
  </si>
  <si>
    <t>Avg Weight (lbs)</t>
  </si>
  <si>
    <t>Price</t>
  </si>
  <si>
    <t>Payload capacity (pounds)</t>
  </si>
  <si>
    <t>Max speed (mph)</t>
  </si>
  <si>
    <t>Operating range (miles)</t>
  </si>
  <si>
    <t>Pizza size</t>
  </si>
  <si>
    <t>Hourly wage (considering SS, Medicare)</t>
  </si>
  <si>
    <t>Non-Owned auto insurance and meals / h</t>
  </si>
  <si>
    <t>Flight time autonomy (min)</t>
  </si>
  <si>
    <t xml:space="preserve">Drone Characteristics </t>
  </si>
  <si>
    <t>(http://drones.specout.com/l/1125/DJI-Matrice-600-Pro-M600-Pro)</t>
  </si>
  <si>
    <t xml:space="preserve">Traditional delivery economics </t>
  </si>
  <si>
    <t>(http://www.pizzatoday.com/departments/back-office/cost-of-delivery/)</t>
  </si>
  <si>
    <t>Average time to deliver drone / h</t>
  </si>
  <si>
    <t>Alternative (http://drones.specout.com/l/111/Yuneec-Flying-Eyes-HX3)</t>
  </si>
  <si>
    <t>Pizza drone</t>
  </si>
  <si>
    <t>Hourly wage drone operator</t>
  </si>
  <si>
    <t>Number of drones per operator</t>
  </si>
  <si>
    <t>Maintenance per year</t>
  </si>
  <si>
    <t>Delivery cost charged to customer</t>
  </si>
  <si>
    <t>Years drone depreciation</t>
  </si>
  <si>
    <t>Maximum drone deliveries per hour</t>
  </si>
  <si>
    <t>Avg speed (mph)</t>
  </si>
  <si>
    <t>Cost per minute</t>
  </si>
  <si>
    <t>Working hours per day</t>
  </si>
  <si>
    <t>Electricity per minute</t>
  </si>
  <si>
    <t>Drone elegible number of deliveries</t>
  </si>
  <si>
    <t>Avg distance delivery for drone elegible deliveries</t>
  </si>
  <si>
    <t>Cost per minute operator + electricity</t>
  </si>
  <si>
    <t>Cost drone per minute</t>
  </si>
  <si>
    <t>Total cost drone per minute</t>
  </si>
  <si>
    <t>Large</t>
  </si>
  <si>
    <t>Average orders per day</t>
  </si>
  <si>
    <t>% Total order elegible for drone delivery</t>
  </si>
  <si>
    <t>Avg cost drone delivery</t>
  </si>
  <si>
    <t>DroneRange</t>
  </si>
  <si>
    <t>Pizza Hut</t>
  </si>
  <si>
    <t>Pizza</t>
  </si>
  <si>
    <t>Domino's</t>
  </si>
  <si>
    <t>Olive Garden</t>
  </si>
  <si>
    <t>Little Caesars</t>
  </si>
  <si>
    <t>Papa John's</t>
  </si>
  <si>
    <t>Papa Murphy's Pizza</t>
  </si>
  <si>
    <t>California Pizza Kitchen</t>
  </si>
  <si>
    <t>Carrabba's Italian Grill</t>
  </si>
  <si>
    <t>Cicis Pizza</t>
  </si>
  <si>
    <t>Round Table Pizza</t>
  </si>
  <si>
    <t>Grand Total</t>
  </si>
  <si>
    <t>Other</t>
  </si>
  <si>
    <t>Average of CostTraditionalDelivery</t>
  </si>
  <si>
    <t xml:space="preserve">Average of  CostDroneDelivery </t>
  </si>
  <si>
    <t>Average of DeliveryDuration</t>
  </si>
  <si>
    <t>Average of DroneDeliveryDuration</t>
  </si>
  <si>
    <t>Average of DeliveryDistance</t>
  </si>
  <si>
    <t>Count of ItemOrdered1</t>
  </si>
  <si>
    <t>Count of ItemOrdered1_2</t>
  </si>
  <si>
    <t>FALSE</t>
  </si>
  <si>
    <t>TRUE</t>
  </si>
  <si>
    <t>Column Labels</t>
  </si>
  <si>
    <t>Values</t>
  </si>
  <si>
    <t>Chains Name</t>
  </si>
  <si>
    <t>Sales</t>
  </si>
  <si>
    <t>Units</t>
  </si>
  <si>
    <t>Avg cost traditional delivery (drone eligible)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</si>
</sst>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0000"/>
    <numFmt numFmtId="166" formatCode="_(&quot;$&quot;* #,##0.0000_);_(&quot;$&quot;* \(#,##0.0000\);_(&quot;$&quot;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0" fillId="0" borderId="0" xfId="0" applyFont="1"/>
    <xf numFmtId="2" fontId="0" fillId="0" borderId="0" xfId="0" applyNumberFormat="1"/>
    <xf numFmtId="0" fontId="0" fillId="0" borderId="0" xfId="0" applyNumberFormat="1"/>
    <xf numFmtId="1" fontId="0" fillId="0" borderId="0" xfId="0" applyNumberFormat="1"/>
    <xf numFmtId="4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2" borderId="0" xfId="0" applyFill="1"/>
    <xf numFmtId="164" fontId="0" fillId="0" borderId="0" xfId="2" applyNumberFormat="1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2" applyFont="1"/>
    <xf numFmtId="10" fontId="0" fillId="0" borderId="0" xfId="0" applyNumberFormat="1"/>
    <xf numFmtId="166" fontId="0" fillId="0" borderId="0" xfId="2" applyNumberFormat="1" applyFont="1"/>
    <xf numFmtId="9" fontId="0" fillId="2" borderId="0" xfId="1" applyFont="1" applyFill="1"/>
    <xf numFmtId="44" fontId="0" fillId="2" borderId="0" xfId="2" applyFont="1" applyFill="1"/>
  </cellXfs>
  <cellStyles count="3">
    <cellStyle name="Currency 2" xfId="2" xr:uid="{61FD3EA9-104E-FB4E-94A6-F67253F59D4E}"/>
    <cellStyle name="Normal" xfId="0" builtinId="0"/>
    <cellStyle name="Percent 2" xfId="1" xr:uid="{00000000-0005-0000-0000-000003000000}"/>
  </cellStyles>
  <dxfs count="2">
    <dxf>
      <numFmt numFmtId="2" formatCode="0.00"/>
    </dxf>
    <dxf>
      <numFmt numFmtId="34" formatCode="_(&quot;$&quot;* #,##0.00_);_(&quot;$&quot;* \(#,##0.00\);_(&quot;$&quot;* &quot;-&quot;??_);_(@_)"/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Market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'Market Size'!$A$1:$A$2</c:f>
              <c:strCache>
                <c:ptCount val="2"/>
                <c:pt idx="0">
                  <c:v>Other</c:v>
                </c:pt>
                <c:pt idx="1">
                  <c:v>Pizza</c:v>
                </c:pt>
              </c:strCache>
            </c:strRef>
          </c:cat>
          <c:val>
            <c:numRef>
              <c:f>'Market Size'!$B$1:$B$2</c:f>
              <c:numCache>
                <c:formatCode>_("$"* #,##0.00_);_("$"* \(#,##0.00\);_("$"* "-"??_);_(@_)</c:formatCode>
                <c:ptCount val="2"/>
                <c:pt idx="0">
                  <c:v>250449070.47815359</c:v>
                </c:pt>
                <c:pt idx="1">
                  <c:v>30189413.083385248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C2-B148-850D-CA0EB7925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9905135"/>
        <c:axId val="1309906831"/>
      </c:barChart>
      <c:catAx>
        <c:axId val="130990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906831"/>
        <c:crosses val="autoZero"/>
        <c:auto val="1"/>
        <c:lblAlgn val="ctr"/>
        <c:lblOffset val="100"/>
        <c:noMultiLvlLbl val="0"/>
      </c:catAx>
      <c:valAx>
        <c:axId val="130990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905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Top 10 Pizza chains US sales ($000) and Units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'Pizza Chains by Sales and Units'!$B$2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'Pizza Chains by Sales and Units'!$A$3:$A$12</c:f>
              <c:strCache>
                <c:ptCount val="10"/>
                <c:pt idx="0">
                  <c:v>Pizza Hut</c:v>
                </c:pt>
                <c:pt idx="1">
                  <c:v>Domino's</c:v>
                </c:pt>
                <c:pt idx="2">
                  <c:v>Olive Garden</c:v>
                </c:pt>
                <c:pt idx="3">
                  <c:v>Little Caesars</c:v>
                </c:pt>
                <c:pt idx="4">
                  <c:v>Papa John's</c:v>
                </c:pt>
                <c:pt idx="5">
                  <c:v>Papa Murphy's Pizza</c:v>
                </c:pt>
                <c:pt idx="6">
                  <c:v>California Pizza Kitchen</c:v>
                </c:pt>
                <c:pt idx="7">
                  <c:v>Carrabba's Italian Grill</c:v>
                </c:pt>
                <c:pt idx="8">
                  <c:v>Cicis Pizza</c:v>
                </c:pt>
                <c:pt idx="9">
                  <c:v>Round Table Pizza</c:v>
                </c:pt>
              </c:strCache>
            </c:strRef>
          </c:cat>
          <c:val>
            <c:numRef>
              <c:f>'Pizza Chains by Sales and Units'!$B$3:$B$12</c:f>
              <c:numCache>
                <c:formatCode>_("$"* #,##0.00_);_("$"* \(#,##0.00\);_("$"* "-"??_);_(@_)</c:formatCode>
                <c:ptCount val="10"/>
                <c:pt idx="0">
                  <c:v>5510000</c:v>
                </c:pt>
                <c:pt idx="1">
                  <c:v>4708587</c:v>
                </c:pt>
                <c:pt idx="2">
                  <c:v>3743000</c:v>
                </c:pt>
                <c:pt idx="3">
                  <c:v>3500000</c:v>
                </c:pt>
                <c:pt idx="4">
                  <c:v>2816017</c:v>
                </c:pt>
                <c:pt idx="5">
                  <c:v>880429</c:v>
                </c:pt>
                <c:pt idx="6">
                  <c:v>742500</c:v>
                </c:pt>
                <c:pt idx="7">
                  <c:v>729000</c:v>
                </c:pt>
                <c:pt idx="8">
                  <c:v>430000</c:v>
                </c:pt>
                <c:pt idx="9">
                  <c:v>424107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96-694D-9E0F-81279CB3D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9714783"/>
        <c:axId val="1305440511"/>
      </c:barChart>
      <c:lineChart>
        <c:grouping val="standard"/>
        <c:varyColors val="0"/>
        <c:ser>
          <c:idx val="1"/>
          <c:order val="1"/>
          <c:tx>
            <c:strRef>
              <c:f>'Pizza Chains by Sales and Units'!$C$2</c:f>
              <c:strCache>
                <c:ptCount val="1"/>
                <c:pt idx="0">
                  <c:v>Units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'Pizza Chains by Sales and Units'!$A$3:$A$12</c:f>
              <c:strCache>
                <c:ptCount val="10"/>
                <c:pt idx="0">
                  <c:v>Pizza Hut</c:v>
                </c:pt>
                <c:pt idx="1">
                  <c:v>Domino's</c:v>
                </c:pt>
                <c:pt idx="2">
                  <c:v>Olive Garden</c:v>
                </c:pt>
                <c:pt idx="3">
                  <c:v>Little Caesars</c:v>
                </c:pt>
                <c:pt idx="4">
                  <c:v>Papa John's</c:v>
                </c:pt>
                <c:pt idx="5">
                  <c:v>Papa Murphy's Pizza</c:v>
                </c:pt>
                <c:pt idx="6">
                  <c:v>California Pizza Kitchen</c:v>
                </c:pt>
                <c:pt idx="7">
                  <c:v>Carrabba's Italian Grill</c:v>
                </c:pt>
                <c:pt idx="8">
                  <c:v>Cicis Pizza</c:v>
                </c:pt>
                <c:pt idx="9">
                  <c:v>Round Table Pizza</c:v>
                </c:pt>
              </c:strCache>
            </c:strRef>
          </c:cat>
          <c:val>
            <c:numRef>
              <c:f>'Pizza Chains by Sales and Units'!$C$3:$C$12</c:f>
              <c:numCache>
                <c:formatCode>General</c:formatCode>
                <c:ptCount val="10"/>
                <c:pt idx="0">
                  <c:v>7799</c:v>
                </c:pt>
                <c:pt idx="1">
                  <c:v>5200</c:v>
                </c:pt>
                <c:pt idx="2">
                  <c:v>841</c:v>
                </c:pt>
                <c:pt idx="3">
                  <c:v>4250</c:v>
                </c:pt>
                <c:pt idx="4">
                  <c:v>3290</c:v>
                </c:pt>
                <c:pt idx="5">
                  <c:v>1496</c:v>
                </c:pt>
                <c:pt idx="6">
                  <c:v>228</c:v>
                </c:pt>
                <c:pt idx="7">
                  <c:v>247</c:v>
                </c:pt>
                <c:pt idx="8">
                  <c:v>445</c:v>
                </c:pt>
                <c:pt idx="9">
                  <c:v>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96-694D-9E0F-81279CB3D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7359087"/>
        <c:axId val="1302590607"/>
      </c:lineChart>
      <c:catAx>
        <c:axId val="1309714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440511"/>
        <c:crosses val="autoZero"/>
        <c:auto val="1"/>
        <c:lblAlgn val="ctr"/>
        <c:lblOffset val="100"/>
        <c:noMultiLvlLbl val="0"/>
      </c:catAx>
      <c:valAx>
        <c:axId val="130544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714783"/>
        <c:crosses val="autoZero"/>
        <c:crossBetween val="between"/>
      </c:valAx>
      <c:valAx>
        <c:axId val="13025906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359087"/>
        <c:crosses val="max"/>
        <c:crossBetween val="between"/>
      </c:valAx>
      <c:catAx>
        <c:axId val="13073590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025906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120650</xdr:colOff>
      <xdr:row>3</xdr:row>
      <xdr:rowOff>76200</xdr:rowOff>
    </xdr:from>
    <xdr:to>
      <xdr:col>10</xdr:col>
      <xdr:colOff>381000</xdr:colOff>
      <xdr:row>24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71B19E-A251-1749-8015-B72037693C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2</xdr:row>
      <xdr:rowOff>38100</xdr:rowOff>
    </xdr:from>
    <xdr:to>
      <xdr:col>18</xdr:col>
      <xdr:colOff>673100</xdr:colOff>
      <xdr:row>42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B1BCD2-AB04-6C4B-8EAE-112F760CB6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key_e6c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agio Palese" refreshedDate="43130.610045138892" createdVersion="6" refreshedVersion="6" minRefreshableVersion="3" recordCount="5000" xr:uid="{8010A892-F7C7-0741-B132-B46A6FF7188E}">
  <cacheSource type="worksheet">
    <worksheetSource ref="A1:X5001" sheet="Pizza Sales Calculations" r:id="rId2"/>
  </cacheSource>
  <cacheFields count="24">
    <cacheField name="OrderNumber" numFmtId="0">
      <sharedItems containsSemiMixedTypes="0" containsString="0" containsNumber="1" containsInteger="1" minValue="1" maxValue="5000"/>
    </cacheField>
    <cacheField name="OrderPlace" numFmtId="14">
      <sharedItems containsSemiMixedTypes="0" containsNonDate="0" containsDate="1" containsString="0" minDate="2016-01-01T10:13:11" maxDate="2016-02-19T14:27:20"/>
    </cacheField>
    <cacheField name="OrderReady" numFmtId="14">
      <sharedItems containsSemiMixedTypes="0" containsNonDate="0" containsDate="1" containsString="0" minDate="2016-01-01T10:28:12" maxDate="2016-02-19T14:42:19"/>
    </cacheField>
    <cacheField name="ItemOrdered1" numFmtId="0">
      <sharedItems count="3">
        <s v="Small"/>
        <s v="Large"/>
        <s v="Medium"/>
      </sharedItems>
    </cacheField>
    <cacheField name="ItemOrdered2" numFmtId="0">
      <sharedItems containsBlank="1"/>
    </cacheField>
    <cacheField name="ItemOrdered3" numFmtId="0">
      <sharedItems containsBlank="1"/>
    </cacheField>
    <cacheField name="Delivery" numFmtId="0">
      <sharedItems count="2">
        <b v="0"/>
        <b v="1"/>
      </sharedItems>
    </cacheField>
    <cacheField name="DeliveryZipCode" numFmtId="0">
      <sharedItems containsSemiMixedTypes="0" containsString="0" containsNumber="1" containsInteger="1" minValue="70803" maxValue="70808"/>
    </cacheField>
    <cacheField name="DeliveryDistance" numFmtId="2">
      <sharedItems containsSemiMixedTypes="0" containsString="0" containsNumber="1" minValue="0" maxValue="6.7674798053647596"/>
    </cacheField>
    <cacheField name="OrderDelivery" numFmtId="14">
      <sharedItems containsSemiMixedTypes="0" containsNonDate="0" containsDate="1" containsString="0" minDate="2016-01-01T10:31:13" maxDate="2016-02-19T14:47:04"/>
    </cacheField>
    <cacheField name="TotalPrice(NoTaxes)" numFmtId="0">
      <sharedItems containsSemiMixedTypes="0" containsString="0" containsNumber="1" minValue="7.99" maxValue="33.93"/>
    </cacheField>
    <cacheField name="DeliveryDuration" numFmtId="2">
      <sharedItems containsSemiMixedTypes="0" containsString="0" containsNumber="1" minValue="1.516666664974764" maxValue="33.833333331858739" count="1465">
        <n v="2.9666666686534882"/>
        <n v="2.9833333392161876"/>
        <n v="2.9999999993015081"/>
        <n v="12.383333336329088"/>
        <n v="11.783333332277834"/>
        <n v="10.283333327388391"/>
        <n v="24.083333336748183"/>
        <n v="15.533333339262754"/>
        <n v="22.766666666138917"/>
        <n v="15.533333328785375"/>
        <n v="17.066666664322838"/>
        <n v="12.816666666185483"/>
        <n v="22.266666664509103"/>
        <n v="20.733333328971639"/>
        <n v="3.0166666698642075"/>
        <n v="10.483333342708647"/>
        <n v="12.866666667396203"/>
        <n v="20.833333341870457"/>
        <n v="9.8333333374466747"/>
        <n v="2.9666666581761092"/>
        <n v="18.050000007497147"/>
        <n v="14.933333335211501"/>
        <n v="2.9500000085681677"/>
        <n v="9.3666666664648801"/>
        <n v="2.9833333287388086"/>
        <n v="13.333333338377997"/>
        <n v="19.73333332571201"/>
        <n v="11.300000001210719"/>
        <n v="19.283333325292915"/>
        <n v="11.866666664136574"/>
        <n v="14.09999999566935"/>
        <n v="16.116666662273929"/>
        <n v="9.1666666616220027"/>
        <n v="10.966666663298383"/>
        <n v="10.166666664881632"/>
        <n v="16.016666670329869"/>
        <n v="13.633333335164934"/>
        <n v="14.916666664648801"/>
        <n v="15.849999996135011"/>
        <n v="20.450000002747402"/>
        <n v="14.549999996088445"/>
        <n v="5.549999998183921"/>
        <n v="15.716666673542932"/>
        <n v="15.800000005401671"/>
        <n v="10.050000002374873"/>
        <n v="24.883333335164934"/>
        <n v="22.166666662087664"/>
        <n v="20.833333331393078"/>
        <n v="19.816666668048128"/>
        <n v="26.400000000139698"/>
        <n v="16.216666664695367"/>
        <n v="18.449999996228144"/>
        <n v="21.050000006798655"/>
        <n v="14.949999995296821"/>
        <n v="8.3000000019092113"/>
        <n v="18.066666667582467"/>
        <n v="3.0166666593868285"/>
        <n v="8.1666666688397527"/>
        <n v="13.050000001676381"/>
        <n v="18.999999999068677"/>
        <n v="9.7166666644625366"/>
        <n v="21.499999996740371"/>
        <n v="6.366666667163372"/>
        <n v="3.000000009778887"/>
        <n v="9.7499999951105565"/>
        <n v="7.5499999942258"/>
        <n v="13.500000002095476"/>
        <n v="3.033333329949528"/>
        <n v="10.066666672937572"/>
        <n v="24.133333337958902"/>
        <n v="14.05000000493601"/>
        <n v="10.899999991524965"/>
        <n v="18.300000003073364"/>
        <n v="11.900000005261973"/>
        <n v="12.700000003678724"/>
        <n v="21.933333337074146"/>
        <n v="12.766666675452143"/>
        <n v="15.233333331998438"/>
        <n v="10.38333332980983"/>
        <n v="16.300000007031485"/>
        <n v="18.283333332510665"/>
        <n v="24.766666672658175"/>
        <n v="19.833333338610828"/>
        <n v="14.116666666232049"/>
        <n v="17.933333334513009"/>
        <n v="15.583333340473473"/>
        <n v="12.599999990779907"/>
        <n v="15.400000006193295"/>
        <n v="20.999999995110556"/>
        <n v="17.699999999022111"/>
        <n v="17.583333336515352"/>
        <n v="13.533333332743496"/>
        <n v="20.716666668886319"/>
        <n v="25.33333333558403"/>
        <n v="28.849999996600673"/>
        <n v="14.333333331160247"/>
        <n v="29.516666661947966"/>
        <n v="17.000000003026798"/>
        <n v="7.1166666643694043"/>
        <n v="16.166666673962027"/>
        <n v="7.550000004703179"/>
        <n v="14.933333324734122"/>
        <n v="2.9499999980907887"/>
        <n v="17.449999992968515"/>
        <n v="8.9333333366084844"/>
        <n v="21.466666666092351"/>
        <n v="20.350000000325963"/>
        <n v="17.483333334093913"/>
        <n v="16.399999998975545"/>
        <n v="6.8166666675824672"/>
        <n v="20.366666660411283"/>
        <n v="7.2333333373535424"/>
        <n v="11.549999996786937"/>
        <n v="8.9999999979045242"/>
        <n v="13.333333327900618"/>
        <n v="9.9833333306014538"/>
        <n v="20.800000000745058"/>
        <n v="18.78333333414048"/>
        <n v="12.516666669398546"/>
        <n v="12.650000002468005"/>
        <n v="15.516666668700054"/>
        <n v="10.150000004796311"/>
        <n v="18.766666674055159"/>
        <n v="9.8999999987427145"/>
        <n v="10.633333335863426"/>
        <n v="16.90000000060536"/>
        <n v="15.633333331206813"/>
        <n v="20.016666662413627"/>
        <n v="7.883333332138136"/>
        <n v="5.9166666667442769"/>
        <n v="7.2000000067055225"/>
        <n v="20.966666674939916"/>
        <n v="19.500000000698492"/>
        <n v="27.750000001396984"/>
        <n v="20.183333336608484"/>
        <n v="12.850000007310882"/>
        <n v="20.449999992270023"/>
        <n v="8.8999999954830855"/>
        <n v="9.5333333301823586"/>
        <n v="12.849999996833503"/>
        <n v="11.016666664509103"/>
        <n v="22.650000003632158"/>
        <n v="22.550000001210719"/>
        <n v="17.066666674800217"/>
        <n v="7.2333333268761635"/>
        <n v="16.666666665114462"/>
        <n v="20.566666665254161"/>
        <n v="20.549999994691461"/>
        <n v="21.799999993527308"/>
        <n v="14.383333332370967"/>
        <n v="4.2833333287853748"/>
        <n v="13.783333328319713"/>
        <n v="27.19999999855645"/>
        <n v="13.816666669445112"/>
        <n v="11.483333335490897"/>
        <n v="18.333333333721384"/>
        <n v="7.4666666728444397"/>
        <n v="7.7666666696313769"/>
        <n v="4.5666666654869914"/>
        <n v="27.649999998975545"/>
        <n v="10.649999995948747"/>
        <n v="13.699999996460974"/>
        <n v="14.283333329949528"/>
        <n v="9.066666659200564"/>
        <n v="16.266666665906087"/>
        <n v="3.0666666710749269"/>
        <n v="12.783333335537463"/>
        <n v="20.699999998323619"/>
        <n v="27.716666660271585"/>
        <n v="9.4166666676755995"/>
        <n v="17.350000001024455"/>
        <n v="3.0333333404269069"/>
        <n v="2.9333333380054682"/>
        <n v="14.616666667861864"/>
        <n v="15.716666663065553"/>
        <n v="17.433333332883194"/>
        <n v="11.31666666129604"/>
        <n v="12.566666670609266"/>
        <n v="18.400000005494803"/>
        <n v="20.333333329763263"/>
        <n v="13.316666667815298"/>
        <n v="18.816666675265878"/>
        <n v="12.933333339169621"/>
        <n v="19.649999993853271"/>
        <n v="10.25000000721775"/>
        <n v="11.750000001629815"/>
        <n v="16.283333336468786"/>
        <n v="13.749999997671694"/>
        <n v="21.716666672145948"/>
        <n v="18.983333338983357"/>
        <n v="25.433333327528089"/>
        <n v="12.466666668187827"/>
        <n v="3.9166666707023978"/>
        <n v="16.649999994551763"/>
        <n v="21.53333333786577"/>
        <n v="21.866666675778106"/>
        <n v="21.183333329390734"/>
        <n v="20.949999993899837"/>
        <n v="7.4999999930150807"/>
        <n v="22.883333328645676"/>
        <n v="5.216666670748964"/>
        <n v="14.850000003352761"/>
        <n v="19.133333332138136"/>
        <n v="5.4500000062398612"/>
        <n v="15.650000001769513"/>
        <n v="13.466666660970077"/>
        <n v="15.416666666278616"/>
        <n v="10.28333333786577"/>
        <n v="12.583333330694586"/>
        <n v="13.08333334280178"/>
        <n v="12.483333328273147"/>
        <n v="28.183333341730759"/>
        <n v="19.566666672471911"/>
        <n v="16.466666670748964"/>
        <n v="3.4333333396352828"/>
        <n v="16.416666669538245"/>
        <n v="23.083333333488554"/>
        <n v="12.266666663344949"/>
        <n v="12.883333327481523"/>
        <n v="4.183333336841315"/>
        <n v="10.616666665300727"/>
        <n v="18.599999999860302"/>
        <n v="13.449999990407377"/>
        <n v="15.616666660644114"/>
        <n v="17.383333331672475"/>
        <n v="19.449999999487773"/>
        <n v="7.1999999962281436"/>
        <n v="3.0500000005122274"/>
        <n v="10.966666673775762"/>
        <n v="22.966666670981795"/>
        <n v="10.483333332231268"/>
        <n v="11.049999995157123"/>
        <n v="22.283333324594423"/>
        <n v="16.799999998183921"/>
        <n v="18.900000007124618"/>
        <n v="12.283333333907649"/>
        <n v="14.866666673915461"/>
        <n v="12.666666662553325"/>
        <n v="23.033333332277834"/>
        <n v="23.833333330694586"/>
        <n v="15.216666661435738"/>
        <n v="13.483333331532776"/>
        <n v="16.533333332045004"/>
        <n v="9.5666666608303785"/>
        <n v="15.250000002561137"/>
        <n v="23.116666664136574"/>
        <n v="4.4333333324175328"/>
        <n v="20.983333335025236"/>
        <n v="9.2500000039581209"/>
        <n v="6.6833333240356296"/>
        <n v="9.8499999975319952"/>
        <n v="14.849999992875382"/>
        <n v="15.366666675545275"/>
        <n v="7.9333333333488554"/>
        <n v="15.333333334419876"/>
        <n v="24.649999999674037"/>
        <n v="14.550000006565824"/>
        <n v="15.94999999855645"/>
        <n v="15.549999999348074"/>
        <n v="15.866666666697711"/>
        <n v="1.5333333355374634"/>
        <n v="22.333333336282521"/>
        <n v="11.433333334280178"/>
        <n v="20.000000002328306"/>
        <n v="5.7500000030267984"/>
        <n v="13.833333329530433"/>
        <n v="20.816666671307757"/>
        <n v="11.966666666558012"/>
        <n v="22.216666663298383"/>
        <n v="22.116666671354324"/>
        <n v="23.983333334326744"/>
        <n v="15.93333333847113"/>
        <n v="17.983333335723728"/>
        <n v="11.666666659293696"/>
        <n v="13.916666661389172"/>
        <n v="15.366666665067896"/>
        <n v="8.1999999994877726"/>
        <n v="24.049999995622784"/>
        <n v="18.366666664369404"/>
        <n v="9.066666669677943"/>
        <n v="31.76666667452082"/>
        <n v="15.733333333628252"/>
        <n v="8.2666666712611914"/>
        <n v="12.133333330275491"/>
        <n v="16.700000006239861"/>
        <n v="6.55000000144355"/>
        <n v="10.600000005215406"/>
        <n v="15.000000006984919"/>
        <n v="21.016666665673256"/>
        <n v="14.300000000512227"/>
        <n v="11.116666666930541"/>
        <n v="14.183333327528089"/>
        <n v="17.233333338517696"/>
        <n v="19.74999999627471"/>
        <n v="9.6166666620410979"/>
        <n v="12.08333333954215"/>
        <n v="6.1000000010244548"/>
        <n v="16.500000001396984"/>
        <n v="11.450000004842877"/>
        <n v="23.600000005681068"/>
        <n v="23.800000000046566"/>
        <n v="11.466666664928198"/>
        <n v="6.1666666623204947"/>
        <n v="14.866666663438082"/>
        <n v="18.849999995436519"/>
        <n v="14.583333337213844"/>
        <n v="19.600000003119931"/>
        <n v="7.0999999938067049"/>
        <n v="9.0000000083819032"/>
        <n v="15.433333336841315"/>
        <n v="19.68333333497867"/>
        <n v="10.866666671354324"/>
        <n v="10.733333327807486"/>
        <n v="4.2666666687000543"/>
        <n v="17.666666668374091"/>
        <n v="24.683333330322057"/>
        <n v="23.500000003259629"/>
        <n v="12.183333341963589"/>
        <n v="15.833333336049691"/>
        <n v="13.300000007729977"/>
        <n v="10.416666670935228"/>
        <n v="24.616666658548638"/>
        <n v="16.733333326410502"/>
        <n v="10.900000002002344"/>
        <n v="19.983333331765607"/>
        <n v="3.2000000041443855"/>
        <n v="14.599999997299165"/>
        <n v="14.500000005355105"/>
        <n v="14.150000007357448"/>
        <n v="18.699999991804361"/>
        <n v="8.6499999999068677"/>
        <n v="4.9666666646953672"/>
        <n v="19.850000009173527"/>
        <n v="4.6499999973457307"/>
        <n v="22.616666662506759"/>
        <n v="15.999999999767169"/>
        <n v="9.1000000003259629"/>
        <n v="21.63333332980983"/>
        <n v="23.48333333269693"/>
        <n v="10.533333333441988"/>
        <n v="17.80000000144355"/>
        <n v="10.716666667722166"/>
        <n v="17.199999997392297"/>
        <n v="14.783333342056721"/>
        <n v="17.466666663531214"/>
        <n v="8.4999999962747097"/>
        <n v="14.750000000931323"/>
        <n v="10.100000003585592"/>
        <n v="27.033333324361593"/>
        <n v="11.766666661715135"/>
        <n v="21.916666666511446"/>
        <n v="16.683333335677162"/>
        <n v="16.450000000186265"/>
        <n v="1.9166666641831398"/>
        <n v="22.833333337912336"/>
        <n v="12.13333334075287"/>
        <n v="11.649999999208376"/>
        <n v="21.149999998742715"/>
        <n v="10.083333333022892"/>
        <n v="5.3166666731704026"/>
        <n v="17.416666662320495"/>
        <n v="4.6333333372604102"/>
        <n v="14.666666658595204"/>
        <n v="16.783333338098601"/>
        <n v="17.266666658688337"/>
        <n v="8.5999999986961484"/>
        <n v="20.733333339449018"/>
        <n v="17.666666657896712"/>
        <n v="13.650000005727634"/>
        <n v="19.966666671680287"/>
        <n v="28.13333333004266"/>
        <n v="21.383333334233612"/>
        <n v="14.516666665440425"/>
        <n v="12.316666675033048"/>
        <n v="13.16666666418314"/>
        <n v="6.7666666663717479"/>
        <n v="8.916666666045785"/>
        <n v="7.6166666659992188"/>
        <n v="16.199999994132668"/>
        <n v="13.933333331951872"/>
        <n v="15.666666661854833"/>
        <n v="8.2500000006984919"/>
        <n v="9.0833333402406424"/>
        <n v="16.616666663903743"/>
        <n v="17.89999999338761"/>
        <n v="30.633333338191733"/>
        <n v="19.100000001490116"/>
        <n v="15.050000008195639"/>
        <n v="29.416666670003906"/>
        <n v="4.3166666699107736"/>
        <n v="20.133333335397765"/>
        <n v="23.45000000204891"/>
        <n v="12.299999993992969"/>
        <n v="16.233333324780688"/>
        <n v="15.700000002980232"/>
        <n v="14.233333339216188"/>
        <n v="24.033333325060084"/>
        <n v="8.733333331765607"/>
        <n v="8.7666666728910059"/>
        <n v="26.933333332417533"/>
        <n v="14.03333333437331"/>
        <n v="18.416666665580124"/>
        <n v="21.983333327807486"/>
        <n v="12.083333329064772"/>
        <n v="14.683333329157904"/>
        <n v="22.583333331858739"/>
        <n v="21.250000001164153"/>
        <n v="9.6500000031664968"/>
        <n v="9.8166666564065963"/>
        <n v="9.5666666713077575"/>
        <n v="21.750000002793968"/>
        <n v="19.316666666418314"/>
        <n v="19.199999993434176"/>
        <n v="10.26666666730307"/>
        <n v="20.916666663251817"/>
        <n v="24.733333331532776"/>
        <n v="18.216666660737246"/>
        <n v="11.050000005634502"/>
        <n v="9.9333333398681134"/>
        <n v="25.916666669072583"/>
        <n v="9.0166666579898447"/>
        <n v="14.00000000372529"/>
        <n v="14.216666658176109"/>
        <n v="24.933333336375654"/>
        <n v="12.15000000083819"/>
        <n v="12.016666667768732"/>
        <n v="15.666666672332212"/>
        <n v="19.183333333348855"/>
        <n v="15.166666660225019"/>
        <n v="13.433333330322057"/>
        <n v="14.366666672285646"/>
        <n v="11.666666669771075"/>
        <n v="22.416666668141261"/>
        <n v="17.73333334014751"/>
        <n v="25.883333327947184"/>
        <n v="17.283333339728415"/>
        <n v="19.883333329344168"/>
        <n v="9.2333333333954215"/>
        <n v="23.749999998835847"/>
        <n v="15.499999998137355"/>
        <n v="18.866666665999219"/>
        <n v="4.8333333421032876"/>
        <n v="24.700000000884756"/>
        <n v="24.750000002095476"/>
        <n v="9.3999999971129"/>
        <n v="22.649999993154779"/>
        <n v="8.5000000067520887"/>
        <n v="12.949999999254942"/>
        <n v="22.5"/>
        <n v="20.6499999971129"/>
        <n v="26.583333323942497"/>
        <n v="11.216666658874601"/>
        <n v="13.516666662180796"/>
        <n v="13.616666664602235"/>
        <n v="19.550000001909211"/>
        <n v="25.000000008149073"/>
        <n v="23.183333335909992"/>
        <n v="5.5999999993946403"/>
        <n v="16.749999996973202"/>
        <n v="21.116666668094695"/>
        <n v="15.083333338843659"/>
        <n v="12.799999995622784"/>
        <n v="19.78333332692273"/>
        <n v="8.5333333374001086"/>
        <n v="24.633333329111338"/>
        <n v="15.299999993294477"/>
        <n v="8.1833333394024521"/>
        <n v="12.049999998416752"/>
        <n v="10.466666661668569"/>
        <n v="20.516666664043441"/>
        <n v="15.483333338052034"/>
        <n v="18.73333333292976"/>
        <n v="12.466666657710448"/>
        <n v="7.4833333329297602"/>
        <n v="13.966666662599891"/>
        <n v="9.7833333257585764"/>
        <n v="4.5999999961350113"/>
        <n v="8.583333328133449"/>
        <n v="7.3499999998603016"/>
        <n v="22.083333330228925"/>
        <n v="19.71666666562669"/>
        <n v="22.083333340706304"/>
        <n v="23.199999995995313"/>
        <n v="9.7999999963212758"/>
        <n v="15.783333334838971"/>
        <n v="19.633333333767951"/>
        <n v="12.333333335118368"/>
        <n v="16.550000002607703"/>
        <n v="16.88333333004266"/>
        <n v="15.116666669491678"/>
        <n v="13.866666660178453"/>
        <n v="25.966666670283303"/>
        <n v="14.399999992456287"/>
        <n v="8.3333333325572312"/>
        <n v="11.400000003632158"/>
        <n v="7.0500000030733645"/>
        <n v="18.949999997857958"/>
        <n v="21.900000006426126"/>
        <n v="18.716666662367061"/>
        <n v="7.9833333345595747"/>
        <n v="18.616666659945622"/>
        <n v="2.8166666650213301"/>
        <n v="16.716666666325182"/>
        <n v="20.466666662832722"/>
        <n v="16.783333327621222"/>
        <n v="25.649999992456287"/>
        <n v="14.400000002933666"/>
        <n v="7.1000000042840838"/>
        <n v="19.933333330554888"/>
        <n v="19.250000005122274"/>
        <n v="20.100000004749745"/>
        <n v="18.650000001071021"/>
        <n v="14.13333332631737"/>
        <n v="17.683333328459412"/>
        <n v="16.84999999939464"/>
        <n v="10.516666673356667"/>
        <n v="19.966666661202908"/>
        <n v="17.016666673589498"/>
        <n v="2.9333333275280893"/>
        <n v="7.7833333297166973"/>
        <n v="18.76666666357778"/>
        <n v="26.899999991292134"/>
        <n v="13.950000002514571"/>
        <n v="14.316666671074927"/>
        <n v="10.066666662460193"/>
        <n v="9.8333333269692957"/>
        <n v="13.266666666604578"/>
        <n v="17.633333327248693"/>
        <n v="17.266666669165716"/>
        <n v="12.716666663764045"/>
        <n v="12.033333327854052"/>
        <n v="12.966666659340262"/>
        <n v="13.316666657337919"/>
        <n v="20.199999996693805"/>
        <n v="9.3333333358168602"/>
        <n v="6.7999999970197678"/>
        <n v="8.2833333313465118"/>
        <n v="19.050000000279397"/>
        <n v="9.7500000055879354"/>
        <n v="17.299999999813735"/>
        <n v="17.083333334885538"/>
        <n v="26.333333338843659"/>
        <n v="14.166666667442769"/>
        <n v="15.966666669119149"/>
        <n v="12.316666664555669"/>
        <n v="17.86666666273959"/>
        <n v="11.683333329856396"/>
        <n v="19.783333337400109"/>
        <n v="5.5166666675359011"/>
        <n v="10.183333335444331"/>
        <n v="18.66666667163372"/>
        <n v="11.566666667349637"/>
        <n v="23.000000001629815"/>
        <n v="20.183333326131105"/>
        <n v="8.1166666571516544"/>
        <n v="30.066666664788499"/>
        <n v="21.033333336235955"/>
        <n v="25.733333334792405"/>
        <n v="14.233333328738809"/>
        <n v="11.933333335909992"/>
        <n v="6.1166666715871543"/>
        <n v="10.599999994738027"/>
        <n v="33.833333331858739"/>
        <n v="12.266666673822328"/>
        <n v="13.983333333162591"/>
        <n v="3.2666666654404253"/>
        <n v="15.783333324361593"/>
        <n v="22.799999996786937"/>
        <n v="27.633333328412846"/>
        <n v="19.66666666441597"/>
        <n v="18.683333331719041"/>
        <n v="12.750000004889444"/>
        <n v="26.433333341265097"/>
        <n v="12.23333333269693"/>
        <n v="15.683333332417533"/>
        <n v="16.966666672378778"/>
        <n v="6.2833333353046328"/>
        <n v="20.749999999534339"/>
        <n v="23.166666665347293"/>
        <n v="17.533333324827254"/>
        <n v="16.983333332464099"/>
        <n v="17.183333326829597"/>
        <n v="7.0666666736360639"/>
        <n v="27.400000003399327"/>
        <n v="15.316666663857177"/>
        <n v="16.916666671168059"/>
        <n v="6.5000000002328306"/>
        <n v="22.666666674194857"/>
        <n v="19.65000000433065"/>
        <n v="9.9666666600387543"/>
        <n v="12.600000001257285"/>
        <n v="22.733333335490897"/>
        <n v="26.966666663065553"/>
        <n v="12.250000003259629"/>
        <n v="16.349999997764826"/>
        <n v="11.700000000419095"/>
        <n v="16.333333327202126"/>
        <n v="8.8499999942723662"/>
        <n v="15.350000004982576"/>
        <n v="11.983333337120712"/>
        <n v="6.0499999998137355"/>
        <n v="16.01666665985249"/>
        <n v="22.300000005634502"/>
        <n v="21.000000005587935"/>
        <n v="13.900000001303852"/>
        <n v="19.433333328925073"/>
        <n v="13.283333337167278"/>
        <n v="24.999999997671694"/>
        <n v="20.666666667675599"/>
        <n v="28.483333328040317"/>
        <n v="3.8666666590142995"/>
        <n v="12.066666668979451"/>
        <n v="19.61666667368263"/>
        <n v="12.166666660923511"/>
        <n v="15.283333333209157"/>
        <n v="14.98333333642222"/>
        <n v="18.533333338564262"/>
        <n v="23.349999999627471"/>
        <n v="17.499999994179234"/>
        <n v="18.233333331299946"/>
        <n v="23.100000004051253"/>
        <n v="20.066666663624346"/>
        <n v="17.76666667079553"/>
        <n v="8.8000000035390258"/>
        <n v="13.600000004516914"/>
        <n v="17.149999996181577"/>
        <n v="6.4499999990221113"/>
        <n v="16.066666661063209"/>
        <n v="18.499999997438863"/>
        <n v="7.9000000027008355"/>
        <n v="13.716666667023674"/>
        <n v="21.54999999795109"/>
        <n v="17.366666671587154"/>
        <n v="11.266666670562699"/>
        <n v="21.983333338284865"/>
        <n v="14.883333334000781"/>
        <n v="28.383333336096257"/>
        <n v="7.5833333353511989"/>
        <n v="20.049999993061647"/>
        <n v="7.4500000022817403"/>
        <n v="12.649999991990626"/>
        <n v="3.366666667861864"/>
        <n v="25.683333333581686"/>
        <n v="30.116666665999219"/>
        <n v="12.099999999627471"/>
        <n v="19.849999998696148"/>
        <n v="23.066666662925854"/>
        <n v="2.4666666670236737"/>
        <n v="18.200000000651926"/>
        <n v="1.9000000040978193"/>
        <n v="12.966666669817641"/>
        <n v="27.316666671540588"/>
        <n v="13.233333335956559"/>
        <n v="2.6500000013038516"/>
        <n v="13.383333339588717"/>
        <n v="8.3500000031199306"/>
        <n v="11.950000006472692"/>
        <n v="10.266666656825691"/>
        <n v="9.1500000015366822"/>
        <n v="20.483333333395422"/>
        <n v="5.4333333356771618"/>
        <n v="3.2333333347924054"/>
        <n v="10.550000004004687"/>
        <n v="10.133333334233612"/>
        <n v="13.683333336375654"/>
        <n v="25.550000000512227"/>
        <n v="11.916666665347293"/>
        <n v="21.883333335863426"/>
        <n v="10.200000006007031"/>
        <n v="8.4499999950639904"/>
        <n v="19.033333340194076"/>
        <n v="21.233333330601454"/>
        <n v="23.566666675033048"/>
        <n v="16.416666659060866"/>
        <n v="15.03333332715556"/>
        <n v="15.816666665486991"/>
        <n v="13.916666671866551"/>
        <n v="6.216666663531214"/>
        <n v="16.86666666995734"/>
        <n v="17.950000005075708"/>
        <n v="9.1166666604112834"/>
        <n v="10.29999999795109"/>
        <n v="13.766666668234393"/>
        <n v="19.016666669631377"/>
        <n v="24.899999995250255"/>
        <n v="15.066666668280959"/>
        <n v="17.616666667163372"/>
        <n v="18.116666668793187"/>
        <n v="6.3166666659526527"/>
        <n v="13.216666665393859"/>
        <n v="13.19999999483116"/>
        <n v="17.833333342568949"/>
        <n v="9.7666666761506349"/>
        <n v="15.266666673123837"/>
        <n v="19.483333340613171"/>
        <n v="20.083333323709667"/>
        <n v="12.400000006891787"/>
        <n v="8.550000007962808"/>
        <n v="14.449999993667006"/>
        <n v="10.116666663670912"/>
        <n v="13.866666670655832"/>
        <n v="23.866666671819985"/>
        <n v="16.633333334466442"/>
        <n v="5.3166666626930237"/>
        <n v="23.050000002840534"/>
        <n v="15.91666666790843"/>
        <n v="10.199999995529652"/>
        <n v="11.34999999194406"/>
        <n v="17.733333329670131"/>
        <n v="9.400000007590279"/>
        <n v="16.299999996554106"/>
        <n v="22.433333328226581"/>
        <n v="18.283333342988044"/>
        <n v="18.816666664788499"/>
        <n v="19.099999991012737"/>
        <n v="16.366666657850146"/>
        <n v="7.216666666790843"/>
        <n v="18.016666666371748"/>
        <n v="15.150000000139698"/>
        <n v="7.5000000034924597"/>
        <n v="13.349999998463318"/>
        <n v="5.4666666768025607"/>
        <n v="15.766666664276272"/>
        <n v="15.01666666707024"/>
        <n v="18.316666673636064"/>
        <n v="26.699999996926636"/>
        <n v="17.500000004656613"/>
        <n v="15.383333335630596"/>
        <n v="24.116666667396203"/>
        <n v="7.6333333260845393"/>
        <n v="9.216666673310101"/>
        <n v="8.9500000071711838"/>
        <n v="24.549999997252598"/>
        <n v="9.8000000067986548"/>
        <n v="26.116666663438082"/>
        <n v="21.283333331812173"/>
        <n v="2.2333333315327764"/>
        <n v="8.6333333293441683"/>
        <n v="23.40000000083819"/>
        <n v="10.833333340706304"/>
        <n v="6.3833333377260715"/>
        <n v="10.516666662879288"/>
        <n v="2.7499999932479113"/>
        <n v="18.833333335351199"/>
        <n v="11.149999997578561"/>
        <n v="18.800000004703179"/>
        <n v="20.033333332976326"/>
        <n v="9.1833333426620811"/>
        <n v="7.0333333325106651"/>
        <n v="20.383333330973983"/>
        <n v="21.399999994318932"/>
        <n v="14.633333338424563"/>
        <n v="14.783333331579342"/>
        <n v="11.133333327015862"/>
        <n v="2.6666666613891721"/>
        <n v="33.166666666511446"/>
        <n v="19.516666660783812"/>
        <n v="27.849999993341044"/>
        <n v="4.69999999855645"/>
        <n v="5.7833333336748183"/>
        <n v="1.7333333299029619"/>
        <n v="13.566666663391516"/>
        <n v="12.499999998835847"/>
        <n v="8.5666666680481285"/>
        <n v="10.766666668932885"/>
        <n v="7.4666666623670608"/>
        <n v="7.7500000095460564"/>
        <n v="16.116666672751307"/>
        <n v="27.533333336468786"/>
        <n v="6.3500000070780516"/>
        <n v="22.066666670143604"/>
        <n v="8.3166666724719107"/>
        <n v="13.883333330741152"/>
        <n v="15.96666665864177"/>
        <n v="12.416666666977108"/>
        <n v="11.999999997206032"/>
        <n v="25.949999999720603"/>
        <n v="20.299999999115244"/>
        <n v="9.7000000043772161"/>
        <n v="14.483333334792405"/>
        <n v="17.949999994598329"/>
        <n v="12.450000008102506"/>
        <n v="11.833333333488554"/>
        <n v="27.899999994551763"/>
        <n v="20.533333334606141"/>
        <n v="17.399999991757795"/>
        <n v="28.366666665533558"/>
        <n v="10.433333341497928"/>
        <n v="18.133333328878507"/>
        <n v="31.06666665757075"/>
        <n v="18.549999998649582"/>
        <n v="26.100000003352761"/>
        <n v="18.000000006286427"/>
        <n v="23.666666666977108"/>
        <n v="26.666666666278616"/>
        <n v="20.283333328552544"/>
        <n v="7.733333328505978"/>
        <n v="14.666666669072583"/>
        <n v="8.6666666704695672"/>
        <n v="29.749999997438863"/>
        <n v="11.28333333064802"/>
        <n v="20.283333339029923"/>
        <n v="22.933333329856396"/>
        <n v="21.083333326969296"/>
        <n v="9.3500000063795596"/>
        <n v="17.183333337306976"/>
        <n v="11.583333337912336"/>
        <n v="21.849999994738027"/>
        <n v="25.033333328319713"/>
        <n v="24.333333332324401"/>
        <n v="12.616666661342606"/>
        <n v="13.399999999674037"/>
        <n v="14.133333336794749"/>
        <n v="26.316666668280959"/>
        <n v="15.449999996926636"/>
        <n v="25.416666667442769"/>
        <n v="31.483333327341825"/>
        <n v="14.416666673496366"/>
        <n v="12.533333339961246"/>
        <n v="13.099999992409721"/>
        <n v="14.566666666651145"/>
        <n v="17.316666659899056"/>
        <n v="10.683333337074146"/>
        <n v="10.366666669724509"/>
        <n v="13.150000004097819"/>
        <n v="17.649999997811392"/>
        <n v="17.116666665533558"/>
        <n v="9.6833333338145167"/>
        <n v="10.850000000791624"/>
        <n v="11.800000002840534"/>
        <n v="8.4666666761040688"/>
        <n v="24.166666668606922"/>
        <n v="6.733333325246349"/>
        <n v="13.98333334363997"/>
        <n v="16.100000002188608"/>
        <n v="4.3500000005587935"/>
        <n v="17.416666672797874"/>
        <n v="23.383333330275491"/>
        <n v="6.0500000102911144"/>
        <n v="14.216666668653488"/>
        <n v="16.91666666069068"/>
        <n v="4.7333333396818489"/>
        <n v="29.650000005494803"/>
        <n v="10.34999999916181"/>
        <n v="19.899999999906868"/>
        <n v="16.733333336887881"/>
        <n v="15.333333323942497"/>
        <n v="7.7499999990686774"/>
        <n v="3.9833333319984376"/>
        <n v="3.4166666690725833"/>
        <n v="9.5833333418704569"/>
        <n v="7.3833333409857005"/>
        <n v="10.000000001164153"/>
        <n v="9.4333333277609199"/>
        <n v="9.5999999914783984"/>
        <n v="23.766666669398546"/>
        <n v="15.08333332836628"/>
        <n v="26.066666662227362"/>
        <n v="20.599999995902181"/>
        <n v="26.28333332715556"/>
        <n v="18.183333340566605"/>
        <n v="22.983333331067115"/>
        <n v="11.25"/>
        <n v="7.4166666716337204"/>
        <n v="4.9166666634846479"/>
        <n v="17.716666669584811"/>
        <n v="20.333333340240642"/>
        <n v="20.55000000516884"/>
        <n v="18.099999998230487"/>
        <n v="24.233333329902962"/>
        <n v="14.350000001722947"/>
        <n v="16.850000009872019"/>
        <n v="14.499999994877726"/>
        <n v="11.23333333991468"/>
        <n v="10.733333338284865"/>
        <n v="22.150000002002344"/>
        <n v="19.566666661994532"/>
        <n v="12.933333328692243"/>
        <n v="19.750000006752089"/>
        <n v="17.333333330461755"/>
        <n v="5.7166666723787785"/>
        <n v="18.966666668420658"/>
        <n v="23.133333334699273"/>
        <n v="19.033333329716697"/>
        <n v="15.899999997345731"/>
        <n v="19.416666668839753"/>
        <n v="2.6000000000931323"/>
        <n v="12.433333337539807"/>
        <n v="3.9500000013504177"/>
        <n v="18.966666657943279"/>
        <n v="22.716666664928198"/>
        <n v="13.499999991618097"/>
        <n v="27.16666666790843"/>
        <n v="22.383333327015862"/>
        <n v="10.016666671726853"/>
        <n v="5.1333333284128457"/>
        <n v="7.6333333365619183"/>
        <n v="22.600000002421439"/>
        <n v="2.5499999988824129"/>
        <n v="5.8000000042375177"/>
        <n v="9.249999993480742"/>
        <n v="18.383333324454725"/>
        <n v="19.249999994644895"/>
        <n v="17.566666665952653"/>
        <n v="19.483333330135792"/>
        <n v="5.6666666606906801"/>
        <n v="20.816666660830379"/>
        <n v="1.6499999980442226"/>
        <n v="9.2833333346061409"/>
        <n v="17.783333330880851"/>
        <n v="18.266666672425345"/>
        <n v="20.366666670888662"/>
        <n v="22.299999995157123"/>
        <n v="9.6166666725184768"/>
        <n v="8.8666666648350656"/>
        <n v="19.516666671261191"/>
        <n v="21.083333337446675"/>
        <n v="19.81666665757075"/>
        <n v="10.983333333861083"/>
        <n v="20.783333330182359"/>
        <n v="8.9833333273418248"/>
        <n v="25.366666666232049"/>
        <n v="10.766666658455506"/>
        <n v="23.099999993573874"/>
        <n v="29.03333334135823"/>
        <n v="10.633333325386047"/>
        <n v="18.566666669212282"/>
        <n v="12.983333329902962"/>
        <n v="20.383333341451362"/>
        <n v="11.616666668560356"/>
        <n v="29.633333334932104"/>
        <n v="12.366666665766388"/>
        <n v="24.066666666185483"/>
        <n v="25.816666666651145"/>
        <n v="16.999999992549419"/>
        <n v="11.166666657663882"/>
        <n v="22.56666666129604"/>
        <n v="18.633333330508322"/>
        <n v="9.3833333370275795"/>
        <n v="10.699999997159466"/>
        <n v="18.75000000349246"/>
        <n v="15.566666659433395"/>
        <n v="17.016666663112119"/>
        <n v="5.2666666719596833"/>
        <n v="22.950000000419095"/>
        <n v="27.816666662693024"/>
        <n v="17.150000006658956"/>
        <n v="19.683333324501291"/>
        <n v="21.300000002374873"/>
        <n v="18.83333332487382"/>
        <n v="10.300000008428469"/>
        <n v="21.483333326177672"/>
        <n v="11.500000006053597"/>
        <n v="19.283333335770294"/>
        <n v="5.4999999969732016"/>
        <n v="14.16666665696539"/>
        <n v="21.450000006007031"/>
        <n v="5.8500000054482371"/>
        <n v="5.2333333308342844"/>
        <n v="18.049999997019768"/>
        <n v="7.9666666639968753"/>
        <n v="8.5833333386108279"/>
        <n v="3.4333333291579038"/>
        <n v="11.416666674194857"/>
        <n v="14.100000006146729"/>
        <n v="22.46666666935198"/>
        <n v="6.4333333284594119"/>
        <n v="4.5333333243615925"/>
        <n v="15.133333329576999"/>
        <n v="9.1666666720993817"/>
        <n v="7.2666666575241834"/>
        <n v="26.366666669491678"/>
        <n v="22.049999999580905"/>
        <n v="17.633333337726071"/>
        <n v="14.249999999301508"/>
        <n v="14.650000008987263"/>
        <n v="18.466666666790843"/>
        <n v="9.9333333293907344"/>
        <n v="4.1499999957159162"/>
        <n v="15.450000007404014"/>
        <n v="11.366666662506759"/>
        <n v="14.366666661808267"/>
        <n v="21.949999997159466"/>
        <n v="11.21666666935198"/>
        <n v="29.816666658734903"/>
        <n v="10.36666665924713"/>
        <n v="7.6833333377726376"/>
        <n v="16.150000003399327"/>
        <n v="12.716666674241424"/>
        <n v="19.399999998277053"/>
        <n v="20.166666666045785"/>
        <n v="15.799999994924292"/>
        <n v="18.983333328505978"/>
        <n v="14.733333330368623"/>
        <n v="8.1000000075437129"/>
        <n v="13.483333342010155"/>
        <n v="13.733333337586373"/>
        <n v="20.783333340659738"/>
        <n v="11.099999996367842"/>
        <n v="9.0833333297632635"/>
        <n v="24.099999996833503"/>
        <n v="12.449999997625127"/>
        <n v="19.866666669258848"/>
        <n v="14.466666664229706"/>
        <n v="4.4166666723322123"/>
        <n v="19.233333334559575"/>
        <n v="11.066666665719822"/>
        <n v="12.616666671819985"/>
        <n v="21.199999999953434"/>
        <n v="16.366666668327525"/>
        <n v="7.733333338983357"/>
        <n v="12.916666668606922"/>
        <n v="11.633333328645676"/>
        <n v="16.81666666874662"/>
        <n v="13.800000009359792"/>
        <n v="2.4999999976716936"/>
        <n v="15.216666671913117"/>
        <n v="20.233333337819204"/>
        <n v="8.3333333430346102"/>
        <n v="11.716666660504416"/>
        <n v="22.399999997578561"/>
        <n v="11.733333331067115"/>
        <n v="7.0833333337213844"/>
        <n v="5.4166666755918413"/>
        <n v="13.583333333954215"/>
        <n v="7.4333333421964198"/>
        <n v="6.8666666687931865"/>
        <n v="8.7166666716802865"/>
        <n v="20.900000003166497"/>
        <n v="23.566666664555669"/>
        <n v="16.383333328412846"/>
        <n v="11.550000007264316"/>
        <n v="6.9500000006519258"/>
        <n v="21.833333334652707"/>
        <n v="14.149999996880069"/>
        <n v="18.166666659526527"/>
        <n v="21.666666670935228"/>
        <n v="6.8999999994412065"/>
        <n v="9.4666666688863188"/>
        <n v="13.14999999362044"/>
        <n v="15.183333330787718"/>
        <n v="22.283333335071802"/>
        <n v="14.266666669864208"/>
        <n v="25.483333339216188"/>
        <n v="23.683333327062428"/>
        <n v="21.550000008428469"/>
        <n v="27.049999994924292"/>
        <n v="13.016666671028361"/>
        <n v="10.449999991105869"/>
        <n v="8.4166666644159704"/>
        <n v="13.03333334159106"/>
        <n v="17.533333335304633"/>
        <n v="20.500000003958121"/>
        <n v="13.549999992828816"/>
        <n v="28.816666665952653"/>
        <n v="9.733333335025236"/>
        <n v="10.099999993108213"/>
        <n v="9.1166666708886623"/>
        <n v="10.433333331020549"/>
        <n v="14.283333340426907"/>
        <n v="21.066666666883975"/>
        <n v="17.450000003445894"/>
        <n v="16.066666671540588"/>
        <n v="22.916666669771075"/>
        <n v="14.049999994458631"/>
        <n v="12.18333333148621"/>
        <n v="5.700000001816079"/>
        <n v="4.4499999925028533"/>
        <n v="21.416666664881632"/>
        <n v="15.266666662646458"/>
        <n v="33.316666659666225"/>
        <n v="17.550000005867332"/>
        <n v="21.350000003585592"/>
        <n v="10.500000002793968"/>
        <n v="16.83333333930932"/>
        <n v="12.749999994412065"/>
        <n v="12.20000000204891"/>
        <n v="22.366666666930541"/>
        <n v="14.799999991664663"/>
        <n v="23.583333335118368"/>
        <n v="25.716666664229706"/>
        <n v="3.2333333243150264"/>
        <n v="14.433333333581686"/>
        <n v="25.733333324315026"/>
        <n v="6.8499999982304871"/>
        <n v="18.950000008335337"/>
        <n v="21.366666663670912"/>
        <n v="4.7833333304151893"/>
        <n v="9.3333333253394812"/>
        <n v="6.5833333320915699"/>
        <n v="20.950000004377216"/>
        <n v="2.1333333291113377"/>
        <n v="3.1166666618082672"/>
        <n v="7.2833333280868828"/>
        <n v="19.083333341404796"/>
        <n v="14.08333333558403"/>
        <n v="10.149999994318932"/>
        <n v="18.166666670003906"/>
        <n v="27.500000005820766"/>
        <n v="17.966666665161029"/>
        <n v="20.016666672891006"/>
        <n v="8.6833333305548877"/>
        <n v="10.783333339495584"/>
        <n v="26.016666671494022"/>
        <n v="16.516666671959683"/>
        <n v="8.8333333341870457"/>
        <n v="11.000000004423782"/>
        <n v="4.2999999993480742"/>
        <n v="5.9333333373069763"/>
        <n v="24.33333334280178"/>
        <n v="17.033333333674818"/>
        <n v="21.650000000372529"/>
        <n v="14.699999999720603"/>
        <n v="17.216666667954996"/>
        <n v="7.8666666615754366"/>
        <n v="12.350000005681068"/>
        <n v="10.933333332650363"/>
        <n v="13.599999994039536"/>
        <n v="13.033333331113681"/>
        <n v="13.250000006519258"/>
        <n v="20.849999991478398"/>
        <n v="9.916666669305414"/>
        <n v="18.883333336561918"/>
        <n v="13.850000000093132"/>
        <n v="17.300000010291114"/>
        <n v="10.700000007636845"/>
        <n v="19.666666674893349"/>
        <n v="23.116666674613953"/>
        <n v="26.183333335211501"/>
        <n v="17.583333326037973"/>
        <n v="7.9166666627861559"/>
        <n v="18.516666668001562"/>
        <n v="18.033333336934447"/>
        <n v="9.5500000007450581"/>
        <n v="6.4833333401475102"/>
        <n v="22.733333325013518"/>
        <n v="10.566666674567387"/>
        <n v="15.933333327993751"/>
        <n v="21.866666665300727"/>
        <n v="19.366666657151654"/>
        <n v="9.8500000080093741"/>
        <n v="25.799999996088445"/>
        <n v="20.799999990267679"/>
        <n v="6.9333333405666053"/>
        <n v="15.600000000558794"/>
        <n v="10.783333329018205"/>
        <n v="19.216666674474254"/>
        <n v="8.7833333329763263"/>
        <n v="14.200000008568168"/>
        <n v="18.066666657105088"/>
        <n v="10.949999992735684"/>
        <n v="22.200000003213063"/>
        <n v="18.483333326876163"/>
        <n v="26.21666666585952"/>
        <n v="13.11666666297242"/>
        <n v="16.600000003818423"/>
        <n v="28.783333335304633"/>
        <n v="17.400000002235174"/>
        <n v="11.416666663717479"/>
        <n v="21.449999995529652"/>
        <n v="20.233333327341825"/>
        <n v="23.516666673822328"/>
        <n v="6.5333333308808506"/>
        <n v="16.233333335258067"/>
        <n v="25.399999996880069"/>
        <n v="13.416666670236737"/>
        <n v="4.0999999945051968"/>
        <n v="8.40000000433065"/>
        <n v="12.550000000046566"/>
        <n v="22.483333329437301"/>
        <n v="3.849999998928979"/>
        <n v="18.183333330089226"/>
        <n v="23.533333333907649"/>
        <n v="24.900000005727634"/>
        <n v="11.18333333870396"/>
        <n v="15.983333339681849"/>
        <n v="16.933333341730759"/>
        <n v="18.71666667284444"/>
        <n v="13.249999996041879"/>
        <n v="13.383333329111338"/>
        <n v="18.566666658734903"/>
        <n v="4.7333333292044699"/>
        <n v="7.5333333236631006"/>
        <n v="7.2999999986495823"/>
        <n v="9.4333333382382989"/>
        <n v="23.650000006891787"/>
        <n v="2.3833333351649344"/>
        <n v="32.716666666092351"/>
        <n v="20.133333324920386"/>
        <n v="1.5833333367481828"/>
        <n v="16.566666662693024"/>
        <n v="14.649999998509884"/>
        <n v="19.733333336189389"/>
        <n v="16.950000001816079"/>
        <n v="8.1499999982770532"/>
        <n v="28.499999998603016"/>
        <n v="20.499999993480742"/>
        <n v="24.716666671447456"/>
        <n v="19.69999999506399"/>
        <n v="11.533333326224238"/>
        <n v="16.333333337679505"/>
        <n v="15.883333326783031"/>
        <n v="9.2666666640434414"/>
        <n v="9.3833333265502006"/>
        <n v="15.04999999771826"/>
        <n v="16.249999995343387"/>
        <n v="24.566666667815298"/>
        <n v="14.833333332790062"/>
        <n v="29.466666671214625"/>
        <n v="13.066666661761701"/>
        <n v="11.083333336282521"/>
        <n v="24.216666669817641"/>
        <n v="12.899999998044223"/>
        <n v="8.6166666692588478"/>
        <n v="5.883333336096257"/>
        <n v="30.750000000698492"/>
        <n v="11.033333335071802"/>
        <n v="8.9833333378192037"/>
        <n v="13.083333332324401"/>
        <n v="16.599999993341044"/>
        <n v="26.916666661854833"/>
        <n v="17.83333333209157"/>
        <n v="16.583333333255723"/>
        <n v="30.133333336561918"/>
        <n v="31.183333330554888"/>
        <n v="22.40000000805594"/>
        <n v="13.13333333353512"/>
        <n v="11.983333326643333"/>
        <n v="17.316666670376435"/>
        <n v="21.700000001583248"/>
        <n v="21.933333326596767"/>
        <n v="5.1666666695382446"/>
        <n v="14.06666666502133"/>
        <n v="15.200000001350418"/>
        <n v="25.34999999566935"/>
        <n v="28.833333336515352"/>
        <n v="25.516666669864208"/>
        <n v="16.083333331625909"/>
        <n v="4.7666666703298688"/>
        <n v="22.883333339123055"/>
        <n v="9.733333324547857"/>
        <n v="27.249999999767169"/>
        <n v="7.3666666704230011"/>
        <n v="20.58333333581686"/>
        <n v="16.483333341311663"/>
        <n v="16.93333333125338"/>
        <n v="18.500000007916242"/>
        <n v="15.749999993713573"/>
        <n v="8.3666666632052511"/>
        <n v="14.01666667428799"/>
        <n v="1.516666664974764"/>
        <n v="25.249999993247911"/>
        <n v="18.250000001862645"/>
        <n v="3.4666666702833027"/>
        <n v="10.216666666092351"/>
        <n v="26.166666664648801"/>
        <n v="23.716666668187827"/>
        <n v="19.200000003911555"/>
        <n v="25.166666661389172"/>
        <n v="28.716666663531214"/>
        <n v="23.916666673030704"/>
        <n v="17.283333329251036"/>
        <n v="25.600000001722947"/>
        <n v="9.8833333281800151"/>
        <n v="5.8333333348855376"/>
        <n v="6.5166666603181511"/>
        <n v="18.7999999942258"/>
        <n v="16.200000004610047"/>
        <n v="13.649999995250255"/>
        <n v="22.53333333064802"/>
        <n v="5.4499999957624823"/>
        <n v="22.449999998789281"/>
        <n v="7.1333333349321038"/>
        <n v="5.7999999937601388"/>
        <n v="9.9000000092200935"/>
        <n v="5.7333333324640989"/>
        <n v="6.1833333328831941"/>
        <n v="17.816666672006249"/>
        <n v="21.483333336655051"/>
        <n v="21.049999996321276"/>
        <n v="12.21666666213423"/>
        <n v="21.816666674567387"/>
        <n v="18.933333337772638"/>
        <n v="11.650000009685755"/>
        <n v="13.133333323057741"/>
        <n v="13.999999993247911"/>
        <n v="4.033333333209157"/>
        <n v="18.783333323663101"/>
        <n v="16.683333325199783"/>
        <n v="20.116666675312445"/>
        <n v="23.366666659712791"/>
        <n v="16.633333323989064"/>
        <n v="6.7833333264570683"/>
        <n v="8.2666666607838124"/>
        <n v="17.050000004237518"/>
        <n v="10.566666664090008"/>
        <n v="18.133333339355886"/>
        <n v="23.38333334075287"/>
        <n v="8.8500000047497451"/>
        <n v="15.633333341684192"/>
        <n v="14.416666663018987"/>
        <n v="16.833333328831941"/>
        <n v="29.133333333302289"/>
        <n v="25.466666668653488"/>
        <n v="15.649999991292134"/>
        <n v="18.266666661947966"/>
        <n v="3.8333333388436586"/>
        <n v="14.683333339635283"/>
        <n v="17.81666666152887"/>
        <n v="4.0000000025611371"/>
        <n v="7.3166666692122817"/>
        <n v="25.483333328738809"/>
        <n v="15.300000003771856"/>
        <n v="13.1000000028871"/>
        <n v="28.249999992549419"/>
        <n v="4.4166666618548334"/>
        <n v="16.9499999913387"/>
        <n v="26.700000007404014"/>
        <n v="11.199999998789281"/>
        <n v="26.23333333642222"/>
        <n v="12.216666672611609"/>
        <n v="27.549999996554106"/>
        <n v="14.716666659805924"/>
        <n v="21.733333332231268"/>
        <n v="8.883333335397765"/>
        <n v="6.3833333272486925"/>
        <n v="21.316666662460193"/>
        <n v="13.799999998882413"/>
        <n v="13.899999990826473"/>
        <n v="11.816666673403233"/>
        <n v="5.8666666760109365"/>
        <n v="16.816666658269241"/>
        <n v="6.6833333345130086"/>
        <n v="10.400000000372529"/>
        <n v="16.533333342522383"/>
        <n v="25.233333333162591"/>
        <n v="19.066666670842096"/>
        <n v="22.800000007264316"/>
        <n v="7.5999999954365194"/>
        <n v="16.149999992921948"/>
        <n v="3.9499999908730388"/>
        <n v="27.516666665906087"/>
        <n v="13.450000000884756"/>
        <n v="19.916666670469567"/>
        <n v="14.583333326736465"/>
        <n v="3.7666666670702398"/>
        <n v="25.100000000093132"/>
        <n v="2.2166666714474559"/>
        <n v="18.083333327667788"/>
        <n v="14.816666662227362"/>
        <n v="11.533333336701617"/>
        <n v="21.50000000721775"/>
        <n v="12.699999993201345"/>
        <n v="22.016666668932885"/>
        <n v="4.8166666715405881"/>
        <n v="20.766666659619659"/>
        <n v="25.083333340007812"/>
        <n v="20.850000001955777"/>
        <n v="20.966666664462537"/>
        <n v="10.166666675359011"/>
        <n v="8.4833333257120103"/>
        <n v="27.18333333847113"/>
        <n v="12.983333340380341"/>
        <n v="3.6000000033527613"/>
        <n v="12.516666658921167"/>
        <n v="7.9500000039115548"/>
        <n v="27.966666666325182"/>
        <n v="7.700000008335337"/>
        <n v="6.9166666595265269"/>
        <n v="10.233333326177672"/>
        <n v="4.9166666739620268"/>
        <n v="14.800000002142042"/>
        <n v="12.533333329483867"/>
        <n v="6.3666666566859931"/>
        <n v="16.866666659479961"/>
        <n v="8.6333333398215473"/>
        <n v="25.783333336003125"/>
        <n v="8.5333333269227296"/>
        <n v="22.916666659293696"/>
        <n v="9.8166666668839753"/>
        <n v="11.766666672192514"/>
        <n v="9.8666666680946946"/>
        <n v="26.083333332790062"/>
        <n v="20.866666672518477"/>
        <n v="3.9999999920837581"/>
        <n v="2.7666666638106108"/>
        <n v="31.8999999971129"/>
        <n v="21.683333331020549"/>
        <n v="29.399999999441206"/>
        <n v="8.216666670050472"/>
        <n v="15.483333327574655"/>
        <n v="8.7166666612029076"/>
        <n v="11.366666672984138"/>
        <n v="14.016666663810611"/>
        <n v="27.016666664276272"/>
        <n v="22.816666667349637"/>
        <n v="9.6499999926891178"/>
        <n v="20.899999992689118"/>
        <n v="5.6833333312533796"/>
        <n v="20.416666661622003"/>
        <n v="11.449999994365498"/>
        <n v="21.433333324966952"/>
        <n v="25.066666669445112"/>
        <n v="17.233333328040317"/>
        <n v="12.683333333116025"/>
        <n v="9.4999999995343387"/>
        <n v="13.700000006938353"/>
        <n v="5.9500000078696758"/>
        <n v="24.36666666297242"/>
        <n v="5.3333333332557231"/>
        <n v="18.899999996647239"/>
        <n v="11.333333331858739"/>
        <n v="16.650000005029142"/>
        <n v="19.333333336981013"/>
        <n v="6.6666666744276881"/>
        <n v="24.200000009732321"/>
        <n v="6.6333333333022892"/>
        <n v="15.166666670702398"/>
        <n v="10.333333339076489"/>
        <n v="20.433333332184702"/>
        <n v="23.516666663344949"/>
        <n v="26.183333324734122"/>
        <n v="11.816666662925854"/>
        <n v="12.800000006100163"/>
        <n v="8.1333333381917328"/>
        <n v="8.8666666753124446"/>
        <n v="24.866666664602235"/>
        <n v="11.083333325805143"/>
        <n v="16.766666657058522"/>
        <n v="22.700000004842877"/>
        <n v="15.85000000661239"/>
        <n v="19.766666666837409"/>
        <n v="20.250000008381903"/>
        <n v="23.200000006472692"/>
        <n v="23.233333337120712"/>
        <n v="6.7333333357237279"/>
        <n v="21.58333332859911"/>
        <n v="14.749999990453944"/>
        <n v="8.249999990221113"/>
        <n v="26.29999999771826"/>
        <n v="18.70000000228174"/>
        <n v="4.0166666626464576"/>
        <n v="13.93333334242925"/>
        <n v="17.516666664741933"/>
        <n v="14.316666660597548"/>
        <n v="24.516666666604578"/>
        <n v="24.783333332743496"/>
        <n v="4.8333333316259086"/>
        <n v="25.449999998090789"/>
        <n v="4.2166666674893349"/>
        <n v="15.06666665780358"/>
        <n v="19.266666665207595"/>
        <n v="24.483333335956559"/>
        <n v="7.9999999946448952"/>
        <n v="9.1333333309739828"/>
        <n v="11.483333325013518"/>
        <n v="22.033333339495584"/>
        <n v="9.9666666705161333"/>
        <n v="19.216666663996875"/>
        <n v="23.46666666213423"/>
        <n v="12.300000004470348"/>
        <n v="10.833333330228925"/>
        <n v="7.8666666720528156"/>
        <n v="14.716666670283303"/>
        <n v="9.583333331393078"/>
      </sharedItems>
    </cacheField>
    <cacheField name="NumberofItemsOrdered" numFmtId="0">
      <sharedItems containsSemiMixedTypes="0" containsString="0" containsNumber="1" containsInteger="1" minValue="1" maxValue="3"/>
    </cacheField>
    <cacheField name="WeightItem1" numFmtId="0">
      <sharedItems containsSemiMixedTypes="0" containsString="0" containsNumber="1" minValue="1" maxValue="2.2999999999999998"/>
    </cacheField>
    <cacheField name="WeightItem2" numFmtId="0">
      <sharedItems containsSemiMixedTypes="0" containsString="0" containsNumber="1" minValue="0" maxValue="2.2999999999999998"/>
    </cacheField>
    <cacheField name="WeightItem3" numFmtId="0">
      <sharedItems containsSemiMixedTypes="0" containsString="0" containsNumber="1" minValue="0" maxValue="2.2999999999999998"/>
    </cacheField>
    <cacheField name="TotalWeightOrder" numFmtId="0">
      <sharedItems containsSemiMixedTypes="0" containsString="0" containsNumber="1" minValue="1" maxValue="5"/>
    </cacheField>
    <cacheField name="CostTraditionalDelivery" numFmtId="44">
      <sharedItems containsSemiMixedTypes="0" containsString="0" containsNumber="1" minValue="0" maxValue="9.5861111106933095" count="1453">
        <n v="0"/>
        <n v="3.5086111119599082"/>
        <n v="3.3386111108120531"/>
        <n v="2.9136111094267108"/>
        <n v="6.8236111120786518"/>
        <n v="4.4011111127911136"/>
        <n v="6.4505555554060265"/>
        <n v="4.4011111098225228"/>
        <n v="4.8355555548914708"/>
        <n v="3.6313888887525536"/>
        <n v="6.3088888882775791"/>
        <n v="5.8744444432086311"/>
        <n v="2.9702777804341167"/>
        <n v="3.6455555557622574"/>
        <n v="5.9027777801966295"/>
        <n v="2.7861111122765578"/>
        <n v="5.1141666687908582"/>
        <n v="4.2311111116432585"/>
        <n v="2.653888888831716"/>
        <n v="3.7777777792070992"/>
        <n v="5.5911111089517362"/>
        <n v="3.2016666670097038"/>
        <n v="5.4636111088329926"/>
        <n v="3.3622222215053625"/>
        <n v="3.9949999987729825"/>
        <n v="4.5663888876442797"/>
        <n v="2.5972222207929008"/>
        <n v="3.1072222212678753"/>
        <n v="2.8805555550497957"/>
        <n v="4.5380555565934628"/>
        <n v="3.8627777782967314"/>
        <n v="4.2263888883171603"/>
        <n v="4.4908333322382532"/>
        <n v="5.7941666674450971"/>
        <n v="4.1224999988917261"/>
        <n v="1.5724999994854443"/>
        <n v="4.4530555575038306"/>
        <n v="4.4766666681971401"/>
        <n v="2.8475000006728806"/>
        <n v="7.0502777782967314"/>
        <n v="6.2805555542581715"/>
        <n v="5.9027777772280388"/>
        <n v="5.6147222226136364"/>
        <n v="7.4800000000395812"/>
        <n v="4.5947222216636874"/>
        <n v="5.2274999989313073"/>
        <n v="5.9641666685929522"/>
        <n v="4.2358333320007659"/>
        <n v="2.3516666672076099"/>
        <n v="5.1188888891483657"/>
        <n v="2.3138888895045966"/>
        <n v="3.6975000004749745"/>
        <n v="5.3833333330694586"/>
        <n v="2.753055554931052"/>
        <n v="6.0916666657431051"/>
        <n v="1.8038888890296221"/>
        <n v="2.7624999986146577"/>
        <n v="2.1391666650306433"/>
        <n v="3.8250000005937181"/>
        <n v="2.8522222239989787"/>
        <n v="6.8377777790883556"/>
        <n v="3.9808333347318694"/>
        <n v="3.0883333309320733"/>
        <n v="5.1850000008707866"/>
        <n v="3.3716666681575589"/>
        <n v="3.5983333343756385"/>
        <n v="6.2144444455043413"/>
        <n v="3.6172222247114405"/>
        <n v="4.3161111107328907"/>
        <n v="2.9419444434461184"/>
        <n v="4.6183333353255875"/>
        <n v="5.1802777775446884"/>
        <n v="7.0172222239198163"/>
        <n v="5.6194444459397346"/>
        <n v="3.9997222220990807"/>
        <n v="5.0811111114453524"/>
        <n v="4.4152777798008174"/>
        <n v="3.5699999973876402"/>
        <n v="4.3633333350881003"/>
        <n v="5.9499999986146577"/>
        <n v="5.0149999997229315"/>
        <n v="4.9819444453460164"/>
        <n v="3.8344444442773238"/>
        <n v="5.8697222228511237"/>
        <n v="7.177777778415475"/>
        <n v="8.1741666657035239"/>
        <n v="4.0611111104954034"/>
        <n v="8.3630555542185903"/>
        <n v="4.8166666675242595"/>
        <n v="2.0163888882379979"/>
        <n v="4.5805555576225743"/>
        <n v="2.1391666679992341"/>
        <n v="4.2311111086746678"/>
        <n v="4.9441666646744125"/>
        <n v="2.5311111120390706"/>
        <n v="6.0822222220594995"/>
        <n v="5.7658333334256895"/>
        <n v="4.9536111113266088"/>
        <n v="4.6466666663764045"/>
        <n v="1.9313888891483657"/>
        <n v="5.770555553783197"/>
        <n v="2.0494444455835037"/>
        <n v="3.2724999990896322"/>
        <n v="2.5499999994062819"/>
        <n v="3.7777777762385085"/>
        <n v="2.8286111103370786"/>
        <n v="5.8933333335444331"/>
        <n v="5.3219444446731359"/>
        <n v="3.5463888896629214"/>
        <n v="3.5841666673659347"/>
        <n v="4.3963888894650154"/>
        <n v="2.8758333346922882"/>
        <n v="5.3172222243156284"/>
        <n v="2.8049999996437691"/>
        <n v="3.0127777784946375"/>
        <n v="4.7883333335048519"/>
        <n v="4.4294444438419305"/>
        <n v="5.671388887683861"/>
        <n v="2.2336111107724719"/>
        <n v="1.6763888889108784"/>
        <n v="2.0400000018998981"/>
        <n v="5.9405555578996427"/>
        <n v="5.525000000197906"/>
        <n v="7.8625000003958121"/>
        <n v="5.7186111120390706"/>
        <n v="3.64083333540475"/>
        <n v="5.7941666644765064"/>
        <n v="2.5216666653868742"/>
        <n v="2.7011111102183349"/>
        <n v="3.6408333324361593"/>
        <n v="3.1213888882775791"/>
        <n v="6.4175000010291114"/>
        <n v="6.3891666670097038"/>
        <n v="4.8355555578600615"/>
        <n v="2.049444442614913"/>
        <n v="4.722222221782431"/>
        <n v="5.8272222218220122"/>
        <n v="5.822499998495914"/>
        <n v="6.1766666648327373"/>
        <n v="4.0752777775051072"/>
        <n v="1.2136111098225228"/>
        <n v="3.9052777763572522"/>
        <n v="7.7066666662576608"/>
        <n v="3.9147222230094485"/>
        <n v="3.2536111117224209"/>
        <n v="5.1944444445543922"/>
        <n v="2.1155555573059246"/>
        <n v="2.2005555563955568"/>
        <n v="1.2938888885546476"/>
        <n v="7.8341666663764045"/>
        <n v="3.0174999988521449"/>
        <n v="3.8816666656639427"/>
        <n v="4.0469444434856996"/>
        <n v="2.5688888867734931"/>
        <n v="4.6088888886733912"/>
        <n v="0.86888889013789594"/>
        <n v="3.621944445068948"/>
        <n v="5.8649999995250255"/>
        <n v="7.8530555537436157"/>
        <n v="2.6680555558414198"/>
        <n v="4.9158333336235955"/>
        <n v="4.1413888892275281"/>
        <n v="4.4530555545352399"/>
        <n v="4.939444444316905"/>
        <n v="3.2063888873672113"/>
        <n v="3.5605555566726252"/>
        <n v="5.2133333348901942"/>
        <n v="5.7611111100995913"/>
        <n v="3.7730555558810011"/>
        <n v="5.3313888913253322"/>
        <n v="3.6644444460980594"/>
        <n v="5.5674999982584268"/>
        <n v="2.9041666687116958"/>
        <n v="3.3291666671284474"/>
        <n v="4.6136111119994894"/>
        <n v="3.8958333326736465"/>
        <n v="6.1530555571080185"/>
        <n v="5.3786111127119511"/>
        <n v="7.206111109466292"/>
        <n v="3.5322222226532176"/>
        <n v="1.1097222233656794"/>
        <n v="4.7174999984563328"/>
        <n v="6.1011111123953015"/>
        <n v="6.19555555813713"/>
        <n v="6.0019444433273748"/>
        <n v="5.9358333316049539"/>
        <n v="2.1249999980209395"/>
        <n v="6.4836111097829416"/>
        <n v="1.4780555567122065"/>
        <n v="4.207500000949949"/>
        <n v="5.4211111107724719"/>
        <n v="1.5441666684346274"/>
        <n v="4.4341666671680287"/>
        <n v="3.8155555539415218"/>
        <n v="4.3680555554456078"/>
        <n v="2.9136111123953015"/>
        <n v="3.5652777770301327"/>
        <n v="3.7069444471271709"/>
        <n v="3.5369444430107251"/>
        <n v="7.9852777801570483"/>
        <n v="5.543888890533708"/>
        <n v="4.6655555567122065"/>
        <n v="0.97277777956333011"/>
        <n v="4.6513888897025026"/>
        <n v="6.5402777778217569"/>
        <n v="3.4755555546144024"/>
        <n v="3.6502777761197649"/>
        <n v="1.1852777787717059"/>
        <n v="3.0080555551685393"/>
        <n v="5.2699999999604188"/>
        <n v="3.8108333306154236"/>
        <n v="4.4247222205158323"/>
        <n v="4.9252777773072012"/>
        <n v="5.5108333331882022"/>
        <n v="2.0399999989313073"/>
        <n v="3.107222224236466"/>
        <n v="6.5072222234448418"/>
        <n v="2.970277777465526"/>
        <n v="3.1308333319611847"/>
        <n v="6.3136111086350866"/>
        <n v="4.7599999994854443"/>
        <n v="5.3550000020186417"/>
        <n v="3.4802777779405005"/>
        <n v="4.2122222242760472"/>
        <n v="3.5888888877234422"/>
        <n v="6.5261111108120531"/>
        <n v="6.7527777770301327"/>
        <n v="4.3113888874067925"/>
        <n v="3.82027777726762"/>
        <n v="4.6844444440794177"/>
        <n v="2.7105555539019406"/>
        <n v="4.3208333340589888"/>
        <n v="6.5497222215053625"/>
        <n v="1.2561111108516343"/>
        <n v="5.9452777782571502"/>
        <n v="2.6208333344548009"/>
        <n v="1.8936111084767617"/>
        <n v="2.7908333326340653"/>
        <n v="4.2074999979813583"/>
        <n v="4.3538888914044946"/>
        <n v="2.2477777777821757"/>
        <n v="4.3444444447522983"/>
        <n v="6.9841666665743105"/>
        <n v="4.1225000018603168"/>
        <n v="4.5191666662576608"/>
        <n v="4.405833333148621"/>
        <n v="4.4955555555643514"/>
        <n v="0.43444444506894797"/>
        <n v="6.3277777786133811"/>
        <n v="3.2394444447127171"/>
        <n v="5.6666666673263535"/>
        <n v="1.6291666675242595"/>
        <n v="3.919444443366956"/>
        <n v="5.8980555568705313"/>
        <n v="3.3905555555247702"/>
        <n v="6.2947222212678753"/>
        <n v="6.2663888902170584"/>
        <n v="6.7952777780592442"/>
        <n v="4.5144444459001534"/>
        <n v="5.0952777784550563"/>
        <n v="3.3055555534665473"/>
        <n v="3.9430555540602654"/>
        <n v="4.3538888884359039"/>
        <n v="2.3233333331882022"/>
        <n v="6.8141666654264554"/>
        <n v="5.2038888882379979"/>
        <n v="2.5688888897420838"/>
        <n v="9.0005555577808991"/>
        <n v="4.4577777778613381"/>
        <n v="2.3422222235240042"/>
        <n v="3.4377777769113891"/>
        <n v="4.7316666684346274"/>
        <n v="1.8558333337423392"/>
        <n v="3.0033333348110318"/>
        <n v="4.2500000019790605"/>
        <n v="5.9547222219407558"/>
        <n v="4.0516666668117978"/>
        <n v="3.1497222222969867"/>
        <n v="4.018611109466292"/>
        <n v="4.8827777792466804"/>
        <n v="5.5958333322778344"/>
        <n v="2.7247222209116444"/>
        <n v="3.423611112870276"/>
        <n v="1.7283333336235955"/>
        <n v="4.6750000003958121"/>
        <n v="3.2441666680388153"/>
        <n v="6.6866666682763025"/>
        <n v="6.7433333333465271"/>
        <n v="3.2488888883963227"/>
        <n v="1.7472222209908068"/>
        <n v="4.2122222213074565"/>
        <n v="5.3408333320403472"/>
        <n v="4.1319444455439225"/>
        <n v="5.5533333342173137"/>
        <n v="2.0116666649118997"/>
        <n v="2.5500000023748726"/>
        <n v="4.3727777787717059"/>
        <n v="5.5769444449106231"/>
        <n v="3.0788888902170584"/>
        <n v="3.0411111095454544"/>
        <n v="1.2088888894650154"/>
        <n v="5.0055555560393259"/>
        <n v="6.9936111102579162"/>
        <n v="6.6583333342568949"/>
        <n v="3.4519444468896836"/>
        <n v="4.4861111118807457"/>
        <n v="3.7683333355234936"/>
        <n v="2.9513888900983147"/>
        <n v="6.9747222199221142"/>
        <n v="4.7411111091496423"/>
        <n v="3.088333333900664"/>
        <n v="5.6619444440002553"/>
        <n v="0.90666666784090921"/>
        <n v="4.13666666590143"/>
        <n v="4.108333334850613"/>
        <n v="4.009166668751277"/>
        <n v="5.2983333310112357"/>
        <n v="2.4508333333069459"/>
        <n v="1.4072222216636874"/>
        <n v="5.6241666692658328"/>
        <n v="1.317499999247957"/>
        <n v="6.4080555543769151"/>
        <n v="4.5333333332673647"/>
        <n v="2.5783333334256895"/>
        <n v="6.1294444434461184"/>
        <n v="6.6536111109307967"/>
        <n v="2.9844444444752298"/>
        <n v="5.0433333337423392"/>
        <n v="3.0363888891879469"/>
        <n v="4.8733333325944841"/>
        <n v="4.1886111135827377"/>
        <n v="4.9488888880005106"/>
        <n v="2.4083333322778344"/>
        <n v="4.1791666669305414"/>
        <n v="2.8616666676825844"/>
        <n v="7.6594444419024512"/>
        <n v="3.3338888874859549"/>
        <n v="6.2097222221782431"/>
        <n v="4.7269444451085292"/>
        <n v="4.6608333333861083"/>
        <n v="0.54305555485188961"/>
        <n v="6.4694444457418285"/>
        <n v="3.4377777798799798"/>
        <n v="3.3008333331090398"/>
        <n v="5.9924999996437691"/>
        <n v="2.8569444443564862"/>
        <n v="1.5063888907316141"/>
        <n v="4.9347222209908068"/>
        <n v="1.3127777788904496"/>
        <n v="4.1555555532686412"/>
        <n v="4.7552777791279368"/>
        <n v="4.8922222199616954"/>
        <n v="2.436666666297242"/>
        <n v="5.8744444461772218"/>
        <n v="5.0055555530707352"/>
        <n v="3.8675000016228296"/>
        <n v="5.6572222236427478"/>
        <n v="7.9711111101787537"/>
        <n v="6.05861111136619"/>
        <n v="4.1130555552081205"/>
        <n v="3.4897222245926969"/>
        <n v="3.7305555548518896"/>
        <n v="1.9172222221386619"/>
        <n v="2.5263888887129724"/>
        <n v="2.1580555553664453"/>
        <n v="4.5899999983375892"/>
        <n v="3.9477777773863636"/>
        <n v="4.4388888875255361"/>
        <n v="2.337500000197906"/>
        <n v="2.573611113068182"/>
        <n v="4.7080555547727272"/>
        <n v="5.0716666647931561"/>
        <n v="8.6794444458209909"/>
        <n v="5.4116666670888662"/>
        <n v="4.2641666689887643"/>
        <n v="8.3347222231677733"/>
        <n v="1.2230555564747192"/>
        <n v="5.7044444450293668"/>
        <n v="6.6441666672471911"/>
        <n v="3.484999998298008"/>
        <n v="4.5994444420211948"/>
        <n v="4.4483333341777325"/>
        <n v="4.0327777794445865"/>
        <n v="6.8094444421003573"/>
        <n v="2.4744444440002553"/>
        <n v="2.4838888906524517"/>
        <n v="7.6311111108516343"/>
        <n v="3.9761111114057712"/>
        <n v="5.2180555552477017"/>
        <n v="6.2286111095454544"/>
        <n v="3.4236111099016853"/>
        <n v="4.1602777765947394"/>
        <n v="6.3986111106933095"/>
        <n v="6.0208333336631767"/>
        <n v="2.7341666675638407"/>
        <n v="2.781388885981869"/>
        <n v="2.7105555568705313"/>
        <n v="6.1625000007916242"/>
        <n v="5.473055555485189"/>
        <n v="5.4399999981396832"/>
        <n v="2.9088888890692033"/>
        <n v="5.9263888879213482"/>
        <n v="7.00777777726762"/>
        <n v="5.1613888872088864"/>
        <n v="3.1308333349297754"/>
        <n v="2.8144444462959655"/>
        <n v="7.3430555562372319"/>
        <n v="2.5547222197637893"/>
        <n v="3.9666666677221656"/>
        <n v="4.0280555531498976"/>
        <n v="7.0644444453064352"/>
        <n v="3.4425000002374873"/>
        <n v="3.404722222534474"/>
        <n v="4.4388888904941268"/>
        <n v="5.4352777777821757"/>
        <n v="4.2972222203970887"/>
        <n v="3.8061111102579162"/>
        <n v="4.0705555571475998"/>
        <n v="3.305555556435138"/>
        <n v="6.3513888893066905"/>
        <n v="5.0244444463751279"/>
        <n v="7.3336111095850356"/>
        <n v="4.8969444462563843"/>
        <n v="5.6336111099808477"/>
        <n v="2.6161111111287028"/>
        <n v="6.7291666663368233"/>
        <n v="4.3916666661389172"/>
        <n v="5.3455555553664453"/>
        <n v="1.3694444469292648"/>
        <n v="6.9983333335840143"/>
        <n v="7.0125000005937181"/>
        <n v="2.6633333325153217"/>
        <n v="6.4174999980605207"/>
        <n v="2.4083333352464251"/>
        <n v="3.6691666664555669"/>
        <n v="6.375"/>
        <n v="5.8508333325153217"/>
        <n v="7.5319444417837076"/>
        <n v="3.1780555533478037"/>
        <n v="3.8297222209512256"/>
        <n v="3.8580555549706332"/>
        <n v="5.5391666672076099"/>
        <n v="7.0833333356422372"/>
        <n v="6.5686111118411645"/>
        <n v="1.5866666664951481"/>
        <n v="4.7458333324757405"/>
        <n v="5.9830555559601635"/>
        <n v="4.2736111126723699"/>
        <n v="3.6266666654264554"/>
        <n v="5.6052777759614401"/>
        <n v="2.4177777789300308"/>
        <n v="6.9794444432482123"/>
        <n v="4.3349999981001019"/>
        <n v="2.3186111128306948"/>
        <n v="3.4141666662180796"/>
        <n v="2.9655555541394278"/>
        <n v="5.8130555548123084"/>
        <n v="4.3869444457814097"/>
        <n v="5.3077777776634321"/>
        <n v="3.5322222196846269"/>
        <n v="2.1202777776634321"/>
        <n v="3.9572222210699692"/>
        <n v="2.7719444422982633"/>
        <n v="1.3033333322382532"/>
        <n v="2.4319444429711439"/>
        <n v="2.0824999999604188"/>
        <n v="6.256944443564862"/>
        <n v="5.5863888885942288"/>
        <n v="6.2569444465334527"/>
        <n v="6.573333332198672"/>
        <n v="2.7766666656243615"/>
        <n v="4.4719444448710419"/>
        <n v="5.5627777779009193"/>
        <n v="3.4944444449502043"/>
        <n v="4.6891666674055159"/>
        <n v="4.7836111101787537"/>
        <n v="4.2830555563559756"/>
        <n v="3.9288888870505616"/>
        <n v="7.3572222232469358"/>
        <n v="4.0799999978626147"/>
        <n v="2.3611111108912155"/>
        <n v="3.2300000010291114"/>
        <n v="1.9975000008707866"/>
        <n v="5.3691666660597548"/>
        <n v="6.2050000018207356"/>
        <n v="5.3030555543373339"/>
        <n v="2.2619444447918795"/>
        <n v="5.2747222203179263"/>
        <n v="0.79805555508937687"/>
        <n v="4.7363888887921348"/>
        <n v="5.7988888878026046"/>
        <n v="4.7552777761593461"/>
        <n v="7.2674999978626147"/>
        <n v="4.0800000008312054"/>
        <n v="2.0116666678804904"/>
        <n v="5.6477777769905515"/>
        <n v="5.4541666681179777"/>
        <n v="5.6950000013457611"/>
        <n v="5.2841666669701226"/>
        <n v="4.0044444424565881"/>
        <n v="5.0102777763968334"/>
        <n v="4.7741666664951481"/>
        <n v="2.9797222241177224"/>
        <n v="5.6572222206741571"/>
        <n v="4.8213888908503577"/>
        <n v="0.83111110946629196"/>
        <n v="2.2052777767530642"/>
        <n v="5.3172222213470377"/>
        <n v="7.6216666641994379"/>
        <n v="3.9525000007124618"/>
        <n v="4.0563888901378959"/>
        <n v="2.852222221030388"/>
        <n v="2.7861111093079671"/>
        <n v="3.7588888888712972"/>
        <n v="4.9961111093871295"/>
        <n v="4.8922222229302861"/>
        <n v="3.603055554733146"/>
        <n v="3.4094444428919815"/>
        <n v="3.6738888868130744"/>
        <n v="3.7730555529124103"/>
        <n v="5.723333332396578"/>
        <n v="2.6444444451481104"/>
        <n v="1.9266666658222675"/>
        <n v="2.3469444438815117"/>
        <n v="5.3975000000791624"/>
        <n v="2.7625000015832484"/>
        <n v="4.9016666666138917"/>
        <n v="4.840277778217569"/>
        <n v="7.4611111126723699"/>
        <n v="4.0138888891087845"/>
        <n v="4.523888889583759"/>
        <n v="3.4897222216241062"/>
        <n v="5.0622222211095504"/>
        <n v="3.3102777767926455"/>
        <n v="5.6052777789300308"/>
        <n v="1.5630555558018386"/>
        <n v="2.8852777783758938"/>
        <n v="5.2888888902962208"/>
        <n v="3.2772222224157304"/>
        <n v="6.5166666671284474"/>
        <n v="5.7186111090704799"/>
        <n v="2.2997222195263021"/>
        <n v="8.5188888883567415"/>
        <n v="5.959444445266854"/>
        <n v="7.2911111115245149"/>
        <n v="4.0327777764759958"/>
        <n v="3.3811111118411645"/>
        <n v="1.7330555569496937"/>
        <n v="3.0033333318424411"/>
        <n v="9.5861111106933095"/>
        <n v="3.4755555575829931"/>
        <n v="3.9619444443960674"/>
        <n v="0.9255555552081205"/>
        <n v="4.4719444419024512"/>
        <n v="6.4599999990896322"/>
        <n v="7.8294444430503063"/>
        <n v="5.572222221584525"/>
        <n v="5.2936111106537282"/>
        <n v="3.6125000013853423"/>
        <n v="7.4894444466917776"/>
        <n v="3.4661111109307967"/>
        <n v="4.4436111108516343"/>
        <n v="4.8072222238406539"/>
        <n v="1.7802777783363126"/>
        <n v="5.8791666665347293"/>
        <n v="6.5638888885150664"/>
        <n v="4.9677777753677219"/>
        <n v="4.8119444441981614"/>
        <n v="4.8686111092683859"/>
        <n v="2.0022222241968848"/>
        <n v="7.7633333342964761"/>
        <n v="4.3397222214262001"/>
        <n v="4.7930555568309501"/>
        <n v="1.8416666667326353"/>
        <n v="6.4222222243552096"/>
        <n v="5.5675000012270175"/>
        <n v="2.8238888870109804"/>
        <n v="3.5700000003562309"/>
        <n v="6.4411111117224209"/>
        <n v="7.6405555545352399"/>
        <n v="3.4708333342568949"/>
        <n v="4.6324999993667006"/>
        <n v="3.3150000001187436"/>
        <n v="4.6277777760406025"/>
        <n v="2.5074999983771704"/>
        <n v="4.3491666680783965"/>
        <n v="3.3952777788508683"/>
        <n v="1.7141666666138917"/>
        <n v="4.5380555536248721"/>
        <n v="6.3183333349297754"/>
        <n v="5.9500000015832484"/>
        <n v="3.938333333702758"/>
        <n v="5.5061111098621041"/>
        <n v="3.7636111121973954"/>
        <n v="7.0833333326736465"/>
        <n v="5.8555555558414198"/>
        <n v="8.0702777762780897"/>
        <n v="1.0955555533873849"/>
        <n v="3.4188888895441778"/>
        <n v="5.5580555575434119"/>
        <n v="3.4472222205949947"/>
        <n v="4.3302777777425945"/>
        <n v="4.2452777786529623"/>
        <n v="5.2511111125932075"/>
        <n v="6.6158333332277834"/>
        <n v="4.9583333316841163"/>
        <n v="5.1661111105349846"/>
        <n v="6.5450000011478551"/>
        <n v="5.6855555546935648"/>
        <n v="5.0338888900587335"/>
        <n v="2.4933333343360573"/>
        <n v="3.8533333346131258"/>
        <n v="4.8591666655847803"/>
        <n v="1.8274999997229315"/>
        <n v="4.5522222206345759"/>
        <n v="5.2416666659410112"/>
        <n v="2.23833333409857"/>
        <n v="3.8863888889900409"/>
        <n v="6.1058333327528089"/>
        <n v="4.9205555569496937"/>
        <n v="3.1922222233260982"/>
        <n v="6.2286111125140451"/>
        <n v="4.2169444446335547"/>
        <n v="8.0419444452272728"/>
        <n v="2.1486111116828397"/>
        <n v="5.6808333313674666"/>
        <n v="2.1108333339798264"/>
        <n v="3.584166664397344"/>
        <n v="0.95388888922752813"/>
        <n v="7.276944444514811"/>
        <n v="8.5330555553664453"/>
        <n v="3.4283333332277834"/>
        <n v="5.624166666297242"/>
        <n v="6.5355555544956587"/>
        <n v="0.69888888899004087"/>
        <n v="5.156666666851379"/>
        <n v="0.53833333449438214"/>
        <n v="3.6738888897816651"/>
        <n v="7.7397222236031666"/>
        <n v="3.7494444451876916"/>
        <n v="0.75083333370275795"/>
        <n v="3.791944446216803"/>
        <n v="2.3658333342173137"/>
        <n v="3.3858333351672627"/>
        <n v="2.9088888861006126"/>
        <n v="2.5925000004353933"/>
        <n v="5.8036111111287028"/>
        <n v="1.5394444451085292"/>
        <n v="0.91611111152451485"/>
        <n v="2.989166667801328"/>
        <n v="2.87111111136619"/>
        <n v="3.8769444453064352"/>
        <n v="7.2391666668117978"/>
        <n v="3.3763888885150664"/>
        <n v="6.2002777784946375"/>
        <n v="2.890000001701992"/>
        <n v="2.3941666652681306"/>
        <n v="5.392777779721655"/>
        <n v="6.0161111103370786"/>
        <n v="6.6772222245926969"/>
        <n v="4.6513888867339119"/>
        <n v="4.2594444426940754"/>
        <n v="4.4813888885546476"/>
        <n v="3.9430555570288561"/>
        <n v="1.7613888880005106"/>
        <n v="4.7788888898212463"/>
        <n v="5.0858333347714506"/>
        <n v="2.583055553783197"/>
        <n v="2.9183333327528089"/>
        <n v="3.9005555559997447"/>
        <n v="5.3880555563955568"/>
        <n v="7.0549999986542389"/>
        <n v="4.2688888893462718"/>
        <n v="4.9913888890296221"/>
        <n v="5.1330555561580695"/>
        <n v="1.7897222220199183"/>
        <n v="3.7447222218615934"/>
        <n v="3.7399999985354953"/>
        <n v="5.0527777803945355"/>
        <n v="2.7672222249093466"/>
        <n v="4.325555557385087"/>
        <n v="5.5202777798403986"/>
        <n v="5.6902777750510722"/>
        <n v="3.5133333352860063"/>
        <n v="2.4225000022561289"/>
        <n v="4.0941666648723185"/>
        <n v="2.8663888880400918"/>
        <n v="3.9288888900191523"/>
        <n v="6.7622222236823291"/>
        <n v="4.7127777780988254"/>
        <n v="1.5063888877630234"/>
        <n v="6.5308333341381513"/>
        <n v="4.5097222225740552"/>
        <n v="2.8899999987334013"/>
        <n v="3.2158333310508169"/>
        <n v="5.0244444434065372"/>
        <n v="2.6633333354839124"/>
        <n v="4.6183333323569968"/>
        <n v="6.356111109664198"/>
        <n v="5.1802777805132791"/>
        <n v="5.3313888883567415"/>
        <n v="5.4116666641202755"/>
        <n v="4.6372222197242081"/>
        <n v="2.0447222222574055"/>
        <n v="5.1047222221386619"/>
        <n v="4.2925000000395812"/>
        <n v="2.1250000009895302"/>
        <n v="3.7824999995646067"/>
        <n v="1.5488888917607255"/>
        <n v="4.4672222215449437"/>
        <n v="4.2547222223365679"/>
        <n v="5.1897222241968848"/>
        <n v="7.5649999991292134"/>
        <n v="4.958333334652707"/>
        <n v="4.3586111117620021"/>
        <n v="6.8330555557622574"/>
        <n v="2.1627777757239528"/>
        <n v="2.6113888907711953"/>
        <n v="2.5358333353651688"/>
        <n v="6.9558333325549029"/>
        <n v="2.7766666685929522"/>
        <n v="7.3997222213074565"/>
        <n v="6.0302777773467824"/>
        <n v="0.63277777726761997"/>
        <n v="2.4461111099808477"/>
        <n v="6.6300000002374873"/>
        <n v="3.0694444465334527"/>
        <n v="1.8086111123557203"/>
        <n v="2.9797222211491317"/>
        <n v="0.77916666475357488"/>
        <n v="5.3361111116828397"/>
        <n v="3.1591666659805924"/>
        <n v="5.3266666679992341"/>
        <n v="5.6761111110099591"/>
        <n v="2.6019444470875897"/>
        <n v="1.9927777775446884"/>
        <n v="5.7752777771092951"/>
        <n v="6.0633333317236975"/>
        <n v="4.1461111125536263"/>
        <n v="4.188611110614147"/>
        <n v="3.1544444426544942"/>
        <n v="0.75555555406026542"/>
        <n v="9.3972222221782431"/>
        <n v="5.5297222205554135"/>
        <n v="7.890833331446629"/>
        <n v="1.3316666662576608"/>
        <n v="1.6386111112078652"/>
        <n v="0.49111111013917252"/>
        <n v="3.8438888879609294"/>
        <n v="3.5416666663368233"/>
        <n v="2.4272222226136364"/>
        <n v="3.0505555561976507"/>
        <n v="2.1155555543373339"/>
        <n v="2.1958333360380493"/>
        <n v="4.5663888906128705"/>
        <n v="7.8011111119994894"/>
        <n v="1.7991666686721146"/>
        <n v="6.2522222232073545"/>
        <n v="2.356388890533708"/>
        <n v="3.9336111103766598"/>
        <n v="4.5238888866151683"/>
        <n v="3.5180555556435138"/>
        <n v="3.3999999992083758"/>
        <n v="7.3524999999208376"/>
        <n v="5.7516666664159857"/>
        <n v="2.7483333345735446"/>
        <n v="4.1036111115245149"/>
        <n v="5.0858333318028599"/>
        <n v="3.5275000022957101"/>
        <n v="3.3527777778217569"/>
        <n v="7.9049999984563328"/>
        <n v="5.8177777781384066"/>
        <n v="4.9299999976647086"/>
        <n v="8.0372222219011746"/>
        <n v="2.9561111134244129"/>
        <n v="5.137777776515577"/>
        <n v="8.8022222196450457"/>
        <n v="5.255833332950715"/>
        <n v="7.395000000949949"/>
        <n v="5.1000000017811544"/>
        <n v="6.7055555556435138"/>
        <n v="7.5555555554456078"/>
        <n v="5.7469444430898875"/>
        <n v="2.1911111097433604"/>
        <n v="4.1555555562372319"/>
        <n v="2.455555556633044"/>
        <n v="8.4291666659410112"/>
        <n v="3.1969444436836056"/>
        <n v="5.7469444460584782"/>
        <n v="6.4977777767926455"/>
        <n v="5.9736111093079671"/>
        <n v="2.6491666684742086"/>
        <n v="4.8686111122369766"/>
        <n v="3.2819444457418285"/>
        <n v="6.1908333318424411"/>
        <n v="7.0927777763572522"/>
        <n v="6.8944444441585802"/>
        <n v="3.5747222207137384"/>
        <n v="3.7966666665743105"/>
        <n v="4.0044444454251789"/>
        <n v="7.4563888893462718"/>
        <n v="4.3774999991292134"/>
        <n v="7.2013888891087845"/>
        <n v="8.9202777760801837"/>
        <n v="4.0847222241573036"/>
        <n v="3.5511111129890196"/>
        <n v="3.7116666645160876"/>
        <n v="4.1272222222178243"/>
        <n v="4.9063888869713992"/>
        <n v="3.0269444455043413"/>
        <n v="2.9372222230886109"/>
        <n v="3.7258333344943821"/>
        <n v="5.0008333327132277"/>
        <n v="4.8497222219011746"/>
        <n v="2.7436111112474464"/>
        <n v="3.0741666668909602"/>
        <n v="3.3433333341381513"/>
        <n v="2.3988888915628195"/>
        <n v="6.8472222227719612"/>
        <n v="1.9077777754864655"/>
        <n v="3.9619444473646581"/>
        <n v="4.5616666672867723"/>
        <n v="1.2325000001583248"/>
        <n v="4.9347222239593975"/>
        <n v="6.6252777769113891"/>
        <n v="1.7141666695824824"/>
        <n v="4.0280555561184883"/>
        <n v="4.7930555538623594"/>
        <n v="1.3411111129098572"/>
        <n v="8.4008333348901942"/>
        <n v="2.9324999997625127"/>
        <n v="5.6383333333069459"/>
        <n v="4.741111112118233"/>
        <n v="4.3444444417837076"/>
        <n v="2.1958333330694586"/>
        <n v="1.1286111107328907"/>
        <n v="0.96805555623723194"/>
        <n v="2.7152777801966295"/>
        <n v="2.0919444466126151"/>
        <n v="2.8333333336631767"/>
        <n v="2.6727777761989273"/>
        <n v="2.7199999975855462"/>
        <n v="6.7338888896629214"/>
        <n v="4.2736111097037792"/>
        <n v="7.3855555542977527"/>
        <n v="5.8366666655056179"/>
        <n v="7.4469444426940754"/>
        <n v="5.1519444464938715"/>
        <n v="6.5119444438023493"/>
        <n v="3.1875"/>
        <n v="2.1013888902962208"/>
        <n v="1.3930555546539836"/>
        <n v="5.0197222230490297"/>
        <n v="5.761111113068182"/>
        <n v="5.8225000014645047"/>
        <n v="5.1283333328319713"/>
        <n v="6.8661111101391725"/>
        <n v="4.0658333338215016"/>
        <n v="4.7741666694637388"/>
        <n v="4.1083333318820223"/>
        <n v="3.1827777796424925"/>
        <n v="3.0411111125140451"/>
        <n v="6.275833333900664"/>
        <n v="5.5438888875651173"/>
        <n v="3.6644444431294687"/>
        <n v="5.5958333352464251"/>
        <n v="4.9111111102974974"/>
        <n v="1.6197222238406539"/>
        <n v="5.373888889385853"/>
        <n v="6.5544444448314607"/>
        <n v="5.3927777767530642"/>
        <n v="4.504999999247957"/>
        <n v="5.5013888895045966"/>
        <n v="0.73666666669305414"/>
        <n v="3.522777778969612"/>
        <n v="1.119166667049285"/>
        <n v="5.3738888864172623"/>
        <n v="6.4363888883963227"/>
        <n v="3.8249999976251274"/>
        <n v="7.6972222225740552"/>
        <n v="6.3419444426544942"/>
        <n v="2.8380555569892749"/>
        <n v="1.4544444430503063"/>
        <n v="2.1627777786925435"/>
        <n v="6.4033333340194076"/>
        <n v="0.72249999968335032"/>
        <n v="1.6433333345339634"/>
        <n v="2.6208333314862102"/>
        <n v="5.2086111085955054"/>
        <n v="5.454166665149387"/>
        <n v="4.9772222220199183"/>
        <n v="5.5202777768718079"/>
        <n v="1.6055555538623594"/>
        <n v="5.8980555539019406"/>
        <n v="0.46749999944586307"/>
        <n v="2.6302777781384066"/>
        <n v="5.038611110416241"/>
        <n v="5.175555557187181"/>
        <n v="5.7705555567517877"/>
        <n v="6.3183333319611847"/>
        <n v="2.7247222238802351"/>
        <n v="2.5122222217032686"/>
        <n v="5.5297222235240042"/>
        <n v="5.9736111122765578"/>
        <n v="5.6147222196450457"/>
        <n v="3.1119444445939735"/>
        <n v="5.8886111102183349"/>
        <n v="2.5452777760801837"/>
        <n v="7.1872222220990807"/>
        <n v="3.05055555322906"/>
        <n v="6.5449999981792644"/>
        <n v="8.2261111133848317"/>
        <n v="3.0127777755260468"/>
        <n v="5.2605555562768131"/>
        <n v="3.6786111101391725"/>
        <n v="5.7752777800778858"/>
        <n v="3.2913888894254342"/>
        <n v="8.3961111115640961"/>
        <n v="3.50388888863381"/>
        <n v="6.8188888887525536"/>
        <n v="7.3147222222178243"/>
        <n v="4.8166666645556688"/>
        <n v="3.1638888863380998"/>
        <n v="6.3938888873672113"/>
        <n v="5.2794444436440244"/>
        <n v="2.6586111121578142"/>
        <n v="3.0316666658618487"/>
        <n v="5.3125000009895302"/>
        <n v="4.4105555535061285"/>
        <n v="4.821388887881767"/>
        <n v="1.4922222237219103"/>
        <n v="6.5025000001187436"/>
        <n v="7.8813888877630234"/>
        <n v="4.859166668553371"/>
        <n v="5.5769444419420324"/>
        <n v="6.0350000006728806"/>
        <n v="5.336111108714249"/>
        <n v="2.9183333357213996"/>
        <n v="6.0869444424170069"/>
        <n v="3.2583333350485191"/>
        <n v="5.4636111118015833"/>
        <n v="1.5583333324757405"/>
        <n v="4.0138888861401938"/>
        <n v="6.077500001701992"/>
        <n v="1.6575000015436672"/>
        <n v="1.4827777770697139"/>
        <n v="5.1141666658222675"/>
        <n v="2.2572222214657813"/>
        <n v="2.4319444459397346"/>
        <n v="0.97277777659473941"/>
        <n v="3.2347222243552096"/>
        <n v="3.9950000017415732"/>
        <n v="6.3655555563163944"/>
        <n v="1.8227777763968334"/>
        <n v="1.2844444419024512"/>
        <n v="4.287777776713483"/>
        <n v="2.5972222237614915"/>
        <n v="2.0588888862985186"/>
        <n v="7.4705555563559756"/>
        <n v="6.2474999998812564"/>
        <n v="4.9961111123557203"/>
        <n v="4.037499999802094"/>
        <n v="4.1508333358797245"/>
        <n v="5.2322222222574055"/>
        <n v="2.8144444433273748"/>
        <n v="1.1758333321195096"/>
        <n v="4.3775000020978041"/>
        <n v="3.2205555543769151"/>
        <n v="4.0705555541790091"/>
        <n v="6.2191666658618487"/>
        <n v="3.1780555563163944"/>
        <n v="8.4480555533082224"/>
        <n v="2.9372222201200202"/>
        <n v="2.1769444457022473"/>
        <n v="4.5758333342964761"/>
        <n v="3.6030555577017367"/>
        <n v="5.4966666661784984"/>
        <n v="5.7138888887129724"/>
        <n v="4.4766666652285494"/>
        <n v="5.3786111097433604"/>
        <n v="4.1744444436044432"/>
        <n v="2.2950000021373853"/>
        <n v="3.8202777802362107"/>
        <n v="3.891111112316139"/>
        <n v="5.8886111131869256"/>
        <n v="3.1449999989708886"/>
        <n v="2.5736111100995913"/>
        <n v="6.8283333324361593"/>
        <n v="3.5274999993271194"/>
        <n v="5.6288888896233402"/>
        <n v="4.0988888881984167"/>
        <n v="1.2513888904941268"/>
        <n v="5.4494444447918795"/>
        <n v="3.1355555552872829"/>
        <n v="3.5747222236823291"/>
        <n v="6.0066666666534729"/>
        <n v="4.6372222226927988"/>
        <n v="2.1911111127119511"/>
        <n v="3.6597222227719612"/>
        <n v="3.2961111097829416"/>
        <n v="4.7647222228115425"/>
        <n v="3.910000002651941"/>
        <n v="0.70833333267364651"/>
        <n v="4.3113888903753832"/>
        <n v="5.7327777790487744"/>
        <n v="2.3611111138598062"/>
        <n v="3.3197222204762511"/>
        <n v="6.3466666659805924"/>
        <n v="3.3244444438023493"/>
        <n v="2.0069444445543922"/>
        <n v="1.5347222247510217"/>
        <n v="3.8486111112870276"/>
        <n v="2.106111113622319"/>
        <n v="1.9455555561580695"/>
        <n v="2.4697222236427478"/>
        <n v="5.9216666675638407"/>
        <n v="6.6772222216241062"/>
        <n v="4.6419444430503063"/>
        <n v="3.2725000020582229"/>
        <n v="1.969166666851379"/>
        <n v="6.1861111114849336"/>
        <n v="4.0091666657826863"/>
        <n v="5.1472222201991826"/>
        <n v="6.1388888900983147"/>
        <n v="1.9549999998416752"/>
        <n v="2.6822222228511237"/>
        <n v="3.7258333315257914"/>
        <n v="4.3019444437231869"/>
        <n v="6.3136111116036773"/>
        <n v="4.0422222231281921"/>
        <n v="7.2202777794445865"/>
        <n v="6.7102777760010213"/>
        <n v="6.1058333357213996"/>
        <n v="7.6641666652285494"/>
        <n v="3.6880555567913689"/>
        <n v="2.9608333308133297"/>
        <n v="2.384722221584525"/>
        <n v="3.692777780117467"/>
        <n v="4.9677777783363126"/>
        <n v="5.8083333344548009"/>
        <n v="3.8391666646348312"/>
        <n v="8.1647222220199183"/>
        <n v="2.7577777782571502"/>
        <n v="2.8616666647139937"/>
        <n v="2.5830555567517877"/>
        <n v="2.9561111104558222"/>
        <n v="4.0469444464542903"/>
        <n v="5.9688888889504597"/>
        <n v="4.9441666676430032"/>
        <n v="4.5522222236031666"/>
        <n v="6.493055556435138"/>
        <n v="3.9808333317632787"/>
        <n v="3.4519444439210929"/>
        <n v="1.6150000005145557"/>
        <n v="1.2608333312091418"/>
        <n v="6.0680555550497957"/>
        <n v="4.3255555544164963"/>
        <n v="9.4397222202387638"/>
        <n v="4.9725000016624108"/>
        <n v="6.0491666676825844"/>
        <n v="2.9750000007916242"/>
        <n v="4.7694444461376406"/>
        <n v="3.6124999984167516"/>
        <n v="3.4566666672471911"/>
        <n v="6.3372222222969867"/>
        <n v="4.1933333309716545"/>
        <n v="6.6819444449502043"/>
        <n v="7.2863888881984167"/>
        <n v="0.91611110855592415"/>
        <n v="4.089444444514811"/>
        <n v="7.2911111085559241"/>
        <n v="1.9408333328319713"/>
        <n v="5.3691666690283455"/>
        <n v="6.0538888880400918"/>
        <n v="1.3552777769509703"/>
        <n v="2.6444444421795197"/>
        <n v="1.8652777774259448"/>
        <n v="5.9358333345735446"/>
        <n v="0.60444444324821234"/>
        <n v="0.88305555417900905"/>
        <n v="2.0636111096246168"/>
        <n v="5.4069444467313588"/>
        <n v="3.990277778415475"/>
        <n v="2.8758333317236975"/>
        <n v="5.1472222231677733"/>
        <n v="7.7916666683158837"/>
        <n v="5.0905555551289581"/>
        <n v="5.6713888906524517"/>
        <n v="2.4602777769905515"/>
        <n v="3.0552777795237489"/>
        <n v="7.3713888902566396"/>
        <n v="4.6797222237219103"/>
        <n v="2.5027777780196629"/>
        <n v="3.1166666679200716"/>
        <n v="1.218333333148621"/>
        <n v="1.6811111122369766"/>
        <n v="6.8944444471271709"/>
        <n v="4.8261111112078652"/>
        <n v="6.1341666667722166"/>
        <n v="4.1649999999208376"/>
        <n v="4.8780555559205823"/>
        <n v="2.2288888874463737"/>
        <n v="3.4991666682763025"/>
        <n v="3.0977777775842696"/>
        <n v="3.8533333316445351"/>
        <n v="3.6927777771488763"/>
        <n v="3.7541666685137898"/>
        <n v="5.9074999975855462"/>
        <n v="2.8097222229698673"/>
        <n v="5.3502777786925435"/>
        <n v="3.9241666666930541"/>
        <n v="4.9016666695824824"/>
        <n v="3.0316666688304394"/>
        <n v="5.5722222245531157"/>
        <n v="6.5497222244739532"/>
        <n v="7.4186111116432585"/>
        <n v="4.9819444423774257"/>
        <n v="2.2430555544560775"/>
        <n v="5.2463888892671093"/>
        <n v="5.1094444454647601"/>
        <n v="2.7058333335444331"/>
        <n v="1.8369444463751279"/>
        <n v="6.4411111087538302"/>
        <n v="2.9938888911274262"/>
        <n v="4.5144444429315627"/>
        <n v="6.1955555551685393"/>
        <n v="5.4872222195263021"/>
        <n v="2.790833335602656"/>
        <n v="7.3099999988917261"/>
        <n v="5.8933333305758424"/>
        <n v="1.9644444464938715"/>
        <n v="4.4200000001583248"/>
        <n v="3.0552777765551582"/>
        <n v="5.444722224434372"/>
        <n v="2.4886111110099591"/>
        <n v="0.83583333279239014"/>
        <n v="4.0233333357609808"/>
        <n v="5.118888886179775"/>
        <n v="3.1024999979417771"/>
        <n v="6.2900000009103678"/>
        <n v="5.236944442614913"/>
        <n v="7.4280555553268641"/>
        <n v="3.7163888878421858"/>
        <n v="4.7033333344152197"/>
        <n v="8.1552777783363126"/>
        <n v="4.9300000006332994"/>
        <n v="3.2347222213866189"/>
        <n v="6.0774999987334013"/>
        <n v="5.7327777760801837"/>
        <n v="6.6630555575829931"/>
        <n v="1.851111110416241"/>
        <n v="4.5994444449897856"/>
        <n v="7.1966666657826863"/>
        <n v="3.8013888899004087"/>
        <n v="1.1616666651098058"/>
        <n v="2.3800000012270175"/>
        <n v="3.5558333333465271"/>
        <n v="6.3702777766739018"/>
        <n v="1.0908333330298774"/>
        <n v="5.1519444435252808"/>
        <n v="6.6677777779405005"/>
        <n v="7.0550000016228296"/>
        <n v="3.1686111126327887"/>
        <n v="4.5286111129098572"/>
        <n v="4.7977777801570483"/>
        <n v="5.3030555573059246"/>
        <n v="3.7541666655451991"/>
        <n v="3.7919444432482123"/>
        <n v="5.2605555533082224"/>
        <n v="1.3411111099412665"/>
        <n v="2.1344444417045452"/>
        <n v="2.068333332950715"/>
        <n v="2.672777779167518"/>
        <n v="6.7008333352860063"/>
        <n v="0.67527777829673141"/>
        <n v="9.2697222220594995"/>
        <n v="5.7044444420607761"/>
        <n v="0.44861111207865179"/>
        <n v="4.6938888877630234"/>
        <n v="4.1508333329111338"/>
        <n v="5.5911111119203269"/>
        <n v="4.8025000005145557"/>
        <n v="2.3091666661784984"/>
        <n v="8.0749999996041879"/>
        <n v="5.8083333314862102"/>
        <n v="7.0030555569101125"/>
        <n v="5.5816666652681306"/>
        <n v="3.267777775763534"/>
        <n v="4.6277777790091932"/>
        <n v="4.5002777759218588"/>
        <n v="2.6255555548123084"/>
        <n v="2.6586111091892235"/>
        <n v="4.2641666660201736"/>
        <n v="4.604166665347293"/>
        <n v="6.9605555558810011"/>
        <n v="4.2027777776238509"/>
        <n v="8.3488888901774772"/>
        <n v="3.702222220832482"/>
        <n v="3.1402777786133811"/>
        <n v="6.8613888897816651"/>
        <n v="3.6549999994458631"/>
        <n v="2.4413888896233402"/>
        <n v="1.6669444452272728"/>
        <n v="8.712500000197906"/>
        <n v="3.1261111116036773"/>
        <n v="2.5452777790487744"/>
        <n v="3.7069444441585802"/>
        <n v="4.703333331446629"/>
        <n v="7.6263888875255361"/>
        <n v="5.0527777774259448"/>
        <n v="4.6986111110891216"/>
        <n v="8.5377777786925435"/>
        <n v="8.8352777769905515"/>
        <n v="6.3466666689491831"/>
        <n v="3.721111111168284"/>
        <n v="3.3952777758822776"/>
        <n v="4.9063888899399899"/>
        <n v="6.1483333337819204"/>
        <n v="6.2144444425357506"/>
        <n v="1.4638888897025026"/>
        <n v="3.9855555550893769"/>
        <n v="4.306666667049285"/>
        <n v="7.1824999987729825"/>
        <n v="8.1694444453460164"/>
        <n v="7.2297222231281921"/>
        <n v="4.5569444439606741"/>
        <n v="1.3505555565934628"/>
        <n v="6.4836111127515323"/>
        <n v="2.7577777752885595"/>
        <n v="7.7208333332673647"/>
        <n v="2.087222223286517"/>
        <n v="5.8319444451481104"/>
        <n v="4.6702777800383046"/>
        <n v="4.7977777771884575"/>
        <n v="5.2416666689096019"/>
        <n v="4.4624999982188456"/>
        <n v="2.3705555545748211"/>
        <n v="3.9713888910482638"/>
        <n v="0.4297222217428498"/>
        <n v="7.1541666647535749"/>
        <n v="5.1708333338610828"/>
        <n v="0.98222222324693576"/>
        <n v="2.8947222220594995"/>
        <n v="7.4138888883171603"/>
        <n v="6.7197222226532176"/>
        <n v="5.4400000011082739"/>
        <n v="7.1305555540602654"/>
        <n v="8.1363888880005106"/>
        <n v="6.7763888906920329"/>
        <n v="4.8969444432877935"/>
        <n v="7.2533333338215016"/>
        <n v="2.8002777763176709"/>
        <n v="1.652777778217569"/>
        <n v="1.8463888870901428"/>
        <n v="5.3266666650306433"/>
        <n v="4.5900000013061799"/>
        <n v="3.8674999986542389"/>
        <n v="6.3844444436836056"/>
        <n v="1.5441666654660366"/>
        <n v="6.3608333329902962"/>
        <n v="2.0211111115640961"/>
        <n v="1.6433333315653726"/>
        <n v="2.8050000026123598"/>
        <n v="1.6244444441981614"/>
        <n v="1.751944444316905"/>
        <n v="5.0480555570684373"/>
        <n v="6.0869444453855976"/>
        <n v="5.9641666656243615"/>
        <n v="3.4613888876046985"/>
        <n v="6.1813888911274262"/>
        <n v="5.3644444457022473"/>
        <n v="3.3008333360776305"/>
        <n v="3.7211111081996933"/>
        <n v="3.9666666647535749"/>
        <n v="1.1427777777425945"/>
        <n v="5.3219444417045452"/>
        <n v="4.7269444421399385"/>
        <n v="5.6997222246718593"/>
        <n v="6.6205555535852909"/>
        <n v="4.7127777751302347"/>
        <n v="1.9219444424961694"/>
        <n v="2.3422222205554135"/>
        <n v="4.8308333345339634"/>
        <n v="2.9938888881588355"/>
        <n v="5.1377777794841677"/>
        <n v="6.6252777798799798"/>
        <n v="2.5075000013457611"/>
        <n v="4.4294444468105212"/>
        <n v="4.0847222211887129"/>
        <n v="4.7694444431690499"/>
        <n v="8.2544444444356486"/>
        <n v="7.2155555561184883"/>
        <n v="4.4341666641994379"/>
        <n v="5.1755555542185903"/>
        <n v="1.0861111126723699"/>
        <n v="4.1602777795633301"/>
        <n v="5.0480555540998466"/>
        <n v="1.1333333340589888"/>
        <n v="2.0730555562768131"/>
        <n v="7.2202777764759958"/>
        <n v="4.3350000010686927"/>
        <n v="3.7116666674846783"/>
        <n v="8.0041666645556688"/>
        <n v="1.2513888875255361"/>
        <n v="4.802499997545965"/>
        <n v="7.5650000020978041"/>
        <n v="3.1733333329902962"/>
        <n v="7.4327777786529623"/>
        <n v="3.4613888905732892"/>
        <n v="7.8058333323569968"/>
        <n v="4.169722220278345"/>
        <n v="6.157777777465526"/>
        <n v="2.5169444450293668"/>
        <n v="1.8086111093871295"/>
        <n v="6.039722221030388"/>
        <n v="3.9099999996833503"/>
        <n v="3.9383333307341672"/>
        <n v="3.3480555574642494"/>
        <n v="1.6622222248697653"/>
        <n v="4.7647222198429517"/>
        <n v="1.8936111114453524"/>
        <n v="2.9466666667722166"/>
        <n v="4.6844444470480084"/>
        <n v="7.1494444443960674"/>
        <n v="5.4022222234052606"/>
        <n v="6.4600000020582229"/>
        <n v="2.1533333320403472"/>
        <n v="4.5758333313278854"/>
        <n v="1.1191666640806943"/>
        <n v="7.7963888886733912"/>
        <n v="3.8108333335840143"/>
        <n v="5.643055556633044"/>
        <n v="4.1319444425753318"/>
        <n v="1.0672222223365679"/>
        <n v="7.1116666666930541"/>
        <n v="0.6280555569101125"/>
        <n v="5.1236111095058732"/>
        <n v="4.1980555542977527"/>
        <n v="3.2677777787321247"/>
        <n v="6.0916666687116958"/>
        <n v="3.5983333314070478"/>
        <n v="6.2380555561976507"/>
        <n v="1.3647222236031666"/>
        <n v="5.8838888868922368"/>
        <n v="7.1069444463355467"/>
        <n v="5.9075000005541369"/>
        <n v="5.940555554931052"/>
        <n v="2.8805555580183864"/>
        <n v="2.4036111089517362"/>
        <n v="7.7019444459001534"/>
        <n v="3.6786111131077632"/>
        <n v="1.020000000949949"/>
        <n v="3.5463888866943307"/>
        <n v="2.2525000011082739"/>
        <n v="7.9238888887921348"/>
        <n v="2.1816666690283455"/>
        <n v="1.9597222201991826"/>
        <n v="2.8994444424170069"/>
        <n v="1.3930555576225743"/>
        <n v="4.1933333339402452"/>
        <n v="3.5511111100204289"/>
        <n v="1.8038888860610314"/>
        <n v="4.7788888868526556"/>
        <n v="2.4461111129494384"/>
        <n v="7.3052777785342187"/>
        <n v="2.4177777759614401"/>
        <n v="6.4930555534665473"/>
        <n v="2.7813888889504597"/>
        <n v="3.3338888904545456"/>
        <n v="2.7955555559601635"/>
        <n v="7.3902777776238509"/>
        <n v="5.9122222238802351"/>
        <n v="1.1333333310903981"/>
        <n v="0.78388888807967305"/>
        <n v="9.0383333325153217"/>
        <n v="6.1436111104558222"/>
        <n v="8.3299999998416752"/>
        <n v="2.3280555565143004"/>
        <n v="4.386944442812819"/>
        <n v="2.4697222206741571"/>
        <n v="3.2205555573455058"/>
        <n v="3.9713888880796731"/>
        <n v="7.6547222215449437"/>
        <n v="6.4647222224157304"/>
        <n v="2.73416666459525"/>
        <n v="5.92166666459525"/>
        <n v="1.6102777771884575"/>
        <n v="5.7847222207929008"/>
        <n v="3.2441666650702246"/>
        <n v="6.0727777754073031"/>
        <n v="7.1022222230094485"/>
        <n v="4.8827777762780897"/>
        <n v="3.5936111110495403"/>
        <n v="2.6916666665347293"/>
        <n v="3.8816666686325334"/>
        <n v="1.6858333355630748"/>
        <n v="6.9038888878421858"/>
        <n v="1.5111111110891216"/>
        <n v="5.354999999050051"/>
        <n v="3.2111111106933095"/>
        <n v="4.7175000014249235"/>
        <n v="5.4777777788112871"/>
        <n v="1.888888891087845"/>
        <n v="6.8566666694241576"/>
        <n v="1.8794444444356486"/>
        <n v="4.2972222233656794"/>
        <n v="2.9277777794050053"/>
        <n v="5.7894444441189989"/>
        <n v="6.6630555546144024"/>
        <n v="7.4186111086746678"/>
        <n v="3.3480555544956587"/>
        <n v="3.6266666683950461"/>
        <n v="2.3044444458209909"/>
        <n v="2.5122222246718593"/>
        <n v="7.0455555549706332"/>
        <n v="3.1402777756447904"/>
        <n v="4.7505555528332479"/>
        <n v="6.4316666680388153"/>
        <n v="4.4908333352068439"/>
        <n v="5.6005555556039326"/>
        <n v="5.7375000023748726"/>
        <n v="6.5733333351672627"/>
        <n v="6.5827777788508683"/>
        <n v="1.9077777784550563"/>
        <n v="6.1152777764364146"/>
        <n v="4.1791666639619507"/>
        <n v="2.3374999972293153"/>
        <n v="7.4516666660201736"/>
        <n v="5.2983333339798264"/>
        <n v="1.1380555544164963"/>
        <n v="3.9477777803549543"/>
        <n v="4.9630555550102144"/>
        <n v="4.0563888871693052"/>
        <n v="6.9463888888712972"/>
        <n v="7.0219444442773238"/>
        <n v="1.3694444439606741"/>
        <n v="7.2108333327923901"/>
        <n v="1.1947222224553116"/>
        <n v="4.268888886377681"/>
        <n v="5.4588888884754851"/>
        <n v="6.9369444451876916"/>
        <n v="2.266666665149387"/>
        <n v="2.5877777771092951"/>
        <n v="3.2536111087538302"/>
        <n v="6.2427777795237489"/>
        <n v="2.8238888899795711"/>
        <n v="5.4447222214657813"/>
        <n v="6.6488888876046985"/>
        <n v="3.4850000012665987"/>
        <n v="3.069444443564862"/>
        <n v="2.2288888904149644"/>
        <n v="4.1697222232469358"/>
        <n v="2.7152777772280388"/>
      </sharedItems>
    </cacheField>
    <cacheField name="DroneRange" numFmtId="0">
      <sharedItems count="2">
        <b v="1"/>
        <b v="0"/>
      </sharedItems>
    </cacheField>
    <cacheField name="DroneDeliveryDuration" numFmtId="2">
      <sharedItems containsSemiMixedTypes="0" containsString="0" containsNumber="1" minValue="0" maxValue="13.534959610729519" count="2514">
        <n v="0"/>
        <n v="4.95866465834892"/>
        <n v="4.7152045998341796"/>
        <n v="4.1143125791827604"/>
        <n v="9.6350349021630404"/>
        <n v="6.2133512690948596"/>
        <n v="9.1120320402642392"/>
        <n v="6.2185247290511603"/>
        <n v="6.8270073618772198"/>
        <n v="5.1282892873557202"/>
        <n v="8.9084343197657798"/>
        <n v="8.2945615240051804"/>
        <n v="4.1952588990110202"/>
        <n v="5.1503545833235602"/>
        <n v="8.3366190341467998"/>
        <n v="3.9356906653702199"/>
        <n v="7.2252977097889"/>
        <n v="5.9739998113311001"/>
        <n v="3.7500392388620005"/>
        <n v="5.3359426425664402"/>
        <n v="7.8940158315759597"/>
        <n v="4.5209081530121598"/>
        <n v="7.7162748881586403"/>
        <n v="4.7498032490362796"/>
        <n v="5.6434747031302601"/>
        <n v="6.4507882692476599"/>
        <n v="3.6667631918639998"/>
        <n v="4.3914732237366598"/>
        <n v="4.06917323049022"/>
        <n v="6.4106067587289601"/>
        <n v="5.4557178083017996"/>
        <n v="5.9686336214561999"/>
        <n v="6.3431271480476799"/>
        <n v="8.1859851005275406"/>
        <n v="5.8206660025826196"/>
        <n v="2.2217187447285198"/>
        <n v="6.2909673286770396"/>
        <n v="6.3237953109567799"/>
        <n v="4.0243582447935804"/>
        <n v="9.9589546384952392"/>
        <n v="8.8702394636032995"/>
        <n v="8.3352761090366396"/>
        <n v="7.9275067788594802"/>
        <n v="10.563251235704479"/>
        <n v="6.4904205737708596"/>
        <n v="7.3803062689442998"/>
        <n v="8.4260183538694005"/>
        <n v="5.9800904216547197"/>
        <n v="3.3239798574966599"/>
        <n v="7.2296154211265398"/>
        <n v="3.2721848325318401"/>
        <n v="5.2231340871127401"/>
        <n v="7.6035914814335204"/>
        <n v="3.8892934713771803"/>
        <n v="8.60610622657574"/>
        <n v="2.5511160060395399"/>
        <n v="3.9043306050849198"/>
        <n v="3.02232451276334"/>
        <n v="5.4059194630367404"/>
        <n v="4.0288482175778402"/>
        <n v="9.6582814519591604"/>
        <n v="5.6221674799036601"/>
        <n v="4.36217554602006"/>
        <n v="7.3210864321843996"/>
        <n v="4.7635175653777804"/>
        <n v="5.08406898961882"/>
        <n v="8.7767969894154003"/>
        <n v="5.1132950842665998"/>
        <n v="6.0963405714775396"/>
        <n v="4.1597658040564598"/>
        <n v="6.5254074049267201"/>
        <n v="7.3199735739128799"/>
        <n v="9.9072538506478196"/>
        <n v="6.4902532384333202"/>
        <n v="7.9378589976556997"/>
        <n v="5.6489450708369597"/>
        <n v="7.1754809235897801"/>
        <n v="6.2391540813139397"/>
        <n v="5.0464992352189801"/>
        <n v="6.1601896696424001"/>
        <n v="8.4028422310476998"/>
        <n v="7.0823941077691197"/>
        <n v="7.0341726932165196"/>
        <n v="5.4156388122683197"/>
        <n v="8.2897962753197199"/>
        <n v="10.134919101934839"/>
        <n v="11.544373235020521"/>
        <n v="5.7341613075365601"/>
        <n v="11.808737121807081"/>
        <n v="6.8055014301091399"/>
        <n v="2.852020153857"/>
        <n v="6.4684756890356798"/>
        <n v="3.0208428333491"/>
        <n v="5.9782677772802"/>
        <n v="6.98584497097466"/>
        <n v="3.5794923851495399"/>
        <n v="8.5919113676005594"/>
        <n v="8.1402558478824805"/>
        <n v="6.9966436546843802"/>
        <n v="6.5657085384952998"/>
        <n v="2.7326782977689601"/>
        <n v="8.1474488589815994"/>
        <n v="2.8953820747750401"/>
        <n v="4.6257136214445804"/>
        <n v="3.6040416454942998"/>
        <n v="5.3372541136399603"/>
        <n v="3.9955640847658804"/>
        <n v="8.3217239298307799"/>
        <n v="7.5176891716463388"/>
        <n v="5.0084659946130801"/>
        <n v="5.0608215314242004"/>
        <n v="6.2106428308516399"/>
        <n v="4.0622279975664801"/>
        <n v="7.5100811617183796"/>
        <n v="3.9655992578026398"/>
        <n v="4.2581114320818401"/>
        <n v="6.7615521018779798"/>
        <n v="6.2561085878157598"/>
        <n v="8.0108878590024801"/>
        <n v="3.1540312978167599"/>
        <n v="2.3714297538661802"/>
        <n v="2.8829469563999801"/>
        <n v="8.3922066376449003"/>
        <n v="7.8065985857009608"/>
        <n v="11.1028900674883"/>
        <n v="8.0778279058996194"/>
        <n v="5.1413333594792201"/>
        <n v="8.1807882621763195"/>
        <n v="3.5646359474701201"/>
        <n v="3.81607263132772"/>
        <n v="5.1432140634965799"/>
        <n v="4.4120641714944799"/>
        <n v="9.0645634077517006"/>
        <n v="9.0213937747732196"/>
        <n v="6.8295942170838799"/>
        <n v="2.89859923184052"/>
        <n v="6.6707907443502998"/>
        <n v="8.2271197311891804"/>
        <n v="8.2207334622886599"/>
        <n v="8.7254212473175201"/>
        <n v="5.7579286231021802"/>
        <n v="1.716440431913584"/>
        <n v="5.5153212632811597"/>
        <n v="10.88543679626696"/>
        <n v="5.5309569429377197"/>
        <n v="4.5944813583189203"/>
        <n v="7.3348805864299003"/>
        <n v="2.9920691499974801"/>
        <n v="3.1125345912204598"/>
        <n v="1.832140040575684"/>
        <n v="11.06604300240568"/>
        <n v="4.26148938984268"/>
        <n v="5.4846170242129402"/>
        <n v="5.7155699136802998"/>
        <n v="3.6303820496003798"/>
        <n v="6.5099154814777602"/>
        <n v="1.228365480963042"/>
        <n v="5.1149801424588803"/>
        <n v="8.2854111154852408"/>
        <n v="11.087590893802499"/>
        <n v="3.7674242168778398"/>
        <n v="6.9454628152481197"/>
        <n v="5.8488063929082204"/>
        <n v="6.2874257207979598"/>
        <n v="6.9743811836990801"/>
        <n v="4.5297509460879004"/>
        <n v="5.0303739582799603"/>
        <n v="7.3661769856953203"/>
        <n v="8.1360176032279607"/>
        <n v="5.32853033230798"/>
        <n v="7.5299109902034003"/>
        <n v="5.1777272213621401"/>
        <n v="7.8656650860190993"/>
        <n v="4.1037091295924002"/>
        <n v="4.7039050852759399"/>
        <n v="6.5167755536152203"/>
        <n v="5.5064197449625798"/>
        <n v="8.6912879491148995"/>
        <n v="7.5968083661953791"/>
        <n v="10.1788386705764"/>
        <n v="4.9931837961911798"/>
        <n v="1.572998607149628"/>
        <n v="4.0677917526736804"/>
        <n v="6.6611048420722803"/>
        <n v="8.6197605088362792"/>
        <n v="8.7511965971375805"/>
        <n v="6.3418246177854796"/>
        <n v="8.4740286300893608"/>
        <n v="8.3828965352439795"/>
        <n v="3.00061488496892"/>
        <n v="9.1546296288197606"/>
        <n v="2.0917140734747801"/>
        <n v="5.9464011722366603"/>
        <n v="7.6587071485717804"/>
        <n v="2.18166263494268"/>
        <n v="6.2643654929205601"/>
        <n v="5.3919958920659603"/>
        <n v="6.17314925996968"/>
        <n v="4.1199311501808999"/>
        <n v="5.0335569061996397"/>
        <n v="5.2344575361496197"/>
        <n v="4.9986129890921998"/>
        <n v="11.278364805734199"/>
        <n v="7.8273336299369598"/>
        <n v="6.5907869506638201"/>
        <n v="1.379691012706602"/>
        <n v="6.5673903737056003"/>
        <n v="9.2335739454622807"/>
        <n v="4.9078594466069001"/>
        <n v="6.9813123481128603"/>
        <n v="5.1550174691752604"/>
        <n v="1.677964439913868"/>
        <n v="4.2520528319765001"/>
        <n v="7.44462140687172"/>
        <n v="5.3801235290446803"/>
        <n v="6.2492526059090396"/>
        <n v="6.9548141312999601"/>
        <n v="7.7839287538042408"/>
        <n v="2.8850324564102801"/>
        <n v="4.3878511211849398"/>
        <n v="9.1880050390474199"/>
        <n v="4.1977582169823799"/>
        <n v="4.42564733575378"/>
        <n v="8.9146764072753601"/>
        <n v="6.7206493391518203"/>
        <n v="7.5660111902788394"/>
        <n v="4.91370828721662"/>
        <n v="5.9477450790022202"/>
        <n v="7.9289382016743613"/>
        <n v="5.0726562727098798"/>
        <n v="9.2136621912546808"/>
        <n v="9.5361924384072605"/>
        <n v="6.0911607946183199"/>
        <n v="5.3962204370522802"/>
        <n v="6.6170934489831597"/>
        <n v="3.8317379008729198"/>
        <n v="6.1057816906082998"/>
        <n v="4.7168367556598998"/>
        <n v="9.2497920923594403"/>
        <n v="1.773480208677942"/>
        <n v="8.3949664194523397"/>
        <n v="3.7049086307748"/>
        <n v="2.6780632648279799"/>
        <n v="6.6683582041705796"/>
        <n v="3.9451315053930802"/>
        <n v="5.9407776050552199"/>
        <n v="6.1489014122315204"/>
        <n v="3.1783253635621"/>
        <n v="6.1368241116750797"/>
        <n v="9.8650890194190808"/>
        <n v="5.8240119611026797"/>
        <n v="6.3851865996072599"/>
        <n v="6.2260728990588996"/>
        <n v="6.3532430428031601"/>
        <n v="0.61757063004159996"/>
        <n v="8.9352586469430602"/>
        <n v="4.5789482708132399"/>
        <n v="8.0044965481796595"/>
        <n v="2.3010267365346402"/>
        <n v="5.5345564258459197"/>
        <n v="8.3311207074014195"/>
        <n v="4.7889433049632002"/>
        <n v="8.8915642614898207"/>
        <n v="8.8528769197231192"/>
        <n v="9.5953768659225407"/>
        <n v="6.3750112169147197"/>
        <n v="7.1946862219707999"/>
        <n v="4.9579422880201403"/>
        <n v="4.6694223284207599"/>
        <n v="5.5707834328871604"/>
        <n v="6.1476719950369603"/>
        <n v="3.2848933474587998"/>
        <n v="9.6200718259691396"/>
        <n v="7.3490120353445398"/>
        <n v="3.6292812775679599"/>
        <n v="12.70678523593994"/>
        <n v="6.29787497425494"/>
        <n v="6.1528753571986003"/>
        <n v="3.31118378568932"/>
        <n v="4.8566370267241599"/>
        <n v="4.70167124912824"/>
        <n v="5.3960995862981198"/>
        <n v="4.7883858514787798"/>
        <n v="6.6802195035070797"/>
        <n v="2.6201916677141202"/>
        <n v="4.2451327976959199"/>
        <n v="6.0043760193051803"/>
        <n v="5.4173371799916596"/>
        <n v="6.3803333436137404"/>
        <n v="8.4128199664112007"/>
        <n v="5.7250266600320403"/>
        <n v="6.4700426513267804"/>
        <n v="4.4521196474064002"/>
        <n v="5.6768480891389803"/>
        <n v="6.8960561466464201"/>
        <n v="7.9029152432995211"/>
        <n v="3.8514183391393204"/>
        <n v="4.8354685192737197"/>
        <n v="9.0235947908289393"/>
        <n v="6.7614098592907599"/>
        <n v="2.4458432140845598"/>
        <n v="6.60030055576504"/>
        <n v="4.5863131315096801"/>
        <n v="9.4426050416050202"/>
        <n v="9.5230466886683196"/>
        <n v="4.5917687118118797"/>
        <n v="7.3349416569557402"/>
        <n v="2.4727942408833199"/>
        <n v="5.9517156765103998"/>
        <n v="7.5401136322699189"/>
        <n v="5.8389603548071003"/>
        <n v="7.8409532256766195"/>
        <n v="2.8423834423216601"/>
        <n v="3.6002024183797801"/>
        <n v="6.1742676017356199"/>
        <n v="7.8767878371243407"/>
        <n v="6.7620879254204604"/>
        <n v="4.3530346826308"/>
        <n v="4.2988399120191199"/>
        <n v="1.7074102362538119"/>
        <n v="7.0676612049037404"/>
        <n v="9.8777664386806396"/>
        <n v="9.4037234325236394"/>
        <n v="4.8794331762703802"/>
        <n v="6.3374246035231003"/>
        <n v="5.3235749276646596"/>
        <n v="4.1694063998921003"/>
        <n v="9.8481870068919406"/>
        <n v="6.6977166127701597"/>
        <n v="4.3615753910353003"/>
        <n v="7.9953631812413013"/>
        <n v="1.2863460106139279"/>
        <n v="5.84189885644928"/>
        <n v="5.8058760208043401"/>
        <n v="5.6641494586645402"/>
        <n v="7.4800994298900596"/>
        <n v="3.4656368078465798"/>
        <n v="1.9932785192875797"/>
        <n v="7.944265165188539"/>
        <n v="1.863021703905096"/>
        <n v="9.0531381530720392"/>
        <n v="6.4043875676636404"/>
        <n v="6.9537744944476803"/>
        <n v="3.6453008972694598"/>
        <n v="8.6585118645839607"/>
        <n v="5.4569828156776401"/>
        <n v="9.3940214984724406"/>
        <n v="4.2149766986614203"/>
        <n v="7.1238206788047602"/>
        <n v="4.2909207537601404"/>
        <n v="6.8808904253901204"/>
        <n v="5.9175227216669803"/>
        <n v="7.8771911678646998"/>
        <n v="6.9902641984868001"/>
        <n v="3.4000004973270399"/>
        <n v="5.9031356943485802"/>
        <n v="4.0441681930099396"/>
        <n v="10.81567546735538"/>
        <n v="6.7219528484241398"/>
        <n v="4.7118368465360803"/>
        <n v="8.7701220275189602"/>
        <n v="6.6743295996095"/>
        <n v="6.5860484245585997"/>
        <n v="5.4182160958494396"/>
        <n v="0.768367089833908"/>
        <n v="9.1367949891179201"/>
        <n v="4.25395861420568"/>
        <n v="4.8549276180585998"/>
        <n v="4.6642372436152399"/>
        <n v="8.4639440225667393"/>
        <n v="4.0375688527473201"/>
        <n v="2.1292979094633799"/>
        <n v="7.1979462969105397"/>
        <n v="6.9692508333217802"/>
        <n v="3.7710216831393799"/>
        <n v="1.8559417116303321"/>
        <n v="5.8727588730595404"/>
        <n v="6.7154530878174397"/>
        <n v="6.9073507420662201"/>
        <n v="3.4435748168034599"/>
        <n v="3.2680900927908398"/>
        <n v="8.2939108130033201"/>
        <n v="7.0710883637578004"/>
        <n v="5.4631135365861203"/>
        <n v="7.9866961913698598"/>
        <n v="11.25957181537572"/>
        <n v="8.5582876228348006"/>
        <n v="5.8084235304509404"/>
        <n v="4.9314352448072203"/>
        <n v="5.2730275211512003"/>
        <n v="2.7090177311215999"/>
        <n v="3.5702294469175602"/>
        <n v="3.0524251884960001"/>
        <n v="6.48130938341302"/>
        <n v="8.7232243768451205"/>
        <n v="5.5741060675100202"/>
        <n v="4.3641971669149404"/>
        <n v="6.2671486752550001"/>
        <n v="3.3014081269268001"/>
        <n v="3.6336662281431198"/>
        <n v="6.6511401408473603"/>
        <n v="8.1364552953490392"/>
        <n v="7.1652027756919603"/>
        <n v="4.7631927871223798"/>
        <n v="12.254950671550141"/>
        <n v="7.6435612193075011"/>
        <n v="6.0247038264522201"/>
        <n v="11.7709772166207"/>
        <n v="1.7306397630455059"/>
        <n v="8.0562567092248596"/>
        <n v="9.3855662851552193"/>
        <n v="3.4664345245428998"/>
        <n v="4.9225314139563601"/>
        <n v="6.4953457004673396"/>
        <n v="6.2837299043164601"/>
        <n v="5.6960786513972197"/>
        <n v="9.6173215048608398"/>
        <n v="3.49409966060758"/>
        <n v="3.5076377642353802"/>
        <n v="10.777450302102659"/>
        <n v="5.6139749100258003"/>
        <n v="7.3709534314963401"/>
        <n v="8.7960544256595998"/>
        <n v="4.8364960681116802"/>
        <n v="5.8747409528227603"/>
        <n v="5.1523643222190403"/>
        <n v="9.0350147263135199"/>
        <n v="8.5064034377679008"/>
        <n v="3.8645597770037003"/>
        <n v="3.93240983400216"/>
        <n v="3.8282045123313795"/>
        <n v="8.7064935564235206"/>
        <n v="4.7473931009364403"/>
        <n v="7.7309703569553809"/>
        <n v="7.6849900405009191"/>
        <n v="4.1096760142285804"/>
        <n v="8.3721387639921403"/>
        <n v="9.8971476887604002"/>
        <n v="7.2911192493463801"/>
        <n v="4.42325864378682"/>
        <n v="4.28857036803804"/>
        <n v="3.9752842927965402"/>
        <n v="10.366955684644219"/>
        <n v="3.6115500301337802"/>
        <n v="5.6038282793875203"/>
        <n v="4.24857649057512"/>
        <n v="5.6899258447636596"/>
        <n v="9.9755879727484391"/>
        <n v="4.8657486673349597"/>
        <n v="4.8109948936288198"/>
        <n v="6.2719886589582803"/>
        <n v="4.9200641785836403"/>
        <n v="7.6797004460609797"/>
        <n v="6.0695329209807598"/>
        <n v="5.3746637419723999"/>
        <n v="6.1063598851251601"/>
        <n v="5.7496264446170402"/>
        <n v="4.67324799880166"/>
        <n v="8.96835719030984"/>
        <n v="7.09462129703254"/>
        <n v="10.35651922177556"/>
        <n v="5.9718775781557998"/>
        <n v="6.9151104675236201"/>
        <n v="5.4045781299378"/>
        <n v="7.954523671784079"/>
        <n v="3.6984795163865201"/>
        <n v="9.5013093006959792"/>
        <n v="6.2046486556764"/>
        <n v="10.35508566786504"/>
        <n v="7.5479710560745801"/>
        <n v="1.9396099469818238"/>
        <n v="7.5523279369215608"/>
        <n v="8.1492833243687599"/>
        <n v="3.5715866561573999"/>
        <n v="9.8812587651432793"/>
        <n v="9.9008449284023801"/>
        <n v="3.7636126123106202"/>
        <n v="9.0660960460328006"/>
        <n v="3.40337517282908"/>
        <n v="5.1829071932758"/>
        <n v="9.0049559919549793"/>
        <n v="8.2612400570513191"/>
        <n v="10.63853059208304"/>
        <n v="4.4873698403636801"/>
        <n v="5.4111686700506603"/>
        <n v="5.4532526028193802"/>
        <n v="6.3800794689104201"/>
        <n v="7.8237604436818406"/>
        <n v="10.005940760510899"/>
        <n v="9.2762671084339203"/>
        <n v="2.2457216861154401"/>
        <n v="6.7041124926071998"/>
        <n v="8.4528953020760405"/>
        <n v="5.1808552242916797"/>
        <n v="3.8885086209435595"/>
        <n v="6.0394159960825"/>
        <n v="5.1239235300786801"/>
        <n v="1.7742565919050819"/>
        <n v="7.9158475511832807"/>
        <n v="3.4167107317247001"/>
        <n v="9.8565415580070201"/>
        <n v="6.1221086904797399"/>
        <n v="3.49512759152246"/>
        <n v="3.2741571831602201"/>
        <n v="4.8254395065551803"/>
        <n v="4.1912379134459998"/>
        <n v="8.2120643804966207"/>
        <n v="6.1942703474546601"/>
        <n v="7.4960302569300001"/>
        <n v="4.9912549393243797"/>
        <n v="2.9937667696380399"/>
        <n v="7.7835828606171598"/>
        <n v="5.59208218471636"/>
        <n v="3.9191141780310406"/>
        <n v="3.7471923043430402"/>
        <n v="7.7825194328513607"/>
        <n v="1.845775432397798"/>
        <n v="3.4365166483866401"/>
        <n v="5.3293597410407001"/>
        <n v="3.60139666910242"/>
        <n v="6.9429617818319"/>
        <n v="5.3824811542401401"/>
        <n v="2.9428012670361401"/>
        <n v="8.8394706295348993"/>
        <n v="7.8887420252957803"/>
        <n v="8.8348134150730395"/>
        <n v="3.5785376814216798"/>
        <n v="9.2827210951188608"/>
        <n v="3.9224486356238404"/>
        <n v="6.3195627753614803"/>
        <n v="7.85786599772372"/>
        <n v="4.9364666702061397"/>
        <n v="6.1991216366881803"/>
        <n v="5.8101544361271404"/>
        <n v="6.6235554411123401"/>
        <n v="6.4867003123778604"/>
        <n v="6.7534938819899804"/>
        <n v="6.0510856301485001"/>
        <n v="5.5473445798486596"/>
        <n v="10.392750239328761"/>
        <n v="5.7616572151348002"/>
        <n v="8.2813751640451994"/>
        <n v="3.3347634136709199"/>
        <n v="4.5659438363379401"/>
        <n v="2.8240620563947201"/>
        <n v="6.6852613394256402"/>
        <n v="4.7493756627080996"/>
        <n v="7.5864761405489203"/>
        <n v="8.3958776170269207"/>
        <n v="3.3335895739622798"/>
        <n v="8.76528339578112"/>
        <n v="6.6196401451397602"/>
        <n v="7.4932651871759797"/>
        <n v="5.4849318169485599"/>
        <n v="3.1976954577598402"/>
        <n v="7.4490864115233002"/>
        <n v="1.128949407539138"/>
        <n v="5.45475212437288"/>
        <n v="8.8353015006913402"/>
        <n v="6.6927755802839197"/>
        <n v="8.1877423692437592"/>
        <n v="6.7150696402511203"/>
        <n v="10.2624883913894"/>
        <n v="5.7628281813067996"/>
        <n v="2.8461425377462399"/>
        <n v="7.9774058385342812"/>
        <n v="7.7048581718785805"/>
        <n v="8.0408248503362199"/>
        <n v="7.4666206744138401"/>
        <n v="5.6560933866889398"/>
        <n v="7.0779156555470601"/>
        <n v="6.74456901742096"/>
        <n v="4.2067630473569997"/>
        <n v="7.9878013258364406"/>
        <n v="6.8112840537553598"/>
        <n v="6.5642172203499003"/>
        <n v="5.3970745414671804"/>
        <n v="4.7643802180884798"/>
        <n v="5.5670779411878399"/>
        <n v="1.1768222665846979"/>
        <n v="4.4219246170977202"/>
        <n v="3.1197630432760199"/>
        <n v="6.1015435037565604"/>
        <n v="7.5071229484245201"/>
        <n v="7.5862499247710211"/>
        <n v="10.76381788704202"/>
        <n v="5.3992727062791603"/>
        <n v="5.5821474534198803"/>
        <n v="5.7328646977269599"/>
        <n v="7.8323128239098789"/>
        <n v="4.0284385592794001"/>
        <n v="3.9351125951443802"/>
        <n v="5.3068879472538004"/>
        <n v="5.9842745584987398"/>
        <n v="7.0594396105525998"/>
        <n v="6.9088620324978196"/>
        <n v="5.08721316654358"/>
        <n v="4.81862812087856"/>
        <n v="5.1880257704901602"/>
        <n v="8.7007738228559592"/>
        <n v="7.4618546636197198"/>
        <n v="5.3300807160402401"/>
        <n v="8.08031102185012"/>
        <n v="5.6168256432257797"/>
        <n v="3.7389705143195"/>
        <n v="2.7234543317000601"/>
        <n v="3.3164483941654002"/>
        <n v="7.6225039554553202"/>
        <n v="3.9017472535702606"/>
        <n v="6.92513663222622"/>
        <n v="6.8348623718088204"/>
        <n v="10.533931015314099"/>
        <n v="5.6721231513289396"/>
        <n v="6.3909797084869604"/>
        <n v="3.4942307315466201"/>
        <n v="4.9322091462650004"/>
        <n v="7.15147658201884"/>
        <n v="4.9183717931889603"/>
        <n v="4.6783410566612398"/>
        <n v="7.9190171693876801"/>
        <n v="4.6719250430007602"/>
        <n v="4.0457141166156996"/>
        <n v="2.2083613468560999"/>
        <n v="4.0789312008562204"/>
        <n v="5.4129158807845599"/>
        <n v="7.4687128531652398"/>
        <n v="4.6294663100375599"/>
        <n v="9.2043935198336406"/>
        <n v="8.0788827855647192"/>
        <n v="6.8826361515115604"/>
        <n v="3.2524694092487798"/>
        <n v="8.6017603320491602"/>
        <n v="8.1487922675314604"/>
        <n v="12.03086902316684"/>
        <n v="8.4186768488704793"/>
        <n v="10.29344536321552"/>
        <n v="5.6976481129161796"/>
        <n v="4.7749989575285197"/>
        <n v="2.4519136819704999"/>
        <n v="4.2438936136730998"/>
        <n v="13.534959610729519"/>
        <n v="6.2070116957137396"/>
        <n v="4.9114699161346804"/>
        <n v="5.1266516709263596"/>
        <n v="5.59640325138436"/>
        <n v="1.3083223482672519"/>
        <n v="6.3169851865817401"/>
        <n v="9.12473116171968"/>
        <n v="11.054016383174019"/>
        <n v="7.8728824781104203"/>
        <n v="7.4798114318091997"/>
        <n v="5.1008132222234002"/>
        <n v="10.57931526949244"/>
        <n v="4.8987564268191202"/>
        <n v="7.6864656894282604"/>
        <n v="6.2745118762254402"/>
        <n v="6.7929549829526001"/>
        <n v="2.5137107670588601"/>
        <n v="8.3064385459000807"/>
        <n v="9.2705910635603797"/>
        <n v="9.3963799524392009"/>
        <n v="7.0189675117650197"/>
        <n v="6.7949539475811003"/>
        <n v="6.8764548634573401"/>
        <n v="2.8316953004339398"/>
        <n v="10.96553090848248"/>
        <n v="6.1300471316247203"/>
        <n v="6.7673081411068203"/>
        <n v="2.6020588660994002"/>
        <n v="3.1936261463487199"/>
        <n v="9.0707365047062396"/>
        <n v="7.8634730040354999"/>
        <n v="5.5971166083563002"/>
        <n v="3.9880715362161006"/>
        <n v="5.0441734855084404"/>
        <n v="4.3630980865257998"/>
        <n v="9.0973712049527808"/>
        <n v="10.792998814711339"/>
        <n v="4.2093124471160204"/>
        <n v="4.9066168562883004"/>
        <n v="7.9286467472402409"/>
        <n v="6.5412597526315004"/>
        <n v="4.6860037296055399"/>
        <n v="6.5372017435661398"/>
        <n v="3.5422015354818401"/>
        <n v="6.1453867099277204"/>
        <n v="6.9756003835300397"/>
        <n v="4.7947501093535596"/>
        <n v="2.4261969166530402"/>
        <n v="6.4131071124891204"/>
        <n v="8.9227303348781994"/>
        <n v="4.1992942327291596"/>
        <n v="8.4006691745380806"/>
        <n v="3.3183037174392802"/>
        <n v="5.5600528230795998"/>
        <n v="6.8371075327424604"/>
        <n v="7.7777280090251395"/>
        <n v="5.3133464892007201"/>
        <n v="10.00352447499286"/>
        <n v="8.27249572517416"/>
        <n v="11.399277727454679"/>
        <n v="1.5504839827875421"/>
        <n v="6.5820718555820603"/>
        <n v="10.78964885017052"/>
        <n v="4.8274924516823603"/>
        <n v="3.6431744003836801"/>
        <n v="7.8469390770358602"/>
        <n v="4.8684405124862602"/>
        <n v="6.1163554364272201"/>
        <n v="5.9985242174384004"/>
        <n v="6.13441996092254"/>
        <n v="7.4188106193697001"/>
        <n v="6.6902994470602604"/>
        <n v="4.5253651071371603"/>
        <n v="9.3401566426642599"/>
        <n v="7.0042520194372804"/>
        <n v="7.2945749261945796"/>
        <n v="5.33560470033808"/>
        <n v="7.6023193699621396"/>
        <n v="9.2460762381988193"/>
        <n v="9.8862233161209208"/>
        <n v="8.0332128671576797"/>
        <n v="6.6028461748834797"/>
        <n v="7.1112854713134599"/>
        <n v="4.9316667500010203"/>
        <n v="7.8025567581030391"/>
        <n v="3.52663922064878"/>
        <n v="6.74629631324252"/>
        <n v="5.4461001896665602"/>
        <n v="6.8615142261047"/>
        <n v="6.1199055308710202"/>
        <n v="2.5856653030082799"/>
        <n v="6.4302506247178197"/>
        <n v="7.4003054110238402"/>
        <n v="3.16598384798578"/>
        <n v="5.4871438025266404"/>
        <n v="8.6249940560685392"/>
        <n v="4.2177673577899597"/>
        <n v="6.9484871570912601"/>
        <n v="4.5115114896882398"/>
        <n v="8.7960268121991607"/>
        <n v="5.9554520952569998"/>
        <n v="11.35766940803394"/>
        <n v="3.0374881162373999"/>
        <n v="8.9129460933382596"/>
        <n v="8.0214851478118394"/>
        <n v="7.7296465423762397"/>
        <n v="2.9816716566844401"/>
        <n v="8.6590548131265006"/>
        <n v="7.3181512442237002"/>
        <n v="5.4525617012627796"/>
        <n v="5.0641271299314798"/>
        <n v="5.8257382494143002"/>
        <n v="1.351930423481664"/>
        <n v="10.27581799369692"/>
        <n v="5.3281892016402796"/>
        <n v="12.052572021590199"/>
        <n v="4.8622885043636597"/>
        <n v="4.8456778788714203"/>
        <n v="7.94224398692492"/>
        <n v="5.6517200578477196"/>
        <n v="5.6546056328071996"/>
        <n v="9.2279744384902394"/>
        <n v="4.6602789301980998"/>
        <n v="0.98818282132341206"/>
        <n v="7.2846308479583399"/>
        <n v="7.7325778006490804"/>
        <n v="2.72040247769836"/>
        <n v="8.1838476738193595"/>
        <n v="7.5193159504624409"/>
        <n v="0.76446239944440197"/>
        <n v="3.9409498477401597"/>
        <n v="7.7804980968890201"/>
        <n v="5.19038438089314"/>
        <n v="10.932180286994059"/>
        <n v="4.8745972531491999"/>
        <n v="5.29853154291522"/>
        <n v="1.0655376356975781"/>
        <n v="5.3585236216359"/>
        <n v="3.3448695284102201"/>
        <n v="6.1492759568733399"/>
        <n v="4.7853835252737396"/>
        <n v="4.1095966288081804"/>
        <n v="3.6603965555463001"/>
        <n v="8.1972638936029192"/>
        <n v="2.1776806238839601"/>
        <n v="1.2993126978116361"/>
        <n v="4.2216796739160598"/>
        <n v="4.0544218346197196"/>
        <n v="5.4752424512032398"/>
        <n v="10.22045965370952"/>
        <n v="4.7680772796972599"/>
        <n v="8.75877356008594"/>
        <n v="6.8970706612141202"/>
        <n v="6.1215790811810198"/>
        <n v="4.0836049748808598"/>
        <n v="2.5156922463050999"/>
        <n v="3.3816716818575001"/>
        <n v="7.6174435484816403"/>
        <n v="8.4939853600115995"/>
        <n v="9.4291708919411406"/>
        <n v="6.57286989395564"/>
        <n v="6.0171175327080801"/>
        <n v="6.3294346915819002"/>
        <n v="5.3374034026850801"/>
        <n v="5.5728149283989401"/>
        <n v="4.6629429688929598"/>
        <n v="2.4920781602778801"/>
        <n v="6.7525659717232802"/>
        <n v="6.6208022783074796"/>
        <n v="7.1829578284461801"/>
        <n v="3.6491447047350198"/>
        <n v="4.1216804900193802"/>
        <n v="3.30863421642748"/>
        <n v="5.5114515115811598"/>
        <n v="7.607095841752761"/>
        <n v="9.9606175153340004"/>
        <n v="6.0329513695592603"/>
        <n v="7.0532244670178201"/>
        <n v="7.2523240155296396"/>
        <n v="2.5283626010173399"/>
        <n v="5.2919633763432596"/>
        <n v="6.0279680094642396"/>
        <n v="5.2803125636664801"/>
        <n v="4.7186576532816797"/>
        <n v="7.1394030460422"/>
        <n v="3.9103792091368597"/>
        <n v="6.1068164619807597"/>
        <n v="5.5963935828693403"/>
        <n v="7.7955598141452596"/>
        <n v="8.0345900163595392"/>
        <n v="9.2671707502989396"/>
        <n v="5.5956307668955203"/>
        <n v="6.43036494240084"/>
        <n v="4.9654396081331003"/>
        <n v="4.487202693105"/>
        <n v="3.4255537816760402"/>
        <n v="3.7702703484404005"/>
        <n v="5.3360754800708801"/>
        <n v="5.7833454021730404"/>
        <n v="6.1380878972022996"/>
        <n v="5.3783766240934003"/>
        <n v="4.0516165706398004"/>
        <n v="5.5478805284980401"/>
        <n v="5.9465091960530998"/>
        <n v="9.5516974052420807"/>
        <n v="6.6558411246745797"/>
        <n v="2.1302953672804401"/>
        <n v="6.4117008337678598"/>
        <n v="9.2205151158023799"/>
        <n v="6.3673520881732601"/>
        <n v="3.3090203914880201"/>
        <n v="4.0827957363086202"/>
        <n v="7.5152957171465804"/>
        <n v="4.5407548569027796"/>
        <n v="7.0992382123519597"/>
        <n v="3.7611998143512801"/>
        <n v="6.52149287668938"/>
        <n v="5.3304523289923402"/>
        <n v="8.9744885494501805"/>
        <n v="7.3160445792706001"/>
        <n v="7.53030201474854"/>
        <n v="4.9097539525518403"/>
        <n v="7.6409170547659997"/>
        <n v="6.5487650952699399"/>
        <n v="2.89069321617484"/>
        <n v="7.2084877133411602"/>
        <n v="6.5151622630231198"/>
        <n v="6.0625827533714798"/>
        <n v="4.7674387001929199"/>
        <n v="3.0029218787675802"/>
        <n v="5.3433830026009197"/>
        <n v="5.0376263618821797"/>
        <n v="2.1928844735484598"/>
        <n v="5.55315131759148"/>
        <n v="6.3131669891587396"/>
        <n v="6.0107317394575004"/>
        <n v="7.3330461053211202"/>
        <n v="4.9149055806684201"/>
        <n v="10.68664946736714"/>
        <n v="7.4416018940036599"/>
        <n v="6.9859752669565403"/>
        <n v="7.0024075002843196"/>
        <n v="6.1572638475712598"/>
        <n v="9.6469483119791395"/>
        <n v="7.8618857760156189"/>
        <n v="9.8823245772617803"/>
        <n v="3.0574146433039"/>
        <n v="6.6733855671626001"/>
        <n v="3.6867835610970001"/>
        <n v="4.1669411131736398"/>
        <n v="3.58645613126924"/>
        <n v="3.1780521965144199"/>
        <n v="4.6862670320748601"/>
        <n v="9.8256138061246396"/>
        <n v="5.0675867826688199"/>
        <n v="3.9237161229301796"/>
        <n v="8.7714543467826207"/>
        <n v="9.5218302526192602"/>
        <n v="10.44881626087256"/>
        <n v="8.5162751126492608"/>
        <n v="3.5662253389933398"/>
        <n v="6.3431198907869799"/>
        <n v="7.36969424586158"/>
        <n v="0.89340039972632401"/>
        <n v="3.4583591801006799"/>
        <n v="9.3637897507374994"/>
        <n v="4.33867589001082"/>
        <n v="2.5576709490031"/>
        <n v="4.2127546900728197"/>
        <n v="1.101075139472518"/>
        <n v="7.5385186008911003"/>
        <n v="5.0846281989373798"/>
        <n v="3.0219078848891199"/>
        <n v="4.4645046020315604"/>
        <n v="7.5221709602177"/>
        <n v="5.8085574618902598"/>
        <n v="8.0160303142826201"/>
        <n v="8.9336330836789397"/>
        <n v="7.9584716037436598"/>
        <n v="3.6749338544967798"/>
        <n v="2.8147977143855401"/>
        <n v="4.0384846020833001"/>
        <n v="6.3140931020408999"/>
        <n v="2.6796085882148399"/>
        <n v="7.9782079120764191"/>
        <n v="8.1555503758436796"/>
        <n v="8.5639413753888007"/>
        <n v="6.0119831769823602"/>
        <n v="6.54076712519264"/>
        <n v="5.8570707606316796"/>
        <n v="5.9148044806954401"/>
        <n v="7.5829441704081395"/>
        <n v="5.1319229594090201"/>
        <n v="4.4554687128397603"/>
        <n v="5.8594141739322803"/>
        <n v="1.069747344445054"/>
        <n v="7.2853347032830396"/>
        <n v="13.26961530311592"/>
        <n v="7.8099922434412807"/>
        <n v="11.143717997829141"/>
        <n v="2.4676538101739798"/>
        <n v="1.8862307834081202"/>
        <n v="2.6005139519730198"/>
        <n v="6.3323110865276604"/>
        <n v="6.2789416624857397"/>
        <n v="6.3675744811296804"/>
        <n v="4.2420271771728197"/>
        <n v="2.31636336420036"/>
        <n v="7.33240374139974"/>
        <n v="0.69534848816143202"/>
        <n v="5.4296586591473996"/>
        <n v="5.0056246306518002"/>
        <n v="3.4292811135710202"/>
        <n v="4.3084027869566599"/>
        <n v="2.9924228075702199"/>
        <n v="5.1332044686566602"/>
        <n v="3.1050271343464999"/>
        <n v="6.4503531678966599"/>
        <n v="3.42308932364684"/>
        <n v="7.1776467095435601"/>
        <n v="5.4885817928996596"/>
        <n v="11.017321745211721"/>
        <n v="5.9984528033318201"/>
        <n v="3.63713625097092"/>
        <n v="6.1730192532239601"/>
        <n v="2.5433792942544602"/>
        <n v="4.7935384069204598"/>
        <n v="5.5166350282420797"/>
        <n v="8.8291611274224007"/>
        <n v="4.8590679499662599"/>
        <n v="6.0171474392281201"/>
        <n v="4.6277468539573601"/>
        <n v="3.32922764926764"/>
        <n v="5.3132455568927597"/>
        <n v="7.9898564844603603"/>
        <n v="5.5570439275060197"/>
        <n v="6.3923211048513"/>
        <n v="4.9667615199770401"/>
        <n v="4.8053092942664"/>
        <n v="8.3853517843981606"/>
        <n v="10.38069658424366"/>
        <n v="8.1218211636345394"/>
        <n v="7.6756977397507988"/>
        <n v="3.8859527231051803"/>
        <n v="5.7976561525376198"/>
        <n v="7.1846870173503596"/>
        <n v="4.9854825769544"/>
        <n v="4.7365003175501403"/>
        <n v="11.16210289548118"/>
        <n v="8.2146426247786799"/>
        <n v="6.9087686565626996"/>
        <n v="6.9635585327878804"/>
        <n v="11.34674082543178"/>
        <n v="9.0631750271833802"/>
        <n v="4.1784330952412203"/>
        <n v="7.3615402201912801"/>
        <n v="7.2592766410773599"/>
        <n v="6.3347389191477799"/>
        <n v="5.4902024321544003"/>
        <n v="12.43267868055006"/>
        <n v="7.4215745468116801"/>
        <n v="10.44633760517916"/>
        <n v="5.37401613545308"/>
        <n v="7.20026715994792"/>
        <n v="9.4682338041709393"/>
        <n v="10.66802216958936"/>
        <n v="8.1148871924944999"/>
        <n v="4.0772653277773596"/>
        <n v="9.1096984741156195"/>
        <n v="3.0997497378551802"/>
        <n v="5.8679914500860999"/>
        <n v="8.1596751426526595"/>
        <n v="6.2143902013774399"/>
        <n v="3.4668478172581998"/>
        <n v="11.905579537090979"/>
        <n v="4.51745924552558"/>
        <n v="6.25991732689244"/>
        <n v="5.1508593325895404"/>
        <n v="8.1143301588175802"/>
        <n v="6.2789965305258804"/>
        <n v="9.1734559200437804"/>
        <n v="4.0587038983500001"/>
        <n v="8.4358571170894603"/>
        <n v="3.74376012464228"/>
        <n v="7.8956556904052393"/>
        <n v="6.8754035499424599"/>
        <n v="4.6391872631455398"/>
        <n v="8.7415698274427598"/>
        <n v="10.01342573190056"/>
        <n v="9.7336664377939197"/>
        <n v="5.0483061778226599"/>
        <n v="5.3650826707799197"/>
        <n v="5.6551326399476798"/>
        <n v="4.6614975731879396"/>
        <n v="10.53160228675198"/>
        <n v="7.04832836691478"/>
        <n v="4.2497041224621004"/>
        <n v="7.4873035654251598"/>
        <n v="6.1854125952980397"/>
        <n v="10.173120866699939"/>
        <n v="12.598153735191881"/>
        <n v="3.0354972679833598"/>
        <n v="4.0834211660396802"/>
        <n v="5.7695884664722596"/>
        <n v="5.0152788236780603"/>
        <n v="5.4408582002354802"/>
        <n v="5.2411187003784798"/>
        <n v="5.8312187134705802"/>
        <n v="7.5530626340792208"/>
        <n v="6.6988060351768803"/>
        <n v="5.5792406029667001"/>
        <n v="6.9330633250893996"/>
        <n v="8.2223825056482003"/>
        <n v="4.7510212779488601"/>
        <n v="4.2764127204348403"/>
        <n v="4.1468474330677996"/>
        <n v="4.5118290649541599"/>
        <n v="5.2635490486974597"/>
        <n v="5.9055559534312803"/>
        <n v="7.0659682768058802"/>
        <n v="6.8499353523409798"/>
        <n v="3.8733443272750998"/>
        <n v="4.3429098808538003"/>
        <n v="4.7220640956098396"/>
        <n v="3.3912307553368"/>
        <n v="9.6707380677982009"/>
        <n v="2.6989523931983599"/>
        <n v="6.1019363269168601"/>
        <n v="5.5951690762936401"/>
        <n v="6.44526210324912"/>
        <n v="1.7458508715702701"/>
        <n v="6.9730364106739398"/>
        <n v="9.3550084656997008"/>
        <n v="2.4221275673247802"/>
        <n v="5.0029361638173997"/>
        <n v="5.7250954358198598"/>
        <n v="6.5907820647597202"/>
        <n v="3.2841718655567602"/>
        <n v="5.6922397966642002"/>
        <n v="7.6452744835270599"/>
        <n v="7.5516156594201602"/>
        <n v="6.7667137075102799"/>
        <n v="1.8987660023907977"/>
        <n v="4.02243600858628"/>
        <n v="6.2165724230366202"/>
        <n v="11.862312303611599"/>
        <n v="5.5798683613818199"/>
        <n v="5.1906470644904203"/>
        <n v="4.1445502040757596"/>
        <n v="7.9603090847056803"/>
        <n v="6.6935823857554997"/>
        <n v="6.1392408353718197"/>
        <n v="3.1038906832590798"/>
        <n v="5.12662062124316"/>
        <n v="1.594941861090718"/>
        <n v="8.2269047073552599"/>
        <n v="1.3717018260929801"/>
        <n v="3.8364055428855401"/>
        <n v="2.9580844120977399"/>
        <n v="4.0048547507122603"/>
        <n v="6.8790808306298201"/>
        <n v="3.7789365176126797"/>
        <n v="7.8404708130697998"/>
        <n v="3.8444099405499594"/>
        <n v="5.7991374355187997"/>
        <n v="6.7250534639747599"/>
        <n v="3.31458607104824"/>
        <n v="9.5132341265137601"/>
        <n v="6.9711199025651203"/>
        <n v="6.0346112157247198"/>
        <n v="10.42945222616296"/>
        <n v="8.2427382536269"/>
        <n v="5.9692977370002804"/>
        <n v="6.9720442180589002"/>
        <n v="10.513385542053321"/>
        <n v="7.2770717903343396"/>
        <n v="4.9171979879245198"/>
        <n v="9.1948406350390606"/>
        <n v="4.8699026069430804"/>
        <n v="4.5280703680184198"/>
        <n v="6.5233138711108403"/>
        <n v="4.5033688396883802"/>
        <n v="2.9684831005751402"/>
        <n v="6.6881256601350003"/>
        <n v="4.2472743073398602"/>
        <n v="4.4472243824162998"/>
        <n v="1.967921994674072"/>
        <n v="6.2132046796498397"/>
        <n v="5.4600241865525598"/>
        <n v="7.0912885449996601"/>
        <n v="8.1387123665226593"/>
        <n v="6.5723367884605999"/>
        <n v="8.6907335086378605"/>
        <n v="8.2252076539458407"/>
        <n v="7.2466626114289001"/>
        <n v="3.0010994945312199"/>
        <n v="8.6908855312780808"/>
        <n v="9.69343593048748"/>
        <n v="4.2198403447902404"/>
        <n v="7.5293050369812011"/>
        <n v="5.4149221831650403"/>
        <n v="5.7429750843593599"/>
        <n v="6.5878511967548201"/>
        <n v="6.7430931499412203"/>
        <n v="7.08192526538246"/>
        <n v="5.8045790116029599"/>
        <n v="3.9605965839042194"/>
        <n v="4.4950921607121401"/>
        <n v="4.2976300960840597"/>
        <n v="8.8612645465581803"/>
        <n v="7.8288334958036003"/>
        <n v="5.1772111882365603"/>
        <n v="5.3410233492245602"/>
        <n v="9.0933965188910602"/>
        <n v="4.6262753752383201"/>
        <n v="6.4817899351181598"/>
        <n v="7.7979068434156211"/>
        <n v="7.903196680174319"/>
        <n v="6.9337845265978801"/>
        <n v="2.2913036994642599"/>
        <n v="7.5901445457563392"/>
        <n v="7.1235610809687602"/>
        <n v="5.8203230689465597"/>
        <n v="9.2568432306614206"/>
        <n v="2.6030545219471599"/>
        <n v="5.9756644215487196"/>
        <n v="6.85285925037316"/>
        <n v="3.7748347312445993"/>
        <n v="7.614261713137501"/>
        <n v="5.8573989246507603"/>
        <n v="6.9919366491561199"/>
        <n v="6.3665117841030598"/>
        <n v="7.3159877873149801"/>
        <n v="7.768093107420059"/>
        <n v="1.0446007989596939"/>
        <n v="4.97433300707916"/>
        <n v="6.5403284410775404"/>
        <n v="1.58491520254769"/>
        <n v="4.5081938632885601"/>
        <n v="5.4429495122340601"/>
        <n v="7.6840896149024003"/>
        <n v="4.7194509831960403"/>
        <n v="7.8022725885686208"/>
        <n v="7.8403622661863395"/>
        <n v="7.5893859444384599"/>
        <n v="8.0456539914458993"/>
        <n v="9.0909624550251795"/>
        <n v="7.6180936046385188"/>
        <n v="5.95947047242616"/>
        <n v="5.4006074650719"/>
        <n v="10.87041660600738"/>
        <n v="8.9580081205737994"/>
        <n v="7.8028764829375206"/>
        <n v="4.0073728922650202"/>
        <n v="5.4757419435361196"/>
        <n v="1.8303070317210961"/>
        <n v="5.0512720032695402"/>
        <n v="2.0550559811273001"/>
        <n v="7.9282164836262394"/>
        <n v="3.0572203989504398"/>
        <n v="4.0331906203721797"/>
        <n v="5.7228908101384599"/>
        <n v="9.0408178785972595"/>
        <n v="1.023600174248664"/>
        <n v="2.3223013366350802"/>
        <n v="5.4923308683643803"/>
        <n v="3.7008738085913002"/>
        <n v="7.3586615299252598"/>
        <n v="7.7009086854183399"/>
        <n v="6.9470536287081002"/>
        <n v="7.0305981431690601"/>
        <n v="7.7940880955284602"/>
        <n v="3.60005558646038"/>
        <n v="6.9415543715242398"/>
        <n v="7.4833190706698796"/>
        <n v="2.2680526119947002"/>
        <n v="8.3291501251414992"/>
        <n v="3.7685263742222199"/>
        <n v="3.74205547804794"/>
        <n v="4.2906847644705399"/>
        <n v="0.66280343414630605"/>
        <n v="6.7137777605073996"/>
        <n v="3.7195593466548802"/>
        <n v="7.1194108845204802"/>
        <n v="1.9900661866779119"/>
        <n v="7.3133146999893803"/>
        <n v="7.96409531061434"/>
        <n v="7.7051217955918396"/>
        <n v="5.7200782014242399"/>
        <n v="8.1521623259254401"/>
        <n v="4.6738760430315596"/>
        <n v="2.99769388784234"/>
        <n v="8.92446946768146"/>
        <n v="3.8505137039800594"/>
        <n v="3.5514036094608001"/>
        <n v="4.6688503173323799"/>
        <n v="7.0673637213891602"/>
        <n v="7.8121363524982197"/>
        <n v="6.5461315443223604"/>
        <n v="5.87585155412056"/>
        <n v="8.4342058387198406"/>
        <n v="6.7480951648777996"/>
        <n v="7.929225202725239"/>
        <n v="4.3935408560330398"/>
        <n v="3.8741153359156404"/>
        <n v="7.9431365240854594"/>
        <n v="8.3168132059162794"/>
        <n v="3.5997223072598801"/>
        <n v="10.15323563258014"/>
        <n v="1.0655382541799741"/>
        <n v="4.1747531966567202"/>
        <n v="4.2152755256742003"/>
        <n v="5.6993618994940602"/>
        <n v="4.3106562177132197"/>
        <n v="9.2443663831636798"/>
        <n v="7.19856648329952"/>
        <n v="11.616245994732919"/>
        <n v="7.5848550457223798"/>
        <n v="4.2592802246446997"/>
        <n v="7.43076620038216"/>
        <n v="5.3324789177924403"/>
        <n v="4.1254347345251201"/>
        <n v="5.1997274343402804"/>
        <n v="8.1572100522147402"/>
        <n v="7.8604924016742599"/>
        <n v="4.0009924206117402"/>
        <n v="6.2840621037692603"/>
        <n v="4.6468599194227798"/>
        <n v="11.856722942479941"/>
        <n v="7.6077028107663587"/>
        <n v="7.8314059570307002"/>
        <n v="4.9485616586008598"/>
        <n v="5.81049808665116"/>
        <n v="3.9635460540310201"/>
        <n v="7.2313601005736201"/>
        <n v="9.62805564260794"/>
        <n v="10.32684840147418"/>
        <n v="7.5245734312264601"/>
        <n v="7.9306089008066998"/>
        <n v="8.4759132560969803"/>
        <n v="6.8028097283779996"/>
        <n v="9.1083583847981"/>
        <n v="5.9955470196286003"/>
        <n v="4.8332121573086404"/>
        <n v="8.2663864247194798"/>
        <n v="8.7568635403245807"/>
        <n v="6.9127016168418001"/>
        <n v="6.8323738210122604"/>
        <n v="4.4684645583396998"/>
        <n v="9.03263208959312"/>
        <n v="8.55774388375694"/>
        <n v="3.8300578844624802"/>
        <n v="7.4545001495907197"/>
        <n v="5.6160565950361203"/>
        <n v="3.75602682301948"/>
        <n v="4.2840348590694797"/>
        <n v="7.5062799568224206"/>
        <n v="7.85910285906012"/>
        <n v="6.6864498292874197"/>
        <n v="6.2320804397247596"/>
        <n v="6.8084762223985402"/>
        <n v="3.4383214380930398"/>
        <n v="2.1130347726597001"/>
        <n v="9.1835631372869599"/>
        <n v="11.13108386017768"/>
        <n v="4.9096169325458403"/>
        <n v="6.8636141338001604"/>
        <n v="7.8769045688964008"/>
        <n v="8.4499816251230406"/>
        <n v="8.5260079657483594"/>
        <n v="7.4527721753743403"/>
        <n v="5.04121059668444"/>
        <n v="8.3301779398049405"/>
        <n v="7.5357408828918988"/>
        <n v="4.1208318015503398"/>
        <n v="7.5921171021843996"/>
        <n v="6.6882213366705399"/>
        <n v="8.5993835034386006"/>
        <n v="4.6037494041703004"/>
        <n v="5.3343526234969003"/>
        <n v="6.11855070995784"/>
        <n v="7.7168144492705002"/>
        <n v="6.2711596533833802"/>
        <n v="2.20103799819598"/>
        <n v="5.5862218971711801"/>
        <n v="5.66696693719578"/>
        <n v="9.2699872218545405"/>
        <n v="6.0049914606411603"/>
        <n v="6.9506973443737001"/>
        <n v="2.9959388535570199"/>
        <n v="7.44851066354728"/>
        <n v="8.5801287078999007"/>
        <n v="2.3416868393071999"/>
        <n v="6.3476893332197601"/>
        <n v="5.3549681657627604"/>
        <n v="6.2641989495952002"/>
        <n v="2.12855016101356"/>
        <n v="2.0995656475746598"/>
        <n v="5.1058891523641199"/>
        <n v="3.5655892925419002"/>
        <n v="7.2223191067009402"/>
        <n v="6.2233701091733797"/>
        <n v="6.4319455364399198"/>
        <n v="3.1916935532117798"/>
        <n v="3.4388719580273999"/>
        <n v="1.374126969116418"/>
        <n v="4.5699149637576797"/>
        <n v="4.3638407494996603"/>
        <n v="5.6436548642755398"/>
        <n v="2.6961319452799599"/>
        <n v="5.5620929854976797"/>
        <n v="8.9900533627319597"/>
        <n v="3.8640446817987399"/>
        <n v="2.57553388928384"/>
        <n v="1.81786237804614"/>
        <n v="4.77330360219434"/>
        <n v="6.0576636981360199"/>
        <n v="7.4568673840069604"/>
        <n v="3.6680911640996801"/>
        <n v="4.5180389721775596"/>
        <n v="2.9128043178632201"/>
        <n v="10.553328272936881"/>
        <n v="4.16714659533136"/>
        <n v="8.8248138350422405"/>
        <n v="8.1576167884954192"/>
        <n v="5.7381157827357798"/>
        <n v="7.0548170879223999"/>
        <n v="5.70067372067916"/>
        <n v="5.8610825564069202"/>
        <n v="4.7868270061085001"/>
        <n v="3.7040205611248802"/>
        <n v="7.3867365105396798"/>
        <n v="5.1279636274800398"/>
        <n v="3.5507171224949201"/>
        <n v="3.9748756870766"/>
        <n v="7.7959753335206203"/>
        <n v="1.6613252544899779"/>
        <n v="6.1864948730981997"/>
        <n v="7.5440646979514998"/>
        <n v="4.5502107223644996"/>
        <n v="5.6783772293630603"/>
        <n v="2.3448513424804598"/>
        <n v="6.8100980900300998"/>
        <n v="7.72914526324156"/>
        <n v="5.7517869276215796"/>
        <n v="8.7831045952555993"/>
        <n v="9.3562924326373604"/>
        <n v="4.4926727001650804"/>
        <n v="5.1824779945400596"/>
        <n v="3.6703869669197"/>
        <n v="6.1745815651634999"/>
        <n v="6.0992918541173404"/>
        <n v="11.93051521195126"/>
        <n v="4.1485255192610797"/>
        <n v="3.4646786245145398"/>
        <n v="3.3358449679406599"/>
        <n v="4.0047393136825997"/>
        <n v="3.0743238605049799"/>
        <n v="5.7469342146219997"/>
        <n v="3.6304267993112598"/>
        <n v="6.4650640565170798"/>
        <n v="5.6511718776798796"/>
        <n v="5.09185885276242"/>
        <n v="8.4051636430886401"/>
        <n v="4.80732333603288"/>
        <n v="2.4472032860994601"/>
        <n v="3.4259861268885201"/>
        <n v="8.2898763205784807"/>
        <n v="5.5081889602042997"/>
        <n v="3.4709947909844199"/>
        <n v="7.7637076126844198"/>
        <n v="8.0709463945562607"/>
        <n v="6.3266126874817399"/>
        <n v="7.5981287855467796"/>
        <n v="5.8951612680509804"/>
        <n v="5.9025501826048199"/>
        <n v="5.4091399015328196"/>
        <n v="4.2826013586686997"/>
        <n v="3.2418885484507398"/>
        <n v="5.3942442721588604"/>
        <n v="6.5833818265706796"/>
        <n v="7.7811230880776012"/>
        <n v="3.9102799310866998"/>
        <n v="3.7442169230916398"/>
        <n v="4.9929758181557"/>
        <n v="4.0538528900598596"/>
        <n v="5.4940400862078"/>
        <n v="8.3183596845849799"/>
        <n v="6.58187404132756"/>
        <n v="7.9424074614307587"/>
        <n v="7.3235827808328997"/>
        <n v="4.4463013843421599"/>
        <n v="11.019920168651501"/>
        <n v="3.6336807107625599"/>
        <n v="9.6416976792776001"/>
        <n v="4.9840574979608601"/>
        <n v="7.1185150886510602"/>
        <n v="5.0919083416059996"/>
        <n v="7.9531368423653213"/>
        <n v="5.7883238908216796"/>
        <n v="1.7669536550918179"/>
        <n v="7.695182448073961"/>
        <n v="6.0870038771773203"/>
        <n v="4.4309569328949596"/>
        <n v="5.0528397975103401"/>
        <n v="5.47793716005798"/>
        <n v="8.3695694770007805"/>
        <n v="5.4911820228117598"/>
        <n v="7.9750655795372003"/>
        <n v="4.9687536859890002"/>
        <n v="7.0302763768402201"/>
        <n v="8.4837124534911403"/>
        <n v="6.55178774991212"/>
        <n v="6.1482840968571404"/>
        <n v="3.0997157393540999"/>
        <n v="5.1731873956655203"/>
        <n v="7.7678588320724398"/>
        <n v="4.6533436583965404"/>
        <n v="6.6555580785602801"/>
        <n v="3.3289789448606402"/>
        <n v="6.7310460871940396"/>
        <n v="5.7977230083046196"/>
        <n v="4.8411639767737"/>
        <n v="5.5261653926436596"/>
        <n v="9.2243785882821197"/>
        <n v="1.00652379879448"/>
        <n v="5.7698447632874599"/>
        <n v="7.7693146033751797"/>
        <n v="6.0926654551298602"/>
        <n v="4.7250599846576202"/>
        <n v="8.0940257519083403"/>
        <n v="6.6233210994350999"/>
        <n v="7.3342133873966802"/>
        <n v="9.5231858624359802"/>
        <n v="3.3385937805135"/>
        <n v="3.6601915391912199"/>
        <n v="4.6877175641345197"/>
        <n v="9.9578752005193998"/>
        <n v="7.9561517895050802"/>
        <n v="8.9664141329130391"/>
        <n v="5.5567067067052598"/>
        <n v="8.1141347219434596"/>
        <n v="2.31637146973778"/>
        <n v="4.69491846335898"/>
        <n v="7.9614171496906998"/>
        <n v="3.5720893813757599"/>
        <n v="7.9449090249481609"/>
        <n v="2.8339741043168201"/>
        <n v="2.1722156376210999"/>
        <n v="3.9012045485292606"/>
        <n v="5.4346706919264802"/>
        <n v="5.2824094687342003"/>
        <n v="5.5527044475480603"/>
        <n v="2.9798555834974398"/>
        <n v="2.7515854423297998"/>
        <n v="3.49179087616846"/>
        <n v="8.3622458093964607"/>
        <n v="6.2927517156245001"/>
        <n v="8.0304467029663407"/>
        <n v="3.4650761767487599"/>
        <n v="9.4308308879818803"/>
        <n v="6.5594230895389796"/>
        <n v="4.6247009469887601"/>
        <n v="2.7830307884618199"/>
        <n v="8.7356551788621406"/>
        <n v="5.6604245508080604"/>
        <n v="7.5493314842345391"/>
        <n v="7.2730435068648802"/>
        <n v="5.3734957132502004"/>
        <n v="8.6684735344028603"/>
        <n v="7.51813901611012"/>
        <n v="4.3610403562358604"/>
        <n v="6.3197341907712596"/>
        <n v="2.7606627957429599"/>
        <n v="3.7874949753165401"/>
        <n v="4.7610392699162798"/>
        <n v="10.884567432943159"/>
        <n v="2.05655123701536"/>
        <n v="5.2631676918788202"/>
        <n v="6.0746937322079804"/>
        <n v="8.9196745069972803"/>
        <n v="4.9056061714251404"/>
        <n v="6.7949609441847603"/>
        <n v="5.7115052305075604"/>
        <n v="6.7177096394020399"/>
        <n v="6.0105323547121001"/>
        <n v="7.16329612038012"/>
        <n v="4.9974599057047797"/>
        <n v="6.3232280520834996"/>
        <n v="10.193694776538679"/>
        <n v="4.0845738833925598"/>
        <n v="6.3613494813236997"/>
        <n v="9.0039374556781606"/>
        <n v="9.4781953444205804"/>
        <n v="8.6213726046799195"/>
        <n v="10.82609955489124"/>
        <n v="6.2717452913299203"/>
        <n v="5.2112708105396797"/>
        <n v="4.1861943718474199"/>
        <n v="3.3382785106957402"/>
        <n v="3.3671270925409398"/>
        <n v="5.2198151160631996"/>
        <n v="5.0152037444826796"/>
        <n v="4.24590511269336"/>
        <n v="4.3115282783896403"/>
        <n v="7.0194606179662404"/>
        <n v="8.0572857500988793"/>
        <n v="7.3153600214166001"/>
        <n v="8.2049707814812791"/>
        <n v="5.4213546892720403"/>
        <n v="6.31602521474918"/>
        <n v="11.53223005581564"/>
        <n v="7.0389534111985199"/>
        <n v="3.8933586665127997"/>
        <n v="4.04170598896558"/>
        <n v="3.8331426507055606"/>
        <n v="3.6483693437961202"/>
        <n v="4.1767333299856402"/>
        <n v="5.6671546233807604"/>
        <n v="5.7190008502262604"/>
        <n v="8.4268166936309399"/>
        <n v="6.98092494906198"/>
        <n v="6.43307961261364"/>
        <n v="9.1707574931858602"/>
        <n v="5.6263078328568996"/>
        <n v="6.7059457110486997"/>
        <n v="4.8737545967679203"/>
        <n v="2.2810470887932999"/>
        <n v="3.8473089296416001"/>
        <n v="1.784352722984768"/>
        <n v="9.2230233578273602"/>
        <n v="8.5667860279684795"/>
        <n v="7.6567912043538797"/>
        <n v="5.1851344137993998"/>
        <n v="6.1128903020611602"/>
        <n v="4.5684602291235601"/>
        <n v="7.8501963314908796"/>
        <n v="6.9832575801572396"/>
        <n v="9.3614855127571595"/>
        <n v="5.2951301575591199"/>
        <n v="13.32856850975088"/>
        <n v="7.0221854983528402"/>
        <n v="8.5416066026419593"/>
        <n v="3.6414302330957402"/>
        <n v="8.6208577508440207"/>
        <n v="4.2057878786550598"/>
        <n v="6.4647151590261602"/>
        <n v="5.0357463568193603"/>
        <n v="6.73819903864438"/>
        <n v="5.1045623110329998"/>
        <n v="5.2911046046193801"/>
        <n v="5.0612144102305399"/>
        <n v="6.0375560573505398"/>
        <n v="4.8854354237905397"/>
        <n v="8.9528725334316999"/>
        <n v="5.92152121445746"/>
        <n v="9.4376585554196808"/>
        <n v="5.9177395917328797"/>
        <n v="10.28754253387908"/>
        <n v="6.5193151776232998"/>
        <n v="1.2949008987666739"/>
        <n v="4.19397459257946"/>
        <n v="5.7777784145525004"/>
        <n v="6.5632930753627798"/>
        <n v="5.3552449253782397"/>
        <n v="10.29772029391818"/>
        <n v="2.7427432153298401"/>
        <n v="7.5854001212790001"/>
        <n v="8.54842792166178"/>
        <n v="6.2266113769736799"/>
        <n v="7.9428957828350999"/>
        <n v="1.9177254776192481"/>
        <n v="3.7333417214217399"/>
        <n v="4.1550781053322403"/>
        <n v="2.6367051186641399"/>
        <n v="8.3808055430507409"/>
        <n v="8.8715123535204796"/>
        <n v="8.6730362528124196"/>
        <n v="3.40059315554134"/>
        <n v="0.85777998207004602"/>
        <n v="6.7574169865438396"/>
        <n v="1.250329071256302"/>
        <n v="2.9163634782854202"/>
        <n v="7.6360772195729796"/>
        <n v="5.7650876207250796"/>
        <n v="5.63905064253108"/>
        <n v="5.8091794537063404"/>
        <n v="8.38006232480706"/>
        <n v="4.0627659661965199"/>
        <n v="3.3376903597250198"/>
        <n v="5.8040776847377398"/>
        <n v="4.2170510021480201"/>
        <n v="5.8456275998377603"/>
        <n v="7.2683189908130199"/>
        <n v="7.0539169934370598"/>
        <n v="3.9440850946536594"/>
        <n v="11.00352249682196"/>
        <n v="7.19249565198262"/>
        <n v="8.0104032554402202"/>
        <n v="7.6585565398443807"/>
        <n v="3.4750556088989"/>
        <n v="4.3171255013480598"/>
        <n v="7.7298717825576793"/>
        <n v="10.41004775906452"/>
        <n v="6.6077798858423602"/>
        <n v="5.9050453346582801"/>
        <n v="3.5394734137532402"/>
        <n v="4.4036406545061197"/>
        <n v="1.72374940379924"/>
        <n v="3.8339366050685006"/>
        <n v="9.1792754494377409"/>
        <n v="2.3796607719616798"/>
        <n v="9.7367516724178191"/>
        <n v="5.9780888126642999"/>
        <n v="6.8141001534707799"/>
        <n v="2.8340209509806198"/>
        <n v="5.9483723198125"/>
        <n v="7.702554559543521"/>
        <n v="5.9950004315188004"/>
        <n v="3.9634247236980396"/>
        <n v="6.46116309653386"/>
        <n v="8.6629103463662407"/>
        <n v="6.4661678613704598"/>
        <n v="2.8524794189212801"/>
        <n v="5.8834910091309398"/>
        <n v="4.7214388345448004"/>
        <n v="6.89229418685232"/>
        <n v="3.1528775159103999"/>
        <n v="4.9465854726944203"/>
        <n v="4.3754006645727799"/>
        <n v="5.4425932359774603"/>
        <n v="5.2165865317006803"/>
        <n v="6.8504474752954403"/>
        <n v="7.2690463033419803"/>
        <n v="5.3065001067047604"/>
        <n v="8.3418182303093609"/>
        <n v="9.6378001876839399"/>
        <n v="4.7173949110224802"/>
        <n v="8.5233291099528206"/>
        <n v="3.9716836943240801"/>
        <n v="2.5760842092467402"/>
        <n v="7.5587199275228603"/>
        <n v="5.5451161917819798"/>
        <n v="6.9218730465098197"/>
        <n v="5.4302634595511599"/>
        <n v="5.7001482865127002"/>
        <n v="5.6680888220437202"/>
        <n v="4.2839261730093199"/>
        <n v="7.8712861850773201"/>
        <n v="7.9521477887506791"/>
        <n v="5.44975445321806"/>
        <n v="5.17441983969122"/>
        <n v="6.9770682783086198"/>
        <n v="6.3926670422120999"/>
        <n v="9.2525154840582005"/>
        <n v="6.03817130704926"/>
        <n v="10.475908814448561"/>
        <n v="7.0338401473037999"/>
        <n v="4.6540271572578602"/>
        <n v="6.6483057804138204"/>
        <n v="3.1673202061700798"/>
        <n v="5.7552850559434798"/>
        <n v="7.4110146161184396"/>
        <n v="4.70194570747244"/>
        <n v="7.2192199370815002"/>
        <n v="3.8213804850278601"/>
        <n v="2.5999772800236798"/>
        <n v="5.1857416280588797"/>
        <n v="9.0998079146646802"/>
        <n v="4.2269526487566402"/>
        <n v="6.3788163497366801"/>
        <n v="2.5764271608110998"/>
        <n v="8.7467991813799593"/>
        <n v="7.7467669936017804"/>
        <n v="3.94287233751648"/>
        <n v="10.324277147774319"/>
        <n v="5.6955697424883196"/>
        <n v="8.3262736278280798"/>
        <n v="5.39408040251688"/>
        <n v="2.7775794856558398"/>
        <n v="6.2412307516448404"/>
        <n v="4.3149765315256596"/>
        <n v="7.6909598288856804"/>
        <n v="3.5157849271116199"/>
        <n v="1.1853957094074301"/>
        <n v="5.6848008207280403"/>
        <n v="7.6995637780481987"/>
        <n v="8.3306187609180409"/>
        <n v="7.2277253188045201"/>
        <n v="7.2954477110799001"/>
        <n v="4.3822130897531801"/>
        <n v="5.8359654657748399"/>
        <n v="8.8804312982515601"/>
        <n v="7.3965448020388402"/>
        <n v="7.1118636562469399"/>
        <n v="7.4970873391893997"/>
        <n v="1.2518542678539299"/>
        <n v="10.48741317683232"/>
        <n v="6.9935244372538401"/>
        <n v="5.2475157589824599"/>
        <n v="4.20736733684602"/>
        <n v="6.6457207000026601"/>
        <n v="10.474645450587399"/>
        <n v="11.519804695918079"/>
        <n v="6.9656491590226404"/>
        <n v="5.3158363980932002"/>
        <n v="4.5720920623868597"/>
        <n v="3.3183006850748402"/>
        <n v="8.5816966172292997"/>
        <n v="4.71704720206814"/>
        <n v="6.0038967489001802"/>
        <n v="8.0966900360148806"/>
        <n v="4.9838487368905398"/>
        <n v="9.4114262966847804"/>
        <n v="4.6626488522559804"/>
        <n v="2.6172910125173199"/>
        <n v="6.1176108061840999"/>
        <n v="6.4952129367798399"/>
        <n v="10.160648519925321"/>
        <n v="6.6198266383417197"/>
        <n v="5.3687583658050002"/>
        <n v="1.6440572976483541"/>
        <n v="5.7603389213166603"/>
        <n v="5.0690037823489398"/>
        <n v="3.5353764726978398"/>
        <n v="3.3665012228731599"/>
        <n v="5.0263807217861398"/>
        <n v="8.9954107854386596"/>
        <n v="1.5428035881522439"/>
        <n v="6.1529815314716396"/>
        <n v="8.3154849467853005"/>
        <n v="7.5954677716814407"/>
        <n v="3.8917611415933799"/>
        <n v="7.2727962189983204"/>
        <n v="3.5836512966949798"/>
        <n v="4.0373436085874399"/>
        <n v="7.2769193188951196"/>
        <n v="9.4184594361510996"/>
        <n v="2.8238512402568801"/>
        <n v="9.9610761061276598"/>
        <n v="4.4766371792279998"/>
        <n v="5.2705409708396997"/>
        <n v="6.3950930805891"/>
        <n v="5.4074400514944596"/>
        <n v="6.7752301117808802"/>
        <n v="3.9636509459091003"/>
        <n v="5.7776724837550999"/>
        <n v="7.4926581622243598"/>
        <n v="5.2137491105468197"/>
        <n v="5.3732049988573802"/>
        <n v="6.3697329640853599"/>
        <n v="7.4021751796401603"/>
        <n v="5.3051500346591398"/>
        <n v="5.3572269085153197"/>
        <n v="5.0404731415719599"/>
        <n v="5.3045666936180798"/>
        <n v="6.2004652543149801"/>
        <n v="6.1565533310925202"/>
        <n v="6.06559549996678"/>
        <n v="9.1910740777346192"/>
        <n v="7.4282562679017596"/>
        <n v="8.4627311999936197"/>
        <n v="1.8939097374507501"/>
        <n v="3.0135341245240999"/>
        <n v="2.9232052212765001"/>
        <n v="7.2459349226334204"/>
        <n v="3.1162608321184999"/>
        <n v="3.7741071679031197"/>
        <n v="9.4656062704627608"/>
        <n v="5.0255213562576397"/>
        <n v="7.8700051147747994"/>
        <n v="7.2295043131171202"/>
        <n v="6.6079310852486799"/>
        <n v="4.8826675338679602"/>
        <n v="0.95362249622316408"/>
        <n v="6.0909976572543201"/>
        <n v="13.08781907791648"/>
        <n v="8.05953089050176"/>
        <n v="6.6930337665914204"/>
        <n v="9.0653559892520406"/>
        <n v="0.639663341326282"/>
        <n v="6.6289660830381401"/>
        <n v="7.7716632560751799"/>
        <n v="2.7662388249360599"/>
        <n v="4.8274569156787797"/>
        <n v="5.8661013347215398"/>
        <n v="5.6711269901756998"/>
        <n v="4.7953070813121199"/>
        <n v="4.9877016356448598"/>
        <n v="7.8978454228491799"/>
        <n v="6.7861705154211602"/>
        <n v="5.70681464244102"/>
        <n v="3.66897686664718"/>
        <n v="5.7127760030026602"/>
        <n v="5.7294111226643398"/>
        <n v="3.2602740051922598"/>
        <n v="11.40481866578728"/>
        <n v="5.7435149911470802"/>
        <n v="8.2002626470803399"/>
        <n v="9.8872383237978596"/>
        <n v="5.9981989550602401"/>
        <n v="7.8838030993612609"/>
        <n v="4.6171441060001399"/>
        <n v="4.87462321675702"/>
        <n v="6.53395298322756"/>
        <n v="6.3567480979731599"/>
        <n v="4.4034842215705003"/>
        <n v="8.9230747115009201"/>
        <n v="6.1794736302294799"/>
        <n v="3.8316729968543402"/>
        <n v="3.7068815525719598"/>
        <n v="3.7557186463692402"/>
        <n v="6.78281143124042"/>
        <n v="6.0237742073524201"/>
        <n v="6.5043801369907799"/>
        <n v="9.8284835596852602"/>
        <n v="4.9061969927364997"/>
        <n v="4.4627083384521802"/>
        <n v="5.9334523045047396"/>
        <n v="11.789659230295539"/>
        <n v="5.2282636868946799"/>
        <n v="4.4393156670911198"/>
        <n v="4.5993215440125201"/>
        <n v="6.3191001503346396"/>
        <n v="6.8173826832343796"/>
        <n v="9.6873812211161603"/>
        <n v="5.95252608111476"/>
        <n v="5.1634780382044596"/>
        <n v="5.3182169250778797"/>
        <n v="4.0818445229175797"/>
        <n v="4.5050925754306803"/>
        <n v="3.4504766319725002"/>
        <n v="2.3553392676898399"/>
        <n v="8.7578432029406805"/>
        <n v="12.30100655657756"/>
        <n v="6.3847019913461596"/>
        <n v="4.4140388572404596"/>
        <n v="3.59488681573636"/>
        <n v="5.2371584887491602"/>
        <n v="5.5528650094013203"/>
        <n v="8.8354645546710806"/>
        <n v="3.7158963848500601"/>
        <n v="8.8351950005461202"/>
        <n v="7.2144759354106203"/>
        <n v="6.64325134461982"/>
        <n v="5.4855265165805198"/>
        <n v="10.77132923185464"/>
        <n v="6.8610866320259198"/>
        <n v="7.1347936936756202"/>
        <n v="4.70221495076742"/>
        <n v="6.6343909543287802"/>
        <n v="12.0588118961821"/>
        <n v="9.5946601198407002"/>
        <n v="12.4768054484513"/>
        <n v="8.9160889948425393"/>
        <n v="8.96125428094504"/>
        <n v="4.5873401907754001"/>
        <n v="6.1490131675177002"/>
        <n v="5.2585190649393798"/>
        <n v="5.6261102773029599"/>
        <n v="5.0402678129131404"/>
        <n v="4.2173608527273796"/>
        <n v="5.6462546583333797"/>
        <n v="6.3603311538575804"/>
        <n v="3.65257614498428"/>
        <n v="7.4988195647224201"/>
        <n v="6.8098931533293001"/>
        <n v="5.3732356757739002"/>
        <n v="6.8053141062695"/>
        <n v="4.7991304774721204"/>
        <n v="6.93108610825296"/>
        <n v="3.7660922461729802"/>
        <n v="8.6851969155190005"/>
        <n v="8.7758851457183003"/>
        <n v="4.1078965541577999"/>
        <n v="6.0348254845710203"/>
        <n v="5.4967991082506202"/>
        <n v="4.0595829978834601"/>
        <n v="2.91317259820626"/>
        <n v="3.7547280171967801"/>
        <n v="3.2769732477534999"/>
        <n v="8.7838875071451401"/>
        <n v="2.0716403528655398"/>
        <n v="5.6309388403469001"/>
        <n v="5.7435448956049804"/>
        <n v="3.5856169821417998"/>
        <n v="5.2400333874827396"/>
        <n v="6.8079278522281603"/>
        <n v="3.73895765141976"/>
        <n v="6.1731142727755399"/>
        <n v="6.0813629340924003"/>
        <n v="10.141719368527241"/>
        <n v="11.538669982780119"/>
        <n v="10.211510009810659"/>
        <n v="5.5919282210477199"/>
        <n v="6.4367464381349002"/>
        <n v="6.7306240196057203"/>
        <n v="8.6215148772886998"/>
        <n v="6.3730409235411001"/>
        <n v="5.0443400713609803"/>
        <n v="9.1754227328450799"/>
        <n v="9.0034223053256799"/>
        <n v="1.9079491867234479"/>
        <n v="5.9568445732092998"/>
        <n v="4.4633470364366996"/>
        <n v="8.4824373210433599"/>
        <n v="9.1541167691941201"/>
        <n v="5.6053847915550596"/>
        <n v="6.9630217612260399"/>
        <n v="3.8963408384560001"/>
        <n v="8.0553913175337399"/>
        <n v="6.8347605186713603"/>
        <n v="5.1208960806403399"/>
        <n v="10.9020040033993"/>
        <n v="2.9509300189201801"/>
        <n v="8.2397393880270595"/>
        <n v="5.8108589733941001"/>
        <n v="8.5431943966009598"/>
        <n v="3.9152287743931606"/>
        <n v="6.5944986205988396"/>
        <n v="3.7599315589418199"/>
        <n v="6.7765309361038399"/>
        <n v="7.4020246742145401"/>
        <n v="7.0197104526986998"/>
        <n v="3.1158326561515399"/>
        <n v="6.5729134403403204"/>
        <n v="5.8075789063972199"/>
        <n v="5.3035798265062004"/>
        <n v="6.3064740856348402"/>
        <n v="3.8211768935491599"/>
        <n v="3.3525180772660201"/>
        <n v="5.607256478249"/>
        <n v="0.61065526464513997"/>
        <n v="7.1361735845115604"/>
        <n v="5.8311082769396201"/>
        <n v="7.2129500712484598"/>
        <n v="10.103718627828361"/>
        <n v="7.8055961790207009"/>
        <n v="7.30010661746274"/>
        <n v="1.3868602577315281"/>
        <n v="4.0868287195461797"/>
        <n v="6.20662803907162"/>
        <n v="10.471795341213779"/>
        <n v="9.4889311751334002"/>
        <n v="7.6800047996106988"/>
        <n v="10.07245656827436"/>
        <n v="11.49042823455728"/>
        <n v="5.3451293124464998"/>
        <n v="5.8848208379221996"/>
        <n v="9.5729990063734807"/>
        <n v="6.9172790480032997"/>
        <n v="4.22573972387588"/>
        <n v="6.5598575101899597"/>
        <n v="5.2641514493261399"/>
        <n v="10.240548957857939"/>
        <n v="3.2646896217213"/>
        <n v="5.5699534582150596"/>
        <n v="3.9569052176845201"/>
        <n v="5.64448677993642"/>
        <n v="2.3337851540971002"/>
        <n v="7.1392691472316603"/>
        <n v="2.6121852545011599"/>
        <n v="5.3096964517681799"/>
        <n v="4.5214302489665199"/>
        <n v="6.7763020630249198"/>
        <n v="8.6723693823269805"/>
        <n v="7.5500700901075808"/>
        <n v="5.9458900279733404"/>
        <n v="7.8660504818365009"/>
        <n v="7.52507170234336"/>
        <n v="6.4813313758266"/>
        <n v="5.4642362295259801"/>
        <n v="9.0190893250856394"/>
        <n v="2.1837543448354202"/>
        <n v="8.9820895440810808"/>
        <n v="2.8541485109140399"/>
        <n v="2.3242142414753402"/>
        <n v="3.9648796268265798"/>
        <n v="2.2942484718151199"/>
        <n v="8.4085501253416606"/>
        <n v="5.3730494395891801"/>
        <n v="7.5859741994004803"/>
        <n v="5.0229214132397999"/>
        <n v="2.4767920085667599"/>
        <n v="5.5877744361558204"/>
        <n v="7.1318389290274196"/>
        <n v="5.8675032213033802"/>
        <n v="5.8503655655955198"/>
        <n v="8.5976816965117209"/>
        <n v="8.42356291947406"/>
        <n v="6.8301257453405197"/>
        <n v="4.8892076474080399"/>
        <n v="8.7327738334998006"/>
        <n v="5.2334447557709201"/>
        <n v="7.3128804114261401"/>
        <n v="8.2916177588045201"/>
        <n v="9.8304571887477596"/>
        <n v="7.5795428320263198"/>
        <n v="3.0983271671295198"/>
        <n v="7.9792291819676011"/>
        <n v="4.6604149744873604"/>
        <n v="5.5732776611573396"/>
        <n v="3.8169053983961194"/>
        <n v="1.5686008001338441"/>
        <n v="5.2597895580314198"/>
        <n v="5.6050621124877198"/>
        <n v="7.9308275036337399"/>
        <n v="1.61938519764496"/>
        <n v="7.5169752833880192"/>
        <n v="4.2992333519730597"/>
        <n v="6.6781979932006603"/>
        <n v="6.4465691924212596"/>
        <n v="8.0497236547386795"/>
        <n v="9.3499232726043395"/>
        <n v="6.6569723058742598"/>
        <n v="4.2222404868660401"/>
        <n v="5.2595055173052199"/>
        <n v="2.71964960115888"/>
        <n v="2.5567436280364602"/>
        <n v="3.9360148208708603"/>
        <n v="1.9071424025486281"/>
        <n v="3.30977841262564"/>
        <n v="5.59940152717774"/>
        <n v="6.8240097181951196"/>
        <n v="4.2304389018942796"/>
        <n v="7.2575321714849004"/>
        <n v="9.3567942702464606"/>
        <n v="2.28226545275488"/>
        <n v="5.8453013464522003"/>
        <n v="8.0789446313006401"/>
        <n v="3.5439984770803599"/>
        <n v="5.4293406211115602"/>
        <n v="5.7205116395884401"/>
        <n v="6.3838479989659396"/>
        <n v="2.8997120384419"/>
        <n v="4.0014283752103603"/>
        <n v="6.2536178287943001"/>
        <n v="5.7686097237753602"/>
        <n v="6.7338859267358204"/>
        <n v="11.655327614313199"/>
        <n v="8.2417670564312999"/>
        <n v="10.1897758049773"/>
        <n v="6.26393991875422"/>
        <n v="4.2903318542196001"/>
        <n v="3.8313703089817395"/>
        <n v="7.3107723963716804"/>
        <n v="1.5339024198931881"/>
        <n v="6.6225355881277004"/>
        <n v="8.9171931537590403"/>
        <n v="5.8764968424139399"/>
        <n v="7.1296520471016196"/>
        <n v="1.603083921563194"/>
        <n v="4.8888172616556602"/>
        <n v="5.8465506042830198"/>
        <n v="7.19132226461074"/>
        <n v="2.9278620859916402"/>
        <n v="10.195376811519241"/>
        <n v="6.1230109059210998"/>
        <n v="5.2447648634957797"/>
        <n v="9.4676806270984795"/>
        <n v="7.6096896047751601"/>
        <n v="4.8951951225427397"/>
        <n v="11.301457387065399"/>
        <n v="1.771706227667714"/>
        <n v="3.8292902559731195"/>
        <n v="6.7808000960372201"/>
        <n v="4.9861992760439797"/>
        <n v="2.8550741386395"/>
        <n v="7.4516106250011598"/>
        <n v="10.686406919093841"/>
        <n v="5.7306459848619404"/>
        <n v="4.48643496352308"/>
        <n v="4.1586371734020604"/>
        <n v="10.49504684994162"/>
        <n v="6.2239736400049397"/>
        <n v="5.0490711115448201"/>
        <n v="7.8436158745663196"/>
        <n v="4.8910015570927996"/>
        <n v="4.3957262721009602"/>
        <n v="11.02534095673642"/>
        <n v="3.8880505860198404"/>
        <n v="6.9715029161417199"/>
        <n v="9.8285030853866999"/>
        <n v="8.5673140022340792"/>
        <n v="6.9189476874566598"/>
        <n v="4.4866196614005203"/>
        <n v="5.8885150431189999"/>
        <n v="6.6373796950286401"/>
        <n v="9.4433613007944004"/>
        <n v="4.8614986895377799"/>
        <n v="6.00826432965136"/>
        <n v="4.7514467743715603"/>
        <n v="7.6582255138147994"/>
        <n v="8.6958682784689394"/>
        <n v="7.06500654076918"/>
        <n v="7.0245338174600196"/>
        <n v="7.5835470409044596"/>
        <n v="5.1530880905355199"/>
        <n v="8.4659324510069993"/>
        <n v="3.5538888981116998"/>
        <n v="2.5583931953037999"/>
        <n v="8.5295869664051001"/>
        <n v="4.1994631806491602"/>
        <n v="5.52151682328872"/>
        <n v="5.5641246973237397"/>
        <n v="2.7469885651367001"/>
        <n v="4.7305702637591196"/>
        <n v="6.7327213071737404"/>
        <n v="2.3525881361271201"/>
        <n v="6.7268921198193397"/>
        <n v="7.684022684078001"/>
        <n v="7.0642355867489401"/>
        <n v="2.67974539327298"/>
        <n v="4.1625394389759203"/>
        <n v="4.4503493215520802"/>
        <n v="6.6170749496888996"/>
        <n v="4.9526571063975799"/>
        <n v="9.1117230759293797"/>
        <n v="3.9370559409756005"/>
        <n v="8.5904519677284803"/>
        <n v="3.8607067559766199"/>
        <n v="7.9363478396496587"/>
        <n v="5.0615710172369397"/>
        <n v="5.6250429214563002"/>
        <n v="6.3071719085671596"/>
        <n v="7.0592521220745601"/>
        <n v="10.09934176183036"/>
        <n v="6.7175016249943598"/>
        <n v="7.6307986807703205"/>
        <n v="9.1236076688186607"/>
        <n v="5.5711993428713997"/>
        <n v="7.9881617789386397"/>
        <n v="5.6300307899313404"/>
        <n v="6.9238103213234004"/>
        <n v="6.5487806806608999"/>
        <n v="3.5964306164938198"/>
        <n v="3.0442826705962802"/>
        <n v="6.4634086914661397"/>
        <n v="3.7633090560044802"/>
        <n v="5.4653467338737398"/>
        <n v="1.5829469406454579"/>
        <n v="9.0058498734612993"/>
        <n v="11.008753381254961"/>
        <n v="5.7709463623191004"/>
        <n v="6.8086258177062797"/>
        <n v="5.3803868402262598"/>
        <n v="7.9690278352629198"/>
        <n v="5.5908236420457804"/>
        <n v="6.5074748025578604"/>
        <n v="5.8343668131288204"/>
        <n v="4.4746275236842399"/>
        <n v="2.8998707538387598"/>
        <n v="6.58962027735602"/>
        <n v="1.5072597324383361"/>
        <n v="6.8195430053806003"/>
        <n v="10.04294203005858"/>
        <n v="0.89255848321828601"/>
        <n v="5.0481455522259999"/>
        <n v="7.2389747450620003"/>
        <n v="5.3925045980388804"/>
        <n v="5.9328145490009403"/>
        <n v="1.8415901452229979"/>
        <n v="7.4443234463932599"/>
        <n v="3.0064633822448998"/>
        <n v="3.8156999597749199"/>
        <n v="5.1791905342229603"/>
        <n v="4.5470373153116403"/>
        <n v="4.61554917864592"/>
        <n v="8.6002118836163604"/>
        <n v="5.2644047050727201"/>
        <n v="7.6300705762542602"/>
        <n v="4.9315377069303601"/>
        <n v="3.1043935253225401"/>
        <n v="6.9956946578871202"/>
        <n v="6.0622259843119597"/>
        <n v="5.6469947284980204"/>
        <n v="5.08099831502604"/>
        <n v="8.8068269844059195"/>
        <n v="5.79974995783558"/>
        <n v="5.2655486260420599"/>
        <n v="1.9303006755572318"/>
        <n v="6.1400179392426404"/>
        <n v="7.6400878905628202"/>
        <n v="8.3082377592337409"/>
        <n v="10.03514041619756"/>
        <n v="6.1676140399937402"/>
        <n v="8.0146383705460007"/>
        <n v="4.4121178404911197"/>
        <n v="8.9136140275128195"/>
        <n v="8.3437670552810008"/>
        <n v="4.23006830516296"/>
        <n v="6.1485924726060599"/>
        <n v="8.3912681748547993"/>
        <n v="5.51834390125578"/>
        <n v="4.07329600903046"/>
        <n v="3.3998604522902598"/>
        <n v="3.4173585105461401"/>
        <n v="10.87552141035032"/>
        <n v="8.9362642877458391"/>
        <n v="2.58177471350976"/>
        <n v="6.86284721974324"/>
        <n v="5.6516142815148198"/>
        <n v="5.1998306096623201"/>
        <n v="7.6001023072249403"/>
        <n v="1.44516845315389"/>
        <n v="5.4023397112672598"/>
        <n v="5.0119583910269601"/>
        <n v="5.7021020788237404"/>
        <n v="6.1373120655985796"/>
        <n v="3.6759563650566398"/>
        <n v="3.1815090344713002"/>
        <n v="11.1908157294509"/>
        <n v="3.0827855534007802"/>
        <n v="2.7696288008397998"/>
        <n v="6.3127160912348002"/>
        <n v="6.7442094297837203"/>
        <n v="4.0968007484687998"/>
        <n v="1.968105393640242"/>
        <n v="3.1674416363559801"/>
        <n v="5.9216048499600404"/>
        <n v="4.0455907364872603"/>
        <n v="5.0310103845251399"/>
        <n v="4.5085002670375003"/>
        <n v="5.0148127824866799"/>
        <n v="6.9269590036441002"/>
        <n v="2.5500551552058002"/>
        <n v="6.7520139149170602"/>
        <n v="5.1890563666595604"/>
        <n v="3.4594956066671401"/>
        <n v="5.53502639632576"/>
        <n v="7.7974695463649404"/>
        <n v="4.5771416237374201"/>
        <n v="10.31400460615478"/>
        <n v="2.4407248537167399"/>
        <n v="6.3505492378806201"/>
        <n v="2.5503506494909001"/>
        <n v="3.4199259860559601"/>
        <n v="6.5862162681286396"/>
        <n v="5.7453721675393998"/>
        <n v="12.259859645164459"/>
        <n v="6.1822182398635004"/>
        <n v="9.1723743273228404"/>
        <n v="6.9451440532384598"/>
        <n v="3.9329803273372002"/>
        <n v="5.3297327144173599"/>
        <n v="7.9427409229978796"/>
        <n v="7.5125446420499404"/>
        <n v="8.7844215862472392"/>
        <n v="4.7123412908196798"/>
        <n v="3.9497850155138798"/>
        <n v="3.2715639199515398"/>
        <n v="6.16097674932612"/>
        <n v="6.6873869720763404"/>
        <n v="10.4342998663271"/>
        <n v="5.4796874027685201"/>
        <n v="2.60450820965792"/>
        <n v="7.6055392964662598"/>
        <n v="4.5528224926435197"/>
        <n v="4.8751026457321398"/>
        <n v="5.7040860196019203"/>
        <n v="8.3929361038141792"/>
        <n v="10.013530423992"/>
        <n v="8.3514833581254795"/>
        <n v="6.4634375713507204"/>
        <n v="4.2846777795849604"/>
        <n v="1.601525901802892"/>
        <n v="6.3252739090013197"/>
        <n v="6.1737586148469603"/>
        <n v="1.1088988807292779"/>
        <n v="7.5178384936950797"/>
        <n v="12.76639403528428"/>
        <n v="5.7225621804094802"/>
        <n v="8.6735125858651401"/>
        <n v="4.0823399103732001"/>
        <n v="11.76535758803508"/>
        <n v="7.0964341160417996"/>
        <n v="4.3884312657220201"/>
        <n v="3.29294713229742"/>
        <n v="8.5966020122536193"/>
        <n v="4.3354770882059999"/>
        <n v="6.4324114039215798"/>
        <n v="4.6291032421142804"/>
        <n v="7.0597210117297404"/>
        <n v="5.7402725532729804"/>
        <n v="6.1974275160182604"/>
        <n v="8.5024653950694802"/>
        <n v="3.4868713546703201"/>
        <n v="4.5499025248087204"/>
        <n v="5.6075285222437801"/>
        <n v="4.3802393349787598"/>
        <n v="10.807457290365519"/>
        <n v="4.3191259155522399"/>
        <n v="9.1318578840755205"/>
        <n v="5.7533635728999597"/>
        <n v="6.6659498968820996"/>
        <n v="9.2819989236130596"/>
        <n v="3.8664525283072195"/>
        <n v="6.1717937307015402"/>
        <n v="3.17826385438488"/>
        <n v="7.5792051962880187"/>
        <n v="4.8046451549671199"/>
        <n v="7.0672105771038201"/>
        <n v="5.9430985352400603"/>
        <n v="8.3655354462419993"/>
        <n v="3.8321050570052404"/>
        <n v="3.7107569595059799"/>
        <n v="7.943339584971099"/>
        <n v="2.2787111761105798"/>
        <n v="8.1689119972391797"/>
        <n v="5.2101056709294404"/>
        <n v="5.2915032743620598"/>
        <n v="4.5861536781372196"/>
        <n v="5.3054215520874601"/>
        <n v="8.5178905684726605"/>
        <n v="6.5659116848353403"/>
        <n v="8.5784922395855201"/>
        <n v="3.6280513263108798"/>
        <n v="10.03086191986522"/>
        <n v="5.3845206094616396"/>
        <n v="8.3125217667491604"/>
        <n v="4.7149361603121802"/>
        <n v="5.0838924233705196"/>
        <n v="6.8986959312688398"/>
        <n v="6.8322743260561403"/>
        <n v="5.0735019210712196"/>
        <n v="3.8028424293486798"/>
        <n v="5.4837198063389998"/>
        <n v="4.4179412692800399"/>
        <n v="2.38467811702048"/>
        <n v="9.7517436958719799"/>
        <n v="2.1338152856328998"/>
        <n v="4.5521684851732802"/>
        <n v="2.94410562107202"/>
        <n v="5.6412501310931198"/>
        <n v="5.7137669401709603"/>
        <n v="7.56311964685458"/>
        <n v="6.7431917944056199"/>
        <n v="1.606314598490566"/>
        <n v="5.6128639749517202"/>
        <n v="8.31890350972912"/>
        <n v="8.5921030064207393"/>
        <n v="4.5349298442463004"/>
        <n v="5.98366221354404"/>
        <n v="6.6633735000376397"/>
        <n v="8.6895711790518799"/>
        <n v="10.449617628462841"/>
        <n v="7.738215208665201"/>
        <n v="5.9163542641499198"/>
        <n v="2.6712582250024601"/>
        <n v="9.6855677142299808"/>
        <n v="2.6537602966689202"/>
        <n v="5.7164878411712001"/>
        <n v="9.1108786488220996"/>
        <n v="8.3532248171864207"/>
        <n v="7.6430703987193001"/>
        <n v="9.0965227489206608"/>
        <n v="7.9461076139111997"/>
        <n v="6.0678503896531399"/>
        <n v="3.8968585526010804"/>
        <n v="4.1369218917751001"/>
        <n v="7.9623868904230592"/>
        <n v="8.1740461259758597"/>
        <n v="9.4083325577698194"/>
        <n v="6.6272444913508997"/>
        <n v="10.47879785244824"/>
        <n v="7.6465162887570806"/>
        <n v="4.1802999662553804"/>
        <n v="7.9618834982241413"/>
        <n v="7.6590884542625401"/>
        <n v="8.0724901252549799"/>
        <n v="4.7313210259084997"/>
        <n v="8.0585233815441804"/>
        <n v="5.5253033637857198"/>
        <n v="5.1227097556926999"/>
        <n v="9.3587654373797609"/>
        <n v="8.1963968079964609"/>
        <n v="6.0211375689098796"/>
        <n v="6.7254765378981798"/>
        <n v="3.2549833184505799"/>
        <n v="3.5471393282633201"/>
        <n v="7.4284333257344004"/>
        <n v="9.9504113758579997"/>
        <n v="4.4384060758336403"/>
        <n v="8.0998574306423006"/>
        <n v="6.7093847966346596"/>
        <n v="9.0812141304301601"/>
        <n v="7.8477488525207804"/>
        <n v="6.3452457344508604"/>
        <n v="5.5976078662849398"/>
        <n v="7.9101117015509601"/>
        <n v="5.8368654807901397"/>
        <n v="8.1039724521707406"/>
        <n v="5.1879423115236998"/>
        <n v="9.2822474877095793"/>
        <n v="5.8544439282205198"/>
        <n v="8.2420967542434003"/>
        <n v="9.2955187388572806"/>
        <n v="2.69557128107874"/>
        <n v="8.6337844197129208"/>
        <n v="6.1660396539477"/>
        <n v="5.9038505194914199"/>
        <n v="2.8510533199803598"/>
        <n v="3.3048452710507998"/>
        <n v="5.82932291770988"/>
        <n v="5.2455992947791197"/>
        <n v="10.5246137353594"/>
        <n v="7.4866335512188602"/>
        <n v="1.611356258258132"/>
        <n v="5.5763887227247197"/>
        <n v="7.16112033220268"/>
        <n v="7.5916059342073012"/>
        <n v="7.0113815361470602"/>
        <n v="6.2129982670357"/>
        <n v="6.8505440923222398"/>
        <n v="8.6993532775986004"/>
        <n v="5.7308079707036601"/>
        <n v="4.5379222048733601"/>
        <n v="9.8125866579740197"/>
        <n v="9.9194380157496997"/>
        <n v="1.933402413102552"/>
        <n v="10.180835328324919"/>
        <n v="5.3349696492310397"/>
        <n v="7.3875535849970602"/>
        <n v="1.6879092628496799"/>
        <n v="4.8350010302620996"/>
        <n v="6.0307876303005603"/>
        <n v="7.7070183042899396"/>
        <n v="9.7996710409214405"/>
        <n v="5.4508956735446397"/>
        <n v="9.2493247606045195"/>
        <n v="3.0806588908060402"/>
        <n v="7.1143708677290798"/>
        <n v="3.2009039706690401"/>
        <n v="9.0521311653216401"/>
        <n v="3.6565423318383998"/>
        <n v="4.8244529775489804"/>
        <n v="7.4497464633594603"/>
        <n v="6.6704560834092996"/>
        <n v="6.8119291452941004"/>
        <n v="4.5968073875294397"/>
        <n v="8.8183476010490196"/>
        <n v="6.7573862315379198"/>
        <n v="4.8356524542312798"/>
        <n v="3.9924441236902601"/>
        <n v="6.1288766148927403"/>
        <n v="6.14926734136868"/>
        <n v="6.9801453189113403"/>
        <n v="7.552832768238261"/>
        <n v="6.5508195373381604"/>
        <n v="7.6887683818959394"/>
        <n v="3.1542630628802599"/>
        <n v="10.174225654763919"/>
        <n v="6.58171773279056"/>
        <n v="7.4776051711672196"/>
        <n v="6.3852135813003796"/>
        <n v="5.6878172814109398"/>
        <n v="10.189926665761179"/>
        <n v="5.0834225325743203"/>
        <n v="9.3918941679557797"/>
        <n v="4.9248283287023398"/>
        <n v="9.4075348028058396"/>
        <n v="4.3344938358110401"/>
        <n v="3.15003786098376"/>
        <n v="7.8462288552825399"/>
        <n v="5.88853108347966"/>
        <n v="3.83615453258852"/>
        <n v="4.55258919759242"/>
        <n v="7.2538861928624998"/>
        <n v="5.90231040780606"/>
        <n v="5.7799697246442001"/>
        <n v="5.7486181706575197"/>
        <n v="2.2675258394020998"/>
        <n v="6.33294999603938"/>
      </sharedItems>
    </cacheField>
    <cacheField name=" CostDroneDelivery " numFmtId="44">
      <sharedItems containsSemiMixedTypes="0" containsString="0" containsNumber="1" minValue="0" maxValue="0.1995992585414206" count="1433">
        <n v="0"/>
        <n v="0.15476643993910691"/>
        <n v="0.14716773159325175"/>
        <n v="0.12841310202428996"/>
        <n v="0.19392685778617103"/>
        <n v="0.19408832826961178"/>
        <n v="0.16006064750629403"/>
        <n v="0.13093954303394748"/>
        <n v="0.16074933438843589"/>
        <n v="0.12283807737539956"/>
        <n v="0.18645638426867631"/>
        <n v="0.1170436523981193"/>
        <n v="0.16654178159009692"/>
        <n v="0.14110348417195615"/>
        <n v="0.14824760089933503"/>
        <n v="0.17614026131396032"/>
        <n v="0.11444449754210738"/>
        <n v="0.13706364994480974"/>
        <n v="0.127004243636064"/>
        <n v="0.17028012190370675"/>
        <n v="0.18628889843121857"/>
        <n v="0.19797733350077279"/>
        <n v="0.18167063460876526"/>
        <n v="6.9342761480891288E-2"/>
        <n v="0.19634935699740733"/>
        <n v="0.19737396146209221"/>
        <n v="0.12560550904317053"/>
        <n v="0.18664648022026598"/>
        <n v="0.10374577924076651"/>
        <n v="0.10212918845016616"/>
        <n v="0.16302087833787826"/>
        <n v="0.12138995998246865"/>
        <n v="7.9623682852124511E-2"/>
        <n v="0.12185928868508959"/>
        <n v="9.433071954029365E-2"/>
        <n v="0.16872585011028043"/>
        <n v="0.12574564699383298"/>
        <n v="0.17547523487822092"/>
        <n v="0.13614923092455053"/>
        <n v="0.14867564273370251"/>
        <n v="0.15868047390607601"/>
        <n v="0.15959265872469336"/>
        <n v="0.19027480015518497"/>
        <n v="0.12983175690058005"/>
        <n v="0.1763109986784438"/>
        <n v="0.19473219746181142"/>
        <n v="0.15750787250257922"/>
        <n v="0.19226761441005905"/>
        <n v="0.16902920377154562"/>
        <n v="0.17897070940455626"/>
        <n v="8.9015296709740246E-2"/>
        <n v="9.4284474378768787E-2"/>
        <n v="0.18658959309428449"/>
        <n v="0.11172066098601566"/>
        <n v="8.5290480559615439E-2"/>
        <n v="9.0368679241488351E-2"/>
        <n v="0.14437460056175394"/>
        <n v="0.11248687566042395"/>
        <n v="0.166582714325645"/>
        <n v="0.1247068054716312"/>
        <n v="0.15632080508554549"/>
        <n v="0.1579548901874116"/>
        <n v="0.19384232386956662"/>
        <n v="0.12678747379010449"/>
        <n v="0.12377156384671432"/>
        <n v="0.13290125318269641"/>
        <n v="0.19526136988886658"/>
        <n v="9.8441461371609612E-2"/>
        <n v="7.4015438804395109E-2"/>
        <n v="8.9980562856588425E-2"/>
        <n v="0.16046777013788074"/>
        <n v="0.11125697204388288"/>
        <n v="0.11910464134840337"/>
        <n v="0.16052646938160878"/>
        <n v="0.13770632048194403"/>
        <n v="9.0469090941019389E-2"/>
        <n v="0.17971251855489012"/>
        <n v="5.3572361375060329E-2"/>
        <n v="0.17214042405575788"/>
        <n v="0.17262843416396306"/>
        <n v="0.14339980058872867"/>
        <n v="9.3386409911197357E-2"/>
        <n v="9.7146294629834942E-2"/>
        <n v="5.7183498196912562E-2"/>
        <n v="0.1330066836832304"/>
        <n v="0.17118210440741735"/>
        <n v="0.17839044757221101"/>
        <n v="0.11330899428528229"/>
        <n v="3.8338900799159789E-2"/>
        <n v="0.15964525160513152"/>
        <n v="0.11758626040678972"/>
        <n v="0.18254893316881354"/>
        <n v="0.19623881876163801"/>
        <n v="0.14137947936375567"/>
        <n v="0.15700458141983131"/>
        <n v="0.16631043364675607"/>
        <n v="0.16160367039073845"/>
        <n v="0.12808215442907178"/>
        <n v="0.14681505889571927"/>
        <n v="0.17186259597196121"/>
        <n v="0.15584382759116741"/>
        <n v="4.9095353533905255E-2"/>
        <n v="0.12696112589807365"/>
        <n v="0.19793667981969471"/>
        <n v="9.3653133529211341E-2"/>
        <n v="6.5285144857932423E-2"/>
        <n v="0.18559499447644282"/>
        <n v="6.8092557658592762E-2"/>
        <n v="0.19551907874720478"/>
        <n v="0.16829127716396131"/>
        <n v="0.1926721002537721"/>
        <n v="0.12858846500824633"/>
        <n v="0.15710392540696924"/>
        <n v="0.16337429806194026"/>
        <n v="0.15601327983585969"/>
        <n v="4.3061969494763264E-2"/>
        <n v="0.15318074251985794"/>
        <n v="0.16089486918315024"/>
        <n v="5.2371475105226481E-2"/>
        <n v="0.13271215631208239"/>
        <n v="0.16792072511314365"/>
        <n v="0.19504738568442892"/>
        <n v="9.004565405236907E-2"/>
        <n v="0.13695059936453302"/>
        <n v="0.13101755003207183"/>
        <n v="0.13813026888748514"/>
        <n v="0.15336329252097841"/>
        <n v="0.18563693957256169"/>
        <n v="0.15832426801442417"/>
        <n v="0.19011313251290338"/>
        <n v="0.16842313076426366"/>
        <n v="0.11959357499591572"/>
        <n v="0.19056946988939427"/>
        <n v="0.147218673321313"/>
        <n v="5.5352647761210204E-2"/>
        <n v="0.11563506681567164"/>
        <n v="8.3585873614436965E-2"/>
        <n v="0.12313273839828455"/>
        <n v="0.18541947555504035"/>
        <n v="0.19191529306288818"/>
        <n v="9.9199711087230594E-2"/>
        <n v="0.19153834464229921"/>
        <n v="0.18177506637094579"/>
        <n v="0.19929006425232859"/>
        <n v="0.19432391657425463"/>
        <n v="0.19829306386892107"/>
        <n v="1.9275190884619042E-2"/>
        <n v="0.14291499251636403"/>
        <n v="7.1818068120126713E-2"/>
        <n v="0.17274077875544211"/>
        <n v="0.14946921347695266"/>
        <n v="0.19897247718749433"/>
        <n v="0.15474389381191223"/>
        <n v="0.1457388067420721"/>
        <n v="0.17387147124943478"/>
        <n v="0.19187692133672565"/>
        <n v="0.10252583790070864"/>
        <n v="0.11327463774367681"/>
        <n v="0.19656495369291138"/>
        <n v="0.19203932510728816"/>
        <n v="0.10334639702493291"/>
        <n v="0.15158202348630317"/>
        <n v="0.14674533793416872"/>
        <n v="0.16841935885342194"/>
        <n v="0.14945181462118004"/>
        <n v="8.1779625022122479E-2"/>
        <n v="0.13249617294888827"/>
        <n v="0.18740446563551824"/>
        <n v="0.16908221205993756"/>
        <n v="0.19913858775533147"/>
        <n v="0.17868560505252212"/>
        <n v="0.13895650452020458"/>
        <n v="0.17718188854571651"/>
        <n v="0.12020782733536436"/>
        <n v="0.15092132655221771"/>
        <n v="7.6337980681099399E-2"/>
        <n v="0.14314485949652297"/>
        <n v="0.14331513532668055"/>
        <n v="7.7179157642587343E-2"/>
        <n v="0.18576086713837064"/>
        <n v="0.182241625381454"/>
        <n v="8.871452227956507E-2"/>
        <n v="0.11236704833722889"/>
        <n v="0.19270700516984832"/>
        <n v="0.13586393256658563"/>
        <n v="0.13417244256095193"/>
        <n v="5.3290517102356105E-2"/>
        <n v="0.15229352126900719"/>
        <n v="0.19779934959271048"/>
        <n v="0.16615576895616982"/>
        <n v="0.1301326525648718"/>
        <n v="0.13613049929884025"/>
        <n v="4.014854931909808E-2"/>
        <n v="0.18233333987905562"/>
        <n v="0.18120901984263371"/>
        <n v="0.17678554760192589"/>
        <n v="0.10816707880603856"/>
        <n v="6.2212841862137845E-2"/>
        <n v="5.8147355489589936E-2"/>
        <n v="0.11377463112520245"/>
        <n v="0.17031960444619446"/>
        <n v="0.13155496147128562"/>
        <n v="0.13392527522548933"/>
        <n v="0.18469366008632598"/>
        <n v="0.10611848330508179"/>
        <n v="0.18424462205839109"/>
        <n v="0.12622380355834042"/>
        <n v="0.1470626195874091"/>
        <n v="0.16910964417880159"/>
        <n v="2.3981746549394948E-2"/>
        <n v="0.13277163827975544"/>
        <n v="0.15152867059559613"/>
        <n v="0.14557697343181156"/>
        <n v="0.12601782947685605"/>
        <n v="6.6458185766318359E-2"/>
        <n v="0.11769854205607652"/>
        <n v="5.7926379627203942E-2"/>
        <n v="0.18329652154918333"/>
        <n v="0.10747849507494006"/>
        <n v="0.10200138624214131"/>
        <n v="0.1705109523018451"/>
        <n v="0.18128853096626879"/>
        <n v="0.15391657416155669"/>
        <n v="0.16457811797687419"/>
        <n v="8.4552003183294283E-2"/>
        <n v="0.11143155251179657"/>
        <n v="9.5270201183816697E-2"/>
        <n v="0.17397517504213481"/>
        <n v="0.1362123283691983"/>
        <n v="0.1956059455251139"/>
        <n v="0.10304128586921332"/>
        <n v="0.11341149781318843"/>
        <n v="0.14866550597757536"/>
        <n v="0.18803892320840918"/>
        <n v="5.4015541158372364E-2"/>
        <n v="0.10819197659237334"/>
        <n v="0.15363867390058875"/>
        <n v="0.19612346747274881"/>
        <n v="0.17778209966378919"/>
        <n v="0.10905544184242863"/>
        <n v="0.10947798384644852"/>
        <n v="0.1752195340068555"/>
        <n v="0.15095339770170488"/>
        <n v="0.18335838486315281"/>
        <n v="0.16081206098026882"/>
        <n v="0.12061798887966776"/>
        <n v="0.12273567831721355"/>
        <n v="0.11948329329647167"/>
        <n v="0.14817237701007482"/>
        <n v="0.12826838873937429"/>
        <n v="0.13805571467232661"/>
        <n v="0.13385191659856935"/>
        <n v="0.12407384651553079"/>
        <n v="0.11272122221144336"/>
        <n v="0.17490284433141645"/>
        <n v="0.13260365512884575"/>
        <n v="0.17759006248363698"/>
        <n v="0.15186640976295201"/>
        <n v="0.15015747253618009"/>
        <n v="0.19575700777649216"/>
        <n v="0.15356166824252621"/>
        <n v="0.18943809815648602"/>
        <n v="0.16775031798416395"/>
        <n v="0.19058751610004418"/>
        <n v="0.17945339665485988"/>
        <n v="0.14585821094179663"/>
        <n v="0.18639014658254666"/>
        <n v="0.16868398534167867"/>
        <n v="0.11543440570741136"/>
        <n v="0.19365523778567884"/>
        <n v="6.0537775197084913E-2"/>
        <n v="0.1114739127956179"/>
        <n v="0.11746729521959341"/>
        <n v="0.10622381136200555"/>
        <n v="0.16176534412092544"/>
        <n v="0.14005670936305059"/>
        <n v="0.16888968475892518"/>
        <n v="0.17020317960118786"/>
        <n v="0.19913066399223583"/>
        <n v="7.0091924822732923E-2"/>
        <n v="0.16170129947253345"/>
        <n v="0.12136546376909967"/>
        <n v="0.18849810935515232"/>
        <n v="0.15992438648483775"/>
        <n v="5.5376879701938553E-2"/>
        <n v="0.10664003167877943"/>
        <n v="0.19107905700993782"/>
        <n v="0.10908752491703853"/>
        <n v="0.1021907481050527"/>
        <n v="0.15060830788661"/>
        <n v="0.13081404279067191"/>
        <n v="0.19333131714842319"/>
        <n v="0.15578362543373292"/>
        <n v="9.3439394850942742E-2"/>
        <n v="0.17453623328172943"/>
        <n v="0.12232070342314792"/>
        <n v="0.11695479583075749"/>
        <n v="5.7609076693318897E-2"/>
        <n v="0.10725820036383824"/>
        <n v="0.16633632058319195"/>
        <n v="0.11240432247159216"/>
        <n v="0.16799430969354026"/>
        <n v="9.1848694543326115E-2"/>
        <n v="0.1116908634281371"/>
        <n v="0.12242477622627582"/>
        <n v="0.19724185846438352"/>
        <n v="0.15407361155982052"/>
        <n v="0.19348273226025631"/>
        <n v="0.18134255480692613"/>
        <n v="0.18886233396887894"/>
        <n v="0.17313991384618974"/>
        <n v="0.17982889281179865"/>
        <n v="0.10408234819913792"/>
        <n v="0.14250910702786365"/>
        <n v="8.8142687749498835E-2"/>
        <n v="0.14823425536816112"/>
        <n v="0.10404571111934276"/>
        <n v="0.17119192950235063"/>
        <n v="9.9804277180487566E-2"/>
        <n v="3.5235994509532687E-2"/>
        <n v="0.17024998163932456"/>
        <n v="0.17986544020473927"/>
        <n v="8.8831848587419757E-2"/>
        <n v="0.17653410700945554"/>
        <n v="0.1312986026208951"/>
        <n v="0.16844978848539183"/>
        <n v="0.1487025672583755"/>
        <n v="0.17375581798428361"/>
        <n v="3.6730169347855994E-2"/>
        <n v="0.13801407794637699"/>
        <n v="9.7371904117063715E-2"/>
        <n v="0.19043719050854604"/>
        <n v="0.16851839609768052"/>
        <n v="0.1742261572631951"/>
        <n v="0.17893024050858361"/>
        <n v="0.12573286102002562"/>
        <n v="0.12282003504403574"/>
        <n v="0.16563494636995724"/>
        <n v="0.1867770726293487"/>
        <n v="0.15877860779951533"/>
        <n v="0.1503957155891156"/>
        <n v="0.16192510164187138"/>
        <n v="0.16635882316032752"/>
        <n v="0.17530850913604359"/>
        <n v="0.11669818296024854"/>
        <n v="8.5002588457817593E-2"/>
        <n v="0.10351071237345004"/>
        <n v="0.12177865888965425"/>
        <n v="0.17703441702784276"/>
        <n v="0.19947087479292067"/>
        <n v="0.10905953273867033"/>
        <n v="0.15394072864300212"/>
        <n v="0.15350884667047282"/>
        <n v="0.14601717197014605"/>
        <n v="0.14581691975281547"/>
        <n v="0.12627205386550297"/>
        <n v="6.8925859540953899E-2"/>
        <n v="0.12730880271368472"/>
        <n v="0.16894421750185906"/>
        <n v="0.14449172690397546"/>
        <n v="0.10151384418237536"/>
        <n v="0.17783108462015276"/>
        <n v="0.14903399206989384"/>
        <n v="7.652744796074086E-2"/>
        <n v="0.1324574963871816"/>
        <n v="0.19372899137040589"/>
        <n v="0.15329343001817111"/>
        <n v="0.16000953534561763"/>
        <n v="0.1746710994505517"/>
        <n v="4.0834459695347887E-2"/>
        <n v="0.19716140853147754"/>
        <n v="0.1592030834084871"/>
        <n v="0.15289662531042378"/>
        <n v="0.1958357607030434"/>
        <n v="7.845621619104183E-2"/>
        <n v="8.8380931326456066E-2"/>
        <n v="0.19132682618961125"/>
        <n v="8.1213676456250564E-2"/>
        <n v="9.9677268624052462E-2"/>
        <n v="0.17469336425903539"/>
        <n v="0.12447295318578082"/>
        <n v="0.15743528279795307"/>
        <n v="0.13617802462600251"/>
        <n v="0.13137817273742253"/>
        <n v="0.15314195964318394"/>
        <n v="0.146256334061902"/>
        <n v="0.11055676456570478"/>
        <n v="0.19180559458547874"/>
        <n v="0.14965045147242903"/>
        <n v="7.5724793921970276E-2"/>
        <n v="0.13106549110193613"/>
        <n v="0.10356861945082239"/>
        <n v="0.17353655481674243"/>
        <n v="0.16583652595099205"/>
        <n v="4.8392642522137305E-2"/>
        <n v="0.1506723830017096"/>
        <n v="0.11370826036306599"/>
        <n v="0.1519504257873534"/>
        <n v="0.19089949039087345"/>
        <n v="0.18722182320967368"/>
        <n v="0.19146330793812907"/>
        <n v="0.14124259156687483"/>
        <n v="0.16653123396907554"/>
        <n v="0.15392379974286544"/>
        <n v="0.11007104427004635"/>
        <n v="0.16997994338803279"/>
        <n v="0.19101029350347948"/>
        <n v="8.0702011810153157E-2"/>
        <n v="9.8814516168678465E-2"/>
        <n v="0.17126096847891051"/>
        <n v="0.13164206160976352"/>
        <n v="0.14081020196189564"/>
        <n v="0.18587748567730722"/>
        <n v="9.4803995530509527E-2"/>
        <n v="9.3061890482031992E-2"/>
        <n v="0.17018161565572454"/>
        <n v="0.15805806226055802"/>
        <n v="0.18182894609758715"/>
        <n v="4.219552502614575E-2"/>
        <n v="0.1662997865103531"/>
        <n v="0.15175841352977751"/>
        <n v="0.1512399740809095"/>
        <n v="0.17639760966953177"/>
        <n v="0.17648767225581782"/>
        <n v="0.14545342926862589"/>
        <n v="3.0842484378875195E-2"/>
        <n v="8.4907336084124235E-2"/>
        <n v="2.3859876031365298E-2"/>
        <n v="0.12300222336801385"/>
        <n v="0.16199871697188928"/>
        <n v="0.15214258575373207"/>
        <n v="0.16537413200978543"/>
        <n v="3.325682978387913E-2"/>
        <n v="0.16724656361947565"/>
        <n v="0.10439777332012976"/>
        <n v="0.19192698309333117"/>
        <n v="0.14935810807510264"/>
        <n v="0.12826591101608689"/>
        <n v="0.11424578645652944"/>
        <n v="6.7968273860873424E-2"/>
        <n v="4.0553256665462875E-2"/>
        <n v="0.13176417013705288"/>
        <n v="0.12654383318681817"/>
        <n v="0.1708895116650915"/>
        <n v="0.1488179574093233"/>
        <n v="0.19106252720778966"/>
        <n v="0.12745467734258414"/>
        <n v="7.8518060762087269E-2"/>
        <n v="0.10554641688922821"/>
        <n v="0.1878021450118566"/>
        <n v="0.19754997394185164"/>
        <n v="0.16658737383291702"/>
        <n v="0.17393487689385176"/>
        <n v="0.14553657741698259"/>
        <n v="7.7781034106998728E-2"/>
        <n v="0.11389460140717231"/>
        <n v="0.12864306420333194"/>
        <n v="0.10326682161799976"/>
        <n v="0.17201964402013903"/>
        <n v="0.1882963398664951"/>
        <n v="7.8913519182183783E-2"/>
        <n v="0.16516913090015045"/>
        <n v="0.18814080264952635"/>
        <n v="0.16480549372671371"/>
        <n v="0.14727550592884614"/>
        <n v="0.12204807356574165"/>
        <n v="0.19060176646367399"/>
        <n v="0.174670797683493"/>
        <n v="0.17464698919456886"/>
        <n v="0.15497789502451956"/>
        <n v="0.1400514924774667"/>
        <n v="0.10691603488800397"/>
        <n v="0.11767509191282718"/>
        <n v="0.16654592762316611"/>
        <n v="0.18050580962870627"/>
        <n v="0.19157778904928591"/>
        <n v="0.16786620191408716"/>
        <n v="0.12645627721173716"/>
        <n v="0.17315664150780224"/>
        <n v="0.18559836604170299"/>
        <n v="6.6489317735502027E-2"/>
        <n v="0.1987334257149663"/>
        <n v="0.10327887464909401"/>
        <n v="0.12742941994336154"/>
        <n v="0.14172292588001867"/>
        <n v="0.11739198862473613"/>
        <n v="0.16637042168888194"/>
        <n v="0.15323987253988222"/>
        <n v="9.0222333803163746E-2"/>
        <n v="0.18922117429250637"/>
        <n v="0.14879802650386503"/>
        <n v="9.3725137837181449E-2"/>
        <n v="0.16677400500380624"/>
        <n v="0.15723093846630493"/>
        <n v="6.8442805987578584E-2"/>
        <n v="0.17332114976150884"/>
        <n v="0.19704223757258896"/>
        <n v="0.18760283601323025"/>
        <n v="0.15340066162291707"/>
        <n v="0.1921762956585312"/>
        <n v="9.5425928624783204E-2"/>
        <n v="0.11506935957371117"/>
        <n v="0.13005570772686931"/>
        <n v="0.1119380086531484"/>
        <n v="9.9191185184716313E-2"/>
        <n v="0.14626455207796307"/>
        <n v="0.15816604256866015"/>
        <n v="0.12246433617065315"/>
        <n v="0.1113065790418685"/>
        <n v="0.19797710699212992"/>
        <n v="2.7884200451630717E-2"/>
        <n v="0.10793993448089477"/>
        <n v="0.13541577578069033"/>
        <n v="7.9828271235564796E-2"/>
        <n v="0.13148560966339662"/>
        <n v="3.4366001974886165E-2"/>
        <n v="0.15869792756373938"/>
        <n v="9.431771603686781E-2"/>
        <n v="0.13934305522855228"/>
        <n v="0.18129271114248305"/>
        <n v="0.11469951465956656"/>
        <n v="8.7853535461548699E-2"/>
        <n v="0.12604641121697588"/>
        <n v="0.19707114277260329"/>
        <n v="8.363410518797891E-2"/>
        <n v="0.18764189502283735"/>
        <n v="0.18280687494528636"/>
        <n v="0.18460882021368938"/>
        <n v="0.16017405918591804"/>
        <n v="0.13906103325323185"/>
        <n v="0.18288001595376921"/>
        <n v="3.3388220325671548E-2"/>
        <n v="7.7018718045346435E-2"/>
        <n v="5.8871741358857962E-2"/>
        <n v="8.1165457656265996E-2"/>
        <n v="0.19763975000784648"/>
        <n v="0.19597402015320473"/>
        <n v="0.19874036689137248"/>
        <n v="0.13239924245140994"/>
        <n v="7.2296744422727377E-2"/>
        <n v="2.1702740040827447E-2"/>
        <n v="0.16946678161547449"/>
        <n v="0.15623212238260892"/>
        <n v="0.10703236981436086"/>
        <n v="0.13447091245388451"/>
        <n v="9.3397448028767649E-2"/>
        <n v="0.16021405677350894"/>
        <n v="9.6911977035596564E-2"/>
        <n v="0.10683911591448225"/>
        <n v="0.17130585004804913"/>
        <n v="0.18721959428156534"/>
        <n v="0.11351980178544069"/>
        <n v="0.19266804257240233"/>
        <n v="7.9382209910856816E-2"/>
        <n v="0.14961263264724983"/>
        <n v="0.17218142838654601"/>
        <n v="0.15165789579505298"/>
        <n v="0.18780307843364583"/>
        <n v="0.14443806042025467"/>
        <n v="0.10390956971781942"/>
        <n v="0.16583337572103013"/>
        <n v="0.17344264323204039"/>
        <n v="0.19951274153611867"/>
        <n v="0.15501915363023216"/>
        <n v="0.14998001750889564"/>
        <n v="0.12128569083897664"/>
        <n v="0.18095246695268041"/>
        <n v="0.15560346241897124"/>
        <n v="0.14783239892688524"/>
        <n v="0.13041438758828097"/>
        <n v="0.19771552585422303"/>
        <n v="0.17135643232879674"/>
        <n v="0.16773010533370619"/>
        <n v="0.12725680862584665"/>
        <n v="9.6747262556319671E-2"/>
        <n v="0.18314772401353205"/>
        <n v="0.19395928422792325"/>
        <n v="0.10820487600110672"/>
        <n v="0.14099583923725006"/>
        <n v="0.19538024564033776"/>
        <n v="0.16076508827629482"/>
        <n v="0.19597573265683707"/>
        <n v="0.12667748202270226"/>
        <n v="0.11684767299222805"/>
        <n v="0.14479513062433069"/>
        <n v="0.15756426955565983"/>
        <n v="0.16745128016220384"/>
        <n v="0.17650412084118794"/>
        <n v="0.14549146471770122"/>
        <n v="0.13263885000180736"/>
        <n v="0.19305485506405237"/>
        <n v="9.4741858540419263E-2"/>
        <n v="0.12744894042711621"/>
        <n v="0.18007643758813155"/>
        <n v="0.15653344243308731"/>
        <n v="0.16981633400963278"/>
        <n v="0.16358220175065102"/>
        <n v="0.18199999858240815"/>
        <n v="0.17413543064079351"/>
        <n v="0.14828561718225217"/>
        <n v="0.13347246044107069"/>
        <n v="0.12942855756658975"/>
        <n v="0.14082011390325599"/>
        <n v="0.16428228239637038"/>
        <n v="0.18432016152471276"/>
        <n v="0.12089216623700963"/>
        <n v="0.13554792419859141"/>
        <n v="0.14738182547015644"/>
        <n v="0.10584476813365379"/>
        <n v="8.423785076031462E-2"/>
        <n v="0.19044945103556976"/>
        <n v="0.17463257922419789"/>
        <n v="5.4490299843644903E-2"/>
        <n v="7.5597784182091413E-2"/>
        <n v="0.15614821179991725"/>
        <n v="0.17868775163523504"/>
        <n v="0.10250331950247997"/>
        <n v="0.1776622839631101"/>
        <n v="5.9262982015259216E-2"/>
        <n v="0.12554551352521892"/>
        <n v="0.19402739423346288"/>
        <n v="0.17415502380583772"/>
        <n v="0.16200691567214079"/>
        <n v="0.12935685803106572"/>
        <n v="0.19161377376457939"/>
        <n v="9.6876506903800341E-2"/>
        <n v="0.16000856624420404"/>
        <n v="4.9780231324022456E-2"/>
        <n v="4.2812616482331256E-2"/>
        <n v="0.11973925823666222"/>
        <n v="9.2325701583573172E-2"/>
        <n v="0.12499677936425241"/>
        <n v="0.11794557444050636"/>
        <n v="0.11998908600597775"/>
        <n v="0.18099869974100852"/>
        <n v="0.10345258682177073"/>
        <n v="0.18834814584644621"/>
        <n v="0.18630962635003287"/>
        <n v="0.15347221066572636"/>
        <n v="0.1519960596766215"/>
        <n v="0.14132702631383723"/>
        <n v="0.14055605915552002"/>
        <n v="9.2650258315388742E-2"/>
        <n v="0.13256301227893449"/>
        <n v="0.13880371686722209"/>
        <n v="6.1421431409113263E-2"/>
        <n v="0.19392228253696553"/>
        <n v="0.1704145296277256"/>
        <n v="9.3668258830453752E-2"/>
        <n v="0.13170676225805866"/>
        <n v="0.16900683683554307"/>
        <n v="0.17924579896097259"/>
        <n v="0.18116853848111877"/>
        <n v="0.12361542382056208"/>
        <n v="0.14029773312867028"/>
        <n v="0.13413468261585548"/>
        <n v="0.16158756431879384"/>
        <n v="0.16670035712121864"/>
        <n v="0.14439213363583125"/>
        <n v="7.1514599356566524E-2"/>
        <n v="0.18165993119935059"/>
        <n v="8.1244752183604482E-2"/>
        <n v="0.18650833894095556"/>
        <n v="0.11781755229799069"/>
        <n v="0.18281711737554704"/>
        <n v="0.19870719872073062"/>
        <n v="3.2603363597160318E-2"/>
        <n v="0.15525546969203058"/>
        <n v="4.9467286135325993E-2"/>
        <n v="0.14070665448242214"/>
        <n v="0.16988160660520488"/>
        <n v="0.14730026679795152"/>
        <n v="0.18600290450912041"/>
        <n v="0.16856005567354676"/>
        <n v="0.12507537387108747"/>
        <n v="0.17090510147716045"/>
        <n v="5.712628758188866E-2"/>
        <n v="0.15765683686511109"/>
        <n v="6.4140997625062757E-2"/>
        <n v="9.5419866003264187E-2"/>
        <n v="0.12588117909119512"/>
        <n v="0.17861894237072184"/>
        <n v="3.1947906503978787E-2"/>
        <n v="7.2482076345230115E-2"/>
        <n v="0.17142286361978987"/>
        <n v="0.11550913471335127"/>
        <n v="0.11236246552007938"/>
        <n v="7.0788902363462192E-2"/>
        <n v="0.11762066018580185"/>
        <n v="0.1167944687320214"/>
        <n v="0.13391790968965828"/>
        <n v="2.0686966139064122E-2"/>
        <n v="0.11609233491011751"/>
        <n v="6.2112580740212309E-2"/>
        <n v="0.17853115715683193"/>
        <n v="0.1458778130274957"/>
        <n v="9.3561965370543468E-2"/>
        <n v="0.12017959248330458"/>
        <n v="0.11084397338660822"/>
        <n v="0.14572095352435044"/>
        <n v="0.18339304818904698"/>
        <n v="0.13712818346575981"/>
        <n v="0.12091623042982771"/>
        <n v="0.11235206343828498"/>
        <n v="3.3256849087527428E-2"/>
        <n v="0.13029953311787409"/>
        <n v="0.13156428825502925"/>
        <n v="0.17788457415125616"/>
        <n v="0.13454124498892595"/>
        <n v="0.13293773273443954"/>
        <n v="0.16643367418837976"/>
        <n v="0.12876023910763526"/>
        <n v="0.16229032594724924"/>
        <n v="0.12487623096650571"/>
        <n v="0.19613383585419863"/>
        <n v="0.14503460430902632"/>
        <n v="0.15445111204108494"/>
        <n v="0.18135328059135605"/>
        <n v="0.12370748065898189"/>
        <n v="0.18712890095383178"/>
        <n v="0.15085090253030661"/>
        <n v="0.13946665066852487"/>
        <n v="0.11954113947611397"/>
        <n v="0.17528450613147364"/>
        <n v="0.11723053276768183"/>
        <n v="0.13371035740375786"/>
        <n v="0.19451141981266765"/>
        <n v="0.10731453022216571"/>
        <n v="6.5950591896039121E-2"/>
        <n v="0.15323559596544331"/>
        <n v="0.15734280714436077"/>
        <n v="0.1286165755209909"/>
        <n v="0.14368906847846094"/>
        <n v="0.16649215500556602"/>
        <n v="0.19096800776247158"/>
        <n v="0.19573113342314163"/>
        <n v="6.8697288205997575E-2"/>
        <n v="0.17435332600671138"/>
        <n v="0.17687348480920417"/>
        <n v="0.18742367436833721"/>
        <n v="9.3507188444289194E-2"/>
        <n v="7.3087123357220035E-2"/>
        <n v="0.19811972529495009"/>
        <n v="0.16713559316961474"/>
        <n v="0.1955138807111734"/>
        <n v="6.6434847554617801E-2"/>
        <n v="6.5530202802980289E-2"/>
        <n v="0.15936150985822414"/>
        <n v="0.11128672719631982"/>
        <n v="0.1942395589503163"/>
        <n v="9.961694985271724E-2"/>
        <n v="0.10733171267272988"/>
        <n v="4.2888308382861111E-2"/>
        <n v="0.14263305113290872"/>
        <n v="0.13620120411331577"/>
        <n v="0.17614588438004594"/>
        <n v="8.4149820874561118E-2"/>
        <n v="0.17360023096669383"/>
        <n v="0.12060191208145815"/>
        <n v="8.0385797074590884E-2"/>
        <n v="5.673787358774908E-2"/>
        <n v="0.14898107780212599"/>
        <n v="0.18906764411470453"/>
        <n v="0.11448594530060989"/>
        <n v="0.14101393326785036"/>
        <n v="9.0912450342034837E-2"/>
        <n v="0.13006212109502638"/>
        <n v="0.17909413377191699"/>
        <n v="0.1779255178142467"/>
        <n v="0.18293208836314701"/>
        <n v="0.14940316100876697"/>
        <n v="0.11560734899492635"/>
        <n v="0.16005048323363946"/>
        <n v="0.11082254722632232"/>
        <n v="0.12406109339408157"/>
        <n v="5.1852144263362369E-2"/>
        <n v="0.19308863437636659"/>
        <n v="0.14201805586659469"/>
        <n v="0.17722961502148254"/>
        <n v="7.3185891659584834E-2"/>
        <n v="0.17952082816842241"/>
        <n v="0.14022221858569525"/>
        <n v="0.16175194826439276"/>
        <n v="0.11455760032343108"/>
        <n v="0.19271680438099728"/>
        <n v="0.19036691356451726"/>
        <n v="0.12948093284177753"/>
        <n v="0.10813717264514117"/>
        <n v="0.10411610492911698"/>
        <n v="0.12499317642286624"/>
        <n v="9.5953687513249675E-2"/>
        <n v="0.17936936861897965"/>
        <n v="0.11331039098256238"/>
        <n v="0.17638050024615526"/>
        <n v="0.15892360577108686"/>
        <n v="0.15004287839898667"/>
        <n v="7.6380430315892214E-2"/>
        <n v="0.10692952895021034"/>
        <n v="0.17191781550449925"/>
        <n v="0.10833430850044855"/>
        <n v="0.19746189548562049"/>
        <n v="0.18399572973481798"/>
        <n v="0.18422634746747441"/>
        <n v="0.16882636422757244"/>
        <n v="0.13366561597255289"/>
        <n v="0.1011836016130484"/>
        <n v="0.16836145206115308"/>
        <n v="0.12204497496733946"/>
        <n v="0.1168619302720903"/>
        <n v="0.15583733632338576"/>
        <n v="0.12652607567948121"/>
        <n v="0.17147621055468715"/>
        <n v="0.13877490888445909"/>
        <n v="0.1134119498347721"/>
        <n v="0.15555898383095243"/>
        <n v="0.15892515038292598"/>
        <n v="0.18066119480143211"/>
        <n v="5.514894544754486E-2"/>
        <n v="0.18998338965715669"/>
        <n v="0.13829598839135754"/>
        <n v="0.1577057697835324"/>
        <n v="0.17097361706944031"/>
        <n v="0.17138700664044773"/>
        <n v="0.15508133174927871"/>
        <n v="0.19189602583886817"/>
        <n v="9.674620141842509E-2"/>
        <n v="0.16146197646517182"/>
        <n v="0.14523697032237909"/>
        <n v="0.10390180732646598"/>
        <n v="0.18095455360902055"/>
        <n v="0.15109908926492954"/>
        <n v="0.17247888358293068"/>
        <n v="3.1414930386777992E-2"/>
        <n v="0.18008443694852175"/>
        <n v="0.19016009494467337"/>
        <n v="0.147475331104097"/>
        <n v="0.10420189898160287"/>
        <n v="0.11423938762668488"/>
        <n v="0.1463098250896222"/>
        <n v="0.17343211812772241"/>
        <n v="7.2296997407201372E-2"/>
        <n v="0.14653457461678646"/>
        <n v="0.11148960351029089"/>
        <n v="8.8452055790111617E-2"/>
        <n v="6.7797704458323713E-2"/>
        <n v="0.12176172035218104"/>
        <n v="0.16962321374459019"/>
        <n v="0.16487094088932328"/>
        <n v="0.17330720236024244"/>
        <n v="9.3005208451447885E-2"/>
        <n v="8.5880597386364013E-2"/>
        <n v="0.10898338164621678"/>
        <n v="0.19640505005881798"/>
        <n v="0.10814958077277619"/>
        <n v="0.14434299366127909"/>
        <n v="8.6862047960020311E-2"/>
        <n v="0.17666928833299589"/>
        <n v="0.16771386227289153"/>
        <n v="0.13611380015968522"/>
        <n v="0.19724720856457179"/>
        <n v="8.6163913514519311E-2"/>
        <n v="0.11821269515171755"/>
        <n v="0.14859829187573556"/>
        <n v="6.418766652617576E-2"/>
        <n v="0.16427037974893727"/>
        <n v="0.18959917385647107"/>
        <n v="0.15311041484051047"/>
        <n v="0.17826358346917751"/>
        <n v="0.18759661295332403"/>
        <n v="0.15597729058812471"/>
        <n v="0.19735625656724848"/>
        <n v="0.12748491825043218"/>
        <n v="0.19854607646744329"/>
        <n v="0.1957494119530129"/>
        <n v="0.1626506098870496"/>
        <n v="0.13065662722989532"/>
        <n v="0.10419205899630909"/>
        <n v="0.10509246114428579"/>
        <n v="0.16291728889011564"/>
        <n v="0.15653109911274138"/>
        <n v="0.13252027791482182"/>
        <n v="0.13456846314857165"/>
        <n v="0.16920760380380151"/>
        <n v="0.19713144654912873"/>
        <n v="0.12151684006453636"/>
        <n v="0.12614695493464745"/>
        <n v="0.11963741908410926"/>
        <n v="0.11387040137340328"/>
        <n v="0.13036133568107136"/>
        <n v="0.17687934274166717"/>
        <n v="0.17849753161024556"/>
        <n v="0.17560446073453798"/>
        <n v="0.15211628534077654"/>
        <n v="7.1194477059787847E-2"/>
        <n v="0.12007956726495543"/>
        <n v="5.5691993219794761E-2"/>
        <n v="0.16183485860015454"/>
        <n v="0.1907913389939358"/>
        <n v="0.14258764695337831"/>
        <n v="0.16526797030321827"/>
        <n v="0.11365382261007977"/>
        <n v="0.13126816632428345"/>
        <n v="0.15717226103786658"/>
        <n v="0.15932009739673902"/>
        <n v="0.16514232750617594"/>
        <n v="0.15796715245122134"/>
        <n v="0.18844005822326834"/>
        <n v="0.15248085930138741"/>
        <n v="0.18481845830055141"/>
        <n v="0.18470042888606164"/>
        <n v="4.0415558619928398E-2"/>
        <n v="0.13089945814257076"/>
        <n v="0.18033205662974808"/>
        <n v="0.16714423120089086"/>
        <n v="8.5604619862533468E-2"/>
        <n v="0.19434072317756387"/>
        <n v="5.9854732150909237E-2"/>
        <n v="0.11652250093737286"/>
        <n v="0.12968544766350895"/>
        <n v="8.2295031525835241E-2"/>
        <n v="0.10613698094673486"/>
        <n v="2.6772440409433822E-2"/>
        <n v="3.9024413313551276E-2"/>
        <n v="9.1023536415739903E-2"/>
        <n v="0.17993596027800868"/>
        <n v="0.17600218056920636"/>
        <n v="0.18131212432439361"/>
        <n v="0.12680426449796775"/>
        <n v="0.1041737020316509"/>
        <n v="0.18115289141088481"/>
        <n v="0.13161970320884875"/>
        <n v="0.18244971885997943"/>
        <n v="0.12310007854406724"/>
        <n v="0.1084610519636926"/>
        <n v="0.1347431598321559"/>
        <n v="0.1843042244418269"/>
        <n v="0.11047161630165651"/>
        <n v="0.13744341144778299"/>
        <n v="5.3800483991993789E-2"/>
        <n v="0.11966219944307535"/>
        <n v="7.4272339695156092E-2"/>
        <n v="0.18658400737345313"/>
        <n v="8.8453517936047846E-2"/>
        <n v="0.1856565165824787"/>
        <n v="0.18711184122067875"/>
        <n v="0.12370369377985499"/>
        <n v="8.9029630975895419E-2"/>
        <n v="0.18363148561857567"/>
        <n v="0.14736231025068991"/>
        <n v="9.8405450322180649E-2"/>
        <n v="0.1543894326821304"/>
        <n v="0.13656200425309792"/>
        <n v="0.16987048675507024"/>
        <n v="0.16281652052962792"/>
        <n v="0.16562284135677835"/>
        <n v="0.14723609408362529"/>
        <n v="0.12396146710582528"/>
        <n v="8.0402973283783027E-2"/>
        <n v="0.1730703629264069"/>
        <n v="0.1694856582308161"/>
        <n v="0.17790911832346276"/>
        <n v="0.17690850030952543"/>
        <n v="0.13370696516900094"/>
        <n v="0.17009399775537395"/>
        <n v="0.16150044266271166"/>
        <n v="0.19952353869572953"/>
        <n v="0.18845926097483659"/>
        <n v="0.14525830321999517"/>
        <n v="9.8856225663656982E-2"/>
        <n v="0.17963000935007767"/>
        <n v="0.14675390413974423"/>
        <n v="0.11927030643718996"/>
        <n v="8.1148707419511287E-2"/>
        <n v="0.16185381055510512"/>
        <n v="0.13192874661079992"/>
        <n v="0.19909124038301687"/>
        <n v="8.0413677252763494E-2"/>
        <n v="0.12306222680018777"/>
        <n v="0.17776621594800876"/>
        <n v="0.16835633747429335"/>
        <n v="8.6691905636140612E-2"/>
        <n v="0.19479701307169534"/>
        <n v="0.13467608766013689"/>
        <n v="0.10973226750562613"/>
        <n v="3.6997757764318413E-2"/>
        <n v="0.17743010374892809"/>
        <n v="0.13677462899487128"/>
        <n v="0.18214815095931189"/>
        <n v="3.9072016703553598E-2"/>
        <n v="0.16378186235576028"/>
        <n v="0.13131746328991631"/>
        <n v="0.16591423927940055"/>
        <n v="0.14270100124195012"/>
        <n v="0.10356852480674353"/>
        <n v="0.14722524163025208"/>
        <n v="0.18738950697639112"/>
        <n v="0.15555246812362447"/>
        <n v="0.14552739765025738"/>
        <n v="8.1689091761813423E-2"/>
        <n v="0.19093867213060903"/>
        <n v="0.16756600343399752"/>
        <n v="5.1313188639311329E-2"/>
        <n v="0.17978774712942552"/>
        <n v="0.15821026899069049"/>
        <n v="0.11034374538771659"/>
        <n v="0.10507292692952798"/>
        <n v="0.15687994726153165"/>
        <n v="4.815292731311805E-2"/>
        <n v="0.1920426389458684"/>
        <n v="0.12146697921256762"/>
        <n v="0.11185046608038227"/>
        <n v="0.12601079931064327"/>
        <n v="8.813610790081311E-2"/>
        <n v="0.13972172890571208"/>
        <n v="0.1645005094741914"/>
        <n v="0.1995992585414206"/>
        <n v="0.16877330967418086"/>
        <n v="0.12371075447233035"/>
        <n v="0.18032875039036245"/>
        <n v="0.16272796088689195"/>
        <n v="0.16770478869467728"/>
        <n v="0.19880773598078191"/>
        <n v="0.16558070383416726"/>
        <n v="0.16720609149903157"/>
        <n v="0.15731979020124459"/>
        <n v="0.16556249699373426"/>
        <n v="0.19352466833197454"/>
        <n v="0.19215411950557287"/>
        <n v="0.18931520607265673"/>
        <n v="5.9111411605087025E-2"/>
        <n v="9.4056359972304077E-2"/>
        <n v="9.1237076204909742E-2"/>
        <n v="9.7262595504743699E-2"/>
        <n v="0.11779484409004576"/>
        <n v="0.15685312533413465"/>
        <n v="0.15239446981974747"/>
        <n v="2.9763811218370625E-2"/>
        <n v="0.19010804078140167"/>
        <n v="1.9964733434824737E-2"/>
        <n v="8.6337948712838189E-2"/>
        <n v="0.15067127387634163"/>
        <n v="0.18308873102929091"/>
        <n v="0.17700332552924081"/>
        <n v="0.14966783529914682"/>
        <n v="0.15567272215666297"/>
        <n v="0.1781171840519358"/>
        <n v="0.11451358924097814"/>
        <n v="0.17830324594861299"/>
        <n v="0.17882244989269588"/>
        <n v="0.10175743587743018"/>
        <n v="0.1792626501612839"/>
        <n v="0.18721167134343905"/>
        <n v="0.14410713472392878"/>
        <n v="0.15214339611204972"/>
        <n v="0.19840246124660776"/>
        <n v="0.13743852897030101"/>
        <n v="0.19286949216014312"/>
        <n v="0.11959154925620848"/>
        <n v="0.11569664429748633"/>
        <n v="0.11722091416946716"/>
        <n v="0.18800990857473493"/>
        <n v="0.15312885515000896"/>
        <n v="0.13928699148185289"/>
        <n v="0.185190843299021"/>
        <n v="0.16318097988764257"/>
        <n v="0.13855687546944595"/>
        <n v="0.14355086914449022"/>
        <n v="0.19722741932938165"/>
        <n v="0.18578616093098796"/>
        <n v="0.16115893466019426"/>
        <n v="0.16598853865473287"/>
        <n v="0.12739973132348159"/>
        <n v="0.14060985921311867"/>
        <n v="0.10769390979572212"/>
        <n v="7.351323358706735E-2"/>
        <n v="0.19927493899169835"/>
        <n v="0.13776795301891934"/>
        <n v="0.11220114139374"/>
        <n v="0.1634585983417689"/>
        <n v="0.1733122137066696"/>
        <n v="0.11597800905886027"/>
        <n v="0.17121049085933138"/>
        <n v="0.14676230757678072"/>
        <n v="0.1431769153658172"/>
        <n v="0.1919187810922223"/>
        <n v="0.16412528999361153"/>
        <n v="0.17559829476610089"/>
        <n v="0.15731338162398992"/>
        <n v="0.13162937405259087"/>
        <n v="0.17622702736886034"/>
        <n v="0.19851429312908866"/>
        <n v="0.11400170116644874"/>
        <n v="0.16770574616155298"/>
        <n v="0.14978716851744861"/>
        <n v="0.11754468785080992"/>
        <n v="0.128212849452259"/>
        <n v="0.18835483345870005"/>
        <n v="0.17156232325814691"/>
        <n v="0.12670491987432561"/>
        <n v="9.092394485548129E-2"/>
        <n v="0.11718999533125467"/>
        <n v="0.10227864118146927"/>
        <n v="6.4658617659769588E-2"/>
        <n v="0.1757490005636938"/>
        <n v="0.17926358351871102"/>
        <n v="0.11191181770619391"/>
        <n v="0.16354832770901545"/>
        <n v="0.11669778149224511"/>
        <n v="0.19267100825746794"/>
        <n v="0.18980732841097375"/>
        <n v="0.17453142787331463"/>
        <n v="0.19891098174223221"/>
        <n v="0.15744048216131362"/>
        <n v="5.9549601265479313E-2"/>
        <n v="0.18592094674398943"/>
        <n v="0.13930692608523323"/>
        <n v="0.17495142512150605"/>
        <n v="0.12160991756961796"/>
        <n v="0.1598298958096358"/>
        <n v="9.2102403571244149E-2"/>
        <n v="0.1813645443408278"/>
        <n v="0.12219943486998036"/>
        <n v="0.11735240470685106"/>
        <n v="9.724923157016864E-2"/>
        <n v="0.18126216913967072"/>
        <n v="0.16553169557437605"/>
        <n v="0.19683334325877286"/>
        <n v="0.11926395207960958"/>
        <n v="0.10463649458052381"/>
        <n v="0.1750098429227209"/>
        <n v="1.9059353243433486E-2"/>
        <n v="0.18199655171315735"/>
        <n v="4.3285731052764731E-2"/>
        <n v="0.12755529464976262"/>
        <n v="0.19371701694245988"/>
        <n v="0.16682850962883186"/>
        <n v="0.18367299132261744"/>
        <n v="0.13189088963142287"/>
        <n v="0.16430108411157832"/>
        <n v="0.1018952530716591"/>
        <n v="0.17384556664928716"/>
        <n v="0.12350021143019152"/>
        <n v="0.17617184956100393"/>
        <n v="7.2840501378573508E-2"/>
        <n v="8.1529734344888444E-2"/>
        <n v="0.16572260348637699"/>
        <n v="0.14111977947275389"/>
        <n v="0.18557904099231357"/>
        <n v="0.17054599302377701"/>
        <n v="6.8157842672964472E-2"/>
        <n v="8.9081725530266095E-2"/>
        <n v="7.2541780618954471E-2"/>
        <n v="0.12374910321831768"/>
        <n v="7.1606509571226107E-2"/>
        <n v="0.16769993348550352"/>
        <n v="0.15677197769608292"/>
        <n v="7.7303933225269239E-2"/>
        <n v="0.17440178278854171"/>
        <n v="0.18313248575166449"/>
        <n v="0.18259759699722092"/>
        <n v="0.15259859535739428"/>
        <n v="0.16334268785547318"/>
        <n v="9.6702862254637367E-2"/>
        <n v="0.14545767538966323"/>
        <n v="0.17394931939129715"/>
        <n v="0.11913063310290883"/>
        <n v="4.8958092197987704E-2"/>
        <n v="0.16416494375251034"/>
        <n v="0.17494135388379672"/>
        <n v="5.054313997773914E-2"/>
        <n v="0.13418472233891565"/>
        <n v="0.13178167384616016"/>
        <n v="0.16415607846820085"/>
        <n v="8.4883837818006805E-2"/>
        <n v="7.9799328329646355E-2"/>
        <n v="0.1228481946945323"/>
        <n v="5.9524420471225387E-2"/>
        <n v="0.10330253348487967"/>
        <n v="0.17476467957795874"/>
        <n v="0.13203755715234977"/>
        <n v="7.1232503800024535E-2"/>
        <n v="0.18243953606310162"/>
        <n v="0.11061284947427248"/>
        <n v="0.16945685523045684"/>
        <n v="0.17854468533149767"/>
        <n v="0.19924828476731976"/>
        <n v="9.0503823097336178E-2"/>
        <n v="0.12488983768239643"/>
        <n v="0.19518363002681552"/>
        <n v="0.18004588974244076"/>
        <n v="0.19550579601824594"/>
        <n v="0.1339068948969834"/>
        <n v="0.11958210196995646"/>
        <n v="4.7875110155139122E-2"/>
        <n v="0.18341318848462687"/>
        <n v="5.0034355730473767E-2"/>
        <n v="0.15258641090507463"/>
        <n v="0.18247852704159345"/>
        <n v="9.1382423072039948E-2"/>
        <n v="0.19110721633942226"/>
        <n v="0.16369600329279638"/>
        <n v="0.15278547232421261"/>
        <n v="5.5297279482774533E-2"/>
        <n v="0.11951718078225591"/>
        <n v="0.15562583153933818"/>
        <n v="8.9110615587902314E-2"/>
        <n v="0.17886099156455831"/>
        <n v="0.14002753062837703"/>
        <n v="0.12979653085477488"/>
        <n v="0.19425839594064126"/>
        <n v="0.1575881441422925"/>
        <n v="0.15265458563594944"/>
        <n v="0.13719639317299384"/>
        <n v="0.12135116789724787"/>
        <n v="0.14003329529183486"/>
        <n v="0.18378829232119387"/>
        <n v="0.15173376237120265"/>
        <n v="0.18752582491087144"/>
        <n v="0.14829889748472982"/>
        <n v="0.16083465074049663"/>
        <n v="0.11092154251120574"/>
        <n v="7.9850813491680134E-2"/>
        <n v="0.13107076418852601"/>
        <n v="0.17233379562489287"/>
        <n v="0.17366364336256376"/>
        <n v="8.5737122808623528E-2"/>
        <n v="0.14764731415565788"/>
        <n v="7.342736715586004E-2"/>
        <n v="8.3638375053612671E-2"/>
        <n v="0.12991832569112188"/>
        <n v="0.1389012503239879"/>
        <n v="0.15457893634845923"/>
        <n v="0.12288068942108905"/>
        <n v="0.12049773103033574"/>
        <n v="0.15797828262449187"/>
        <n v="0.17556498118756367"/>
        <n v="0.19685512322946741"/>
        <n v="0.17388445234657096"/>
        <n v="0.17572065911699711"/>
        <n v="0.11224932544401754"/>
        <n v="9.5016062500460019E-2"/>
        <n v="0.11745782082838946"/>
        <n v="0.17058065332373304"/>
        <n v="4.9405854094955334E-2"/>
        <n v="0.18011881930185961"/>
        <n v="0.16792894340112582"/>
        <n v="0.17449695251118788"/>
        <n v="0.18209825490951409"/>
        <n v="0.13965900491539587"/>
        <n v="9.0508776813432737E-2"/>
        <n v="4.7043556869749037E-2"/>
        <n v="2.7857923131091283E-2"/>
        <n v="0.15755925621971739"/>
        <n v="0.16830715454584316"/>
        <n v="0.18517093811170238"/>
        <n v="5.7478448380900958E-2"/>
        <n v="9.3835672814434626E-2"/>
        <n v="0.11909300977953002"/>
        <n v="0.16164934230799644"/>
        <n v="0.14191900966244742"/>
        <n v="0.14405735494538327"/>
        <n v="0.16430898855622075"/>
        <n v="0.15391977213906061"/>
        <n v="9.6892201265362451E-2"/>
        <n v="0.18921003906134501"/>
        <n v="0.17625012593119077"/>
        <n v="0.15858463411700377"/>
        <n v="0.18101781736740249"/>
        <n v="0.16434469183284753"/>
        <n v="6.0247220603040094E-2"/>
        <n v="0.19163802819754397"/>
        <n v="0.19249933876474631"/>
        <n v="0.13770799556185312"/>
        <n v="0.13202599034138124"/>
        <n v="0.19190565065121429"/>
        <n v="0.17223476455885464"/>
        <n v="0.1271329209718576"/>
        <n v="0.10611411231545717"/>
        <n v="0.10666024970701278"/>
        <n v="8.0580581399460519E-2"/>
        <n v="0.17639430825118618"/>
        <n v="0.16229354618462802"/>
        <n v="4.5105606452001235E-2"/>
        <n v="0.1686141213535686"/>
        <n v="0.15642980736681941"/>
        <n v="0.17797009874887848"/>
        <n v="0.19155357432544934"/>
        <n v="0.11473142855777366"/>
        <n v="9.9299077639821529E-2"/>
        <n v="9.6217788067647136E-2"/>
        <n v="8.6443754315404561E-2"/>
        <n v="0.19702816445587867"/>
        <n v="0.1278665347762199"/>
        <n v="6.1427155531843532E-2"/>
        <n v="9.8860015659324729E-2"/>
        <n v="0.1848210686744885"/>
        <n v="0.12626820300956623"/>
        <n v="0.15702444511924166"/>
        <n v="0.14071621774605755"/>
        <n v="0.15651889667510116"/>
        <n v="7.9590572303588444E-2"/>
        <n v="0.16195726790257714"/>
        <n v="0.10797540384735962"/>
        <n v="0.17275544715168442"/>
        <n v="0.14285860468709627"/>
        <n v="7.617822992821896E-2"/>
        <n v="0.19820898667748407"/>
        <n v="7.95997950685218E-2"/>
        <n v="0.10674038399147516"/>
        <n v="0.17932061507691785"/>
        <n v="0.19295515503338556"/>
        <n v="0.12275348416385908"/>
        <n v="0.16634796157238457"/>
        <n v="0.14707836395636717"/>
        <n v="0.12327798056411726"/>
        <n v="0.10210980895262246"/>
        <n v="0.19229218020125299"/>
        <n v="0.1710282444443493"/>
        <n v="8.1290123687281127E-2"/>
        <n v="0.14209957264900952"/>
        <n v="0.15215835972035868"/>
        <n v="0.17803202014757036"/>
        <n v="0.13373042379787814"/>
        <n v="4.998572788643299E-2"/>
        <n v="0.19742011045001964"/>
        <n v="0.1926911190202171"/>
        <n v="3.4610191220326415E-2"/>
        <n v="0.17860868540504324"/>
        <n v="0.12741519301693727"/>
        <n v="0.1369687064378764"/>
        <n v="0.10277720710862839"/>
        <n v="0.13531593697296429"/>
        <n v="0.14448039507699911"/>
        <n v="0.17916144941449549"/>
        <n v="0.19342985652798245"/>
        <n v="0.10882983691574401"/>
        <n v="0.14200843661589066"/>
        <n v="0.17501833377327844"/>
        <n v="0.13671302551474171"/>
        <n v="0.13480559538812023"/>
        <n v="0.17957003733935734"/>
        <n v="0.1206770641350276"/>
        <n v="0.1926297924040751"/>
        <n v="9.9197791304983199E-2"/>
        <n v="0.14995928884865034"/>
        <n v="0.1854919148359363"/>
        <n v="0.11960503442126834"/>
        <n v="0.11581760084039024"/>
        <n v="7.1121570155445263E-2"/>
        <n v="0.16261424434875793"/>
        <n v="0.16515477051271846"/>
        <n v="0.14313988274723818"/>
        <n v="0.16558917824989364"/>
        <n v="0.11323624934872124"/>
        <n v="0.16805796377095711"/>
        <n v="0.14715935324302618"/>
        <n v="0.15867496304144899"/>
        <n v="0.15835066181100901"/>
        <n v="0.11869170935944061"/>
        <n v="0.17115410105857912"/>
        <n v="0.13788975242665394"/>
        <n v="7.4428937627502481E-2"/>
        <n v="6.6599179012644311E-2"/>
        <n v="0.14207916021646236"/>
        <n v="9.1889405146777278E-2"/>
        <n v="0.17607082949747388"/>
        <n v="0.17833417439978036"/>
        <n v="5.0135189402660277E-2"/>
        <n v="0.17518486026336505"/>
        <n v="0.14154111958063004"/>
        <n v="0.18675796053865831"/>
        <n v="0.1846571909918025"/>
        <n v="8.3373479379294194E-2"/>
        <n v="8.2827346042785549E-2"/>
        <n v="0.17841909729540809"/>
        <n v="0.18938558414281434"/>
        <n v="0.12162607610839016"/>
        <n v="0.12911876838014955"/>
        <n v="0.13047265508580183"/>
        <n v="0.14767074642888187"/>
        <n v="0.1724519785295221"/>
        <n v="0.15988650299128651"/>
        <n v="0.18792761562425853"/>
        <n v="0.10159230659197543"/>
        <n v="0.11071087956694003"/>
        <n v="0.13852848593104819"/>
        <n v="0.19804345736635254"/>
        <n v="0.17470869706452757"/>
        <n v="0.18217624161060753"/>
        <n v="0.16192249677785858"/>
        <n v="0.182724888053935"/>
        <n v="8.4132321808098126E-2"/>
        <n v="0.19245020010742145"/>
        <n v="0.1842669326904178"/>
        <n v="8.8985120553978586E-2"/>
        <n v="0.10314856365391557"/>
        <n v="0.18194082830553912"/>
        <n v="0.16372204698963699"/>
        <n v="5.0292546229018083E-2"/>
        <n v="0.17404641971091731"/>
        <n v="0.19391584012804094"/>
        <n v="0.17886604735553652"/>
        <n v="0.14163451508792338"/>
        <n v="6.0344029907679481E-2"/>
        <n v="0.1665114131895335"/>
        <n v="5.2681866097085334E-2"/>
        <n v="0.15090673560585932"/>
        <n v="0.18822880672096132"/>
        <n v="0.17012961674139138"/>
        <n v="9.6151412133516287E-2"/>
        <n v="9.9904419084542215E-2"/>
        <n v="0.11412549106994865"/>
        <n v="0.15057751701997435"/>
        <n v="0.14347239901691647"/>
        <n v="0.15092706740394357"/>
        <n v="0.12460942738666443"/>
        <n v="0.19129029282428422"/>
        <n v="0.19192671419210949"/>
        <n v="9.844869506379321E-2"/>
        <n v="0.19929090638642627"/>
        <n v="0.17752425145063294"/>
        <n v="0.15866029713223784"/>
        <n v="0.15371036362808027"/>
        <n v="0.13528524837367106"/>
        <n v="9.8316820960460918E-2"/>
        <n v="0.18378879296192796"/>
        <n v="0.1197314238754512"/>
        <n v="0.14209229120390246"/>
        <n v="0.18421886378092814"/>
        <n v="0.18040045029720936"/>
        <n v="0.17942192709965704"/>
        <n v="7.0772461098639619E-2"/>
        <n v="0.19765969121326871"/>
      </sharedItems>
    </cacheField>
    <cacheField name="PriceItem1" numFmtId="0">
      <sharedItems containsSemiMixedTypes="0" containsString="0" containsNumber="1" containsInteger="1" minValue="7" maxValue="14"/>
    </cacheField>
    <cacheField name="PriceItem2" numFmtId="0">
      <sharedItems containsMixedTypes="1" containsNumber="1" containsInteger="1" minValue="10" maxValue="14"/>
    </cacheField>
    <cacheField name="PriceItem3" numFmtId="0">
      <sharedItems containsMixedTypes="1" containsNumber="1" containsInteger="1" minValue="14" maxValue="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"/>
    <d v="2016-01-01T12:25:21"/>
    <d v="2016-01-01T12:40:20"/>
    <x v="0"/>
    <s v="Medium"/>
    <m/>
    <x v="0"/>
    <n v="70803"/>
    <n v="0"/>
    <d v="2016-01-01T12:43:18"/>
    <n v="19.579999999999998"/>
    <x v="0"/>
    <n v="2"/>
    <n v="1"/>
    <n v="1.7"/>
    <n v="0"/>
    <n v="2.7"/>
    <x v="0"/>
    <x v="0"/>
    <x v="0"/>
    <x v="0"/>
    <n v="7"/>
    <n v="10"/>
    <e v="#N/A"/>
  </r>
  <r>
    <n v="2"/>
    <d v="2016-01-01T12:33:38"/>
    <d v="2016-01-01T12:48:37"/>
    <x v="1"/>
    <m/>
    <m/>
    <x v="0"/>
    <n v="70804"/>
    <n v="0"/>
    <d v="2016-01-01T12:51:35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3"/>
    <d v="2016-01-01T12:38:53"/>
    <d v="2016-01-01T12:53:52"/>
    <x v="0"/>
    <s v="Medium"/>
    <m/>
    <x v="0"/>
    <n v="70804"/>
    <n v="0"/>
    <d v="2016-01-01T12:56:51"/>
    <n v="19.579999999999998"/>
    <x v="1"/>
    <n v="2"/>
    <n v="1"/>
    <n v="1.7"/>
    <n v="0"/>
    <n v="2.7"/>
    <x v="0"/>
    <x v="0"/>
    <x v="0"/>
    <x v="0"/>
    <n v="7"/>
    <n v="10"/>
    <e v="#N/A"/>
  </r>
  <r>
    <n v="4"/>
    <d v="2016-01-01T11:49:46"/>
    <d v="2016-01-01T12:04:46"/>
    <x v="0"/>
    <m/>
    <m/>
    <x v="0"/>
    <n v="70806"/>
    <n v="0"/>
    <d v="2016-01-01T12:07:46"/>
    <n v="7.99"/>
    <x v="2"/>
    <n v="1"/>
    <n v="1"/>
    <n v="0"/>
    <n v="0"/>
    <n v="1"/>
    <x v="0"/>
    <x v="0"/>
    <x v="0"/>
    <x v="0"/>
    <n v="7"/>
    <e v="#N/A"/>
    <e v="#N/A"/>
  </r>
  <r>
    <n v="5"/>
    <d v="2016-01-01T10:49:14"/>
    <d v="2016-01-01T11:04:14"/>
    <x v="2"/>
    <m/>
    <m/>
    <x v="1"/>
    <n v="70805"/>
    <n v="2.47933232917446"/>
    <d v="2016-01-01T11:16:37"/>
    <n v="11.59"/>
    <x v="3"/>
    <n v="1"/>
    <n v="1.7"/>
    <n v="0"/>
    <n v="0"/>
    <n v="1.7"/>
    <x v="1"/>
    <x v="0"/>
    <x v="1"/>
    <x v="1"/>
    <n v="10"/>
    <e v="#N/A"/>
    <e v="#N/A"/>
  </r>
  <r>
    <n v="6"/>
    <d v="2016-01-01T12:30:41"/>
    <d v="2016-01-01T12:45:40"/>
    <x v="0"/>
    <m/>
    <m/>
    <x v="1"/>
    <n v="70803"/>
    <n v="2.3576022999170898"/>
    <d v="2016-01-01T12:57:27"/>
    <n v="7.99"/>
    <x v="4"/>
    <n v="1"/>
    <n v="1"/>
    <n v="0"/>
    <n v="0"/>
    <n v="1"/>
    <x v="2"/>
    <x v="0"/>
    <x v="2"/>
    <x v="2"/>
    <n v="7"/>
    <e v="#N/A"/>
    <e v="#N/A"/>
  </r>
  <r>
    <n v="7"/>
    <d v="2016-01-01T12:33:10"/>
    <d v="2016-01-01T12:48:09"/>
    <x v="2"/>
    <m/>
    <m/>
    <x v="1"/>
    <n v="70807"/>
    <n v="2.0571562895913802"/>
    <d v="2016-01-01T12:58:26"/>
    <n v="11.59"/>
    <x v="5"/>
    <n v="1"/>
    <n v="1.7"/>
    <n v="0"/>
    <n v="0"/>
    <n v="1.7"/>
    <x v="3"/>
    <x v="0"/>
    <x v="3"/>
    <x v="3"/>
    <n v="10"/>
    <e v="#N/A"/>
    <e v="#N/A"/>
  </r>
  <r>
    <n v="8"/>
    <d v="2016-01-01T13:22:40"/>
    <d v="2016-01-01T13:37:39"/>
    <x v="0"/>
    <s v="Medium"/>
    <m/>
    <x v="1"/>
    <n v="70804"/>
    <n v="4.8175174510815202"/>
    <d v="2016-01-01T14:01:44"/>
    <n v="19.579999999999998"/>
    <x v="6"/>
    <n v="2"/>
    <n v="1"/>
    <n v="1.7"/>
    <n v="0"/>
    <n v="2.7"/>
    <x v="4"/>
    <x v="1"/>
    <x v="4"/>
    <x v="0"/>
    <n v="7"/>
    <n v="10"/>
    <e v="#N/A"/>
  </r>
  <r>
    <n v="9"/>
    <d v="2016-01-01T11:43:22"/>
    <d v="2016-01-01T11:58:22"/>
    <x v="0"/>
    <s v="Medium"/>
    <m/>
    <x v="1"/>
    <n v="70803"/>
    <n v="3.1066756345474298"/>
    <d v="2016-01-01T12:13:54"/>
    <n v="19.579999999999998"/>
    <x v="7"/>
    <n v="2"/>
    <n v="1"/>
    <n v="1.7"/>
    <n v="0"/>
    <n v="2.7"/>
    <x v="5"/>
    <x v="0"/>
    <x v="5"/>
    <x v="4"/>
    <n v="7"/>
    <n v="10"/>
    <e v="#N/A"/>
  </r>
  <r>
    <n v="10"/>
    <d v="2016-01-01T10:26:07"/>
    <d v="2016-01-01T10:41:06"/>
    <x v="2"/>
    <m/>
    <m/>
    <x v="1"/>
    <n v="70804"/>
    <n v="4.5560160201321196"/>
    <d v="2016-01-01T11:03:52"/>
    <n v="11.59"/>
    <x v="8"/>
    <n v="1"/>
    <n v="1.7"/>
    <n v="0"/>
    <n v="0"/>
    <n v="1.7"/>
    <x v="6"/>
    <x v="1"/>
    <x v="6"/>
    <x v="0"/>
    <n v="10"/>
    <e v="#N/A"/>
    <e v="#N/A"/>
  </r>
  <r>
    <n v="11"/>
    <d v="2016-01-01T12:19:51"/>
    <d v="2016-01-01T12:34:50"/>
    <x v="2"/>
    <m/>
    <m/>
    <x v="0"/>
    <n v="70804"/>
    <n v="0"/>
    <d v="2016-01-01T12:37:50"/>
    <n v="11.59"/>
    <x v="2"/>
    <n v="1"/>
    <n v="1.7"/>
    <n v="0"/>
    <n v="0"/>
    <n v="1.7"/>
    <x v="0"/>
    <x v="0"/>
    <x v="0"/>
    <x v="0"/>
    <n v="10"/>
    <e v="#N/A"/>
    <e v="#N/A"/>
  </r>
  <r>
    <n v="12"/>
    <d v="2016-01-01T12:33:27"/>
    <d v="2016-01-01T12:48:29"/>
    <x v="0"/>
    <s v="Large"/>
    <m/>
    <x v="0"/>
    <n v="70805"/>
    <n v="0"/>
    <d v="2016-01-01T12:51:28"/>
    <n v="23.34"/>
    <x v="1"/>
    <n v="2"/>
    <n v="1"/>
    <n v="2.2999999999999998"/>
    <n v="0"/>
    <n v="3.3"/>
    <x v="0"/>
    <x v="0"/>
    <x v="0"/>
    <x v="0"/>
    <n v="7"/>
    <n v="14"/>
    <e v="#N/A"/>
  </r>
  <r>
    <n v="13"/>
    <d v="2016-01-01T11:34:48"/>
    <d v="2016-01-01T11:49:47"/>
    <x v="0"/>
    <s v="Medium"/>
    <m/>
    <x v="1"/>
    <n v="70806"/>
    <n v="3.1092623645255801"/>
    <d v="2016-01-01T12:05:19"/>
    <n v="19.579999999999998"/>
    <x v="9"/>
    <n v="2"/>
    <n v="1"/>
    <n v="1.7"/>
    <n v="0"/>
    <n v="2.7"/>
    <x v="7"/>
    <x v="0"/>
    <x v="7"/>
    <x v="5"/>
    <n v="7"/>
    <n v="10"/>
    <e v="#N/A"/>
  </r>
  <r>
    <n v="14"/>
    <d v="2016-01-01T12:14:47"/>
    <d v="2016-01-01T12:29:47"/>
    <x v="0"/>
    <m/>
    <m/>
    <x v="0"/>
    <n v="70804"/>
    <n v="0"/>
    <d v="2016-01-01T12:32:47"/>
    <n v="7.99"/>
    <x v="2"/>
    <n v="1"/>
    <n v="1"/>
    <n v="0"/>
    <n v="0"/>
    <n v="1"/>
    <x v="0"/>
    <x v="0"/>
    <x v="0"/>
    <x v="0"/>
    <n v="7"/>
    <e v="#N/A"/>
    <e v="#N/A"/>
  </r>
  <r>
    <n v="15"/>
    <d v="2016-01-01T12:41:42"/>
    <d v="2016-01-01T12:56:41"/>
    <x v="2"/>
    <m/>
    <m/>
    <x v="0"/>
    <n v="70803"/>
    <n v="0"/>
    <d v="2016-01-01T12:59:40"/>
    <n v="11.59"/>
    <x v="1"/>
    <n v="1"/>
    <n v="1.7"/>
    <n v="0"/>
    <n v="0"/>
    <n v="1.7"/>
    <x v="0"/>
    <x v="0"/>
    <x v="0"/>
    <x v="0"/>
    <n v="10"/>
    <e v="#N/A"/>
    <e v="#N/A"/>
  </r>
  <r>
    <n v="16"/>
    <d v="2016-01-01T11:55:32"/>
    <d v="2016-01-01T12:10:32"/>
    <x v="0"/>
    <s v="Medium"/>
    <m/>
    <x v="1"/>
    <n v="70806"/>
    <n v="3.4135036809386099"/>
    <d v="2016-01-01T12:27:36"/>
    <n v="19.579999999999998"/>
    <x v="10"/>
    <n v="2"/>
    <n v="1"/>
    <n v="1.7"/>
    <n v="0"/>
    <n v="2.7"/>
    <x v="8"/>
    <x v="1"/>
    <x v="8"/>
    <x v="0"/>
    <n v="7"/>
    <n v="10"/>
    <e v="#N/A"/>
  </r>
  <r>
    <n v="17"/>
    <d v="2016-01-01T13:49:29"/>
    <d v="2016-01-01T14:04:28"/>
    <x v="2"/>
    <m/>
    <m/>
    <x v="1"/>
    <n v="70806"/>
    <n v="2.5641446436778601"/>
    <d v="2016-01-01T14:17:17"/>
    <n v="11.59"/>
    <x v="11"/>
    <n v="1"/>
    <n v="1.7"/>
    <n v="0"/>
    <n v="0"/>
    <n v="1.7"/>
    <x v="9"/>
    <x v="0"/>
    <x v="9"/>
    <x v="6"/>
    <n v="10"/>
    <e v="#N/A"/>
    <e v="#N/A"/>
  </r>
  <r>
    <n v="18"/>
    <d v="2016-01-01T12:28:48"/>
    <d v="2016-01-01T12:43:48"/>
    <x v="2"/>
    <m/>
    <m/>
    <x v="1"/>
    <n v="70803"/>
    <n v="4.4542171598828899"/>
    <d v="2016-01-01T13:06:04"/>
    <n v="11.59"/>
    <x v="12"/>
    <n v="1"/>
    <n v="1.7"/>
    <n v="0"/>
    <n v="0"/>
    <n v="1.7"/>
    <x v="10"/>
    <x v="1"/>
    <x v="10"/>
    <x v="0"/>
    <n v="10"/>
    <e v="#N/A"/>
    <e v="#N/A"/>
  </r>
  <r>
    <n v="19"/>
    <d v="2016-01-01T12:45:11"/>
    <d v="2016-01-01T13:00:09"/>
    <x v="1"/>
    <m/>
    <m/>
    <x v="1"/>
    <n v="70803"/>
    <n v="4.1472807620025902"/>
    <d v="2016-01-01T13:20:53"/>
    <n v="15.35"/>
    <x v="13"/>
    <n v="1"/>
    <n v="2.2999999999999998"/>
    <n v="0"/>
    <n v="0"/>
    <n v="2.2999999999999998"/>
    <x v="11"/>
    <x v="1"/>
    <x v="11"/>
    <x v="0"/>
    <n v="14"/>
    <e v="#N/A"/>
    <e v="#N/A"/>
  </r>
  <r>
    <n v="20"/>
    <d v="2016-01-01T11:51:46"/>
    <d v="2016-01-01T12:06:46"/>
    <x v="1"/>
    <m/>
    <m/>
    <x v="0"/>
    <n v="70807"/>
    <n v="0"/>
    <d v="2016-01-01T12:09:47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21"/>
    <d v="2016-01-01T10:20:17"/>
    <d v="2016-01-01T10:35:16"/>
    <x v="2"/>
    <m/>
    <m/>
    <x v="1"/>
    <n v="70804"/>
    <n v="2.0976294495055101"/>
    <d v="2016-01-01T10:45:45"/>
    <n v="11.59"/>
    <x v="15"/>
    <n v="1"/>
    <n v="1.7"/>
    <n v="0"/>
    <n v="0"/>
    <n v="1.7"/>
    <x v="12"/>
    <x v="0"/>
    <x v="12"/>
    <x v="7"/>
    <n v="10"/>
    <e v="#N/A"/>
    <e v="#N/A"/>
  </r>
  <r>
    <n v="22"/>
    <d v="2016-01-01T10:13:11"/>
    <d v="2016-01-01T10:28:12"/>
    <x v="0"/>
    <m/>
    <m/>
    <x v="0"/>
    <n v="70805"/>
    <n v="0"/>
    <d v="2016-01-01T10:31:13"/>
    <n v="7.99"/>
    <x v="14"/>
    <n v="1"/>
    <n v="1"/>
    <n v="0"/>
    <n v="0"/>
    <n v="1"/>
    <x v="0"/>
    <x v="0"/>
    <x v="0"/>
    <x v="0"/>
    <n v="7"/>
    <e v="#N/A"/>
    <e v="#N/A"/>
  </r>
  <r>
    <n v="23"/>
    <d v="2016-01-01T12:40:54"/>
    <d v="2016-01-01T12:55:54"/>
    <x v="1"/>
    <m/>
    <m/>
    <x v="1"/>
    <n v="70805"/>
    <n v="2.5751772916617801"/>
    <d v="2016-01-01T13:08:46"/>
    <n v="15.35"/>
    <x v="16"/>
    <n v="1"/>
    <n v="2.2999999999999998"/>
    <n v="0"/>
    <n v="0"/>
    <n v="2.2999999999999998"/>
    <x v="13"/>
    <x v="0"/>
    <x v="13"/>
    <x v="8"/>
    <n v="14"/>
    <e v="#N/A"/>
    <e v="#N/A"/>
  </r>
  <r>
    <n v="24"/>
    <d v="2016-01-01T12:36:28"/>
    <d v="2016-01-01T12:51:26"/>
    <x v="2"/>
    <m/>
    <m/>
    <x v="1"/>
    <n v="70804"/>
    <n v="4.1683095170733999"/>
    <d v="2016-01-01T13:12:16"/>
    <n v="11.59"/>
    <x v="17"/>
    <n v="1"/>
    <n v="2.2999999999999998"/>
    <n v="0"/>
    <n v="0"/>
    <n v="1.7"/>
    <x v="14"/>
    <x v="1"/>
    <x v="14"/>
    <x v="0"/>
    <n v="10"/>
    <e v="#N/A"/>
    <e v="#N/A"/>
  </r>
  <r>
    <n v="25"/>
    <d v="2016-01-01T10:31:55"/>
    <d v="2016-01-01T10:46:56"/>
    <x v="2"/>
    <s v="Large"/>
    <m/>
    <x v="1"/>
    <n v="70804"/>
    <n v="1.96784533268511"/>
    <d v="2016-01-01T10:56:46"/>
    <n v="25.94"/>
    <x v="18"/>
    <n v="2"/>
    <n v="1.7"/>
    <n v="2.2999999999999998"/>
    <n v="0"/>
    <n v="4"/>
    <x v="15"/>
    <x v="0"/>
    <x v="15"/>
    <x v="9"/>
    <n v="10"/>
    <n v="14"/>
    <e v="#N/A"/>
  </r>
  <r>
    <n v="26"/>
    <d v="2016-01-01T11:18:47"/>
    <d v="2016-01-01T11:33:48"/>
    <x v="0"/>
    <s v="Large"/>
    <m/>
    <x v="0"/>
    <n v="70807"/>
    <n v="0"/>
    <d v="2016-01-01T11:36:46"/>
    <n v="23.34"/>
    <x v="19"/>
    <n v="2"/>
    <n v="1"/>
    <n v="2.2999999999999998"/>
    <n v="0"/>
    <n v="3.3"/>
    <x v="0"/>
    <x v="0"/>
    <x v="0"/>
    <x v="0"/>
    <n v="7"/>
    <n v="14"/>
    <e v="#N/A"/>
  </r>
  <r>
    <n v="27"/>
    <d v="2016-01-02T12:32:57"/>
    <d v="2016-01-02T12:47:54"/>
    <x v="0"/>
    <s v="Medium"/>
    <m/>
    <x v="1"/>
    <n v="70806"/>
    <n v="3.61264885489445"/>
    <d v="2016-01-02T13:05:57"/>
    <n v="19.579999999999998"/>
    <x v="20"/>
    <n v="2"/>
    <n v="1"/>
    <n v="1.7"/>
    <n v="0"/>
    <n v="2.7"/>
    <x v="16"/>
    <x v="1"/>
    <x v="16"/>
    <x v="0"/>
    <n v="7"/>
    <n v="10"/>
    <e v="#N/A"/>
  </r>
  <r>
    <n v="28"/>
    <d v="2016-01-02T12:11:46"/>
    <d v="2016-01-02T12:26:44"/>
    <x v="0"/>
    <m/>
    <m/>
    <x v="0"/>
    <n v="70803"/>
    <n v="0"/>
    <d v="2016-01-02T12:29:44"/>
    <n v="7.99"/>
    <x v="2"/>
    <n v="1"/>
    <n v="1"/>
    <n v="0"/>
    <n v="0"/>
    <n v="1"/>
    <x v="0"/>
    <x v="0"/>
    <x v="0"/>
    <x v="0"/>
    <n v="7"/>
    <e v="#N/A"/>
    <e v="#N/A"/>
  </r>
  <r>
    <n v="29"/>
    <d v="2016-01-02T11:00:15"/>
    <d v="2016-01-02T11:15:15"/>
    <x v="1"/>
    <m/>
    <m/>
    <x v="0"/>
    <n v="70805"/>
    <n v="0"/>
    <d v="2016-01-02T11:18:14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30"/>
    <d v="2016-01-02T13:10:33"/>
    <d v="2016-01-02T13:25:33"/>
    <x v="2"/>
    <m/>
    <m/>
    <x v="1"/>
    <n v="70805"/>
    <n v="2.9869999056655501"/>
    <d v="2016-01-02T13:40:29"/>
    <n v="11.59"/>
    <x v="21"/>
    <n v="1"/>
    <n v="1.7"/>
    <n v="0"/>
    <n v="0"/>
    <n v="1.7"/>
    <x v="17"/>
    <x v="0"/>
    <x v="17"/>
    <x v="10"/>
    <n v="10"/>
    <e v="#N/A"/>
    <e v="#N/A"/>
  </r>
  <r>
    <n v="31"/>
    <d v="2016-01-02T12:18:27"/>
    <d v="2016-01-02T12:33:28"/>
    <x v="1"/>
    <m/>
    <m/>
    <x v="0"/>
    <n v="70804"/>
    <n v="0"/>
    <d v="2016-01-02T12:36:25"/>
    <n v="15.35"/>
    <x v="22"/>
    <n v="1"/>
    <n v="2.2999999999999998"/>
    <n v="0"/>
    <n v="0"/>
    <n v="2.2999999999999998"/>
    <x v="0"/>
    <x v="0"/>
    <x v="0"/>
    <x v="0"/>
    <n v="14"/>
    <e v="#N/A"/>
    <e v="#N/A"/>
  </r>
  <r>
    <n v="32"/>
    <d v="2016-01-02T12:33:49"/>
    <d v="2016-01-02T12:48:49"/>
    <x v="2"/>
    <m/>
    <m/>
    <x v="1"/>
    <n v="70805"/>
    <n v="1.875019619431"/>
    <d v="2016-01-02T12:58:11"/>
    <n v="11.59"/>
    <x v="23"/>
    <n v="1"/>
    <n v="1.7"/>
    <n v="0"/>
    <n v="0"/>
    <n v="1.7"/>
    <x v="18"/>
    <x v="0"/>
    <x v="18"/>
    <x v="11"/>
    <n v="10"/>
    <e v="#N/A"/>
    <e v="#N/A"/>
  </r>
  <r>
    <n v="33"/>
    <d v="2016-01-02T10:20:58"/>
    <d v="2016-01-02T10:35:58"/>
    <x v="1"/>
    <m/>
    <m/>
    <x v="0"/>
    <n v="70804"/>
    <n v="0"/>
    <d v="2016-01-02T10:38:57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34"/>
    <d v="2016-01-02T11:11:29"/>
    <d v="2016-01-02T11:26:28"/>
    <x v="0"/>
    <s v="Medium"/>
    <m/>
    <x v="1"/>
    <n v="70803"/>
    <n v="2.6679713212832201"/>
    <d v="2016-01-02T11:39:48"/>
    <n v="19.579999999999998"/>
    <x v="25"/>
    <n v="2"/>
    <n v="1"/>
    <n v="1.7"/>
    <n v="0"/>
    <n v="2.7"/>
    <x v="19"/>
    <x v="0"/>
    <x v="19"/>
    <x v="12"/>
    <n v="7"/>
    <n v="10"/>
    <e v="#N/A"/>
  </r>
  <r>
    <n v="35"/>
    <d v="2016-01-02T12:53:49"/>
    <d v="2016-01-02T13:08:47"/>
    <x v="2"/>
    <m/>
    <m/>
    <x v="0"/>
    <n v="70806"/>
    <n v="0"/>
    <d v="2016-01-02T13:11:46"/>
    <n v="11.59"/>
    <x v="1"/>
    <n v="1"/>
    <n v="1.7"/>
    <n v="0"/>
    <n v="0"/>
    <n v="1.7"/>
    <x v="0"/>
    <x v="0"/>
    <x v="0"/>
    <x v="0"/>
    <n v="10"/>
    <e v="#N/A"/>
    <e v="#N/A"/>
  </r>
  <r>
    <n v="36"/>
    <d v="2016-01-02T11:30:38"/>
    <d v="2016-01-02T11:45:38"/>
    <x v="1"/>
    <m/>
    <m/>
    <x v="1"/>
    <n v="70805"/>
    <n v="3.9470079157879798"/>
    <d v="2016-01-02T12:05:22"/>
    <n v="15.35"/>
    <x v="26"/>
    <n v="1"/>
    <n v="2.2999999999999998"/>
    <n v="0"/>
    <n v="0"/>
    <n v="2.2999999999999998"/>
    <x v="20"/>
    <x v="1"/>
    <x v="20"/>
    <x v="0"/>
    <n v="14"/>
    <e v="#N/A"/>
    <e v="#N/A"/>
  </r>
  <r>
    <n v="37"/>
    <d v="2016-01-02T12:57:32"/>
    <d v="2016-01-02T13:12:32"/>
    <x v="0"/>
    <m/>
    <m/>
    <x v="1"/>
    <n v="70805"/>
    <n v="2.2604540765060799"/>
    <d v="2016-01-02T13:23:50"/>
    <n v="7.99"/>
    <x v="27"/>
    <n v="1"/>
    <n v="1"/>
    <n v="0"/>
    <n v="0"/>
    <n v="1"/>
    <x v="21"/>
    <x v="0"/>
    <x v="21"/>
    <x v="13"/>
    <n v="7"/>
    <e v="#N/A"/>
    <e v="#N/A"/>
  </r>
  <r>
    <n v="38"/>
    <d v="2016-01-02T11:11:24"/>
    <d v="2016-01-02T11:26:24"/>
    <x v="2"/>
    <m/>
    <m/>
    <x v="1"/>
    <n v="70807"/>
    <n v="3.8581374440793201"/>
    <d v="2016-01-02T11:45:41"/>
    <n v="11.59"/>
    <x v="28"/>
    <n v="1"/>
    <n v="1.7"/>
    <n v="0"/>
    <n v="0"/>
    <n v="1.7"/>
    <x v="22"/>
    <x v="1"/>
    <x v="22"/>
    <x v="0"/>
    <n v="10"/>
    <e v="#N/A"/>
    <e v="#N/A"/>
  </r>
  <r>
    <n v="39"/>
    <d v="2016-01-02T12:20:33"/>
    <d v="2016-01-02T12:35:31"/>
    <x v="1"/>
    <m/>
    <m/>
    <x v="1"/>
    <n v="70805"/>
    <n v="2.3749016245181398"/>
    <d v="2016-01-02T12:47:23"/>
    <n v="15.35"/>
    <x v="29"/>
    <n v="1"/>
    <n v="2.2999999999999998"/>
    <n v="0"/>
    <n v="0"/>
    <n v="2.2999999999999998"/>
    <x v="23"/>
    <x v="0"/>
    <x v="23"/>
    <x v="14"/>
    <n v="14"/>
    <e v="#N/A"/>
    <e v="#N/A"/>
  </r>
  <r>
    <n v="40"/>
    <d v="2016-01-02T11:19:49"/>
    <d v="2016-01-02T11:34:49"/>
    <x v="0"/>
    <s v="Large"/>
    <m/>
    <x v="1"/>
    <n v="70805"/>
    <n v="2.8217373515651301"/>
    <d v="2016-01-02T11:48:55"/>
    <n v="23.34"/>
    <x v="30"/>
    <n v="2"/>
    <n v="1"/>
    <n v="2.2999999999999998"/>
    <n v="0"/>
    <n v="3.3"/>
    <x v="24"/>
    <x v="0"/>
    <x v="24"/>
    <x v="15"/>
    <n v="7"/>
    <n v="14"/>
    <e v="#N/A"/>
  </r>
  <r>
    <n v="41"/>
    <d v="2016-01-02T11:11:58"/>
    <d v="2016-01-02T11:26:58"/>
    <x v="2"/>
    <m/>
    <m/>
    <x v="1"/>
    <n v="70803"/>
    <n v="3.22539413462383"/>
    <d v="2016-01-02T11:43:05"/>
    <n v="11.59"/>
    <x v="31"/>
    <n v="1"/>
    <n v="1.7"/>
    <n v="0"/>
    <n v="0"/>
    <n v="1.7"/>
    <x v="25"/>
    <x v="1"/>
    <x v="25"/>
    <x v="0"/>
    <n v="10"/>
    <e v="#N/A"/>
    <e v="#N/A"/>
  </r>
  <r>
    <n v="42"/>
    <d v="2016-01-02T12:59:55"/>
    <d v="2016-01-02T13:14:55"/>
    <x v="0"/>
    <m/>
    <m/>
    <x v="1"/>
    <n v="70807"/>
    <n v="1.8333815959319999"/>
    <d v="2016-01-02T13:24:05"/>
    <n v="7.99"/>
    <x v="32"/>
    <n v="1"/>
    <n v="1"/>
    <n v="0"/>
    <n v="0"/>
    <n v="1"/>
    <x v="26"/>
    <x v="0"/>
    <x v="26"/>
    <x v="16"/>
    <n v="7"/>
    <e v="#N/A"/>
    <e v="#N/A"/>
  </r>
  <r>
    <n v="43"/>
    <d v="2016-01-02T11:14:29"/>
    <d v="2016-01-02T11:29:29"/>
    <x v="0"/>
    <s v="Medium"/>
    <m/>
    <x v="1"/>
    <n v="70804"/>
    <n v="2.1957366118683299"/>
    <d v="2016-01-02T11:40:27"/>
    <n v="19.579999999999998"/>
    <x v="33"/>
    <n v="2"/>
    <n v="1"/>
    <n v="1.7"/>
    <n v="0"/>
    <n v="2.7"/>
    <x v="27"/>
    <x v="0"/>
    <x v="27"/>
    <x v="17"/>
    <n v="7"/>
    <n v="10"/>
    <e v="#N/A"/>
  </r>
  <r>
    <n v="44"/>
    <d v="2016-01-02T11:22:37"/>
    <d v="2016-01-02T11:37:35"/>
    <x v="2"/>
    <m/>
    <m/>
    <x v="1"/>
    <n v="70803"/>
    <n v="2.03458661524511"/>
    <d v="2016-01-02T11:47:45"/>
    <n v="11.59"/>
    <x v="34"/>
    <n v="1"/>
    <n v="1.7"/>
    <n v="0"/>
    <n v="0"/>
    <n v="1.7"/>
    <x v="28"/>
    <x v="0"/>
    <x v="28"/>
    <x v="18"/>
    <n v="10"/>
    <e v="#N/A"/>
    <e v="#N/A"/>
  </r>
  <r>
    <n v="45"/>
    <d v="2016-01-02T11:44:53"/>
    <d v="2016-01-02T11:59:54"/>
    <x v="1"/>
    <m/>
    <m/>
    <x v="1"/>
    <n v="70806"/>
    <n v="3.2053033793644801"/>
    <d v="2016-01-02T12:15:55"/>
    <n v="15.35"/>
    <x v="35"/>
    <n v="1"/>
    <n v="2.2999999999999998"/>
    <n v="0"/>
    <n v="0"/>
    <n v="2.2999999999999998"/>
    <x v="29"/>
    <x v="1"/>
    <x v="29"/>
    <x v="0"/>
    <n v="14"/>
    <e v="#N/A"/>
    <e v="#N/A"/>
  </r>
  <r>
    <n v="46"/>
    <d v="2016-01-02T11:01:11"/>
    <d v="2016-01-02T11:16:11"/>
    <x v="1"/>
    <m/>
    <m/>
    <x v="0"/>
    <n v="70806"/>
    <n v="0"/>
    <d v="2016-01-02T11:19:11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47"/>
    <d v="2016-01-02T12:41:09"/>
    <d v="2016-01-02T12:56:08"/>
    <x v="1"/>
    <m/>
    <m/>
    <x v="0"/>
    <n v="70805"/>
    <n v="0"/>
    <d v="2016-01-02T12:59:06"/>
    <n v="15.35"/>
    <x v="19"/>
    <n v="1"/>
    <n v="2.2999999999999998"/>
    <n v="0"/>
    <n v="0"/>
    <n v="2.2999999999999998"/>
    <x v="0"/>
    <x v="0"/>
    <x v="0"/>
    <x v="0"/>
    <n v="14"/>
    <e v="#N/A"/>
    <e v="#N/A"/>
  </r>
  <r>
    <n v="48"/>
    <d v="2016-01-02T11:11:27"/>
    <d v="2016-01-02T11:26:28"/>
    <x v="2"/>
    <m/>
    <m/>
    <x v="1"/>
    <n v="70806"/>
    <n v="2.7278589041508998"/>
    <d v="2016-01-02T11:40:06"/>
    <n v="11.59"/>
    <x v="36"/>
    <n v="1"/>
    <n v="1.7"/>
    <n v="0"/>
    <n v="0"/>
    <n v="1.7"/>
    <x v="30"/>
    <x v="0"/>
    <x v="30"/>
    <x v="19"/>
    <n v="10"/>
    <e v="#N/A"/>
    <e v="#N/A"/>
  </r>
  <r>
    <n v="49"/>
    <d v="2016-01-02T13:55:49"/>
    <d v="2016-01-02T14:10:46"/>
    <x v="2"/>
    <m/>
    <m/>
    <x v="0"/>
    <n v="70804"/>
    <n v="0"/>
    <d v="2016-01-02T14:13:45"/>
    <n v="11.59"/>
    <x v="1"/>
    <n v="1"/>
    <n v="1.7"/>
    <n v="0"/>
    <n v="0"/>
    <n v="1.7"/>
    <x v="0"/>
    <x v="0"/>
    <x v="0"/>
    <x v="0"/>
    <n v="10"/>
    <e v="#N/A"/>
    <e v="#N/A"/>
  </r>
  <r>
    <n v="50"/>
    <d v="2016-01-02T13:43:08"/>
    <d v="2016-01-02T13:58:07"/>
    <x v="2"/>
    <m/>
    <m/>
    <x v="1"/>
    <n v="70804"/>
    <n v="2.9843168107281"/>
    <d v="2016-01-02T14:13:02"/>
    <n v="11.59"/>
    <x v="37"/>
    <n v="1"/>
    <n v="1.7"/>
    <n v="0"/>
    <n v="0"/>
    <n v="1.7"/>
    <x v="31"/>
    <x v="0"/>
    <x v="31"/>
    <x v="20"/>
    <n v="10"/>
    <e v="#N/A"/>
    <e v="#N/A"/>
  </r>
  <r>
    <n v="51"/>
    <d v="2016-01-02T11:15:23"/>
    <d v="2016-01-02T11:30:21"/>
    <x v="2"/>
    <s v="Large"/>
    <m/>
    <x v="1"/>
    <n v="70805"/>
    <n v="3.1715635740238399"/>
    <d v="2016-01-02T11:46:12"/>
    <n v="25.94"/>
    <x v="38"/>
    <n v="2"/>
    <n v="1.7"/>
    <n v="2.2999999999999998"/>
    <n v="0"/>
    <n v="4"/>
    <x v="32"/>
    <x v="0"/>
    <x v="32"/>
    <x v="21"/>
    <n v="10"/>
    <n v="14"/>
    <e v="#N/A"/>
  </r>
  <r>
    <n v="52"/>
    <d v="2016-01-02T12:04:28"/>
    <d v="2016-01-02T12:19:29"/>
    <x v="1"/>
    <m/>
    <m/>
    <x v="1"/>
    <n v="70805"/>
    <n v="4.0929925502637703"/>
    <d v="2016-01-02T12:39:56"/>
    <n v="15.35"/>
    <x v="39"/>
    <n v="1"/>
    <n v="2.2999999999999998"/>
    <n v="0"/>
    <n v="0"/>
    <n v="2.2999999999999998"/>
    <x v="33"/>
    <x v="1"/>
    <x v="33"/>
    <x v="0"/>
    <n v="14"/>
    <e v="#N/A"/>
    <e v="#N/A"/>
  </r>
  <r>
    <n v="53"/>
    <d v="2016-01-02T10:28:43"/>
    <d v="2016-01-02T10:43:42"/>
    <x v="0"/>
    <s v="Medium"/>
    <m/>
    <x v="0"/>
    <n v="70803"/>
    <n v="0"/>
    <d v="2016-01-02T10:46:43"/>
    <n v="19.579999999999998"/>
    <x v="14"/>
    <n v="2"/>
    <n v="1"/>
    <n v="1.7"/>
    <n v="0"/>
    <n v="2.7"/>
    <x v="0"/>
    <x v="0"/>
    <x v="0"/>
    <x v="0"/>
    <n v="7"/>
    <n v="10"/>
    <e v="#N/A"/>
  </r>
  <r>
    <n v="54"/>
    <d v="2016-01-02T11:34:15"/>
    <d v="2016-01-02T11:49:15"/>
    <x v="1"/>
    <m/>
    <m/>
    <x v="1"/>
    <n v="70804"/>
    <n v="2.9103330012913098"/>
    <d v="2016-01-02T12:03:48"/>
    <n v="15.35"/>
    <x v="40"/>
    <n v="1"/>
    <n v="2.2999999999999998"/>
    <n v="0"/>
    <n v="0"/>
    <n v="2.2999999999999998"/>
    <x v="34"/>
    <x v="0"/>
    <x v="34"/>
    <x v="22"/>
    <n v="14"/>
    <e v="#N/A"/>
    <e v="#N/A"/>
  </r>
  <r>
    <n v="55"/>
    <d v="2016-01-02T11:53:23"/>
    <d v="2016-01-02T12:08:24"/>
    <x v="2"/>
    <m/>
    <m/>
    <x v="1"/>
    <n v="70804"/>
    <n v="1.1108593723642599"/>
    <d v="2016-01-02T12:13:57"/>
    <n v="11.59"/>
    <x v="41"/>
    <n v="1"/>
    <n v="1.7"/>
    <n v="0"/>
    <n v="0"/>
    <n v="1.7"/>
    <x v="35"/>
    <x v="0"/>
    <x v="35"/>
    <x v="23"/>
    <n v="10"/>
    <e v="#N/A"/>
    <e v="#N/A"/>
  </r>
  <r>
    <n v="56"/>
    <d v="2016-01-02T12:33:26"/>
    <d v="2016-01-02T12:48:24"/>
    <x v="1"/>
    <m/>
    <m/>
    <x v="0"/>
    <n v="70806"/>
    <n v="0"/>
    <d v="2016-01-02T12:51:23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57"/>
    <d v="2016-01-02T12:22:52"/>
    <d v="2016-01-02T12:37:50"/>
    <x v="0"/>
    <s v="Medium"/>
    <m/>
    <x v="0"/>
    <n v="70806"/>
    <n v="0"/>
    <d v="2016-01-02T12:40:49"/>
    <n v="19.579999999999998"/>
    <x v="24"/>
    <n v="2"/>
    <n v="1"/>
    <n v="1.7"/>
    <n v="0"/>
    <n v="2.7"/>
    <x v="0"/>
    <x v="0"/>
    <x v="0"/>
    <x v="0"/>
    <n v="7"/>
    <n v="10"/>
    <e v="#N/A"/>
  </r>
  <r>
    <n v="58"/>
    <d v="2016-01-02T11:26:39"/>
    <d v="2016-01-02T11:41:39"/>
    <x v="1"/>
    <m/>
    <m/>
    <x v="0"/>
    <n v="70805"/>
    <n v="0"/>
    <d v="2016-01-02T11:44:39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59"/>
    <d v="2016-01-02T11:18:44"/>
    <d v="2016-01-02T11:33:43"/>
    <x v="0"/>
    <s v="Medium"/>
    <m/>
    <x v="1"/>
    <n v="70804"/>
    <n v="3.1454836643385198"/>
    <d v="2016-01-02T11:49:26"/>
    <n v="19.579999999999998"/>
    <x v="42"/>
    <n v="2"/>
    <n v="1"/>
    <n v="1.7"/>
    <n v="0"/>
    <n v="2.7"/>
    <x v="36"/>
    <x v="0"/>
    <x v="36"/>
    <x v="24"/>
    <n v="7"/>
    <n v="10"/>
    <e v="#N/A"/>
  </r>
  <r>
    <n v="60"/>
    <d v="2016-01-02T10:59:43"/>
    <d v="2016-01-02T11:14:40"/>
    <x v="2"/>
    <m/>
    <m/>
    <x v="1"/>
    <n v="70807"/>
    <n v="3.16189765547839"/>
    <d v="2016-01-02T11:30:28"/>
    <n v="11.59"/>
    <x v="43"/>
    <n v="1"/>
    <n v="1.7"/>
    <n v="0"/>
    <n v="0"/>
    <n v="1.7"/>
    <x v="37"/>
    <x v="0"/>
    <x v="37"/>
    <x v="25"/>
    <n v="10"/>
    <e v="#N/A"/>
    <e v="#N/A"/>
  </r>
  <r>
    <n v="61"/>
    <d v="2016-01-02T11:44:17"/>
    <d v="2016-01-02T11:59:18"/>
    <x v="0"/>
    <m/>
    <m/>
    <x v="0"/>
    <n v="70804"/>
    <n v="0"/>
    <d v="2016-01-02T12:02:17"/>
    <n v="7.99"/>
    <x v="24"/>
    <n v="1"/>
    <n v="1"/>
    <n v="0"/>
    <n v="0"/>
    <n v="1"/>
    <x v="0"/>
    <x v="0"/>
    <x v="0"/>
    <x v="0"/>
    <n v="7"/>
    <e v="#N/A"/>
    <e v="#N/A"/>
  </r>
  <r>
    <n v="62"/>
    <d v="2016-01-02T12:55:38"/>
    <d v="2016-01-02T13:10:37"/>
    <x v="2"/>
    <m/>
    <m/>
    <x v="1"/>
    <n v="70804"/>
    <n v="2.0121791223967902"/>
    <d v="2016-01-02T13:20:40"/>
    <n v="11.59"/>
    <x v="44"/>
    <n v="1"/>
    <n v="1.7"/>
    <n v="0"/>
    <n v="0"/>
    <n v="1.7"/>
    <x v="38"/>
    <x v="0"/>
    <x v="38"/>
    <x v="26"/>
    <n v="10"/>
    <e v="#N/A"/>
    <e v="#N/A"/>
  </r>
  <r>
    <n v="63"/>
    <d v="2016-01-02T11:49:10"/>
    <d v="2016-01-02T12:04:08"/>
    <x v="0"/>
    <s v="Medium"/>
    <m/>
    <x v="1"/>
    <n v="70808"/>
    <n v="4.9794773192476196"/>
    <d v="2016-01-02T12:29:01"/>
    <n v="19.579999999999998"/>
    <x v="45"/>
    <n v="2"/>
    <n v="1"/>
    <n v="1.7"/>
    <n v="0"/>
    <n v="2.7"/>
    <x v="39"/>
    <x v="1"/>
    <x v="39"/>
    <x v="0"/>
    <n v="7"/>
    <n v="10"/>
    <e v="#N/A"/>
  </r>
  <r>
    <n v="64"/>
    <d v="2016-01-02T10:23:21"/>
    <d v="2016-01-02T10:38:21"/>
    <x v="1"/>
    <m/>
    <m/>
    <x v="1"/>
    <n v="70804"/>
    <n v="4.4351197318016498"/>
    <d v="2016-01-02T11:00:31"/>
    <n v="15.35"/>
    <x v="46"/>
    <n v="1"/>
    <n v="2.2999999999999998"/>
    <n v="0"/>
    <n v="0"/>
    <n v="2.2999999999999998"/>
    <x v="40"/>
    <x v="1"/>
    <x v="40"/>
    <x v="0"/>
    <n v="14"/>
    <e v="#N/A"/>
    <e v="#N/A"/>
  </r>
  <r>
    <n v="65"/>
    <d v="2016-01-02T12:31:43"/>
    <d v="2016-01-02T12:46:44"/>
    <x v="0"/>
    <s v="Medium"/>
    <m/>
    <x v="0"/>
    <n v="70805"/>
    <n v="0"/>
    <d v="2016-01-02T12:49:44"/>
    <n v="19.579999999999998"/>
    <x v="2"/>
    <n v="2"/>
    <n v="1"/>
    <n v="1.7"/>
    <n v="0"/>
    <n v="2.7"/>
    <x v="0"/>
    <x v="0"/>
    <x v="0"/>
    <x v="0"/>
    <n v="7"/>
    <n v="10"/>
    <e v="#N/A"/>
  </r>
  <r>
    <n v="66"/>
    <d v="2016-01-02T14:36:46"/>
    <d v="2016-01-02T14:51:45"/>
    <x v="1"/>
    <m/>
    <m/>
    <x v="0"/>
    <n v="70804"/>
    <n v="0"/>
    <d v="2016-01-02T14:54:45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67"/>
    <d v="2016-01-02T13:11:29"/>
    <d v="2016-01-02T13:26:30"/>
    <x v="1"/>
    <m/>
    <m/>
    <x v="0"/>
    <n v="70807"/>
    <n v="0"/>
    <d v="2016-01-02T13:29:29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68"/>
    <d v="2016-01-02T13:51:20"/>
    <d v="2016-01-02T14:06:19"/>
    <x v="0"/>
    <s v="Medium"/>
    <m/>
    <x v="1"/>
    <n v="70805"/>
    <n v="4.1676380545183198"/>
    <d v="2016-01-02T14:27:09"/>
    <n v="19.579999999999998"/>
    <x v="47"/>
    <n v="2"/>
    <n v="1"/>
    <n v="1.7"/>
    <n v="0"/>
    <n v="2.7"/>
    <x v="41"/>
    <x v="1"/>
    <x v="41"/>
    <x v="0"/>
    <n v="7"/>
    <n v="10"/>
    <e v="#N/A"/>
  </r>
  <r>
    <n v="69"/>
    <d v="2016-01-02T11:04:27"/>
    <d v="2016-01-02T11:19:26"/>
    <x v="1"/>
    <m/>
    <m/>
    <x v="1"/>
    <n v="70805"/>
    <n v="3.9637533894297401"/>
    <d v="2016-01-02T11:39:15"/>
    <n v="15.35"/>
    <x v="48"/>
    <n v="1"/>
    <n v="2.2999999999999998"/>
    <n v="0"/>
    <n v="0"/>
    <n v="2.2999999999999998"/>
    <x v="42"/>
    <x v="1"/>
    <x v="42"/>
    <x v="0"/>
    <n v="14"/>
    <e v="#N/A"/>
    <e v="#N/A"/>
  </r>
  <r>
    <n v="70"/>
    <d v="2016-01-02T10:32:44"/>
    <d v="2016-01-02T10:47:44"/>
    <x v="0"/>
    <s v="Medium"/>
    <m/>
    <x v="0"/>
    <n v="70805"/>
    <n v="0"/>
    <d v="2016-01-02T10:50:42"/>
    <n v="19.579999999999998"/>
    <x v="0"/>
    <n v="2"/>
    <n v="1"/>
    <n v="1.7"/>
    <n v="0"/>
    <n v="2.7"/>
    <x v="0"/>
    <x v="0"/>
    <x v="0"/>
    <x v="0"/>
    <n v="7"/>
    <n v="10"/>
    <e v="#N/A"/>
  </r>
  <r>
    <n v="71"/>
    <d v="2016-01-02T12:36:16"/>
    <d v="2016-01-02T12:51:15"/>
    <x v="2"/>
    <s v="Large"/>
    <m/>
    <x v="0"/>
    <n v="70804"/>
    <n v="0"/>
    <d v="2016-01-02T12:54:13"/>
    <n v="25.94"/>
    <x v="19"/>
    <n v="2"/>
    <n v="1.7"/>
    <n v="2.2999999999999998"/>
    <n v="0"/>
    <n v="4"/>
    <x v="0"/>
    <x v="0"/>
    <x v="0"/>
    <x v="0"/>
    <n v="10"/>
    <n v="14"/>
    <e v="#N/A"/>
  </r>
  <r>
    <n v="72"/>
    <d v="2016-01-02T12:29:07"/>
    <d v="2016-01-02T12:44:09"/>
    <x v="0"/>
    <s v="Medium"/>
    <m/>
    <x v="0"/>
    <n v="70804"/>
    <n v="0"/>
    <d v="2016-01-02T12:47:07"/>
    <n v="19.579999999999998"/>
    <x v="0"/>
    <n v="2"/>
    <n v="1"/>
    <n v="1.7"/>
    <n v="0"/>
    <n v="2.7"/>
    <x v="0"/>
    <x v="0"/>
    <x v="0"/>
    <x v="0"/>
    <n v="7"/>
    <n v="10"/>
    <e v="#N/A"/>
  </r>
  <r>
    <n v="73"/>
    <d v="2016-01-02T12:14:56"/>
    <d v="2016-01-02T12:29:55"/>
    <x v="0"/>
    <m/>
    <m/>
    <x v="0"/>
    <n v="70805"/>
    <n v="0"/>
    <d v="2016-01-02T12:32:55"/>
    <n v="7.99"/>
    <x v="2"/>
    <n v="1"/>
    <n v="1"/>
    <n v="0"/>
    <n v="0"/>
    <n v="1"/>
    <x v="0"/>
    <x v="0"/>
    <x v="0"/>
    <x v="0"/>
    <n v="7"/>
    <e v="#N/A"/>
    <e v="#N/A"/>
  </r>
  <r>
    <n v="74"/>
    <d v="2016-01-02T12:10:55"/>
    <d v="2016-01-02T12:25:53"/>
    <x v="1"/>
    <m/>
    <m/>
    <x v="1"/>
    <n v="70806"/>
    <n v="5.2816256178522396"/>
    <d v="2016-01-02T12:52:17"/>
    <n v="15.35"/>
    <x v="49"/>
    <n v="1"/>
    <n v="2.2999999999999998"/>
    <n v="0"/>
    <n v="0"/>
    <n v="2.2999999999999998"/>
    <x v="43"/>
    <x v="1"/>
    <x v="43"/>
    <x v="0"/>
    <n v="14"/>
    <e v="#N/A"/>
    <e v="#N/A"/>
  </r>
  <r>
    <n v="75"/>
    <d v="2016-01-02T10:23:23"/>
    <d v="2016-01-02T10:38:21"/>
    <x v="1"/>
    <m/>
    <m/>
    <x v="0"/>
    <n v="70804"/>
    <n v="0"/>
    <d v="2016-01-02T10:41:20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76"/>
    <d v="2016-01-02T12:24:27"/>
    <d v="2016-01-02T12:39:26"/>
    <x v="1"/>
    <m/>
    <m/>
    <x v="0"/>
    <n v="70805"/>
    <n v="0"/>
    <d v="2016-01-02T12:42:25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77"/>
    <d v="2016-01-02T11:28:57"/>
    <d v="2016-01-02T11:43:57"/>
    <x v="0"/>
    <m/>
    <m/>
    <x v="1"/>
    <n v="70804"/>
    <n v="3.2452102868854298"/>
    <d v="2016-01-02T12:00:10"/>
    <n v="7.99"/>
    <x v="50"/>
    <n v="1"/>
    <n v="1"/>
    <n v="0"/>
    <n v="0"/>
    <n v="1"/>
    <x v="44"/>
    <x v="1"/>
    <x v="44"/>
    <x v="0"/>
    <n v="7"/>
    <e v="#N/A"/>
    <e v="#N/A"/>
  </r>
  <r>
    <n v="78"/>
    <d v="2016-01-02T10:33:52"/>
    <d v="2016-01-02T10:48:50"/>
    <x v="2"/>
    <m/>
    <m/>
    <x v="1"/>
    <n v="70805"/>
    <n v="3.6901531344721499"/>
    <d v="2016-01-02T11:07:17"/>
    <n v="11.59"/>
    <x v="51"/>
    <n v="1"/>
    <n v="1.7"/>
    <n v="0"/>
    <n v="0"/>
    <n v="1.7"/>
    <x v="45"/>
    <x v="1"/>
    <x v="45"/>
    <x v="0"/>
    <n v="10"/>
    <e v="#N/A"/>
    <e v="#N/A"/>
  </r>
  <r>
    <n v="79"/>
    <d v="2016-01-02T12:22:24"/>
    <d v="2016-01-02T12:37:22"/>
    <x v="0"/>
    <m/>
    <m/>
    <x v="1"/>
    <n v="70804"/>
    <n v="4.2130091769347002"/>
    <d v="2016-01-02T12:58:25"/>
    <n v="7.99"/>
    <x v="52"/>
    <n v="1"/>
    <n v="1"/>
    <n v="0"/>
    <n v="0"/>
    <n v="1"/>
    <x v="46"/>
    <x v="1"/>
    <x v="46"/>
    <x v="0"/>
    <n v="7"/>
    <e v="#N/A"/>
    <e v="#N/A"/>
  </r>
  <r>
    <n v="80"/>
    <d v="2016-01-02T14:05:41"/>
    <d v="2016-01-02T14:20:40"/>
    <x v="1"/>
    <m/>
    <m/>
    <x v="0"/>
    <n v="70805"/>
    <n v="0"/>
    <d v="2016-01-02T14:23:40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81"/>
    <d v="2016-01-02T11:16:44"/>
    <d v="2016-01-02T11:31:44"/>
    <x v="0"/>
    <s v="Large"/>
    <m/>
    <x v="1"/>
    <n v="70803"/>
    <n v="2.9900452108273599"/>
    <d v="2016-01-02T11:46:41"/>
    <n v="23.34"/>
    <x v="53"/>
    <n v="2"/>
    <n v="1"/>
    <n v="2.2999999999999998"/>
    <n v="0"/>
    <n v="3.3"/>
    <x v="47"/>
    <x v="0"/>
    <x v="47"/>
    <x v="27"/>
    <n v="7"/>
    <n v="14"/>
    <e v="#N/A"/>
  </r>
  <r>
    <n v="82"/>
    <d v="2016-01-02T11:44:28"/>
    <d v="2016-01-02T11:59:28"/>
    <x v="0"/>
    <s v="Large"/>
    <m/>
    <x v="1"/>
    <n v="70804"/>
    <n v="1.66198992874833"/>
    <d v="2016-01-02T12:07:46"/>
    <n v="23.34"/>
    <x v="54"/>
    <n v="2"/>
    <n v="1"/>
    <n v="2.2999999999999998"/>
    <n v="0"/>
    <n v="3.3"/>
    <x v="48"/>
    <x v="0"/>
    <x v="48"/>
    <x v="28"/>
    <n v="7"/>
    <n v="14"/>
    <e v="#N/A"/>
  </r>
  <r>
    <n v="83"/>
    <d v="2016-01-02T11:28:36"/>
    <d v="2016-01-02T11:43:35"/>
    <x v="0"/>
    <m/>
    <m/>
    <x v="1"/>
    <n v="70805"/>
    <n v="3.6148077105632699"/>
    <d v="2016-01-02T12:01:39"/>
    <n v="7.99"/>
    <x v="55"/>
    <n v="1"/>
    <n v="1"/>
    <n v="0"/>
    <n v="0"/>
    <n v="1"/>
    <x v="49"/>
    <x v="1"/>
    <x v="49"/>
    <x v="0"/>
    <n v="7"/>
    <e v="#N/A"/>
    <e v="#N/A"/>
  </r>
  <r>
    <n v="84"/>
    <d v="2016-01-02T11:41:32"/>
    <d v="2016-01-02T11:56:31"/>
    <x v="1"/>
    <m/>
    <m/>
    <x v="0"/>
    <n v="70805"/>
    <n v="0"/>
    <d v="2016-01-02T11:59:30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85"/>
    <d v="2016-01-02T12:00:30"/>
    <d v="2016-01-02T12:15:29"/>
    <x v="2"/>
    <m/>
    <m/>
    <x v="0"/>
    <n v="70804"/>
    <n v="0"/>
    <d v="2016-01-02T12:18:30"/>
    <n v="11.59"/>
    <x v="56"/>
    <n v="1"/>
    <n v="1.7"/>
    <n v="0"/>
    <n v="0"/>
    <n v="1.7"/>
    <x v="0"/>
    <x v="0"/>
    <x v="0"/>
    <x v="0"/>
    <n v="10"/>
    <e v="#N/A"/>
    <e v="#N/A"/>
  </r>
  <r>
    <n v="86"/>
    <d v="2016-01-02T12:35:14"/>
    <d v="2016-01-02T12:50:14"/>
    <x v="0"/>
    <m/>
    <m/>
    <x v="1"/>
    <n v="70806"/>
    <n v="1.6360924162659201"/>
    <d v="2016-01-02T12:58:24"/>
    <n v="7.99"/>
    <x v="57"/>
    <n v="1"/>
    <n v="1"/>
    <n v="0"/>
    <n v="0"/>
    <n v="1"/>
    <x v="50"/>
    <x v="0"/>
    <x v="50"/>
    <x v="29"/>
    <n v="7"/>
    <e v="#N/A"/>
    <e v="#N/A"/>
  </r>
  <r>
    <n v="87"/>
    <d v="2016-01-02T10:35:06"/>
    <d v="2016-01-02T10:50:05"/>
    <x v="0"/>
    <m/>
    <m/>
    <x v="0"/>
    <n v="70803"/>
    <n v="0"/>
    <d v="2016-01-02T10:53:05"/>
    <n v="7.99"/>
    <x v="2"/>
    <n v="1"/>
    <n v="1"/>
    <n v="0"/>
    <n v="0"/>
    <n v="1"/>
    <x v="0"/>
    <x v="0"/>
    <x v="0"/>
    <x v="0"/>
    <n v="7"/>
    <e v="#N/A"/>
    <e v="#N/A"/>
  </r>
  <r>
    <n v="88"/>
    <d v="2016-01-02T12:24:33"/>
    <d v="2016-01-02T12:39:31"/>
    <x v="1"/>
    <m/>
    <m/>
    <x v="1"/>
    <n v="70803"/>
    <n v="2.61156704355637"/>
    <d v="2016-01-02T12:52:34"/>
    <n v="15.35"/>
    <x v="58"/>
    <n v="1"/>
    <n v="2.2999999999999998"/>
    <n v="0"/>
    <n v="0"/>
    <n v="2.2999999999999998"/>
    <x v="51"/>
    <x v="0"/>
    <x v="51"/>
    <x v="30"/>
    <n v="14"/>
    <e v="#N/A"/>
    <e v="#N/A"/>
  </r>
  <r>
    <n v="89"/>
    <d v="2016-01-02T12:51:07"/>
    <d v="2016-01-02T13:06:06"/>
    <x v="1"/>
    <m/>
    <m/>
    <x v="0"/>
    <n v="70804"/>
    <n v="0"/>
    <d v="2016-01-02T13:09:05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90"/>
    <d v="2016-01-02T12:32:37"/>
    <d v="2016-01-02T12:47:35"/>
    <x v="1"/>
    <m/>
    <m/>
    <x v="1"/>
    <n v="70806"/>
    <n v="3.8017957407167602"/>
    <d v="2016-01-02T13:06:35"/>
    <n v="15.35"/>
    <x v="59"/>
    <n v="1"/>
    <n v="2.2999999999999998"/>
    <n v="0"/>
    <n v="0"/>
    <n v="2.2999999999999998"/>
    <x v="52"/>
    <x v="1"/>
    <x v="52"/>
    <x v="0"/>
    <n v="14"/>
    <e v="#N/A"/>
    <e v="#N/A"/>
  </r>
  <r>
    <n v="91"/>
    <d v="2016-01-02T12:42:29"/>
    <d v="2016-01-02T12:57:30"/>
    <x v="2"/>
    <m/>
    <m/>
    <x v="0"/>
    <n v="70803"/>
    <n v="0"/>
    <d v="2016-01-02T13:00:28"/>
    <n v="11.59"/>
    <x v="0"/>
    <n v="1"/>
    <n v="1.7"/>
    <n v="0"/>
    <n v="0"/>
    <n v="1.7"/>
    <x v="0"/>
    <x v="0"/>
    <x v="0"/>
    <x v="0"/>
    <n v="10"/>
    <e v="#N/A"/>
    <e v="#N/A"/>
  </r>
  <r>
    <n v="92"/>
    <d v="2016-01-02T12:30:16"/>
    <d v="2016-01-02T12:45:14"/>
    <x v="2"/>
    <m/>
    <m/>
    <x v="0"/>
    <n v="70805"/>
    <n v="0"/>
    <d v="2016-01-02T12:48:15"/>
    <n v="11.59"/>
    <x v="56"/>
    <n v="1"/>
    <n v="1.7"/>
    <n v="0"/>
    <n v="0"/>
    <n v="1.7"/>
    <x v="0"/>
    <x v="0"/>
    <x v="0"/>
    <x v="0"/>
    <n v="10"/>
    <e v="#N/A"/>
    <e v="#N/A"/>
  </r>
  <r>
    <n v="93"/>
    <d v="2016-01-02T12:29:13"/>
    <d v="2016-01-02T12:44:12"/>
    <x v="0"/>
    <s v="Large"/>
    <m/>
    <x v="1"/>
    <n v="70805"/>
    <n v="1.9446467356885899"/>
    <d v="2016-01-02T12:53:55"/>
    <n v="23.34"/>
    <x v="60"/>
    <n v="2"/>
    <n v="1"/>
    <n v="2.2999999999999998"/>
    <n v="0"/>
    <n v="3.3"/>
    <x v="53"/>
    <x v="0"/>
    <x v="53"/>
    <x v="31"/>
    <n v="7"/>
    <n v="14"/>
    <e v="#N/A"/>
  </r>
  <r>
    <n v="94"/>
    <d v="2016-01-02T12:07:34"/>
    <d v="2016-01-02T12:22:33"/>
    <x v="2"/>
    <s v="Large"/>
    <m/>
    <x v="1"/>
    <n v="70803"/>
    <n v="4.30305311328787"/>
    <d v="2016-01-02T12:44:03"/>
    <n v="25.94"/>
    <x v="61"/>
    <n v="2"/>
    <n v="1.7"/>
    <n v="2.2999999999999998"/>
    <n v="0"/>
    <n v="4"/>
    <x v="54"/>
    <x v="1"/>
    <x v="54"/>
    <x v="0"/>
    <n v="10"/>
    <n v="14"/>
    <e v="#N/A"/>
  </r>
  <r>
    <n v="95"/>
    <d v="2016-01-02T12:08:29"/>
    <d v="2016-01-02T12:23:28"/>
    <x v="1"/>
    <m/>
    <m/>
    <x v="1"/>
    <n v="70805"/>
    <n v="1.27555800301977"/>
    <d v="2016-01-02T12:29:50"/>
    <n v="15.35"/>
    <x v="62"/>
    <n v="1"/>
    <n v="2.2999999999999998"/>
    <n v="0"/>
    <n v="0"/>
    <n v="2.2999999999999998"/>
    <x v="55"/>
    <x v="0"/>
    <x v="55"/>
    <x v="32"/>
    <n v="14"/>
    <e v="#N/A"/>
    <e v="#N/A"/>
  </r>
  <r>
    <n v="96"/>
    <d v="2016-01-02T10:26:53"/>
    <d v="2016-01-02T10:41:54"/>
    <x v="0"/>
    <s v="Medium"/>
    <m/>
    <x v="0"/>
    <n v="70805"/>
    <n v="0"/>
    <d v="2016-01-02T10:44:54"/>
    <n v="19.579999999999998"/>
    <x v="63"/>
    <n v="2"/>
    <n v="1"/>
    <n v="1.7"/>
    <n v="0"/>
    <n v="2.7"/>
    <x v="0"/>
    <x v="0"/>
    <x v="0"/>
    <x v="0"/>
    <n v="7"/>
    <n v="10"/>
    <e v="#N/A"/>
  </r>
  <r>
    <n v="97"/>
    <d v="2016-01-02T13:43:01"/>
    <d v="2016-01-02T13:57:59"/>
    <x v="0"/>
    <m/>
    <m/>
    <x v="1"/>
    <n v="70805"/>
    <n v="1.9521653025424599"/>
    <d v="2016-01-02T14:07:44"/>
    <n v="7.99"/>
    <x v="64"/>
    <n v="1"/>
    <n v="1"/>
    <n v="0"/>
    <n v="0"/>
    <n v="1"/>
    <x v="56"/>
    <x v="0"/>
    <x v="56"/>
    <x v="33"/>
    <n v="7"/>
    <e v="#N/A"/>
    <e v="#N/A"/>
  </r>
  <r>
    <n v="98"/>
    <d v="2016-01-02T12:59:15"/>
    <d v="2016-01-02T13:14:14"/>
    <x v="0"/>
    <s v="Large"/>
    <m/>
    <x v="1"/>
    <n v="70806"/>
    <n v="1.51116225638167"/>
    <d v="2016-01-02T13:21:47"/>
    <n v="23.34"/>
    <x v="65"/>
    <n v="2"/>
    <n v="1"/>
    <n v="2.2999999999999998"/>
    <n v="0"/>
    <n v="3.3"/>
    <x v="57"/>
    <x v="0"/>
    <x v="57"/>
    <x v="34"/>
    <n v="7"/>
    <n v="14"/>
    <e v="#N/A"/>
  </r>
  <r>
    <n v="99"/>
    <d v="2016-01-02T11:08:37"/>
    <d v="2016-01-02T11:23:37"/>
    <x v="2"/>
    <m/>
    <m/>
    <x v="0"/>
    <n v="70803"/>
    <n v="0"/>
    <d v="2016-01-02T11:26:37"/>
    <n v="11.59"/>
    <x v="2"/>
    <n v="1"/>
    <n v="1.7"/>
    <n v="0"/>
    <n v="0"/>
    <n v="1.7"/>
    <x v="0"/>
    <x v="0"/>
    <x v="0"/>
    <x v="0"/>
    <n v="10"/>
    <e v="#N/A"/>
    <e v="#N/A"/>
  </r>
  <r>
    <n v="100"/>
    <d v="2016-01-02T13:32:00"/>
    <d v="2016-01-02T13:47:02"/>
    <x v="0"/>
    <s v="Large"/>
    <m/>
    <x v="1"/>
    <n v="70806"/>
    <n v="2.7029597315183702"/>
    <d v="2016-01-02T14:00:32"/>
    <n v="23.34"/>
    <x v="66"/>
    <n v="2"/>
    <n v="1"/>
    <n v="2.2999999999999998"/>
    <n v="0"/>
    <n v="3.3"/>
    <x v="58"/>
    <x v="0"/>
    <x v="58"/>
    <x v="35"/>
    <n v="7"/>
    <n v="14"/>
    <e v="#N/A"/>
  </r>
  <r>
    <n v="101"/>
    <d v="2016-01-02T12:12:24"/>
    <d v="2016-01-02T12:27:23"/>
    <x v="2"/>
    <m/>
    <m/>
    <x v="0"/>
    <n v="70805"/>
    <n v="0"/>
    <d v="2016-01-02T12:30:25"/>
    <n v="11.59"/>
    <x v="67"/>
    <n v="1"/>
    <n v="1.7"/>
    <n v="0"/>
    <n v="0"/>
    <n v="1.7"/>
    <x v="0"/>
    <x v="0"/>
    <x v="0"/>
    <x v="0"/>
    <n v="10"/>
    <e v="#N/A"/>
    <e v="#N/A"/>
  </r>
  <r>
    <n v="102"/>
    <d v="2016-01-02T12:46:20"/>
    <d v="2016-01-02T13:01:21"/>
    <x v="0"/>
    <m/>
    <m/>
    <x v="0"/>
    <n v="70804"/>
    <n v="0"/>
    <d v="2016-01-02T13:04:22"/>
    <n v="7.99"/>
    <x v="14"/>
    <n v="1"/>
    <n v="1"/>
    <n v="0"/>
    <n v="0"/>
    <n v="1"/>
    <x v="0"/>
    <x v="0"/>
    <x v="0"/>
    <x v="0"/>
    <n v="7"/>
    <e v="#N/A"/>
    <e v="#N/A"/>
  </r>
  <r>
    <n v="103"/>
    <d v="2016-01-02T13:27:52"/>
    <d v="2016-01-02T13:42:50"/>
    <x v="1"/>
    <m/>
    <m/>
    <x v="0"/>
    <n v="70805"/>
    <n v="0"/>
    <d v="2016-01-02T13:45:49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104"/>
    <d v="2016-01-02T12:01:37"/>
    <d v="2016-01-02T12:16:37"/>
    <x v="1"/>
    <m/>
    <m/>
    <x v="0"/>
    <n v="70804"/>
    <n v="0"/>
    <d v="2016-01-02T12:19:37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05"/>
    <d v="2016-01-02T12:25:33"/>
    <d v="2016-01-02T12:40:33"/>
    <x v="2"/>
    <s v="Large"/>
    <m/>
    <x v="1"/>
    <n v="70804"/>
    <n v="2.0144241087889201"/>
    <d v="2016-01-02T12:50:37"/>
    <n v="25.94"/>
    <x v="68"/>
    <n v="2"/>
    <n v="1.7"/>
    <n v="2.2999999999999998"/>
    <n v="0"/>
    <n v="4"/>
    <x v="59"/>
    <x v="0"/>
    <x v="59"/>
    <x v="36"/>
    <n v="10"/>
    <n v="14"/>
    <e v="#N/A"/>
  </r>
  <r>
    <n v="106"/>
    <d v="2016-01-02T13:19:37"/>
    <d v="2016-01-02T13:34:36"/>
    <x v="2"/>
    <m/>
    <m/>
    <x v="1"/>
    <n v="70806"/>
    <n v="4.8291407259795802"/>
    <d v="2016-01-02T13:58:44"/>
    <n v="11.59"/>
    <x v="69"/>
    <n v="1"/>
    <n v="1.7"/>
    <n v="0"/>
    <n v="0"/>
    <n v="1.7"/>
    <x v="60"/>
    <x v="1"/>
    <x v="60"/>
    <x v="0"/>
    <n v="10"/>
    <e v="#N/A"/>
    <e v="#N/A"/>
  </r>
  <r>
    <n v="107"/>
    <d v="2016-01-02T12:27:32"/>
    <d v="2016-01-02T12:42:30"/>
    <x v="0"/>
    <s v="Medium"/>
    <m/>
    <x v="0"/>
    <n v="70805"/>
    <n v="0"/>
    <d v="2016-01-02T12:45:29"/>
    <n v="19.579999999999998"/>
    <x v="24"/>
    <n v="2"/>
    <n v="1"/>
    <n v="1.7"/>
    <n v="0"/>
    <n v="2.7"/>
    <x v="0"/>
    <x v="0"/>
    <x v="0"/>
    <x v="0"/>
    <n v="7"/>
    <n v="10"/>
    <e v="#N/A"/>
  </r>
  <r>
    <n v="108"/>
    <d v="2016-01-02T12:14:48"/>
    <d v="2016-01-02T12:29:48"/>
    <x v="1"/>
    <m/>
    <m/>
    <x v="1"/>
    <n v="70803"/>
    <n v="2.81108373995183"/>
    <d v="2016-01-02T12:43:51"/>
    <n v="15.35"/>
    <x v="70"/>
    <n v="1"/>
    <n v="2.2999999999999998"/>
    <n v="0"/>
    <n v="0"/>
    <n v="2.2999999999999998"/>
    <x v="61"/>
    <x v="0"/>
    <x v="61"/>
    <x v="37"/>
    <n v="14"/>
    <e v="#N/A"/>
    <e v="#N/A"/>
  </r>
  <r>
    <n v="109"/>
    <d v="2016-01-02T11:39:19"/>
    <d v="2016-01-02T11:54:17"/>
    <x v="2"/>
    <m/>
    <m/>
    <x v="1"/>
    <n v="70804"/>
    <n v="2.18108777301003"/>
    <d v="2016-01-02T12:05:11"/>
    <n v="11.59"/>
    <x v="71"/>
    <n v="1"/>
    <n v="1.7"/>
    <n v="0"/>
    <n v="0"/>
    <n v="1.7"/>
    <x v="62"/>
    <x v="0"/>
    <x v="62"/>
    <x v="38"/>
    <n v="10"/>
    <e v="#N/A"/>
    <e v="#N/A"/>
  </r>
  <r>
    <n v="110"/>
    <d v="2016-01-02T13:01:35"/>
    <d v="2016-01-02T13:16:34"/>
    <x v="1"/>
    <m/>
    <m/>
    <x v="0"/>
    <n v="70806"/>
    <n v="0"/>
    <d v="2016-01-02T13:19:33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111"/>
    <d v="2016-01-02T12:23:35"/>
    <d v="2016-01-02T12:38:34"/>
    <x v="0"/>
    <m/>
    <m/>
    <x v="0"/>
    <n v="70804"/>
    <n v="0"/>
    <d v="2016-01-02T12:41:34"/>
    <n v="7.99"/>
    <x v="2"/>
    <n v="1"/>
    <n v="1"/>
    <n v="0"/>
    <n v="0"/>
    <n v="1"/>
    <x v="0"/>
    <x v="0"/>
    <x v="0"/>
    <x v="0"/>
    <n v="7"/>
    <e v="#N/A"/>
    <e v="#N/A"/>
  </r>
  <r>
    <n v="112"/>
    <d v="2016-01-02T14:56:27"/>
    <d v="2016-01-02T15:11:27"/>
    <x v="2"/>
    <m/>
    <m/>
    <x v="0"/>
    <n v="70808"/>
    <n v="0"/>
    <d v="2016-01-02T15:14:28"/>
    <n v="11.59"/>
    <x v="56"/>
    <n v="1"/>
    <n v="1.7"/>
    <n v="0"/>
    <n v="0"/>
    <n v="1.7"/>
    <x v="0"/>
    <x v="0"/>
    <x v="0"/>
    <x v="0"/>
    <n v="10"/>
    <e v="#N/A"/>
    <e v="#N/A"/>
  </r>
  <r>
    <n v="113"/>
    <d v="2016-01-02T12:35:02"/>
    <d v="2016-01-02T12:50:01"/>
    <x v="0"/>
    <s v="Medium"/>
    <s v="Large"/>
    <x v="0"/>
    <n v="70804"/>
    <n v="0"/>
    <d v="2016-01-02T12:52:59"/>
    <n v="33.93"/>
    <x v="0"/>
    <n v="3"/>
    <n v="1"/>
    <n v="1.7"/>
    <n v="2.2999999999999998"/>
    <n v="5"/>
    <x v="0"/>
    <x v="0"/>
    <x v="0"/>
    <x v="0"/>
    <n v="7"/>
    <n v="10"/>
    <n v="14"/>
  </r>
  <r>
    <n v="114"/>
    <d v="2016-01-02T10:19:47"/>
    <d v="2016-01-02T10:34:48"/>
    <x v="2"/>
    <s v="Large"/>
    <m/>
    <x v="0"/>
    <n v="70806"/>
    <n v="0"/>
    <d v="2016-01-02T10:37:50"/>
    <n v="25.94"/>
    <x v="67"/>
    <n v="2"/>
    <n v="1.7"/>
    <n v="2.2999999999999998"/>
    <n v="0"/>
    <n v="4"/>
    <x v="0"/>
    <x v="0"/>
    <x v="0"/>
    <x v="0"/>
    <n v="10"/>
    <n v="14"/>
    <e v="#N/A"/>
  </r>
  <r>
    <n v="115"/>
    <d v="2016-01-02T14:20:28"/>
    <d v="2016-01-02T14:35:28"/>
    <x v="0"/>
    <s v="Large"/>
    <m/>
    <x v="0"/>
    <n v="70806"/>
    <n v="0"/>
    <d v="2016-01-02T14:38:27"/>
    <n v="23.34"/>
    <x v="1"/>
    <n v="2"/>
    <n v="1"/>
    <n v="2.2999999999999998"/>
    <n v="0"/>
    <n v="3.3"/>
    <x v="0"/>
    <x v="0"/>
    <x v="0"/>
    <x v="0"/>
    <n v="7"/>
    <n v="14"/>
    <e v="#N/A"/>
  </r>
  <r>
    <n v="116"/>
    <d v="2016-01-02T13:22:52"/>
    <d v="2016-01-02T13:37:51"/>
    <x v="2"/>
    <m/>
    <m/>
    <x v="1"/>
    <n v="70805"/>
    <n v="3.6605432160921998"/>
    <d v="2016-01-02T13:56:09"/>
    <n v="11.59"/>
    <x v="72"/>
    <n v="1"/>
    <n v="1.7"/>
    <n v="0"/>
    <n v="0"/>
    <n v="1.7"/>
    <x v="63"/>
    <x v="1"/>
    <x v="63"/>
    <x v="0"/>
    <n v="10"/>
    <e v="#N/A"/>
    <e v="#N/A"/>
  </r>
  <r>
    <n v="117"/>
    <d v="2016-01-02T11:07:20"/>
    <d v="2016-01-02T11:22:18"/>
    <x v="1"/>
    <m/>
    <m/>
    <x v="0"/>
    <n v="70803"/>
    <n v="0"/>
    <d v="2016-01-02T11:25:19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118"/>
    <d v="2016-01-02T11:48:30"/>
    <d v="2016-01-02T12:03:29"/>
    <x v="0"/>
    <s v="Medium"/>
    <m/>
    <x v="1"/>
    <n v="70806"/>
    <n v="2.3817587826888902"/>
    <d v="2016-01-02T12:15:23"/>
    <n v="19.579999999999998"/>
    <x v="73"/>
    <n v="2"/>
    <n v="1"/>
    <n v="1.7"/>
    <n v="0"/>
    <n v="2.7"/>
    <x v="64"/>
    <x v="0"/>
    <x v="64"/>
    <x v="39"/>
    <n v="7"/>
    <n v="10"/>
    <e v="#N/A"/>
  </r>
  <r>
    <n v="119"/>
    <d v="2016-01-02T11:24:15"/>
    <d v="2016-01-02T11:39:15"/>
    <x v="2"/>
    <m/>
    <m/>
    <x v="0"/>
    <n v="70806"/>
    <n v="0"/>
    <d v="2016-01-02T11:42:15"/>
    <n v="11.59"/>
    <x v="2"/>
    <n v="1"/>
    <n v="1.7"/>
    <n v="0"/>
    <n v="0"/>
    <n v="1.7"/>
    <x v="0"/>
    <x v="0"/>
    <x v="0"/>
    <x v="0"/>
    <n v="10"/>
    <e v="#N/A"/>
    <e v="#N/A"/>
  </r>
  <r>
    <n v="120"/>
    <d v="2016-01-02T12:50:32"/>
    <d v="2016-01-02T13:05:30"/>
    <x v="0"/>
    <m/>
    <m/>
    <x v="0"/>
    <n v="70804"/>
    <n v="0"/>
    <d v="2016-01-02T13:08:28"/>
    <n v="7.99"/>
    <x v="19"/>
    <n v="1"/>
    <n v="1"/>
    <n v="0"/>
    <n v="0"/>
    <n v="1"/>
    <x v="0"/>
    <x v="0"/>
    <x v="0"/>
    <x v="0"/>
    <n v="7"/>
    <e v="#N/A"/>
    <e v="#N/A"/>
  </r>
  <r>
    <n v="121"/>
    <d v="2016-01-02T11:35:30"/>
    <d v="2016-01-02T11:50:30"/>
    <x v="0"/>
    <s v="Large"/>
    <m/>
    <x v="0"/>
    <n v="70804"/>
    <n v="0"/>
    <d v="2016-01-02T11:53:30"/>
    <n v="23.34"/>
    <x v="2"/>
    <n v="2"/>
    <n v="1"/>
    <n v="2.2999999999999998"/>
    <n v="0"/>
    <n v="3.3"/>
    <x v="0"/>
    <x v="0"/>
    <x v="0"/>
    <x v="0"/>
    <n v="7"/>
    <n v="14"/>
    <e v="#N/A"/>
  </r>
  <r>
    <n v="122"/>
    <d v="2016-01-02T12:29:23"/>
    <d v="2016-01-02T12:44:22"/>
    <x v="1"/>
    <m/>
    <m/>
    <x v="0"/>
    <n v="70804"/>
    <n v="0"/>
    <d v="2016-01-02T12:47:22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23"/>
    <d v="2016-01-02T12:54:51"/>
    <d v="2016-01-02T13:09:51"/>
    <x v="0"/>
    <m/>
    <m/>
    <x v="0"/>
    <n v="70807"/>
    <n v="0"/>
    <d v="2016-01-02T13:12:51"/>
    <n v="7.99"/>
    <x v="2"/>
    <n v="1"/>
    <n v="1"/>
    <n v="0"/>
    <n v="0"/>
    <n v="1"/>
    <x v="0"/>
    <x v="0"/>
    <x v="0"/>
    <x v="0"/>
    <n v="7"/>
    <e v="#N/A"/>
    <e v="#N/A"/>
  </r>
  <r>
    <n v="124"/>
    <d v="2016-01-02T12:37:59"/>
    <d v="2016-01-02T12:52:59"/>
    <x v="2"/>
    <m/>
    <m/>
    <x v="0"/>
    <n v="70804"/>
    <n v="0"/>
    <d v="2016-01-02T12:55:58"/>
    <n v="11.59"/>
    <x v="24"/>
    <n v="1"/>
    <n v="1.7"/>
    <n v="0"/>
    <n v="0"/>
    <n v="1.7"/>
    <x v="0"/>
    <x v="0"/>
    <x v="0"/>
    <x v="0"/>
    <n v="10"/>
    <e v="#N/A"/>
    <e v="#N/A"/>
  </r>
  <r>
    <n v="125"/>
    <d v="2016-01-02T10:53:14"/>
    <d v="2016-01-02T11:08:14"/>
    <x v="0"/>
    <m/>
    <m/>
    <x v="1"/>
    <n v="70804"/>
    <n v="2.54203449480941"/>
    <d v="2016-01-02T11:20:56"/>
    <n v="7.99"/>
    <x v="74"/>
    <n v="1"/>
    <n v="1"/>
    <n v="0"/>
    <n v="0"/>
    <n v="1"/>
    <x v="65"/>
    <x v="0"/>
    <x v="65"/>
    <x v="40"/>
    <n v="7"/>
    <e v="#N/A"/>
    <e v="#N/A"/>
  </r>
  <r>
    <n v="126"/>
    <d v="2016-01-02T12:27:22"/>
    <d v="2016-01-02T12:42:22"/>
    <x v="0"/>
    <m/>
    <m/>
    <x v="0"/>
    <n v="70806"/>
    <n v="0"/>
    <d v="2016-01-02T12:45:20"/>
    <n v="7.99"/>
    <x v="0"/>
    <n v="1"/>
    <n v="1"/>
    <n v="0"/>
    <n v="0"/>
    <n v="1"/>
    <x v="0"/>
    <x v="0"/>
    <x v="0"/>
    <x v="0"/>
    <n v="7"/>
    <e v="#N/A"/>
    <e v="#N/A"/>
  </r>
  <r>
    <n v="127"/>
    <d v="2016-01-02T12:36:35"/>
    <d v="2016-01-02T12:51:35"/>
    <x v="0"/>
    <s v="Medium"/>
    <m/>
    <x v="0"/>
    <n v="70806"/>
    <n v="0"/>
    <d v="2016-01-02T12:54:35"/>
    <n v="19.579999999999998"/>
    <x v="2"/>
    <n v="2"/>
    <n v="1"/>
    <n v="1.7"/>
    <n v="0"/>
    <n v="2.7"/>
    <x v="0"/>
    <x v="0"/>
    <x v="0"/>
    <x v="0"/>
    <n v="7"/>
    <n v="10"/>
    <e v="#N/A"/>
  </r>
  <r>
    <n v="128"/>
    <d v="2016-01-02T11:59:29"/>
    <d v="2016-01-02T12:14:27"/>
    <x v="0"/>
    <s v="Large"/>
    <m/>
    <x v="0"/>
    <n v="70805"/>
    <n v="0"/>
    <d v="2016-01-02T12:17:27"/>
    <n v="23.34"/>
    <x v="2"/>
    <n v="2"/>
    <n v="1"/>
    <n v="2.2999999999999998"/>
    <n v="0"/>
    <n v="3.3"/>
    <x v="0"/>
    <x v="0"/>
    <x v="0"/>
    <x v="0"/>
    <n v="7"/>
    <n v="14"/>
    <e v="#N/A"/>
  </r>
  <r>
    <n v="129"/>
    <d v="2016-01-02T11:40:20"/>
    <d v="2016-01-02T11:55:21"/>
    <x v="2"/>
    <m/>
    <m/>
    <x v="0"/>
    <n v="70806"/>
    <n v="0"/>
    <d v="2016-01-02T11:58:20"/>
    <n v="11.59"/>
    <x v="24"/>
    <n v="1"/>
    <n v="1.7"/>
    <n v="0"/>
    <n v="0"/>
    <n v="1.7"/>
    <x v="0"/>
    <x v="0"/>
    <x v="0"/>
    <x v="0"/>
    <n v="10"/>
    <e v="#N/A"/>
    <e v="#N/A"/>
  </r>
  <r>
    <n v="130"/>
    <d v="2016-01-02T14:17:51"/>
    <d v="2016-01-02T14:32:53"/>
    <x v="2"/>
    <m/>
    <m/>
    <x v="0"/>
    <n v="70806"/>
    <n v="0"/>
    <d v="2016-01-02T14:35:52"/>
    <n v="11.59"/>
    <x v="24"/>
    <n v="1"/>
    <n v="1.7"/>
    <n v="0"/>
    <n v="0"/>
    <n v="1.7"/>
    <x v="0"/>
    <x v="0"/>
    <x v="0"/>
    <x v="0"/>
    <n v="10"/>
    <e v="#N/A"/>
    <e v="#N/A"/>
  </r>
  <r>
    <n v="131"/>
    <d v="2016-01-02T11:01:47"/>
    <d v="2016-01-02T11:16:47"/>
    <x v="1"/>
    <m/>
    <m/>
    <x v="0"/>
    <n v="70805"/>
    <n v="0"/>
    <d v="2016-01-02T11:19:48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132"/>
    <d v="2016-01-02T10:19:32"/>
    <d v="2016-01-02T10:34:31"/>
    <x v="0"/>
    <s v="Medium"/>
    <m/>
    <x v="1"/>
    <n v="70804"/>
    <n v="4.3883984947077002"/>
    <d v="2016-01-02T10:56:27"/>
    <n v="19.579999999999998"/>
    <x v="75"/>
    <n v="2"/>
    <n v="1"/>
    <n v="1.7"/>
    <n v="0"/>
    <n v="2.7"/>
    <x v="66"/>
    <x v="1"/>
    <x v="66"/>
    <x v="0"/>
    <n v="7"/>
    <n v="10"/>
    <e v="#N/A"/>
  </r>
  <r>
    <n v="133"/>
    <d v="2016-01-03T12:28:17"/>
    <d v="2016-01-03T12:43:16"/>
    <x v="0"/>
    <s v="Large"/>
    <m/>
    <x v="0"/>
    <n v="70803"/>
    <n v="0"/>
    <d v="2016-01-03T12:46:15"/>
    <n v="23.34"/>
    <x v="24"/>
    <n v="2"/>
    <n v="1"/>
    <n v="2.2999999999999998"/>
    <n v="0"/>
    <n v="3.3"/>
    <x v="0"/>
    <x v="0"/>
    <x v="0"/>
    <x v="0"/>
    <n v="7"/>
    <n v="14"/>
    <e v="#N/A"/>
  </r>
  <r>
    <n v="134"/>
    <d v="2016-01-03T10:37:46"/>
    <d v="2016-01-03T10:52:45"/>
    <x v="0"/>
    <s v="Large"/>
    <m/>
    <x v="1"/>
    <n v="70803"/>
    <n v="2.5566475421332999"/>
    <d v="2016-01-03T11:05:31"/>
    <n v="23.34"/>
    <x v="76"/>
    <n v="2"/>
    <n v="1"/>
    <n v="2.2999999999999998"/>
    <n v="0"/>
    <n v="3.3"/>
    <x v="67"/>
    <x v="0"/>
    <x v="67"/>
    <x v="41"/>
    <n v="7"/>
    <n v="14"/>
    <e v="#N/A"/>
  </r>
  <r>
    <n v="135"/>
    <d v="2016-01-03T12:17:43"/>
    <d v="2016-01-03T12:32:43"/>
    <x v="2"/>
    <m/>
    <m/>
    <x v="0"/>
    <n v="70805"/>
    <n v="0"/>
    <d v="2016-01-03T12:35:43"/>
    <n v="11.59"/>
    <x v="2"/>
    <n v="1"/>
    <n v="1.7"/>
    <n v="0"/>
    <n v="0"/>
    <n v="1.7"/>
    <x v="0"/>
    <x v="0"/>
    <x v="0"/>
    <x v="0"/>
    <n v="10"/>
    <e v="#N/A"/>
    <e v="#N/A"/>
  </r>
  <r>
    <n v="136"/>
    <d v="2016-01-03T12:40:07"/>
    <d v="2016-01-03T12:55:07"/>
    <x v="0"/>
    <m/>
    <m/>
    <x v="1"/>
    <n v="70805"/>
    <n v="3.0481702857387698"/>
    <d v="2016-01-03T13:10:21"/>
    <n v="7.99"/>
    <x v="77"/>
    <n v="1"/>
    <n v="1"/>
    <n v="0"/>
    <n v="0"/>
    <n v="1"/>
    <x v="68"/>
    <x v="0"/>
    <x v="68"/>
    <x v="42"/>
    <n v="7"/>
    <e v="#N/A"/>
    <e v="#N/A"/>
  </r>
  <r>
    <n v="137"/>
    <d v="2016-01-03T12:27:43"/>
    <d v="2016-01-03T12:42:42"/>
    <x v="0"/>
    <s v="Large"/>
    <m/>
    <x v="0"/>
    <n v="70803"/>
    <n v="0"/>
    <d v="2016-01-03T12:45:43"/>
    <n v="23.34"/>
    <x v="14"/>
    <n v="2"/>
    <n v="1"/>
    <n v="2.2999999999999998"/>
    <n v="0"/>
    <n v="3.3"/>
    <x v="0"/>
    <x v="0"/>
    <x v="0"/>
    <x v="0"/>
    <n v="7"/>
    <n v="14"/>
    <e v="#N/A"/>
  </r>
  <r>
    <n v="138"/>
    <d v="2016-01-03T14:41:00"/>
    <d v="2016-01-03T14:55:59"/>
    <x v="0"/>
    <s v="Medium"/>
    <m/>
    <x v="1"/>
    <n v="70808"/>
    <n v="2.0798829020282299"/>
    <d v="2016-01-03T15:06:22"/>
    <n v="19.579999999999998"/>
    <x v="78"/>
    <n v="2"/>
    <n v="1"/>
    <n v="1.7"/>
    <n v="0"/>
    <n v="2.7"/>
    <x v="69"/>
    <x v="0"/>
    <x v="69"/>
    <x v="43"/>
    <n v="7"/>
    <n v="10"/>
    <e v="#N/A"/>
  </r>
  <r>
    <n v="139"/>
    <d v="2016-01-03T11:14:34"/>
    <d v="2016-01-03T11:29:32"/>
    <x v="0"/>
    <s v="Medium"/>
    <m/>
    <x v="0"/>
    <n v="70803"/>
    <n v="0"/>
    <d v="2016-01-03T11:32:30"/>
    <n v="19.579999999999998"/>
    <x v="0"/>
    <n v="2"/>
    <n v="1"/>
    <n v="1.7"/>
    <n v="0"/>
    <n v="2.7"/>
    <x v="0"/>
    <x v="0"/>
    <x v="0"/>
    <x v="0"/>
    <n v="7"/>
    <n v="10"/>
    <e v="#N/A"/>
  </r>
  <r>
    <n v="140"/>
    <d v="2016-01-03T13:59:21"/>
    <d v="2016-01-03T14:14:20"/>
    <x v="0"/>
    <s v="Large"/>
    <m/>
    <x v="0"/>
    <n v="70807"/>
    <n v="0"/>
    <d v="2016-01-03T14:17:19"/>
    <n v="23.34"/>
    <x v="24"/>
    <n v="2"/>
    <n v="1"/>
    <n v="2.2999999999999998"/>
    <n v="0"/>
    <n v="3.3"/>
    <x v="0"/>
    <x v="0"/>
    <x v="0"/>
    <x v="0"/>
    <n v="7"/>
    <n v="14"/>
    <e v="#N/A"/>
  </r>
  <r>
    <n v="141"/>
    <d v="2016-01-03T11:09:40"/>
    <d v="2016-01-03T11:24:40"/>
    <x v="0"/>
    <s v="Large"/>
    <m/>
    <x v="0"/>
    <n v="70804"/>
    <n v="0"/>
    <d v="2016-01-03T11:27:39"/>
    <n v="23.34"/>
    <x v="1"/>
    <n v="2"/>
    <n v="1"/>
    <n v="2.2999999999999998"/>
    <n v="0"/>
    <n v="3.3"/>
    <x v="0"/>
    <x v="0"/>
    <x v="0"/>
    <x v="0"/>
    <n v="7"/>
    <n v="14"/>
    <e v="#N/A"/>
  </r>
  <r>
    <n v="142"/>
    <d v="2016-01-03T10:51:20"/>
    <d v="2016-01-03T11:06:20"/>
    <x v="2"/>
    <m/>
    <m/>
    <x v="1"/>
    <n v="70804"/>
    <n v="3.2627037024633601"/>
    <d v="2016-01-03T11:22:38"/>
    <n v="11.59"/>
    <x v="79"/>
    <n v="1"/>
    <n v="1.7"/>
    <n v="0"/>
    <n v="0"/>
    <n v="1.7"/>
    <x v="70"/>
    <x v="1"/>
    <x v="70"/>
    <x v="0"/>
    <n v="10"/>
    <e v="#N/A"/>
    <e v="#N/A"/>
  </r>
  <r>
    <n v="143"/>
    <d v="2016-01-03T11:14:15"/>
    <d v="2016-01-03T11:29:15"/>
    <x v="0"/>
    <s v="Large"/>
    <m/>
    <x v="0"/>
    <n v="70806"/>
    <n v="0"/>
    <d v="2016-01-03T11:32:14"/>
    <n v="23.34"/>
    <x v="1"/>
    <n v="2"/>
    <n v="1"/>
    <n v="2.2999999999999998"/>
    <n v="0"/>
    <n v="3.3"/>
    <x v="0"/>
    <x v="0"/>
    <x v="0"/>
    <x v="0"/>
    <n v="7"/>
    <n v="14"/>
    <e v="#N/A"/>
  </r>
  <r>
    <n v="144"/>
    <d v="2016-01-03T11:27:54"/>
    <d v="2016-01-03T11:42:53"/>
    <x v="1"/>
    <m/>
    <m/>
    <x v="0"/>
    <n v="70805"/>
    <n v="0"/>
    <d v="2016-01-03T11:45:53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45"/>
    <d v="2016-01-03T13:04:26"/>
    <d v="2016-01-03T13:19:25"/>
    <x v="2"/>
    <m/>
    <m/>
    <x v="0"/>
    <n v="70804"/>
    <n v="0"/>
    <d v="2016-01-03T13:22:27"/>
    <n v="11.59"/>
    <x v="67"/>
    <n v="1"/>
    <n v="1.7"/>
    <n v="0"/>
    <n v="0"/>
    <n v="1.7"/>
    <x v="0"/>
    <x v="0"/>
    <x v="0"/>
    <x v="0"/>
    <n v="10"/>
    <e v="#N/A"/>
    <e v="#N/A"/>
  </r>
  <r>
    <n v="146"/>
    <d v="2016-01-03T10:09:45"/>
    <d v="2016-01-03T10:24:45"/>
    <x v="0"/>
    <s v="Medium"/>
    <m/>
    <x v="1"/>
    <n v="70805"/>
    <n v="3.65998678695644"/>
    <d v="2016-01-03T10:43:02"/>
    <n v="19.579999999999998"/>
    <x v="80"/>
    <n v="2"/>
    <n v="1"/>
    <n v="1.7"/>
    <n v="0"/>
    <n v="2.7"/>
    <x v="71"/>
    <x v="1"/>
    <x v="71"/>
    <x v="0"/>
    <n v="7"/>
    <n v="10"/>
    <e v="#N/A"/>
  </r>
  <r>
    <n v="147"/>
    <d v="2016-01-03T13:46:38"/>
    <d v="2016-01-03T14:01:39"/>
    <x v="2"/>
    <m/>
    <m/>
    <x v="0"/>
    <n v="70806"/>
    <n v="0"/>
    <d v="2016-01-03T14:04:39"/>
    <n v="11.59"/>
    <x v="2"/>
    <n v="1"/>
    <n v="1.7"/>
    <n v="0"/>
    <n v="0"/>
    <n v="1.7"/>
    <x v="0"/>
    <x v="0"/>
    <x v="0"/>
    <x v="0"/>
    <n v="10"/>
    <e v="#N/A"/>
    <e v="#N/A"/>
  </r>
  <r>
    <n v="148"/>
    <d v="2016-01-03T12:38:01"/>
    <d v="2016-01-03T12:53:01"/>
    <x v="0"/>
    <s v="Large"/>
    <m/>
    <x v="0"/>
    <n v="70805"/>
    <n v="0"/>
    <d v="2016-01-03T12:56:02"/>
    <n v="23.34"/>
    <x v="14"/>
    <n v="2"/>
    <n v="1"/>
    <n v="2.2999999999999998"/>
    <n v="0"/>
    <n v="3.3"/>
    <x v="0"/>
    <x v="0"/>
    <x v="0"/>
    <x v="0"/>
    <n v="7"/>
    <n v="14"/>
    <e v="#N/A"/>
  </r>
  <r>
    <n v="149"/>
    <d v="2016-01-03T11:20:22"/>
    <d v="2016-01-03T11:35:21"/>
    <x v="0"/>
    <s v="Medium"/>
    <m/>
    <x v="0"/>
    <n v="70804"/>
    <n v="0"/>
    <d v="2016-01-03T11:38:20"/>
    <n v="19.579999999999998"/>
    <x v="24"/>
    <n v="2"/>
    <n v="1"/>
    <n v="1.7"/>
    <n v="0"/>
    <n v="2.7"/>
    <x v="0"/>
    <x v="0"/>
    <x v="0"/>
    <x v="0"/>
    <n v="7"/>
    <n v="10"/>
    <e v="#N/A"/>
  </r>
  <r>
    <n v="150"/>
    <d v="2016-01-03T11:27:57"/>
    <d v="2016-01-03T11:42:57"/>
    <x v="2"/>
    <m/>
    <m/>
    <x v="1"/>
    <n v="70806"/>
    <n v="4.9536269253239098"/>
    <d v="2016-01-03T12:07:43"/>
    <n v="11.59"/>
    <x v="81"/>
    <n v="1"/>
    <n v="1.7"/>
    <n v="0"/>
    <n v="0"/>
    <n v="1.7"/>
    <x v="72"/>
    <x v="1"/>
    <x v="72"/>
    <x v="0"/>
    <n v="10"/>
    <e v="#N/A"/>
    <e v="#N/A"/>
  </r>
  <r>
    <n v="151"/>
    <d v="2016-01-03T12:20:46"/>
    <d v="2016-01-03T12:35:46"/>
    <x v="1"/>
    <m/>
    <m/>
    <x v="1"/>
    <n v="70803"/>
    <n v="3.2451266192166601"/>
    <d v="2016-01-03T12:51:59"/>
    <n v="15.35"/>
    <x v="50"/>
    <n v="1"/>
    <n v="2.2999999999999998"/>
    <n v="0"/>
    <n v="0"/>
    <n v="2.2999999999999998"/>
    <x v="44"/>
    <x v="1"/>
    <x v="73"/>
    <x v="0"/>
    <n v="14"/>
    <e v="#N/A"/>
    <e v="#N/A"/>
  </r>
  <r>
    <n v="152"/>
    <d v="2016-01-03T11:39:12"/>
    <d v="2016-01-03T11:54:10"/>
    <x v="1"/>
    <m/>
    <m/>
    <x v="0"/>
    <n v="70807"/>
    <n v="0"/>
    <d v="2016-01-03T11:57:09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153"/>
    <d v="2016-01-03T10:31:31"/>
    <d v="2016-01-03T10:46:32"/>
    <x v="0"/>
    <s v="Large"/>
    <m/>
    <x v="1"/>
    <n v="70804"/>
    <n v="3.9689294988278498"/>
    <d v="2016-01-03T11:06:22"/>
    <n v="23.34"/>
    <x v="82"/>
    <n v="2"/>
    <n v="1"/>
    <n v="2.2999999999999998"/>
    <n v="0"/>
    <n v="3.3"/>
    <x v="73"/>
    <x v="1"/>
    <x v="74"/>
    <x v="0"/>
    <n v="7"/>
    <n v="14"/>
    <e v="#N/A"/>
  </r>
  <r>
    <n v="154"/>
    <d v="2016-01-03T11:09:31"/>
    <d v="2016-01-03T11:24:32"/>
    <x v="2"/>
    <m/>
    <m/>
    <x v="0"/>
    <n v="70804"/>
    <n v="0"/>
    <d v="2016-01-03T11:27:33"/>
    <n v="11.59"/>
    <x v="14"/>
    <n v="1"/>
    <n v="1.7"/>
    <n v="0"/>
    <n v="0"/>
    <n v="1.7"/>
    <x v="0"/>
    <x v="0"/>
    <x v="0"/>
    <x v="0"/>
    <n v="10"/>
    <e v="#N/A"/>
    <e v="#N/A"/>
  </r>
  <r>
    <n v="155"/>
    <d v="2016-01-03T10:36:48"/>
    <d v="2016-01-03T10:51:49"/>
    <x v="2"/>
    <m/>
    <m/>
    <x v="0"/>
    <n v="70803"/>
    <n v="0"/>
    <d v="2016-01-03T10:54:47"/>
    <n v="11.59"/>
    <x v="0"/>
    <n v="1"/>
    <n v="1.7"/>
    <n v="0"/>
    <n v="0"/>
    <n v="1.7"/>
    <x v="0"/>
    <x v="0"/>
    <x v="0"/>
    <x v="0"/>
    <n v="10"/>
    <e v="#N/A"/>
    <e v="#N/A"/>
  </r>
  <r>
    <n v="156"/>
    <d v="2016-01-03T13:00:27"/>
    <d v="2016-01-03T13:15:26"/>
    <x v="0"/>
    <m/>
    <m/>
    <x v="1"/>
    <n v="70803"/>
    <n v="2.8244725354184799"/>
    <d v="2016-01-03T13:29:33"/>
    <n v="7.99"/>
    <x v="83"/>
    <n v="1"/>
    <n v="1"/>
    <n v="0"/>
    <n v="0"/>
    <n v="1"/>
    <x v="74"/>
    <x v="0"/>
    <x v="75"/>
    <x v="44"/>
    <n v="7"/>
    <e v="#N/A"/>
    <e v="#N/A"/>
  </r>
  <r>
    <n v="157"/>
    <d v="2016-01-03T10:25:21"/>
    <d v="2016-01-03T10:40:23"/>
    <x v="2"/>
    <m/>
    <m/>
    <x v="1"/>
    <n v="70805"/>
    <n v="3.58774046179489"/>
    <d v="2016-01-03T10:58:19"/>
    <n v="11.59"/>
    <x v="84"/>
    <n v="1"/>
    <n v="1.7"/>
    <n v="0"/>
    <n v="0"/>
    <n v="1.7"/>
    <x v="75"/>
    <x v="1"/>
    <x v="76"/>
    <x v="0"/>
    <n v="10"/>
    <e v="#N/A"/>
    <e v="#N/A"/>
  </r>
  <r>
    <n v="158"/>
    <d v="2016-01-03T11:39:09"/>
    <d v="2016-01-03T11:54:09"/>
    <x v="1"/>
    <m/>
    <m/>
    <x v="0"/>
    <n v="70805"/>
    <n v="0"/>
    <d v="2016-01-03T11:57:09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59"/>
    <d v="2016-01-03T12:58:28"/>
    <d v="2016-01-03T13:13:27"/>
    <x v="1"/>
    <m/>
    <m/>
    <x v="1"/>
    <n v="70804"/>
    <n v="3.1195770406569698"/>
    <d v="2016-01-03T13:29:02"/>
    <n v="15.35"/>
    <x v="85"/>
    <n v="1"/>
    <n v="2.2999999999999998"/>
    <n v="0"/>
    <n v="0"/>
    <n v="2.2999999999999998"/>
    <x v="76"/>
    <x v="0"/>
    <x v="77"/>
    <x v="45"/>
    <n v="14"/>
    <e v="#N/A"/>
    <e v="#N/A"/>
  </r>
  <r>
    <n v="160"/>
    <d v="2016-01-03T10:09:14"/>
    <d v="2016-01-03T10:24:15"/>
    <x v="1"/>
    <m/>
    <m/>
    <x v="0"/>
    <n v="70804"/>
    <n v="0"/>
    <d v="2016-01-03T10:27:14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161"/>
    <d v="2016-01-03T11:05:46"/>
    <d v="2016-01-03T11:20:46"/>
    <x v="2"/>
    <m/>
    <m/>
    <x v="0"/>
    <n v="70803"/>
    <n v="0"/>
    <d v="2016-01-03T11:23:47"/>
    <n v="11.59"/>
    <x v="14"/>
    <n v="1"/>
    <n v="1.7"/>
    <n v="0"/>
    <n v="0"/>
    <n v="1.7"/>
    <x v="0"/>
    <x v="0"/>
    <x v="0"/>
    <x v="0"/>
    <n v="10"/>
    <e v="#N/A"/>
    <e v="#N/A"/>
  </r>
  <r>
    <n v="162"/>
    <d v="2016-01-03T11:24:20"/>
    <d v="2016-01-03T11:39:20"/>
    <x v="2"/>
    <m/>
    <m/>
    <x v="0"/>
    <n v="70807"/>
    <n v="0"/>
    <d v="2016-01-03T11:42:20"/>
    <n v="11.59"/>
    <x v="2"/>
    <n v="1"/>
    <n v="1.7"/>
    <n v="0"/>
    <n v="0"/>
    <n v="1.7"/>
    <x v="0"/>
    <x v="0"/>
    <x v="0"/>
    <x v="0"/>
    <n v="10"/>
    <e v="#N/A"/>
    <e v="#N/A"/>
  </r>
  <r>
    <n v="163"/>
    <d v="2016-01-03T11:25:14"/>
    <d v="2016-01-03T11:40:13"/>
    <x v="0"/>
    <s v="Medium"/>
    <m/>
    <x v="0"/>
    <n v="70805"/>
    <n v="0"/>
    <d v="2016-01-03T11:43:12"/>
    <n v="19.579999999999998"/>
    <x v="1"/>
    <n v="2"/>
    <n v="1"/>
    <n v="1.7"/>
    <n v="0"/>
    <n v="2.7"/>
    <x v="0"/>
    <x v="0"/>
    <x v="0"/>
    <x v="0"/>
    <n v="7"/>
    <n v="10"/>
    <e v="#N/A"/>
  </r>
  <r>
    <n v="164"/>
    <d v="2016-01-03T10:40:41"/>
    <d v="2016-01-03T10:55:42"/>
    <x v="0"/>
    <m/>
    <m/>
    <x v="1"/>
    <n v="70805"/>
    <n v="2.5232496176094901"/>
    <d v="2016-01-03T11:08:18"/>
    <n v="7.99"/>
    <x v="86"/>
    <n v="1"/>
    <n v="1"/>
    <n v="0"/>
    <n v="0"/>
    <n v="1"/>
    <x v="77"/>
    <x v="0"/>
    <x v="78"/>
    <x v="46"/>
    <n v="7"/>
    <e v="#N/A"/>
    <e v="#N/A"/>
  </r>
  <r>
    <n v="165"/>
    <d v="2016-01-03T10:13:22"/>
    <d v="2016-01-03T10:28:22"/>
    <x v="1"/>
    <m/>
    <m/>
    <x v="1"/>
    <n v="70804"/>
    <n v="3.0800948348212001"/>
    <d v="2016-01-03T10:43:46"/>
    <n v="15.35"/>
    <x v="87"/>
    <n v="1"/>
    <n v="2.2999999999999998"/>
    <n v="0"/>
    <n v="0"/>
    <n v="2.2999999999999998"/>
    <x v="78"/>
    <x v="0"/>
    <x v="79"/>
    <x v="47"/>
    <n v="14"/>
    <e v="#N/A"/>
    <e v="#N/A"/>
  </r>
  <r>
    <n v="166"/>
    <d v="2016-01-03T12:13:26"/>
    <d v="2016-01-03T12:28:25"/>
    <x v="1"/>
    <m/>
    <m/>
    <x v="1"/>
    <n v="70805"/>
    <n v="4.2014211155238499"/>
    <d v="2016-01-03T12:49:25"/>
    <n v="15.35"/>
    <x v="88"/>
    <n v="1"/>
    <n v="2.2999999999999998"/>
    <n v="0"/>
    <n v="0"/>
    <n v="2.2999999999999998"/>
    <x v="79"/>
    <x v="1"/>
    <x v="80"/>
    <x v="0"/>
    <n v="14"/>
    <e v="#N/A"/>
    <e v="#N/A"/>
  </r>
  <r>
    <n v="167"/>
    <d v="2016-01-03T11:42:35"/>
    <d v="2016-01-03T11:57:33"/>
    <x v="1"/>
    <m/>
    <m/>
    <x v="0"/>
    <n v="70804"/>
    <n v="0"/>
    <d v="2016-01-03T12:00:32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168"/>
    <d v="2016-01-03T10:20:33"/>
    <d v="2016-01-03T10:35:34"/>
    <x v="0"/>
    <m/>
    <m/>
    <x v="0"/>
    <n v="70804"/>
    <n v="0"/>
    <d v="2016-01-03T10:38:35"/>
    <n v="7.99"/>
    <x v="56"/>
    <n v="1"/>
    <n v="1"/>
    <n v="0"/>
    <n v="0"/>
    <n v="1"/>
    <x v="0"/>
    <x v="0"/>
    <x v="0"/>
    <x v="0"/>
    <n v="7"/>
    <e v="#N/A"/>
    <e v="#N/A"/>
  </r>
  <r>
    <n v="169"/>
    <d v="2016-01-03T11:28:19"/>
    <d v="2016-01-03T11:43:17"/>
    <x v="0"/>
    <s v="Medium"/>
    <m/>
    <x v="1"/>
    <n v="70804"/>
    <n v="3.5411970538845599"/>
    <d v="2016-01-03T12:00:59"/>
    <n v="19.579999999999998"/>
    <x v="89"/>
    <n v="2"/>
    <n v="1"/>
    <n v="1.7"/>
    <n v="0"/>
    <n v="2.7"/>
    <x v="80"/>
    <x v="1"/>
    <x v="81"/>
    <x v="0"/>
    <n v="7"/>
    <n v="10"/>
    <e v="#N/A"/>
  </r>
  <r>
    <n v="170"/>
    <d v="2016-01-03T12:56:30"/>
    <d v="2016-01-03T13:11:30"/>
    <x v="1"/>
    <m/>
    <m/>
    <x v="0"/>
    <n v="70805"/>
    <n v="0"/>
    <d v="2016-01-03T13:14:29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171"/>
    <d v="2016-01-03T11:48:41"/>
    <d v="2016-01-03T12:03:41"/>
    <x v="2"/>
    <m/>
    <m/>
    <x v="1"/>
    <n v="70805"/>
    <n v="3.5170863466082598"/>
    <d v="2016-01-03T12:21:16"/>
    <n v="11.59"/>
    <x v="90"/>
    <n v="1"/>
    <n v="1.7"/>
    <n v="0"/>
    <n v="0"/>
    <n v="1.7"/>
    <x v="81"/>
    <x v="1"/>
    <x v="82"/>
    <x v="0"/>
    <n v="10"/>
    <e v="#N/A"/>
    <e v="#N/A"/>
  </r>
  <r>
    <n v="172"/>
    <d v="2016-01-03T11:04:38"/>
    <d v="2016-01-03T11:19:38"/>
    <x v="0"/>
    <m/>
    <m/>
    <x v="0"/>
    <n v="70805"/>
    <n v="0"/>
    <d v="2016-01-03T11:22:37"/>
    <n v="7.99"/>
    <x v="24"/>
    <n v="1"/>
    <n v="1"/>
    <n v="0"/>
    <n v="0"/>
    <n v="1"/>
    <x v="0"/>
    <x v="0"/>
    <x v="0"/>
    <x v="0"/>
    <n v="7"/>
    <e v="#N/A"/>
    <e v="#N/A"/>
  </r>
  <r>
    <n v="173"/>
    <d v="2016-01-03T11:54:56"/>
    <d v="2016-01-03T12:09:57"/>
    <x v="0"/>
    <s v="Medium"/>
    <m/>
    <x v="1"/>
    <n v="70806"/>
    <n v="2.7078194061341598"/>
    <d v="2016-01-03T12:23:29"/>
    <n v="19.579999999999998"/>
    <x v="91"/>
    <n v="2"/>
    <n v="1"/>
    <n v="1.7"/>
    <n v="0"/>
    <n v="2.7"/>
    <x v="82"/>
    <x v="0"/>
    <x v="83"/>
    <x v="48"/>
    <n v="7"/>
    <n v="10"/>
    <e v="#N/A"/>
  </r>
  <r>
    <n v="174"/>
    <d v="2016-01-03T12:49:04"/>
    <d v="2016-01-03T13:04:04"/>
    <x v="1"/>
    <m/>
    <m/>
    <x v="0"/>
    <n v="70803"/>
    <n v="0"/>
    <d v="2016-01-03T13:07:06"/>
    <n v="15.35"/>
    <x v="67"/>
    <n v="1"/>
    <n v="2.2999999999999998"/>
    <n v="0"/>
    <n v="0"/>
    <n v="2.2999999999999998"/>
    <x v="0"/>
    <x v="0"/>
    <x v="0"/>
    <x v="0"/>
    <n v="14"/>
    <e v="#N/A"/>
    <e v="#N/A"/>
  </r>
  <r>
    <n v="175"/>
    <d v="2016-01-03T11:54:47"/>
    <d v="2016-01-03T12:09:46"/>
    <x v="0"/>
    <s v="Medium"/>
    <m/>
    <x v="0"/>
    <n v="70805"/>
    <n v="0"/>
    <d v="2016-01-03T12:12:45"/>
    <n v="19.579999999999998"/>
    <x v="1"/>
    <n v="2"/>
    <n v="1"/>
    <n v="1.7"/>
    <n v="0"/>
    <n v="2.7"/>
    <x v="0"/>
    <x v="0"/>
    <x v="0"/>
    <x v="0"/>
    <n v="7"/>
    <n v="10"/>
    <e v="#N/A"/>
  </r>
  <r>
    <n v="176"/>
    <d v="2016-01-03T12:42:31"/>
    <d v="2016-01-03T12:57:29"/>
    <x v="0"/>
    <m/>
    <m/>
    <x v="0"/>
    <n v="70804"/>
    <n v="0"/>
    <d v="2016-01-03T13:00:30"/>
    <n v="7.99"/>
    <x v="14"/>
    <n v="1"/>
    <n v="1"/>
    <n v="0"/>
    <n v="0"/>
    <n v="1"/>
    <x v="0"/>
    <x v="0"/>
    <x v="0"/>
    <x v="0"/>
    <n v="7"/>
    <e v="#N/A"/>
    <e v="#N/A"/>
  </r>
  <r>
    <n v="177"/>
    <d v="2016-01-03T13:30:32"/>
    <d v="2016-01-03T13:45:31"/>
    <x v="2"/>
    <m/>
    <m/>
    <x v="1"/>
    <n v="70803"/>
    <n v="4.1448981376598599"/>
    <d v="2016-01-03T14:06:14"/>
    <n v="11.59"/>
    <x v="92"/>
    <n v="1"/>
    <n v="1.7"/>
    <n v="0"/>
    <n v="0"/>
    <n v="1.7"/>
    <x v="83"/>
    <x v="1"/>
    <x v="84"/>
    <x v="0"/>
    <n v="10"/>
    <e v="#N/A"/>
    <e v="#N/A"/>
  </r>
  <r>
    <n v="178"/>
    <d v="2016-01-03T10:54:31"/>
    <d v="2016-01-03T11:09:29"/>
    <x v="0"/>
    <m/>
    <m/>
    <x v="1"/>
    <n v="70808"/>
    <n v="5.0674595509674196"/>
    <d v="2016-01-03T11:34:49"/>
    <n v="7.99"/>
    <x v="93"/>
    <n v="1"/>
    <n v="1"/>
    <n v="0"/>
    <n v="0"/>
    <n v="1"/>
    <x v="84"/>
    <x v="1"/>
    <x v="85"/>
    <x v="0"/>
    <n v="7"/>
    <e v="#N/A"/>
    <e v="#N/A"/>
  </r>
  <r>
    <n v="179"/>
    <d v="2016-01-03T11:34:38"/>
    <d v="2016-01-03T11:49:39"/>
    <x v="0"/>
    <m/>
    <m/>
    <x v="0"/>
    <n v="70803"/>
    <n v="0"/>
    <d v="2016-01-03T11:52:39"/>
    <n v="7.99"/>
    <x v="2"/>
    <n v="1"/>
    <n v="1"/>
    <n v="0"/>
    <n v="0"/>
    <n v="1"/>
    <x v="0"/>
    <x v="0"/>
    <x v="0"/>
    <x v="0"/>
    <n v="7"/>
    <e v="#N/A"/>
    <e v="#N/A"/>
  </r>
  <r>
    <n v="180"/>
    <d v="2016-01-03T11:41:11"/>
    <d v="2016-01-03T11:56:10"/>
    <x v="2"/>
    <m/>
    <m/>
    <x v="0"/>
    <n v="70805"/>
    <n v="0"/>
    <d v="2016-01-03T11:59:11"/>
    <n v="11.59"/>
    <x v="56"/>
    <n v="1"/>
    <n v="1.7"/>
    <n v="0"/>
    <n v="0"/>
    <n v="1.7"/>
    <x v="0"/>
    <x v="0"/>
    <x v="0"/>
    <x v="0"/>
    <n v="10"/>
    <e v="#N/A"/>
    <e v="#N/A"/>
  </r>
  <r>
    <n v="181"/>
    <d v="2016-01-03T13:21:33"/>
    <d v="2016-01-03T13:36:31"/>
    <x v="1"/>
    <m/>
    <m/>
    <x v="0"/>
    <n v="70806"/>
    <n v="0"/>
    <d v="2016-01-03T13:39:29"/>
    <n v="15.35"/>
    <x v="19"/>
    <n v="1"/>
    <n v="2.2999999999999998"/>
    <n v="0"/>
    <n v="0"/>
    <n v="2.2999999999999998"/>
    <x v="0"/>
    <x v="0"/>
    <x v="0"/>
    <x v="0"/>
    <n v="14"/>
    <e v="#N/A"/>
    <e v="#N/A"/>
  </r>
  <r>
    <n v="182"/>
    <d v="2016-01-03T11:42:06"/>
    <d v="2016-01-03T11:57:06"/>
    <x v="2"/>
    <m/>
    <m/>
    <x v="1"/>
    <n v="70803"/>
    <n v="5.7721866175102603"/>
    <d v="2016-01-03T12:25:57"/>
    <n v="11.59"/>
    <x v="94"/>
    <n v="1"/>
    <n v="1.7"/>
    <n v="0"/>
    <n v="0"/>
    <n v="1.7"/>
    <x v="85"/>
    <x v="1"/>
    <x v="86"/>
    <x v="0"/>
    <n v="10"/>
    <e v="#N/A"/>
    <e v="#N/A"/>
  </r>
  <r>
    <n v="183"/>
    <d v="2016-01-03T12:45:12"/>
    <d v="2016-01-03T13:00:11"/>
    <x v="0"/>
    <s v="Medium"/>
    <m/>
    <x v="1"/>
    <n v="70804"/>
    <n v="2.86708065376828"/>
    <d v="2016-01-03T13:14:31"/>
    <n v="19.579999999999998"/>
    <x v="95"/>
    <n v="2"/>
    <n v="1"/>
    <n v="1.7"/>
    <n v="0"/>
    <n v="2.7"/>
    <x v="86"/>
    <x v="0"/>
    <x v="87"/>
    <x v="49"/>
    <n v="7"/>
    <n v="10"/>
    <e v="#N/A"/>
  </r>
  <r>
    <n v="184"/>
    <d v="2016-01-03T11:28:28"/>
    <d v="2016-01-03T11:43:25"/>
    <x v="0"/>
    <s v="Medium"/>
    <m/>
    <x v="1"/>
    <n v="70805"/>
    <n v="5.9043685609035403"/>
    <d v="2016-01-03T12:12:56"/>
    <n v="19.579999999999998"/>
    <x v="96"/>
    <n v="2"/>
    <n v="1"/>
    <n v="1.7"/>
    <n v="0"/>
    <n v="2.7"/>
    <x v="87"/>
    <x v="1"/>
    <x v="88"/>
    <x v="0"/>
    <n v="7"/>
    <n v="10"/>
    <e v="#N/A"/>
  </r>
  <r>
    <n v="185"/>
    <d v="2016-01-03T12:54:38"/>
    <d v="2016-01-03T13:09:38"/>
    <x v="2"/>
    <m/>
    <m/>
    <x v="0"/>
    <n v="70804"/>
    <n v="0"/>
    <d v="2016-01-03T13:12:38"/>
    <n v="11.59"/>
    <x v="2"/>
    <n v="1"/>
    <n v="1.7"/>
    <n v="0"/>
    <n v="0"/>
    <n v="1.7"/>
    <x v="0"/>
    <x v="0"/>
    <x v="0"/>
    <x v="0"/>
    <n v="10"/>
    <e v="#N/A"/>
    <e v="#N/A"/>
  </r>
  <r>
    <n v="186"/>
    <d v="2016-01-03T11:34:42"/>
    <d v="2016-01-03T11:49:43"/>
    <x v="2"/>
    <m/>
    <m/>
    <x v="0"/>
    <n v="70808"/>
    <n v="0"/>
    <d v="2016-01-03T11:52:43"/>
    <n v="11.59"/>
    <x v="2"/>
    <n v="1"/>
    <n v="1.7"/>
    <n v="0"/>
    <n v="0"/>
    <n v="1.7"/>
    <x v="0"/>
    <x v="0"/>
    <x v="0"/>
    <x v="0"/>
    <n v="10"/>
    <e v="#N/A"/>
    <e v="#N/A"/>
  </r>
  <r>
    <n v="187"/>
    <d v="2016-01-03T11:16:25"/>
    <d v="2016-01-03T11:31:25"/>
    <x v="0"/>
    <s v="Large"/>
    <m/>
    <x v="0"/>
    <n v="70805"/>
    <n v="0"/>
    <d v="2016-01-03T11:34:25"/>
    <n v="23.34"/>
    <x v="2"/>
    <n v="2"/>
    <n v="1"/>
    <n v="2.2999999999999998"/>
    <n v="0"/>
    <n v="3.3"/>
    <x v="0"/>
    <x v="0"/>
    <x v="0"/>
    <x v="0"/>
    <n v="7"/>
    <n v="14"/>
    <e v="#N/A"/>
  </r>
  <r>
    <n v="188"/>
    <d v="2016-01-03T12:31:17"/>
    <d v="2016-01-03T12:46:17"/>
    <x v="0"/>
    <s v="Large"/>
    <m/>
    <x v="1"/>
    <n v="70803"/>
    <n v="3.4027507150545699"/>
    <d v="2016-01-03T13:03:17"/>
    <n v="23.34"/>
    <x v="97"/>
    <n v="2"/>
    <n v="1"/>
    <n v="2.2999999999999998"/>
    <n v="0"/>
    <n v="3.3"/>
    <x v="88"/>
    <x v="1"/>
    <x v="89"/>
    <x v="0"/>
    <n v="7"/>
    <n v="14"/>
    <e v="#N/A"/>
  </r>
  <r>
    <n v="189"/>
    <d v="2016-01-03T12:19:34"/>
    <d v="2016-01-03T12:34:34"/>
    <x v="2"/>
    <m/>
    <m/>
    <x v="1"/>
    <n v="70805"/>
    <n v="1.4260100769285"/>
    <d v="2016-01-03T12:41:41"/>
    <n v="11.59"/>
    <x v="98"/>
    <n v="1"/>
    <n v="1.7"/>
    <n v="0"/>
    <n v="0"/>
    <n v="1.7"/>
    <x v="89"/>
    <x v="0"/>
    <x v="90"/>
    <x v="50"/>
    <n v="10"/>
    <e v="#N/A"/>
    <e v="#N/A"/>
  </r>
  <r>
    <n v="190"/>
    <d v="2016-01-03T11:24:23"/>
    <d v="2016-01-03T11:39:20"/>
    <x v="1"/>
    <m/>
    <m/>
    <x v="0"/>
    <n v="70805"/>
    <n v="0"/>
    <d v="2016-01-03T11:42:18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191"/>
    <d v="2016-01-03T10:43:38"/>
    <d v="2016-01-03T10:58:39"/>
    <x v="0"/>
    <m/>
    <m/>
    <x v="0"/>
    <n v="70806"/>
    <n v="0"/>
    <d v="2016-01-03T11:01:38"/>
    <n v="7.99"/>
    <x v="24"/>
    <n v="1"/>
    <n v="1"/>
    <n v="0"/>
    <n v="0"/>
    <n v="1"/>
    <x v="0"/>
    <x v="0"/>
    <x v="0"/>
    <x v="0"/>
    <n v="7"/>
    <e v="#N/A"/>
    <e v="#N/A"/>
  </r>
  <r>
    <n v="192"/>
    <d v="2016-01-03T12:29:31"/>
    <d v="2016-01-03T12:44:32"/>
    <x v="0"/>
    <s v="Large"/>
    <m/>
    <x v="1"/>
    <n v="70805"/>
    <n v="3.2342378445178399"/>
    <d v="2016-01-03T13:00:42"/>
    <n v="23.34"/>
    <x v="99"/>
    <n v="2"/>
    <n v="1"/>
    <n v="2.2999999999999998"/>
    <n v="0"/>
    <n v="3.3"/>
    <x v="90"/>
    <x v="1"/>
    <x v="91"/>
    <x v="0"/>
    <n v="7"/>
    <n v="14"/>
    <e v="#N/A"/>
  </r>
  <r>
    <n v="193"/>
    <d v="2016-01-03T12:40:41"/>
    <d v="2016-01-03T12:55:40"/>
    <x v="2"/>
    <m/>
    <m/>
    <x v="0"/>
    <n v="70805"/>
    <n v="0"/>
    <d v="2016-01-03T12:58:41"/>
    <n v="11.59"/>
    <x v="14"/>
    <n v="1"/>
    <n v="1.7"/>
    <n v="0"/>
    <n v="0"/>
    <n v="1.7"/>
    <x v="0"/>
    <x v="0"/>
    <x v="0"/>
    <x v="0"/>
    <n v="10"/>
    <e v="#N/A"/>
    <e v="#N/A"/>
  </r>
  <r>
    <n v="194"/>
    <d v="2016-01-03T10:21:26"/>
    <d v="2016-01-03T10:36:24"/>
    <x v="1"/>
    <m/>
    <m/>
    <x v="1"/>
    <n v="70806"/>
    <n v="1.51042141667455"/>
    <d v="2016-01-03T10:43:57"/>
    <n v="15.35"/>
    <x v="100"/>
    <n v="1"/>
    <n v="2.2999999999999998"/>
    <n v="0"/>
    <n v="0"/>
    <n v="2.2999999999999998"/>
    <x v="91"/>
    <x v="0"/>
    <x v="92"/>
    <x v="51"/>
    <n v="14"/>
    <e v="#N/A"/>
    <e v="#N/A"/>
  </r>
  <r>
    <n v="195"/>
    <d v="2016-01-03T11:01:47"/>
    <d v="2016-01-03T11:16:47"/>
    <x v="0"/>
    <m/>
    <m/>
    <x v="0"/>
    <n v="70806"/>
    <n v="0"/>
    <d v="2016-01-03T11:19:45"/>
    <n v="7.99"/>
    <x v="0"/>
    <n v="1"/>
    <n v="1"/>
    <n v="0"/>
    <n v="0"/>
    <n v="1"/>
    <x v="0"/>
    <x v="0"/>
    <x v="0"/>
    <x v="0"/>
    <n v="7"/>
    <e v="#N/A"/>
    <e v="#N/A"/>
  </r>
  <r>
    <n v="196"/>
    <d v="2016-01-03T11:20:48"/>
    <d v="2016-01-03T11:35:47"/>
    <x v="2"/>
    <m/>
    <m/>
    <x v="0"/>
    <n v="70803"/>
    <n v="0"/>
    <d v="2016-01-03T11:38:48"/>
    <n v="11.59"/>
    <x v="14"/>
    <n v="1"/>
    <n v="1.7"/>
    <n v="0"/>
    <n v="0"/>
    <n v="1.7"/>
    <x v="0"/>
    <x v="0"/>
    <x v="0"/>
    <x v="0"/>
    <n v="10"/>
    <e v="#N/A"/>
    <e v="#N/A"/>
  </r>
  <r>
    <n v="197"/>
    <d v="2016-01-03T11:23:50"/>
    <d v="2016-01-03T11:38:49"/>
    <x v="2"/>
    <m/>
    <m/>
    <x v="1"/>
    <n v="70804"/>
    <n v="2.9891338886401"/>
    <d v="2016-01-03T11:53:45"/>
    <n v="11.59"/>
    <x v="101"/>
    <n v="1"/>
    <n v="1.7"/>
    <n v="0"/>
    <n v="0"/>
    <n v="1.7"/>
    <x v="92"/>
    <x v="0"/>
    <x v="93"/>
    <x v="52"/>
    <n v="10"/>
    <e v="#N/A"/>
    <e v="#N/A"/>
  </r>
  <r>
    <n v="198"/>
    <d v="2016-01-03T11:32:25"/>
    <d v="2016-01-03T11:47:24"/>
    <x v="0"/>
    <s v="Medium"/>
    <m/>
    <x v="0"/>
    <n v="70805"/>
    <n v="0"/>
    <d v="2016-01-03T11:50:21"/>
    <n v="19.579999999999998"/>
    <x v="102"/>
    <n v="2"/>
    <n v="1"/>
    <n v="1.7"/>
    <n v="0"/>
    <n v="2.7"/>
    <x v="0"/>
    <x v="0"/>
    <x v="0"/>
    <x v="0"/>
    <n v="7"/>
    <n v="10"/>
    <e v="#N/A"/>
  </r>
  <r>
    <n v="199"/>
    <d v="2016-01-03T11:11:15"/>
    <d v="2016-01-03T11:26:13"/>
    <x v="1"/>
    <m/>
    <m/>
    <x v="1"/>
    <n v="70805"/>
    <n v="3.49292248548733"/>
    <d v="2016-01-03T11:43:40"/>
    <n v="15.35"/>
    <x v="103"/>
    <n v="1"/>
    <n v="2.2999999999999998"/>
    <n v="0"/>
    <n v="0"/>
    <n v="2.2999999999999998"/>
    <x v="93"/>
    <x v="1"/>
    <x v="94"/>
    <x v="0"/>
    <n v="14"/>
    <e v="#N/A"/>
    <e v="#N/A"/>
  </r>
  <r>
    <n v="200"/>
    <d v="2016-01-03T10:20:50"/>
    <d v="2016-01-03T10:35:50"/>
    <x v="2"/>
    <m/>
    <m/>
    <x v="1"/>
    <n v="70804"/>
    <n v="1.78974619257477"/>
    <d v="2016-01-03T10:44:46"/>
    <n v="11.59"/>
    <x v="104"/>
    <n v="1"/>
    <n v="1.7"/>
    <n v="0"/>
    <n v="0"/>
    <n v="1.7"/>
    <x v="94"/>
    <x v="0"/>
    <x v="95"/>
    <x v="53"/>
    <n v="10"/>
    <e v="#N/A"/>
    <e v="#N/A"/>
  </r>
  <r>
    <n v="201"/>
    <d v="2016-01-03T11:21:38"/>
    <d v="2016-01-03T11:36:38"/>
    <x v="0"/>
    <s v="Large"/>
    <m/>
    <x v="1"/>
    <n v="70805"/>
    <n v="4.2959556838002797"/>
    <d v="2016-01-03T11:58:06"/>
    <n v="23.34"/>
    <x v="105"/>
    <n v="2"/>
    <n v="1"/>
    <n v="2.2999999999999998"/>
    <n v="0"/>
    <n v="3.3"/>
    <x v="95"/>
    <x v="1"/>
    <x v="96"/>
    <x v="0"/>
    <n v="7"/>
    <n v="14"/>
    <e v="#N/A"/>
  </r>
  <r>
    <n v="202"/>
    <d v="2016-01-03T12:31:02"/>
    <d v="2016-01-03T12:46:00"/>
    <x v="1"/>
    <m/>
    <m/>
    <x v="1"/>
    <n v="70805"/>
    <n v="4.0701279239412402"/>
    <d v="2016-01-03T13:06:21"/>
    <n v="15.35"/>
    <x v="106"/>
    <n v="1"/>
    <n v="2.2999999999999998"/>
    <n v="0"/>
    <n v="0"/>
    <n v="2.2999999999999998"/>
    <x v="96"/>
    <x v="1"/>
    <x v="97"/>
    <x v="0"/>
    <n v="14"/>
    <e v="#N/A"/>
    <e v="#N/A"/>
  </r>
  <r>
    <n v="203"/>
    <d v="2016-01-03T12:07:28"/>
    <d v="2016-01-03T12:22:25"/>
    <x v="2"/>
    <m/>
    <m/>
    <x v="0"/>
    <n v="70806"/>
    <n v="0"/>
    <d v="2016-01-03T12:25:25"/>
    <n v="11.59"/>
    <x v="2"/>
    <n v="1"/>
    <n v="1.7"/>
    <n v="0"/>
    <n v="0"/>
    <n v="1.7"/>
    <x v="0"/>
    <x v="0"/>
    <x v="0"/>
    <x v="0"/>
    <n v="10"/>
    <e v="#N/A"/>
    <e v="#N/A"/>
  </r>
  <r>
    <n v="204"/>
    <d v="2016-01-03T11:32:40"/>
    <d v="2016-01-03T11:47:40"/>
    <x v="2"/>
    <m/>
    <m/>
    <x v="0"/>
    <n v="70804"/>
    <n v="0"/>
    <d v="2016-01-03T11:50:40"/>
    <n v="11.59"/>
    <x v="2"/>
    <n v="1"/>
    <n v="1.7"/>
    <n v="0"/>
    <n v="0"/>
    <n v="1.7"/>
    <x v="0"/>
    <x v="0"/>
    <x v="0"/>
    <x v="0"/>
    <n v="10"/>
    <e v="#N/A"/>
    <e v="#N/A"/>
  </r>
  <r>
    <n v="205"/>
    <d v="2016-01-03T12:15:30"/>
    <d v="2016-01-03T12:30:27"/>
    <x v="2"/>
    <m/>
    <m/>
    <x v="1"/>
    <n v="70807"/>
    <n v="3.4983218273421901"/>
    <d v="2016-01-03T12:47:56"/>
    <n v="11.59"/>
    <x v="107"/>
    <n v="1"/>
    <n v="1.7"/>
    <n v="0"/>
    <n v="0"/>
    <n v="1.7"/>
    <x v="97"/>
    <x v="1"/>
    <x v="98"/>
    <x v="0"/>
    <n v="10"/>
    <e v="#N/A"/>
    <e v="#N/A"/>
  </r>
  <r>
    <n v="206"/>
    <d v="2016-01-03T11:36:10"/>
    <d v="2016-01-03T11:51:10"/>
    <x v="1"/>
    <m/>
    <m/>
    <x v="0"/>
    <n v="70804"/>
    <n v="0"/>
    <d v="2016-01-03T11:54:11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207"/>
    <d v="2016-01-03T14:38:24"/>
    <d v="2016-01-03T14:53:22"/>
    <x v="1"/>
    <m/>
    <m/>
    <x v="1"/>
    <n v="70806"/>
    <n v="3.2828542692476499"/>
    <d v="2016-01-03T15:09:46"/>
    <n v="15.35"/>
    <x v="108"/>
    <n v="1"/>
    <n v="2.2999999999999998"/>
    <n v="0"/>
    <n v="0"/>
    <n v="2.2999999999999998"/>
    <x v="98"/>
    <x v="1"/>
    <x v="99"/>
    <x v="0"/>
    <n v="14"/>
    <e v="#N/A"/>
    <e v="#N/A"/>
  </r>
  <r>
    <n v="208"/>
    <d v="2016-01-03T13:42:07"/>
    <d v="2016-01-03T13:57:06"/>
    <x v="2"/>
    <m/>
    <m/>
    <x v="0"/>
    <n v="70804"/>
    <n v="0"/>
    <d v="2016-01-03T14:00:05"/>
    <n v="11.59"/>
    <x v="1"/>
    <n v="1"/>
    <n v="1.7"/>
    <n v="0"/>
    <n v="0"/>
    <n v="1.7"/>
    <x v="0"/>
    <x v="0"/>
    <x v="0"/>
    <x v="0"/>
    <n v="10"/>
    <e v="#N/A"/>
    <e v="#N/A"/>
  </r>
  <r>
    <n v="209"/>
    <d v="2016-01-03T11:11:47"/>
    <d v="2016-01-03T11:26:46"/>
    <x v="2"/>
    <m/>
    <m/>
    <x v="1"/>
    <n v="70803"/>
    <n v="1.36633914888448"/>
    <d v="2016-01-03T11:33:35"/>
    <n v="11.59"/>
    <x v="109"/>
    <n v="1"/>
    <n v="1.7"/>
    <n v="0"/>
    <n v="0"/>
    <n v="1.7"/>
    <x v="99"/>
    <x v="0"/>
    <x v="100"/>
    <x v="54"/>
    <n v="10"/>
    <e v="#N/A"/>
    <e v="#N/A"/>
  </r>
  <r>
    <n v="210"/>
    <d v="2016-01-03T14:01:39"/>
    <d v="2016-01-03T14:16:40"/>
    <x v="0"/>
    <s v="Medium"/>
    <m/>
    <x v="0"/>
    <n v="70804"/>
    <n v="0"/>
    <d v="2016-01-03T14:19:39"/>
    <n v="19.579999999999998"/>
    <x v="24"/>
    <n v="2"/>
    <n v="1"/>
    <n v="1.7"/>
    <n v="0"/>
    <n v="2.7"/>
    <x v="0"/>
    <x v="0"/>
    <x v="0"/>
    <x v="0"/>
    <n v="7"/>
    <n v="10"/>
    <e v="#N/A"/>
  </r>
  <r>
    <n v="211"/>
    <d v="2016-01-03T12:35:30"/>
    <d v="2016-01-03T12:50:29"/>
    <x v="1"/>
    <m/>
    <m/>
    <x v="0"/>
    <n v="70804"/>
    <n v="0"/>
    <d v="2016-01-03T12:53:28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212"/>
    <d v="2016-01-03T10:30:54"/>
    <d v="2016-01-03T10:45:54"/>
    <x v="2"/>
    <m/>
    <m/>
    <x v="0"/>
    <n v="70806"/>
    <n v="0"/>
    <d v="2016-01-03T10:48:54"/>
    <n v="11.59"/>
    <x v="2"/>
    <n v="1"/>
    <n v="1.7"/>
    <n v="0"/>
    <n v="0"/>
    <n v="1.7"/>
    <x v="0"/>
    <x v="0"/>
    <x v="0"/>
    <x v="0"/>
    <n v="10"/>
    <e v="#N/A"/>
    <e v="#N/A"/>
  </r>
  <r>
    <n v="213"/>
    <d v="2016-01-03T11:45:32"/>
    <d v="2016-01-03T12:00:30"/>
    <x v="2"/>
    <m/>
    <m/>
    <x v="1"/>
    <n v="70806"/>
    <n v="4.0737244294907997"/>
    <d v="2016-01-03T12:20:52"/>
    <n v="11.59"/>
    <x v="110"/>
    <n v="1"/>
    <n v="1.7"/>
    <n v="0"/>
    <n v="0"/>
    <n v="1.7"/>
    <x v="100"/>
    <x v="1"/>
    <x v="101"/>
    <x v="0"/>
    <n v="10"/>
    <e v="#N/A"/>
    <e v="#N/A"/>
  </r>
  <r>
    <n v="214"/>
    <d v="2016-01-03T11:22:40"/>
    <d v="2016-01-03T11:37:40"/>
    <x v="2"/>
    <m/>
    <m/>
    <x v="1"/>
    <n v="70804"/>
    <n v="1.44769103738752"/>
    <d v="2016-01-03T11:44:54"/>
    <n v="11.59"/>
    <x v="111"/>
    <n v="1"/>
    <n v="1.7"/>
    <n v="0"/>
    <n v="0"/>
    <n v="1.7"/>
    <x v="101"/>
    <x v="0"/>
    <x v="102"/>
    <x v="55"/>
    <n v="10"/>
    <e v="#N/A"/>
    <e v="#N/A"/>
  </r>
  <r>
    <n v="215"/>
    <d v="2016-01-03T11:55:35"/>
    <d v="2016-01-03T12:10:35"/>
    <x v="0"/>
    <s v="Large"/>
    <m/>
    <x v="1"/>
    <n v="70806"/>
    <n v="2.3128568107222902"/>
    <d v="2016-01-03T12:22:08"/>
    <n v="23.34"/>
    <x v="112"/>
    <n v="2"/>
    <n v="1"/>
    <n v="2.2999999999999998"/>
    <n v="0"/>
    <n v="3.3"/>
    <x v="102"/>
    <x v="0"/>
    <x v="103"/>
    <x v="56"/>
    <n v="7"/>
    <n v="14"/>
    <e v="#N/A"/>
  </r>
  <r>
    <n v="216"/>
    <d v="2016-01-03T12:45:32"/>
    <d v="2016-01-03T13:00:31"/>
    <x v="0"/>
    <m/>
    <m/>
    <x v="0"/>
    <n v="70805"/>
    <n v="0"/>
    <d v="2016-01-03T13:03:30"/>
    <n v="7.99"/>
    <x v="24"/>
    <n v="1"/>
    <n v="1"/>
    <n v="0"/>
    <n v="0"/>
    <n v="1"/>
    <x v="0"/>
    <x v="0"/>
    <x v="0"/>
    <x v="0"/>
    <n v="7"/>
    <e v="#N/A"/>
    <e v="#N/A"/>
  </r>
  <r>
    <n v="217"/>
    <d v="2016-01-03T12:55:35"/>
    <d v="2016-01-03T13:10:35"/>
    <x v="0"/>
    <m/>
    <m/>
    <x v="1"/>
    <n v="70803"/>
    <n v="1.8020208227471499"/>
    <d v="2016-01-03T13:19:35"/>
    <n v="7.99"/>
    <x v="113"/>
    <n v="1"/>
    <n v="1"/>
    <n v="0"/>
    <n v="0"/>
    <n v="1"/>
    <x v="103"/>
    <x v="0"/>
    <x v="104"/>
    <x v="57"/>
    <n v="7"/>
    <e v="#N/A"/>
    <e v="#N/A"/>
  </r>
  <r>
    <n v="218"/>
    <d v="2016-01-03T10:19:13"/>
    <d v="2016-01-03T10:34:13"/>
    <x v="1"/>
    <m/>
    <m/>
    <x v="1"/>
    <n v="70806"/>
    <n v="2.6686270568199801"/>
    <d v="2016-01-03T10:47:33"/>
    <n v="15.35"/>
    <x v="114"/>
    <n v="1"/>
    <n v="2.2999999999999998"/>
    <n v="0"/>
    <n v="0"/>
    <n v="2.2999999999999998"/>
    <x v="104"/>
    <x v="0"/>
    <x v="105"/>
    <x v="58"/>
    <n v="14"/>
    <e v="#N/A"/>
    <e v="#N/A"/>
  </r>
  <r>
    <n v="219"/>
    <d v="2016-01-03T11:02:48"/>
    <d v="2016-01-03T11:17:47"/>
    <x v="0"/>
    <m/>
    <m/>
    <x v="0"/>
    <n v="70808"/>
    <n v="0"/>
    <d v="2016-01-03T11:20:46"/>
    <n v="7.99"/>
    <x v="24"/>
    <n v="1"/>
    <n v="1"/>
    <n v="0"/>
    <n v="0"/>
    <n v="1"/>
    <x v="0"/>
    <x v="0"/>
    <x v="0"/>
    <x v="0"/>
    <n v="7"/>
    <e v="#N/A"/>
    <e v="#N/A"/>
  </r>
  <r>
    <n v="220"/>
    <d v="2016-01-03T11:14:43"/>
    <d v="2016-01-03T11:29:42"/>
    <x v="2"/>
    <m/>
    <m/>
    <x v="1"/>
    <n v="70805"/>
    <n v="1.99778204238294"/>
    <d v="2016-01-03T11:39:41"/>
    <n v="11.59"/>
    <x v="115"/>
    <n v="1"/>
    <n v="1.7"/>
    <n v="0"/>
    <n v="0"/>
    <n v="1.7"/>
    <x v="105"/>
    <x v="0"/>
    <x v="106"/>
    <x v="59"/>
    <n v="10"/>
    <e v="#N/A"/>
    <e v="#N/A"/>
  </r>
  <r>
    <n v="221"/>
    <d v="2016-01-03T13:26:56"/>
    <d v="2016-01-03T13:41:55"/>
    <x v="0"/>
    <s v="Medium"/>
    <m/>
    <x v="0"/>
    <n v="70803"/>
    <n v="0"/>
    <d v="2016-01-03T13:44:57"/>
    <n v="19.579999999999998"/>
    <x v="67"/>
    <n v="2"/>
    <n v="1"/>
    <n v="1.7"/>
    <n v="0"/>
    <n v="2.7"/>
    <x v="0"/>
    <x v="0"/>
    <x v="0"/>
    <x v="0"/>
    <n v="7"/>
    <n v="10"/>
    <e v="#N/A"/>
  </r>
  <r>
    <n v="222"/>
    <d v="2016-01-03T11:28:26"/>
    <d v="2016-01-03T11:43:25"/>
    <x v="1"/>
    <m/>
    <m/>
    <x v="0"/>
    <n v="70805"/>
    <n v="0"/>
    <d v="2016-01-03T11:46:23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223"/>
    <d v="2016-01-03T12:58:12"/>
    <d v="2016-01-03T13:13:12"/>
    <x v="2"/>
    <m/>
    <m/>
    <x v="0"/>
    <n v="70805"/>
    <n v="0"/>
    <d v="2016-01-03T13:16:13"/>
    <n v="11.59"/>
    <x v="14"/>
    <n v="1"/>
    <n v="1.7"/>
    <n v="0"/>
    <n v="0"/>
    <n v="1.7"/>
    <x v="0"/>
    <x v="0"/>
    <x v="0"/>
    <x v="0"/>
    <n v="10"/>
    <e v="#N/A"/>
    <e v="#N/A"/>
  </r>
  <r>
    <n v="224"/>
    <d v="2016-01-03T12:09:46"/>
    <d v="2016-01-03T12:24:45"/>
    <x v="0"/>
    <s v="Medium"/>
    <m/>
    <x v="0"/>
    <n v="70803"/>
    <n v="0"/>
    <d v="2016-01-03T12:27:46"/>
    <n v="19.579999999999998"/>
    <x v="56"/>
    <n v="2"/>
    <n v="1"/>
    <n v="1.7"/>
    <n v="0"/>
    <n v="2.7"/>
    <x v="0"/>
    <x v="0"/>
    <x v="0"/>
    <x v="0"/>
    <n v="7"/>
    <n v="10"/>
    <e v="#N/A"/>
  </r>
  <r>
    <n v="225"/>
    <d v="2016-01-03T11:42:23"/>
    <d v="2016-01-03T11:57:24"/>
    <x v="0"/>
    <s v="Medium"/>
    <m/>
    <x v="0"/>
    <n v="70804"/>
    <n v="0"/>
    <d v="2016-01-03T12:00:23"/>
    <n v="19.579999999999998"/>
    <x v="24"/>
    <n v="2"/>
    <n v="1"/>
    <n v="1.7"/>
    <n v="0"/>
    <n v="2.7"/>
    <x v="0"/>
    <x v="0"/>
    <x v="0"/>
    <x v="0"/>
    <n v="7"/>
    <n v="10"/>
    <e v="#N/A"/>
  </r>
  <r>
    <n v="226"/>
    <d v="2016-01-03T13:51:27"/>
    <d v="2016-01-03T14:06:26"/>
    <x v="0"/>
    <s v="Large"/>
    <m/>
    <x v="0"/>
    <n v="70804"/>
    <n v="0"/>
    <d v="2016-01-03T14:09:25"/>
    <n v="23.34"/>
    <x v="1"/>
    <n v="2"/>
    <n v="1"/>
    <n v="2.2999999999999998"/>
    <n v="0"/>
    <n v="3.3"/>
    <x v="0"/>
    <x v="0"/>
    <x v="0"/>
    <x v="0"/>
    <n v="7"/>
    <n v="14"/>
    <e v="#N/A"/>
  </r>
  <r>
    <n v="227"/>
    <d v="2016-01-03T11:27:32"/>
    <d v="2016-01-03T11:42:33"/>
    <x v="1"/>
    <m/>
    <m/>
    <x v="1"/>
    <n v="70804"/>
    <n v="4.16086196491539"/>
    <d v="2016-01-03T12:03:21"/>
    <n v="15.35"/>
    <x v="116"/>
    <n v="1"/>
    <n v="2.2999999999999998"/>
    <n v="0"/>
    <n v="0"/>
    <n v="2.2999999999999998"/>
    <x v="106"/>
    <x v="1"/>
    <x v="107"/>
    <x v="0"/>
    <n v="14"/>
    <e v="#N/A"/>
    <e v="#N/A"/>
  </r>
  <r>
    <n v="228"/>
    <d v="2016-01-03T11:54:21"/>
    <d v="2016-01-03T12:09:20"/>
    <x v="0"/>
    <m/>
    <m/>
    <x v="1"/>
    <n v="70806"/>
    <n v="3.7588445858231698"/>
    <d v="2016-01-03T12:28:07"/>
    <n v="7.99"/>
    <x v="117"/>
    <n v="1"/>
    <n v="1"/>
    <n v="0"/>
    <n v="0"/>
    <n v="1"/>
    <x v="107"/>
    <x v="1"/>
    <x v="108"/>
    <x v="0"/>
    <n v="7"/>
    <e v="#N/A"/>
    <e v="#N/A"/>
  </r>
  <r>
    <n v="229"/>
    <d v="2016-01-03T11:21:02"/>
    <d v="2016-01-03T11:36:03"/>
    <x v="2"/>
    <m/>
    <m/>
    <x v="1"/>
    <n v="70806"/>
    <n v="2.50423299730654"/>
    <d v="2016-01-03T11:48:34"/>
    <n v="11.59"/>
    <x v="118"/>
    <n v="1"/>
    <n v="1.7"/>
    <n v="0"/>
    <n v="0"/>
    <n v="1.7"/>
    <x v="108"/>
    <x v="0"/>
    <x v="109"/>
    <x v="60"/>
    <n v="10"/>
    <e v="#N/A"/>
    <e v="#N/A"/>
  </r>
  <r>
    <n v="230"/>
    <d v="2016-01-03T12:37:22"/>
    <d v="2016-01-03T12:52:21"/>
    <x v="0"/>
    <s v="Medium"/>
    <m/>
    <x v="1"/>
    <n v="70806"/>
    <n v="2.5304107657121002"/>
    <d v="2016-01-03T13:05:00"/>
    <n v="19.579999999999998"/>
    <x v="119"/>
    <n v="2"/>
    <n v="1"/>
    <n v="1.7"/>
    <n v="0"/>
    <n v="2.7"/>
    <x v="109"/>
    <x v="0"/>
    <x v="110"/>
    <x v="61"/>
    <n v="7"/>
    <n v="10"/>
    <e v="#N/A"/>
  </r>
  <r>
    <n v="231"/>
    <d v="2016-01-03T13:26:58"/>
    <d v="2016-01-03T13:41:59"/>
    <x v="0"/>
    <s v="Medium"/>
    <m/>
    <x v="0"/>
    <n v="70806"/>
    <n v="0"/>
    <d v="2016-01-03T13:44:58"/>
    <n v="19.579999999999998"/>
    <x v="24"/>
    <n v="2"/>
    <n v="1"/>
    <n v="1.7"/>
    <n v="0"/>
    <n v="2.7"/>
    <x v="0"/>
    <x v="0"/>
    <x v="0"/>
    <x v="0"/>
    <n v="7"/>
    <n v="10"/>
    <e v="#N/A"/>
  </r>
  <r>
    <n v="232"/>
    <d v="2016-01-03T12:47:14"/>
    <d v="2016-01-03T13:02:12"/>
    <x v="0"/>
    <s v="Medium"/>
    <m/>
    <x v="0"/>
    <n v="70806"/>
    <n v="0"/>
    <d v="2016-01-03T13:05:13"/>
    <n v="19.579999999999998"/>
    <x v="14"/>
    <n v="2"/>
    <n v="1"/>
    <n v="1.7"/>
    <n v="0"/>
    <n v="2.7"/>
    <x v="0"/>
    <x v="0"/>
    <x v="0"/>
    <x v="0"/>
    <n v="7"/>
    <n v="10"/>
    <e v="#N/A"/>
  </r>
  <r>
    <n v="233"/>
    <d v="2016-01-03T10:11:48"/>
    <d v="2016-01-03T10:26:48"/>
    <x v="1"/>
    <m/>
    <m/>
    <x v="0"/>
    <n v="70805"/>
    <n v="0"/>
    <d v="2016-01-03T10:29:48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234"/>
    <d v="2016-01-03T10:56:23"/>
    <d v="2016-01-03T11:11:21"/>
    <x v="0"/>
    <m/>
    <m/>
    <x v="1"/>
    <n v="70807"/>
    <n v="3.10532141542582"/>
    <d v="2016-01-03T11:26:52"/>
    <n v="7.99"/>
    <x v="120"/>
    <n v="1"/>
    <n v="1"/>
    <n v="0"/>
    <n v="0"/>
    <n v="1"/>
    <x v="110"/>
    <x v="0"/>
    <x v="111"/>
    <x v="62"/>
    <n v="7"/>
    <e v="#N/A"/>
    <e v="#N/A"/>
  </r>
  <r>
    <n v="235"/>
    <d v="2016-01-03T10:25:31"/>
    <d v="2016-01-03T10:40:32"/>
    <x v="1"/>
    <m/>
    <m/>
    <x v="1"/>
    <n v="70804"/>
    <n v="2.0311139987832401"/>
    <d v="2016-01-03T10:50:41"/>
    <n v="15.35"/>
    <x v="121"/>
    <n v="1"/>
    <n v="2.2999999999999998"/>
    <n v="0"/>
    <n v="0"/>
    <n v="2.2999999999999998"/>
    <x v="111"/>
    <x v="0"/>
    <x v="112"/>
    <x v="63"/>
    <n v="14"/>
    <e v="#N/A"/>
    <e v="#N/A"/>
  </r>
  <r>
    <n v="236"/>
    <d v="2016-01-03T12:37:45"/>
    <d v="2016-01-03T12:52:46"/>
    <x v="0"/>
    <s v="Medium"/>
    <m/>
    <x v="0"/>
    <n v="70805"/>
    <n v="0"/>
    <d v="2016-01-03T12:55:45"/>
    <n v="19.579999999999998"/>
    <x v="24"/>
    <n v="2"/>
    <n v="1"/>
    <n v="1.7"/>
    <n v="0"/>
    <n v="2.7"/>
    <x v="0"/>
    <x v="0"/>
    <x v="0"/>
    <x v="0"/>
    <n v="7"/>
    <n v="10"/>
    <e v="#N/A"/>
  </r>
  <r>
    <n v="237"/>
    <d v="2016-01-04T11:28:22"/>
    <d v="2016-01-04T11:43:22"/>
    <x v="1"/>
    <m/>
    <m/>
    <x v="0"/>
    <n v="70804"/>
    <n v="0"/>
    <d v="2016-01-04T11:46:20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238"/>
    <d v="2016-01-04T11:45:41"/>
    <d v="2016-01-04T12:00:41"/>
    <x v="0"/>
    <s v="Medium"/>
    <s v="Large"/>
    <x v="0"/>
    <n v="70804"/>
    <n v="0"/>
    <d v="2016-01-04T12:03:40"/>
    <n v="33.93"/>
    <x v="24"/>
    <n v="3"/>
    <n v="1"/>
    <n v="1.7"/>
    <n v="2.2999999999999998"/>
    <n v="5"/>
    <x v="0"/>
    <x v="0"/>
    <x v="0"/>
    <x v="0"/>
    <n v="7"/>
    <n v="10"/>
    <n v="14"/>
  </r>
  <r>
    <n v="239"/>
    <d v="2016-01-04T11:43:30"/>
    <d v="2016-01-04T11:58:31"/>
    <x v="1"/>
    <m/>
    <m/>
    <x v="0"/>
    <n v="70804"/>
    <n v="0"/>
    <d v="2016-01-04T12:01:31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240"/>
    <d v="2016-01-04T12:35:03"/>
    <d v="2016-01-04T12:50:03"/>
    <x v="0"/>
    <s v="Medium"/>
    <m/>
    <x v="1"/>
    <n v="70804"/>
    <n v="3.7550405808591898"/>
    <d v="2016-01-04T13:08:49"/>
    <n v="19.579999999999998"/>
    <x v="122"/>
    <n v="2"/>
    <n v="1"/>
    <n v="1.7"/>
    <n v="0"/>
    <n v="2.7"/>
    <x v="112"/>
    <x v="1"/>
    <x v="113"/>
    <x v="0"/>
    <n v="7"/>
    <n v="10"/>
    <e v="#N/A"/>
  </r>
  <r>
    <n v="241"/>
    <d v="2016-01-04T12:26:27"/>
    <d v="2016-01-04T12:41:27"/>
    <x v="2"/>
    <m/>
    <m/>
    <x v="1"/>
    <n v="70807"/>
    <n v="1.9827996289013201"/>
    <d v="2016-01-04T12:51:21"/>
    <n v="11.59"/>
    <x v="123"/>
    <n v="1"/>
    <n v="1.7"/>
    <n v="0"/>
    <n v="0"/>
    <n v="1.7"/>
    <x v="113"/>
    <x v="0"/>
    <x v="114"/>
    <x v="64"/>
    <n v="10"/>
    <e v="#N/A"/>
    <e v="#N/A"/>
  </r>
  <r>
    <n v="242"/>
    <d v="2016-01-04T15:21:28"/>
    <d v="2016-01-04T15:36:26"/>
    <x v="1"/>
    <m/>
    <m/>
    <x v="0"/>
    <n v="70804"/>
    <n v="0"/>
    <d v="2016-01-04T15:39:25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243"/>
    <d v="2016-01-04T11:33:43"/>
    <d v="2016-01-04T11:48:42"/>
    <x v="2"/>
    <s v="Large"/>
    <m/>
    <x v="1"/>
    <n v="70805"/>
    <n v="2.12905571604092"/>
    <d v="2016-01-04T11:59:20"/>
    <n v="25.94"/>
    <x v="124"/>
    <n v="2"/>
    <n v="1.7"/>
    <n v="2.2999999999999998"/>
    <n v="0"/>
    <n v="4"/>
    <x v="114"/>
    <x v="0"/>
    <x v="115"/>
    <x v="65"/>
    <n v="10"/>
    <n v="14"/>
    <e v="#N/A"/>
  </r>
  <r>
    <n v="244"/>
    <d v="2016-01-04T12:27:10"/>
    <d v="2016-01-04T12:42:08"/>
    <x v="2"/>
    <m/>
    <m/>
    <x v="0"/>
    <n v="70805"/>
    <n v="0"/>
    <d v="2016-01-04T12:45:07"/>
    <n v="11.59"/>
    <x v="24"/>
    <n v="1"/>
    <n v="1.7"/>
    <n v="0"/>
    <n v="0"/>
    <n v="1.7"/>
    <x v="0"/>
    <x v="0"/>
    <x v="0"/>
    <x v="0"/>
    <n v="10"/>
    <e v="#N/A"/>
    <e v="#N/A"/>
  </r>
  <r>
    <n v="245"/>
    <d v="2016-01-04T10:42:42"/>
    <d v="2016-01-04T10:57:42"/>
    <x v="0"/>
    <s v="Medium"/>
    <m/>
    <x v="0"/>
    <n v="70805"/>
    <n v="0"/>
    <d v="2016-01-04T11:00:41"/>
    <n v="19.579999999999998"/>
    <x v="24"/>
    <n v="2"/>
    <n v="1"/>
    <n v="1.7"/>
    <n v="0"/>
    <n v="2.7"/>
    <x v="0"/>
    <x v="0"/>
    <x v="0"/>
    <x v="0"/>
    <n v="7"/>
    <n v="10"/>
    <e v="#N/A"/>
  </r>
  <r>
    <n v="246"/>
    <d v="2016-01-04T13:20:11"/>
    <d v="2016-01-04T13:35:12"/>
    <x v="2"/>
    <m/>
    <m/>
    <x v="0"/>
    <n v="70804"/>
    <n v="0"/>
    <d v="2016-01-04T13:38:10"/>
    <n v="11.59"/>
    <x v="0"/>
    <n v="1"/>
    <n v="1.7"/>
    <n v="0"/>
    <n v="0"/>
    <n v="1.7"/>
    <x v="0"/>
    <x v="0"/>
    <x v="0"/>
    <x v="0"/>
    <n v="10"/>
    <e v="#N/A"/>
    <e v="#N/A"/>
  </r>
  <r>
    <n v="247"/>
    <d v="2016-01-04T11:47:21"/>
    <d v="2016-01-04T12:02:21"/>
    <x v="0"/>
    <s v="Large"/>
    <m/>
    <x v="1"/>
    <n v="70805"/>
    <n v="3.3807760509389899"/>
    <d v="2016-01-04T12:19:15"/>
    <n v="23.34"/>
    <x v="125"/>
    <n v="2"/>
    <n v="1"/>
    <n v="2.2999999999999998"/>
    <n v="0"/>
    <n v="3.3"/>
    <x v="115"/>
    <x v="1"/>
    <x v="116"/>
    <x v="0"/>
    <n v="7"/>
    <n v="14"/>
    <e v="#N/A"/>
  </r>
  <r>
    <n v="248"/>
    <d v="2016-01-04T11:59:36"/>
    <d v="2016-01-04T12:14:36"/>
    <x v="2"/>
    <m/>
    <m/>
    <x v="1"/>
    <n v="70803"/>
    <n v="3.1280542939078799"/>
    <d v="2016-01-04T12:30:14"/>
    <n v="11.59"/>
    <x v="126"/>
    <n v="1"/>
    <n v="1.7"/>
    <n v="0"/>
    <n v="0"/>
    <n v="1.7"/>
    <x v="116"/>
    <x v="0"/>
    <x v="117"/>
    <x v="66"/>
    <n v="10"/>
    <e v="#N/A"/>
    <e v="#N/A"/>
  </r>
  <r>
    <n v="249"/>
    <d v="2016-01-04T12:13:19"/>
    <d v="2016-01-04T12:28:16"/>
    <x v="0"/>
    <s v="Medium"/>
    <m/>
    <x v="0"/>
    <n v="70807"/>
    <n v="0"/>
    <d v="2016-01-04T12:31:16"/>
    <n v="19.579999999999998"/>
    <x v="2"/>
    <n v="2"/>
    <n v="1"/>
    <n v="1.7"/>
    <n v="0"/>
    <n v="2.7"/>
    <x v="0"/>
    <x v="0"/>
    <x v="0"/>
    <x v="0"/>
    <n v="7"/>
    <n v="10"/>
    <e v="#N/A"/>
  </r>
  <r>
    <n v="250"/>
    <d v="2016-01-04T11:27:19"/>
    <d v="2016-01-04T11:42:21"/>
    <x v="2"/>
    <m/>
    <m/>
    <x v="1"/>
    <n v="70805"/>
    <n v="4.0054439295012401"/>
    <d v="2016-01-04T12:02:22"/>
    <n v="11.59"/>
    <x v="127"/>
    <n v="1"/>
    <n v="1.7"/>
    <n v="0"/>
    <n v="0"/>
    <n v="1.7"/>
    <x v="117"/>
    <x v="1"/>
    <x v="118"/>
    <x v="0"/>
    <n v="10"/>
    <e v="#N/A"/>
    <e v="#N/A"/>
  </r>
  <r>
    <n v="251"/>
    <d v="2016-01-04T10:17:49"/>
    <d v="2016-01-04T10:32:49"/>
    <x v="0"/>
    <s v="Medium"/>
    <m/>
    <x v="1"/>
    <n v="70803"/>
    <n v="1.57701564890838"/>
    <d v="2016-01-04T10:40:42"/>
    <n v="19.579999999999998"/>
    <x v="128"/>
    <n v="2"/>
    <n v="1"/>
    <n v="1.7"/>
    <n v="0"/>
    <n v="2.7"/>
    <x v="118"/>
    <x v="0"/>
    <x v="119"/>
    <x v="67"/>
    <n v="7"/>
    <n v="10"/>
    <e v="#N/A"/>
  </r>
  <r>
    <n v="252"/>
    <d v="2016-01-04T12:31:29"/>
    <d v="2016-01-04T12:46:29"/>
    <x v="2"/>
    <m/>
    <m/>
    <x v="1"/>
    <n v="70804"/>
    <n v="1.1857148769330901"/>
    <d v="2016-01-04T12:52:24"/>
    <n v="11.59"/>
    <x v="129"/>
    <n v="1"/>
    <n v="1.7"/>
    <n v="0"/>
    <n v="0"/>
    <n v="1.7"/>
    <x v="119"/>
    <x v="0"/>
    <x v="120"/>
    <x v="68"/>
    <n v="10"/>
    <e v="#N/A"/>
    <e v="#N/A"/>
  </r>
  <r>
    <n v="253"/>
    <d v="2016-01-04T14:35:21"/>
    <d v="2016-01-04T14:50:18"/>
    <x v="1"/>
    <m/>
    <m/>
    <x v="1"/>
    <n v="70804"/>
    <n v="1.4414734781999901"/>
    <d v="2016-01-04T14:57:30"/>
    <n v="15.35"/>
    <x v="130"/>
    <n v="1"/>
    <n v="2.2999999999999998"/>
    <n v="0"/>
    <n v="0"/>
    <n v="2.2999999999999998"/>
    <x v="120"/>
    <x v="0"/>
    <x v="121"/>
    <x v="69"/>
    <n v="14"/>
    <e v="#N/A"/>
    <e v="#N/A"/>
  </r>
  <r>
    <n v="254"/>
    <d v="2016-01-04T12:39:35"/>
    <d v="2016-01-04T12:54:34"/>
    <x v="0"/>
    <s v="Large"/>
    <m/>
    <x v="0"/>
    <n v="70805"/>
    <n v="0"/>
    <d v="2016-01-04T12:57:33"/>
    <n v="23.34"/>
    <x v="24"/>
    <n v="2"/>
    <n v="1"/>
    <n v="2.2999999999999998"/>
    <n v="0"/>
    <n v="3.3"/>
    <x v="0"/>
    <x v="0"/>
    <x v="0"/>
    <x v="0"/>
    <n v="7"/>
    <n v="14"/>
    <e v="#N/A"/>
  </r>
  <r>
    <n v="255"/>
    <d v="2016-01-04T12:11:15"/>
    <d v="2016-01-04T12:26:15"/>
    <x v="0"/>
    <m/>
    <m/>
    <x v="1"/>
    <n v="70805"/>
    <n v="4.1961033188224501"/>
    <d v="2016-01-04T12:47:13"/>
    <n v="7.99"/>
    <x v="131"/>
    <n v="1"/>
    <n v="1"/>
    <n v="0"/>
    <n v="0"/>
    <n v="1"/>
    <x v="121"/>
    <x v="1"/>
    <x v="122"/>
    <x v="0"/>
    <n v="7"/>
    <e v="#N/A"/>
    <e v="#N/A"/>
  </r>
  <r>
    <n v="256"/>
    <d v="2016-01-04T11:14:55"/>
    <d v="2016-01-04T11:29:56"/>
    <x v="2"/>
    <s v="Large"/>
    <m/>
    <x v="0"/>
    <n v="70805"/>
    <n v="0"/>
    <d v="2016-01-04T11:32:55"/>
    <n v="25.94"/>
    <x v="24"/>
    <n v="2"/>
    <n v="1.7"/>
    <n v="2.2999999999999998"/>
    <n v="0"/>
    <n v="4"/>
    <x v="0"/>
    <x v="0"/>
    <x v="0"/>
    <x v="0"/>
    <n v="10"/>
    <n v="14"/>
    <e v="#N/A"/>
  </r>
  <r>
    <n v="257"/>
    <d v="2016-01-04T12:16:43"/>
    <d v="2016-01-04T12:31:44"/>
    <x v="0"/>
    <m/>
    <m/>
    <x v="1"/>
    <n v="70806"/>
    <n v="3.9032992928504799"/>
    <d v="2016-01-04T12:51:14"/>
    <n v="7.99"/>
    <x v="132"/>
    <n v="1"/>
    <n v="1"/>
    <n v="0"/>
    <n v="0"/>
    <n v="1"/>
    <x v="122"/>
    <x v="1"/>
    <x v="123"/>
    <x v="0"/>
    <n v="7"/>
    <e v="#N/A"/>
    <e v="#N/A"/>
  </r>
  <r>
    <n v="258"/>
    <d v="2016-01-04T12:20:44"/>
    <d v="2016-01-04T12:35:44"/>
    <x v="0"/>
    <m/>
    <m/>
    <x v="0"/>
    <n v="70805"/>
    <n v="0"/>
    <d v="2016-01-04T12:38:43"/>
    <n v="7.99"/>
    <x v="24"/>
    <n v="1"/>
    <n v="1"/>
    <n v="0"/>
    <n v="0"/>
    <n v="1"/>
    <x v="0"/>
    <x v="0"/>
    <x v="0"/>
    <x v="0"/>
    <n v="7"/>
    <e v="#N/A"/>
    <e v="#N/A"/>
  </r>
  <r>
    <n v="259"/>
    <d v="2016-01-04T11:29:20"/>
    <d v="2016-01-04T11:44:19"/>
    <x v="0"/>
    <m/>
    <m/>
    <x v="1"/>
    <n v="70804"/>
    <n v="5.5514450337441499"/>
    <d v="2016-01-04T12:12:04"/>
    <n v="7.99"/>
    <x v="133"/>
    <n v="1"/>
    <n v="1"/>
    <n v="0"/>
    <n v="0"/>
    <n v="1"/>
    <x v="123"/>
    <x v="1"/>
    <x v="124"/>
    <x v="0"/>
    <n v="7"/>
    <e v="#N/A"/>
    <e v="#N/A"/>
  </r>
  <r>
    <n v="260"/>
    <d v="2016-01-04T10:57:55"/>
    <d v="2016-01-04T11:12:54"/>
    <x v="2"/>
    <m/>
    <m/>
    <x v="0"/>
    <n v="70806"/>
    <n v="0"/>
    <d v="2016-01-04T11:15:53"/>
    <n v="11.59"/>
    <x v="24"/>
    <n v="1"/>
    <n v="1.7"/>
    <n v="0"/>
    <n v="0"/>
    <n v="1.7"/>
    <x v="0"/>
    <x v="0"/>
    <x v="0"/>
    <x v="0"/>
    <n v="10"/>
    <e v="#N/A"/>
    <e v="#N/A"/>
  </r>
  <r>
    <n v="261"/>
    <d v="2016-01-04T12:29:19"/>
    <d v="2016-01-04T12:44:18"/>
    <x v="2"/>
    <m/>
    <m/>
    <x v="0"/>
    <n v="70805"/>
    <n v="0"/>
    <d v="2016-01-04T12:47:17"/>
    <n v="11.59"/>
    <x v="24"/>
    <n v="1"/>
    <n v="1.7"/>
    <n v="0"/>
    <n v="0"/>
    <n v="1.7"/>
    <x v="0"/>
    <x v="0"/>
    <x v="0"/>
    <x v="0"/>
    <n v="10"/>
    <e v="#N/A"/>
    <e v="#N/A"/>
  </r>
  <r>
    <n v="262"/>
    <d v="2016-01-04T10:57:45"/>
    <d v="2016-01-04T11:12:45"/>
    <x v="2"/>
    <m/>
    <m/>
    <x v="1"/>
    <n v="70805"/>
    <n v="4.0389139529498097"/>
    <d v="2016-01-04T11:32:56"/>
    <n v="11.59"/>
    <x v="134"/>
    <n v="1"/>
    <n v="1.7"/>
    <n v="0"/>
    <n v="0"/>
    <n v="1.7"/>
    <x v="124"/>
    <x v="1"/>
    <x v="125"/>
    <x v="0"/>
    <n v="10"/>
    <e v="#N/A"/>
    <e v="#N/A"/>
  </r>
  <r>
    <n v="263"/>
    <d v="2016-01-04T10:46:41"/>
    <d v="2016-01-04T11:01:40"/>
    <x v="0"/>
    <m/>
    <m/>
    <x v="1"/>
    <n v="70804"/>
    <n v="2.57066667973961"/>
    <d v="2016-01-04T11:14:31"/>
    <n v="7.99"/>
    <x v="135"/>
    <n v="1"/>
    <n v="1"/>
    <n v="0"/>
    <n v="0"/>
    <n v="1"/>
    <x v="125"/>
    <x v="0"/>
    <x v="126"/>
    <x v="70"/>
    <n v="7"/>
    <e v="#N/A"/>
    <e v="#N/A"/>
  </r>
  <r>
    <n v="264"/>
    <d v="2016-01-04T12:39:41"/>
    <d v="2016-01-04T12:54:41"/>
    <x v="0"/>
    <s v="Medium"/>
    <m/>
    <x v="0"/>
    <n v="70807"/>
    <n v="0"/>
    <d v="2016-01-04T12:57:42"/>
    <n v="19.579999999999998"/>
    <x v="14"/>
    <n v="2"/>
    <n v="1"/>
    <n v="1.7"/>
    <n v="0"/>
    <n v="2.7"/>
    <x v="0"/>
    <x v="0"/>
    <x v="0"/>
    <x v="0"/>
    <n v="7"/>
    <n v="10"/>
    <e v="#N/A"/>
  </r>
  <r>
    <n v="265"/>
    <d v="2016-01-04T12:36:59"/>
    <d v="2016-01-04T12:51:57"/>
    <x v="0"/>
    <s v="Medium"/>
    <m/>
    <x v="0"/>
    <n v="70806"/>
    <n v="0"/>
    <d v="2016-01-04T12:54:56"/>
    <n v="19.579999999999998"/>
    <x v="24"/>
    <n v="2"/>
    <n v="1"/>
    <n v="1.7"/>
    <n v="0"/>
    <n v="2.7"/>
    <x v="0"/>
    <x v="0"/>
    <x v="0"/>
    <x v="0"/>
    <n v="7"/>
    <n v="10"/>
    <e v="#N/A"/>
  </r>
  <r>
    <n v="266"/>
    <d v="2016-01-04T11:56:56"/>
    <d v="2016-01-04T12:11:55"/>
    <x v="0"/>
    <s v="Large"/>
    <m/>
    <x v="0"/>
    <n v="70803"/>
    <n v="0"/>
    <d v="2016-01-04T12:14:55"/>
    <n v="23.34"/>
    <x v="2"/>
    <n v="2"/>
    <n v="1"/>
    <n v="2.2999999999999998"/>
    <n v="0"/>
    <n v="3.3"/>
    <x v="0"/>
    <x v="0"/>
    <x v="0"/>
    <x v="0"/>
    <n v="7"/>
    <n v="14"/>
    <e v="#N/A"/>
  </r>
  <r>
    <n v="267"/>
    <d v="2016-01-04T12:34:31"/>
    <d v="2016-01-04T12:49:30"/>
    <x v="0"/>
    <m/>
    <m/>
    <x v="1"/>
    <n v="70803"/>
    <n v="4.0903941310881597"/>
    <d v="2016-01-04T13:09:57"/>
    <n v="7.99"/>
    <x v="136"/>
    <n v="1"/>
    <n v="1"/>
    <n v="0"/>
    <n v="0"/>
    <n v="1"/>
    <x v="126"/>
    <x v="1"/>
    <x v="127"/>
    <x v="0"/>
    <n v="7"/>
    <e v="#N/A"/>
    <e v="#N/A"/>
  </r>
  <r>
    <n v="268"/>
    <d v="2016-01-04T12:46:46"/>
    <d v="2016-01-04T13:01:44"/>
    <x v="0"/>
    <s v="Medium"/>
    <m/>
    <x v="1"/>
    <n v="70804"/>
    <n v="1.7823179737350601"/>
    <d v="2016-01-04T13:10:38"/>
    <n v="19.579999999999998"/>
    <x v="137"/>
    <n v="2"/>
    <n v="1"/>
    <n v="1.7"/>
    <n v="0"/>
    <n v="2.7"/>
    <x v="127"/>
    <x v="0"/>
    <x v="128"/>
    <x v="71"/>
    <n v="7"/>
    <n v="10"/>
    <e v="#N/A"/>
  </r>
  <r>
    <n v="269"/>
    <d v="2016-01-04T12:13:14"/>
    <d v="2016-01-04T12:28:13"/>
    <x v="2"/>
    <m/>
    <m/>
    <x v="0"/>
    <n v="70804"/>
    <n v="0"/>
    <d v="2016-01-04T12:31:12"/>
    <n v="11.59"/>
    <x v="1"/>
    <n v="1"/>
    <n v="1.7"/>
    <n v="0"/>
    <n v="0"/>
    <n v="1.7"/>
    <x v="0"/>
    <x v="0"/>
    <x v="0"/>
    <x v="0"/>
    <n v="10"/>
    <e v="#N/A"/>
    <e v="#N/A"/>
  </r>
  <r>
    <n v="270"/>
    <d v="2016-01-04T13:03:44"/>
    <d v="2016-01-04T13:18:44"/>
    <x v="0"/>
    <s v="Medium"/>
    <m/>
    <x v="0"/>
    <n v="70804"/>
    <n v="0"/>
    <d v="2016-01-04T13:21:45"/>
    <n v="19.579999999999998"/>
    <x v="14"/>
    <n v="2"/>
    <n v="1"/>
    <n v="1.7"/>
    <n v="0"/>
    <n v="2.7"/>
    <x v="0"/>
    <x v="0"/>
    <x v="0"/>
    <x v="0"/>
    <n v="7"/>
    <n v="10"/>
    <e v="#N/A"/>
  </r>
  <r>
    <n v="271"/>
    <d v="2016-01-04T11:14:18"/>
    <d v="2016-01-04T11:29:18"/>
    <x v="0"/>
    <s v="Large"/>
    <m/>
    <x v="1"/>
    <n v="70803"/>
    <n v="1.90803631566386"/>
    <d v="2016-01-04T11:38:50"/>
    <n v="23.34"/>
    <x v="138"/>
    <n v="2"/>
    <n v="1"/>
    <n v="2.2999999999999998"/>
    <n v="0"/>
    <n v="3.3"/>
    <x v="128"/>
    <x v="0"/>
    <x v="129"/>
    <x v="72"/>
    <n v="7"/>
    <n v="14"/>
    <e v="#N/A"/>
  </r>
  <r>
    <n v="272"/>
    <d v="2016-01-04T12:56:27"/>
    <d v="2016-01-04T13:11:28"/>
    <x v="0"/>
    <m/>
    <m/>
    <x v="0"/>
    <n v="70805"/>
    <n v="0"/>
    <d v="2016-01-04T13:14:28"/>
    <n v="7.99"/>
    <x v="63"/>
    <n v="1"/>
    <n v="1"/>
    <n v="0"/>
    <n v="0"/>
    <n v="1"/>
    <x v="0"/>
    <x v="0"/>
    <x v="0"/>
    <x v="0"/>
    <n v="7"/>
    <e v="#N/A"/>
    <e v="#N/A"/>
  </r>
  <r>
    <n v="273"/>
    <d v="2016-01-04T10:26:38"/>
    <d v="2016-01-04T10:41:36"/>
    <x v="0"/>
    <s v="Medium"/>
    <m/>
    <x v="0"/>
    <n v="70804"/>
    <n v="0"/>
    <d v="2016-01-04T10:44:35"/>
    <n v="19.579999999999998"/>
    <x v="1"/>
    <n v="2"/>
    <n v="1"/>
    <n v="1.7"/>
    <n v="0"/>
    <n v="2.7"/>
    <x v="0"/>
    <x v="0"/>
    <x v="0"/>
    <x v="0"/>
    <n v="7"/>
    <n v="10"/>
    <e v="#N/A"/>
  </r>
  <r>
    <n v="274"/>
    <d v="2016-01-04T13:10:45"/>
    <d v="2016-01-04T13:25:44"/>
    <x v="0"/>
    <m/>
    <m/>
    <x v="1"/>
    <n v="70806"/>
    <n v="2.57160703174829"/>
    <d v="2016-01-04T13:38:35"/>
    <n v="7.99"/>
    <x v="139"/>
    <n v="1"/>
    <n v="1"/>
    <n v="0"/>
    <n v="0"/>
    <n v="1"/>
    <x v="129"/>
    <x v="0"/>
    <x v="130"/>
    <x v="73"/>
    <n v="7"/>
    <e v="#N/A"/>
    <e v="#N/A"/>
  </r>
  <r>
    <n v="275"/>
    <d v="2016-01-04T12:32:29"/>
    <d v="2016-01-04T12:47:29"/>
    <x v="0"/>
    <s v="Medium"/>
    <m/>
    <x v="0"/>
    <n v="70805"/>
    <n v="0"/>
    <d v="2016-01-04T12:50:29"/>
    <n v="19.579999999999998"/>
    <x v="2"/>
    <n v="2"/>
    <n v="1"/>
    <n v="1.7"/>
    <n v="0"/>
    <n v="2.7"/>
    <x v="0"/>
    <x v="0"/>
    <x v="0"/>
    <x v="0"/>
    <n v="7"/>
    <n v="10"/>
    <e v="#N/A"/>
  </r>
  <r>
    <n v="276"/>
    <d v="2016-01-04T12:53:26"/>
    <d v="2016-01-04T13:08:26"/>
    <x v="0"/>
    <s v="Large"/>
    <m/>
    <x v="1"/>
    <n v="70804"/>
    <n v="2.20603208574724"/>
    <d v="2016-01-04T13:19:27"/>
    <n v="23.34"/>
    <x v="140"/>
    <n v="2"/>
    <n v="1"/>
    <n v="2.2999999999999998"/>
    <n v="0"/>
    <n v="3.3"/>
    <x v="130"/>
    <x v="0"/>
    <x v="131"/>
    <x v="74"/>
    <n v="7"/>
    <n v="14"/>
    <e v="#N/A"/>
  </r>
  <r>
    <n v="277"/>
    <d v="2016-01-04T12:10:37"/>
    <d v="2016-01-04T12:25:37"/>
    <x v="2"/>
    <m/>
    <m/>
    <x v="0"/>
    <n v="70803"/>
    <n v="0"/>
    <d v="2016-01-04T12:28:35"/>
    <n v="11.59"/>
    <x v="0"/>
    <n v="1"/>
    <n v="1.7"/>
    <n v="0"/>
    <n v="0"/>
    <n v="1.7"/>
    <x v="0"/>
    <x v="0"/>
    <x v="0"/>
    <x v="0"/>
    <n v="10"/>
    <e v="#N/A"/>
    <e v="#N/A"/>
  </r>
  <r>
    <n v="278"/>
    <d v="2016-01-04T12:59:57"/>
    <d v="2016-01-04T13:14:57"/>
    <x v="0"/>
    <s v="Medium"/>
    <m/>
    <x v="0"/>
    <n v="70806"/>
    <n v="0"/>
    <d v="2016-01-04T13:17:55"/>
    <n v="19.579999999999998"/>
    <x v="0"/>
    <n v="2"/>
    <n v="1"/>
    <n v="1.7"/>
    <n v="0"/>
    <n v="2.7"/>
    <x v="0"/>
    <x v="0"/>
    <x v="0"/>
    <x v="0"/>
    <n v="7"/>
    <n v="10"/>
    <e v="#N/A"/>
  </r>
  <r>
    <n v="279"/>
    <d v="2016-01-04T11:06:37"/>
    <d v="2016-01-04T11:21:36"/>
    <x v="2"/>
    <m/>
    <m/>
    <x v="0"/>
    <n v="70806"/>
    <n v="0"/>
    <d v="2016-01-04T11:24:37"/>
    <n v="11.59"/>
    <x v="56"/>
    <n v="1"/>
    <n v="1.7"/>
    <n v="0"/>
    <n v="0"/>
    <n v="1.7"/>
    <x v="0"/>
    <x v="0"/>
    <x v="0"/>
    <x v="0"/>
    <n v="10"/>
    <e v="#N/A"/>
    <e v="#N/A"/>
  </r>
  <r>
    <n v="280"/>
    <d v="2016-01-04T12:33:17"/>
    <d v="2016-01-04T12:48:15"/>
    <x v="0"/>
    <s v="Large"/>
    <m/>
    <x v="1"/>
    <n v="70805"/>
    <n v="4.5322817038758503"/>
    <d v="2016-01-04T13:10:54"/>
    <n v="23.34"/>
    <x v="141"/>
    <n v="2"/>
    <n v="1"/>
    <n v="2.2999999999999998"/>
    <n v="0"/>
    <n v="3.3"/>
    <x v="131"/>
    <x v="1"/>
    <x v="132"/>
    <x v="0"/>
    <n v="7"/>
    <n v="14"/>
    <e v="#N/A"/>
  </r>
  <r>
    <n v="281"/>
    <d v="2016-01-04T11:26:50"/>
    <d v="2016-01-04T11:41:50"/>
    <x v="0"/>
    <s v="Medium"/>
    <m/>
    <x v="1"/>
    <n v="70804"/>
    <n v="4.5106968873866098"/>
    <d v="2016-01-04T12:04:23"/>
    <n v="19.579999999999998"/>
    <x v="142"/>
    <n v="2"/>
    <n v="1"/>
    <n v="1.7"/>
    <n v="0"/>
    <n v="2.7"/>
    <x v="132"/>
    <x v="1"/>
    <x v="133"/>
    <x v="0"/>
    <n v="7"/>
    <n v="10"/>
    <e v="#N/A"/>
  </r>
  <r>
    <n v="282"/>
    <d v="2016-01-04T11:08:09"/>
    <d v="2016-01-04T11:23:11"/>
    <x v="0"/>
    <s v="Medium"/>
    <m/>
    <x v="1"/>
    <n v="70804"/>
    <n v="3.41479710854194"/>
    <d v="2016-01-04T11:40:15"/>
    <n v="19.579999999999998"/>
    <x v="143"/>
    <n v="2"/>
    <n v="1"/>
    <n v="1.7"/>
    <n v="0"/>
    <n v="2.7"/>
    <x v="133"/>
    <x v="1"/>
    <x v="134"/>
    <x v="0"/>
    <n v="7"/>
    <n v="10"/>
    <e v="#N/A"/>
  </r>
  <r>
    <n v="283"/>
    <d v="2016-01-04T13:59:01"/>
    <d v="2016-01-04T14:13:58"/>
    <x v="2"/>
    <m/>
    <m/>
    <x v="0"/>
    <n v="70804"/>
    <n v="0"/>
    <d v="2016-01-04T14:16:59"/>
    <n v="11.59"/>
    <x v="14"/>
    <n v="1"/>
    <n v="1.7"/>
    <n v="0"/>
    <n v="0"/>
    <n v="1.7"/>
    <x v="0"/>
    <x v="0"/>
    <x v="0"/>
    <x v="0"/>
    <n v="10"/>
    <e v="#N/A"/>
    <e v="#N/A"/>
  </r>
  <r>
    <n v="284"/>
    <d v="2016-01-04T11:14:25"/>
    <d v="2016-01-04T11:29:24"/>
    <x v="0"/>
    <s v="Large"/>
    <m/>
    <x v="1"/>
    <n v="70803"/>
    <n v="1.44929961592026"/>
    <d v="2016-01-04T11:36:38"/>
    <n v="23.34"/>
    <x v="144"/>
    <n v="2"/>
    <n v="1"/>
    <n v="2.2999999999999998"/>
    <n v="0"/>
    <n v="3.3"/>
    <x v="134"/>
    <x v="0"/>
    <x v="135"/>
    <x v="75"/>
    <n v="7"/>
    <n v="14"/>
    <e v="#N/A"/>
  </r>
  <r>
    <n v="285"/>
    <d v="2016-01-04T11:01:51"/>
    <d v="2016-01-04T11:16:48"/>
    <x v="0"/>
    <m/>
    <m/>
    <x v="1"/>
    <n v="70805"/>
    <n v="3.3353953721751499"/>
    <d v="2016-01-04T11:33:28"/>
    <n v="7.99"/>
    <x v="145"/>
    <n v="1"/>
    <n v="1"/>
    <n v="0"/>
    <n v="0"/>
    <n v="1"/>
    <x v="135"/>
    <x v="1"/>
    <x v="136"/>
    <x v="0"/>
    <n v="7"/>
    <e v="#N/A"/>
    <e v="#N/A"/>
  </r>
  <r>
    <n v="286"/>
    <d v="2016-01-04T11:54:18"/>
    <d v="2016-01-04T12:09:17"/>
    <x v="0"/>
    <s v="Medium"/>
    <m/>
    <x v="1"/>
    <n v="70804"/>
    <n v="4.1135598655945902"/>
    <d v="2016-01-04T12:29:51"/>
    <n v="19.579999999999998"/>
    <x v="146"/>
    <n v="2"/>
    <n v="1"/>
    <n v="1.7"/>
    <n v="0"/>
    <n v="2.7"/>
    <x v="136"/>
    <x v="1"/>
    <x v="137"/>
    <x v="0"/>
    <n v="7"/>
    <n v="10"/>
    <e v="#N/A"/>
  </r>
  <r>
    <n v="287"/>
    <d v="2016-01-04T12:45:19"/>
    <d v="2016-01-04T13:00:18"/>
    <x v="1"/>
    <m/>
    <m/>
    <x v="1"/>
    <n v="70805"/>
    <n v="4.1103667311443299"/>
    <d v="2016-01-04T13:20:51"/>
    <n v="15.35"/>
    <x v="147"/>
    <n v="1"/>
    <n v="2.2999999999999998"/>
    <n v="0"/>
    <n v="0"/>
    <n v="2.2999999999999998"/>
    <x v="137"/>
    <x v="1"/>
    <x v="138"/>
    <x v="0"/>
    <n v="14"/>
    <e v="#N/A"/>
    <e v="#N/A"/>
  </r>
  <r>
    <n v="288"/>
    <d v="2016-01-04T10:16:59"/>
    <d v="2016-01-04T10:31:59"/>
    <x v="2"/>
    <m/>
    <m/>
    <x v="0"/>
    <n v="70803"/>
    <n v="0"/>
    <d v="2016-01-04T10:34:59"/>
    <n v="11.59"/>
    <x v="2"/>
    <n v="1"/>
    <n v="1.7"/>
    <n v="0"/>
    <n v="0"/>
    <n v="1.7"/>
    <x v="0"/>
    <x v="0"/>
    <x v="0"/>
    <x v="0"/>
    <n v="10"/>
    <e v="#N/A"/>
    <e v="#N/A"/>
  </r>
  <r>
    <n v="289"/>
    <d v="2016-01-04T11:31:45"/>
    <d v="2016-01-04T11:46:45"/>
    <x v="1"/>
    <m/>
    <m/>
    <x v="1"/>
    <n v="70805"/>
    <n v="4.3627106236587601"/>
    <d v="2016-01-04T12:08:33"/>
    <n v="15.35"/>
    <x v="148"/>
    <n v="1"/>
    <n v="2.2999999999999998"/>
    <n v="0"/>
    <n v="0"/>
    <n v="2.2999999999999998"/>
    <x v="138"/>
    <x v="1"/>
    <x v="139"/>
    <x v="0"/>
    <n v="14"/>
    <e v="#N/A"/>
    <e v="#N/A"/>
  </r>
  <r>
    <n v="290"/>
    <d v="2016-01-04T13:36:39"/>
    <d v="2016-01-04T13:51:38"/>
    <x v="2"/>
    <m/>
    <m/>
    <x v="0"/>
    <n v="70804"/>
    <n v="0"/>
    <d v="2016-01-04T13:54:36"/>
    <n v="11.59"/>
    <x v="0"/>
    <n v="1"/>
    <n v="1.7"/>
    <n v="0"/>
    <n v="0"/>
    <n v="1.7"/>
    <x v="0"/>
    <x v="0"/>
    <x v="0"/>
    <x v="0"/>
    <n v="10"/>
    <e v="#N/A"/>
    <e v="#N/A"/>
  </r>
  <r>
    <n v="291"/>
    <d v="2016-01-04T13:17:26"/>
    <d v="2016-01-04T13:32:25"/>
    <x v="0"/>
    <s v="Medium"/>
    <m/>
    <x v="1"/>
    <n v="70803"/>
    <n v="2.8789643115510901"/>
    <d v="2016-01-04T13:46:48"/>
    <n v="19.579999999999998"/>
    <x v="149"/>
    <n v="2"/>
    <n v="1"/>
    <n v="1.7"/>
    <n v="0"/>
    <n v="2.7"/>
    <x v="139"/>
    <x v="0"/>
    <x v="140"/>
    <x v="76"/>
    <n v="7"/>
    <n v="10"/>
    <e v="#N/A"/>
  </r>
  <r>
    <n v="292"/>
    <d v="2016-01-04T11:50:31"/>
    <d v="2016-01-04T12:05:30"/>
    <x v="0"/>
    <s v="Large"/>
    <m/>
    <x v="0"/>
    <n v="70804"/>
    <n v="0"/>
    <d v="2016-01-04T12:08:28"/>
    <n v="23.34"/>
    <x v="0"/>
    <n v="2"/>
    <n v="1"/>
    <n v="2.2999999999999998"/>
    <n v="0"/>
    <n v="3.3"/>
    <x v="0"/>
    <x v="0"/>
    <x v="0"/>
    <x v="0"/>
    <n v="7"/>
    <n v="14"/>
    <e v="#N/A"/>
  </r>
  <r>
    <n v="293"/>
    <d v="2016-01-04T13:28:40"/>
    <d v="2016-01-04T13:43:40"/>
    <x v="2"/>
    <m/>
    <m/>
    <x v="0"/>
    <n v="70804"/>
    <n v="0"/>
    <d v="2016-01-04T13:46:40"/>
    <n v="11.59"/>
    <x v="2"/>
    <n v="1"/>
    <n v="1.7"/>
    <n v="0"/>
    <n v="0"/>
    <n v="1.7"/>
    <x v="0"/>
    <x v="0"/>
    <x v="0"/>
    <x v="0"/>
    <n v="10"/>
    <e v="#N/A"/>
    <e v="#N/A"/>
  </r>
  <r>
    <n v="294"/>
    <d v="2016-01-04T10:47:39"/>
    <d v="2016-01-04T11:02:39"/>
    <x v="1"/>
    <m/>
    <m/>
    <x v="1"/>
    <n v="70804"/>
    <n v="0.85822021595679199"/>
    <d v="2016-01-04T11:06:56"/>
    <n v="15.35"/>
    <x v="150"/>
    <n v="1"/>
    <n v="2.2999999999999998"/>
    <n v="0"/>
    <n v="0"/>
    <n v="2.2999999999999998"/>
    <x v="140"/>
    <x v="0"/>
    <x v="141"/>
    <x v="77"/>
    <n v="14"/>
    <e v="#N/A"/>
    <e v="#N/A"/>
  </r>
  <r>
    <n v="295"/>
    <d v="2016-01-04T11:25:23"/>
    <d v="2016-01-04T11:40:20"/>
    <x v="0"/>
    <m/>
    <m/>
    <x v="1"/>
    <n v="70806"/>
    <n v="2.7576606316405798"/>
    <d v="2016-01-04T11:54:07"/>
    <n v="7.99"/>
    <x v="151"/>
    <n v="1"/>
    <n v="1"/>
    <n v="0"/>
    <n v="0"/>
    <n v="1"/>
    <x v="141"/>
    <x v="0"/>
    <x v="142"/>
    <x v="78"/>
    <n v="7"/>
    <e v="#N/A"/>
    <e v="#N/A"/>
  </r>
  <r>
    <n v="296"/>
    <d v="2016-01-04T12:11:35"/>
    <d v="2016-01-04T12:26:35"/>
    <x v="0"/>
    <s v="Large"/>
    <m/>
    <x v="1"/>
    <n v="70806"/>
    <n v="5.4427183981334801"/>
    <d v="2016-01-04T12:53:47"/>
    <n v="23.34"/>
    <x v="152"/>
    <n v="2"/>
    <n v="1"/>
    <n v="2.2999999999999998"/>
    <n v="0"/>
    <n v="3.3"/>
    <x v="142"/>
    <x v="1"/>
    <x v="143"/>
    <x v="0"/>
    <n v="7"/>
    <n v="14"/>
    <e v="#N/A"/>
  </r>
  <r>
    <n v="297"/>
    <d v="2016-01-04T11:07:56"/>
    <d v="2016-01-04T11:22:53"/>
    <x v="0"/>
    <m/>
    <m/>
    <x v="0"/>
    <n v="70806"/>
    <n v="0"/>
    <d v="2016-01-04T11:25:54"/>
    <n v="7.99"/>
    <x v="14"/>
    <n v="1"/>
    <n v="1"/>
    <n v="0"/>
    <n v="0"/>
    <n v="1"/>
    <x v="0"/>
    <x v="0"/>
    <x v="0"/>
    <x v="0"/>
    <n v="7"/>
    <e v="#N/A"/>
    <e v="#N/A"/>
  </r>
  <r>
    <n v="298"/>
    <d v="2016-01-04T11:17:48"/>
    <d v="2016-01-04T11:32:47"/>
    <x v="2"/>
    <m/>
    <m/>
    <x v="0"/>
    <n v="70804"/>
    <n v="0"/>
    <d v="2016-01-04T11:35:47"/>
    <n v="11.59"/>
    <x v="2"/>
    <n v="1"/>
    <n v="1.7"/>
    <n v="0"/>
    <n v="0"/>
    <n v="1.7"/>
    <x v="0"/>
    <x v="0"/>
    <x v="0"/>
    <x v="0"/>
    <n v="10"/>
    <e v="#N/A"/>
    <e v="#N/A"/>
  </r>
  <r>
    <n v="299"/>
    <d v="2016-01-04T12:44:56"/>
    <d v="2016-01-04T12:59:56"/>
    <x v="2"/>
    <m/>
    <m/>
    <x v="0"/>
    <n v="70804"/>
    <n v="0"/>
    <d v="2016-01-04T13:02:56"/>
    <n v="11.59"/>
    <x v="2"/>
    <n v="1"/>
    <n v="1.7"/>
    <n v="0"/>
    <n v="0"/>
    <n v="1.7"/>
    <x v="0"/>
    <x v="0"/>
    <x v="0"/>
    <x v="0"/>
    <n v="10"/>
    <e v="#N/A"/>
    <e v="#N/A"/>
  </r>
  <r>
    <n v="300"/>
    <d v="2016-01-04T12:35:01"/>
    <d v="2016-01-04T12:49:58"/>
    <x v="2"/>
    <s v="Large"/>
    <m/>
    <x v="1"/>
    <n v="70805"/>
    <n v="2.7654784714688598"/>
    <d v="2016-01-04T13:03:47"/>
    <n v="25.94"/>
    <x v="153"/>
    <n v="2"/>
    <n v="1.7"/>
    <n v="2.2999999999999998"/>
    <n v="0"/>
    <n v="4"/>
    <x v="143"/>
    <x v="0"/>
    <x v="144"/>
    <x v="79"/>
    <n v="10"/>
    <n v="14"/>
    <e v="#N/A"/>
  </r>
  <r>
    <n v="301"/>
    <d v="2016-01-04T11:36:33"/>
    <d v="2016-01-04T11:51:32"/>
    <x v="0"/>
    <m/>
    <m/>
    <x v="0"/>
    <n v="70805"/>
    <n v="0"/>
    <d v="2016-01-04T11:54:32"/>
    <n v="7.99"/>
    <x v="2"/>
    <n v="1"/>
    <n v="1"/>
    <n v="0"/>
    <n v="0"/>
    <n v="1"/>
    <x v="0"/>
    <x v="0"/>
    <x v="0"/>
    <x v="0"/>
    <n v="7"/>
    <e v="#N/A"/>
    <e v="#N/A"/>
  </r>
  <r>
    <n v="302"/>
    <d v="2016-01-04T13:16:32"/>
    <d v="2016-01-04T13:31:31"/>
    <x v="0"/>
    <s v="Medium"/>
    <m/>
    <x v="0"/>
    <n v="70803"/>
    <n v="0"/>
    <d v="2016-01-04T13:34:29"/>
    <n v="19.579999999999998"/>
    <x v="0"/>
    <n v="2"/>
    <n v="1"/>
    <n v="1.7"/>
    <n v="0"/>
    <n v="2.7"/>
    <x v="0"/>
    <x v="0"/>
    <x v="0"/>
    <x v="0"/>
    <n v="7"/>
    <n v="10"/>
    <e v="#N/A"/>
  </r>
  <r>
    <n v="303"/>
    <d v="2016-01-04T11:33:28"/>
    <d v="2016-01-04T11:48:28"/>
    <x v="2"/>
    <m/>
    <m/>
    <x v="1"/>
    <n v="70803"/>
    <n v="2.2972406791594602"/>
    <d v="2016-01-04T11:59:57"/>
    <n v="11.59"/>
    <x v="154"/>
    <n v="1"/>
    <n v="1.7"/>
    <n v="0"/>
    <n v="0"/>
    <n v="1.7"/>
    <x v="144"/>
    <x v="0"/>
    <x v="145"/>
    <x v="80"/>
    <n v="10"/>
    <e v="#N/A"/>
    <e v="#N/A"/>
  </r>
  <r>
    <n v="304"/>
    <d v="2016-01-04T13:42:09"/>
    <d v="2016-01-04T13:57:07"/>
    <x v="0"/>
    <m/>
    <m/>
    <x v="1"/>
    <n v="70803"/>
    <n v="3.6674402932149501"/>
    <d v="2016-01-04T14:15:27"/>
    <n v="7.99"/>
    <x v="155"/>
    <n v="1"/>
    <n v="1"/>
    <n v="0"/>
    <n v="0"/>
    <n v="1"/>
    <x v="145"/>
    <x v="1"/>
    <x v="146"/>
    <x v="0"/>
    <n v="7"/>
    <e v="#N/A"/>
    <e v="#N/A"/>
  </r>
  <r>
    <n v="305"/>
    <d v="2016-01-04T14:14:56"/>
    <d v="2016-01-04T14:29:55"/>
    <x v="2"/>
    <s v="Large"/>
    <m/>
    <x v="0"/>
    <n v="70805"/>
    <n v="0"/>
    <d v="2016-01-04T14:32:53"/>
    <n v="25.94"/>
    <x v="0"/>
    <n v="2"/>
    <n v="1.7"/>
    <n v="2.2999999999999998"/>
    <n v="0"/>
    <n v="4"/>
    <x v="0"/>
    <x v="0"/>
    <x v="0"/>
    <x v="0"/>
    <n v="10"/>
    <n v="14"/>
    <e v="#N/A"/>
  </r>
  <r>
    <n v="306"/>
    <d v="2016-01-04T11:05:26"/>
    <d v="2016-01-04T11:20:26"/>
    <x v="0"/>
    <s v="Medium"/>
    <m/>
    <x v="0"/>
    <n v="70803"/>
    <n v="0"/>
    <d v="2016-01-04T11:23:25"/>
    <n v="19.579999999999998"/>
    <x v="24"/>
    <n v="2"/>
    <n v="1"/>
    <n v="1.7"/>
    <n v="0"/>
    <n v="2.7"/>
    <x v="0"/>
    <x v="0"/>
    <x v="0"/>
    <x v="0"/>
    <n v="7"/>
    <n v="10"/>
    <e v="#N/A"/>
  </r>
  <r>
    <n v="307"/>
    <d v="2016-01-04T10:14:24"/>
    <d v="2016-01-04T10:29:24"/>
    <x v="2"/>
    <m/>
    <m/>
    <x v="1"/>
    <n v="70805"/>
    <n v="1.49603457499874"/>
    <d v="2016-01-04T10:36:52"/>
    <n v="11.59"/>
    <x v="156"/>
    <n v="1"/>
    <n v="1.7"/>
    <n v="0"/>
    <n v="0"/>
    <n v="1.7"/>
    <x v="146"/>
    <x v="0"/>
    <x v="147"/>
    <x v="81"/>
    <n v="10"/>
    <e v="#N/A"/>
    <e v="#N/A"/>
  </r>
  <r>
    <n v="308"/>
    <d v="2016-01-04T12:15:30"/>
    <d v="2016-01-04T12:30:29"/>
    <x v="2"/>
    <m/>
    <m/>
    <x v="0"/>
    <n v="70804"/>
    <n v="0"/>
    <d v="2016-01-04T12:33:28"/>
    <n v="11.59"/>
    <x v="24"/>
    <n v="1"/>
    <n v="1.7"/>
    <n v="0"/>
    <n v="0"/>
    <n v="1.7"/>
    <x v="0"/>
    <x v="0"/>
    <x v="0"/>
    <x v="0"/>
    <n v="10"/>
    <e v="#N/A"/>
    <e v="#N/A"/>
  </r>
  <r>
    <n v="309"/>
    <d v="2016-01-04T13:41:51"/>
    <d v="2016-01-04T13:56:50"/>
    <x v="0"/>
    <s v="Medium"/>
    <m/>
    <x v="0"/>
    <n v="70806"/>
    <n v="0"/>
    <d v="2016-01-04T13:59:50"/>
    <n v="19.579999999999998"/>
    <x v="2"/>
    <n v="2"/>
    <n v="1"/>
    <n v="1.7"/>
    <n v="0"/>
    <n v="2.7"/>
    <x v="0"/>
    <x v="0"/>
    <x v="0"/>
    <x v="0"/>
    <n v="7"/>
    <n v="10"/>
    <e v="#N/A"/>
  </r>
  <r>
    <n v="310"/>
    <d v="2016-01-04T10:59:19"/>
    <d v="2016-01-04T11:14:19"/>
    <x v="0"/>
    <m/>
    <m/>
    <x v="1"/>
    <n v="70805"/>
    <n v="1.5562672956102299"/>
    <d v="2016-01-04T11:22:05"/>
    <n v="7.99"/>
    <x v="157"/>
    <n v="1"/>
    <n v="1"/>
    <n v="0"/>
    <n v="0"/>
    <n v="1"/>
    <x v="147"/>
    <x v="0"/>
    <x v="148"/>
    <x v="82"/>
    <n v="7"/>
    <e v="#N/A"/>
    <e v="#N/A"/>
  </r>
  <r>
    <n v="311"/>
    <d v="2016-01-04T11:53:50"/>
    <d v="2016-01-04T12:08:49"/>
    <x v="1"/>
    <m/>
    <m/>
    <x v="0"/>
    <n v="70803"/>
    <n v="0"/>
    <d v="2016-01-04T12:11:49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312"/>
    <d v="2016-01-04T10:13:38"/>
    <d v="2016-01-04T10:28:36"/>
    <x v="0"/>
    <s v="Medium"/>
    <m/>
    <x v="0"/>
    <n v="70807"/>
    <n v="0"/>
    <d v="2016-01-04T10:31:35"/>
    <n v="19.579999999999998"/>
    <x v="1"/>
    <n v="2"/>
    <n v="1"/>
    <n v="1.7"/>
    <n v="0"/>
    <n v="2.7"/>
    <x v="0"/>
    <x v="0"/>
    <x v="0"/>
    <x v="0"/>
    <n v="7"/>
    <n v="10"/>
    <e v="#N/A"/>
  </r>
  <r>
    <n v="313"/>
    <d v="2016-01-04T10:27:02"/>
    <d v="2016-01-04T10:42:02"/>
    <x v="1"/>
    <m/>
    <m/>
    <x v="0"/>
    <n v="70804"/>
    <n v="0"/>
    <d v="2016-01-04T10:45:01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314"/>
    <d v="2016-01-04T11:59:51"/>
    <d v="2016-01-04T12:14:51"/>
    <x v="1"/>
    <m/>
    <m/>
    <x v="0"/>
    <n v="70805"/>
    <n v="0"/>
    <d v="2016-01-04T12:17:50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315"/>
    <d v="2016-01-04T11:39:38"/>
    <d v="2016-01-04T11:54:39"/>
    <x v="0"/>
    <m/>
    <m/>
    <x v="0"/>
    <n v="70804"/>
    <n v="0"/>
    <d v="2016-01-04T11:57:38"/>
    <n v="7.99"/>
    <x v="1"/>
    <n v="1"/>
    <n v="1"/>
    <n v="0"/>
    <n v="0"/>
    <n v="1"/>
    <x v="0"/>
    <x v="0"/>
    <x v="0"/>
    <x v="0"/>
    <n v="7"/>
    <e v="#N/A"/>
    <e v="#N/A"/>
  </r>
  <r>
    <n v="316"/>
    <d v="2016-01-04T11:30:48"/>
    <d v="2016-01-04T11:45:48"/>
    <x v="1"/>
    <m/>
    <m/>
    <x v="0"/>
    <n v="70803"/>
    <n v="0"/>
    <d v="2016-01-04T11:48:47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317"/>
    <d v="2016-01-04T13:39:04"/>
    <d v="2016-01-04T13:54:03"/>
    <x v="0"/>
    <m/>
    <m/>
    <x v="0"/>
    <n v="70806"/>
    <n v="0"/>
    <d v="2016-01-04T13:57:02"/>
    <n v="7.99"/>
    <x v="1"/>
    <n v="1"/>
    <n v="1"/>
    <n v="0"/>
    <n v="0"/>
    <n v="1"/>
    <x v="0"/>
    <x v="0"/>
    <x v="0"/>
    <x v="0"/>
    <n v="7"/>
    <e v="#N/A"/>
    <e v="#N/A"/>
  </r>
  <r>
    <n v="318"/>
    <d v="2016-01-04T11:19:30"/>
    <d v="2016-01-04T11:34:29"/>
    <x v="1"/>
    <m/>
    <m/>
    <x v="0"/>
    <n v="70805"/>
    <n v="0"/>
    <d v="2016-01-04T11:37:30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319"/>
    <d v="2016-01-04T11:38:45"/>
    <d v="2016-01-04T11:53:44"/>
    <x v="0"/>
    <m/>
    <m/>
    <x v="1"/>
    <n v="70808"/>
    <n v="0.91607002028784201"/>
    <d v="2016-01-04T11:58:18"/>
    <n v="7.99"/>
    <x v="158"/>
    <n v="1"/>
    <n v="1"/>
    <n v="0"/>
    <n v="0"/>
    <n v="1"/>
    <x v="148"/>
    <x v="0"/>
    <x v="149"/>
    <x v="83"/>
    <n v="7"/>
    <e v="#N/A"/>
    <e v="#N/A"/>
  </r>
  <r>
    <n v="320"/>
    <d v="2016-01-04T10:19:18"/>
    <d v="2016-01-04T10:34:19"/>
    <x v="0"/>
    <m/>
    <m/>
    <x v="0"/>
    <n v="70803"/>
    <n v="0"/>
    <d v="2016-01-04T10:37:17"/>
    <n v="7.99"/>
    <x v="0"/>
    <n v="1"/>
    <n v="1"/>
    <n v="0"/>
    <n v="0"/>
    <n v="1"/>
    <x v="0"/>
    <x v="0"/>
    <x v="0"/>
    <x v="0"/>
    <n v="7"/>
    <e v="#N/A"/>
    <e v="#N/A"/>
  </r>
  <r>
    <n v="321"/>
    <d v="2016-01-04T11:26:20"/>
    <d v="2016-01-04T11:41:19"/>
    <x v="1"/>
    <m/>
    <m/>
    <x v="1"/>
    <n v="70807"/>
    <n v="5.5330215012028399"/>
    <d v="2016-01-04T12:08:58"/>
    <n v="15.35"/>
    <x v="159"/>
    <n v="1"/>
    <n v="2.2999999999999998"/>
    <n v="0"/>
    <n v="0"/>
    <n v="2.2999999999999998"/>
    <x v="149"/>
    <x v="1"/>
    <x v="150"/>
    <x v="0"/>
    <n v="14"/>
    <e v="#N/A"/>
    <e v="#N/A"/>
  </r>
  <r>
    <n v="322"/>
    <d v="2016-01-04T12:22:37"/>
    <d v="2016-01-04T12:37:37"/>
    <x v="0"/>
    <s v="Large"/>
    <m/>
    <x v="0"/>
    <n v="70803"/>
    <n v="0"/>
    <d v="2016-01-04T12:40:36"/>
    <n v="23.34"/>
    <x v="24"/>
    <n v="2"/>
    <n v="1"/>
    <n v="2.2999999999999998"/>
    <n v="0"/>
    <n v="3.3"/>
    <x v="0"/>
    <x v="0"/>
    <x v="0"/>
    <x v="0"/>
    <n v="7"/>
    <n v="14"/>
    <e v="#N/A"/>
  </r>
  <r>
    <n v="323"/>
    <d v="2016-01-04T10:26:40"/>
    <d v="2016-01-04T10:41:41"/>
    <x v="2"/>
    <m/>
    <m/>
    <x v="0"/>
    <n v="70805"/>
    <n v="0"/>
    <d v="2016-01-04T10:44:39"/>
    <n v="11.59"/>
    <x v="0"/>
    <n v="1"/>
    <n v="1.7"/>
    <n v="0"/>
    <n v="0"/>
    <n v="1.7"/>
    <x v="0"/>
    <x v="0"/>
    <x v="0"/>
    <x v="0"/>
    <n v="10"/>
    <e v="#N/A"/>
    <e v="#N/A"/>
  </r>
  <r>
    <n v="324"/>
    <d v="2016-01-04T10:36:45"/>
    <d v="2016-01-04T10:51:46"/>
    <x v="1"/>
    <m/>
    <m/>
    <x v="0"/>
    <n v="70804"/>
    <n v="0"/>
    <d v="2016-01-04T10:54:44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325"/>
    <d v="2016-01-04T12:46:41"/>
    <d v="2016-01-04T13:01:41"/>
    <x v="0"/>
    <s v="Medium"/>
    <m/>
    <x v="1"/>
    <n v="70805"/>
    <n v="2.13074469492134"/>
    <d v="2016-01-04T13:12:20"/>
    <n v="19.579999999999998"/>
    <x v="160"/>
    <n v="2"/>
    <n v="1"/>
    <n v="1.7"/>
    <n v="0"/>
    <n v="2.7"/>
    <x v="150"/>
    <x v="0"/>
    <x v="151"/>
    <x v="84"/>
    <n v="7"/>
    <n v="10"/>
    <e v="#N/A"/>
  </r>
  <r>
    <n v="326"/>
    <d v="2016-01-04T12:15:41"/>
    <d v="2016-01-04T12:30:41"/>
    <x v="2"/>
    <m/>
    <m/>
    <x v="0"/>
    <n v="70805"/>
    <n v="0"/>
    <d v="2016-01-04T12:33:40"/>
    <n v="11.59"/>
    <x v="1"/>
    <n v="1"/>
    <n v="1.7"/>
    <n v="0"/>
    <n v="0"/>
    <n v="1.7"/>
    <x v="0"/>
    <x v="0"/>
    <x v="0"/>
    <x v="0"/>
    <n v="10"/>
    <e v="#N/A"/>
    <e v="#N/A"/>
  </r>
  <r>
    <n v="327"/>
    <d v="2016-01-04T12:40:40"/>
    <d v="2016-01-04T12:55:39"/>
    <x v="0"/>
    <m/>
    <m/>
    <x v="0"/>
    <n v="70804"/>
    <n v="0"/>
    <d v="2016-01-04T12:58:39"/>
    <n v="7.99"/>
    <x v="2"/>
    <n v="1"/>
    <n v="1"/>
    <n v="0"/>
    <n v="0"/>
    <n v="1"/>
    <x v="0"/>
    <x v="0"/>
    <x v="0"/>
    <x v="0"/>
    <n v="7"/>
    <e v="#N/A"/>
    <e v="#N/A"/>
  </r>
  <r>
    <n v="328"/>
    <d v="2016-01-04T10:27:31"/>
    <d v="2016-01-04T10:42:30"/>
    <x v="0"/>
    <s v="Large"/>
    <m/>
    <x v="0"/>
    <n v="70804"/>
    <n v="0"/>
    <d v="2016-01-04T10:45:29"/>
    <n v="23.34"/>
    <x v="1"/>
    <n v="2"/>
    <n v="1"/>
    <n v="2.2999999999999998"/>
    <n v="0"/>
    <n v="3.3"/>
    <x v="0"/>
    <x v="0"/>
    <x v="0"/>
    <x v="0"/>
    <n v="7"/>
    <n v="14"/>
    <e v="#N/A"/>
  </r>
  <r>
    <n v="329"/>
    <d v="2016-01-04T10:22:24"/>
    <d v="2016-01-04T10:37:22"/>
    <x v="2"/>
    <m/>
    <m/>
    <x v="1"/>
    <n v="70804"/>
    <n v="2.7423085121064701"/>
    <d v="2016-01-04T10:51:04"/>
    <n v="11.59"/>
    <x v="161"/>
    <n v="1"/>
    <n v="1.7"/>
    <n v="0"/>
    <n v="0"/>
    <n v="1.7"/>
    <x v="151"/>
    <x v="0"/>
    <x v="152"/>
    <x v="85"/>
    <n v="10"/>
    <e v="#N/A"/>
    <e v="#N/A"/>
  </r>
  <r>
    <n v="330"/>
    <d v="2016-01-04T14:09:27"/>
    <d v="2016-01-04T14:24:28"/>
    <x v="0"/>
    <s v="Medium"/>
    <m/>
    <x v="1"/>
    <n v="70804"/>
    <n v="2.8577849568401499"/>
    <d v="2016-01-04T14:38:45"/>
    <n v="19.579999999999998"/>
    <x v="162"/>
    <n v="2"/>
    <n v="1"/>
    <n v="1.7"/>
    <n v="0"/>
    <n v="2.7"/>
    <x v="152"/>
    <x v="0"/>
    <x v="153"/>
    <x v="86"/>
    <n v="7"/>
    <n v="10"/>
    <e v="#N/A"/>
  </r>
  <r>
    <n v="331"/>
    <d v="2016-01-04T10:35:38"/>
    <d v="2016-01-04T10:50:40"/>
    <x v="0"/>
    <s v="Medium"/>
    <m/>
    <x v="0"/>
    <n v="70805"/>
    <n v="0"/>
    <d v="2016-01-04T10:53:40"/>
    <n v="19.579999999999998"/>
    <x v="2"/>
    <n v="2"/>
    <n v="1"/>
    <n v="1.7"/>
    <n v="0"/>
    <n v="2.7"/>
    <x v="0"/>
    <x v="0"/>
    <x v="0"/>
    <x v="0"/>
    <n v="7"/>
    <n v="10"/>
    <e v="#N/A"/>
  </r>
  <r>
    <n v="332"/>
    <d v="2016-01-04T12:20:36"/>
    <d v="2016-01-04T12:35:36"/>
    <x v="0"/>
    <s v="Medium"/>
    <m/>
    <x v="0"/>
    <n v="70804"/>
    <n v="0"/>
    <d v="2016-01-04T12:38:36"/>
    <n v="19.579999999999998"/>
    <x v="2"/>
    <n v="2"/>
    <n v="1"/>
    <n v="1.7"/>
    <n v="0"/>
    <n v="2.7"/>
    <x v="0"/>
    <x v="0"/>
    <x v="0"/>
    <x v="0"/>
    <n v="7"/>
    <n v="10"/>
    <e v="#N/A"/>
  </r>
  <r>
    <n v="333"/>
    <d v="2016-01-04T13:27:22"/>
    <d v="2016-01-04T13:42:20"/>
    <x v="0"/>
    <s v="Medium"/>
    <m/>
    <x v="0"/>
    <n v="70806"/>
    <n v="0"/>
    <d v="2016-01-04T13:45:19"/>
    <n v="19.579999999999998"/>
    <x v="24"/>
    <n v="2"/>
    <n v="1"/>
    <n v="1.7"/>
    <n v="0"/>
    <n v="2.7"/>
    <x v="0"/>
    <x v="0"/>
    <x v="0"/>
    <x v="0"/>
    <n v="7"/>
    <n v="10"/>
    <e v="#N/A"/>
  </r>
  <r>
    <n v="334"/>
    <d v="2016-01-04T11:02:20"/>
    <d v="2016-01-04T11:17:21"/>
    <x v="0"/>
    <m/>
    <m/>
    <x v="1"/>
    <n v="70804"/>
    <n v="1.8151910248001899"/>
    <d v="2016-01-04T11:26:25"/>
    <n v="7.99"/>
    <x v="163"/>
    <n v="1"/>
    <n v="1"/>
    <n v="0"/>
    <n v="0"/>
    <n v="1"/>
    <x v="153"/>
    <x v="0"/>
    <x v="154"/>
    <x v="87"/>
    <n v="7"/>
    <e v="#N/A"/>
    <e v="#N/A"/>
  </r>
  <r>
    <n v="335"/>
    <d v="2016-01-04T11:18:34"/>
    <d v="2016-01-04T11:33:33"/>
    <x v="1"/>
    <m/>
    <m/>
    <x v="1"/>
    <n v="70805"/>
    <n v="3.2549577407388801"/>
    <d v="2016-01-04T11:49:49"/>
    <n v="15.35"/>
    <x v="164"/>
    <n v="1"/>
    <n v="2.2999999999999998"/>
    <n v="0"/>
    <n v="0"/>
    <n v="2.2999999999999998"/>
    <x v="154"/>
    <x v="1"/>
    <x v="155"/>
    <x v="0"/>
    <n v="14"/>
    <e v="#N/A"/>
    <e v="#N/A"/>
  </r>
  <r>
    <n v="336"/>
    <d v="2016-01-05T12:46:28"/>
    <d v="2016-01-05T13:01:27"/>
    <x v="0"/>
    <m/>
    <m/>
    <x v="1"/>
    <n v="70806"/>
    <n v="0.61418274048152099"/>
    <d v="2016-01-05T13:04:31"/>
    <n v="7.99"/>
    <x v="165"/>
    <n v="1"/>
    <n v="1"/>
    <n v="0"/>
    <n v="0"/>
    <n v="1"/>
    <x v="155"/>
    <x v="0"/>
    <x v="156"/>
    <x v="88"/>
    <n v="7"/>
    <e v="#N/A"/>
    <e v="#N/A"/>
  </r>
  <r>
    <n v="337"/>
    <d v="2016-01-05T13:47:06"/>
    <d v="2016-01-05T14:02:03"/>
    <x v="2"/>
    <m/>
    <m/>
    <x v="0"/>
    <n v="70806"/>
    <n v="0"/>
    <d v="2016-01-05T14:05:02"/>
    <n v="11.59"/>
    <x v="24"/>
    <n v="1"/>
    <n v="1.7"/>
    <n v="0"/>
    <n v="0"/>
    <n v="1.7"/>
    <x v="0"/>
    <x v="0"/>
    <x v="0"/>
    <x v="0"/>
    <n v="10"/>
    <e v="#N/A"/>
    <e v="#N/A"/>
  </r>
  <r>
    <n v="338"/>
    <d v="2016-01-05T12:28:10"/>
    <d v="2016-01-05T12:43:10"/>
    <x v="0"/>
    <m/>
    <m/>
    <x v="1"/>
    <n v="70804"/>
    <n v="2.5574900712294402"/>
    <d v="2016-01-05T12:55:57"/>
    <n v="7.99"/>
    <x v="166"/>
    <n v="1"/>
    <n v="1"/>
    <n v="0"/>
    <n v="0"/>
    <n v="1"/>
    <x v="156"/>
    <x v="0"/>
    <x v="157"/>
    <x v="89"/>
    <n v="7"/>
    <e v="#N/A"/>
    <e v="#N/A"/>
  </r>
  <r>
    <n v="339"/>
    <d v="2016-01-05T11:43:20"/>
    <d v="2016-01-05T11:58:21"/>
    <x v="0"/>
    <s v="Medium"/>
    <m/>
    <x v="0"/>
    <n v="70806"/>
    <n v="0"/>
    <d v="2016-01-05T12:01:22"/>
    <n v="19.579999999999998"/>
    <x v="14"/>
    <n v="2"/>
    <n v="1"/>
    <n v="1.7"/>
    <n v="0"/>
    <n v="2.7"/>
    <x v="0"/>
    <x v="0"/>
    <x v="0"/>
    <x v="0"/>
    <n v="7"/>
    <n v="10"/>
    <e v="#N/A"/>
  </r>
  <r>
    <n v="340"/>
    <d v="2016-01-05T11:18:46"/>
    <d v="2016-01-05T11:33:46"/>
    <x v="1"/>
    <m/>
    <m/>
    <x v="0"/>
    <n v="70805"/>
    <n v="0"/>
    <d v="2016-01-05T11:36:47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341"/>
    <d v="2016-01-05T12:01:26"/>
    <d v="2016-01-05T12:16:25"/>
    <x v="1"/>
    <m/>
    <m/>
    <x v="1"/>
    <n v="70808"/>
    <n v="4.1427055577426204"/>
    <d v="2016-01-05T12:37:07"/>
    <n v="15.35"/>
    <x v="167"/>
    <n v="1"/>
    <n v="2.2999999999999998"/>
    <n v="0"/>
    <n v="0"/>
    <n v="2.2999999999999998"/>
    <x v="157"/>
    <x v="1"/>
    <x v="158"/>
    <x v="0"/>
    <n v="14"/>
    <e v="#N/A"/>
    <e v="#N/A"/>
  </r>
  <r>
    <n v="342"/>
    <d v="2016-01-05T10:47:18"/>
    <d v="2016-01-05T11:02:17"/>
    <x v="1"/>
    <m/>
    <m/>
    <x v="1"/>
    <n v="70805"/>
    <n v="5.5437954469012496"/>
    <d v="2016-01-05T11:30:00"/>
    <n v="15.35"/>
    <x v="168"/>
    <n v="1"/>
    <n v="2.2999999999999998"/>
    <n v="0"/>
    <n v="0"/>
    <n v="2.2999999999999998"/>
    <x v="158"/>
    <x v="1"/>
    <x v="159"/>
    <x v="0"/>
    <n v="14"/>
    <e v="#N/A"/>
    <e v="#N/A"/>
  </r>
  <r>
    <n v="343"/>
    <d v="2016-01-05T11:28:09"/>
    <d v="2016-01-05T11:43:09"/>
    <x v="2"/>
    <m/>
    <m/>
    <x v="0"/>
    <n v="70805"/>
    <n v="0"/>
    <d v="2016-01-05T11:46:08"/>
    <n v="11.59"/>
    <x v="24"/>
    <n v="1"/>
    <n v="1.7"/>
    <n v="0"/>
    <n v="0"/>
    <n v="1.7"/>
    <x v="0"/>
    <x v="0"/>
    <x v="0"/>
    <x v="0"/>
    <n v="10"/>
    <e v="#N/A"/>
    <e v="#N/A"/>
  </r>
  <r>
    <n v="344"/>
    <d v="2016-01-05T12:56:18"/>
    <d v="2016-01-05T13:11:20"/>
    <x v="0"/>
    <s v="Medium"/>
    <m/>
    <x v="1"/>
    <n v="70804"/>
    <n v="1.8837121084389199"/>
    <d v="2016-01-05T13:20:45"/>
    <n v="19.579999999999998"/>
    <x v="169"/>
    <n v="2"/>
    <n v="1"/>
    <n v="1.7"/>
    <n v="0"/>
    <n v="2.7"/>
    <x v="159"/>
    <x v="0"/>
    <x v="160"/>
    <x v="90"/>
    <n v="7"/>
    <n v="10"/>
    <e v="#N/A"/>
  </r>
  <r>
    <n v="345"/>
    <d v="2016-01-05T11:07:09"/>
    <d v="2016-01-05T11:22:07"/>
    <x v="0"/>
    <s v="Medium"/>
    <m/>
    <x v="0"/>
    <n v="70806"/>
    <n v="0"/>
    <d v="2016-01-05T11:25:08"/>
    <n v="19.579999999999998"/>
    <x v="14"/>
    <n v="2"/>
    <n v="1"/>
    <n v="1.7"/>
    <n v="0"/>
    <n v="2.7"/>
    <x v="0"/>
    <x v="0"/>
    <x v="0"/>
    <x v="0"/>
    <n v="7"/>
    <n v="10"/>
    <e v="#N/A"/>
  </r>
  <r>
    <n v="346"/>
    <d v="2016-01-05T11:28:04"/>
    <d v="2016-01-05T11:43:03"/>
    <x v="1"/>
    <m/>
    <m/>
    <x v="0"/>
    <n v="70807"/>
    <n v="0"/>
    <d v="2016-01-05T11:46:03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347"/>
    <d v="2016-01-05T11:44:00"/>
    <d v="2016-01-05T11:58:59"/>
    <x v="1"/>
    <m/>
    <m/>
    <x v="1"/>
    <n v="70804"/>
    <n v="3.4727314076240599"/>
    <d v="2016-01-05T12:16:20"/>
    <n v="15.35"/>
    <x v="170"/>
    <n v="1"/>
    <n v="2.2999999999999998"/>
    <n v="0"/>
    <n v="0"/>
    <n v="2.2999999999999998"/>
    <x v="160"/>
    <x v="1"/>
    <x v="161"/>
    <x v="0"/>
    <n v="14"/>
    <e v="#N/A"/>
    <e v="#N/A"/>
  </r>
  <r>
    <n v="348"/>
    <d v="2016-01-05T13:36:39"/>
    <d v="2016-01-05T13:51:38"/>
    <x v="1"/>
    <m/>
    <m/>
    <x v="0"/>
    <n v="70806"/>
    <n v="0"/>
    <d v="2016-01-05T13:54:40"/>
    <n v="15.35"/>
    <x v="171"/>
    <n v="1"/>
    <n v="2.2999999999999998"/>
    <n v="0"/>
    <n v="0"/>
    <n v="2.2999999999999998"/>
    <x v="0"/>
    <x v="0"/>
    <x v="0"/>
    <x v="0"/>
    <n v="14"/>
    <e v="#N/A"/>
    <e v="#N/A"/>
  </r>
  <r>
    <n v="349"/>
    <d v="2016-01-05T13:05:55"/>
    <d v="2016-01-05T13:20:54"/>
    <x v="0"/>
    <s v="Large"/>
    <m/>
    <x v="0"/>
    <n v="70808"/>
    <n v="0"/>
    <d v="2016-01-05T13:23:50"/>
    <n v="23.34"/>
    <x v="172"/>
    <n v="2"/>
    <n v="1"/>
    <n v="2.2999999999999998"/>
    <n v="0"/>
    <n v="3.3"/>
    <x v="0"/>
    <x v="0"/>
    <x v="0"/>
    <x v="0"/>
    <n v="7"/>
    <n v="14"/>
    <e v="#N/A"/>
  </r>
  <r>
    <n v="350"/>
    <d v="2016-01-05T11:26:27"/>
    <d v="2016-01-05T11:41:27"/>
    <x v="0"/>
    <s v="Large"/>
    <m/>
    <x v="0"/>
    <n v="70807"/>
    <n v="0"/>
    <d v="2016-01-05T11:44:25"/>
    <n v="23.34"/>
    <x v="0"/>
    <n v="2"/>
    <n v="1"/>
    <n v="2.2999999999999998"/>
    <n v="0"/>
    <n v="3.3"/>
    <x v="0"/>
    <x v="0"/>
    <x v="0"/>
    <x v="0"/>
    <n v="7"/>
    <n v="14"/>
    <e v="#N/A"/>
  </r>
  <r>
    <n v="351"/>
    <d v="2016-01-05T11:19:13"/>
    <d v="2016-01-05T11:34:11"/>
    <x v="2"/>
    <m/>
    <m/>
    <x v="0"/>
    <n v="70805"/>
    <n v="0"/>
    <d v="2016-01-05T11:37:11"/>
    <n v="11.59"/>
    <x v="2"/>
    <n v="1"/>
    <n v="1.7"/>
    <n v="0"/>
    <n v="0"/>
    <n v="1.7"/>
    <x v="0"/>
    <x v="0"/>
    <x v="0"/>
    <x v="0"/>
    <n v="10"/>
    <e v="#N/A"/>
    <e v="#N/A"/>
  </r>
  <r>
    <n v="352"/>
    <d v="2016-01-05T12:50:37"/>
    <d v="2016-01-05T13:05:36"/>
    <x v="2"/>
    <m/>
    <m/>
    <x v="1"/>
    <n v="70805"/>
    <n v="2.9244031964541102"/>
    <d v="2016-01-05T13:20:13"/>
    <n v="11.59"/>
    <x v="173"/>
    <n v="1"/>
    <n v="1.7"/>
    <n v="0"/>
    <n v="0"/>
    <n v="1.7"/>
    <x v="161"/>
    <x v="0"/>
    <x v="162"/>
    <x v="91"/>
    <n v="10"/>
    <e v="#N/A"/>
    <e v="#N/A"/>
  </r>
  <r>
    <n v="353"/>
    <d v="2016-01-05T13:00:27"/>
    <d v="2016-01-05T13:15:26"/>
    <x v="1"/>
    <m/>
    <m/>
    <x v="1"/>
    <n v="70803"/>
    <n v="3.1437128603989799"/>
    <d v="2016-01-05T13:31:09"/>
    <n v="15.35"/>
    <x v="174"/>
    <n v="1"/>
    <n v="2.2999999999999998"/>
    <n v="0"/>
    <n v="0"/>
    <n v="2.2999999999999998"/>
    <x v="162"/>
    <x v="0"/>
    <x v="163"/>
    <x v="92"/>
    <n v="14"/>
    <e v="#N/A"/>
    <e v="#N/A"/>
  </r>
  <r>
    <n v="354"/>
    <d v="2016-01-05T11:16:56"/>
    <d v="2016-01-05T11:31:56"/>
    <x v="0"/>
    <m/>
    <m/>
    <x v="1"/>
    <n v="70807"/>
    <n v="3.4871905918495401"/>
    <d v="2016-01-05T11:49:22"/>
    <n v="7.99"/>
    <x v="175"/>
    <n v="1"/>
    <n v="1"/>
    <n v="0"/>
    <n v="0"/>
    <n v="1"/>
    <x v="163"/>
    <x v="1"/>
    <x v="164"/>
    <x v="0"/>
    <n v="7"/>
    <e v="#N/A"/>
    <e v="#N/A"/>
  </r>
  <r>
    <n v="355"/>
    <d v="2016-01-05T11:01:54"/>
    <d v="2016-01-05T11:16:54"/>
    <x v="0"/>
    <s v="Medium"/>
    <m/>
    <x v="1"/>
    <n v="70804"/>
    <n v="2.2648754730439502"/>
    <d v="2016-01-05T11:28:13"/>
    <n v="19.579999999999998"/>
    <x v="176"/>
    <n v="2"/>
    <n v="1"/>
    <n v="1.7"/>
    <n v="0"/>
    <n v="2.7"/>
    <x v="164"/>
    <x v="0"/>
    <x v="165"/>
    <x v="93"/>
    <n v="7"/>
    <n v="10"/>
    <e v="#N/A"/>
  </r>
  <r>
    <n v="356"/>
    <d v="2016-01-05T10:31:26"/>
    <d v="2016-01-05T10:46:26"/>
    <x v="0"/>
    <m/>
    <m/>
    <x v="1"/>
    <n v="70806"/>
    <n v="2.5151869791399801"/>
    <d v="2016-01-05T10:59:00"/>
    <n v="7.99"/>
    <x v="177"/>
    <n v="1"/>
    <n v="1"/>
    <n v="0"/>
    <n v="0"/>
    <n v="1"/>
    <x v="165"/>
    <x v="0"/>
    <x v="166"/>
    <x v="94"/>
    <n v="7"/>
    <e v="#N/A"/>
    <e v="#N/A"/>
  </r>
  <r>
    <n v="357"/>
    <d v="2016-01-05T12:11:42"/>
    <d v="2016-01-05T12:26:40"/>
    <x v="0"/>
    <m/>
    <m/>
    <x v="1"/>
    <n v="70805"/>
    <n v="3.6830884928476602"/>
    <d v="2016-01-05T12:45:04"/>
    <n v="7.99"/>
    <x v="178"/>
    <n v="1"/>
    <n v="1"/>
    <n v="0"/>
    <n v="0"/>
    <n v="1"/>
    <x v="166"/>
    <x v="1"/>
    <x v="167"/>
    <x v="0"/>
    <n v="7"/>
    <e v="#N/A"/>
    <e v="#N/A"/>
  </r>
  <r>
    <n v="358"/>
    <d v="2016-01-05T13:18:58"/>
    <d v="2016-01-05T13:33:57"/>
    <x v="2"/>
    <m/>
    <m/>
    <x v="1"/>
    <n v="70804"/>
    <n v="4.0680088016139804"/>
    <d v="2016-01-05T13:54:17"/>
    <n v="11.59"/>
    <x v="179"/>
    <n v="1"/>
    <n v="1.7"/>
    <n v="0"/>
    <n v="0"/>
    <n v="1.7"/>
    <x v="167"/>
    <x v="1"/>
    <x v="168"/>
    <x v="0"/>
    <n v="10"/>
    <e v="#N/A"/>
    <e v="#N/A"/>
  </r>
  <r>
    <n v="359"/>
    <d v="2016-01-05T10:00:40"/>
    <d v="2016-01-05T10:15:40"/>
    <x v="1"/>
    <m/>
    <m/>
    <x v="1"/>
    <n v="70804"/>
    <n v="2.66426516615399"/>
    <d v="2016-01-05T10:28:59"/>
    <n v="15.35"/>
    <x v="180"/>
    <n v="1"/>
    <n v="2.2999999999999998"/>
    <n v="0"/>
    <n v="0"/>
    <n v="2.2999999999999998"/>
    <x v="168"/>
    <x v="0"/>
    <x v="169"/>
    <x v="95"/>
    <n v="14"/>
    <e v="#N/A"/>
    <e v="#N/A"/>
  </r>
  <r>
    <n v="360"/>
    <d v="2016-01-05T11:26:03"/>
    <d v="2016-01-05T11:41:04"/>
    <x v="0"/>
    <s v="Large"/>
    <m/>
    <x v="1"/>
    <n v="70804"/>
    <n v="3.7649554951017001"/>
    <d v="2016-01-05T11:59:53"/>
    <n v="23.34"/>
    <x v="181"/>
    <n v="2"/>
    <n v="1"/>
    <n v="2.2999999999999998"/>
    <n v="0"/>
    <n v="3.3"/>
    <x v="169"/>
    <x v="1"/>
    <x v="170"/>
    <x v="0"/>
    <n v="7"/>
    <n v="14"/>
    <e v="#N/A"/>
  </r>
  <r>
    <n v="361"/>
    <d v="2016-01-05T10:22:53"/>
    <d v="2016-01-05T10:37:53"/>
    <x v="2"/>
    <m/>
    <m/>
    <x v="1"/>
    <n v="70804"/>
    <n v="2.5888636106810701"/>
    <d v="2016-01-05T10:50:49"/>
    <n v="11.59"/>
    <x v="182"/>
    <n v="1"/>
    <n v="1.7"/>
    <n v="0"/>
    <n v="0"/>
    <n v="1.7"/>
    <x v="170"/>
    <x v="0"/>
    <x v="171"/>
    <x v="96"/>
    <n v="10"/>
    <e v="#N/A"/>
    <e v="#N/A"/>
  </r>
  <r>
    <n v="362"/>
    <d v="2016-01-05T12:26:44"/>
    <d v="2016-01-05T12:41:44"/>
    <x v="0"/>
    <m/>
    <m/>
    <x v="1"/>
    <n v="70804"/>
    <n v="3.9328325430095501"/>
    <d v="2016-01-05T13:01:23"/>
    <n v="7.99"/>
    <x v="183"/>
    <n v="1"/>
    <n v="1"/>
    <n v="0"/>
    <n v="0"/>
    <n v="1"/>
    <x v="171"/>
    <x v="1"/>
    <x v="172"/>
    <x v="0"/>
    <n v="7"/>
    <e v="#N/A"/>
    <e v="#N/A"/>
  </r>
  <r>
    <n v="363"/>
    <d v="2016-01-05T11:01:51"/>
    <d v="2016-01-05T11:16:51"/>
    <x v="1"/>
    <m/>
    <m/>
    <x v="0"/>
    <n v="70804"/>
    <n v="0"/>
    <d v="2016-01-05T11:19:50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364"/>
    <d v="2016-01-05T12:12:45"/>
    <d v="2016-01-05T12:27:44"/>
    <x v="1"/>
    <m/>
    <m/>
    <x v="1"/>
    <n v="70807"/>
    <n v="2.0518545647962001"/>
    <d v="2016-01-05T12:37:59"/>
    <n v="15.35"/>
    <x v="184"/>
    <n v="1"/>
    <n v="2.2999999999999998"/>
    <n v="0"/>
    <n v="0"/>
    <n v="2.2999999999999998"/>
    <x v="172"/>
    <x v="0"/>
    <x v="173"/>
    <x v="97"/>
    <n v="14"/>
    <e v="#N/A"/>
    <e v="#N/A"/>
  </r>
  <r>
    <n v="365"/>
    <d v="2016-01-05T12:37:43"/>
    <d v="2016-01-05T12:52:42"/>
    <x v="1"/>
    <m/>
    <m/>
    <x v="0"/>
    <n v="70806"/>
    <n v="0"/>
    <d v="2016-01-05T12:55:40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366"/>
    <d v="2016-01-05T12:44:52"/>
    <d v="2016-01-05T12:59:49"/>
    <x v="0"/>
    <s v="Medium"/>
    <m/>
    <x v="1"/>
    <n v="70803"/>
    <n v="2.3519525426379699"/>
    <d v="2016-01-05T13:11:34"/>
    <n v="19.579999999999998"/>
    <x v="185"/>
    <n v="2"/>
    <n v="1"/>
    <n v="1.7"/>
    <n v="0"/>
    <n v="2.7"/>
    <x v="173"/>
    <x v="0"/>
    <x v="174"/>
    <x v="98"/>
    <n v="7"/>
    <n v="10"/>
    <e v="#N/A"/>
  </r>
  <r>
    <n v="367"/>
    <d v="2016-01-05T13:36:34"/>
    <d v="2016-01-05T13:51:34"/>
    <x v="0"/>
    <s v="Medium"/>
    <m/>
    <x v="1"/>
    <n v="70806"/>
    <n v="3.2583877768076102"/>
    <d v="2016-01-05T14:07:51"/>
    <n v="19.579999999999998"/>
    <x v="186"/>
    <n v="2"/>
    <n v="1"/>
    <n v="1.7"/>
    <n v="0"/>
    <n v="2.7"/>
    <x v="174"/>
    <x v="1"/>
    <x v="175"/>
    <x v="0"/>
    <n v="7"/>
    <n v="10"/>
    <e v="#N/A"/>
  </r>
  <r>
    <n v="368"/>
    <d v="2016-01-05T10:42:20"/>
    <d v="2016-01-05T10:57:19"/>
    <x v="0"/>
    <s v="Large"/>
    <m/>
    <x v="1"/>
    <n v="70804"/>
    <n v="2.7532098724812899"/>
    <d v="2016-01-05T11:11:04"/>
    <n v="23.34"/>
    <x v="187"/>
    <n v="2"/>
    <n v="1"/>
    <n v="2.2999999999999998"/>
    <n v="0"/>
    <n v="3.3"/>
    <x v="175"/>
    <x v="0"/>
    <x v="176"/>
    <x v="99"/>
    <n v="7"/>
    <n v="14"/>
    <e v="#N/A"/>
  </r>
  <r>
    <n v="369"/>
    <d v="2016-01-05T11:13:47"/>
    <d v="2016-01-05T11:28:47"/>
    <x v="0"/>
    <m/>
    <m/>
    <x v="1"/>
    <n v="70805"/>
    <n v="4.3456439745574498"/>
    <d v="2016-01-05T11:50:30"/>
    <n v="7.99"/>
    <x v="188"/>
    <n v="1"/>
    <n v="1"/>
    <n v="0"/>
    <n v="0"/>
    <n v="1"/>
    <x v="176"/>
    <x v="1"/>
    <x v="177"/>
    <x v="0"/>
    <n v="7"/>
    <e v="#N/A"/>
    <e v="#N/A"/>
  </r>
  <r>
    <n v="370"/>
    <d v="2016-01-05T12:09:25"/>
    <d v="2016-01-05T12:24:25"/>
    <x v="0"/>
    <m/>
    <m/>
    <x v="0"/>
    <n v="70804"/>
    <n v="0"/>
    <d v="2016-01-05T12:27:26"/>
    <n v="7.99"/>
    <x v="14"/>
    <n v="1"/>
    <n v="1"/>
    <n v="0"/>
    <n v="0"/>
    <n v="1"/>
    <x v="0"/>
    <x v="0"/>
    <x v="0"/>
    <x v="0"/>
    <n v="7"/>
    <e v="#N/A"/>
    <e v="#N/A"/>
  </r>
  <r>
    <n v="371"/>
    <d v="2016-01-05T10:42:24"/>
    <d v="2016-01-05T10:57:23"/>
    <x v="1"/>
    <m/>
    <m/>
    <x v="1"/>
    <n v="70804"/>
    <n v="3.79840418309769"/>
    <d v="2016-01-05T11:16:22"/>
    <n v="15.35"/>
    <x v="189"/>
    <n v="1"/>
    <n v="2.2999999999999998"/>
    <n v="0"/>
    <n v="0"/>
    <n v="2.2999999999999998"/>
    <x v="177"/>
    <x v="1"/>
    <x v="178"/>
    <x v="0"/>
    <n v="14"/>
    <e v="#N/A"/>
    <e v="#N/A"/>
  </r>
  <r>
    <n v="372"/>
    <d v="2016-01-05T11:01:09"/>
    <d v="2016-01-05T11:16:08"/>
    <x v="2"/>
    <m/>
    <m/>
    <x v="0"/>
    <n v="70803"/>
    <n v="0"/>
    <d v="2016-01-05T11:19:08"/>
    <n v="11.59"/>
    <x v="2"/>
    <n v="1"/>
    <n v="1.7"/>
    <n v="0"/>
    <n v="0"/>
    <n v="1.7"/>
    <x v="0"/>
    <x v="0"/>
    <x v="0"/>
    <x v="0"/>
    <n v="10"/>
    <e v="#N/A"/>
    <e v="#N/A"/>
  </r>
  <r>
    <n v="373"/>
    <d v="2016-01-05T12:55:23"/>
    <d v="2016-01-05T13:10:23"/>
    <x v="2"/>
    <m/>
    <m/>
    <x v="1"/>
    <n v="70807"/>
    <n v="5.0894193352882002"/>
    <d v="2016-01-05T13:35:49"/>
    <n v="11.59"/>
    <x v="190"/>
    <n v="1"/>
    <n v="1.7"/>
    <n v="0"/>
    <n v="0"/>
    <n v="1.7"/>
    <x v="178"/>
    <x v="1"/>
    <x v="179"/>
    <x v="0"/>
    <n v="10"/>
    <e v="#N/A"/>
    <e v="#N/A"/>
  </r>
  <r>
    <n v="374"/>
    <d v="2016-01-05T11:46:11"/>
    <d v="2016-01-05T12:01:08"/>
    <x v="0"/>
    <s v="Large"/>
    <m/>
    <x v="0"/>
    <n v="70804"/>
    <n v="0"/>
    <d v="2016-01-05T12:04:07"/>
    <n v="23.34"/>
    <x v="24"/>
    <n v="2"/>
    <n v="1"/>
    <n v="2.2999999999999998"/>
    <n v="0"/>
    <n v="3.3"/>
    <x v="0"/>
    <x v="0"/>
    <x v="0"/>
    <x v="0"/>
    <n v="7"/>
    <n v="14"/>
    <e v="#N/A"/>
  </r>
  <r>
    <n v="375"/>
    <d v="2016-01-05T11:38:37"/>
    <d v="2016-01-05T11:53:38"/>
    <x v="2"/>
    <m/>
    <m/>
    <x v="0"/>
    <n v="70808"/>
    <n v="0"/>
    <d v="2016-01-05T11:56:37"/>
    <n v="11.59"/>
    <x v="24"/>
    <n v="1"/>
    <n v="1.7"/>
    <n v="0"/>
    <n v="0"/>
    <n v="1.7"/>
    <x v="0"/>
    <x v="0"/>
    <x v="0"/>
    <x v="0"/>
    <n v="10"/>
    <e v="#N/A"/>
    <e v="#N/A"/>
  </r>
  <r>
    <n v="376"/>
    <d v="2016-01-05T12:28:23"/>
    <d v="2016-01-05T12:43:22"/>
    <x v="1"/>
    <m/>
    <m/>
    <x v="1"/>
    <n v="70804"/>
    <n v="2.4965918980955899"/>
    <d v="2016-01-05T12:55:50"/>
    <n v="15.35"/>
    <x v="191"/>
    <n v="1"/>
    <n v="2.2999999999999998"/>
    <n v="0"/>
    <n v="0"/>
    <n v="2.2999999999999998"/>
    <x v="179"/>
    <x v="0"/>
    <x v="180"/>
    <x v="100"/>
    <n v="14"/>
    <e v="#N/A"/>
    <e v="#N/A"/>
  </r>
  <r>
    <n v="377"/>
    <d v="2016-01-05T12:56:00"/>
    <d v="2016-01-05T13:10:59"/>
    <x v="0"/>
    <s v="Medium"/>
    <m/>
    <x v="1"/>
    <n v="70806"/>
    <n v="0.78649930357481401"/>
    <d v="2016-01-05T13:14:54"/>
    <n v="19.579999999999998"/>
    <x v="192"/>
    <n v="2"/>
    <n v="1"/>
    <n v="1.7"/>
    <n v="0"/>
    <n v="2.7"/>
    <x v="180"/>
    <x v="0"/>
    <x v="181"/>
    <x v="101"/>
    <n v="7"/>
    <n v="10"/>
    <e v="#N/A"/>
  </r>
  <r>
    <n v="378"/>
    <d v="2016-01-05T12:22:26"/>
    <d v="2016-01-05T12:37:26"/>
    <x v="0"/>
    <m/>
    <m/>
    <x v="1"/>
    <n v="70805"/>
    <n v="2.0338958763368402"/>
    <d v="2016-01-05T12:47:36"/>
    <n v="7.99"/>
    <x v="34"/>
    <n v="1"/>
    <n v="1"/>
    <n v="0"/>
    <n v="0"/>
    <n v="1"/>
    <x v="28"/>
    <x v="0"/>
    <x v="182"/>
    <x v="102"/>
    <n v="7"/>
    <e v="#N/A"/>
    <e v="#N/A"/>
  </r>
  <r>
    <n v="379"/>
    <d v="2016-01-05T12:30:40"/>
    <d v="2016-01-05T12:45:39"/>
    <x v="0"/>
    <s v="Large"/>
    <m/>
    <x v="0"/>
    <n v="70804"/>
    <n v="0"/>
    <d v="2016-01-05T12:48:38"/>
    <n v="23.34"/>
    <x v="1"/>
    <n v="2"/>
    <n v="1"/>
    <n v="2.2999999999999998"/>
    <n v="0"/>
    <n v="3.3"/>
    <x v="0"/>
    <x v="0"/>
    <x v="0"/>
    <x v="0"/>
    <n v="7"/>
    <n v="14"/>
    <e v="#N/A"/>
  </r>
  <r>
    <n v="380"/>
    <d v="2016-01-05T12:26:54"/>
    <d v="2016-01-05T12:41:53"/>
    <x v="0"/>
    <m/>
    <m/>
    <x v="0"/>
    <n v="70805"/>
    <n v="0"/>
    <d v="2016-01-05T12:44:54"/>
    <n v="7.99"/>
    <x v="56"/>
    <n v="1"/>
    <n v="1"/>
    <n v="0"/>
    <n v="0"/>
    <n v="1"/>
    <x v="0"/>
    <x v="0"/>
    <x v="0"/>
    <x v="0"/>
    <n v="7"/>
    <e v="#N/A"/>
    <e v="#N/A"/>
  </r>
  <r>
    <n v="381"/>
    <d v="2016-01-05T13:03:39"/>
    <d v="2016-01-05T13:18:37"/>
    <x v="0"/>
    <s v="Large"/>
    <m/>
    <x v="1"/>
    <n v="70805"/>
    <n v="3.3305524210361401"/>
    <d v="2016-01-05T13:35:16"/>
    <n v="23.34"/>
    <x v="193"/>
    <n v="2"/>
    <n v="1"/>
    <n v="2.2999999999999998"/>
    <n v="0"/>
    <n v="3.3"/>
    <x v="181"/>
    <x v="1"/>
    <x v="183"/>
    <x v="0"/>
    <n v="7"/>
    <n v="14"/>
    <e v="#N/A"/>
  </r>
  <r>
    <n v="382"/>
    <d v="2016-01-05T13:58:38"/>
    <d v="2016-01-05T14:13:39"/>
    <x v="1"/>
    <m/>
    <m/>
    <x v="1"/>
    <n v="70806"/>
    <n v="4.3098802544181396"/>
    <d v="2016-01-05T14:35:11"/>
    <n v="15.35"/>
    <x v="194"/>
    <n v="1"/>
    <n v="2.2999999999999998"/>
    <n v="0"/>
    <n v="0"/>
    <n v="2.2999999999999998"/>
    <x v="182"/>
    <x v="1"/>
    <x v="184"/>
    <x v="0"/>
    <n v="14"/>
    <e v="#N/A"/>
    <e v="#N/A"/>
  </r>
  <r>
    <n v="383"/>
    <d v="2016-01-05T12:42:15"/>
    <d v="2016-01-05T12:57:13"/>
    <x v="2"/>
    <m/>
    <m/>
    <x v="1"/>
    <n v="70806"/>
    <n v="4.3755982985687902"/>
    <d v="2016-01-05T13:19:05"/>
    <n v="11.59"/>
    <x v="195"/>
    <n v="1"/>
    <n v="1.7"/>
    <n v="0"/>
    <n v="0"/>
    <n v="1.7"/>
    <x v="183"/>
    <x v="1"/>
    <x v="185"/>
    <x v="0"/>
    <n v="10"/>
    <e v="#N/A"/>
    <e v="#N/A"/>
  </r>
  <r>
    <n v="384"/>
    <d v="2016-01-05T11:22:28"/>
    <d v="2016-01-05T11:37:27"/>
    <x v="0"/>
    <s v="Medium"/>
    <m/>
    <x v="1"/>
    <n v="70803"/>
    <n v="3.1709123088927398"/>
    <d v="2016-01-05T11:53:18"/>
    <n v="19.579999999999998"/>
    <x v="38"/>
    <n v="2"/>
    <n v="1"/>
    <n v="1.7"/>
    <n v="0"/>
    <n v="2.7"/>
    <x v="32"/>
    <x v="0"/>
    <x v="186"/>
    <x v="103"/>
    <n v="7"/>
    <n v="10"/>
    <e v="#N/A"/>
  </r>
  <r>
    <n v="385"/>
    <d v="2016-01-05T11:39:14"/>
    <d v="2016-01-05T11:54:14"/>
    <x v="0"/>
    <s v="Large"/>
    <m/>
    <x v="0"/>
    <n v="70808"/>
    <n v="0"/>
    <d v="2016-01-05T11:57:14"/>
    <n v="23.34"/>
    <x v="2"/>
    <n v="2"/>
    <n v="1"/>
    <n v="2.2999999999999998"/>
    <n v="0"/>
    <n v="3.3"/>
    <x v="0"/>
    <x v="0"/>
    <x v="0"/>
    <x v="0"/>
    <n v="7"/>
    <n v="14"/>
    <e v="#N/A"/>
  </r>
  <r>
    <n v="386"/>
    <d v="2016-01-05T13:22:45"/>
    <d v="2016-01-05T13:37:45"/>
    <x v="1"/>
    <m/>
    <m/>
    <x v="0"/>
    <n v="70803"/>
    <n v="0"/>
    <d v="2016-01-05T13:40:43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387"/>
    <d v="2016-01-05T11:40:19"/>
    <d v="2016-01-05T11:55:18"/>
    <x v="0"/>
    <m/>
    <m/>
    <x v="0"/>
    <n v="70803"/>
    <n v="0"/>
    <d v="2016-01-05T11:58:16"/>
    <n v="7.99"/>
    <x v="0"/>
    <n v="1"/>
    <n v="1"/>
    <n v="0"/>
    <n v="0"/>
    <n v="1"/>
    <x v="0"/>
    <x v="0"/>
    <x v="0"/>
    <x v="0"/>
    <n v="7"/>
    <e v="#N/A"/>
    <e v="#N/A"/>
  </r>
  <r>
    <n v="388"/>
    <d v="2016-01-05T12:00:26"/>
    <d v="2016-01-05T12:15:25"/>
    <x v="0"/>
    <m/>
    <m/>
    <x v="0"/>
    <n v="70806"/>
    <n v="0"/>
    <d v="2016-01-05T12:18:23"/>
    <n v="7.99"/>
    <x v="0"/>
    <n v="1"/>
    <n v="1"/>
    <n v="0"/>
    <n v="0"/>
    <n v="1"/>
    <x v="0"/>
    <x v="0"/>
    <x v="0"/>
    <x v="0"/>
    <n v="7"/>
    <e v="#N/A"/>
    <e v="#N/A"/>
  </r>
  <r>
    <n v="389"/>
    <d v="2016-01-05T12:54:23"/>
    <d v="2016-01-05T13:09:23"/>
    <x v="1"/>
    <m/>
    <m/>
    <x v="1"/>
    <n v="70803"/>
    <n v="4.2370143150446804"/>
    <d v="2016-01-05T13:30:34"/>
    <n v="15.35"/>
    <x v="196"/>
    <n v="1"/>
    <n v="2.2999999999999998"/>
    <n v="0"/>
    <n v="0"/>
    <n v="2.2999999999999998"/>
    <x v="184"/>
    <x v="1"/>
    <x v="187"/>
    <x v="0"/>
    <n v="14"/>
    <e v="#N/A"/>
    <e v="#N/A"/>
  </r>
  <r>
    <n v="390"/>
    <d v="2016-01-05T13:30:37"/>
    <d v="2016-01-05T13:45:37"/>
    <x v="2"/>
    <m/>
    <m/>
    <x v="1"/>
    <n v="70805"/>
    <n v="4.1914482676219897"/>
    <d v="2016-01-05T14:06:34"/>
    <n v="11.59"/>
    <x v="197"/>
    <n v="1"/>
    <n v="1.7"/>
    <n v="0"/>
    <n v="0"/>
    <n v="1.7"/>
    <x v="185"/>
    <x v="1"/>
    <x v="188"/>
    <x v="0"/>
    <n v="10"/>
    <e v="#N/A"/>
    <e v="#N/A"/>
  </r>
  <r>
    <n v="391"/>
    <d v="2016-01-05T11:33:36"/>
    <d v="2016-01-05T11:48:34"/>
    <x v="1"/>
    <m/>
    <m/>
    <x v="0"/>
    <n v="70805"/>
    <n v="0"/>
    <d v="2016-01-05T11:51:34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392"/>
    <d v="2016-01-05T12:20:18"/>
    <d v="2016-01-05T12:35:17"/>
    <x v="0"/>
    <s v="Medium"/>
    <m/>
    <x v="1"/>
    <n v="70807"/>
    <n v="1.50030744248446"/>
    <d v="2016-01-05T12:42:47"/>
    <n v="19.579999999999998"/>
    <x v="198"/>
    <n v="2"/>
    <n v="1"/>
    <n v="1.7"/>
    <n v="0"/>
    <n v="2.7"/>
    <x v="186"/>
    <x v="0"/>
    <x v="189"/>
    <x v="104"/>
    <n v="7"/>
    <n v="10"/>
    <e v="#N/A"/>
  </r>
  <r>
    <n v="393"/>
    <d v="2016-01-05T12:30:02"/>
    <d v="2016-01-05T12:45:01"/>
    <x v="2"/>
    <m/>
    <m/>
    <x v="1"/>
    <n v="70803"/>
    <n v="4.5773148144098803"/>
    <d v="2016-01-05T13:07:54"/>
    <n v="11.59"/>
    <x v="199"/>
    <n v="1"/>
    <n v="1.7"/>
    <n v="0"/>
    <n v="0"/>
    <n v="1.7"/>
    <x v="187"/>
    <x v="1"/>
    <x v="190"/>
    <x v="0"/>
    <n v="10"/>
    <e v="#N/A"/>
    <e v="#N/A"/>
  </r>
  <r>
    <n v="394"/>
    <d v="2016-01-05T11:43:26"/>
    <d v="2016-01-05T11:58:22"/>
    <x v="1"/>
    <m/>
    <m/>
    <x v="0"/>
    <n v="70805"/>
    <n v="0"/>
    <d v="2016-01-05T12:01:21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395"/>
    <d v="2016-01-05T10:15:35"/>
    <d v="2016-01-05T10:30:34"/>
    <x v="2"/>
    <m/>
    <m/>
    <x v="0"/>
    <n v="70805"/>
    <n v="0"/>
    <d v="2016-01-05T10:33:33"/>
    <n v="11.59"/>
    <x v="1"/>
    <n v="1"/>
    <n v="1.7"/>
    <n v="0"/>
    <n v="0"/>
    <n v="1.7"/>
    <x v="0"/>
    <x v="0"/>
    <x v="0"/>
    <x v="0"/>
    <n v="10"/>
    <e v="#N/A"/>
    <e v="#N/A"/>
  </r>
  <r>
    <n v="396"/>
    <d v="2016-01-05T12:30:23"/>
    <d v="2016-01-05T12:45:22"/>
    <x v="1"/>
    <m/>
    <m/>
    <x v="0"/>
    <n v="70804"/>
    <n v="0"/>
    <d v="2016-01-05T12:48:23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397"/>
    <d v="2016-01-05T11:26:09"/>
    <d v="2016-01-05T11:41:08"/>
    <x v="1"/>
    <m/>
    <m/>
    <x v="1"/>
    <n v="70806"/>
    <n v="1.0458570367373901"/>
    <d v="2016-01-05T11:46:21"/>
    <n v="15.35"/>
    <x v="200"/>
    <n v="1"/>
    <n v="2.2999999999999998"/>
    <n v="0"/>
    <n v="0"/>
    <n v="2.2999999999999998"/>
    <x v="188"/>
    <x v="0"/>
    <x v="191"/>
    <x v="105"/>
    <n v="14"/>
    <e v="#N/A"/>
    <e v="#N/A"/>
  </r>
  <r>
    <n v="398"/>
    <d v="2016-01-05T11:14:23"/>
    <d v="2016-01-05T11:29:22"/>
    <x v="0"/>
    <s v="Large"/>
    <m/>
    <x v="1"/>
    <n v="70806"/>
    <n v="2.9732005861183302"/>
    <d v="2016-01-05T11:44:13"/>
    <n v="23.34"/>
    <x v="201"/>
    <n v="2"/>
    <n v="1"/>
    <n v="2.2999999999999998"/>
    <n v="0"/>
    <n v="3.3"/>
    <x v="189"/>
    <x v="0"/>
    <x v="192"/>
    <x v="106"/>
    <n v="7"/>
    <n v="14"/>
    <e v="#N/A"/>
  </r>
  <r>
    <n v="399"/>
    <d v="2016-01-05T12:45:14"/>
    <d v="2016-01-05T13:00:14"/>
    <x v="0"/>
    <s v="Medium"/>
    <m/>
    <x v="1"/>
    <n v="70805"/>
    <n v="3.8293535742858902"/>
    <d v="2016-01-05T13:19:22"/>
    <n v="19.579999999999998"/>
    <x v="202"/>
    <n v="2"/>
    <n v="1"/>
    <n v="1.7"/>
    <n v="0"/>
    <n v="2.7"/>
    <x v="190"/>
    <x v="1"/>
    <x v="193"/>
    <x v="0"/>
    <n v="7"/>
    <n v="10"/>
    <e v="#N/A"/>
  </r>
  <r>
    <n v="400"/>
    <d v="2016-01-05T10:59:26"/>
    <d v="2016-01-05T11:14:27"/>
    <x v="0"/>
    <s v="Medium"/>
    <m/>
    <x v="1"/>
    <n v="70804"/>
    <n v="1.09083131747134"/>
    <d v="2016-01-05T11:19:54"/>
    <n v="19.579999999999998"/>
    <x v="203"/>
    <n v="2"/>
    <n v="1"/>
    <n v="1.7"/>
    <n v="0"/>
    <n v="2.7"/>
    <x v="191"/>
    <x v="0"/>
    <x v="194"/>
    <x v="107"/>
    <n v="7"/>
    <n v="10"/>
    <e v="#N/A"/>
  </r>
  <r>
    <n v="401"/>
    <d v="2016-01-05T12:54:47"/>
    <d v="2016-01-05T13:09:48"/>
    <x v="0"/>
    <s v="Medium"/>
    <m/>
    <x v="0"/>
    <n v="70803"/>
    <n v="0"/>
    <d v="2016-01-05T13:12:47"/>
    <n v="19.579999999999998"/>
    <x v="24"/>
    <n v="2"/>
    <n v="1"/>
    <n v="1.7"/>
    <n v="0"/>
    <n v="2.7"/>
    <x v="0"/>
    <x v="0"/>
    <x v="0"/>
    <x v="0"/>
    <n v="7"/>
    <n v="10"/>
    <e v="#N/A"/>
  </r>
  <r>
    <n v="402"/>
    <d v="2016-01-05T10:02:38"/>
    <d v="2016-01-05T10:17:37"/>
    <x v="1"/>
    <m/>
    <m/>
    <x v="0"/>
    <n v="70807"/>
    <n v="0"/>
    <d v="2016-01-05T10:20:37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403"/>
    <d v="2016-01-05T11:50:41"/>
    <d v="2016-01-05T12:05:40"/>
    <x v="2"/>
    <m/>
    <m/>
    <x v="0"/>
    <n v="70805"/>
    <n v="0"/>
    <d v="2016-01-05T12:08:39"/>
    <n v="11.59"/>
    <x v="24"/>
    <n v="1"/>
    <n v="1.7"/>
    <n v="0"/>
    <n v="0"/>
    <n v="1.7"/>
    <x v="0"/>
    <x v="0"/>
    <x v="0"/>
    <x v="0"/>
    <n v="10"/>
    <e v="#N/A"/>
    <e v="#N/A"/>
  </r>
  <r>
    <n v="404"/>
    <d v="2016-01-05T10:35:55"/>
    <d v="2016-01-05T10:50:53"/>
    <x v="1"/>
    <m/>
    <m/>
    <x v="0"/>
    <n v="70804"/>
    <n v="0"/>
    <d v="2016-01-05T10:53:52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405"/>
    <d v="2016-01-05T10:22:15"/>
    <d v="2016-01-05T10:37:12"/>
    <x v="0"/>
    <s v="Medium"/>
    <m/>
    <x v="1"/>
    <n v="70806"/>
    <n v="3.1321827464602801"/>
    <d v="2016-01-05T10:52:51"/>
    <n v="19.579999999999998"/>
    <x v="204"/>
    <n v="2"/>
    <n v="1"/>
    <n v="1.7"/>
    <n v="0"/>
    <n v="2.7"/>
    <x v="192"/>
    <x v="0"/>
    <x v="195"/>
    <x v="108"/>
    <n v="7"/>
    <n v="10"/>
    <e v="#N/A"/>
  </r>
  <r>
    <n v="406"/>
    <d v="2016-01-05T12:36:09"/>
    <d v="2016-01-05T12:51:09"/>
    <x v="2"/>
    <m/>
    <m/>
    <x v="1"/>
    <n v="70807"/>
    <n v="2.6959979460329802"/>
    <d v="2016-01-05T13:04:37"/>
    <n v="11.59"/>
    <x v="205"/>
    <n v="1"/>
    <n v="1.7"/>
    <n v="0"/>
    <n v="0"/>
    <n v="1.7"/>
    <x v="193"/>
    <x v="0"/>
    <x v="196"/>
    <x v="109"/>
    <n v="10"/>
    <e v="#N/A"/>
    <e v="#N/A"/>
  </r>
  <r>
    <n v="407"/>
    <d v="2016-01-05T12:54:16"/>
    <d v="2016-01-05T13:09:17"/>
    <x v="0"/>
    <m/>
    <m/>
    <x v="1"/>
    <n v="70805"/>
    <n v="3.08657462998484"/>
    <d v="2016-01-05T13:24:42"/>
    <n v="7.99"/>
    <x v="206"/>
    <n v="1"/>
    <n v="1"/>
    <n v="0"/>
    <n v="0"/>
    <n v="1"/>
    <x v="194"/>
    <x v="0"/>
    <x v="197"/>
    <x v="110"/>
    <n v="7"/>
    <e v="#N/A"/>
    <e v="#N/A"/>
  </r>
  <r>
    <n v="408"/>
    <d v="2016-01-05T11:32:32"/>
    <d v="2016-01-05T11:47:32"/>
    <x v="1"/>
    <m/>
    <m/>
    <x v="1"/>
    <n v="70806"/>
    <n v="2.05996557509045"/>
    <d v="2016-01-05T11:57:49"/>
    <n v="15.35"/>
    <x v="207"/>
    <n v="1"/>
    <n v="2.2999999999999998"/>
    <n v="0"/>
    <n v="0"/>
    <n v="2.2999999999999998"/>
    <x v="195"/>
    <x v="0"/>
    <x v="198"/>
    <x v="111"/>
    <n v="14"/>
    <e v="#N/A"/>
    <e v="#N/A"/>
  </r>
  <r>
    <n v="409"/>
    <d v="2016-01-05T13:41:37"/>
    <d v="2016-01-05T13:56:38"/>
    <x v="0"/>
    <m/>
    <m/>
    <x v="1"/>
    <n v="70804"/>
    <n v="2.5167784530998198"/>
    <d v="2016-01-05T14:09:13"/>
    <n v="7.99"/>
    <x v="208"/>
    <n v="1"/>
    <n v="1"/>
    <n v="0"/>
    <n v="0"/>
    <n v="1"/>
    <x v="196"/>
    <x v="0"/>
    <x v="199"/>
    <x v="112"/>
    <n v="7"/>
    <e v="#N/A"/>
    <e v="#N/A"/>
  </r>
  <r>
    <n v="410"/>
    <d v="2016-01-05T12:39:43"/>
    <d v="2016-01-05T12:54:45"/>
    <x v="2"/>
    <s v="Large"/>
    <m/>
    <x v="1"/>
    <n v="70806"/>
    <n v="2.6172287680748099"/>
    <d v="2016-01-05T13:07:50"/>
    <n v="25.94"/>
    <x v="209"/>
    <n v="2"/>
    <n v="1.7"/>
    <n v="2.2999999999999998"/>
    <n v="0"/>
    <n v="4"/>
    <x v="197"/>
    <x v="0"/>
    <x v="200"/>
    <x v="113"/>
    <n v="10"/>
    <n v="14"/>
    <e v="#N/A"/>
  </r>
  <r>
    <n v="411"/>
    <d v="2016-01-05T12:12:02"/>
    <d v="2016-01-05T12:26:59"/>
    <x v="1"/>
    <m/>
    <m/>
    <x v="1"/>
    <n v="70804"/>
    <n v="2.4993064945460999"/>
    <d v="2016-01-05T12:39:28"/>
    <n v="15.35"/>
    <x v="210"/>
    <n v="1"/>
    <n v="2.2999999999999998"/>
    <n v="0"/>
    <n v="0"/>
    <n v="2.2999999999999998"/>
    <x v="198"/>
    <x v="0"/>
    <x v="201"/>
    <x v="114"/>
    <n v="14"/>
    <e v="#N/A"/>
    <e v="#N/A"/>
  </r>
  <r>
    <n v="412"/>
    <d v="2016-01-05T11:37:02"/>
    <d v="2016-01-05T11:52:02"/>
    <x v="1"/>
    <m/>
    <m/>
    <x v="0"/>
    <n v="70803"/>
    <n v="0"/>
    <d v="2016-01-05T11:55:01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413"/>
    <d v="2016-01-05T11:04:10"/>
    <d v="2016-01-05T11:19:09"/>
    <x v="2"/>
    <m/>
    <m/>
    <x v="1"/>
    <n v="70804"/>
    <n v="5.6391824028670996"/>
    <d v="2016-01-05T11:47:20"/>
    <n v="11.59"/>
    <x v="211"/>
    <n v="1"/>
    <n v="1.7"/>
    <n v="0"/>
    <n v="0"/>
    <n v="1.7"/>
    <x v="199"/>
    <x v="1"/>
    <x v="202"/>
    <x v="0"/>
    <n v="10"/>
    <e v="#N/A"/>
    <e v="#N/A"/>
  </r>
  <r>
    <n v="414"/>
    <d v="2016-01-05T13:21:16"/>
    <d v="2016-01-05T13:36:15"/>
    <x v="0"/>
    <s v="Large"/>
    <m/>
    <x v="0"/>
    <n v="70803"/>
    <n v="0"/>
    <d v="2016-01-05T13:39:16"/>
    <n v="23.34"/>
    <x v="56"/>
    <n v="2"/>
    <n v="1"/>
    <n v="2.2999999999999998"/>
    <n v="0"/>
    <n v="3.3"/>
    <x v="0"/>
    <x v="0"/>
    <x v="0"/>
    <x v="0"/>
    <n v="7"/>
    <n v="14"/>
    <e v="#N/A"/>
  </r>
  <r>
    <n v="415"/>
    <d v="2016-01-05T13:50:13"/>
    <d v="2016-01-05T14:05:13"/>
    <x v="0"/>
    <s v="Medium"/>
    <m/>
    <x v="1"/>
    <n v="70805"/>
    <n v="3.9136668149684799"/>
    <d v="2016-01-05T14:24:47"/>
    <n v="19.579999999999998"/>
    <x v="212"/>
    <n v="2"/>
    <n v="1"/>
    <n v="1.7"/>
    <n v="0"/>
    <n v="2.7"/>
    <x v="200"/>
    <x v="1"/>
    <x v="203"/>
    <x v="0"/>
    <n v="7"/>
    <n v="10"/>
    <e v="#N/A"/>
  </r>
  <r>
    <n v="416"/>
    <d v="2016-01-05T12:34:07"/>
    <d v="2016-01-05T12:49:07"/>
    <x v="0"/>
    <s v="Large"/>
    <m/>
    <x v="1"/>
    <n v="70806"/>
    <n v="3.2953934753319101"/>
    <d v="2016-01-05T13:05:35"/>
    <n v="23.34"/>
    <x v="213"/>
    <n v="2"/>
    <n v="1"/>
    <n v="2.2999999999999998"/>
    <n v="0"/>
    <n v="3.3"/>
    <x v="201"/>
    <x v="1"/>
    <x v="204"/>
    <x v="0"/>
    <n v="7"/>
    <n v="14"/>
    <e v="#N/A"/>
  </r>
  <r>
    <n v="417"/>
    <d v="2016-01-05T10:47:05"/>
    <d v="2016-01-05T11:02:05"/>
    <x v="0"/>
    <m/>
    <m/>
    <x v="1"/>
    <n v="70804"/>
    <n v="0.689845506353301"/>
    <d v="2016-01-05T11:05:31"/>
    <n v="7.99"/>
    <x v="214"/>
    <n v="1"/>
    <n v="1"/>
    <n v="0"/>
    <n v="0"/>
    <n v="1"/>
    <x v="202"/>
    <x v="0"/>
    <x v="205"/>
    <x v="115"/>
    <n v="7"/>
    <e v="#N/A"/>
    <e v="#N/A"/>
  </r>
  <r>
    <n v="418"/>
    <d v="2016-01-05T11:37:38"/>
    <d v="2016-01-05T11:52:37"/>
    <x v="2"/>
    <m/>
    <m/>
    <x v="0"/>
    <n v="70806"/>
    <n v="0"/>
    <d v="2016-01-05T11:55:38"/>
    <n v="11.59"/>
    <x v="56"/>
    <n v="1"/>
    <n v="1.7"/>
    <n v="0"/>
    <n v="0"/>
    <n v="1.7"/>
    <x v="0"/>
    <x v="0"/>
    <x v="0"/>
    <x v="0"/>
    <n v="10"/>
    <e v="#N/A"/>
    <e v="#N/A"/>
  </r>
  <r>
    <n v="419"/>
    <d v="2016-01-05T12:25:24"/>
    <d v="2016-01-05T12:40:23"/>
    <x v="1"/>
    <m/>
    <m/>
    <x v="0"/>
    <n v="70803"/>
    <n v="0"/>
    <d v="2016-01-05T12:43:22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420"/>
    <d v="2016-01-05T10:15:17"/>
    <d v="2016-01-05T10:30:16"/>
    <x v="0"/>
    <s v="Medium"/>
    <m/>
    <x v="0"/>
    <n v="70806"/>
    <n v="0"/>
    <d v="2016-01-05T10:33:14"/>
    <n v="19.579999999999998"/>
    <x v="0"/>
    <n v="2"/>
    <n v="1"/>
    <n v="1.7"/>
    <n v="0"/>
    <n v="2.7"/>
    <x v="0"/>
    <x v="0"/>
    <x v="0"/>
    <x v="0"/>
    <n v="7"/>
    <n v="10"/>
    <e v="#N/A"/>
  </r>
  <r>
    <n v="421"/>
    <d v="2016-01-05T10:12:46"/>
    <d v="2016-01-05T10:27:45"/>
    <x v="2"/>
    <m/>
    <m/>
    <x v="0"/>
    <n v="70807"/>
    <n v="0"/>
    <d v="2016-01-05T10:30:44"/>
    <n v="11.59"/>
    <x v="1"/>
    <n v="1"/>
    <n v="1.7"/>
    <n v="0"/>
    <n v="0"/>
    <n v="1.7"/>
    <x v="0"/>
    <x v="0"/>
    <x v="0"/>
    <x v="0"/>
    <n v="10"/>
    <e v="#N/A"/>
    <e v="#N/A"/>
  </r>
  <r>
    <n v="422"/>
    <d v="2016-01-05T12:39:03"/>
    <d v="2016-01-05T12:54:03"/>
    <x v="1"/>
    <m/>
    <m/>
    <x v="1"/>
    <n v="70803"/>
    <n v="3.2836951868528002"/>
    <d v="2016-01-05T13:10:28"/>
    <n v="15.35"/>
    <x v="215"/>
    <n v="1"/>
    <n v="2.2999999999999998"/>
    <n v="0"/>
    <n v="0"/>
    <n v="2.2999999999999998"/>
    <x v="203"/>
    <x v="1"/>
    <x v="206"/>
    <x v="0"/>
    <n v="14"/>
    <e v="#N/A"/>
    <e v="#N/A"/>
  </r>
  <r>
    <n v="423"/>
    <d v="2016-01-05T12:13:00"/>
    <d v="2016-01-05T12:28:01"/>
    <x v="2"/>
    <m/>
    <m/>
    <x v="1"/>
    <n v="70805"/>
    <n v="4.6167869727311404"/>
    <d v="2016-01-05T12:51:06"/>
    <n v="11.59"/>
    <x v="216"/>
    <n v="1"/>
    <n v="1.7"/>
    <n v="0"/>
    <n v="0"/>
    <n v="1.7"/>
    <x v="204"/>
    <x v="1"/>
    <x v="207"/>
    <x v="0"/>
    <n v="10"/>
    <e v="#N/A"/>
    <e v="#N/A"/>
  </r>
  <r>
    <n v="424"/>
    <d v="2016-01-05T11:49:10"/>
    <d v="2016-01-05T12:04:10"/>
    <x v="1"/>
    <m/>
    <m/>
    <x v="0"/>
    <n v="70804"/>
    <n v="0"/>
    <d v="2016-01-05T12:07:09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425"/>
    <d v="2016-01-05T11:03:11"/>
    <d v="2016-01-05T11:18:11"/>
    <x v="1"/>
    <m/>
    <m/>
    <x v="0"/>
    <n v="70803"/>
    <n v="0"/>
    <d v="2016-01-05T11:21:09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426"/>
    <d v="2016-01-05T12:34:30"/>
    <d v="2016-01-05T12:49:29"/>
    <x v="2"/>
    <m/>
    <m/>
    <x v="0"/>
    <n v="70805"/>
    <n v="0"/>
    <d v="2016-01-05T12:52:27"/>
    <n v="11.59"/>
    <x v="0"/>
    <n v="1"/>
    <n v="1.7"/>
    <n v="0"/>
    <n v="0"/>
    <n v="1.7"/>
    <x v="0"/>
    <x v="0"/>
    <x v="0"/>
    <x v="0"/>
    <n v="10"/>
    <e v="#N/A"/>
    <e v="#N/A"/>
  </r>
  <r>
    <n v="427"/>
    <d v="2016-01-05T10:51:35"/>
    <d v="2016-01-05T11:06:34"/>
    <x v="1"/>
    <m/>
    <m/>
    <x v="1"/>
    <n v="70804"/>
    <n v="2.4539297233034501"/>
    <d v="2016-01-05T11:18:50"/>
    <n v="15.35"/>
    <x v="217"/>
    <n v="1"/>
    <n v="2.2999999999999998"/>
    <n v="0"/>
    <n v="0"/>
    <n v="2.2999999999999998"/>
    <x v="205"/>
    <x v="0"/>
    <x v="208"/>
    <x v="116"/>
    <n v="14"/>
    <e v="#N/A"/>
    <e v="#N/A"/>
  </r>
  <r>
    <n v="428"/>
    <d v="2016-01-05T12:40:03"/>
    <d v="2016-01-05T12:55:03"/>
    <x v="1"/>
    <m/>
    <m/>
    <x v="0"/>
    <n v="70805"/>
    <n v="0"/>
    <d v="2016-01-05T12:58:03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429"/>
    <d v="2016-01-05T11:21:20"/>
    <d v="2016-01-05T11:36:18"/>
    <x v="0"/>
    <s v="Medium"/>
    <m/>
    <x v="0"/>
    <n v="70804"/>
    <n v="0"/>
    <d v="2016-01-05T11:39:17"/>
    <n v="19.579999999999998"/>
    <x v="24"/>
    <n v="2"/>
    <n v="1"/>
    <n v="1.7"/>
    <n v="0"/>
    <n v="2.7"/>
    <x v="0"/>
    <x v="0"/>
    <x v="0"/>
    <x v="0"/>
    <n v="7"/>
    <n v="10"/>
    <e v="#N/A"/>
  </r>
  <r>
    <n v="430"/>
    <d v="2016-01-06T13:46:44"/>
    <d v="2016-01-06T14:01:42"/>
    <x v="2"/>
    <m/>
    <m/>
    <x v="1"/>
    <n v="70805"/>
    <n v="3.4906561740564301"/>
    <d v="2016-01-06T14:19:09"/>
    <n v="11.59"/>
    <x v="103"/>
    <n v="1"/>
    <n v="1.7"/>
    <n v="0"/>
    <n v="0"/>
    <n v="1.7"/>
    <x v="93"/>
    <x v="1"/>
    <x v="209"/>
    <x v="0"/>
    <n v="10"/>
    <e v="#N/A"/>
    <e v="#N/A"/>
  </r>
  <r>
    <n v="431"/>
    <d v="2016-01-06T11:50:02"/>
    <d v="2016-01-06T12:05:02"/>
    <x v="2"/>
    <m/>
    <m/>
    <x v="1"/>
    <n v="70804"/>
    <n v="2.5775087345876302"/>
    <d v="2016-01-06T12:17:55"/>
    <n v="11.59"/>
    <x v="218"/>
    <n v="1"/>
    <n v="1.7"/>
    <n v="0"/>
    <n v="0"/>
    <n v="1.7"/>
    <x v="206"/>
    <x v="0"/>
    <x v="210"/>
    <x v="117"/>
    <n v="10"/>
    <e v="#N/A"/>
    <e v="#N/A"/>
  </r>
  <r>
    <n v="432"/>
    <d v="2016-01-06T11:59:42"/>
    <d v="2016-01-06T12:14:43"/>
    <x v="0"/>
    <m/>
    <m/>
    <x v="0"/>
    <n v="70805"/>
    <n v="0"/>
    <d v="2016-01-06T12:17:43"/>
    <n v="7.99"/>
    <x v="2"/>
    <n v="1"/>
    <n v="1"/>
    <n v="0"/>
    <n v="0"/>
    <n v="1"/>
    <x v="0"/>
    <x v="0"/>
    <x v="0"/>
    <x v="0"/>
    <n v="7"/>
    <e v="#N/A"/>
    <e v="#N/A"/>
  </r>
  <r>
    <n v="433"/>
    <d v="2016-01-06T11:39:56"/>
    <d v="2016-01-06T11:54:55"/>
    <x v="0"/>
    <m/>
    <m/>
    <x v="0"/>
    <n v="70804"/>
    <n v="0"/>
    <d v="2016-01-06T11:57:54"/>
    <n v="7.99"/>
    <x v="1"/>
    <n v="1"/>
    <n v="1"/>
    <n v="0"/>
    <n v="0"/>
    <n v="1"/>
    <x v="0"/>
    <x v="0"/>
    <x v="0"/>
    <x v="0"/>
    <n v="7"/>
    <e v="#N/A"/>
    <e v="#N/A"/>
  </r>
  <r>
    <n v="434"/>
    <d v="2016-01-06T11:16:24"/>
    <d v="2016-01-06T11:31:24"/>
    <x v="2"/>
    <m/>
    <m/>
    <x v="0"/>
    <n v="70804"/>
    <n v="0"/>
    <d v="2016-01-06T11:34:25"/>
    <n v="11.59"/>
    <x v="14"/>
    <n v="1"/>
    <n v="1.7"/>
    <n v="0"/>
    <n v="0"/>
    <n v="1.7"/>
    <x v="0"/>
    <x v="0"/>
    <x v="0"/>
    <x v="0"/>
    <n v="10"/>
    <e v="#N/A"/>
    <e v="#N/A"/>
  </r>
  <r>
    <n v="435"/>
    <d v="2016-01-06T12:38:28"/>
    <d v="2016-01-06T12:53:27"/>
    <x v="1"/>
    <m/>
    <m/>
    <x v="1"/>
    <n v="70803"/>
    <n v="0.83898221995693401"/>
    <d v="2016-01-06T12:57:38"/>
    <n v="15.35"/>
    <x v="219"/>
    <n v="1"/>
    <n v="2.2999999999999998"/>
    <n v="0"/>
    <n v="0"/>
    <n v="2.2999999999999998"/>
    <x v="207"/>
    <x v="0"/>
    <x v="211"/>
    <x v="118"/>
    <n v="14"/>
    <e v="#N/A"/>
    <e v="#N/A"/>
  </r>
  <r>
    <n v="436"/>
    <d v="2016-01-06T12:38:38"/>
    <d v="2016-01-06T12:53:38"/>
    <x v="1"/>
    <m/>
    <m/>
    <x v="0"/>
    <n v="70804"/>
    <n v="0"/>
    <d v="2016-01-06T12:56:39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437"/>
    <d v="2016-01-06T12:28:06"/>
    <d v="2016-01-06T12:43:05"/>
    <x v="0"/>
    <s v="Medium"/>
    <m/>
    <x v="0"/>
    <n v="70805"/>
    <n v="0"/>
    <d v="2016-01-06T12:46:04"/>
    <n v="19.579999999999998"/>
    <x v="24"/>
    <n v="2"/>
    <n v="1"/>
    <n v="1.7"/>
    <n v="0"/>
    <n v="2.7"/>
    <x v="0"/>
    <x v="0"/>
    <x v="0"/>
    <x v="0"/>
    <n v="7"/>
    <n v="10"/>
    <e v="#N/A"/>
  </r>
  <r>
    <n v="438"/>
    <d v="2016-01-06T11:25:57"/>
    <d v="2016-01-06T11:40:58"/>
    <x v="2"/>
    <m/>
    <m/>
    <x v="0"/>
    <n v="70805"/>
    <n v="0"/>
    <d v="2016-01-06T11:43:57"/>
    <n v="11.59"/>
    <x v="24"/>
    <n v="1"/>
    <n v="1.7"/>
    <n v="0"/>
    <n v="0"/>
    <n v="1.7"/>
    <x v="0"/>
    <x v="0"/>
    <x v="0"/>
    <x v="0"/>
    <n v="10"/>
    <e v="#N/A"/>
    <e v="#N/A"/>
  </r>
  <r>
    <n v="439"/>
    <d v="2016-01-06T12:42:30"/>
    <d v="2016-01-06T12:57:30"/>
    <x v="2"/>
    <m/>
    <m/>
    <x v="0"/>
    <n v="70806"/>
    <n v="0"/>
    <d v="2016-01-06T13:00:31"/>
    <n v="11.59"/>
    <x v="14"/>
    <n v="1"/>
    <n v="1.7"/>
    <n v="0"/>
    <n v="0"/>
    <n v="1.7"/>
    <x v="0"/>
    <x v="0"/>
    <x v="0"/>
    <x v="0"/>
    <n v="10"/>
    <e v="#N/A"/>
    <e v="#N/A"/>
  </r>
  <r>
    <n v="440"/>
    <d v="2016-01-06T11:23:18"/>
    <d v="2016-01-06T11:38:16"/>
    <x v="0"/>
    <s v="Medium"/>
    <m/>
    <x v="0"/>
    <n v="70803"/>
    <n v="0"/>
    <d v="2016-01-06T11:41:14"/>
    <n v="19.579999999999998"/>
    <x v="0"/>
    <n v="2"/>
    <n v="1"/>
    <n v="1.7"/>
    <n v="0"/>
    <n v="2.7"/>
    <x v="0"/>
    <x v="0"/>
    <x v="0"/>
    <x v="0"/>
    <n v="7"/>
    <n v="10"/>
    <e v="#N/A"/>
  </r>
  <r>
    <n v="441"/>
    <d v="2016-01-06T12:11:44"/>
    <d v="2016-01-06T12:26:45"/>
    <x v="1"/>
    <m/>
    <m/>
    <x v="1"/>
    <n v="70805"/>
    <n v="2.12602641598825"/>
    <d v="2016-01-06T12:37:22"/>
    <n v="15.35"/>
    <x v="220"/>
    <n v="1"/>
    <n v="2.2999999999999998"/>
    <n v="0"/>
    <n v="0"/>
    <n v="2.2999999999999998"/>
    <x v="208"/>
    <x v="0"/>
    <x v="212"/>
    <x v="119"/>
    <n v="14"/>
    <e v="#N/A"/>
    <e v="#N/A"/>
  </r>
  <r>
    <n v="442"/>
    <d v="2016-01-06T11:23:19"/>
    <d v="2016-01-06T11:38:19"/>
    <x v="0"/>
    <m/>
    <m/>
    <x v="0"/>
    <n v="70806"/>
    <n v="0"/>
    <d v="2016-01-06T11:41:19"/>
    <n v="7.99"/>
    <x v="2"/>
    <n v="1"/>
    <n v="1"/>
    <n v="0"/>
    <n v="0"/>
    <n v="1"/>
    <x v="0"/>
    <x v="0"/>
    <x v="0"/>
    <x v="0"/>
    <n v="7"/>
    <e v="#N/A"/>
    <e v="#N/A"/>
  </r>
  <r>
    <n v="443"/>
    <d v="2016-01-06T13:12:14"/>
    <d v="2016-01-06T13:27:11"/>
    <x v="0"/>
    <m/>
    <m/>
    <x v="1"/>
    <n v="70805"/>
    <n v="3.72231070343586"/>
    <d v="2016-01-06T13:45:47"/>
    <n v="7.99"/>
    <x v="221"/>
    <n v="1"/>
    <n v="1"/>
    <n v="0"/>
    <n v="0"/>
    <n v="1"/>
    <x v="209"/>
    <x v="1"/>
    <x v="213"/>
    <x v="0"/>
    <n v="7"/>
    <e v="#N/A"/>
    <e v="#N/A"/>
  </r>
  <r>
    <n v="444"/>
    <d v="2016-01-06T11:16:14"/>
    <d v="2016-01-06T11:31:14"/>
    <x v="2"/>
    <s v="Large"/>
    <m/>
    <x v="0"/>
    <n v="70805"/>
    <n v="0"/>
    <d v="2016-01-06T11:34:12"/>
    <n v="25.94"/>
    <x v="0"/>
    <n v="2"/>
    <n v="1.7"/>
    <n v="2.2999999999999998"/>
    <n v="0"/>
    <n v="4"/>
    <x v="0"/>
    <x v="0"/>
    <x v="0"/>
    <x v="0"/>
    <n v="10"/>
    <n v="14"/>
    <e v="#N/A"/>
  </r>
  <r>
    <n v="445"/>
    <d v="2016-01-06T12:23:16"/>
    <d v="2016-01-06T12:38:15"/>
    <x v="2"/>
    <m/>
    <m/>
    <x v="0"/>
    <n v="70803"/>
    <n v="0"/>
    <d v="2016-01-06T12:41:14"/>
    <n v="11.59"/>
    <x v="24"/>
    <n v="1"/>
    <n v="1.7"/>
    <n v="0"/>
    <n v="0"/>
    <n v="1.7"/>
    <x v="0"/>
    <x v="0"/>
    <x v="0"/>
    <x v="0"/>
    <n v="10"/>
    <e v="#N/A"/>
    <e v="#N/A"/>
  </r>
  <r>
    <n v="446"/>
    <d v="2016-01-06T12:09:01"/>
    <d v="2016-01-06T12:24:00"/>
    <x v="0"/>
    <m/>
    <m/>
    <x v="1"/>
    <n v="70808"/>
    <n v="2.6900617645223401"/>
    <d v="2016-01-06T12:37:27"/>
    <n v="7.99"/>
    <x v="222"/>
    <n v="1"/>
    <n v="1"/>
    <n v="0"/>
    <n v="0"/>
    <n v="1"/>
    <x v="210"/>
    <x v="0"/>
    <x v="214"/>
    <x v="120"/>
    <n v="7"/>
    <e v="#N/A"/>
    <e v="#N/A"/>
  </r>
  <r>
    <n v="447"/>
    <d v="2016-01-06T10:33:42"/>
    <d v="2016-01-06T10:48:42"/>
    <x v="0"/>
    <m/>
    <m/>
    <x v="1"/>
    <n v="70805"/>
    <n v="3.1246263029545198"/>
    <d v="2016-01-06T11:04:19"/>
    <n v="7.99"/>
    <x v="223"/>
    <n v="1"/>
    <n v="1"/>
    <n v="0"/>
    <n v="0"/>
    <n v="1"/>
    <x v="211"/>
    <x v="0"/>
    <x v="215"/>
    <x v="121"/>
    <n v="7"/>
    <e v="#N/A"/>
    <e v="#N/A"/>
  </r>
  <r>
    <n v="448"/>
    <d v="2016-01-06T13:10:24"/>
    <d v="2016-01-06T13:25:24"/>
    <x v="1"/>
    <m/>
    <m/>
    <x v="0"/>
    <n v="70806"/>
    <n v="0"/>
    <d v="2016-01-06T13:28:24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449"/>
    <d v="2016-01-06T10:19:43"/>
    <d v="2016-01-06T10:34:41"/>
    <x v="1"/>
    <m/>
    <m/>
    <x v="1"/>
    <n v="70804"/>
    <n v="3.47740706564998"/>
    <d v="2016-01-06T10:52:04"/>
    <n v="15.35"/>
    <x v="224"/>
    <n v="1"/>
    <n v="2.2999999999999998"/>
    <n v="0"/>
    <n v="0"/>
    <n v="2.2999999999999998"/>
    <x v="212"/>
    <x v="1"/>
    <x v="216"/>
    <x v="0"/>
    <n v="14"/>
    <e v="#N/A"/>
    <e v="#N/A"/>
  </r>
  <r>
    <n v="450"/>
    <d v="2016-01-06T10:19:49"/>
    <d v="2016-01-06T10:34:48"/>
    <x v="0"/>
    <m/>
    <m/>
    <x v="1"/>
    <n v="70806"/>
    <n v="3.8919643769021199"/>
    <d v="2016-01-06T10:54:15"/>
    <n v="7.99"/>
    <x v="225"/>
    <n v="1"/>
    <n v="1"/>
    <n v="0"/>
    <n v="0"/>
    <n v="1"/>
    <x v="213"/>
    <x v="1"/>
    <x v="217"/>
    <x v="0"/>
    <n v="7"/>
    <e v="#N/A"/>
    <e v="#N/A"/>
  </r>
  <r>
    <n v="451"/>
    <d v="2016-01-06T11:36:25"/>
    <d v="2016-01-06T11:51:25"/>
    <x v="0"/>
    <s v="Medium"/>
    <m/>
    <x v="1"/>
    <n v="70804"/>
    <n v="1.44251622820514"/>
    <d v="2016-01-06T11:58:37"/>
    <n v="19.579999999999998"/>
    <x v="226"/>
    <n v="2"/>
    <n v="1"/>
    <n v="1.7"/>
    <n v="0"/>
    <n v="2.7"/>
    <x v="214"/>
    <x v="0"/>
    <x v="218"/>
    <x v="122"/>
    <n v="7"/>
    <n v="10"/>
    <e v="#N/A"/>
  </r>
  <r>
    <n v="452"/>
    <d v="2016-01-06T11:40:03"/>
    <d v="2016-01-06T11:55:04"/>
    <x v="1"/>
    <m/>
    <m/>
    <x v="0"/>
    <n v="70804"/>
    <n v="0"/>
    <d v="2016-01-06T11:58:07"/>
    <n v="15.35"/>
    <x v="227"/>
    <n v="1"/>
    <n v="2.2999999999999998"/>
    <n v="0"/>
    <n v="0"/>
    <n v="2.2999999999999998"/>
    <x v="0"/>
    <x v="0"/>
    <x v="0"/>
    <x v="0"/>
    <n v="14"/>
    <e v="#N/A"/>
    <e v="#N/A"/>
  </r>
  <r>
    <n v="453"/>
    <d v="2016-01-06T10:19:33"/>
    <d v="2016-01-06T10:34:34"/>
    <x v="0"/>
    <s v="Medium"/>
    <m/>
    <x v="0"/>
    <n v="70805"/>
    <n v="0"/>
    <d v="2016-01-06T10:37:34"/>
    <n v="19.579999999999998"/>
    <x v="2"/>
    <n v="2"/>
    <n v="1"/>
    <n v="1.7"/>
    <n v="0"/>
    <n v="2.7"/>
    <x v="0"/>
    <x v="0"/>
    <x v="0"/>
    <x v="0"/>
    <n v="7"/>
    <n v="10"/>
    <e v="#N/A"/>
  </r>
  <r>
    <n v="454"/>
    <d v="2016-01-06T13:33:32"/>
    <d v="2016-01-06T13:48:30"/>
    <x v="2"/>
    <m/>
    <m/>
    <x v="1"/>
    <n v="70804"/>
    <n v="2.1939255605924699"/>
    <d v="2016-01-06T13:59:28"/>
    <n v="11.59"/>
    <x v="228"/>
    <n v="1"/>
    <n v="1.7"/>
    <n v="0"/>
    <n v="0"/>
    <n v="1.7"/>
    <x v="215"/>
    <x v="0"/>
    <x v="219"/>
    <x v="123"/>
    <n v="10"/>
    <e v="#N/A"/>
    <e v="#N/A"/>
  </r>
  <r>
    <n v="455"/>
    <d v="2016-01-06T12:06:25"/>
    <d v="2016-01-06T12:21:25"/>
    <x v="2"/>
    <m/>
    <m/>
    <x v="0"/>
    <n v="70805"/>
    <n v="0"/>
    <d v="2016-01-06T12:24:24"/>
    <n v="11.59"/>
    <x v="1"/>
    <n v="1"/>
    <n v="1.7"/>
    <n v="0"/>
    <n v="0"/>
    <n v="1.7"/>
    <x v="0"/>
    <x v="0"/>
    <x v="0"/>
    <x v="0"/>
    <n v="10"/>
    <e v="#N/A"/>
    <e v="#N/A"/>
  </r>
  <r>
    <n v="456"/>
    <d v="2016-01-06T12:47:26"/>
    <d v="2016-01-06T13:02:26"/>
    <x v="0"/>
    <m/>
    <m/>
    <x v="1"/>
    <n v="70803"/>
    <n v="4.59400251952371"/>
    <d v="2016-01-06T13:25:24"/>
    <n v="7.99"/>
    <x v="229"/>
    <n v="1"/>
    <n v="1"/>
    <n v="0"/>
    <n v="0"/>
    <n v="1"/>
    <x v="216"/>
    <x v="1"/>
    <x v="220"/>
    <x v="0"/>
    <n v="7"/>
    <e v="#N/A"/>
    <e v="#N/A"/>
  </r>
  <r>
    <n v="457"/>
    <d v="2016-01-06T11:19:26"/>
    <d v="2016-01-06T11:34:25"/>
    <x v="1"/>
    <m/>
    <m/>
    <x v="1"/>
    <n v="70805"/>
    <n v="2.09887910849119"/>
    <d v="2016-01-06T11:44:54"/>
    <n v="15.35"/>
    <x v="230"/>
    <n v="1"/>
    <n v="2.2999999999999998"/>
    <n v="0"/>
    <n v="0"/>
    <n v="2.2999999999999998"/>
    <x v="217"/>
    <x v="0"/>
    <x v="221"/>
    <x v="124"/>
    <n v="14"/>
    <e v="#N/A"/>
    <e v="#N/A"/>
  </r>
  <r>
    <n v="458"/>
    <d v="2016-01-06T13:20:30"/>
    <d v="2016-01-06T13:35:28"/>
    <x v="2"/>
    <m/>
    <m/>
    <x v="0"/>
    <n v="70804"/>
    <n v="0"/>
    <d v="2016-01-06T13:38:28"/>
    <n v="11.59"/>
    <x v="2"/>
    <n v="1"/>
    <n v="1.7"/>
    <n v="0"/>
    <n v="0"/>
    <n v="1.7"/>
    <x v="0"/>
    <x v="0"/>
    <x v="0"/>
    <x v="0"/>
    <n v="10"/>
    <e v="#N/A"/>
    <e v="#N/A"/>
  </r>
  <r>
    <n v="459"/>
    <d v="2016-01-06T10:46:31"/>
    <d v="2016-01-06T11:01:29"/>
    <x v="1"/>
    <m/>
    <m/>
    <x v="1"/>
    <n v="70805"/>
    <n v="2.21282366787689"/>
    <d v="2016-01-06T11:12:32"/>
    <n v="15.35"/>
    <x v="231"/>
    <n v="1"/>
    <n v="2.2999999999999998"/>
    <n v="0"/>
    <n v="0"/>
    <n v="2.2999999999999998"/>
    <x v="218"/>
    <x v="0"/>
    <x v="222"/>
    <x v="125"/>
    <n v="14"/>
    <e v="#N/A"/>
    <e v="#N/A"/>
  </r>
  <r>
    <n v="460"/>
    <d v="2016-01-06T12:14:32"/>
    <d v="2016-01-06T12:29:31"/>
    <x v="1"/>
    <m/>
    <m/>
    <x v="0"/>
    <n v="70805"/>
    <n v="0"/>
    <d v="2016-01-06T12:32:31"/>
    <n v="15.35"/>
    <x v="63"/>
    <n v="1"/>
    <n v="2.2999999999999998"/>
    <n v="0"/>
    <n v="0"/>
    <n v="2.2999999999999998"/>
    <x v="0"/>
    <x v="0"/>
    <x v="0"/>
    <x v="0"/>
    <n v="14"/>
    <e v="#N/A"/>
    <e v="#N/A"/>
  </r>
  <r>
    <n v="461"/>
    <d v="2016-01-06T12:48:12"/>
    <d v="2016-01-06T13:03:13"/>
    <x v="1"/>
    <m/>
    <m/>
    <x v="1"/>
    <n v="70804"/>
    <n v="4.4573382036376801"/>
    <d v="2016-01-06T13:25:30"/>
    <n v="15.35"/>
    <x v="232"/>
    <n v="1"/>
    <n v="2.2999999999999998"/>
    <n v="0"/>
    <n v="0"/>
    <n v="2.2999999999999998"/>
    <x v="219"/>
    <x v="1"/>
    <x v="223"/>
    <x v="0"/>
    <n v="14"/>
    <e v="#N/A"/>
    <e v="#N/A"/>
  </r>
  <r>
    <n v="462"/>
    <d v="2016-01-06T10:18:43"/>
    <d v="2016-01-06T10:33:42"/>
    <x v="1"/>
    <m/>
    <m/>
    <x v="0"/>
    <n v="70806"/>
    <n v="0"/>
    <d v="2016-01-06T10:36:40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463"/>
    <d v="2016-01-06T13:51:50"/>
    <d v="2016-01-06T14:06:50"/>
    <x v="0"/>
    <s v="Medium"/>
    <m/>
    <x v="0"/>
    <n v="70804"/>
    <n v="0"/>
    <d v="2016-01-06T14:09:51"/>
    <n v="19.579999999999998"/>
    <x v="14"/>
    <n v="2"/>
    <n v="1"/>
    <n v="1.7"/>
    <n v="0"/>
    <n v="2.7"/>
    <x v="0"/>
    <x v="0"/>
    <x v="0"/>
    <x v="0"/>
    <n v="7"/>
    <n v="10"/>
    <e v="#N/A"/>
  </r>
  <r>
    <n v="464"/>
    <d v="2016-01-06T13:41:38"/>
    <d v="2016-01-06T13:56:38"/>
    <x v="2"/>
    <m/>
    <m/>
    <x v="1"/>
    <n v="70805"/>
    <n v="3.3603246695759101"/>
    <d v="2016-01-06T14:13:26"/>
    <n v="11.59"/>
    <x v="233"/>
    <n v="1"/>
    <n v="1.7"/>
    <n v="0"/>
    <n v="0"/>
    <n v="1.7"/>
    <x v="220"/>
    <x v="1"/>
    <x v="224"/>
    <x v="0"/>
    <n v="10"/>
    <e v="#N/A"/>
    <e v="#N/A"/>
  </r>
  <r>
    <n v="465"/>
    <d v="2016-01-06T12:55:29"/>
    <d v="2016-01-06T13:10:29"/>
    <x v="0"/>
    <s v="Medium"/>
    <m/>
    <x v="1"/>
    <n v="70803"/>
    <n v="3.7830055951394201"/>
    <d v="2016-01-06T13:29:23"/>
    <n v="19.579999999999998"/>
    <x v="234"/>
    <n v="2"/>
    <n v="1"/>
    <n v="1.7"/>
    <n v="0"/>
    <n v="2.7"/>
    <x v="221"/>
    <x v="1"/>
    <x v="225"/>
    <x v="0"/>
    <n v="7"/>
    <n v="10"/>
    <e v="#N/A"/>
  </r>
  <r>
    <n v="466"/>
    <d v="2016-01-06T13:07:22"/>
    <d v="2016-01-06T13:22:22"/>
    <x v="1"/>
    <m/>
    <m/>
    <x v="0"/>
    <n v="70803"/>
    <n v="0"/>
    <d v="2016-01-06T13:25:21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467"/>
    <d v="2016-01-06T12:30:50"/>
    <d v="2016-01-06T12:45:48"/>
    <x v="2"/>
    <m/>
    <m/>
    <x v="0"/>
    <n v="70807"/>
    <n v="0"/>
    <d v="2016-01-06T12:48:49"/>
    <n v="11.59"/>
    <x v="14"/>
    <n v="1"/>
    <n v="1.7"/>
    <n v="0"/>
    <n v="0"/>
    <n v="1.7"/>
    <x v="0"/>
    <x v="0"/>
    <x v="0"/>
    <x v="0"/>
    <n v="10"/>
    <e v="#N/A"/>
    <e v="#N/A"/>
  </r>
  <r>
    <n v="468"/>
    <d v="2016-01-06T12:53:15"/>
    <d v="2016-01-06T13:08:12"/>
    <x v="1"/>
    <m/>
    <m/>
    <x v="0"/>
    <n v="70804"/>
    <n v="0"/>
    <d v="2016-01-06T13:11:10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469"/>
    <d v="2016-01-06T12:39:19"/>
    <d v="2016-01-06T12:54:19"/>
    <x v="0"/>
    <s v="Large"/>
    <m/>
    <x v="1"/>
    <n v="70803"/>
    <n v="2.45685414360831"/>
    <d v="2016-01-06T13:06:36"/>
    <n v="23.34"/>
    <x v="235"/>
    <n v="2"/>
    <n v="1"/>
    <n v="2.2999999999999998"/>
    <n v="0"/>
    <n v="3.3"/>
    <x v="222"/>
    <x v="0"/>
    <x v="226"/>
    <x v="126"/>
    <n v="7"/>
    <n v="14"/>
    <e v="#N/A"/>
  </r>
  <r>
    <n v="470"/>
    <d v="2016-01-06T12:32:27"/>
    <d v="2016-01-06T12:47:27"/>
    <x v="2"/>
    <m/>
    <m/>
    <x v="1"/>
    <n v="70808"/>
    <n v="2.9738725395011101"/>
    <d v="2016-01-06T13:02:19"/>
    <n v="11.59"/>
    <x v="236"/>
    <n v="1"/>
    <n v="1.7"/>
    <n v="0"/>
    <n v="0"/>
    <n v="1.7"/>
    <x v="223"/>
    <x v="0"/>
    <x v="227"/>
    <x v="127"/>
    <n v="10"/>
    <e v="#N/A"/>
    <e v="#N/A"/>
  </r>
  <r>
    <n v="471"/>
    <d v="2016-01-06T11:37:42"/>
    <d v="2016-01-06T11:52:42"/>
    <x v="0"/>
    <s v="Medium"/>
    <m/>
    <x v="1"/>
    <n v="70804"/>
    <n v="3.9644691008371802"/>
    <d v="2016-01-06T12:12:31"/>
    <n v="19.579999999999998"/>
    <x v="48"/>
    <n v="2"/>
    <n v="1"/>
    <n v="1.7"/>
    <n v="0"/>
    <n v="2.7"/>
    <x v="42"/>
    <x v="1"/>
    <x v="228"/>
    <x v="0"/>
    <n v="7"/>
    <n v="10"/>
    <e v="#N/A"/>
  </r>
  <r>
    <n v="472"/>
    <d v="2016-01-06T10:42:18"/>
    <d v="2016-01-06T10:57:18"/>
    <x v="0"/>
    <m/>
    <m/>
    <x v="1"/>
    <n v="70805"/>
    <n v="2.5363281363549399"/>
    <d v="2016-01-06T11:09:58"/>
    <n v="7.99"/>
    <x v="237"/>
    <n v="1"/>
    <n v="1"/>
    <n v="0"/>
    <n v="0"/>
    <n v="1"/>
    <x v="224"/>
    <x v="0"/>
    <x v="229"/>
    <x v="128"/>
    <n v="7"/>
    <e v="#N/A"/>
    <e v="#N/A"/>
  </r>
  <r>
    <n v="473"/>
    <d v="2016-01-06T12:17:10"/>
    <d v="2016-01-06T12:32:10"/>
    <x v="0"/>
    <s v="Medium"/>
    <m/>
    <x v="0"/>
    <n v="70805"/>
    <n v="0"/>
    <d v="2016-01-06T12:35:11"/>
    <n v="19.579999999999998"/>
    <x v="14"/>
    <n v="2"/>
    <n v="1"/>
    <n v="1.7"/>
    <n v="0"/>
    <n v="2.7"/>
    <x v="0"/>
    <x v="0"/>
    <x v="0"/>
    <x v="0"/>
    <n v="7"/>
    <n v="10"/>
    <e v="#N/A"/>
  </r>
  <r>
    <n v="474"/>
    <d v="2016-01-06T11:21:32"/>
    <d v="2016-01-06T11:36:30"/>
    <x v="1"/>
    <m/>
    <m/>
    <x v="1"/>
    <n v="70805"/>
    <n v="4.6068310956273404"/>
    <d v="2016-01-06T11:59:32"/>
    <n v="15.35"/>
    <x v="238"/>
    <n v="1"/>
    <n v="2.2999999999999998"/>
    <n v="0"/>
    <n v="0"/>
    <n v="2.2999999999999998"/>
    <x v="225"/>
    <x v="1"/>
    <x v="230"/>
    <x v="0"/>
    <n v="14"/>
    <e v="#N/A"/>
    <e v="#N/A"/>
  </r>
  <r>
    <n v="475"/>
    <d v="2016-01-06T12:17:41"/>
    <d v="2016-01-06T12:32:41"/>
    <x v="0"/>
    <s v="Medium"/>
    <m/>
    <x v="1"/>
    <n v="70808"/>
    <n v="4.7680962192036302"/>
    <d v="2016-01-06T12:56:31"/>
    <n v="19.579999999999998"/>
    <x v="239"/>
    <n v="2"/>
    <n v="1"/>
    <n v="1.7"/>
    <n v="0"/>
    <n v="2.7"/>
    <x v="226"/>
    <x v="1"/>
    <x v="231"/>
    <x v="0"/>
    <n v="7"/>
    <n v="10"/>
    <e v="#N/A"/>
  </r>
  <r>
    <n v="476"/>
    <d v="2016-01-06T10:58:37"/>
    <d v="2016-01-06T11:13:36"/>
    <x v="1"/>
    <m/>
    <m/>
    <x v="0"/>
    <n v="70806"/>
    <n v="0"/>
    <d v="2016-01-06T11:16:36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477"/>
    <d v="2016-01-06T13:08:16"/>
    <d v="2016-01-06T13:23:16"/>
    <x v="0"/>
    <m/>
    <m/>
    <x v="0"/>
    <n v="70804"/>
    <n v="0"/>
    <d v="2016-01-06T13:26:16"/>
    <n v="7.99"/>
    <x v="2"/>
    <n v="1"/>
    <n v="1"/>
    <n v="0"/>
    <n v="0"/>
    <n v="1"/>
    <x v="0"/>
    <x v="0"/>
    <x v="0"/>
    <x v="0"/>
    <n v="7"/>
    <e v="#N/A"/>
    <e v="#N/A"/>
  </r>
  <r>
    <n v="478"/>
    <d v="2016-01-06T10:49:19"/>
    <d v="2016-01-06T11:04:19"/>
    <x v="1"/>
    <m/>
    <m/>
    <x v="0"/>
    <n v="70804"/>
    <n v="0"/>
    <d v="2016-01-06T11:07:19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479"/>
    <d v="2016-01-06T13:01:11"/>
    <d v="2016-01-06T13:16:09"/>
    <x v="2"/>
    <m/>
    <m/>
    <x v="0"/>
    <n v="70806"/>
    <n v="0"/>
    <d v="2016-01-06T13:19:10"/>
    <n v="11.59"/>
    <x v="14"/>
    <n v="1"/>
    <n v="1.7"/>
    <n v="0"/>
    <n v="0"/>
    <n v="1.7"/>
    <x v="0"/>
    <x v="0"/>
    <x v="0"/>
    <x v="0"/>
    <n v="10"/>
    <e v="#N/A"/>
    <e v="#N/A"/>
  </r>
  <r>
    <n v="480"/>
    <d v="2016-01-06T12:51:10"/>
    <d v="2016-01-06T13:06:10"/>
    <x v="0"/>
    <m/>
    <m/>
    <x v="1"/>
    <n v="70804"/>
    <n v="3.04558039730916"/>
    <d v="2016-01-06T13:21:23"/>
    <n v="7.99"/>
    <x v="240"/>
    <n v="1"/>
    <n v="1"/>
    <n v="0"/>
    <n v="0"/>
    <n v="1"/>
    <x v="227"/>
    <x v="0"/>
    <x v="232"/>
    <x v="129"/>
    <n v="7"/>
    <e v="#N/A"/>
    <e v="#N/A"/>
  </r>
  <r>
    <n v="481"/>
    <d v="2016-01-06T12:00:08"/>
    <d v="2016-01-06T12:15:09"/>
    <x v="1"/>
    <m/>
    <m/>
    <x v="0"/>
    <n v="70803"/>
    <n v="0"/>
    <d v="2016-01-06T12:18:08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482"/>
    <d v="2016-01-06T12:30:15"/>
    <d v="2016-01-06T12:45:15"/>
    <x v="2"/>
    <m/>
    <m/>
    <x v="0"/>
    <n v="70805"/>
    <n v="0"/>
    <d v="2016-01-06T12:48:14"/>
    <n v="11.59"/>
    <x v="1"/>
    <n v="1"/>
    <n v="1.7"/>
    <n v="0"/>
    <n v="0"/>
    <n v="1.7"/>
    <x v="0"/>
    <x v="0"/>
    <x v="0"/>
    <x v="0"/>
    <n v="10"/>
    <e v="#N/A"/>
    <e v="#N/A"/>
  </r>
  <r>
    <n v="483"/>
    <d v="2016-01-06T11:08:42"/>
    <d v="2016-01-06T11:23:41"/>
    <x v="1"/>
    <m/>
    <m/>
    <x v="1"/>
    <n v="70804"/>
    <n v="2.6981102185261401"/>
    <d v="2016-01-06T11:37:10"/>
    <n v="15.35"/>
    <x v="241"/>
    <n v="1"/>
    <n v="2.2999999999999998"/>
    <n v="0"/>
    <n v="0"/>
    <n v="2.2999999999999998"/>
    <x v="228"/>
    <x v="0"/>
    <x v="233"/>
    <x v="130"/>
    <n v="14"/>
    <e v="#N/A"/>
    <e v="#N/A"/>
  </r>
  <r>
    <n v="484"/>
    <d v="2016-01-06T11:02:35"/>
    <d v="2016-01-06T11:17:36"/>
    <x v="2"/>
    <m/>
    <m/>
    <x v="1"/>
    <n v="70805"/>
    <n v="3.3085467244915798"/>
    <d v="2016-01-06T11:34:08"/>
    <n v="11.59"/>
    <x v="242"/>
    <n v="1"/>
    <n v="1.7"/>
    <n v="0"/>
    <n v="0"/>
    <n v="1.7"/>
    <x v="229"/>
    <x v="1"/>
    <x v="234"/>
    <x v="0"/>
    <n v="10"/>
    <e v="#N/A"/>
    <e v="#N/A"/>
  </r>
  <r>
    <n v="485"/>
    <d v="2016-01-06T11:31:13"/>
    <d v="2016-01-06T11:46:13"/>
    <x v="2"/>
    <m/>
    <m/>
    <x v="1"/>
    <n v="70804"/>
    <n v="1.9158689504364601"/>
    <d v="2016-01-06T11:55:47"/>
    <n v="11.59"/>
    <x v="243"/>
    <n v="1"/>
    <n v="1.7"/>
    <n v="0"/>
    <n v="0"/>
    <n v="1.7"/>
    <x v="230"/>
    <x v="0"/>
    <x v="235"/>
    <x v="131"/>
    <n v="10"/>
    <e v="#N/A"/>
    <e v="#N/A"/>
  </r>
  <r>
    <n v="486"/>
    <d v="2016-01-06T12:36:41"/>
    <d v="2016-01-06T12:51:42"/>
    <x v="0"/>
    <s v="Medium"/>
    <m/>
    <x v="0"/>
    <n v="70805"/>
    <n v="0"/>
    <d v="2016-01-06T12:54:41"/>
    <n v="19.579999999999998"/>
    <x v="24"/>
    <n v="2"/>
    <n v="1"/>
    <n v="1.7"/>
    <n v="0"/>
    <n v="2.7"/>
    <x v="0"/>
    <x v="0"/>
    <x v="0"/>
    <x v="0"/>
    <n v="7"/>
    <n v="10"/>
    <e v="#N/A"/>
  </r>
  <r>
    <n v="487"/>
    <d v="2016-01-06T10:49:04"/>
    <d v="2016-01-06T11:04:04"/>
    <x v="0"/>
    <m/>
    <m/>
    <x v="1"/>
    <n v="70807"/>
    <n v="3.0528908453041499"/>
    <d v="2016-01-06T11:19:19"/>
    <n v="7.99"/>
    <x v="244"/>
    <n v="1"/>
    <n v="1"/>
    <n v="0"/>
    <n v="0"/>
    <n v="1"/>
    <x v="231"/>
    <x v="0"/>
    <x v="236"/>
    <x v="132"/>
    <n v="7"/>
    <e v="#N/A"/>
    <e v="#N/A"/>
  </r>
  <r>
    <n v="488"/>
    <d v="2016-01-06T12:39:09"/>
    <d v="2016-01-06T12:54:08"/>
    <x v="0"/>
    <m/>
    <m/>
    <x v="0"/>
    <n v="70806"/>
    <n v="0"/>
    <d v="2016-01-06T12:57:08"/>
    <n v="7.99"/>
    <x v="2"/>
    <n v="1"/>
    <n v="1"/>
    <n v="0"/>
    <n v="0"/>
    <n v="1"/>
    <x v="0"/>
    <x v="0"/>
    <x v="0"/>
    <x v="0"/>
    <n v="7"/>
    <e v="#N/A"/>
    <e v="#N/A"/>
  </r>
  <r>
    <n v="489"/>
    <d v="2016-01-06T11:12:50"/>
    <d v="2016-01-06T11:27:49"/>
    <x v="1"/>
    <m/>
    <m/>
    <x v="1"/>
    <n v="70806"/>
    <n v="2.3584183778299499"/>
    <d v="2016-01-06T11:39:36"/>
    <n v="15.35"/>
    <x v="4"/>
    <n v="1"/>
    <n v="2.2999999999999998"/>
    <n v="0"/>
    <n v="0"/>
    <n v="2.2999999999999998"/>
    <x v="2"/>
    <x v="0"/>
    <x v="237"/>
    <x v="133"/>
    <n v="14"/>
    <e v="#N/A"/>
    <e v="#N/A"/>
  </r>
  <r>
    <n v="490"/>
    <d v="2016-01-06T11:32:29"/>
    <d v="2016-01-06T11:47:28"/>
    <x v="0"/>
    <s v="Medium"/>
    <m/>
    <x v="1"/>
    <n v="70805"/>
    <n v="4.6248960461797202"/>
    <d v="2016-01-06T12:10:35"/>
    <n v="19.579999999999998"/>
    <x v="245"/>
    <n v="2"/>
    <n v="1"/>
    <n v="1.7"/>
    <n v="0"/>
    <n v="2.7"/>
    <x v="232"/>
    <x v="1"/>
    <x v="238"/>
    <x v="0"/>
    <n v="7"/>
    <n v="10"/>
    <e v="#N/A"/>
  </r>
  <r>
    <n v="491"/>
    <d v="2016-01-06T11:49:54"/>
    <d v="2016-01-06T12:04:53"/>
    <x v="1"/>
    <m/>
    <m/>
    <x v="1"/>
    <n v="70806"/>
    <n v="0.88674010433897099"/>
    <d v="2016-01-06T12:09:19"/>
    <n v="15.35"/>
    <x v="246"/>
    <n v="1"/>
    <n v="2.2999999999999998"/>
    <n v="0"/>
    <n v="0"/>
    <n v="2.2999999999999998"/>
    <x v="233"/>
    <x v="0"/>
    <x v="239"/>
    <x v="134"/>
    <n v="14"/>
    <e v="#N/A"/>
    <e v="#N/A"/>
  </r>
  <r>
    <n v="492"/>
    <d v="2016-01-06T12:19:36"/>
    <d v="2016-01-06T12:34:36"/>
    <x v="2"/>
    <m/>
    <m/>
    <x v="1"/>
    <n v="70804"/>
    <n v="4.1974832097261698"/>
    <d v="2016-01-06T12:55:35"/>
    <n v="11.59"/>
    <x v="247"/>
    <n v="1"/>
    <n v="1.7"/>
    <n v="0"/>
    <n v="0"/>
    <n v="1.7"/>
    <x v="234"/>
    <x v="1"/>
    <x v="240"/>
    <x v="0"/>
    <n v="10"/>
    <e v="#N/A"/>
    <e v="#N/A"/>
  </r>
  <r>
    <n v="493"/>
    <d v="2016-01-06T12:08:31"/>
    <d v="2016-01-06T12:23:29"/>
    <x v="2"/>
    <m/>
    <m/>
    <x v="0"/>
    <n v="70803"/>
    <n v="0"/>
    <d v="2016-01-06T12:26:28"/>
    <n v="11.59"/>
    <x v="24"/>
    <n v="1"/>
    <n v="1.7"/>
    <n v="0"/>
    <n v="0"/>
    <n v="1.7"/>
    <x v="0"/>
    <x v="0"/>
    <x v="0"/>
    <x v="0"/>
    <n v="10"/>
    <e v="#N/A"/>
    <e v="#N/A"/>
  </r>
  <r>
    <n v="494"/>
    <d v="2016-01-06T12:59:59"/>
    <d v="2016-01-06T13:14:59"/>
    <x v="1"/>
    <m/>
    <m/>
    <x v="1"/>
    <n v="70804"/>
    <n v="1.8524543153874"/>
    <d v="2016-01-06T13:24:14"/>
    <n v="15.35"/>
    <x v="248"/>
    <n v="1"/>
    <n v="2.2999999999999998"/>
    <n v="0"/>
    <n v="0"/>
    <n v="2.2999999999999998"/>
    <x v="235"/>
    <x v="0"/>
    <x v="241"/>
    <x v="135"/>
    <n v="14"/>
    <e v="#N/A"/>
    <e v="#N/A"/>
  </r>
  <r>
    <n v="495"/>
    <d v="2016-01-06T10:25:19"/>
    <d v="2016-01-06T10:40:17"/>
    <x v="0"/>
    <s v="Medium"/>
    <m/>
    <x v="1"/>
    <n v="70804"/>
    <n v="1.3390316324139899"/>
    <d v="2016-01-06T10:46:58"/>
    <n v="19.579999999999998"/>
    <x v="249"/>
    <n v="2"/>
    <n v="1"/>
    <n v="1.7"/>
    <n v="0"/>
    <n v="2.7"/>
    <x v="236"/>
    <x v="0"/>
    <x v="242"/>
    <x v="136"/>
    <n v="7"/>
    <n v="10"/>
    <e v="#N/A"/>
  </r>
  <r>
    <n v="496"/>
    <d v="2016-01-06T11:36:17"/>
    <d v="2016-01-06T11:51:17"/>
    <x v="0"/>
    <m/>
    <m/>
    <x v="0"/>
    <n v="70803"/>
    <n v="0"/>
    <d v="2016-01-06T11:54:16"/>
    <n v="7.99"/>
    <x v="1"/>
    <n v="1"/>
    <n v="1"/>
    <n v="0"/>
    <n v="0"/>
    <n v="1"/>
    <x v="0"/>
    <x v="0"/>
    <x v="0"/>
    <x v="0"/>
    <n v="7"/>
    <e v="#N/A"/>
    <e v="#N/A"/>
  </r>
  <r>
    <n v="497"/>
    <d v="2016-01-06T11:35:45"/>
    <d v="2016-01-06T11:50:44"/>
    <x v="0"/>
    <m/>
    <m/>
    <x v="1"/>
    <n v="70804"/>
    <n v="3.3341791020852898"/>
    <d v="2016-01-06T12:07:24"/>
    <n v="7.99"/>
    <x v="145"/>
    <n v="1"/>
    <n v="1"/>
    <n v="0"/>
    <n v="0"/>
    <n v="1"/>
    <x v="135"/>
    <x v="1"/>
    <x v="243"/>
    <x v="0"/>
    <n v="7"/>
    <e v="#N/A"/>
    <e v="#N/A"/>
  </r>
  <r>
    <n v="498"/>
    <d v="2016-01-06T12:17:36"/>
    <d v="2016-01-06T12:32:36"/>
    <x v="2"/>
    <m/>
    <m/>
    <x v="1"/>
    <n v="70808"/>
    <n v="1.9725657526965401"/>
    <d v="2016-01-06T12:42:27"/>
    <n v="11.59"/>
    <x v="250"/>
    <n v="1"/>
    <n v="1.7"/>
    <n v="0"/>
    <n v="0"/>
    <n v="1.7"/>
    <x v="237"/>
    <x v="0"/>
    <x v="244"/>
    <x v="137"/>
    <n v="10"/>
    <e v="#N/A"/>
    <e v="#N/A"/>
  </r>
  <r>
    <n v="499"/>
    <d v="2016-01-06T11:41:21"/>
    <d v="2016-01-06T11:56:20"/>
    <x v="2"/>
    <s v="Large"/>
    <m/>
    <x v="1"/>
    <n v="70804"/>
    <n v="2.97038880252761"/>
    <d v="2016-01-06T12:11:11"/>
    <n v="25.94"/>
    <x v="251"/>
    <n v="2"/>
    <n v="1.7"/>
    <n v="2.2999999999999998"/>
    <n v="0"/>
    <n v="4"/>
    <x v="238"/>
    <x v="0"/>
    <x v="245"/>
    <x v="138"/>
    <n v="10"/>
    <n v="14"/>
    <e v="#N/A"/>
  </r>
  <r>
    <n v="500"/>
    <d v="2016-01-06T12:31:48"/>
    <d v="2016-01-06T12:46:48"/>
    <x v="2"/>
    <m/>
    <m/>
    <x v="0"/>
    <n v="70804"/>
    <n v="0"/>
    <d v="2016-01-06T12:49:49"/>
    <n v="11.59"/>
    <x v="14"/>
    <n v="1"/>
    <n v="1.7"/>
    <n v="0"/>
    <n v="0"/>
    <n v="1.7"/>
    <x v="0"/>
    <x v="0"/>
    <x v="0"/>
    <x v="0"/>
    <n v="10"/>
    <e v="#N/A"/>
    <e v="#N/A"/>
  </r>
  <r>
    <n v="501"/>
    <d v="2016-01-06T10:47:15"/>
    <d v="2016-01-06T11:02:14"/>
    <x v="1"/>
    <m/>
    <m/>
    <x v="0"/>
    <n v="70806"/>
    <n v="0"/>
    <d v="2016-01-06T11:05:13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502"/>
    <d v="2016-01-06T11:29:38"/>
    <d v="2016-01-06T11:44:37"/>
    <x v="2"/>
    <s v="Large"/>
    <m/>
    <x v="0"/>
    <n v="70806"/>
    <n v="0"/>
    <d v="2016-01-06T11:47:36"/>
    <n v="25.94"/>
    <x v="1"/>
    <n v="2"/>
    <n v="1.7"/>
    <n v="2.2999999999999998"/>
    <n v="0"/>
    <n v="4"/>
    <x v="0"/>
    <x v="0"/>
    <x v="0"/>
    <x v="0"/>
    <n v="10"/>
    <n v="14"/>
    <e v="#N/A"/>
  </r>
  <r>
    <n v="503"/>
    <d v="2016-01-06T13:17:25"/>
    <d v="2016-01-06T13:32:24"/>
    <x v="1"/>
    <m/>
    <m/>
    <x v="1"/>
    <n v="70805"/>
    <n v="3.0744507061157602"/>
    <d v="2016-01-06T13:47:46"/>
    <n v="15.35"/>
    <x v="252"/>
    <n v="1"/>
    <n v="2.2999999999999998"/>
    <n v="0"/>
    <n v="0"/>
    <n v="2.2999999999999998"/>
    <x v="239"/>
    <x v="0"/>
    <x v="246"/>
    <x v="139"/>
    <n v="14"/>
    <e v="#N/A"/>
    <e v="#N/A"/>
  </r>
  <r>
    <n v="504"/>
    <d v="2016-01-06T11:11:45"/>
    <d v="2016-01-06T11:26:46"/>
    <x v="2"/>
    <m/>
    <m/>
    <x v="0"/>
    <n v="70803"/>
    <n v="0"/>
    <d v="2016-01-06T11:29:46"/>
    <n v="11.59"/>
    <x v="63"/>
    <n v="1"/>
    <n v="1.7"/>
    <n v="0"/>
    <n v="0"/>
    <n v="1.7"/>
    <x v="0"/>
    <x v="0"/>
    <x v="0"/>
    <x v="0"/>
    <n v="10"/>
    <e v="#N/A"/>
    <e v="#N/A"/>
  </r>
  <r>
    <n v="505"/>
    <d v="2016-01-06T14:45:43"/>
    <d v="2016-01-06T15:00:42"/>
    <x v="1"/>
    <m/>
    <m/>
    <x v="1"/>
    <n v="70804"/>
    <n v="1.58916268178105"/>
    <d v="2016-01-06T15:08:38"/>
    <n v="15.35"/>
    <x v="253"/>
    <n v="1"/>
    <n v="2.2999999999999998"/>
    <n v="0"/>
    <n v="0"/>
    <n v="2.2999999999999998"/>
    <x v="240"/>
    <x v="0"/>
    <x v="247"/>
    <x v="140"/>
    <n v="14"/>
    <e v="#N/A"/>
    <e v="#N/A"/>
  </r>
  <r>
    <n v="506"/>
    <d v="2016-01-06T11:00:38"/>
    <d v="2016-01-06T11:15:37"/>
    <x v="1"/>
    <m/>
    <m/>
    <x v="0"/>
    <n v="70804"/>
    <n v="0"/>
    <d v="2016-01-06T11:18:37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507"/>
    <d v="2016-01-06T12:38:39"/>
    <d v="2016-01-06T12:53:38"/>
    <x v="0"/>
    <s v="Medium"/>
    <m/>
    <x v="0"/>
    <n v="70808"/>
    <n v="0"/>
    <d v="2016-01-06T12:56:40"/>
    <n v="19.579999999999998"/>
    <x v="171"/>
    <n v="2"/>
    <n v="1"/>
    <n v="1.7"/>
    <n v="0"/>
    <n v="2.7"/>
    <x v="0"/>
    <x v="0"/>
    <x v="0"/>
    <x v="0"/>
    <n v="7"/>
    <n v="10"/>
    <e v="#N/A"/>
  </r>
  <r>
    <n v="508"/>
    <d v="2016-01-06T11:01:43"/>
    <d v="2016-01-06T11:16:44"/>
    <x v="0"/>
    <m/>
    <m/>
    <x v="1"/>
    <n v="70806"/>
    <n v="3.0684120558375398"/>
    <d v="2016-01-06T11:32:04"/>
    <n v="7.99"/>
    <x v="254"/>
    <n v="1"/>
    <n v="1"/>
    <n v="0"/>
    <n v="0"/>
    <n v="1"/>
    <x v="241"/>
    <x v="0"/>
    <x v="248"/>
    <x v="141"/>
    <n v="7"/>
    <e v="#N/A"/>
    <e v="#N/A"/>
  </r>
  <r>
    <n v="509"/>
    <d v="2016-01-06T11:57:46"/>
    <d v="2016-01-06T12:12:45"/>
    <x v="1"/>
    <m/>
    <m/>
    <x v="1"/>
    <n v="70805"/>
    <n v="4.9325445097095404"/>
    <d v="2016-01-06T12:37:24"/>
    <n v="15.35"/>
    <x v="255"/>
    <n v="1"/>
    <n v="2.2999999999999998"/>
    <n v="0"/>
    <n v="0"/>
    <n v="2.2999999999999998"/>
    <x v="242"/>
    <x v="1"/>
    <x v="249"/>
    <x v="0"/>
    <n v="14"/>
    <e v="#N/A"/>
    <e v="#N/A"/>
  </r>
  <r>
    <n v="510"/>
    <d v="2016-01-06T11:13:37"/>
    <d v="2016-01-06T11:28:36"/>
    <x v="1"/>
    <m/>
    <m/>
    <x v="0"/>
    <n v="70805"/>
    <n v="0"/>
    <d v="2016-01-06T11:31:36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511"/>
    <d v="2016-01-06T11:15:35"/>
    <d v="2016-01-06T11:30:35"/>
    <x v="1"/>
    <m/>
    <m/>
    <x v="1"/>
    <n v="70807"/>
    <n v="2.9120059805513399"/>
    <d v="2016-01-06T11:45:08"/>
    <n v="15.35"/>
    <x v="256"/>
    <n v="1"/>
    <n v="2.2999999999999998"/>
    <n v="0"/>
    <n v="0"/>
    <n v="2.2999999999999998"/>
    <x v="243"/>
    <x v="0"/>
    <x v="250"/>
    <x v="142"/>
    <n v="14"/>
    <e v="#N/A"/>
    <e v="#N/A"/>
  </r>
  <r>
    <n v="512"/>
    <d v="2016-01-06T12:32:24"/>
    <d v="2016-01-06T12:47:25"/>
    <x v="2"/>
    <m/>
    <m/>
    <x v="1"/>
    <n v="70805"/>
    <n v="3.1925932998036299"/>
    <d v="2016-01-06T13:03:22"/>
    <n v="11.59"/>
    <x v="257"/>
    <n v="1"/>
    <n v="1.7"/>
    <n v="0"/>
    <n v="0"/>
    <n v="1.7"/>
    <x v="244"/>
    <x v="0"/>
    <x v="251"/>
    <x v="143"/>
    <n v="10"/>
    <e v="#N/A"/>
    <e v="#N/A"/>
  </r>
  <r>
    <n v="513"/>
    <d v="2016-01-06T12:21:34"/>
    <d v="2016-01-06T12:36:34"/>
    <x v="1"/>
    <m/>
    <m/>
    <x v="0"/>
    <n v="70806"/>
    <n v="0"/>
    <d v="2016-01-06T12:39:32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514"/>
    <d v="2016-01-06T10:15:41"/>
    <d v="2016-01-06T10:30:41"/>
    <x v="0"/>
    <m/>
    <m/>
    <x v="1"/>
    <n v="70805"/>
    <n v="3.1130364495294498"/>
    <d v="2016-01-06T10:46:14"/>
    <n v="7.99"/>
    <x v="258"/>
    <n v="1"/>
    <n v="1"/>
    <n v="0"/>
    <n v="0"/>
    <n v="1"/>
    <x v="245"/>
    <x v="0"/>
    <x v="252"/>
    <x v="144"/>
    <n v="7"/>
    <e v="#N/A"/>
    <e v="#N/A"/>
  </r>
  <r>
    <n v="515"/>
    <d v="2016-01-06T11:27:54"/>
    <d v="2016-01-06T11:42:54"/>
    <x v="0"/>
    <s v="Medium"/>
    <m/>
    <x v="0"/>
    <n v="70803"/>
    <n v="0"/>
    <d v="2016-01-06T11:45:53"/>
    <n v="19.579999999999998"/>
    <x v="24"/>
    <n v="2"/>
    <n v="1"/>
    <n v="1.7"/>
    <n v="0"/>
    <n v="2.7"/>
    <x v="0"/>
    <x v="0"/>
    <x v="0"/>
    <x v="0"/>
    <n v="7"/>
    <n v="10"/>
    <e v="#N/A"/>
  </r>
  <r>
    <n v="516"/>
    <d v="2016-01-06T14:23:55"/>
    <d v="2016-01-06T14:38:54"/>
    <x v="0"/>
    <s v="Medium"/>
    <m/>
    <x v="0"/>
    <n v="70805"/>
    <n v="0"/>
    <d v="2016-01-06T14:41:53"/>
    <n v="19.579999999999998"/>
    <x v="24"/>
    <n v="2"/>
    <n v="1"/>
    <n v="1.7"/>
    <n v="0"/>
    <n v="2.7"/>
    <x v="0"/>
    <x v="0"/>
    <x v="0"/>
    <x v="0"/>
    <n v="7"/>
    <n v="10"/>
    <e v="#N/A"/>
  </r>
  <r>
    <n v="517"/>
    <d v="2016-01-06T12:16:42"/>
    <d v="2016-01-06T12:31:41"/>
    <x v="2"/>
    <m/>
    <m/>
    <x v="0"/>
    <n v="70804"/>
    <n v="0"/>
    <d v="2016-01-06T12:34:40"/>
    <n v="11.59"/>
    <x v="1"/>
    <n v="1"/>
    <n v="1.7"/>
    <n v="0"/>
    <n v="0"/>
    <n v="1.7"/>
    <x v="0"/>
    <x v="0"/>
    <x v="0"/>
    <x v="0"/>
    <n v="10"/>
    <e v="#N/A"/>
    <e v="#N/A"/>
  </r>
  <r>
    <n v="518"/>
    <d v="2016-01-06T11:34:08"/>
    <d v="2016-01-06T11:49:08"/>
    <x v="2"/>
    <m/>
    <m/>
    <x v="0"/>
    <n v="70803"/>
    <n v="0"/>
    <d v="2016-01-06T11:52:07"/>
    <n v="11.59"/>
    <x v="1"/>
    <n v="1"/>
    <n v="1.7"/>
    <n v="0"/>
    <n v="0"/>
    <n v="1.7"/>
    <x v="0"/>
    <x v="0"/>
    <x v="0"/>
    <x v="0"/>
    <n v="10"/>
    <e v="#N/A"/>
    <e v="#N/A"/>
  </r>
  <r>
    <n v="519"/>
    <d v="2016-01-06T11:13:36"/>
    <d v="2016-01-06T11:28:34"/>
    <x v="0"/>
    <m/>
    <m/>
    <x v="0"/>
    <n v="70804"/>
    <n v="0"/>
    <d v="2016-01-06T11:31:33"/>
    <n v="7.99"/>
    <x v="1"/>
    <n v="1"/>
    <n v="1"/>
    <n v="0"/>
    <n v="0"/>
    <n v="1"/>
    <x v="0"/>
    <x v="0"/>
    <x v="0"/>
    <x v="0"/>
    <n v="7"/>
    <e v="#N/A"/>
    <e v="#N/A"/>
  </r>
  <r>
    <n v="520"/>
    <d v="2016-01-06T12:50:44"/>
    <d v="2016-01-06T13:05:42"/>
    <x v="1"/>
    <m/>
    <m/>
    <x v="0"/>
    <n v="70804"/>
    <n v="0"/>
    <d v="2016-01-06T13:08:40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521"/>
    <d v="2016-01-06T11:10:29"/>
    <d v="2016-01-06T11:25:28"/>
    <x v="1"/>
    <m/>
    <m/>
    <x v="1"/>
    <n v="70804"/>
    <n v="3.1766215214015801"/>
    <d v="2016-01-06T11:41:20"/>
    <n v="15.35"/>
    <x v="259"/>
    <n v="1"/>
    <n v="2.2999999999999998"/>
    <n v="0"/>
    <n v="0"/>
    <n v="2.2999999999999998"/>
    <x v="246"/>
    <x v="0"/>
    <x v="253"/>
    <x v="145"/>
    <n v="14"/>
    <e v="#N/A"/>
    <e v="#N/A"/>
  </r>
  <r>
    <n v="522"/>
    <d v="2016-01-06T14:34:35"/>
    <d v="2016-01-06T14:49:36"/>
    <x v="0"/>
    <s v="Medium"/>
    <m/>
    <x v="0"/>
    <n v="70804"/>
    <n v="0"/>
    <d v="2016-01-06T14:52:35"/>
    <n v="19.579999999999998"/>
    <x v="24"/>
    <n v="2"/>
    <n v="1"/>
    <n v="1.7"/>
    <n v="0"/>
    <n v="2.7"/>
    <x v="0"/>
    <x v="0"/>
    <x v="0"/>
    <x v="0"/>
    <n v="7"/>
    <n v="10"/>
    <e v="#N/A"/>
  </r>
  <r>
    <n v="523"/>
    <d v="2016-01-06T12:26:04"/>
    <d v="2016-01-06T12:41:01"/>
    <x v="2"/>
    <m/>
    <m/>
    <x v="1"/>
    <n v="70807"/>
    <n v="0.30878531502079998"/>
    <d v="2016-01-06T12:42:33"/>
    <n v="11.59"/>
    <x v="260"/>
    <n v="1"/>
    <n v="1.7"/>
    <n v="0"/>
    <n v="0"/>
    <n v="1.7"/>
    <x v="247"/>
    <x v="0"/>
    <x v="254"/>
    <x v="146"/>
    <n v="10"/>
    <e v="#N/A"/>
    <e v="#N/A"/>
  </r>
  <r>
    <n v="524"/>
    <d v="2016-01-06T12:06:38"/>
    <d v="2016-01-06T12:21:38"/>
    <x v="0"/>
    <m/>
    <m/>
    <x v="1"/>
    <n v="70808"/>
    <n v="4.4676293234715301"/>
    <d v="2016-01-06T12:43:58"/>
    <n v="7.99"/>
    <x v="261"/>
    <n v="1"/>
    <n v="1"/>
    <n v="0"/>
    <n v="0"/>
    <n v="1"/>
    <x v="248"/>
    <x v="1"/>
    <x v="255"/>
    <x v="0"/>
    <n v="7"/>
    <e v="#N/A"/>
    <e v="#N/A"/>
  </r>
  <r>
    <n v="525"/>
    <d v="2016-01-06T12:37:55"/>
    <d v="2016-01-06T12:52:56"/>
    <x v="0"/>
    <m/>
    <m/>
    <x v="0"/>
    <n v="70804"/>
    <n v="0"/>
    <d v="2016-01-06T12:55:55"/>
    <n v="7.99"/>
    <x v="24"/>
    <n v="1"/>
    <n v="1"/>
    <n v="0"/>
    <n v="0"/>
    <n v="1"/>
    <x v="0"/>
    <x v="0"/>
    <x v="0"/>
    <x v="0"/>
    <n v="7"/>
    <e v="#N/A"/>
    <e v="#N/A"/>
  </r>
  <r>
    <n v="526"/>
    <d v="2016-01-06T12:24:19"/>
    <d v="2016-01-06T12:39:18"/>
    <x v="1"/>
    <m/>
    <m/>
    <x v="0"/>
    <n v="70803"/>
    <n v="0"/>
    <d v="2016-01-06T12:42:18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527"/>
    <d v="2016-01-06T11:50:31"/>
    <d v="2016-01-06T12:05:30"/>
    <x v="1"/>
    <m/>
    <m/>
    <x v="1"/>
    <n v="70805"/>
    <n v="2.2894741354066199"/>
    <d v="2016-01-06T12:16:56"/>
    <n v="15.35"/>
    <x v="262"/>
    <n v="1"/>
    <n v="2.2999999999999998"/>
    <n v="0"/>
    <n v="0"/>
    <n v="2.2999999999999998"/>
    <x v="249"/>
    <x v="0"/>
    <x v="256"/>
    <x v="147"/>
    <n v="14"/>
    <e v="#N/A"/>
    <e v="#N/A"/>
  </r>
  <r>
    <n v="528"/>
    <d v="2016-01-06T13:54:54"/>
    <d v="2016-01-06T14:09:53"/>
    <x v="0"/>
    <s v="Medium"/>
    <m/>
    <x v="0"/>
    <n v="70804"/>
    <n v="0"/>
    <d v="2016-01-06T14:12:53"/>
    <n v="19.579999999999998"/>
    <x v="2"/>
    <n v="2"/>
    <n v="1"/>
    <n v="1.7"/>
    <n v="0"/>
    <n v="2.7"/>
    <x v="0"/>
    <x v="0"/>
    <x v="0"/>
    <x v="0"/>
    <n v="7"/>
    <n v="10"/>
    <e v="#N/A"/>
  </r>
  <r>
    <n v="529"/>
    <d v="2016-01-06T12:16:48"/>
    <d v="2016-01-06T12:31:46"/>
    <x v="0"/>
    <m/>
    <m/>
    <x v="0"/>
    <n v="70806"/>
    <n v="0"/>
    <d v="2016-01-06T12:34:45"/>
    <n v="7.99"/>
    <x v="1"/>
    <n v="1"/>
    <n v="1"/>
    <n v="0"/>
    <n v="0"/>
    <n v="1"/>
    <x v="0"/>
    <x v="0"/>
    <x v="0"/>
    <x v="0"/>
    <n v="7"/>
    <e v="#N/A"/>
    <e v="#N/A"/>
  </r>
  <r>
    <n v="530"/>
    <d v="2016-01-06T12:25:26"/>
    <d v="2016-01-06T12:40:25"/>
    <x v="0"/>
    <m/>
    <m/>
    <x v="1"/>
    <n v="70805"/>
    <n v="4.0022482740898297"/>
    <d v="2016-01-06T13:00:25"/>
    <n v="7.99"/>
    <x v="263"/>
    <n v="1"/>
    <n v="1"/>
    <n v="0"/>
    <n v="0"/>
    <n v="1"/>
    <x v="250"/>
    <x v="1"/>
    <x v="257"/>
    <x v="0"/>
    <n v="7"/>
    <e v="#N/A"/>
    <e v="#N/A"/>
  </r>
  <r>
    <n v="531"/>
    <d v="2016-01-06T11:53:25"/>
    <d v="2016-01-06T12:08:22"/>
    <x v="1"/>
    <m/>
    <m/>
    <x v="1"/>
    <n v="70806"/>
    <n v="1.1505133682673201"/>
    <d v="2016-01-06T12:14:07"/>
    <n v="15.35"/>
    <x v="264"/>
    <n v="1"/>
    <n v="2.2999999999999998"/>
    <n v="0"/>
    <n v="0"/>
    <n v="2.2999999999999998"/>
    <x v="251"/>
    <x v="0"/>
    <x v="258"/>
    <x v="148"/>
    <n v="14"/>
    <e v="#N/A"/>
    <e v="#N/A"/>
  </r>
  <r>
    <n v="532"/>
    <d v="2016-01-06T10:33:10"/>
    <d v="2016-01-06T10:48:10"/>
    <x v="0"/>
    <m/>
    <m/>
    <x v="1"/>
    <n v="70806"/>
    <n v="2.7672782129229598"/>
    <d v="2016-01-06T11:02:00"/>
    <n v="7.99"/>
    <x v="265"/>
    <n v="1"/>
    <n v="1"/>
    <n v="0"/>
    <n v="0"/>
    <n v="1"/>
    <x v="252"/>
    <x v="0"/>
    <x v="259"/>
    <x v="149"/>
    <n v="7"/>
    <e v="#N/A"/>
    <e v="#N/A"/>
  </r>
  <r>
    <n v="533"/>
    <d v="2016-01-06T11:16:40"/>
    <d v="2016-01-06T11:31:39"/>
    <x v="0"/>
    <m/>
    <m/>
    <x v="0"/>
    <n v="70803"/>
    <n v="0"/>
    <d v="2016-01-06T11:34:39"/>
    <n v="7.99"/>
    <x v="2"/>
    <n v="1"/>
    <n v="1"/>
    <n v="0"/>
    <n v="0"/>
    <n v="1"/>
    <x v="0"/>
    <x v="0"/>
    <x v="0"/>
    <x v="0"/>
    <n v="7"/>
    <e v="#N/A"/>
    <e v="#N/A"/>
  </r>
  <r>
    <n v="534"/>
    <d v="2016-01-07T12:45:20"/>
    <d v="2016-01-07T13:00:20"/>
    <x v="1"/>
    <m/>
    <m/>
    <x v="0"/>
    <n v="70808"/>
    <n v="0"/>
    <d v="2016-01-07T13:03:21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535"/>
    <d v="2016-01-07T11:38:21"/>
    <d v="2016-01-07T11:53:22"/>
    <x v="0"/>
    <s v="Medium"/>
    <m/>
    <x v="1"/>
    <n v="70806"/>
    <n v="4.1655603537007098"/>
    <d v="2016-01-07T12:14:11"/>
    <n v="19.579999999999998"/>
    <x v="266"/>
    <n v="2"/>
    <n v="1"/>
    <n v="1.7"/>
    <n v="0"/>
    <n v="2.7"/>
    <x v="253"/>
    <x v="1"/>
    <x v="260"/>
    <x v="0"/>
    <n v="7"/>
    <n v="10"/>
    <e v="#N/A"/>
  </r>
  <r>
    <n v="536"/>
    <d v="2016-01-07T11:36:50"/>
    <d v="2016-01-07T11:51:51"/>
    <x v="0"/>
    <s v="Medium"/>
    <m/>
    <x v="0"/>
    <n v="70806"/>
    <n v="0"/>
    <d v="2016-01-07T11:54:49"/>
    <n v="19.579999999999998"/>
    <x v="0"/>
    <n v="2"/>
    <n v="1"/>
    <n v="1.7"/>
    <n v="0"/>
    <n v="2.7"/>
    <x v="0"/>
    <x v="0"/>
    <x v="0"/>
    <x v="0"/>
    <n v="7"/>
    <n v="10"/>
    <e v="#N/A"/>
  </r>
  <r>
    <n v="537"/>
    <d v="2016-01-07T11:28:14"/>
    <d v="2016-01-07T11:43:16"/>
    <x v="2"/>
    <m/>
    <m/>
    <x v="0"/>
    <n v="70804"/>
    <n v="0"/>
    <d v="2016-01-07T11:46:15"/>
    <n v="11.59"/>
    <x v="1"/>
    <n v="1"/>
    <n v="1.7"/>
    <n v="0"/>
    <n v="0"/>
    <n v="1.7"/>
    <x v="0"/>
    <x v="0"/>
    <x v="0"/>
    <x v="0"/>
    <n v="10"/>
    <e v="#N/A"/>
    <e v="#N/A"/>
  </r>
  <r>
    <n v="538"/>
    <d v="2016-01-07T11:27:28"/>
    <d v="2016-01-07T11:42:28"/>
    <x v="2"/>
    <m/>
    <m/>
    <x v="1"/>
    <n v="70806"/>
    <n v="2.3944716524816001"/>
    <d v="2016-01-07T11:54:26"/>
    <n v="11.59"/>
    <x v="267"/>
    <n v="1"/>
    <n v="1.7"/>
    <n v="0"/>
    <n v="0"/>
    <n v="1.7"/>
    <x v="254"/>
    <x v="0"/>
    <x v="261"/>
    <x v="150"/>
    <n v="10"/>
    <e v="#N/A"/>
    <e v="#N/A"/>
  </r>
  <r>
    <n v="539"/>
    <d v="2016-01-07T11:42:21"/>
    <d v="2016-01-07T11:57:19"/>
    <x v="2"/>
    <m/>
    <m/>
    <x v="1"/>
    <n v="70803"/>
    <n v="4.4457821307449104"/>
    <d v="2016-01-07T12:19:32"/>
    <n v="11.59"/>
    <x v="268"/>
    <n v="1"/>
    <n v="1.7"/>
    <n v="0"/>
    <n v="0"/>
    <n v="1.7"/>
    <x v="255"/>
    <x v="1"/>
    <x v="262"/>
    <x v="0"/>
    <n v="10"/>
    <e v="#N/A"/>
    <e v="#N/A"/>
  </r>
  <r>
    <n v="540"/>
    <d v="2016-01-07T11:10:19"/>
    <d v="2016-01-07T11:25:18"/>
    <x v="0"/>
    <s v="Medium"/>
    <m/>
    <x v="1"/>
    <n v="70805"/>
    <n v="4.4264384598615596"/>
    <d v="2016-01-07T11:47:25"/>
    <n v="19.579999999999998"/>
    <x v="269"/>
    <n v="2"/>
    <n v="1"/>
    <n v="1.7"/>
    <n v="0"/>
    <n v="2.7"/>
    <x v="256"/>
    <x v="1"/>
    <x v="263"/>
    <x v="0"/>
    <n v="7"/>
    <n v="10"/>
    <e v="#N/A"/>
  </r>
  <r>
    <n v="541"/>
    <d v="2016-01-07T12:10:29"/>
    <d v="2016-01-07T12:25:27"/>
    <x v="0"/>
    <s v="Medium"/>
    <m/>
    <x v="1"/>
    <n v="70808"/>
    <n v="4.7976884329612703"/>
    <d v="2016-01-07T12:49:26"/>
    <n v="19.579999999999998"/>
    <x v="270"/>
    <n v="2"/>
    <n v="1"/>
    <n v="1.7"/>
    <n v="0"/>
    <n v="2.7"/>
    <x v="257"/>
    <x v="1"/>
    <x v="264"/>
    <x v="0"/>
    <n v="7"/>
    <n v="10"/>
    <e v="#N/A"/>
  </r>
  <r>
    <n v="542"/>
    <d v="2016-01-07T10:38:08"/>
    <d v="2016-01-07T10:53:08"/>
    <x v="0"/>
    <s v="Large"/>
    <m/>
    <x v="0"/>
    <n v="70803"/>
    <n v="0"/>
    <d v="2016-01-07T10:56:07"/>
    <n v="23.34"/>
    <x v="24"/>
    <n v="2"/>
    <n v="1"/>
    <n v="2.2999999999999998"/>
    <n v="0"/>
    <n v="3.3"/>
    <x v="0"/>
    <x v="0"/>
    <x v="0"/>
    <x v="0"/>
    <n v="7"/>
    <n v="14"/>
    <e v="#N/A"/>
  </r>
  <r>
    <n v="543"/>
    <d v="2016-01-07T10:24:38"/>
    <d v="2016-01-07T10:39:37"/>
    <x v="0"/>
    <s v="Medium"/>
    <m/>
    <x v="0"/>
    <n v="70804"/>
    <n v="0"/>
    <d v="2016-01-07T10:42:37"/>
    <n v="19.579999999999998"/>
    <x v="63"/>
    <n v="2"/>
    <n v="1"/>
    <n v="1.7"/>
    <n v="0"/>
    <n v="2.7"/>
    <x v="0"/>
    <x v="0"/>
    <x v="0"/>
    <x v="0"/>
    <n v="7"/>
    <n v="10"/>
    <e v="#N/A"/>
  </r>
  <r>
    <n v="544"/>
    <d v="2016-01-07T11:45:37"/>
    <d v="2016-01-07T12:00:37"/>
    <x v="0"/>
    <m/>
    <m/>
    <x v="1"/>
    <n v="70807"/>
    <n v="3.1875056084573599"/>
    <d v="2016-01-07T12:16:33"/>
    <n v="7.99"/>
    <x v="271"/>
    <n v="1"/>
    <n v="1"/>
    <n v="0"/>
    <n v="0"/>
    <n v="1"/>
    <x v="258"/>
    <x v="0"/>
    <x v="265"/>
    <x v="151"/>
    <n v="7"/>
    <e v="#N/A"/>
    <e v="#N/A"/>
  </r>
  <r>
    <n v="545"/>
    <d v="2016-01-07T13:09:32"/>
    <d v="2016-01-07T13:24:31"/>
    <x v="1"/>
    <m/>
    <m/>
    <x v="1"/>
    <n v="70803"/>
    <n v="3.5973431109853999"/>
    <d v="2016-01-07T13:42:30"/>
    <n v="15.35"/>
    <x v="272"/>
    <n v="1"/>
    <n v="2.2999999999999998"/>
    <n v="0"/>
    <n v="0"/>
    <n v="2.2999999999999998"/>
    <x v="259"/>
    <x v="1"/>
    <x v="266"/>
    <x v="0"/>
    <n v="14"/>
    <e v="#N/A"/>
    <e v="#N/A"/>
  </r>
  <r>
    <n v="546"/>
    <d v="2016-01-07T12:39:11"/>
    <d v="2016-01-07T12:54:11"/>
    <x v="0"/>
    <m/>
    <m/>
    <x v="0"/>
    <n v="70805"/>
    <n v="0"/>
    <d v="2016-01-07T12:57:11"/>
    <n v="7.99"/>
    <x v="2"/>
    <n v="1"/>
    <n v="1"/>
    <n v="0"/>
    <n v="0"/>
    <n v="1"/>
    <x v="0"/>
    <x v="0"/>
    <x v="0"/>
    <x v="0"/>
    <n v="7"/>
    <e v="#N/A"/>
    <e v="#N/A"/>
  </r>
  <r>
    <n v="547"/>
    <d v="2016-01-07T11:46:39"/>
    <d v="2016-01-07T12:01:39"/>
    <x v="2"/>
    <m/>
    <m/>
    <x v="1"/>
    <n v="70804"/>
    <n v="2.4789711440100701"/>
    <d v="2016-01-07T12:14:02"/>
    <n v="11.59"/>
    <x v="3"/>
    <n v="1"/>
    <n v="1.7"/>
    <n v="0"/>
    <n v="0"/>
    <n v="1.7"/>
    <x v="1"/>
    <x v="0"/>
    <x v="267"/>
    <x v="152"/>
    <n v="10"/>
    <e v="#N/A"/>
    <e v="#N/A"/>
  </r>
  <r>
    <n v="548"/>
    <d v="2016-01-07T11:45:07"/>
    <d v="2016-01-07T12:00:06"/>
    <x v="1"/>
    <m/>
    <m/>
    <x v="1"/>
    <n v="70804"/>
    <n v="2.3347111642103799"/>
    <d v="2016-01-07T12:11:46"/>
    <n v="15.35"/>
    <x v="273"/>
    <n v="1"/>
    <n v="2.2999999999999998"/>
    <n v="0"/>
    <n v="0"/>
    <n v="2.2999999999999998"/>
    <x v="260"/>
    <x v="0"/>
    <x v="268"/>
    <x v="153"/>
    <n v="14"/>
    <e v="#N/A"/>
    <e v="#N/A"/>
  </r>
  <r>
    <n v="549"/>
    <d v="2016-01-07T12:14:37"/>
    <d v="2016-01-07T12:29:36"/>
    <x v="0"/>
    <s v="Medium"/>
    <m/>
    <x v="1"/>
    <n v="70804"/>
    <n v="2.7853917164435802"/>
    <d v="2016-01-07T12:43:31"/>
    <n v="19.579999999999998"/>
    <x v="274"/>
    <n v="2"/>
    <n v="1"/>
    <n v="1.7"/>
    <n v="0"/>
    <n v="2.7"/>
    <x v="261"/>
    <x v="0"/>
    <x v="269"/>
    <x v="154"/>
    <n v="7"/>
    <n v="10"/>
    <e v="#N/A"/>
  </r>
  <r>
    <n v="550"/>
    <d v="2016-01-07T12:58:34"/>
    <d v="2016-01-07T13:13:33"/>
    <x v="0"/>
    <s v="Large"/>
    <m/>
    <x v="1"/>
    <n v="70804"/>
    <n v="3.0738359975184801"/>
    <d v="2016-01-07T13:28:55"/>
    <n v="23.34"/>
    <x v="275"/>
    <n v="2"/>
    <n v="1"/>
    <n v="2.2999999999999998"/>
    <n v="0"/>
    <n v="3.3"/>
    <x v="262"/>
    <x v="0"/>
    <x v="270"/>
    <x v="155"/>
    <n v="7"/>
    <n v="14"/>
    <e v="#N/A"/>
  </r>
  <r>
    <n v="551"/>
    <d v="2016-01-07T14:43:17"/>
    <d v="2016-01-07T14:58:17"/>
    <x v="2"/>
    <m/>
    <m/>
    <x v="1"/>
    <n v="70805"/>
    <n v="1.6424466737293999"/>
    <d v="2016-01-07T15:06:29"/>
    <n v="11.59"/>
    <x v="276"/>
    <n v="1"/>
    <n v="1.7"/>
    <n v="0"/>
    <n v="0"/>
    <n v="1.7"/>
    <x v="263"/>
    <x v="0"/>
    <x v="271"/>
    <x v="156"/>
    <n v="10"/>
    <e v="#N/A"/>
    <e v="#N/A"/>
  </r>
  <r>
    <n v="552"/>
    <d v="2016-01-07T12:31:29"/>
    <d v="2016-01-07T12:46:29"/>
    <x v="1"/>
    <m/>
    <m/>
    <x v="0"/>
    <n v="70804"/>
    <n v="0"/>
    <d v="2016-01-07T12:49:28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553"/>
    <d v="2016-01-07T13:16:28"/>
    <d v="2016-01-07T13:31:27"/>
    <x v="1"/>
    <m/>
    <m/>
    <x v="1"/>
    <n v="70805"/>
    <n v="4.8100359129845698"/>
    <d v="2016-01-07T13:55:30"/>
    <n v="15.35"/>
    <x v="277"/>
    <n v="1"/>
    <n v="2.2999999999999998"/>
    <n v="0"/>
    <n v="0"/>
    <n v="2.2999999999999998"/>
    <x v="264"/>
    <x v="1"/>
    <x v="272"/>
    <x v="0"/>
    <n v="14"/>
    <e v="#N/A"/>
    <e v="#N/A"/>
  </r>
  <r>
    <n v="554"/>
    <d v="2016-01-07T12:36:24"/>
    <d v="2016-01-07T12:51:24"/>
    <x v="2"/>
    <s v="Large"/>
    <m/>
    <x v="1"/>
    <n v="70803"/>
    <n v="3.6745060176722699"/>
    <d v="2016-01-07T13:09:46"/>
    <n v="25.94"/>
    <x v="278"/>
    <n v="2"/>
    <n v="1.7"/>
    <n v="2.2999999999999998"/>
    <n v="0"/>
    <n v="4"/>
    <x v="265"/>
    <x v="1"/>
    <x v="273"/>
    <x v="0"/>
    <n v="10"/>
    <n v="14"/>
    <e v="#N/A"/>
  </r>
  <r>
    <n v="555"/>
    <d v="2016-01-07T11:33:25"/>
    <d v="2016-01-07T11:48:24"/>
    <x v="2"/>
    <m/>
    <m/>
    <x v="1"/>
    <n v="70806"/>
    <n v="1.81464063878398"/>
    <d v="2016-01-07T11:57:28"/>
    <n v="11.59"/>
    <x v="279"/>
    <n v="1"/>
    <n v="1.7"/>
    <n v="0"/>
    <n v="0"/>
    <n v="1.7"/>
    <x v="266"/>
    <x v="0"/>
    <x v="274"/>
    <x v="157"/>
    <n v="10"/>
    <e v="#N/A"/>
    <e v="#N/A"/>
  </r>
  <r>
    <n v="556"/>
    <d v="2016-01-07T11:25:18"/>
    <d v="2016-01-07T11:40:17"/>
    <x v="1"/>
    <m/>
    <m/>
    <x v="0"/>
    <n v="70806"/>
    <n v="0"/>
    <d v="2016-01-07T11:43:17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557"/>
    <d v="2016-01-07T11:22:29"/>
    <d v="2016-01-07T11:37:29"/>
    <x v="2"/>
    <m/>
    <m/>
    <x v="1"/>
    <n v="70806"/>
    <n v="6.3533926179699698"/>
    <d v="2016-01-07T12:09:15"/>
    <n v="11.59"/>
    <x v="280"/>
    <n v="1"/>
    <n v="1.7"/>
    <n v="0"/>
    <n v="0"/>
    <n v="1.7"/>
    <x v="267"/>
    <x v="1"/>
    <x v="275"/>
    <x v="0"/>
    <n v="10"/>
    <e v="#N/A"/>
    <e v="#N/A"/>
  </r>
  <r>
    <n v="558"/>
    <d v="2016-01-07T13:28:28"/>
    <d v="2016-01-07T13:43:28"/>
    <x v="2"/>
    <m/>
    <m/>
    <x v="0"/>
    <n v="70805"/>
    <n v="0"/>
    <d v="2016-01-07T13:46:28"/>
    <n v="11.59"/>
    <x v="2"/>
    <n v="1"/>
    <n v="1.7"/>
    <n v="0"/>
    <n v="0"/>
    <n v="1.7"/>
    <x v="0"/>
    <x v="0"/>
    <x v="0"/>
    <x v="0"/>
    <n v="10"/>
    <e v="#N/A"/>
    <e v="#N/A"/>
  </r>
  <r>
    <n v="559"/>
    <d v="2016-01-07T14:29:19"/>
    <d v="2016-01-07T14:44:18"/>
    <x v="0"/>
    <s v="Medium"/>
    <m/>
    <x v="0"/>
    <n v="70803"/>
    <n v="0"/>
    <d v="2016-01-07T14:47:18"/>
    <n v="19.579999999999998"/>
    <x v="2"/>
    <n v="2"/>
    <n v="1"/>
    <n v="1.7"/>
    <n v="0"/>
    <n v="2.7"/>
    <x v="0"/>
    <x v="0"/>
    <x v="0"/>
    <x v="0"/>
    <n v="7"/>
    <n v="10"/>
    <e v="#N/A"/>
  </r>
  <r>
    <n v="560"/>
    <d v="2016-01-07T11:13:44"/>
    <d v="2016-01-07T11:28:43"/>
    <x v="0"/>
    <m/>
    <m/>
    <x v="1"/>
    <n v="70806"/>
    <n v="3.14893748712747"/>
    <d v="2016-01-07T11:44:27"/>
    <n v="7.99"/>
    <x v="281"/>
    <n v="1"/>
    <n v="1"/>
    <n v="0"/>
    <n v="0"/>
    <n v="1"/>
    <x v="268"/>
    <x v="0"/>
    <x v="276"/>
    <x v="158"/>
    <n v="7"/>
    <e v="#N/A"/>
    <e v="#N/A"/>
  </r>
  <r>
    <n v="561"/>
    <d v="2016-01-07T13:09:09"/>
    <d v="2016-01-07T13:24:08"/>
    <x v="0"/>
    <m/>
    <m/>
    <x v="0"/>
    <n v="70805"/>
    <n v="0"/>
    <d v="2016-01-07T13:27:08"/>
    <n v="7.99"/>
    <x v="2"/>
    <n v="1"/>
    <n v="1"/>
    <n v="0"/>
    <n v="0"/>
    <n v="1"/>
    <x v="0"/>
    <x v="0"/>
    <x v="0"/>
    <x v="0"/>
    <n v="7"/>
    <e v="#N/A"/>
    <e v="#N/A"/>
  </r>
  <r>
    <n v="562"/>
    <d v="2016-01-07T13:46:04"/>
    <d v="2016-01-07T14:01:03"/>
    <x v="1"/>
    <m/>
    <m/>
    <x v="0"/>
    <n v="70805"/>
    <n v="0"/>
    <d v="2016-01-07T14:04:04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563"/>
    <d v="2016-01-07T11:35:17"/>
    <d v="2016-01-07T11:50:15"/>
    <x v="0"/>
    <m/>
    <m/>
    <x v="1"/>
    <n v="70805"/>
    <n v="3.0764376785993002"/>
    <d v="2016-01-07T12:05:37"/>
    <n v="7.99"/>
    <x v="275"/>
    <n v="1"/>
    <n v="1"/>
    <n v="0"/>
    <n v="0"/>
    <n v="1"/>
    <x v="262"/>
    <x v="0"/>
    <x v="277"/>
    <x v="159"/>
    <n v="7"/>
    <e v="#N/A"/>
    <e v="#N/A"/>
  </r>
  <r>
    <n v="564"/>
    <d v="2016-01-07T10:52:25"/>
    <d v="2016-01-07T11:07:25"/>
    <x v="1"/>
    <m/>
    <m/>
    <x v="1"/>
    <n v="70805"/>
    <n v="1.65559189284466"/>
    <d v="2016-01-07T11:15:41"/>
    <n v="15.35"/>
    <x v="282"/>
    <n v="1"/>
    <n v="2.2999999999999998"/>
    <n v="0"/>
    <n v="0"/>
    <n v="2.2999999999999998"/>
    <x v="269"/>
    <x v="0"/>
    <x v="278"/>
    <x v="160"/>
    <n v="14"/>
    <e v="#N/A"/>
    <e v="#N/A"/>
  </r>
  <r>
    <n v="565"/>
    <d v="2016-01-07T13:17:30"/>
    <d v="2016-01-07T13:32:31"/>
    <x v="2"/>
    <m/>
    <m/>
    <x v="0"/>
    <n v="70805"/>
    <n v="0"/>
    <d v="2016-01-07T13:35:32"/>
    <n v="11.59"/>
    <x v="14"/>
    <n v="1"/>
    <n v="1.7"/>
    <n v="0"/>
    <n v="0"/>
    <n v="1.7"/>
    <x v="0"/>
    <x v="0"/>
    <x v="0"/>
    <x v="0"/>
    <n v="10"/>
    <e v="#N/A"/>
    <e v="#N/A"/>
  </r>
  <r>
    <n v="566"/>
    <d v="2016-01-07T13:19:22"/>
    <d v="2016-01-07T13:34:21"/>
    <x v="0"/>
    <s v="Large"/>
    <m/>
    <x v="0"/>
    <n v="70805"/>
    <n v="0"/>
    <d v="2016-01-07T13:37:20"/>
    <n v="23.34"/>
    <x v="24"/>
    <n v="2"/>
    <n v="1"/>
    <n v="2.2999999999999998"/>
    <n v="0"/>
    <n v="3.3"/>
    <x v="0"/>
    <x v="0"/>
    <x v="0"/>
    <x v="0"/>
    <n v="7"/>
    <n v="14"/>
    <e v="#N/A"/>
  </r>
  <r>
    <n v="567"/>
    <d v="2016-01-07T13:16:02"/>
    <d v="2016-01-07T13:31:00"/>
    <x v="2"/>
    <m/>
    <m/>
    <x v="1"/>
    <n v="70805"/>
    <n v="2.4283185133620799"/>
    <d v="2016-01-07T13:43:08"/>
    <n v="11.59"/>
    <x v="283"/>
    <n v="1"/>
    <n v="1.7"/>
    <n v="0"/>
    <n v="0"/>
    <n v="1.7"/>
    <x v="270"/>
    <x v="0"/>
    <x v="279"/>
    <x v="161"/>
    <n v="10"/>
    <e v="#N/A"/>
    <e v="#N/A"/>
  </r>
  <r>
    <n v="568"/>
    <d v="2016-01-07T10:22:38"/>
    <d v="2016-01-07T10:37:38"/>
    <x v="0"/>
    <m/>
    <m/>
    <x v="1"/>
    <n v="70804"/>
    <n v="2.35083562456412"/>
    <d v="2016-01-07T10:49:23"/>
    <n v="7.99"/>
    <x v="185"/>
    <n v="1"/>
    <n v="1"/>
    <n v="0"/>
    <n v="0"/>
    <n v="1"/>
    <x v="173"/>
    <x v="0"/>
    <x v="280"/>
    <x v="162"/>
    <n v="7"/>
    <e v="#N/A"/>
    <e v="#N/A"/>
  </r>
  <r>
    <n v="569"/>
    <d v="2016-01-07T13:30:40"/>
    <d v="2016-01-07T13:45:39"/>
    <x v="2"/>
    <m/>
    <m/>
    <x v="0"/>
    <n v="70805"/>
    <n v="0"/>
    <d v="2016-01-07T13:48:38"/>
    <n v="11.59"/>
    <x v="24"/>
    <n v="1"/>
    <n v="1.7"/>
    <n v="0"/>
    <n v="0"/>
    <n v="1.7"/>
    <x v="0"/>
    <x v="0"/>
    <x v="0"/>
    <x v="0"/>
    <n v="10"/>
    <e v="#N/A"/>
    <e v="#N/A"/>
  </r>
  <r>
    <n v="570"/>
    <d v="2016-01-07T12:26:04"/>
    <d v="2016-01-07T12:41:03"/>
    <x v="0"/>
    <m/>
    <m/>
    <x v="0"/>
    <n v="70804"/>
    <n v="0"/>
    <d v="2016-01-07T12:44:03"/>
    <n v="7.99"/>
    <x v="2"/>
    <n v="1"/>
    <n v="1"/>
    <n v="0"/>
    <n v="0"/>
    <n v="1"/>
    <x v="0"/>
    <x v="0"/>
    <x v="0"/>
    <x v="0"/>
    <n v="7"/>
    <e v="#N/A"/>
    <e v="#N/A"/>
  </r>
  <r>
    <n v="571"/>
    <d v="2016-01-07T12:38:55"/>
    <d v="2016-01-07T12:53:55"/>
    <x v="0"/>
    <m/>
    <m/>
    <x v="1"/>
    <n v="70806"/>
    <n v="2.6980497931490599"/>
    <d v="2016-01-07T13:07:24"/>
    <n v="7.99"/>
    <x v="241"/>
    <n v="1"/>
    <n v="1"/>
    <n v="0"/>
    <n v="0"/>
    <n v="1"/>
    <x v="228"/>
    <x v="0"/>
    <x v="281"/>
    <x v="163"/>
    <n v="7"/>
    <e v="#N/A"/>
    <e v="#N/A"/>
  </r>
  <r>
    <n v="572"/>
    <d v="2016-01-07T13:54:28"/>
    <d v="2016-01-07T14:09:27"/>
    <x v="0"/>
    <s v="Medium"/>
    <m/>
    <x v="0"/>
    <n v="70804"/>
    <n v="0"/>
    <d v="2016-01-07T14:12:27"/>
    <n v="19.579999999999998"/>
    <x v="2"/>
    <n v="2"/>
    <n v="1"/>
    <n v="1.7"/>
    <n v="0"/>
    <n v="2.7"/>
    <x v="0"/>
    <x v="0"/>
    <x v="0"/>
    <x v="0"/>
    <n v="7"/>
    <n v="10"/>
    <e v="#N/A"/>
  </r>
  <r>
    <n v="573"/>
    <d v="2016-01-07T12:16:10"/>
    <d v="2016-01-07T12:31:09"/>
    <x v="2"/>
    <m/>
    <m/>
    <x v="1"/>
    <n v="70806"/>
    <n v="2.3941929257393899"/>
    <d v="2016-01-07T12:43:07"/>
    <n v="11.59"/>
    <x v="267"/>
    <n v="1"/>
    <n v="1.7"/>
    <n v="0"/>
    <n v="0"/>
    <n v="1.7"/>
    <x v="254"/>
    <x v="0"/>
    <x v="282"/>
    <x v="164"/>
    <n v="10"/>
    <e v="#N/A"/>
    <e v="#N/A"/>
  </r>
  <r>
    <n v="574"/>
    <d v="2016-01-07T14:43:05"/>
    <d v="2016-01-07T14:58:04"/>
    <x v="2"/>
    <m/>
    <m/>
    <x v="1"/>
    <n v="70803"/>
    <n v="3.3401097517535399"/>
    <d v="2016-01-07T15:14:46"/>
    <n v="11.59"/>
    <x v="284"/>
    <n v="1"/>
    <n v="1.7"/>
    <n v="0"/>
    <n v="0"/>
    <n v="1.7"/>
    <x v="271"/>
    <x v="1"/>
    <x v="283"/>
    <x v="0"/>
    <n v="10"/>
    <e v="#N/A"/>
    <e v="#N/A"/>
  </r>
  <r>
    <n v="575"/>
    <d v="2016-01-07T12:31:22"/>
    <d v="2016-01-07T12:46:24"/>
    <x v="0"/>
    <s v="Medium"/>
    <m/>
    <x v="0"/>
    <n v="70803"/>
    <n v="0"/>
    <d v="2016-01-07T12:49:23"/>
    <n v="19.579999999999998"/>
    <x v="24"/>
    <n v="2"/>
    <n v="1"/>
    <n v="1.7"/>
    <n v="0"/>
    <n v="2.7"/>
    <x v="0"/>
    <x v="0"/>
    <x v="0"/>
    <x v="0"/>
    <n v="7"/>
    <n v="10"/>
    <e v="#N/A"/>
  </r>
  <r>
    <n v="576"/>
    <d v="2016-01-07T12:16:37"/>
    <d v="2016-01-07T12:31:38"/>
    <x v="0"/>
    <m/>
    <m/>
    <x v="0"/>
    <n v="70804"/>
    <n v="0"/>
    <d v="2016-01-07T12:34:38"/>
    <n v="7.99"/>
    <x v="2"/>
    <n v="1"/>
    <n v="1"/>
    <n v="0"/>
    <n v="0"/>
    <n v="1"/>
    <x v="0"/>
    <x v="0"/>
    <x v="0"/>
    <x v="0"/>
    <n v="7"/>
    <e v="#N/A"/>
    <e v="#N/A"/>
  </r>
  <r>
    <n v="577"/>
    <d v="2016-01-07T12:22:07"/>
    <d v="2016-01-07T12:37:07"/>
    <x v="0"/>
    <s v="Large"/>
    <m/>
    <x v="1"/>
    <n v="70807"/>
    <n v="1.3100958338570601"/>
    <d v="2016-01-07T12:43:40"/>
    <n v="23.34"/>
    <x v="285"/>
    <n v="2"/>
    <n v="1"/>
    <n v="2.2999999999999998"/>
    <n v="0"/>
    <n v="3.3"/>
    <x v="272"/>
    <x v="0"/>
    <x v="284"/>
    <x v="165"/>
    <n v="7"/>
    <n v="14"/>
    <e v="#N/A"/>
  </r>
  <r>
    <n v="578"/>
    <d v="2016-01-07T10:05:18"/>
    <d v="2016-01-07T10:20:18"/>
    <x v="0"/>
    <m/>
    <m/>
    <x v="1"/>
    <n v="70803"/>
    <n v="2.1225663988479599"/>
    <d v="2016-01-07T10:30:54"/>
    <n v="7.99"/>
    <x v="286"/>
    <n v="1"/>
    <n v="1"/>
    <n v="0"/>
    <n v="0"/>
    <n v="1"/>
    <x v="273"/>
    <x v="0"/>
    <x v="285"/>
    <x v="166"/>
    <n v="7"/>
    <e v="#N/A"/>
    <e v="#N/A"/>
  </r>
  <r>
    <n v="579"/>
    <d v="2016-01-07T12:29:10"/>
    <d v="2016-01-07T12:44:10"/>
    <x v="1"/>
    <m/>
    <m/>
    <x v="0"/>
    <n v="70804"/>
    <n v="0"/>
    <d v="2016-01-07T12:47:10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580"/>
    <d v="2016-01-07T13:47:24"/>
    <d v="2016-01-07T14:02:23"/>
    <x v="0"/>
    <m/>
    <m/>
    <x v="1"/>
    <n v="70804"/>
    <n v="3.0021880096525901"/>
    <d v="2016-01-07T14:17:23"/>
    <n v="7.99"/>
    <x v="287"/>
    <n v="1"/>
    <n v="1"/>
    <n v="0"/>
    <n v="0"/>
    <n v="1"/>
    <x v="274"/>
    <x v="0"/>
    <x v="286"/>
    <x v="167"/>
    <n v="7"/>
    <e v="#N/A"/>
    <e v="#N/A"/>
  </r>
  <r>
    <n v="581"/>
    <d v="2016-01-07T13:01:44"/>
    <d v="2016-01-07T13:16:45"/>
    <x v="2"/>
    <m/>
    <m/>
    <x v="0"/>
    <n v="70804"/>
    <n v="0"/>
    <d v="2016-01-07T13:19:44"/>
    <n v="11.59"/>
    <x v="24"/>
    <n v="1"/>
    <n v="1.7"/>
    <n v="0"/>
    <n v="0"/>
    <n v="1.7"/>
    <x v="0"/>
    <x v="0"/>
    <x v="0"/>
    <x v="0"/>
    <n v="10"/>
    <e v="#N/A"/>
    <e v="#N/A"/>
  </r>
  <r>
    <n v="582"/>
    <d v="2016-01-07T13:25:27"/>
    <d v="2016-01-07T13:40:28"/>
    <x v="0"/>
    <s v="Medium"/>
    <m/>
    <x v="0"/>
    <n v="70804"/>
    <n v="0"/>
    <d v="2016-01-07T13:43:25"/>
    <n v="19.579999999999998"/>
    <x v="22"/>
    <n v="2"/>
    <n v="1"/>
    <n v="1.7"/>
    <n v="0"/>
    <n v="2.7"/>
    <x v="0"/>
    <x v="0"/>
    <x v="0"/>
    <x v="0"/>
    <n v="7"/>
    <n v="10"/>
    <e v="#N/A"/>
  </r>
  <r>
    <n v="583"/>
    <d v="2016-01-07T11:47:29"/>
    <d v="2016-01-07T12:02:30"/>
    <x v="1"/>
    <m/>
    <m/>
    <x v="1"/>
    <n v="70806"/>
    <n v="2.7086685899958298"/>
    <d v="2016-01-07T12:16:02"/>
    <n v="15.35"/>
    <x v="91"/>
    <n v="1"/>
    <n v="2.2999999999999998"/>
    <n v="0"/>
    <n v="0"/>
    <n v="2.2999999999999998"/>
    <x v="82"/>
    <x v="0"/>
    <x v="287"/>
    <x v="168"/>
    <n v="14"/>
    <e v="#N/A"/>
    <e v="#N/A"/>
  </r>
  <r>
    <n v="584"/>
    <d v="2016-01-07T10:12:41"/>
    <d v="2016-01-07T10:27:42"/>
    <x v="0"/>
    <m/>
    <m/>
    <x v="1"/>
    <n v="70806"/>
    <n v="3.1901666718068702"/>
    <d v="2016-01-07T10:43:39"/>
    <n v="7.99"/>
    <x v="257"/>
    <n v="1"/>
    <n v="1"/>
    <n v="0"/>
    <n v="0"/>
    <n v="1"/>
    <x v="244"/>
    <x v="0"/>
    <x v="288"/>
    <x v="169"/>
    <n v="7"/>
    <e v="#N/A"/>
    <e v="#N/A"/>
  </r>
  <r>
    <n v="585"/>
    <d v="2016-01-07T12:34:30"/>
    <d v="2016-01-07T12:49:29"/>
    <x v="1"/>
    <m/>
    <m/>
    <x v="0"/>
    <n v="70803"/>
    <n v="0"/>
    <d v="2016-01-07T12:52:29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586"/>
    <d v="2016-01-07T10:37:47"/>
    <d v="2016-01-07T10:52:46"/>
    <x v="0"/>
    <m/>
    <m/>
    <x v="1"/>
    <n v="70806"/>
    <n v="4.2064099832056003"/>
    <d v="2016-01-07T11:13:47"/>
    <n v="7.99"/>
    <x v="288"/>
    <n v="1"/>
    <n v="1"/>
    <n v="0"/>
    <n v="0"/>
    <n v="1"/>
    <x v="275"/>
    <x v="1"/>
    <x v="289"/>
    <x v="0"/>
    <n v="7"/>
    <e v="#N/A"/>
    <e v="#N/A"/>
  </r>
  <r>
    <n v="587"/>
    <d v="2016-01-07T12:06:28"/>
    <d v="2016-01-07T12:21:27"/>
    <x v="2"/>
    <m/>
    <m/>
    <x v="1"/>
    <n v="70804"/>
    <n v="2.8625133300160202"/>
    <d v="2016-01-07T12:35:45"/>
    <n v="11.59"/>
    <x v="289"/>
    <n v="1"/>
    <n v="1.7"/>
    <n v="0"/>
    <n v="0"/>
    <n v="1.7"/>
    <x v="276"/>
    <x v="0"/>
    <x v="290"/>
    <x v="170"/>
    <n v="10"/>
    <e v="#N/A"/>
    <e v="#N/A"/>
  </r>
  <r>
    <n v="588"/>
    <d v="2016-01-07T10:19:13"/>
    <d v="2016-01-07T10:34:12"/>
    <x v="2"/>
    <s v="Large"/>
    <m/>
    <x v="0"/>
    <n v="70805"/>
    <n v="0"/>
    <d v="2016-01-07T10:37:13"/>
    <n v="25.94"/>
    <x v="14"/>
    <n v="2"/>
    <n v="1.7"/>
    <n v="2.2999999999999998"/>
    <n v="0"/>
    <n v="4"/>
    <x v="0"/>
    <x v="0"/>
    <x v="0"/>
    <x v="0"/>
    <n v="10"/>
    <n v="14"/>
    <e v="#N/A"/>
  </r>
  <r>
    <n v="589"/>
    <d v="2016-01-07T11:07:38"/>
    <d v="2016-01-07T11:22:36"/>
    <x v="0"/>
    <m/>
    <m/>
    <x v="1"/>
    <n v="70806"/>
    <n v="3.2350213256633902"/>
    <d v="2016-01-07T11:38:46"/>
    <n v="7.99"/>
    <x v="99"/>
    <n v="1"/>
    <n v="1"/>
    <n v="0"/>
    <n v="0"/>
    <n v="1"/>
    <x v="90"/>
    <x v="1"/>
    <x v="291"/>
    <x v="0"/>
    <n v="7"/>
    <e v="#N/A"/>
    <e v="#N/A"/>
  </r>
  <r>
    <n v="590"/>
    <d v="2016-01-07T14:35:25"/>
    <d v="2016-01-07T14:50:24"/>
    <x v="1"/>
    <m/>
    <m/>
    <x v="1"/>
    <n v="70805"/>
    <n v="2.2260598237032001"/>
    <d v="2016-01-07T15:01:31"/>
    <n v="15.35"/>
    <x v="290"/>
    <n v="1"/>
    <n v="2.2999999999999998"/>
    <n v="0"/>
    <n v="0"/>
    <n v="2.2999999999999998"/>
    <x v="277"/>
    <x v="0"/>
    <x v="292"/>
    <x v="171"/>
    <n v="14"/>
    <e v="#N/A"/>
    <e v="#N/A"/>
  </r>
  <r>
    <n v="591"/>
    <d v="2016-01-07T12:52:12"/>
    <d v="2016-01-07T13:07:12"/>
    <x v="0"/>
    <m/>
    <m/>
    <x v="1"/>
    <n v="70806"/>
    <n v="2.8384240445694902"/>
    <d v="2016-01-07T13:21:23"/>
    <n v="7.99"/>
    <x v="291"/>
    <n v="1"/>
    <n v="1"/>
    <n v="0"/>
    <n v="0"/>
    <n v="1"/>
    <x v="278"/>
    <x v="0"/>
    <x v="293"/>
    <x v="172"/>
    <n v="7"/>
    <e v="#N/A"/>
    <e v="#N/A"/>
  </r>
  <r>
    <n v="592"/>
    <d v="2016-01-07T11:23:54"/>
    <d v="2016-01-07T11:38:54"/>
    <x v="0"/>
    <m/>
    <m/>
    <x v="0"/>
    <n v="70807"/>
    <n v="0"/>
    <d v="2016-01-07T11:41:55"/>
    <n v="7.99"/>
    <x v="56"/>
    <n v="1"/>
    <n v="1"/>
    <n v="0"/>
    <n v="0"/>
    <n v="1"/>
    <x v="0"/>
    <x v="0"/>
    <x v="0"/>
    <x v="0"/>
    <n v="7"/>
    <e v="#N/A"/>
    <e v="#N/A"/>
  </r>
  <r>
    <n v="593"/>
    <d v="2016-01-07T13:39:49"/>
    <d v="2016-01-07T13:54:47"/>
    <x v="0"/>
    <s v="Medium"/>
    <m/>
    <x v="1"/>
    <n v="70804"/>
    <n v="3.44802807332321"/>
    <d v="2016-01-07T14:12:01"/>
    <n v="19.579999999999998"/>
    <x v="292"/>
    <n v="2"/>
    <n v="1"/>
    <n v="1.7"/>
    <n v="0"/>
    <n v="2.7"/>
    <x v="279"/>
    <x v="1"/>
    <x v="294"/>
    <x v="0"/>
    <n v="7"/>
    <n v="10"/>
    <e v="#N/A"/>
  </r>
  <r>
    <n v="594"/>
    <d v="2016-01-07T11:26:26"/>
    <d v="2016-01-07T11:41:24"/>
    <x v="0"/>
    <m/>
    <m/>
    <x v="1"/>
    <n v="70806"/>
    <n v="3.9514576216497601"/>
    <d v="2016-01-07T12:01:09"/>
    <n v="7.99"/>
    <x v="293"/>
    <n v="1"/>
    <n v="1"/>
    <n v="0"/>
    <n v="0"/>
    <n v="1"/>
    <x v="280"/>
    <x v="1"/>
    <x v="295"/>
    <x v="0"/>
    <n v="7"/>
    <e v="#N/A"/>
    <e v="#N/A"/>
  </r>
  <r>
    <n v="595"/>
    <d v="2016-01-07T10:20:38"/>
    <d v="2016-01-07T10:35:37"/>
    <x v="0"/>
    <s v="Large"/>
    <m/>
    <x v="1"/>
    <n v="70804"/>
    <n v="1.92570916956966"/>
    <d v="2016-01-07T10:45:14"/>
    <n v="23.34"/>
    <x v="294"/>
    <n v="2"/>
    <n v="1"/>
    <n v="2.2999999999999998"/>
    <n v="0"/>
    <n v="3.3"/>
    <x v="281"/>
    <x v="0"/>
    <x v="296"/>
    <x v="173"/>
    <n v="7"/>
    <n v="14"/>
    <e v="#N/A"/>
  </r>
  <r>
    <n v="596"/>
    <d v="2016-01-07T12:55:39"/>
    <d v="2016-01-07T13:10:38"/>
    <x v="1"/>
    <m/>
    <m/>
    <x v="0"/>
    <n v="70804"/>
    <n v="0"/>
    <d v="2016-01-07T13:13:38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597"/>
    <d v="2016-01-07T10:31:38"/>
    <d v="2016-01-07T10:46:37"/>
    <x v="0"/>
    <s v="Large"/>
    <m/>
    <x v="1"/>
    <n v="70806"/>
    <n v="2.4177342596368598"/>
    <d v="2016-01-07T10:58:42"/>
    <n v="23.34"/>
    <x v="295"/>
    <n v="2"/>
    <n v="1"/>
    <n v="2.2999999999999998"/>
    <n v="0"/>
    <n v="3.3"/>
    <x v="282"/>
    <x v="0"/>
    <x v="297"/>
    <x v="174"/>
    <n v="7"/>
    <n v="14"/>
    <e v="#N/A"/>
  </r>
  <r>
    <n v="598"/>
    <d v="2016-01-07T12:05:05"/>
    <d v="2016-01-07T12:20:05"/>
    <x v="1"/>
    <m/>
    <m/>
    <x v="0"/>
    <n v="70805"/>
    <n v="0"/>
    <d v="2016-01-07T12:23:04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599"/>
    <d v="2016-01-07T13:00:13"/>
    <d v="2016-01-07T13:15:11"/>
    <x v="0"/>
    <m/>
    <m/>
    <x v="0"/>
    <n v="70806"/>
    <n v="0"/>
    <d v="2016-01-07T13:18:11"/>
    <n v="7.99"/>
    <x v="2"/>
    <n v="1"/>
    <n v="1"/>
    <n v="0"/>
    <n v="0"/>
    <n v="1"/>
    <x v="0"/>
    <x v="0"/>
    <x v="0"/>
    <x v="0"/>
    <n v="7"/>
    <e v="#N/A"/>
    <e v="#N/A"/>
  </r>
  <r>
    <n v="600"/>
    <d v="2016-01-07T12:37:15"/>
    <d v="2016-01-07T12:52:15"/>
    <x v="2"/>
    <m/>
    <m/>
    <x v="1"/>
    <n v="70803"/>
    <n v="4.5117973954144697"/>
    <d v="2016-01-07T13:14:48"/>
    <n v="11.59"/>
    <x v="142"/>
    <n v="1"/>
    <n v="1.7"/>
    <n v="0"/>
    <n v="0"/>
    <n v="1.7"/>
    <x v="132"/>
    <x v="1"/>
    <x v="298"/>
    <x v="0"/>
    <n v="10"/>
    <e v="#N/A"/>
    <e v="#N/A"/>
  </r>
  <r>
    <n v="601"/>
    <d v="2016-01-07T11:17:37"/>
    <d v="2016-01-07T11:32:35"/>
    <x v="0"/>
    <s v="Large"/>
    <m/>
    <x v="0"/>
    <n v="70803"/>
    <n v="0"/>
    <d v="2016-01-07T11:35:36"/>
    <n v="23.34"/>
    <x v="56"/>
    <n v="2"/>
    <n v="1"/>
    <n v="2.2999999999999998"/>
    <n v="0"/>
    <n v="3.3"/>
    <x v="0"/>
    <x v="0"/>
    <x v="0"/>
    <x v="0"/>
    <n v="7"/>
    <n v="14"/>
    <e v="#N/A"/>
  </r>
  <r>
    <n v="602"/>
    <d v="2016-01-07T13:41:36"/>
    <d v="2016-01-07T13:56:34"/>
    <x v="1"/>
    <m/>
    <m/>
    <x v="1"/>
    <n v="70806"/>
    <n v="3.3807049296453799"/>
    <d v="2016-01-07T14:13:28"/>
    <n v="15.35"/>
    <x v="125"/>
    <n v="1"/>
    <n v="2.2999999999999998"/>
    <n v="0"/>
    <n v="0"/>
    <n v="2.2999999999999998"/>
    <x v="115"/>
    <x v="1"/>
    <x v="299"/>
    <x v="0"/>
    <n v="14"/>
    <e v="#N/A"/>
    <e v="#N/A"/>
  </r>
  <r>
    <n v="603"/>
    <d v="2016-01-07T12:24:59"/>
    <d v="2016-01-07T12:39:58"/>
    <x v="0"/>
    <m/>
    <m/>
    <x v="1"/>
    <n v="70806"/>
    <n v="1.2229216070422799"/>
    <d v="2016-01-07T12:46:04"/>
    <n v="7.99"/>
    <x v="296"/>
    <n v="1"/>
    <n v="1"/>
    <n v="0"/>
    <n v="0"/>
    <n v="1"/>
    <x v="283"/>
    <x v="0"/>
    <x v="300"/>
    <x v="175"/>
    <n v="7"/>
    <e v="#N/A"/>
    <e v="#N/A"/>
  </r>
  <r>
    <n v="604"/>
    <d v="2016-01-07T11:29:37"/>
    <d v="2016-01-07T11:44:36"/>
    <x v="1"/>
    <m/>
    <m/>
    <x v="0"/>
    <n v="70803"/>
    <n v="0"/>
    <d v="2016-01-07T11:47:36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605"/>
    <d v="2016-01-07T12:27:04"/>
    <d v="2016-01-07T12:42:04"/>
    <x v="0"/>
    <m/>
    <m/>
    <x v="1"/>
    <n v="70803"/>
    <n v="3.30015027788252"/>
    <d v="2016-01-07T12:58:34"/>
    <n v="7.99"/>
    <x v="297"/>
    <n v="1"/>
    <n v="1"/>
    <n v="0"/>
    <n v="0"/>
    <n v="1"/>
    <x v="284"/>
    <x v="1"/>
    <x v="301"/>
    <x v="0"/>
    <n v="7"/>
    <e v="#N/A"/>
    <e v="#N/A"/>
  </r>
  <r>
    <n v="606"/>
    <d v="2016-01-07T12:44:18"/>
    <d v="2016-01-07T12:59:19"/>
    <x v="2"/>
    <m/>
    <m/>
    <x v="0"/>
    <n v="70805"/>
    <n v="0"/>
    <d v="2016-01-07T13:02:17"/>
    <n v="11.59"/>
    <x v="19"/>
    <n v="1"/>
    <n v="1.7"/>
    <n v="0"/>
    <n v="0"/>
    <n v="1.7"/>
    <x v="0"/>
    <x v="0"/>
    <x v="0"/>
    <x v="0"/>
    <n v="10"/>
    <e v="#N/A"/>
    <e v="#N/A"/>
  </r>
  <r>
    <n v="607"/>
    <d v="2016-01-07T11:21:08"/>
    <d v="2016-01-07T11:36:06"/>
    <x v="0"/>
    <m/>
    <m/>
    <x v="1"/>
    <n v="70804"/>
    <n v="2.2931565657548401"/>
    <d v="2016-01-07T11:47:33"/>
    <n v="7.99"/>
    <x v="298"/>
    <n v="1"/>
    <n v="1"/>
    <n v="0"/>
    <n v="0"/>
    <n v="1"/>
    <x v="285"/>
    <x v="0"/>
    <x v="302"/>
    <x v="176"/>
    <n v="7"/>
    <e v="#N/A"/>
    <e v="#N/A"/>
  </r>
  <r>
    <n v="608"/>
    <d v="2016-01-07T12:09:34"/>
    <d v="2016-01-07T12:24:32"/>
    <x v="0"/>
    <m/>
    <m/>
    <x v="0"/>
    <n v="70804"/>
    <n v="0"/>
    <d v="2016-01-07T12:27:31"/>
    <n v="7.99"/>
    <x v="24"/>
    <n v="1"/>
    <n v="1"/>
    <n v="0"/>
    <n v="0"/>
    <n v="1"/>
    <x v="0"/>
    <x v="0"/>
    <x v="0"/>
    <x v="0"/>
    <n v="7"/>
    <e v="#N/A"/>
    <e v="#N/A"/>
  </r>
  <r>
    <n v="609"/>
    <d v="2016-01-07T11:45:25"/>
    <d v="2016-01-07T12:00:22"/>
    <x v="2"/>
    <m/>
    <m/>
    <x v="0"/>
    <n v="70806"/>
    <n v="0"/>
    <d v="2016-01-07T12:03:22"/>
    <n v="11.59"/>
    <x v="2"/>
    <n v="1"/>
    <n v="1.7"/>
    <n v="0"/>
    <n v="0"/>
    <n v="1.7"/>
    <x v="0"/>
    <x v="0"/>
    <x v="0"/>
    <x v="0"/>
    <n v="10"/>
    <e v="#N/A"/>
    <e v="#N/A"/>
  </r>
  <r>
    <n v="610"/>
    <d v="2016-01-07T12:03:32"/>
    <d v="2016-01-07T12:18:30"/>
    <x v="1"/>
    <m/>
    <m/>
    <x v="0"/>
    <n v="70804"/>
    <n v="0"/>
    <d v="2016-01-07T12:21:28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611"/>
    <d v="2016-01-07T11:40:05"/>
    <d v="2016-01-07T11:55:04"/>
    <x v="2"/>
    <m/>
    <m/>
    <x v="1"/>
    <n v="70805"/>
    <n v="4.7213025208025101"/>
    <d v="2016-01-07T12:18:40"/>
    <n v="11.59"/>
    <x v="299"/>
    <n v="1"/>
    <n v="1.7"/>
    <n v="0"/>
    <n v="0"/>
    <n v="1.7"/>
    <x v="286"/>
    <x v="1"/>
    <x v="303"/>
    <x v="0"/>
    <n v="10"/>
    <e v="#N/A"/>
    <e v="#N/A"/>
  </r>
  <r>
    <n v="612"/>
    <d v="2016-01-07T11:24:10"/>
    <d v="2016-01-07T11:39:09"/>
    <x v="2"/>
    <m/>
    <m/>
    <x v="1"/>
    <n v="70805"/>
    <n v="4.7615233443341598"/>
    <d v="2016-01-07T12:02:57"/>
    <n v="11.59"/>
    <x v="300"/>
    <n v="1"/>
    <n v="1.7"/>
    <n v="0"/>
    <n v="0"/>
    <n v="1.7"/>
    <x v="287"/>
    <x v="1"/>
    <x v="304"/>
    <x v="0"/>
    <n v="10"/>
    <e v="#N/A"/>
    <e v="#N/A"/>
  </r>
  <r>
    <n v="613"/>
    <d v="2016-01-07T11:15:35"/>
    <d v="2016-01-07T11:30:34"/>
    <x v="1"/>
    <m/>
    <m/>
    <x v="1"/>
    <n v="70806"/>
    <n v="2.2958843559059399"/>
    <d v="2016-01-07T11:42:02"/>
    <n v="15.35"/>
    <x v="301"/>
    <n v="1"/>
    <n v="2.2999999999999998"/>
    <n v="0"/>
    <n v="0"/>
    <n v="2.2999999999999998"/>
    <x v="288"/>
    <x v="0"/>
    <x v="305"/>
    <x v="177"/>
    <n v="14"/>
    <e v="#N/A"/>
    <e v="#N/A"/>
  </r>
  <r>
    <n v="614"/>
    <d v="2016-01-07T12:35:11"/>
    <d v="2016-01-07T12:50:10"/>
    <x v="1"/>
    <m/>
    <m/>
    <x v="1"/>
    <n v="70805"/>
    <n v="3.6674708284778701"/>
    <d v="2016-01-07T13:08:30"/>
    <n v="15.35"/>
    <x v="155"/>
    <n v="1"/>
    <n v="2.2999999999999998"/>
    <n v="0"/>
    <n v="0"/>
    <n v="2.2999999999999998"/>
    <x v="145"/>
    <x v="1"/>
    <x v="306"/>
    <x v="0"/>
    <n v="14"/>
    <e v="#N/A"/>
    <e v="#N/A"/>
  </r>
  <r>
    <n v="615"/>
    <d v="2016-01-07T11:29:10"/>
    <d v="2016-01-07T11:44:08"/>
    <x v="0"/>
    <s v="Large"/>
    <m/>
    <x v="0"/>
    <n v="70805"/>
    <n v="0"/>
    <d v="2016-01-07T11:47:07"/>
    <n v="23.34"/>
    <x v="24"/>
    <n v="2"/>
    <n v="1"/>
    <n v="2.2999999999999998"/>
    <n v="0"/>
    <n v="3.3"/>
    <x v="0"/>
    <x v="0"/>
    <x v="0"/>
    <x v="0"/>
    <n v="7"/>
    <n v="14"/>
    <e v="#N/A"/>
  </r>
  <r>
    <n v="616"/>
    <d v="2016-01-07T12:32:44"/>
    <d v="2016-01-07T12:47:44"/>
    <x v="1"/>
    <m/>
    <m/>
    <x v="0"/>
    <n v="70803"/>
    <n v="0"/>
    <d v="2016-01-07T12:50:44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617"/>
    <d v="2016-01-07T11:18:47"/>
    <d v="2016-01-07T11:33:47"/>
    <x v="1"/>
    <m/>
    <m/>
    <x v="1"/>
    <n v="70804"/>
    <n v="1.2363971204416599"/>
    <d v="2016-01-07T11:39:57"/>
    <n v="15.35"/>
    <x v="302"/>
    <n v="1"/>
    <n v="2.2999999999999998"/>
    <n v="0"/>
    <n v="0"/>
    <n v="2.2999999999999998"/>
    <x v="289"/>
    <x v="0"/>
    <x v="307"/>
    <x v="178"/>
    <n v="14"/>
    <e v="#N/A"/>
    <e v="#N/A"/>
  </r>
  <r>
    <n v="618"/>
    <d v="2016-01-07T11:20:31"/>
    <d v="2016-01-07T11:35:29"/>
    <x v="0"/>
    <s v="Medium"/>
    <m/>
    <x v="0"/>
    <n v="70804"/>
    <n v="0"/>
    <d v="2016-01-07T11:38:26"/>
    <n v="19.579999999999998"/>
    <x v="102"/>
    <n v="2"/>
    <n v="1"/>
    <n v="1.7"/>
    <n v="0"/>
    <n v="2.7"/>
    <x v="0"/>
    <x v="0"/>
    <x v="0"/>
    <x v="0"/>
    <n v="7"/>
    <n v="10"/>
    <e v="#N/A"/>
  </r>
  <r>
    <n v="619"/>
    <d v="2016-01-07T12:30:18"/>
    <d v="2016-01-07T12:45:19"/>
    <x v="0"/>
    <m/>
    <m/>
    <x v="1"/>
    <n v="70805"/>
    <n v="2.9758578382551999"/>
    <d v="2016-01-07T13:00:11"/>
    <n v="7.99"/>
    <x v="303"/>
    <n v="1"/>
    <n v="1"/>
    <n v="0"/>
    <n v="0"/>
    <n v="1"/>
    <x v="290"/>
    <x v="0"/>
    <x v="308"/>
    <x v="179"/>
    <n v="7"/>
    <e v="#N/A"/>
    <e v="#N/A"/>
  </r>
  <r>
    <n v="620"/>
    <d v="2016-01-07T13:28:33"/>
    <d v="2016-01-07T13:43:32"/>
    <x v="1"/>
    <m/>
    <m/>
    <x v="0"/>
    <n v="70805"/>
    <n v="0"/>
    <d v="2016-01-07T13:46:30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621"/>
    <d v="2016-01-07T11:03:14"/>
    <d v="2016-01-07T11:18:13"/>
    <x v="1"/>
    <m/>
    <m/>
    <x v="0"/>
    <n v="70805"/>
    <n v="0"/>
    <d v="2016-01-07T11:21:14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622"/>
    <d v="2016-01-07T12:36:42"/>
    <d v="2016-01-07T12:51:41"/>
    <x v="2"/>
    <m/>
    <m/>
    <x v="0"/>
    <n v="70805"/>
    <n v="0"/>
    <d v="2016-01-07T12:54:41"/>
    <n v="11.59"/>
    <x v="2"/>
    <n v="1"/>
    <n v="1.7"/>
    <n v="0"/>
    <n v="0"/>
    <n v="1.7"/>
    <x v="0"/>
    <x v="0"/>
    <x v="0"/>
    <x v="0"/>
    <n v="10"/>
    <e v="#N/A"/>
    <e v="#N/A"/>
  </r>
  <r>
    <n v="623"/>
    <d v="2016-01-07T13:08:04"/>
    <d v="2016-01-07T13:23:04"/>
    <x v="0"/>
    <m/>
    <m/>
    <x v="0"/>
    <n v="70808"/>
    <n v="0"/>
    <d v="2016-01-07T13:26:05"/>
    <n v="7.99"/>
    <x v="56"/>
    <n v="1"/>
    <n v="1"/>
    <n v="0"/>
    <n v="0"/>
    <n v="1"/>
    <x v="0"/>
    <x v="0"/>
    <x v="0"/>
    <x v="0"/>
    <n v="7"/>
    <e v="#N/A"/>
    <e v="#N/A"/>
  </r>
  <r>
    <n v="624"/>
    <d v="2016-01-07T10:04:29"/>
    <d v="2016-01-07T10:19:28"/>
    <x v="0"/>
    <s v="Medium"/>
    <m/>
    <x v="1"/>
    <n v="70803"/>
    <n v="3.7700568161349599"/>
    <d v="2016-01-07T10:38:19"/>
    <n v="19.579999999999998"/>
    <x v="304"/>
    <n v="2"/>
    <n v="1"/>
    <n v="1.7"/>
    <n v="0"/>
    <n v="2.7"/>
    <x v="291"/>
    <x v="1"/>
    <x v="309"/>
    <x v="0"/>
    <n v="7"/>
    <n v="10"/>
    <e v="#N/A"/>
  </r>
  <r>
    <n v="625"/>
    <d v="2016-01-07T12:20:12"/>
    <d v="2016-01-07T12:35:10"/>
    <x v="1"/>
    <m/>
    <m/>
    <x v="0"/>
    <n v="70805"/>
    <n v="0"/>
    <d v="2016-01-07T12:38:10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626"/>
    <d v="2016-01-07T12:22:52"/>
    <d v="2016-01-07T12:37:50"/>
    <x v="0"/>
    <m/>
    <m/>
    <x v="1"/>
    <n v="70804"/>
    <n v="2.9194801774035501"/>
    <d v="2016-01-07T12:52:25"/>
    <n v="7.99"/>
    <x v="305"/>
    <n v="1"/>
    <n v="1"/>
    <n v="0"/>
    <n v="0"/>
    <n v="1"/>
    <x v="292"/>
    <x v="0"/>
    <x v="310"/>
    <x v="180"/>
    <n v="7"/>
    <e v="#N/A"/>
    <e v="#N/A"/>
  </r>
  <r>
    <n v="627"/>
    <d v="2016-01-07T12:04:20"/>
    <d v="2016-01-07T12:19:20"/>
    <x v="2"/>
    <m/>
    <m/>
    <x v="0"/>
    <n v="70804"/>
    <n v="0"/>
    <d v="2016-01-07T12:22:19"/>
    <n v="11.59"/>
    <x v="24"/>
    <n v="1"/>
    <n v="1.7"/>
    <n v="0"/>
    <n v="0"/>
    <n v="1.7"/>
    <x v="0"/>
    <x v="0"/>
    <x v="0"/>
    <x v="0"/>
    <n v="10"/>
    <e v="#N/A"/>
    <e v="#N/A"/>
  </r>
  <r>
    <n v="628"/>
    <d v="2016-01-07T10:28:46"/>
    <d v="2016-01-07T10:43:46"/>
    <x v="1"/>
    <m/>
    <m/>
    <x v="1"/>
    <n v="70805"/>
    <n v="3.9204766128383102"/>
    <d v="2016-01-07T11:03:22"/>
    <n v="15.35"/>
    <x v="306"/>
    <n v="1"/>
    <n v="2.2999999999999998"/>
    <n v="0"/>
    <n v="0"/>
    <n v="2.2999999999999998"/>
    <x v="293"/>
    <x v="1"/>
    <x v="311"/>
    <x v="0"/>
    <n v="14"/>
    <e v="#N/A"/>
    <e v="#N/A"/>
  </r>
  <r>
    <n v="629"/>
    <d v="2016-01-07T11:22:27"/>
    <d v="2016-01-07T11:37:28"/>
    <x v="0"/>
    <s v="Medium"/>
    <m/>
    <x v="1"/>
    <n v="70805"/>
    <n v="1.42119172116083"/>
    <d v="2016-01-07T11:44:34"/>
    <n v="19.579999999999998"/>
    <x v="307"/>
    <n v="2"/>
    <n v="1"/>
    <n v="1.7"/>
    <n v="0"/>
    <n v="2.7"/>
    <x v="294"/>
    <x v="0"/>
    <x v="312"/>
    <x v="181"/>
    <n v="7"/>
    <n v="10"/>
    <e v="#N/A"/>
  </r>
  <r>
    <n v="630"/>
    <d v="2016-01-07T11:38:44"/>
    <d v="2016-01-07T11:53:45"/>
    <x v="0"/>
    <m/>
    <m/>
    <x v="1"/>
    <n v="70805"/>
    <n v="1.80010120918989"/>
    <d v="2016-01-07T12:02:45"/>
    <n v="7.99"/>
    <x v="308"/>
    <n v="1"/>
    <n v="1"/>
    <n v="0"/>
    <n v="0"/>
    <n v="1"/>
    <x v="295"/>
    <x v="0"/>
    <x v="313"/>
    <x v="182"/>
    <n v="7"/>
    <e v="#N/A"/>
    <e v="#N/A"/>
  </r>
  <r>
    <n v="631"/>
    <d v="2016-01-07T10:41:55"/>
    <d v="2016-01-07T10:56:55"/>
    <x v="2"/>
    <m/>
    <m/>
    <x v="1"/>
    <n v="70805"/>
    <n v="3.08713380086781"/>
    <d v="2016-01-07T11:12:21"/>
    <n v="11.59"/>
    <x v="309"/>
    <n v="1"/>
    <n v="1.7"/>
    <n v="0"/>
    <n v="0"/>
    <n v="1.7"/>
    <x v="296"/>
    <x v="0"/>
    <x v="314"/>
    <x v="183"/>
    <n v="10"/>
    <e v="#N/A"/>
    <e v="#N/A"/>
  </r>
  <r>
    <n v="632"/>
    <d v="2016-01-07T12:10:14"/>
    <d v="2016-01-07T12:25:15"/>
    <x v="0"/>
    <m/>
    <m/>
    <x v="0"/>
    <n v="70805"/>
    <n v="0"/>
    <d v="2016-01-07T12:28:15"/>
    <n v="7.99"/>
    <x v="2"/>
    <n v="1"/>
    <n v="1"/>
    <n v="0"/>
    <n v="0"/>
    <n v="1"/>
    <x v="0"/>
    <x v="0"/>
    <x v="0"/>
    <x v="0"/>
    <n v="7"/>
    <e v="#N/A"/>
    <e v="#N/A"/>
  </r>
  <r>
    <n v="633"/>
    <d v="2016-01-07T10:52:23"/>
    <d v="2016-01-07T11:07:22"/>
    <x v="2"/>
    <m/>
    <m/>
    <x v="1"/>
    <n v="70806"/>
    <n v="3.9383939185621699"/>
    <d v="2016-01-07T11:27:03"/>
    <n v="11.59"/>
    <x v="310"/>
    <n v="1"/>
    <n v="1.7"/>
    <n v="0"/>
    <n v="0"/>
    <n v="1.7"/>
    <x v="297"/>
    <x v="1"/>
    <x v="315"/>
    <x v="0"/>
    <n v="10"/>
    <e v="#N/A"/>
    <e v="#N/A"/>
  </r>
  <r>
    <n v="634"/>
    <d v="2016-01-07T14:12:44"/>
    <d v="2016-01-07T14:27:43"/>
    <x v="2"/>
    <m/>
    <m/>
    <x v="0"/>
    <n v="70805"/>
    <n v="0"/>
    <d v="2016-01-07T14:30:44"/>
    <n v="11.59"/>
    <x v="14"/>
    <n v="1"/>
    <n v="1.7"/>
    <n v="0"/>
    <n v="0"/>
    <n v="1.7"/>
    <x v="0"/>
    <x v="0"/>
    <x v="0"/>
    <x v="0"/>
    <n v="10"/>
    <e v="#N/A"/>
    <e v="#N/A"/>
  </r>
  <r>
    <n v="635"/>
    <d v="2016-01-07T11:45:50"/>
    <d v="2016-01-07T12:00:49"/>
    <x v="0"/>
    <m/>
    <m/>
    <x v="0"/>
    <n v="70805"/>
    <n v="0"/>
    <d v="2016-01-07T12:03:49"/>
    <n v="7.99"/>
    <x v="2"/>
    <n v="1"/>
    <n v="1"/>
    <n v="0"/>
    <n v="0"/>
    <n v="1"/>
    <x v="0"/>
    <x v="0"/>
    <x v="0"/>
    <x v="0"/>
    <n v="7"/>
    <e v="#N/A"/>
    <e v="#N/A"/>
  </r>
  <r>
    <n v="636"/>
    <d v="2016-01-07T10:57:48"/>
    <d v="2016-01-07T11:12:47"/>
    <x v="2"/>
    <m/>
    <m/>
    <x v="0"/>
    <n v="70806"/>
    <n v="0"/>
    <d v="2016-01-07T11:15:46"/>
    <n v="11.59"/>
    <x v="1"/>
    <n v="1"/>
    <n v="1.7"/>
    <n v="0"/>
    <n v="0"/>
    <n v="1.7"/>
    <x v="0"/>
    <x v="0"/>
    <x v="0"/>
    <x v="0"/>
    <n v="10"/>
    <e v="#N/A"/>
    <e v="#N/A"/>
  </r>
  <r>
    <n v="637"/>
    <d v="2016-01-07T10:29:50"/>
    <d v="2016-01-07T10:44:49"/>
    <x v="2"/>
    <m/>
    <m/>
    <x v="0"/>
    <n v="70804"/>
    <n v="0"/>
    <d v="2016-01-07T10:47:50"/>
    <n v="11.59"/>
    <x v="14"/>
    <n v="1"/>
    <n v="1.7"/>
    <n v="0"/>
    <n v="0"/>
    <n v="1.7"/>
    <x v="0"/>
    <x v="0"/>
    <x v="0"/>
    <x v="0"/>
    <n v="10"/>
    <e v="#N/A"/>
    <e v="#N/A"/>
  </r>
  <r>
    <n v="638"/>
    <d v="2016-01-08T11:38:00"/>
    <d v="2016-01-08T11:53:00"/>
    <x v="1"/>
    <m/>
    <m/>
    <x v="0"/>
    <n v="70803"/>
    <n v="0"/>
    <d v="2016-01-08T11:56:01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639"/>
    <d v="2016-01-08T12:44:39"/>
    <d v="2016-01-08T12:59:39"/>
    <x v="0"/>
    <s v="Large"/>
    <m/>
    <x v="0"/>
    <n v="70803"/>
    <n v="0"/>
    <d v="2016-01-08T13:02:38"/>
    <n v="23.34"/>
    <x v="1"/>
    <n v="2"/>
    <n v="1"/>
    <n v="2.2999999999999998"/>
    <n v="0"/>
    <n v="3.3"/>
    <x v="0"/>
    <x v="0"/>
    <x v="0"/>
    <x v="0"/>
    <n v="7"/>
    <n v="14"/>
    <e v="#N/A"/>
  </r>
  <r>
    <n v="640"/>
    <d v="2016-01-08T10:37:16"/>
    <d v="2016-01-08T10:52:15"/>
    <x v="1"/>
    <m/>
    <m/>
    <x v="0"/>
    <n v="70805"/>
    <n v="0"/>
    <d v="2016-01-08T10:55:14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641"/>
    <d v="2016-01-08T12:03:54"/>
    <d v="2016-01-08T12:18:54"/>
    <x v="2"/>
    <m/>
    <m/>
    <x v="0"/>
    <n v="70806"/>
    <n v="0"/>
    <d v="2016-01-08T12:21:55"/>
    <n v="11.59"/>
    <x v="14"/>
    <n v="1"/>
    <n v="1.7"/>
    <n v="0"/>
    <n v="0"/>
    <n v="1.7"/>
    <x v="0"/>
    <x v="0"/>
    <x v="0"/>
    <x v="0"/>
    <n v="10"/>
    <e v="#N/A"/>
    <e v="#N/A"/>
  </r>
  <r>
    <n v="642"/>
    <d v="2016-01-08T10:30:10"/>
    <d v="2016-01-08T10:45:12"/>
    <x v="2"/>
    <m/>
    <m/>
    <x v="1"/>
    <n v="70803"/>
    <n v="3.3810439627102302"/>
    <d v="2016-01-08T11:02:06"/>
    <n v="11.59"/>
    <x v="125"/>
    <n v="1"/>
    <n v="1.7"/>
    <n v="0"/>
    <n v="0"/>
    <n v="1.7"/>
    <x v="115"/>
    <x v="1"/>
    <x v="316"/>
    <x v="0"/>
    <n v="10"/>
    <e v="#N/A"/>
    <e v="#N/A"/>
  </r>
  <r>
    <n v="643"/>
    <d v="2016-01-08T12:44:21"/>
    <d v="2016-01-08T12:59:20"/>
    <x v="0"/>
    <s v="Large"/>
    <m/>
    <x v="1"/>
    <n v="70804"/>
    <n v="2.1765173413154"/>
    <d v="2016-01-08T13:10:12"/>
    <n v="23.34"/>
    <x v="311"/>
    <n v="2"/>
    <n v="1"/>
    <n v="2.2999999999999998"/>
    <n v="0"/>
    <n v="3.3"/>
    <x v="298"/>
    <x v="0"/>
    <x v="317"/>
    <x v="184"/>
    <n v="7"/>
    <n v="14"/>
    <e v="#N/A"/>
  </r>
  <r>
    <n v="644"/>
    <d v="2016-01-08T11:16:30"/>
    <d v="2016-01-08T11:31:28"/>
    <x v="2"/>
    <m/>
    <m/>
    <x v="1"/>
    <n v="70807"/>
    <n v="2.1494199560095599"/>
    <d v="2016-01-08T11:42:12"/>
    <n v="11.59"/>
    <x v="312"/>
    <n v="1"/>
    <n v="1.7"/>
    <n v="0"/>
    <n v="0"/>
    <n v="1.7"/>
    <x v="299"/>
    <x v="0"/>
    <x v="318"/>
    <x v="185"/>
    <n v="10"/>
    <e v="#N/A"/>
    <e v="#N/A"/>
  </r>
  <r>
    <n v="645"/>
    <d v="2016-01-08T11:47:43"/>
    <d v="2016-01-08T12:02:43"/>
    <x v="1"/>
    <m/>
    <m/>
    <x v="0"/>
    <n v="70805"/>
    <n v="0"/>
    <d v="2016-01-08T12:05:44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646"/>
    <d v="2016-01-08T11:18:20"/>
    <d v="2016-01-08T11:33:20"/>
    <x v="0"/>
    <s v="Medium"/>
    <m/>
    <x v="0"/>
    <n v="70803"/>
    <n v="0"/>
    <d v="2016-01-08T11:36:21"/>
    <n v="19.579999999999998"/>
    <x v="14"/>
    <n v="2"/>
    <n v="1"/>
    <n v="1.7"/>
    <n v="0"/>
    <n v="2.7"/>
    <x v="0"/>
    <x v="0"/>
    <x v="0"/>
    <x v="0"/>
    <n v="7"/>
    <n v="10"/>
    <e v="#N/A"/>
  </r>
  <r>
    <n v="647"/>
    <d v="2016-01-08T11:11:41"/>
    <d v="2016-01-08T11:26:41"/>
    <x v="2"/>
    <m/>
    <m/>
    <x v="1"/>
    <n v="70804"/>
    <n v="0.85370511812690597"/>
    <d v="2016-01-08T11:30:57"/>
    <n v="11.59"/>
    <x v="313"/>
    <n v="1"/>
    <n v="1.7"/>
    <n v="0"/>
    <n v="0"/>
    <n v="1.7"/>
    <x v="300"/>
    <x v="0"/>
    <x v="319"/>
    <x v="186"/>
    <n v="10"/>
    <e v="#N/A"/>
    <e v="#N/A"/>
  </r>
  <r>
    <n v="648"/>
    <d v="2016-01-08T12:39:42"/>
    <d v="2016-01-08T12:54:42"/>
    <x v="0"/>
    <m/>
    <m/>
    <x v="0"/>
    <n v="70803"/>
    <n v="0"/>
    <d v="2016-01-08T12:57:43"/>
    <n v="7.99"/>
    <x v="56"/>
    <n v="1"/>
    <n v="1"/>
    <n v="0"/>
    <n v="0"/>
    <n v="1"/>
    <x v="0"/>
    <x v="0"/>
    <x v="0"/>
    <x v="0"/>
    <n v="7"/>
    <e v="#N/A"/>
    <e v="#N/A"/>
  </r>
  <r>
    <n v="649"/>
    <d v="2016-01-08T12:13:48"/>
    <d v="2016-01-08T12:28:46"/>
    <x v="0"/>
    <s v="Medium"/>
    <m/>
    <x v="1"/>
    <n v="70803"/>
    <n v="3.5338306024518702"/>
    <d v="2016-01-08T12:46:26"/>
    <n v="19.579999999999998"/>
    <x v="314"/>
    <n v="2"/>
    <n v="1"/>
    <n v="1.7"/>
    <n v="0"/>
    <n v="2.7"/>
    <x v="301"/>
    <x v="1"/>
    <x v="320"/>
    <x v="0"/>
    <n v="7"/>
    <n v="10"/>
    <e v="#N/A"/>
  </r>
  <r>
    <n v="650"/>
    <d v="2016-01-08T12:10:24"/>
    <d v="2016-01-08T12:25:24"/>
    <x v="1"/>
    <m/>
    <m/>
    <x v="0"/>
    <n v="70805"/>
    <n v="0"/>
    <d v="2016-01-08T12:28:24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651"/>
    <d v="2016-01-08T12:30:55"/>
    <d v="2016-01-08T12:45:55"/>
    <x v="1"/>
    <m/>
    <m/>
    <x v="1"/>
    <n v="70805"/>
    <n v="4.9388832193403198"/>
    <d v="2016-01-08T13:10:36"/>
    <n v="15.35"/>
    <x v="315"/>
    <n v="1"/>
    <n v="2.2999999999999998"/>
    <n v="0"/>
    <n v="0"/>
    <n v="2.2999999999999998"/>
    <x v="302"/>
    <x v="1"/>
    <x v="321"/>
    <x v="0"/>
    <n v="14"/>
    <e v="#N/A"/>
    <e v="#N/A"/>
  </r>
  <r>
    <n v="652"/>
    <d v="2016-01-08T11:36:19"/>
    <d v="2016-01-08T11:51:20"/>
    <x v="1"/>
    <m/>
    <m/>
    <x v="0"/>
    <n v="70805"/>
    <n v="0"/>
    <d v="2016-01-08T11:54:20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653"/>
    <d v="2016-01-08T12:31:38"/>
    <d v="2016-01-08T12:46:37"/>
    <x v="0"/>
    <s v="Large"/>
    <m/>
    <x v="1"/>
    <n v="70807"/>
    <n v="4.7018617162618197"/>
    <d v="2016-01-08T13:10:07"/>
    <n v="23.34"/>
    <x v="316"/>
    <n v="2"/>
    <n v="1"/>
    <n v="2.2999999999999998"/>
    <n v="0"/>
    <n v="3.3"/>
    <x v="303"/>
    <x v="1"/>
    <x v="322"/>
    <x v="0"/>
    <n v="7"/>
    <n v="14"/>
    <e v="#N/A"/>
  </r>
  <r>
    <n v="654"/>
    <d v="2016-01-08T11:10:21"/>
    <d v="2016-01-08T11:25:22"/>
    <x v="1"/>
    <m/>
    <m/>
    <x v="0"/>
    <n v="70804"/>
    <n v="0"/>
    <d v="2016-01-08T11:28:21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655"/>
    <d v="2016-01-08T12:54:40"/>
    <d v="2016-01-08T13:09:39"/>
    <x v="1"/>
    <m/>
    <m/>
    <x v="0"/>
    <n v="70805"/>
    <n v="0"/>
    <d v="2016-01-08T13:12:37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656"/>
    <d v="2016-01-08T11:40:12"/>
    <d v="2016-01-08T11:55:12"/>
    <x v="0"/>
    <s v="Medium"/>
    <m/>
    <x v="0"/>
    <n v="70805"/>
    <n v="0"/>
    <d v="2016-01-08T11:58:11"/>
    <n v="19.579999999999998"/>
    <x v="1"/>
    <n v="2"/>
    <n v="1"/>
    <n v="1.7"/>
    <n v="0"/>
    <n v="2.7"/>
    <x v="0"/>
    <x v="0"/>
    <x v="0"/>
    <x v="0"/>
    <n v="7"/>
    <n v="10"/>
    <e v="#N/A"/>
  </r>
  <r>
    <n v="657"/>
    <d v="2016-01-08T10:35:39"/>
    <d v="2016-01-08T10:50:38"/>
    <x v="2"/>
    <m/>
    <m/>
    <x v="0"/>
    <n v="70805"/>
    <n v="0"/>
    <d v="2016-01-08T10:53:37"/>
    <n v="11.59"/>
    <x v="24"/>
    <n v="1"/>
    <n v="1.7"/>
    <n v="0"/>
    <n v="0"/>
    <n v="1.7"/>
    <x v="0"/>
    <x v="0"/>
    <x v="0"/>
    <x v="0"/>
    <n v="10"/>
    <e v="#N/A"/>
    <e v="#N/A"/>
  </r>
  <r>
    <n v="658"/>
    <d v="2016-01-08T10:00:23"/>
    <d v="2016-01-08T10:15:22"/>
    <x v="0"/>
    <m/>
    <m/>
    <x v="0"/>
    <n v="70804"/>
    <n v="0"/>
    <d v="2016-01-08T10:18:21"/>
    <n v="7.99"/>
    <x v="1"/>
    <n v="1"/>
    <n v="1"/>
    <n v="0"/>
    <n v="0"/>
    <n v="1"/>
    <x v="0"/>
    <x v="0"/>
    <x v="0"/>
    <x v="0"/>
    <n v="7"/>
    <e v="#N/A"/>
    <e v="#N/A"/>
  </r>
  <r>
    <n v="659"/>
    <d v="2016-01-08T12:47:43"/>
    <d v="2016-01-08T13:02:44"/>
    <x v="0"/>
    <s v="Medium"/>
    <m/>
    <x v="1"/>
    <n v="70803"/>
    <n v="2.4397165881351901"/>
    <d v="2016-01-08T13:14:55"/>
    <n v="19.579999999999998"/>
    <x v="317"/>
    <n v="2"/>
    <n v="1"/>
    <n v="1.7"/>
    <n v="0"/>
    <n v="2.7"/>
    <x v="304"/>
    <x v="0"/>
    <x v="323"/>
    <x v="187"/>
    <n v="7"/>
    <n v="10"/>
    <e v="#N/A"/>
  </r>
  <r>
    <n v="660"/>
    <d v="2016-01-08T10:03:20"/>
    <d v="2016-01-08T10:18:20"/>
    <x v="0"/>
    <s v="Medium"/>
    <m/>
    <x v="1"/>
    <n v="70804"/>
    <n v="3.1687123017615502"/>
    <d v="2016-01-08T10:34:10"/>
    <n v="19.579999999999998"/>
    <x v="318"/>
    <n v="2"/>
    <n v="1"/>
    <n v="1.7"/>
    <n v="0"/>
    <n v="2.7"/>
    <x v="305"/>
    <x v="0"/>
    <x v="324"/>
    <x v="188"/>
    <n v="7"/>
    <n v="10"/>
    <e v="#N/A"/>
  </r>
  <r>
    <n v="661"/>
    <d v="2016-01-08T12:41:32"/>
    <d v="2016-01-08T12:56:30"/>
    <x v="2"/>
    <m/>
    <m/>
    <x v="0"/>
    <n v="70803"/>
    <n v="0"/>
    <d v="2016-01-08T12:59:29"/>
    <n v="11.59"/>
    <x v="1"/>
    <n v="1"/>
    <n v="1.7"/>
    <n v="0"/>
    <n v="0"/>
    <n v="1.7"/>
    <x v="0"/>
    <x v="0"/>
    <x v="0"/>
    <x v="0"/>
    <n v="10"/>
    <e v="#N/A"/>
    <e v="#N/A"/>
  </r>
  <r>
    <n v="662"/>
    <d v="2016-01-08T12:33:58"/>
    <d v="2016-01-08T12:48:58"/>
    <x v="1"/>
    <m/>
    <m/>
    <x v="1"/>
    <n v="70804"/>
    <n v="2.6617874638323298"/>
    <d v="2016-01-08T13:02:16"/>
    <n v="15.35"/>
    <x v="319"/>
    <n v="1"/>
    <n v="2.2999999999999998"/>
    <n v="0"/>
    <n v="0"/>
    <n v="2.2999999999999998"/>
    <x v="306"/>
    <x v="0"/>
    <x v="325"/>
    <x v="189"/>
    <n v="14"/>
    <e v="#N/A"/>
    <e v="#N/A"/>
  </r>
  <r>
    <n v="663"/>
    <d v="2016-01-08T11:50:23"/>
    <d v="2016-01-08T12:05:22"/>
    <x v="1"/>
    <m/>
    <m/>
    <x v="1"/>
    <n v="70803"/>
    <n v="2.0847031999460501"/>
    <d v="2016-01-08T12:15:47"/>
    <n v="15.35"/>
    <x v="320"/>
    <n v="1"/>
    <n v="2.2999999999999998"/>
    <n v="0"/>
    <n v="0"/>
    <n v="2.2999999999999998"/>
    <x v="307"/>
    <x v="0"/>
    <x v="326"/>
    <x v="190"/>
    <n v="14"/>
    <e v="#N/A"/>
    <e v="#N/A"/>
  </r>
  <r>
    <n v="664"/>
    <d v="2016-01-08T13:33:05"/>
    <d v="2016-01-08T13:48:05"/>
    <x v="1"/>
    <m/>
    <m/>
    <x v="1"/>
    <n v="70803"/>
    <n v="4.9240935034459703"/>
    <d v="2016-01-08T14:12:42"/>
    <n v="15.35"/>
    <x v="321"/>
    <n v="1"/>
    <n v="2.2999999999999998"/>
    <n v="0"/>
    <n v="0"/>
    <n v="2.2999999999999998"/>
    <x v="308"/>
    <x v="1"/>
    <x v="327"/>
    <x v="0"/>
    <n v="14"/>
    <e v="#N/A"/>
    <e v="#N/A"/>
  </r>
  <r>
    <n v="665"/>
    <d v="2016-01-08T12:42:26"/>
    <d v="2016-01-08T12:57:26"/>
    <x v="0"/>
    <s v="Medium"/>
    <m/>
    <x v="1"/>
    <n v="70805"/>
    <n v="3.3488583063850799"/>
    <d v="2016-01-08T13:14:10"/>
    <n v="19.579999999999998"/>
    <x v="322"/>
    <n v="2"/>
    <n v="1"/>
    <n v="1.7"/>
    <n v="0"/>
    <n v="2.7"/>
    <x v="309"/>
    <x v="1"/>
    <x v="328"/>
    <x v="0"/>
    <n v="7"/>
    <n v="10"/>
    <e v="#N/A"/>
  </r>
  <r>
    <n v="666"/>
    <d v="2016-01-08T11:04:51"/>
    <d v="2016-01-08T11:19:51"/>
    <x v="0"/>
    <m/>
    <m/>
    <x v="1"/>
    <n v="70804"/>
    <n v="2.1807876955176502"/>
    <d v="2016-01-08T11:30:45"/>
    <n v="7.99"/>
    <x v="323"/>
    <n v="1"/>
    <n v="1"/>
    <n v="0"/>
    <n v="0"/>
    <n v="1"/>
    <x v="310"/>
    <x v="0"/>
    <x v="329"/>
    <x v="191"/>
    <n v="7"/>
    <e v="#N/A"/>
    <e v="#N/A"/>
  </r>
  <r>
    <n v="667"/>
    <d v="2016-01-08T11:18:31"/>
    <d v="2016-01-08T11:33:30"/>
    <x v="1"/>
    <m/>
    <m/>
    <x v="1"/>
    <n v="70805"/>
    <n v="3.9976815906206502"/>
    <d v="2016-01-08T11:53:29"/>
    <n v="15.35"/>
    <x v="324"/>
    <n v="1"/>
    <n v="2.2999999999999998"/>
    <n v="0"/>
    <n v="0"/>
    <n v="2.2999999999999998"/>
    <x v="311"/>
    <x v="1"/>
    <x v="330"/>
    <x v="0"/>
    <n v="14"/>
    <e v="#N/A"/>
    <e v="#N/A"/>
  </r>
  <r>
    <n v="668"/>
    <d v="2016-01-08T12:30:29"/>
    <d v="2016-01-08T12:45:29"/>
    <x v="0"/>
    <m/>
    <m/>
    <x v="1"/>
    <n v="70805"/>
    <n v="0.64317300530696397"/>
    <d v="2016-01-08T12:48:41"/>
    <n v="7.99"/>
    <x v="325"/>
    <n v="1"/>
    <n v="1"/>
    <n v="0"/>
    <n v="0"/>
    <n v="1"/>
    <x v="312"/>
    <x v="0"/>
    <x v="331"/>
    <x v="192"/>
    <n v="7"/>
    <e v="#N/A"/>
    <e v="#N/A"/>
  </r>
  <r>
    <n v="669"/>
    <d v="2016-01-08T12:36:19"/>
    <d v="2016-01-08T12:51:18"/>
    <x v="0"/>
    <s v="Medium"/>
    <m/>
    <x v="0"/>
    <n v="70804"/>
    <n v="0"/>
    <d v="2016-01-08T12:54:18"/>
    <n v="19.579999999999998"/>
    <x v="63"/>
    <n v="2"/>
    <n v="1"/>
    <n v="1.7"/>
    <n v="0"/>
    <n v="2.7"/>
    <x v="0"/>
    <x v="0"/>
    <x v="0"/>
    <x v="0"/>
    <n v="7"/>
    <n v="10"/>
    <e v="#N/A"/>
  </r>
  <r>
    <n v="670"/>
    <d v="2016-01-08T12:33:24"/>
    <d v="2016-01-08T12:48:23"/>
    <x v="2"/>
    <m/>
    <m/>
    <x v="0"/>
    <n v="70806"/>
    <n v="0"/>
    <d v="2016-01-08T12:51:22"/>
    <n v="11.59"/>
    <x v="24"/>
    <n v="1"/>
    <n v="1.7"/>
    <n v="0"/>
    <n v="0"/>
    <n v="1.7"/>
    <x v="0"/>
    <x v="0"/>
    <x v="0"/>
    <x v="0"/>
    <n v="10"/>
    <e v="#N/A"/>
    <e v="#N/A"/>
  </r>
  <r>
    <n v="671"/>
    <d v="2016-01-08T11:56:53"/>
    <d v="2016-01-08T12:11:53"/>
    <x v="2"/>
    <m/>
    <m/>
    <x v="1"/>
    <n v="70803"/>
    <n v="2.92094942822464"/>
    <d v="2016-01-08T12:26:29"/>
    <n v="11.59"/>
    <x v="326"/>
    <n v="1"/>
    <n v="1.7"/>
    <n v="0"/>
    <n v="0"/>
    <n v="1.7"/>
    <x v="313"/>
    <x v="0"/>
    <x v="332"/>
    <x v="193"/>
    <n v="10"/>
    <e v="#N/A"/>
    <e v="#N/A"/>
  </r>
  <r>
    <n v="672"/>
    <d v="2016-01-08T11:28:24"/>
    <d v="2016-01-08T11:43:23"/>
    <x v="2"/>
    <m/>
    <m/>
    <x v="0"/>
    <n v="70805"/>
    <n v="0"/>
    <d v="2016-01-08T11:46:22"/>
    <n v="11.59"/>
    <x v="24"/>
    <n v="1"/>
    <n v="1.7"/>
    <n v="0"/>
    <n v="0"/>
    <n v="1.7"/>
    <x v="0"/>
    <x v="0"/>
    <x v="0"/>
    <x v="0"/>
    <n v="10"/>
    <e v="#N/A"/>
    <e v="#N/A"/>
  </r>
  <r>
    <n v="673"/>
    <d v="2016-01-08T11:08:20"/>
    <d v="2016-01-08T11:23:20"/>
    <x v="0"/>
    <m/>
    <m/>
    <x v="1"/>
    <n v="70805"/>
    <n v="2.90293801040217"/>
    <d v="2016-01-08T11:37:50"/>
    <n v="7.99"/>
    <x v="327"/>
    <n v="1"/>
    <n v="1"/>
    <n v="0"/>
    <n v="0"/>
    <n v="1"/>
    <x v="314"/>
    <x v="0"/>
    <x v="333"/>
    <x v="194"/>
    <n v="7"/>
    <e v="#N/A"/>
    <e v="#N/A"/>
  </r>
  <r>
    <n v="674"/>
    <d v="2016-01-08T12:40:32"/>
    <d v="2016-01-08T12:55:30"/>
    <x v="1"/>
    <m/>
    <m/>
    <x v="0"/>
    <n v="70804"/>
    <n v="0"/>
    <d v="2016-01-08T12:58:29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675"/>
    <d v="2016-01-08T11:39:48"/>
    <d v="2016-01-08T11:54:47"/>
    <x v="1"/>
    <m/>
    <m/>
    <x v="1"/>
    <n v="70804"/>
    <n v="2.8320747293322701"/>
    <d v="2016-01-08T12:08:56"/>
    <n v="15.35"/>
    <x v="328"/>
    <n v="1"/>
    <n v="2.2999999999999998"/>
    <n v="0"/>
    <n v="0"/>
    <n v="2.2999999999999998"/>
    <x v="315"/>
    <x v="0"/>
    <x v="334"/>
    <x v="195"/>
    <n v="14"/>
    <e v="#N/A"/>
    <e v="#N/A"/>
  </r>
  <r>
    <n v="676"/>
    <d v="2016-01-08T11:23:12"/>
    <d v="2016-01-08T11:38:12"/>
    <x v="0"/>
    <s v="Medium"/>
    <m/>
    <x v="0"/>
    <n v="70806"/>
    <n v="0"/>
    <d v="2016-01-08T11:41:12"/>
    <n v="19.579999999999998"/>
    <x v="2"/>
    <n v="2"/>
    <n v="1"/>
    <n v="1.7"/>
    <n v="0"/>
    <n v="2.7"/>
    <x v="0"/>
    <x v="0"/>
    <x v="0"/>
    <x v="0"/>
    <n v="7"/>
    <n v="10"/>
    <e v="#N/A"/>
  </r>
  <r>
    <n v="677"/>
    <d v="2016-01-08T11:17:12"/>
    <d v="2016-01-08T11:32:11"/>
    <x v="0"/>
    <m/>
    <m/>
    <x v="1"/>
    <n v="70806"/>
    <n v="3.7400497149450298"/>
    <d v="2016-01-08T11:50:53"/>
    <n v="7.99"/>
    <x v="329"/>
    <n v="1"/>
    <n v="1"/>
    <n v="0"/>
    <n v="0"/>
    <n v="1"/>
    <x v="316"/>
    <x v="1"/>
    <x v="335"/>
    <x v="0"/>
    <n v="7"/>
    <e v="#N/A"/>
    <e v="#N/A"/>
  </r>
  <r>
    <n v="678"/>
    <d v="2016-01-08T12:23:04"/>
    <d v="2016-01-08T12:38:03"/>
    <x v="2"/>
    <m/>
    <m/>
    <x v="0"/>
    <n v="70803"/>
    <n v="0"/>
    <d v="2016-01-08T12:41:03"/>
    <n v="11.59"/>
    <x v="2"/>
    <n v="1"/>
    <n v="1.7"/>
    <n v="0"/>
    <n v="0"/>
    <n v="1.7"/>
    <x v="0"/>
    <x v="0"/>
    <x v="0"/>
    <x v="0"/>
    <n v="10"/>
    <e v="#N/A"/>
    <e v="#N/A"/>
  </r>
  <r>
    <n v="679"/>
    <d v="2016-01-08T12:11:50"/>
    <d v="2016-01-08T12:26:48"/>
    <x v="0"/>
    <m/>
    <m/>
    <x v="0"/>
    <n v="70806"/>
    <n v="0"/>
    <d v="2016-01-08T12:29:48"/>
    <n v="7.99"/>
    <x v="2"/>
    <n v="1"/>
    <n v="1"/>
    <n v="0"/>
    <n v="0"/>
    <n v="1"/>
    <x v="0"/>
    <x v="0"/>
    <x v="0"/>
    <x v="0"/>
    <n v="7"/>
    <e v="#N/A"/>
    <e v="#N/A"/>
  </r>
  <r>
    <n v="680"/>
    <d v="2016-01-08T13:52:46"/>
    <d v="2016-01-08T14:07:46"/>
    <x v="2"/>
    <m/>
    <m/>
    <x v="1"/>
    <n v="70805"/>
    <n v="1.7328184039232899"/>
    <d v="2016-01-08T14:16:25"/>
    <n v="11.59"/>
    <x v="330"/>
    <n v="1"/>
    <n v="1.7"/>
    <n v="0"/>
    <n v="0"/>
    <n v="1.7"/>
    <x v="317"/>
    <x v="0"/>
    <x v="336"/>
    <x v="196"/>
    <n v="10"/>
    <e v="#N/A"/>
    <e v="#N/A"/>
  </r>
  <r>
    <n v="681"/>
    <d v="2016-01-08T12:13:58"/>
    <d v="2016-01-08T12:28:56"/>
    <x v="1"/>
    <m/>
    <m/>
    <x v="0"/>
    <n v="70804"/>
    <n v="0"/>
    <d v="2016-01-08T12:31:57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682"/>
    <d v="2016-01-08T11:46:26"/>
    <d v="2016-01-08T12:01:25"/>
    <x v="2"/>
    <m/>
    <m/>
    <x v="0"/>
    <n v="70803"/>
    <n v="0"/>
    <d v="2016-01-08T12:04:25"/>
    <n v="11.59"/>
    <x v="2"/>
    <n v="1"/>
    <n v="1.7"/>
    <n v="0"/>
    <n v="0"/>
    <n v="1.7"/>
    <x v="0"/>
    <x v="0"/>
    <x v="0"/>
    <x v="0"/>
    <n v="10"/>
    <e v="#N/A"/>
    <e v="#N/A"/>
  </r>
  <r>
    <n v="683"/>
    <d v="2016-01-08T12:21:27"/>
    <d v="2016-01-08T12:36:27"/>
    <x v="1"/>
    <m/>
    <m/>
    <x v="1"/>
    <n v="70804"/>
    <n v="0.99663925964378997"/>
    <d v="2016-01-08T12:41:25"/>
    <n v="15.35"/>
    <x v="331"/>
    <n v="1"/>
    <n v="2.2999999999999998"/>
    <n v="0"/>
    <n v="0"/>
    <n v="2.2999999999999998"/>
    <x v="318"/>
    <x v="0"/>
    <x v="337"/>
    <x v="197"/>
    <n v="14"/>
    <e v="#N/A"/>
    <e v="#N/A"/>
  </r>
  <r>
    <n v="684"/>
    <d v="2016-01-08T13:19:53"/>
    <d v="2016-01-08T13:34:51"/>
    <x v="0"/>
    <m/>
    <m/>
    <x v="0"/>
    <n v="70804"/>
    <n v="0"/>
    <d v="2016-01-08T13:37:50"/>
    <n v="7.99"/>
    <x v="24"/>
    <n v="1"/>
    <n v="1"/>
    <n v="0"/>
    <n v="0"/>
    <n v="1"/>
    <x v="0"/>
    <x v="0"/>
    <x v="0"/>
    <x v="0"/>
    <n v="7"/>
    <e v="#N/A"/>
    <e v="#N/A"/>
  </r>
  <r>
    <n v="685"/>
    <d v="2016-01-08T12:15:33"/>
    <d v="2016-01-08T12:30:33"/>
    <x v="1"/>
    <m/>
    <m/>
    <x v="1"/>
    <n v="70804"/>
    <n v="3.9721325825942699"/>
    <d v="2016-01-08T12:50:24"/>
    <n v="15.35"/>
    <x v="332"/>
    <n v="1"/>
    <n v="2.2999999999999998"/>
    <n v="0"/>
    <n v="0"/>
    <n v="2.2999999999999998"/>
    <x v="319"/>
    <x v="1"/>
    <x v="338"/>
    <x v="0"/>
    <n v="14"/>
    <e v="#N/A"/>
    <e v="#N/A"/>
  </r>
  <r>
    <n v="686"/>
    <d v="2016-01-08T11:42:06"/>
    <d v="2016-01-08T11:57:05"/>
    <x v="0"/>
    <s v="Medium"/>
    <m/>
    <x v="1"/>
    <n v="70805"/>
    <n v="0.93151085195254801"/>
    <d v="2016-01-08T12:01:44"/>
    <n v="19.579999999999998"/>
    <x v="333"/>
    <n v="2"/>
    <n v="1"/>
    <n v="1.7"/>
    <n v="0"/>
    <n v="2.7"/>
    <x v="320"/>
    <x v="0"/>
    <x v="339"/>
    <x v="198"/>
    <n v="7"/>
    <n v="10"/>
    <e v="#N/A"/>
  </r>
  <r>
    <n v="687"/>
    <d v="2016-01-08T10:53:28"/>
    <d v="2016-01-08T11:08:28"/>
    <x v="2"/>
    <m/>
    <m/>
    <x v="1"/>
    <n v="70804"/>
    <n v="4.5265690765360196"/>
    <d v="2016-01-08T11:31:05"/>
    <n v="11.59"/>
    <x v="334"/>
    <n v="1"/>
    <n v="1.7"/>
    <n v="0"/>
    <n v="0"/>
    <n v="1.7"/>
    <x v="321"/>
    <x v="1"/>
    <x v="340"/>
    <x v="0"/>
    <n v="10"/>
    <e v="#N/A"/>
    <e v="#N/A"/>
  </r>
  <r>
    <n v="688"/>
    <d v="2016-01-08T10:54:55"/>
    <d v="2016-01-08T11:09:53"/>
    <x v="1"/>
    <m/>
    <m/>
    <x v="1"/>
    <n v="70805"/>
    <n v="3.2021937838318202"/>
    <d v="2016-01-08T11:25:53"/>
    <n v="15.35"/>
    <x v="335"/>
    <n v="1"/>
    <n v="2.2999999999999998"/>
    <n v="0"/>
    <n v="0"/>
    <n v="2.2999999999999998"/>
    <x v="322"/>
    <x v="1"/>
    <x v="341"/>
    <x v="0"/>
    <n v="14"/>
    <e v="#N/A"/>
    <e v="#N/A"/>
  </r>
  <r>
    <n v="689"/>
    <d v="2016-01-08T10:18:07"/>
    <d v="2016-01-08T10:33:06"/>
    <x v="2"/>
    <m/>
    <m/>
    <x v="1"/>
    <n v="70804"/>
    <n v="3.4768872472238401"/>
    <d v="2016-01-08T10:50:29"/>
    <n v="11.59"/>
    <x v="224"/>
    <n v="1"/>
    <n v="1.7"/>
    <n v="0"/>
    <n v="0"/>
    <n v="1.7"/>
    <x v="212"/>
    <x v="1"/>
    <x v="342"/>
    <x v="0"/>
    <n v="10"/>
    <e v="#N/A"/>
    <e v="#N/A"/>
  </r>
  <r>
    <n v="690"/>
    <d v="2016-01-08T11:35:26"/>
    <d v="2016-01-08T11:50:25"/>
    <x v="0"/>
    <m/>
    <m/>
    <x v="0"/>
    <n v="70805"/>
    <n v="0"/>
    <d v="2016-01-08T11:53:24"/>
    <n v="7.99"/>
    <x v="24"/>
    <n v="1"/>
    <n v="1"/>
    <n v="0"/>
    <n v="0"/>
    <n v="1"/>
    <x v="0"/>
    <x v="0"/>
    <x v="0"/>
    <x v="0"/>
    <n v="7"/>
    <e v="#N/A"/>
    <e v="#N/A"/>
  </r>
  <r>
    <n v="691"/>
    <d v="2016-01-08T11:24:40"/>
    <d v="2016-01-08T11:39:41"/>
    <x v="1"/>
    <m/>
    <m/>
    <x v="1"/>
    <n v="70806"/>
    <n v="1.8226504486347299"/>
    <d v="2016-01-08T11:48:47"/>
    <n v="15.35"/>
    <x v="336"/>
    <n v="1"/>
    <n v="2.2999999999999998"/>
    <n v="0"/>
    <n v="0"/>
    <n v="2.2999999999999998"/>
    <x v="323"/>
    <x v="0"/>
    <x v="343"/>
    <x v="199"/>
    <n v="14"/>
    <e v="#N/A"/>
    <e v="#N/A"/>
  </r>
  <r>
    <n v="692"/>
    <d v="2016-01-08T12:06:40"/>
    <d v="2016-01-08T12:21:40"/>
    <x v="1"/>
    <m/>
    <m/>
    <x v="1"/>
    <n v="70804"/>
    <n v="4.3292559322919804"/>
    <d v="2016-01-08T12:43:18"/>
    <n v="15.35"/>
    <x v="337"/>
    <n v="1"/>
    <n v="2.2999999999999998"/>
    <n v="0"/>
    <n v="0"/>
    <n v="2.2999999999999998"/>
    <x v="324"/>
    <x v="1"/>
    <x v="344"/>
    <x v="0"/>
    <n v="14"/>
    <e v="#N/A"/>
    <e v="#N/A"/>
  </r>
  <r>
    <n v="693"/>
    <d v="2016-01-08T10:10:41"/>
    <d v="2016-01-08T10:25:42"/>
    <x v="0"/>
    <s v="Medium"/>
    <m/>
    <x v="1"/>
    <n v="70805"/>
    <n v="2.72849140783882"/>
    <d v="2016-01-08T10:39:20"/>
    <n v="19.579999999999998"/>
    <x v="36"/>
    <n v="2"/>
    <n v="1"/>
    <n v="1.7"/>
    <n v="0"/>
    <n v="2.7"/>
    <x v="30"/>
    <x v="0"/>
    <x v="345"/>
    <x v="200"/>
    <n v="7"/>
    <n v="10"/>
    <e v="#N/A"/>
  </r>
  <r>
    <n v="694"/>
    <d v="2016-01-08T12:40:31"/>
    <d v="2016-01-08T12:55:30"/>
    <x v="0"/>
    <m/>
    <m/>
    <x v="1"/>
    <n v="70806"/>
    <n v="4.6970107492362203"/>
    <d v="2016-01-08T13:18:59"/>
    <n v="7.99"/>
    <x v="338"/>
    <n v="1"/>
    <n v="1"/>
    <n v="0"/>
    <n v="0"/>
    <n v="1"/>
    <x v="325"/>
    <x v="1"/>
    <x v="346"/>
    <x v="0"/>
    <n v="7"/>
    <e v="#N/A"/>
    <e v="#N/A"/>
  </r>
  <r>
    <n v="695"/>
    <d v="2016-01-08T14:12:50"/>
    <d v="2016-01-08T14:27:48"/>
    <x v="1"/>
    <m/>
    <m/>
    <x v="1"/>
    <n v="70805"/>
    <n v="2.1074883493307102"/>
    <d v="2016-01-08T14:38:20"/>
    <n v="15.35"/>
    <x v="339"/>
    <n v="1"/>
    <n v="2.2999999999999998"/>
    <n v="0"/>
    <n v="0"/>
    <n v="2.2999999999999998"/>
    <x v="326"/>
    <x v="0"/>
    <x v="347"/>
    <x v="201"/>
    <n v="14"/>
    <e v="#N/A"/>
    <e v="#N/A"/>
  </r>
  <r>
    <n v="696"/>
    <d v="2016-01-08T10:28:13"/>
    <d v="2016-01-08T10:43:14"/>
    <x v="0"/>
    <s v="Medium"/>
    <m/>
    <x v="0"/>
    <n v="70806"/>
    <n v="0"/>
    <d v="2016-01-08T10:46:14"/>
    <n v="19.579999999999998"/>
    <x v="2"/>
    <n v="2"/>
    <n v="1"/>
    <n v="1.7"/>
    <n v="0"/>
    <n v="2.7"/>
    <x v="0"/>
    <x v="0"/>
    <x v="0"/>
    <x v="0"/>
    <n v="7"/>
    <n v="10"/>
    <e v="#N/A"/>
  </r>
  <r>
    <n v="697"/>
    <d v="2016-01-08T12:11:06"/>
    <d v="2016-01-08T12:26:05"/>
    <x v="1"/>
    <m/>
    <m/>
    <x v="1"/>
    <n v="70807"/>
    <n v="3.5619103394023801"/>
    <d v="2016-01-08T12:43:53"/>
    <n v="15.35"/>
    <x v="340"/>
    <n v="1"/>
    <n v="2.2999999999999998"/>
    <n v="0"/>
    <n v="0"/>
    <n v="2.2999999999999998"/>
    <x v="327"/>
    <x v="1"/>
    <x v="348"/>
    <x v="0"/>
    <n v="14"/>
    <e v="#N/A"/>
    <e v="#N/A"/>
  </r>
  <r>
    <n v="698"/>
    <d v="2016-01-08T12:34:46"/>
    <d v="2016-01-08T12:49:47"/>
    <x v="1"/>
    <m/>
    <m/>
    <x v="1"/>
    <n v="70804"/>
    <n v="2.1454603768800702"/>
    <d v="2016-01-08T13:00:30"/>
    <n v="15.35"/>
    <x v="341"/>
    <n v="1"/>
    <n v="2.2999999999999998"/>
    <n v="0"/>
    <n v="0"/>
    <n v="2.2999999999999998"/>
    <x v="328"/>
    <x v="0"/>
    <x v="349"/>
    <x v="202"/>
    <n v="14"/>
    <e v="#N/A"/>
    <e v="#N/A"/>
  </r>
  <r>
    <n v="699"/>
    <d v="2016-01-08T12:34:38"/>
    <d v="2016-01-08T12:49:37"/>
    <x v="0"/>
    <s v="Medium"/>
    <m/>
    <x v="1"/>
    <n v="70804"/>
    <n v="3.4404452126950602"/>
    <d v="2016-01-08T13:06:49"/>
    <n v="19.579999999999998"/>
    <x v="342"/>
    <n v="2"/>
    <n v="1"/>
    <n v="1.7"/>
    <n v="0"/>
    <n v="2.7"/>
    <x v="329"/>
    <x v="1"/>
    <x v="350"/>
    <x v="0"/>
    <n v="7"/>
    <n v="10"/>
    <e v="#N/A"/>
  </r>
  <r>
    <n v="700"/>
    <d v="2016-01-08T11:41:41"/>
    <d v="2016-01-08T11:56:40"/>
    <x v="0"/>
    <s v="Large"/>
    <m/>
    <x v="1"/>
    <n v="70805"/>
    <n v="2.9587613608334902"/>
    <d v="2016-01-08T12:11:27"/>
    <n v="23.34"/>
    <x v="343"/>
    <n v="2"/>
    <n v="1"/>
    <n v="2.2999999999999998"/>
    <n v="0"/>
    <n v="3.3"/>
    <x v="330"/>
    <x v="0"/>
    <x v="351"/>
    <x v="203"/>
    <n v="7"/>
    <n v="14"/>
    <e v="#N/A"/>
  </r>
  <r>
    <n v="701"/>
    <d v="2016-01-08T12:33:16"/>
    <d v="2016-01-08T12:48:15"/>
    <x v="0"/>
    <s v="Large"/>
    <m/>
    <x v="0"/>
    <n v="70804"/>
    <n v="0"/>
    <d v="2016-01-08T12:51:14"/>
    <n v="23.34"/>
    <x v="1"/>
    <n v="2"/>
    <n v="1"/>
    <n v="2.2999999999999998"/>
    <n v="0"/>
    <n v="3.3"/>
    <x v="0"/>
    <x v="0"/>
    <x v="0"/>
    <x v="0"/>
    <n v="7"/>
    <n v="14"/>
    <e v="#N/A"/>
  </r>
  <r>
    <n v="702"/>
    <d v="2016-01-08T12:54:36"/>
    <d v="2016-01-08T13:09:35"/>
    <x v="0"/>
    <s v="Large"/>
    <m/>
    <x v="0"/>
    <n v="70805"/>
    <n v="0"/>
    <d v="2016-01-08T13:12:34"/>
    <n v="23.34"/>
    <x v="24"/>
    <n v="2"/>
    <n v="1"/>
    <n v="2.2999999999999998"/>
    <n v="0"/>
    <n v="3.3"/>
    <x v="0"/>
    <x v="0"/>
    <x v="0"/>
    <x v="0"/>
    <n v="7"/>
    <n v="14"/>
    <e v="#N/A"/>
  </r>
  <r>
    <n v="703"/>
    <d v="2016-01-08T12:04:39"/>
    <d v="2016-01-08T12:19:38"/>
    <x v="2"/>
    <m/>
    <m/>
    <x v="1"/>
    <n v="70805"/>
    <n v="3.9385955839323499"/>
    <d v="2016-01-08T12:39:19"/>
    <n v="11.59"/>
    <x v="310"/>
    <n v="1"/>
    <n v="1.7"/>
    <n v="0"/>
    <n v="0"/>
    <n v="1.7"/>
    <x v="297"/>
    <x v="1"/>
    <x v="352"/>
    <x v="0"/>
    <n v="10"/>
    <e v="#N/A"/>
    <e v="#N/A"/>
  </r>
  <r>
    <n v="704"/>
    <d v="2016-01-08T11:27:03"/>
    <d v="2016-01-08T11:42:03"/>
    <x v="2"/>
    <m/>
    <m/>
    <x v="0"/>
    <n v="70804"/>
    <n v="0"/>
    <d v="2016-01-08T11:45:03"/>
    <n v="11.59"/>
    <x v="63"/>
    <n v="1"/>
    <n v="1.7"/>
    <n v="0"/>
    <n v="0"/>
    <n v="1.7"/>
    <x v="0"/>
    <x v="0"/>
    <x v="0"/>
    <x v="0"/>
    <n v="10"/>
    <e v="#N/A"/>
    <e v="#N/A"/>
  </r>
  <r>
    <n v="705"/>
    <d v="2016-01-08T10:22:42"/>
    <d v="2016-01-08T10:37:44"/>
    <x v="0"/>
    <s v="Medium"/>
    <s v="Large"/>
    <x v="0"/>
    <n v="70805"/>
    <n v="0"/>
    <d v="2016-01-08T10:40:43"/>
    <n v="33.93"/>
    <x v="1"/>
    <n v="3"/>
    <n v="1"/>
    <n v="1.7"/>
    <n v="2.2999999999999998"/>
    <n v="5"/>
    <x v="0"/>
    <x v="0"/>
    <x v="0"/>
    <x v="0"/>
    <n v="7"/>
    <n v="10"/>
    <n v="14"/>
  </r>
  <r>
    <n v="706"/>
    <d v="2016-01-08T12:12:20"/>
    <d v="2016-01-08T12:27:19"/>
    <x v="0"/>
    <s v="Medium"/>
    <m/>
    <x v="1"/>
    <n v="70803"/>
    <n v="3.4951320992434001"/>
    <d v="2016-01-08T12:44:47"/>
    <n v="19.579999999999998"/>
    <x v="344"/>
    <n v="2"/>
    <n v="1"/>
    <n v="1.7"/>
    <n v="0"/>
    <n v="2.7"/>
    <x v="331"/>
    <x v="1"/>
    <x v="353"/>
    <x v="0"/>
    <n v="7"/>
    <n v="10"/>
    <e v="#N/A"/>
  </r>
  <r>
    <n v="707"/>
    <d v="2016-01-08T11:24:25"/>
    <d v="2016-01-08T11:39:26"/>
    <x v="0"/>
    <s v="Medium"/>
    <m/>
    <x v="0"/>
    <n v="70805"/>
    <n v="0"/>
    <d v="2016-01-08T11:42:25"/>
    <n v="19.579999999999998"/>
    <x v="24"/>
    <n v="2"/>
    <n v="1"/>
    <n v="1.7"/>
    <n v="0"/>
    <n v="2.7"/>
    <x v="0"/>
    <x v="0"/>
    <x v="0"/>
    <x v="0"/>
    <n v="7"/>
    <n v="10"/>
    <e v="#N/A"/>
  </r>
  <r>
    <n v="708"/>
    <d v="2016-01-08T12:31:38"/>
    <d v="2016-01-08T12:46:37"/>
    <x v="0"/>
    <s v="Large"/>
    <m/>
    <x v="1"/>
    <n v="70804"/>
    <n v="1.70000024866352"/>
    <d v="2016-01-08T12:55:07"/>
    <n v="23.34"/>
    <x v="345"/>
    <n v="2"/>
    <n v="1"/>
    <n v="2.2999999999999998"/>
    <n v="0"/>
    <n v="3.3"/>
    <x v="332"/>
    <x v="0"/>
    <x v="354"/>
    <x v="204"/>
    <n v="7"/>
    <n v="14"/>
    <e v="#N/A"/>
  </r>
  <r>
    <n v="709"/>
    <d v="2016-01-08T12:23:38"/>
    <d v="2016-01-08T12:38:37"/>
    <x v="2"/>
    <m/>
    <m/>
    <x v="0"/>
    <n v="70805"/>
    <n v="0"/>
    <d v="2016-01-08T12:41:38"/>
    <n v="11.59"/>
    <x v="14"/>
    <n v="1"/>
    <n v="1.7"/>
    <n v="0"/>
    <n v="0"/>
    <n v="1.7"/>
    <x v="0"/>
    <x v="0"/>
    <x v="0"/>
    <x v="0"/>
    <n v="10"/>
    <e v="#N/A"/>
    <e v="#N/A"/>
  </r>
  <r>
    <n v="710"/>
    <d v="2016-01-08T11:34:47"/>
    <d v="2016-01-08T11:49:47"/>
    <x v="2"/>
    <m/>
    <m/>
    <x v="1"/>
    <n v="70804"/>
    <n v="2.9515678471742901"/>
    <d v="2016-01-08T12:04:32"/>
    <n v="11.59"/>
    <x v="346"/>
    <n v="1"/>
    <n v="1.7"/>
    <n v="0"/>
    <n v="0"/>
    <n v="1.7"/>
    <x v="333"/>
    <x v="0"/>
    <x v="355"/>
    <x v="205"/>
    <n v="10"/>
    <e v="#N/A"/>
    <e v="#N/A"/>
  </r>
  <r>
    <n v="711"/>
    <d v="2016-01-08T11:59:47"/>
    <d v="2016-01-08T12:14:46"/>
    <x v="0"/>
    <s v="Medium"/>
    <m/>
    <x v="0"/>
    <n v="70804"/>
    <n v="0"/>
    <d v="2016-01-08T12:17:46"/>
    <n v="19.579999999999998"/>
    <x v="2"/>
    <n v="2"/>
    <n v="1"/>
    <n v="1.7"/>
    <n v="0"/>
    <n v="2.7"/>
    <x v="0"/>
    <x v="0"/>
    <x v="0"/>
    <x v="0"/>
    <n v="7"/>
    <n v="10"/>
    <e v="#N/A"/>
  </r>
  <r>
    <n v="712"/>
    <d v="2016-01-08T10:09:13"/>
    <d v="2016-01-08T10:24:11"/>
    <x v="0"/>
    <m/>
    <m/>
    <x v="0"/>
    <n v="70805"/>
    <n v="0"/>
    <d v="2016-01-08T10:27:09"/>
    <n v="7.99"/>
    <x v="0"/>
    <n v="1"/>
    <n v="1"/>
    <n v="0"/>
    <n v="0"/>
    <n v="1"/>
    <x v="0"/>
    <x v="0"/>
    <x v="0"/>
    <x v="0"/>
    <n v="7"/>
    <e v="#N/A"/>
    <e v="#N/A"/>
  </r>
  <r>
    <n v="713"/>
    <d v="2016-01-08T11:25:14"/>
    <d v="2016-01-08T11:40:12"/>
    <x v="1"/>
    <m/>
    <m/>
    <x v="0"/>
    <n v="70805"/>
    <n v="0"/>
    <d v="2016-01-08T11:43:11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714"/>
    <d v="2016-01-08T12:33:28"/>
    <d v="2016-01-08T12:48:26"/>
    <x v="2"/>
    <m/>
    <m/>
    <x v="1"/>
    <n v="70804"/>
    <n v="2.0220840965049698"/>
    <d v="2016-01-08T12:58:32"/>
    <n v="11.59"/>
    <x v="347"/>
    <n v="1"/>
    <n v="1.7"/>
    <n v="0"/>
    <n v="0"/>
    <n v="1.7"/>
    <x v="334"/>
    <x v="0"/>
    <x v="356"/>
    <x v="206"/>
    <n v="10"/>
    <e v="#N/A"/>
    <e v="#N/A"/>
  </r>
  <r>
    <n v="715"/>
    <d v="2016-01-08T12:19:14"/>
    <d v="2016-01-08T12:34:15"/>
    <x v="2"/>
    <m/>
    <m/>
    <x v="0"/>
    <n v="70805"/>
    <n v="0"/>
    <d v="2016-01-08T12:37:12"/>
    <n v="11.59"/>
    <x v="102"/>
    <n v="1"/>
    <n v="1.7"/>
    <n v="0"/>
    <n v="0"/>
    <n v="1.7"/>
    <x v="0"/>
    <x v="0"/>
    <x v="0"/>
    <x v="0"/>
    <n v="10"/>
    <e v="#N/A"/>
    <e v="#N/A"/>
  </r>
  <r>
    <n v="716"/>
    <d v="2016-01-08T12:47:29"/>
    <d v="2016-01-08T13:02:30"/>
    <x v="0"/>
    <s v="Medium"/>
    <m/>
    <x v="0"/>
    <n v="70803"/>
    <n v="0"/>
    <d v="2016-01-08T13:05:30"/>
    <n v="19.579999999999998"/>
    <x v="2"/>
    <n v="2"/>
    <n v="1"/>
    <n v="1.7"/>
    <n v="0"/>
    <n v="2.7"/>
    <x v="0"/>
    <x v="0"/>
    <x v="0"/>
    <x v="0"/>
    <n v="7"/>
    <n v="10"/>
    <e v="#N/A"/>
  </r>
  <r>
    <n v="717"/>
    <d v="2016-01-08T11:52:56"/>
    <d v="2016-01-08T12:07:55"/>
    <x v="1"/>
    <m/>
    <m/>
    <x v="0"/>
    <n v="70805"/>
    <n v="0"/>
    <d v="2016-01-08T12:10:54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718"/>
    <d v="2016-01-08T12:02:17"/>
    <d v="2016-01-08T12:17:16"/>
    <x v="0"/>
    <m/>
    <m/>
    <x v="0"/>
    <n v="70806"/>
    <n v="0"/>
    <d v="2016-01-08T12:20:15"/>
    <n v="7.99"/>
    <x v="24"/>
    <n v="1"/>
    <n v="1"/>
    <n v="0"/>
    <n v="0"/>
    <n v="1"/>
    <x v="0"/>
    <x v="0"/>
    <x v="0"/>
    <x v="0"/>
    <n v="7"/>
    <e v="#N/A"/>
    <e v="#N/A"/>
  </r>
  <r>
    <n v="719"/>
    <d v="2016-01-08T14:12:44"/>
    <d v="2016-01-08T14:27:45"/>
    <x v="2"/>
    <m/>
    <m/>
    <x v="1"/>
    <n v="70803"/>
    <n v="5.4078377336776899"/>
    <d v="2016-01-08T14:54:47"/>
    <n v="11.59"/>
    <x v="348"/>
    <n v="1"/>
    <n v="1.7"/>
    <n v="0"/>
    <n v="0"/>
    <n v="1.7"/>
    <x v="335"/>
    <x v="1"/>
    <x v="357"/>
    <x v="0"/>
    <n v="10"/>
    <e v="#N/A"/>
    <e v="#N/A"/>
  </r>
  <r>
    <n v="720"/>
    <d v="2016-01-08T13:39:53"/>
    <d v="2016-01-08T13:54:51"/>
    <x v="0"/>
    <m/>
    <m/>
    <x v="1"/>
    <n v="70805"/>
    <n v="3.3609764242120699"/>
    <d v="2016-01-08T14:11:39"/>
    <n v="7.99"/>
    <x v="233"/>
    <n v="1"/>
    <n v="1"/>
    <n v="0"/>
    <n v="0"/>
    <n v="1"/>
    <x v="220"/>
    <x v="1"/>
    <x v="358"/>
    <x v="0"/>
    <n v="7"/>
    <e v="#N/A"/>
    <e v="#N/A"/>
  </r>
  <r>
    <n v="721"/>
    <d v="2016-01-08T12:27:04"/>
    <d v="2016-01-08T12:42:03"/>
    <x v="1"/>
    <m/>
    <m/>
    <x v="0"/>
    <n v="70805"/>
    <n v="0"/>
    <d v="2016-01-08T12:45:02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722"/>
    <d v="2016-01-08T12:33:18"/>
    <d v="2016-01-08T12:48:17"/>
    <x v="2"/>
    <m/>
    <m/>
    <x v="1"/>
    <n v="70808"/>
    <n v="2.3559184232680401"/>
    <d v="2016-01-08T13:00:03"/>
    <n v="11.59"/>
    <x v="349"/>
    <n v="1"/>
    <n v="1.7"/>
    <n v="0"/>
    <n v="0"/>
    <n v="1.7"/>
    <x v="336"/>
    <x v="0"/>
    <x v="359"/>
    <x v="207"/>
    <n v="10"/>
    <e v="#N/A"/>
    <e v="#N/A"/>
  </r>
  <r>
    <n v="723"/>
    <d v="2016-01-08T11:18:14"/>
    <d v="2016-01-08T11:33:12"/>
    <x v="2"/>
    <m/>
    <m/>
    <x v="0"/>
    <n v="70804"/>
    <n v="0"/>
    <d v="2016-01-08T11:36:12"/>
    <n v="11.59"/>
    <x v="2"/>
    <n v="1"/>
    <n v="1.7"/>
    <n v="0"/>
    <n v="0"/>
    <n v="1.7"/>
    <x v="0"/>
    <x v="0"/>
    <x v="0"/>
    <x v="0"/>
    <n v="10"/>
    <e v="#N/A"/>
    <e v="#N/A"/>
  </r>
  <r>
    <n v="724"/>
    <d v="2016-01-08T12:10:28"/>
    <d v="2016-01-08T12:25:29"/>
    <x v="2"/>
    <m/>
    <m/>
    <x v="1"/>
    <n v="70806"/>
    <n v="4.3850610137594801"/>
    <d v="2016-01-08T12:47:24"/>
    <n v="11.59"/>
    <x v="350"/>
    <n v="1"/>
    <n v="1.7"/>
    <n v="0"/>
    <n v="0"/>
    <n v="1.7"/>
    <x v="337"/>
    <x v="1"/>
    <x v="360"/>
    <x v="0"/>
    <n v="10"/>
    <e v="#N/A"/>
    <e v="#N/A"/>
  </r>
  <r>
    <n v="725"/>
    <d v="2016-01-08T11:43:15"/>
    <d v="2016-01-08T11:58:13"/>
    <x v="2"/>
    <m/>
    <m/>
    <x v="0"/>
    <n v="70808"/>
    <n v="0"/>
    <d v="2016-01-08T12:01:11"/>
    <n v="11.59"/>
    <x v="0"/>
    <n v="1"/>
    <n v="1.7"/>
    <n v="0"/>
    <n v="0"/>
    <n v="1.7"/>
    <x v="0"/>
    <x v="0"/>
    <x v="0"/>
    <x v="0"/>
    <n v="10"/>
    <e v="#N/A"/>
    <e v="#N/A"/>
  </r>
  <r>
    <n v="726"/>
    <d v="2016-01-08T10:42:34"/>
    <d v="2016-01-08T10:57:34"/>
    <x v="2"/>
    <m/>
    <m/>
    <x v="0"/>
    <n v="70803"/>
    <n v="0"/>
    <d v="2016-01-08T11:00:34"/>
    <n v="11.59"/>
    <x v="2"/>
    <n v="1"/>
    <n v="1.7"/>
    <n v="0"/>
    <n v="0"/>
    <n v="1.7"/>
    <x v="0"/>
    <x v="0"/>
    <x v="0"/>
    <x v="0"/>
    <n v="10"/>
    <e v="#N/A"/>
    <e v="#N/A"/>
  </r>
  <r>
    <n v="727"/>
    <d v="2016-01-08T12:56:27"/>
    <d v="2016-01-08T13:11:25"/>
    <x v="0"/>
    <s v="Medium"/>
    <m/>
    <x v="0"/>
    <n v="70805"/>
    <n v="0"/>
    <d v="2016-01-08T13:14:26"/>
    <n v="19.579999999999998"/>
    <x v="56"/>
    <n v="2"/>
    <n v="1"/>
    <n v="1.7"/>
    <n v="0"/>
    <n v="2.7"/>
    <x v="0"/>
    <x v="0"/>
    <x v="0"/>
    <x v="0"/>
    <n v="7"/>
    <n v="10"/>
    <e v="#N/A"/>
  </r>
  <r>
    <n v="728"/>
    <d v="2016-01-08T13:20:43"/>
    <d v="2016-01-08T13:35:44"/>
    <x v="0"/>
    <s v="Medium"/>
    <m/>
    <x v="1"/>
    <n v="70804"/>
    <n v="3.33716479980475"/>
    <d v="2016-01-08T13:52:25"/>
    <n v="19.579999999999998"/>
    <x v="351"/>
    <n v="2"/>
    <n v="1"/>
    <n v="1.7"/>
    <n v="0"/>
    <n v="2.7"/>
    <x v="338"/>
    <x v="1"/>
    <x v="361"/>
    <x v="0"/>
    <n v="7"/>
    <n v="10"/>
    <e v="#N/A"/>
  </r>
  <r>
    <n v="729"/>
    <d v="2016-01-08T11:02:43"/>
    <d v="2016-01-08T11:17:41"/>
    <x v="1"/>
    <m/>
    <m/>
    <x v="0"/>
    <n v="70807"/>
    <n v="0"/>
    <d v="2016-01-08T11:20:41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730"/>
    <d v="2016-01-08T14:51:56"/>
    <d v="2016-01-08T15:06:57"/>
    <x v="2"/>
    <m/>
    <m/>
    <x v="1"/>
    <n v="70805"/>
    <n v="3.2930242122792999"/>
    <d v="2016-01-08T15:23:24"/>
    <n v="11.59"/>
    <x v="352"/>
    <n v="1"/>
    <n v="1.7"/>
    <n v="0"/>
    <n v="0"/>
    <n v="1.7"/>
    <x v="339"/>
    <x v="1"/>
    <x v="362"/>
    <x v="0"/>
    <n v="10"/>
    <e v="#N/A"/>
    <e v="#N/A"/>
  </r>
  <r>
    <n v="731"/>
    <d v="2016-01-08T11:52:08"/>
    <d v="2016-01-08T12:07:06"/>
    <x v="0"/>
    <s v="Large"/>
    <m/>
    <x v="1"/>
    <n v="70806"/>
    <n v="2.7091080479247198"/>
    <d v="2016-01-08T12:20:38"/>
    <n v="23.34"/>
    <x v="91"/>
    <n v="2"/>
    <n v="1"/>
    <n v="2.2999999999999998"/>
    <n v="0"/>
    <n v="3.3"/>
    <x v="82"/>
    <x v="0"/>
    <x v="363"/>
    <x v="208"/>
    <n v="7"/>
    <n v="14"/>
    <e v="#N/A"/>
  </r>
  <r>
    <n v="732"/>
    <d v="2016-01-08T11:07:35"/>
    <d v="2016-01-08T11:22:34"/>
    <x v="0"/>
    <m/>
    <m/>
    <x v="0"/>
    <n v="70807"/>
    <n v="0"/>
    <d v="2016-01-08T11:25:35"/>
    <n v="7.99"/>
    <x v="14"/>
    <n v="1"/>
    <n v="1"/>
    <n v="0"/>
    <n v="0"/>
    <n v="1"/>
    <x v="0"/>
    <x v="0"/>
    <x v="0"/>
    <x v="0"/>
    <n v="7"/>
    <e v="#N/A"/>
    <e v="#N/A"/>
  </r>
  <r>
    <n v="733"/>
    <d v="2016-01-08T12:51:29"/>
    <d v="2016-01-08T13:06:30"/>
    <x v="2"/>
    <m/>
    <m/>
    <x v="0"/>
    <n v="70805"/>
    <n v="0"/>
    <d v="2016-01-08T13:09:29"/>
    <n v="11.59"/>
    <x v="1"/>
    <n v="1"/>
    <n v="1.7"/>
    <n v="0"/>
    <n v="0"/>
    <n v="1.7"/>
    <x v="0"/>
    <x v="0"/>
    <x v="0"/>
    <x v="0"/>
    <n v="10"/>
    <e v="#N/A"/>
    <e v="#N/A"/>
  </r>
  <r>
    <n v="734"/>
    <d v="2016-01-08T11:45:01"/>
    <d v="2016-01-08T12:00:02"/>
    <x v="0"/>
    <m/>
    <m/>
    <x v="1"/>
    <n v="70807"/>
    <n v="0.384183544916954"/>
    <d v="2016-01-08T12:01:57"/>
    <n v="7.99"/>
    <x v="353"/>
    <n v="1"/>
    <n v="1"/>
    <n v="0"/>
    <n v="0"/>
    <n v="1"/>
    <x v="340"/>
    <x v="0"/>
    <x v="364"/>
    <x v="209"/>
    <n v="7"/>
    <e v="#N/A"/>
    <e v="#N/A"/>
  </r>
  <r>
    <n v="735"/>
    <d v="2016-01-08T11:43:56"/>
    <d v="2016-01-08T11:58:57"/>
    <x v="1"/>
    <m/>
    <m/>
    <x v="1"/>
    <n v="70804"/>
    <n v="4.56839749455896"/>
    <d v="2016-01-08T12:21:47"/>
    <n v="15.35"/>
    <x v="354"/>
    <n v="1"/>
    <n v="2.2999999999999998"/>
    <n v="0"/>
    <n v="0"/>
    <n v="2.2999999999999998"/>
    <x v="341"/>
    <x v="1"/>
    <x v="365"/>
    <x v="0"/>
    <n v="14"/>
    <e v="#N/A"/>
    <e v="#N/A"/>
  </r>
  <r>
    <n v="736"/>
    <d v="2016-01-09T12:37:04"/>
    <d v="2016-01-09T12:52:04"/>
    <x v="0"/>
    <m/>
    <m/>
    <x v="0"/>
    <n v="70804"/>
    <n v="0"/>
    <d v="2016-01-09T12:55:03"/>
    <n v="7.99"/>
    <x v="1"/>
    <n v="1"/>
    <n v="1"/>
    <n v="0"/>
    <n v="0"/>
    <n v="1"/>
    <x v="0"/>
    <x v="0"/>
    <x v="0"/>
    <x v="0"/>
    <n v="7"/>
    <e v="#N/A"/>
    <e v="#N/A"/>
  </r>
  <r>
    <n v="737"/>
    <d v="2016-01-09T14:30:26"/>
    <d v="2016-01-09T14:45:25"/>
    <x v="2"/>
    <m/>
    <m/>
    <x v="0"/>
    <n v="70805"/>
    <n v="0"/>
    <d v="2016-01-09T14:48:25"/>
    <n v="11.59"/>
    <x v="2"/>
    <n v="1"/>
    <n v="1.7"/>
    <n v="0"/>
    <n v="0"/>
    <n v="1.7"/>
    <x v="0"/>
    <x v="0"/>
    <x v="0"/>
    <x v="0"/>
    <n v="10"/>
    <e v="#N/A"/>
    <e v="#N/A"/>
  </r>
  <r>
    <n v="738"/>
    <d v="2016-01-09T11:17:21"/>
    <d v="2016-01-09T11:32:21"/>
    <x v="1"/>
    <m/>
    <m/>
    <x v="1"/>
    <n v="70804"/>
    <n v="2.12697930710284"/>
    <d v="2016-01-09T11:42:59"/>
    <n v="15.35"/>
    <x v="124"/>
    <n v="1"/>
    <n v="2.2999999999999998"/>
    <n v="0"/>
    <n v="0"/>
    <n v="2.2999999999999998"/>
    <x v="114"/>
    <x v="0"/>
    <x v="366"/>
    <x v="210"/>
    <n v="14"/>
    <e v="#N/A"/>
    <e v="#N/A"/>
  </r>
  <r>
    <n v="739"/>
    <d v="2016-01-09T12:38:33"/>
    <d v="2016-01-09T12:53:30"/>
    <x v="0"/>
    <m/>
    <m/>
    <x v="1"/>
    <n v="70807"/>
    <n v="2.4274638090292999"/>
    <d v="2016-01-09T13:05:38"/>
    <n v="7.99"/>
    <x v="355"/>
    <n v="1"/>
    <n v="1"/>
    <n v="0"/>
    <n v="0"/>
    <n v="1"/>
    <x v="342"/>
    <x v="0"/>
    <x v="367"/>
    <x v="211"/>
    <n v="7"/>
    <e v="#N/A"/>
    <e v="#N/A"/>
  </r>
  <r>
    <n v="740"/>
    <d v="2016-01-09T12:22:32"/>
    <d v="2016-01-09T12:37:31"/>
    <x v="2"/>
    <s v="Large"/>
    <m/>
    <x v="1"/>
    <n v="70803"/>
    <n v="2.33211862180762"/>
    <d v="2016-01-09T12:49:10"/>
    <n v="25.94"/>
    <x v="356"/>
    <n v="2"/>
    <n v="1.7"/>
    <n v="2.2999999999999998"/>
    <n v="0"/>
    <n v="4"/>
    <x v="343"/>
    <x v="0"/>
    <x v="368"/>
    <x v="212"/>
    <n v="10"/>
    <n v="14"/>
    <e v="#N/A"/>
  </r>
  <r>
    <n v="741"/>
    <d v="2016-01-09T12:15:26"/>
    <d v="2016-01-09T12:30:27"/>
    <x v="1"/>
    <m/>
    <m/>
    <x v="1"/>
    <n v="70807"/>
    <n v="4.2319720112833696"/>
    <d v="2016-01-09T12:51:36"/>
    <n v="15.35"/>
    <x v="357"/>
    <n v="1"/>
    <n v="2.2999999999999998"/>
    <n v="0"/>
    <n v="0"/>
    <n v="2.2999999999999998"/>
    <x v="344"/>
    <x v="1"/>
    <x v="369"/>
    <x v="0"/>
    <n v="14"/>
    <e v="#N/A"/>
    <e v="#N/A"/>
  </r>
  <r>
    <n v="742"/>
    <d v="2016-01-09T12:14:18"/>
    <d v="2016-01-09T12:29:17"/>
    <x v="1"/>
    <m/>
    <m/>
    <x v="1"/>
    <n v="70804"/>
    <n v="2.0187844263736601"/>
    <d v="2016-01-09T12:39:22"/>
    <n v="15.35"/>
    <x v="358"/>
    <n v="1"/>
    <n v="2.2999999999999998"/>
    <n v="0"/>
    <n v="0"/>
    <n v="2.2999999999999998"/>
    <x v="345"/>
    <x v="0"/>
    <x v="370"/>
    <x v="213"/>
    <n v="14"/>
    <e v="#N/A"/>
    <e v="#N/A"/>
  </r>
  <r>
    <n v="743"/>
    <d v="2016-01-09T11:36:35"/>
    <d v="2016-01-09T11:51:34"/>
    <x v="1"/>
    <m/>
    <m/>
    <x v="1"/>
    <n v="70807"/>
    <n v="1.06464895473169"/>
    <d v="2016-01-09T11:56:53"/>
    <n v="15.35"/>
    <x v="359"/>
    <n v="1"/>
    <n v="2.2999999999999998"/>
    <n v="0"/>
    <n v="0"/>
    <n v="2.2999999999999998"/>
    <x v="346"/>
    <x v="0"/>
    <x v="371"/>
    <x v="214"/>
    <n v="14"/>
    <e v="#N/A"/>
    <e v="#N/A"/>
  </r>
  <r>
    <n v="744"/>
    <d v="2016-01-09T12:57:30"/>
    <d v="2016-01-09T13:12:31"/>
    <x v="0"/>
    <s v="Medium"/>
    <m/>
    <x v="0"/>
    <n v="70805"/>
    <n v="0"/>
    <d v="2016-01-09T13:15:29"/>
    <n v="19.579999999999998"/>
    <x v="0"/>
    <n v="2"/>
    <n v="1"/>
    <n v="1.7"/>
    <n v="0"/>
    <n v="2.7"/>
    <x v="0"/>
    <x v="0"/>
    <x v="0"/>
    <x v="0"/>
    <n v="7"/>
    <n v="10"/>
    <e v="#N/A"/>
  </r>
  <r>
    <n v="745"/>
    <d v="2016-01-09T11:18:35"/>
    <d v="2016-01-09T11:33:36"/>
    <x v="1"/>
    <m/>
    <m/>
    <x v="0"/>
    <n v="70804"/>
    <n v="0"/>
    <d v="2016-01-09T11:36:37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746"/>
    <d v="2016-01-09T11:31:30"/>
    <d v="2016-01-09T11:46:30"/>
    <x v="0"/>
    <s v="Medium"/>
    <m/>
    <x v="1"/>
    <n v="70808"/>
    <n v="3.5989731484552698"/>
    <d v="2016-01-09T12:04:29"/>
    <n v="19.579999999999998"/>
    <x v="272"/>
    <n v="2"/>
    <n v="1"/>
    <n v="1.7"/>
    <n v="0"/>
    <n v="2.7"/>
    <x v="259"/>
    <x v="1"/>
    <x v="372"/>
    <x v="0"/>
    <n v="7"/>
    <n v="10"/>
    <e v="#N/A"/>
  </r>
  <r>
    <n v="747"/>
    <d v="2016-01-09T11:35:34"/>
    <d v="2016-01-09T11:50:34"/>
    <x v="0"/>
    <s v="Medium"/>
    <m/>
    <x v="0"/>
    <n v="70804"/>
    <n v="0"/>
    <d v="2016-01-09T11:53:32"/>
    <n v="19.579999999999998"/>
    <x v="0"/>
    <n v="2"/>
    <n v="1"/>
    <n v="1.7"/>
    <n v="0"/>
    <n v="2.7"/>
    <x v="0"/>
    <x v="0"/>
    <x v="0"/>
    <x v="0"/>
    <n v="7"/>
    <n v="10"/>
    <e v="#N/A"/>
  </r>
  <r>
    <n v="748"/>
    <d v="2016-01-09T13:54:12"/>
    <d v="2016-01-09T14:09:11"/>
    <x v="0"/>
    <s v="Large"/>
    <m/>
    <x v="1"/>
    <n v="70807"/>
    <n v="3.4846254166608901"/>
    <d v="2016-01-09T14:26:36"/>
    <n v="23.34"/>
    <x v="360"/>
    <n v="2"/>
    <n v="1"/>
    <n v="2.2999999999999998"/>
    <n v="0"/>
    <n v="3.3"/>
    <x v="347"/>
    <x v="1"/>
    <x v="373"/>
    <x v="0"/>
    <n v="7"/>
    <n v="14"/>
    <e v="#N/A"/>
  </r>
  <r>
    <n v="749"/>
    <d v="2016-01-09T13:12:39"/>
    <d v="2016-01-09T13:27:38"/>
    <x v="0"/>
    <m/>
    <m/>
    <x v="0"/>
    <n v="70806"/>
    <n v="0"/>
    <d v="2016-01-09T13:30:38"/>
    <n v="7.99"/>
    <x v="2"/>
    <n v="1"/>
    <n v="1"/>
    <n v="0"/>
    <n v="0"/>
    <n v="1"/>
    <x v="0"/>
    <x v="0"/>
    <x v="0"/>
    <x v="0"/>
    <n v="7"/>
    <e v="#N/A"/>
    <e v="#N/A"/>
  </r>
  <r>
    <n v="750"/>
    <d v="2016-01-09T13:18:42"/>
    <d v="2016-01-09T13:33:42"/>
    <x v="0"/>
    <s v="Medium"/>
    <m/>
    <x v="0"/>
    <n v="70806"/>
    <n v="0"/>
    <d v="2016-01-09T13:36:42"/>
    <n v="19.579999999999998"/>
    <x v="63"/>
    <n v="2"/>
    <n v="1"/>
    <n v="1.7"/>
    <n v="0"/>
    <n v="2.7"/>
    <x v="0"/>
    <x v="0"/>
    <x v="0"/>
    <x v="0"/>
    <n v="7"/>
    <n v="10"/>
    <e v="#N/A"/>
  </r>
  <r>
    <n v="751"/>
    <d v="2016-01-09T10:36:11"/>
    <d v="2016-01-09T10:51:11"/>
    <x v="2"/>
    <m/>
    <m/>
    <x v="0"/>
    <n v="70804"/>
    <n v="0"/>
    <d v="2016-01-09T10:54:11"/>
    <n v="11.59"/>
    <x v="2"/>
    <n v="1"/>
    <n v="1.7"/>
    <n v="0"/>
    <n v="0"/>
    <n v="1.7"/>
    <x v="0"/>
    <x v="0"/>
    <x v="0"/>
    <x v="0"/>
    <n v="10"/>
    <e v="#N/A"/>
    <e v="#N/A"/>
  </r>
  <r>
    <n v="752"/>
    <d v="2016-01-09T10:01:07"/>
    <d v="2016-01-09T10:16:06"/>
    <x v="0"/>
    <s v="Medium"/>
    <m/>
    <x v="1"/>
    <n v="70805"/>
    <n v="1.88551084156969"/>
    <d v="2016-01-09T10:25:31"/>
    <n v="19.579999999999998"/>
    <x v="169"/>
    <n v="2"/>
    <n v="1"/>
    <n v="1.7"/>
    <n v="0"/>
    <n v="2.7"/>
    <x v="159"/>
    <x v="0"/>
    <x v="374"/>
    <x v="215"/>
    <n v="7"/>
    <n v="10"/>
    <e v="#N/A"/>
  </r>
  <r>
    <n v="753"/>
    <d v="2016-01-09T11:43:08"/>
    <d v="2016-01-09T11:58:07"/>
    <x v="0"/>
    <s v="Medium"/>
    <m/>
    <x v="0"/>
    <n v="70804"/>
    <n v="0"/>
    <d v="2016-01-09T12:01:08"/>
    <n v="19.579999999999998"/>
    <x v="14"/>
    <n v="2"/>
    <n v="1"/>
    <n v="1.7"/>
    <n v="0"/>
    <n v="2.7"/>
    <x v="0"/>
    <x v="0"/>
    <x v="0"/>
    <x v="0"/>
    <n v="7"/>
    <n v="10"/>
    <e v="#N/A"/>
  </r>
  <r>
    <n v="754"/>
    <d v="2016-01-09T11:06:27"/>
    <d v="2016-01-09T11:21:25"/>
    <x v="0"/>
    <m/>
    <m/>
    <x v="0"/>
    <n v="70803"/>
    <n v="0"/>
    <d v="2016-01-09T11:24:24"/>
    <n v="7.99"/>
    <x v="24"/>
    <n v="1"/>
    <n v="1"/>
    <n v="0"/>
    <n v="0"/>
    <n v="1"/>
    <x v="0"/>
    <x v="0"/>
    <x v="0"/>
    <x v="0"/>
    <n v="7"/>
    <e v="#N/A"/>
    <e v="#N/A"/>
  </r>
  <r>
    <n v="755"/>
    <d v="2016-01-09T10:40:36"/>
    <d v="2016-01-09T10:55:35"/>
    <x v="0"/>
    <m/>
    <m/>
    <x v="0"/>
    <n v="70807"/>
    <n v="0"/>
    <d v="2016-01-09T10:58:34"/>
    <n v="7.99"/>
    <x v="1"/>
    <n v="1"/>
    <n v="1"/>
    <n v="0"/>
    <n v="0"/>
    <n v="1"/>
    <x v="0"/>
    <x v="0"/>
    <x v="0"/>
    <x v="0"/>
    <n v="7"/>
    <e v="#N/A"/>
    <e v="#N/A"/>
  </r>
  <r>
    <n v="756"/>
    <d v="2016-01-09T12:15:50"/>
    <d v="2016-01-09T12:30:49"/>
    <x v="0"/>
    <s v="Medium"/>
    <m/>
    <x v="0"/>
    <n v="70804"/>
    <n v="0"/>
    <d v="2016-01-09T12:33:47"/>
    <n v="19.579999999999998"/>
    <x v="0"/>
    <n v="2"/>
    <n v="1"/>
    <n v="1.7"/>
    <n v="0"/>
    <n v="2.7"/>
    <x v="0"/>
    <x v="0"/>
    <x v="0"/>
    <x v="0"/>
    <n v="7"/>
    <n v="10"/>
    <e v="#N/A"/>
  </r>
  <r>
    <n v="757"/>
    <d v="2016-01-09T11:43:22"/>
    <d v="2016-01-09T11:58:22"/>
    <x v="0"/>
    <m/>
    <m/>
    <x v="0"/>
    <n v="70804"/>
    <n v="0"/>
    <d v="2016-01-09T12:01:22"/>
    <n v="7.99"/>
    <x v="63"/>
    <n v="1"/>
    <n v="1"/>
    <n v="0"/>
    <n v="0"/>
    <n v="1"/>
    <x v="0"/>
    <x v="0"/>
    <x v="0"/>
    <x v="0"/>
    <n v="7"/>
    <e v="#N/A"/>
    <e v="#N/A"/>
  </r>
  <r>
    <n v="758"/>
    <d v="2016-01-09T12:16:49"/>
    <d v="2016-01-09T12:31:49"/>
    <x v="2"/>
    <m/>
    <m/>
    <x v="0"/>
    <n v="70807"/>
    <n v="0"/>
    <d v="2016-01-09T12:34:47"/>
    <n v="11.59"/>
    <x v="0"/>
    <n v="1"/>
    <n v="1.7"/>
    <n v="0"/>
    <n v="0"/>
    <n v="1.7"/>
    <x v="0"/>
    <x v="0"/>
    <x v="0"/>
    <x v="0"/>
    <n v="10"/>
    <e v="#N/A"/>
    <e v="#N/A"/>
  </r>
  <r>
    <n v="759"/>
    <d v="2016-01-09T13:45:52"/>
    <d v="2016-01-09T14:00:53"/>
    <x v="0"/>
    <s v="Medium"/>
    <m/>
    <x v="1"/>
    <n v="70803"/>
    <n v="0.92797085581516603"/>
    <d v="2016-01-09T14:05:31"/>
    <n v="19.579999999999998"/>
    <x v="361"/>
    <n v="2"/>
    <n v="1"/>
    <n v="1.7"/>
    <n v="0"/>
    <n v="2.7"/>
    <x v="348"/>
    <x v="0"/>
    <x v="375"/>
    <x v="216"/>
    <n v="7"/>
    <n v="10"/>
    <e v="#N/A"/>
  </r>
  <r>
    <n v="760"/>
    <d v="2016-01-09T11:41:11"/>
    <d v="2016-01-09T11:56:10"/>
    <x v="1"/>
    <m/>
    <m/>
    <x v="0"/>
    <n v="70806"/>
    <n v="0"/>
    <d v="2016-01-09T11:59:10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761"/>
    <d v="2016-01-09T11:36:26"/>
    <d v="2016-01-09T11:51:25"/>
    <x v="1"/>
    <m/>
    <m/>
    <x v="1"/>
    <n v="70805"/>
    <n v="2.9363794365297702"/>
    <d v="2016-01-09T12:06:05"/>
    <n v="15.35"/>
    <x v="362"/>
    <n v="1"/>
    <n v="2.2999999999999998"/>
    <n v="0"/>
    <n v="0"/>
    <n v="2.2999999999999998"/>
    <x v="349"/>
    <x v="0"/>
    <x v="376"/>
    <x v="217"/>
    <n v="14"/>
    <e v="#N/A"/>
    <e v="#N/A"/>
  </r>
  <r>
    <n v="762"/>
    <d v="2016-01-09T11:08:50"/>
    <d v="2016-01-09T11:23:49"/>
    <x v="2"/>
    <m/>
    <m/>
    <x v="0"/>
    <n v="70805"/>
    <n v="0"/>
    <d v="2016-01-09T11:26:48"/>
    <n v="11.59"/>
    <x v="1"/>
    <n v="1"/>
    <n v="1.7"/>
    <n v="0"/>
    <n v="0"/>
    <n v="1.7"/>
    <x v="0"/>
    <x v="0"/>
    <x v="0"/>
    <x v="0"/>
    <n v="10"/>
    <e v="#N/A"/>
    <e v="#N/A"/>
  </r>
  <r>
    <n v="763"/>
    <d v="2016-01-09T11:42:50"/>
    <d v="2016-01-09T11:57:50"/>
    <x v="0"/>
    <m/>
    <m/>
    <x v="1"/>
    <n v="70804"/>
    <n v="3.3577265439087198"/>
    <d v="2016-01-09T12:14:37"/>
    <n v="7.99"/>
    <x v="363"/>
    <n v="1"/>
    <n v="1"/>
    <n v="0"/>
    <n v="0"/>
    <n v="1"/>
    <x v="350"/>
    <x v="1"/>
    <x v="377"/>
    <x v="0"/>
    <n v="7"/>
    <e v="#N/A"/>
    <e v="#N/A"/>
  </r>
  <r>
    <n v="764"/>
    <d v="2016-01-09T10:25:26"/>
    <d v="2016-01-09T10:40:25"/>
    <x v="2"/>
    <m/>
    <m/>
    <x v="1"/>
    <n v="70805"/>
    <n v="3.4536753710331101"/>
    <d v="2016-01-09T10:57:41"/>
    <n v="11.59"/>
    <x v="364"/>
    <n v="1"/>
    <n v="1.7"/>
    <n v="0"/>
    <n v="0"/>
    <n v="1.7"/>
    <x v="351"/>
    <x v="1"/>
    <x v="378"/>
    <x v="0"/>
    <n v="10"/>
    <e v="#N/A"/>
    <e v="#N/A"/>
  </r>
  <r>
    <n v="765"/>
    <d v="2016-01-09T12:21:39"/>
    <d v="2016-01-09T12:36:40"/>
    <x v="1"/>
    <m/>
    <m/>
    <x v="1"/>
    <n v="70806"/>
    <n v="1.7217874084017299"/>
    <d v="2016-01-09T12:45:16"/>
    <n v="15.35"/>
    <x v="365"/>
    <n v="1"/>
    <n v="2.2999999999999998"/>
    <n v="0"/>
    <n v="0"/>
    <n v="2.2999999999999998"/>
    <x v="352"/>
    <x v="0"/>
    <x v="379"/>
    <x v="218"/>
    <n v="14"/>
    <e v="#N/A"/>
    <e v="#N/A"/>
  </r>
  <r>
    <n v="766"/>
    <d v="2016-01-09T12:24:14"/>
    <d v="2016-01-09T12:39:14"/>
    <x v="2"/>
    <m/>
    <m/>
    <x v="0"/>
    <n v="70805"/>
    <n v="0"/>
    <d v="2016-01-09T12:42:14"/>
    <n v="11.59"/>
    <x v="2"/>
    <n v="1"/>
    <n v="1.7"/>
    <n v="0"/>
    <n v="0"/>
    <n v="1.7"/>
    <x v="0"/>
    <x v="0"/>
    <x v="0"/>
    <x v="0"/>
    <n v="10"/>
    <e v="#N/A"/>
    <e v="#N/A"/>
  </r>
  <r>
    <n v="767"/>
    <d v="2016-01-09T11:01:53"/>
    <d v="2016-01-09T11:16:50"/>
    <x v="0"/>
    <m/>
    <m/>
    <x v="1"/>
    <n v="70803"/>
    <n v="1.6340450463954199"/>
    <d v="2016-01-09T11:25:00"/>
    <n v="7.99"/>
    <x v="57"/>
    <n v="1"/>
    <n v="1"/>
    <n v="0"/>
    <n v="0"/>
    <n v="1"/>
    <x v="50"/>
    <x v="0"/>
    <x v="380"/>
    <x v="219"/>
    <n v="7"/>
    <e v="#N/A"/>
    <e v="#N/A"/>
  </r>
  <r>
    <n v="768"/>
    <d v="2016-01-09T11:28:14"/>
    <d v="2016-01-09T11:43:13"/>
    <x v="1"/>
    <m/>
    <m/>
    <x v="0"/>
    <n v="70804"/>
    <n v="0"/>
    <d v="2016-01-09T11:46:15"/>
    <n v="15.35"/>
    <x v="171"/>
    <n v="1"/>
    <n v="2.2999999999999998"/>
    <n v="0"/>
    <n v="0"/>
    <n v="2.2999999999999998"/>
    <x v="0"/>
    <x v="0"/>
    <x v="0"/>
    <x v="0"/>
    <n v="14"/>
    <e v="#N/A"/>
    <e v="#N/A"/>
  </r>
  <r>
    <n v="769"/>
    <d v="2016-01-09T11:20:41"/>
    <d v="2016-01-09T11:35:41"/>
    <x v="2"/>
    <m/>
    <m/>
    <x v="0"/>
    <n v="70805"/>
    <n v="0"/>
    <d v="2016-01-09T11:38:41"/>
    <n v="11.59"/>
    <x v="2"/>
    <n v="1"/>
    <n v="1.7"/>
    <n v="0"/>
    <n v="0"/>
    <n v="1.7"/>
    <x v="0"/>
    <x v="0"/>
    <x v="0"/>
    <x v="0"/>
    <n v="10"/>
    <e v="#N/A"/>
    <e v="#N/A"/>
  </r>
  <r>
    <n v="770"/>
    <d v="2016-01-09T12:34:01"/>
    <d v="2016-01-09T12:49:00"/>
    <x v="0"/>
    <s v="Medium"/>
    <m/>
    <x v="0"/>
    <n v="70805"/>
    <n v="0"/>
    <d v="2016-01-09T12:51:59"/>
    <n v="19.579999999999998"/>
    <x v="24"/>
    <n v="2"/>
    <n v="1"/>
    <n v="1.7"/>
    <n v="0"/>
    <n v="2.7"/>
    <x v="0"/>
    <x v="0"/>
    <x v="0"/>
    <x v="0"/>
    <n v="7"/>
    <n v="10"/>
    <e v="#N/A"/>
  </r>
  <r>
    <n v="771"/>
    <d v="2016-01-09T11:40:30"/>
    <d v="2016-01-09T11:55:31"/>
    <x v="0"/>
    <s v="Large"/>
    <m/>
    <x v="0"/>
    <n v="70804"/>
    <n v="0"/>
    <d v="2016-01-09T11:58:30"/>
    <n v="23.34"/>
    <x v="24"/>
    <n v="2"/>
    <n v="1"/>
    <n v="2.2999999999999998"/>
    <n v="0"/>
    <n v="3.3"/>
    <x v="0"/>
    <x v="0"/>
    <x v="0"/>
    <x v="0"/>
    <n v="7"/>
    <n v="14"/>
    <e v="#N/A"/>
  </r>
  <r>
    <n v="772"/>
    <d v="2016-01-09T13:10:58"/>
    <d v="2016-01-09T13:25:57"/>
    <x v="1"/>
    <m/>
    <m/>
    <x v="0"/>
    <n v="70805"/>
    <n v="0"/>
    <d v="2016-01-09T13:28:55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773"/>
    <d v="2016-01-09T11:27:11"/>
    <d v="2016-01-09T11:42:09"/>
    <x v="0"/>
    <s v="Medium"/>
    <m/>
    <x v="0"/>
    <n v="70803"/>
    <n v="0"/>
    <d v="2016-01-09T11:45:08"/>
    <n v="19.579999999999998"/>
    <x v="1"/>
    <n v="2"/>
    <n v="1"/>
    <n v="1.7"/>
    <n v="0"/>
    <n v="2.7"/>
    <x v="0"/>
    <x v="0"/>
    <x v="0"/>
    <x v="0"/>
    <n v="7"/>
    <n v="10"/>
    <e v="#N/A"/>
  </r>
  <r>
    <n v="774"/>
    <d v="2016-01-09T12:28:39"/>
    <d v="2016-01-09T12:43:39"/>
    <x v="0"/>
    <m/>
    <m/>
    <x v="1"/>
    <n v="70804"/>
    <n v="4.1469554065016601"/>
    <d v="2016-01-09T13:04:23"/>
    <n v="7.99"/>
    <x v="366"/>
    <n v="1"/>
    <n v="1"/>
    <n v="0"/>
    <n v="0"/>
    <n v="1"/>
    <x v="353"/>
    <x v="1"/>
    <x v="381"/>
    <x v="0"/>
    <n v="7"/>
    <e v="#N/A"/>
    <e v="#N/A"/>
  </r>
  <r>
    <n v="775"/>
    <d v="2016-01-09T12:04:13"/>
    <d v="2016-01-09T12:19:12"/>
    <x v="2"/>
    <m/>
    <m/>
    <x v="1"/>
    <n v="70806"/>
    <n v="3.5355441818789002"/>
    <d v="2016-01-09T12:36:52"/>
    <n v="11.59"/>
    <x v="367"/>
    <n v="1"/>
    <n v="1.7"/>
    <n v="0"/>
    <n v="0"/>
    <n v="1.7"/>
    <x v="354"/>
    <x v="1"/>
    <x v="382"/>
    <x v="0"/>
    <n v="10"/>
    <e v="#N/A"/>
    <e v="#N/A"/>
  </r>
  <r>
    <n v="776"/>
    <d v="2016-01-09T12:58:39"/>
    <d v="2016-01-09T13:13:38"/>
    <x v="0"/>
    <m/>
    <m/>
    <x v="0"/>
    <n v="70803"/>
    <n v="0"/>
    <d v="2016-01-09T13:16:37"/>
    <n v="7.99"/>
    <x v="1"/>
    <n v="1"/>
    <n v="1"/>
    <n v="0"/>
    <n v="0"/>
    <n v="1"/>
    <x v="0"/>
    <x v="0"/>
    <x v="0"/>
    <x v="0"/>
    <n v="7"/>
    <e v="#N/A"/>
    <e v="#N/A"/>
  </r>
  <r>
    <n v="777"/>
    <d v="2016-01-09T12:30:28"/>
    <d v="2016-01-09T12:45:26"/>
    <x v="0"/>
    <s v="Medium"/>
    <m/>
    <x v="1"/>
    <n v="70806"/>
    <n v="2.7315567682930602"/>
    <d v="2016-01-09T12:59:05"/>
    <n v="19.579999999999998"/>
    <x v="368"/>
    <n v="2"/>
    <n v="1"/>
    <n v="1.7"/>
    <n v="0"/>
    <n v="2.7"/>
    <x v="355"/>
    <x v="0"/>
    <x v="383"/>
    <x v="220"/>
    <n v="7"/>
    <n v="10"/>
    <e v="#N/A"/>
  </r>
  <r>
    <n v="778"/>
    <d v="2016-01-09T11:48:44"/>
    <d v="2016-01-09T12:03:42"/>
    <x v="0"/>
    <s v="Large"/>
    <m/>
    <x v="1"/>
    <n v="70804"/>
    <n v="3.9933480956849299"/>
    <d v="2016-01-09T12:23:40"/>
    <n v="23.34"/>
    <x v="369"/>
    <n v="2"/>
    <n v="1"/>
    <n v="2.2999999999999998"/>
    <n v="0"/>
    <n v="3.3"/>
    <x v="356"/>
    <x v="1"/>
    <x v="384"/>
    <x v="0"/>
    <n v="7"/>
    <n v="14"/>
    <e v="#N/A"/>
  </r>
  <r>
    <n v="779"/>
    <d v="2016-01-09T11:20:43"/>
    <d v="2016-01-09T11:35:43"/>
    <x v="1"/>
    <m/>
    <m/>
    <x v="1"/>
    <n v="70804"/>
    <n v="5.62978590768786"/>
    <d v="2016-01-09T12:03:51"/>
    <n v="15.35"/>
    <x v="370"/>
    <n v="1"/>
    <n v="2.2999999999999998"/>
    <n v="0"/>
    <n v="0"/>
    <n v="2.2999999999999998"/>
    <x v="357"/>
    <x v="1"/>
    <x v="385"/>
    <x v="0"/>
    <n v="14"/>
    <e v="#N/A"/>
    <e v="#N/A"/>
  </r>
  <r>
    <n v="780"/>
    <d v="2016-01-09T12:25:12"/>
    <d v="2016-01-09T12:40:12"/>
    <x v="0"/>
    <s v="Medium"/>
    <m/>
    <x v="1"/>
    <n v="70808"/>
    <n v="4.2791438114174003"/>
    <d v="2016-01-09T13:01:35"/>
    <n v="19.579999999999998"/>
    <x v="371"/>
    <n v="2"/>
    <n v="1"/>
    <n v="1.7"/>
    <n v="0"/>
    <n v="2.7"/>
    <x v="358"/>
    <x v="1"/>
    <x v="386"/>
    <x v="0"/>
    <n v="7"/>
    <n v="10"/>
    <e v="#N/A"/>
  </r>
  <r>
    <n v="781"/>
    <d v="2016-01-09T12:57:53"/>
    <d v="2016-01-09T13:12:53"/>
    <x v="1"/>
    <m/>
    <m/>
    <x v="0"/>
    <n v="70803"/>
    <n v="0"/>
    <d v="2016-01-09T13:15:51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782"/>
    <d v="2016-01-09T10:14:04"/>
    <d v="2016-01-09T10:29:01"/>
    <x v="1"/>
    <m/>
    <m/>
    <x v="0"/>
    <n v="70804"/>
    <n v="0"/>
    <d v="2016-01-09T10:32:00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783"/>
    <d v="2016-01-09T11:23:49"/>
    <d v="2016-01-09T11:38:50"/>
    <x v="0"/>
    <s v="Medium"/>
    <m/>
    <x v="1"/>
    <n v="70804"/>
    <n v="2.9042117652254702"/>
    <d v="2016-01-09T11:53:21"/>
    <n v="19.579999999999998"/>
    <x v="372"/>
    <n v="2"/>
    <n v="1"/>
    <n v="1.7"/>
    <n v="0"/>
    <n v="2.7"/>
    <x v="359"/>
    <x v="0"/>
    <x v="387"/>
    <x v="221"/>
    <n v="7"/>
    <n v="10"/>
    <e v="#N/A"/>
  </r>
  <r>
    <n v="784"/>
    <d v="2016-01-09T12:12:41"/>
    <d v="2016-01-09T12:27:41"/>
    <x v="2"/>
    <s v="Large"/>
    <m/>
    <x v="1"/>
    <n v="70806"/>
    <n v="2.4657176224036101"/>
    <d v="2016-01-09T12:40:00"/>
    <n v="25.94"/>
    <x v="373"/>
    <n v="2"/>
    <n v="1.7"/>
    <n v="2.2999999999999998"/>
    <n v="0"/>
    <n v="4"/>
    <x v="360"/>
    <x v="0"/>
    <x v="388"/>
    <x v="222"/>
    <n v="10"/>
    <n v="14"/>
    <e v="#N/A"/>
  </r>
  <r>
    <n v="785"/>
    <d v="2016-01-09T10:53:43"/>
    <d v="2016-01-09T11:08:43"/>
    <x v="0"/>
    <m/>
    <m/>
    <x v="1"/>
    <n v="70806"/>
    <n v="2.6365137605756002"/>
    <d v="2016-01-09T11:21:53"/>
    <n v="7.99"/>
    <x v="374"/>
    <n v="1"/>
    <n v="1"/>
    <n v="0"/>
    <n v="0"/>
    <n v="1"/>
    <x v="361"/>
    <x v="0"/>
    <x v="389"/>
    <x v="223"/>
    <n v="7"/>
    <e v="#N/A"/>
    <e v="#N/A"/>
  </r>
  <r>
    <n v="786"/>
    <d v="2016-01-09T12:20:12"/>
    <d v="2016-01-09T12:35:11"/>
    <x v="0"/>
    <m/>
    <m/>
    <x v="1"/>
    <n v="70804"/>
    <n v="1.3545088655608"/>
    <d v="2016-01-09T12:41:57"/>
    <n v="7.99"/>
    <x v="375"/>
    <n v="1"/>
    <n v="1"/>
    <n v="0"/>
    <n v="0"/>
    <n v="1"/>
    <x v="362"/>
    <x v="0"/>
    <x v="390"/>
    <x v="224"/>
    <n v="7"/>
    <e v="#N/A"/>
    <e v="#N/A"/>
  </r>
  <r>
    <n v="787"/>
    <d v="2016-01-09T12:48:34"/>
    <d v="2016-01-09T13:03:33"/>
    <x v="0"/>
    <m/>
    <m/>
    <x v="1"/>
    <n v="70804"/>
    <n v="1.7851147234587801"/>
    <d v="2016-01-09T13:12:28"/>
    <n v="7.99"/>
    <x v="376"/>
    <n v="1"/>
    <n v="1"/>
    <n v="0"/>
    <n v="0"/>
    <n v="1"/>
    <x v="363"/>
    <x v="0"/>
    <x v="391"/>
    <x v="225"/>
    <n v="7"/>
    <e v="#N/A"/>
    <e v="#N/A"/>
  </r>
  <r>
    <n v="788"/>
    <d v="2016-01-09T12:29:45"/>
    <d v="2016-01-09T12:44:45"/>
    <x v="0"/>
    <m/>
    <m/>
    <x v="0"/>
    <n v="70806"/>
    <n v="0"/>
    <d v="2016-01-09T12:47:45"/>
    <n v="7.99"/>
    <x v="2"/>
    <n v="1"/>
    <n v="1"/>
    <n v="0"/>
    <n v="0"/>
    <n v="1"/>
    <x v="0"/>
    <x v="0"/>
    <x v="0"/>
    <x v="0"/>
    <n v="7"/>
    <e v="#N/A"/>
    <e v="#N/A"/>
  </r>
  <r>
    <n v="789"/>
    <d v="2016-01-09T10:07:22"/>
    <d v="2016-01-09T10:22:20"/>
    <x v="0"/>
    <s v="Medium"/>
    <m/>
    <x v="1"/>
    <n v="70803"/>
    <n v="1.526212594248"/>
    <d v="2016-01-09T10:29:57"/>
    <n v="19.579999999999998"/>
    <x v="377"/>
    <n v="2"/>
    <n v="1"/>
    <n v="1.7"/>
    <n v="0"/>
    <n v="2.7"/>
    <x v="364"/>
    <x v="0"/>
    <x v="392"/>
    <x v="226"/>
    <n v="7"/>
    <n v="10"/>
    <e v="#N/A"/>
  </r>
  <r>
    <n v="790"/>
    <d v="2016-01-09T12:53:27"/>
    <d v="2016-01-09T13:08:27"/>
    <x v="2"/>
    <m/>
    <m/>
    <x v="1"/>
    <n v="70804"/>
    <n v="3.24065469170651"/>
    <d v="2016-01-09T13:24:39"/>
    <n v="11.59"/>
    <x v="378"/>
    <n v="1"/>
    <n v="1.7"/>
    <n v="0"/>
    <n v="0"/>
    <n v="1.7"/>
    <x v="365"/>
    <x v="1"/>
    <x v="393"/>
    <x v="0"/>
    <n v="10"/>
    <e v="#N/A"/>
    <e v="#N/A"/>
  </r>
  <r>
    <n v="791"/>
    <d v="2016-01-09T12:05:15"/>
    <d v="2016-01-09T12:20:14"/>
    <x v="1"/>
    <m/>
    <m/>
    <x v="0"/>
    <n v="70807"/>
    <n v="0"/>
    <d v="2016-01-09T12:23:14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792"/>
    <d v="2016-01-09T10:12:31"/>
    <d v="2016-01-09T10:27:32"/>
    <x v="0"/>
    <s v="Medium"/>
    <m/>
    <x v="0"/>
    <n v="70803"/>
    <n v="0"/>
    <d v="2016-01-09T10:30:31"/>
    <n v="19.579999999999998"/>
    <x v="24"/>
    <n v="2"/>
    <n v="1"/>
    <n v="1.7"/>
    <n v="0"/>
    <n v="2.7"/>
    <x v="0"/>
    <x v="0"/>
    <x v="0"/>
    <x v="0"/>
    <n v="7"/>
    <n v="10"/>
    <e v="#N/A"/>
  </r>
  <r>
    <n v="793"/>
    <d v="2016-01-09T10:28:17"/>
    <d v="2016-01-09T10:43:17"/>
    <x v="2"/>
    <m/>
    <m/>
    <x v="1"/>
    <n v="70805"/>
    <n v="4.3616121884225603"/>
    <d v="2016-01-09T11:05:05"/>
    <n v="11.59"/>
    <x v="148"/>
    <n v="1"/>
    <n v="1.7"/>
    <n v="0"/>
    <n v="0"/>
    <n v="1.7"/>
    <x v="138"/>
    <x v="1"/>
    <x v="394"/>
    <x v="0"/>
    <n v="10"/>
    <e v="#N/A"/>
    <e v="#N/A"/>
  </r>
  <r>
    <n v="794"/>
    <d v="2016-01-09T12:45:43"/>
    <d v="2016-01-09T13:00:41"/>
    <x v="1"/>
    <m/>
    <m/>
    <x v="1"/>
    <n v="70807"/>
    <n v="2.7870530337550101"/>
    <d v="2016-01-09T13:14:37"/>
    <n v="15.35"/>
    <x v="379"/>
    <n v="1"/>
    <n v="2.2999999999999998"/>
    <n v="0"/>
    <n v="0"/>
    <n v="2.2999999999999998"/>
    <x v="366"/>
    <x v="0"/>
    <x v="395"/>
    <x v="227"/>
    <n v="14"/>
    <e v="#N/A"/>
    <e v="#N/A"/>
  </r>
  <r>
    <n v="795"/>
    <d v="2016-01-09T12:38:04"/>
    <d v="2016-01-09T12:53:05"/>
    <x v="2"/>
    <m/>
    <m/>
    <x v="0"/>
    <n v="70805"/>
    <n v="0"/>
    <d v="2016-01-09T12:56:02"/>
    <n v="11.59"/>
    <x v="102"/>
    <n v="1"/>
    <n v="1.7"/>
    <n v="0"/>
    <n v="0"/>
    <n v="1.7"/>
    <x v="0"/>
    <x v="0"/>
    <x v="0"/>
    <x v="0"/>
    <n v="10"/>
    <e v="#N/A"/>
    <e v="#N/A"/>
  </r>
  <r>
    <n v="796"/>
    <d v="2016-01-09T12:15:32"/>
    <d v="2016-01-09T12:30:31"/>
    <x v="1"/>
    <m/>
    <m/>
    <x v="1"/>
    <n v="70804"/>
    <n v="2.1820985834574702"/>
    <d v="2016-01-09T12:41:25"/>
    <n v="15.35"/>
    <x v="323"/>
    <n v="1"/>
    <n v="2.2999999999999998"/>
    <n v="0"/>
    <n v="0"/>
    <n v="2.2999999999999998"/>
    <x v="310"/>
    <x v="0"/>
    <x v="396"/>
    <x v="228"/>
    <n v="14"/>
    <e v="#N/A"/>
    <e v="#N/A"/>
  </r>
  <r>
    <n v="797"/>
    <d v="2016-01-09T11:30:59"/>
    <d v="2016-01-09T11:45:58"/>
    <x v="1"/>
    <m/>
    <m/>
    <x v="0"/>
    <n v="70805"/>
    <n v="0"/>
    <d v="2016-01-09T11:48:57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798"/>
    <d v="2016-01-09T10:45:18"/>
    <d v="2016-01-09T11:00:17"/>
    <x v="0"/>
    <m/>
    <m/>
    <x v="0"/>
    <n v="70803"/>
    <n v="0"/>
    <d v="2016-01-09T11:03:17"/>
    <n v="7.99"/>
    <x v="2"/>
    <n v="1"/>
    <n v="1"/>
    <n v="0"/>
    <n v="0"/>
    <n v="1"/>
    <x v="0"/>
    <x v="0"/>
    <x v="0"/>
    <x v="0"/>
    <n v="7"/>
    <e v="#N/A"/>
    <e v="#N/A"/>
  </r>
  <r>
    <n v="799"/>
    <d v="2016-01-09T11:53:02"/>
    <d v="2016-01-09T12:08:00"/>
    <x v="0"/>
    <m/>
    <m/>
    <x v="1"/>
    <n v="70803"/>
    <n v="3.1335743376275"/>
    <d v="2016-01-09T12:23:40"/>
    <n v="7.99"/>
    <x v="380"/>
    <n v="1"/>
    <n v="1"/>
    <n v="0"/>
    <n v="0"/>
    <n v="1"/>
    <x v="367"/>
    <x v="0"/>
    <x v="397"/>
    <x v="229"/>
    <n v="7"/>
    <e v="#N/A"/>
    <e v="#N/A"/>
  </r>
  <r>
    <n v="800"/>
    <d v="2016-01-09T11:54:47"/>
    <d v="2016-01-09T12:09:46"/>
    <x v="1"/>
    <m/>
    <m/>
    <x v="0"/>
    <n v="70807"/>
    <n v="0"/>
    <d v="2016-01-09T12:12:44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801"/>
    <d v="2016-01-09T10:55:23"/>
    <d v="2016-01-09T11:10:23"/>
    <x v="2"/>
    <m/>
    <m/>
    <x v="0"/>
    <n v="70804"/>
    <n v="0"/>
    <d v="2016-01-09T11:13:24"/>
    <n v="11.59"/>
    <x v="14"/>
    <n v="1"/>
    <n v="1.7"/>
    <n v="0"/>
    <n v="0"/>
    <n v="1.7"/>
    <x v="0"/>
    <x v="0"/>
    <x v="0"/>
    <x v="0"/>
    <n v="10"/>
    <e v="#N/A"/>
    <e v="#N/A"/>
  </r>
  <r>
    <n v="802"/>
    <d v="2016-01-09T12:33:52"/>
    <d v="2016-01-09T12:48:51"/>
    <x v="1"/>
    <m/>
    <m/>
    <x v="0"/>
    <n v="70805"/>
    <n v="0"/>
    <d v="2016-01-09T12:51:50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803"/>
    <d v="2016-01-09T11:39:57"/>
    <d v="2016-01-09T11:54:56"/>
    <x v="1"/>
    <m/>
    <m/>
    <x v="0"/>
    <n v="70805"/>
    <n v="0"/>
    <d v="2016-01-09T11:57:57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804"/>
    <d v="2016-01-09T10:40:26"/>
    <d v="2016-01-09T10:55:26"/>
    <x v="0"/>
    <m/>
    <m/>
    <x v="0"/>
    <n v="70805"/>
    <n v="0"/>
    <d v="2016-01-09T10:58:27"/>
    <n v="7.99"/>
    <x v="56"/>
    <n v="1"/>
    <n v="1"/>
    <n v="0"/>
    <n v="0"/>
    <n v="1"/>
    <x v="0"/>
    <x v="0"/>
    <x v="0"/>
    <x v="0"/>
    <n v="7"/>
    <e v="#N/A"/>
    <e v="#N/A"/>
  </r>
  <r>
    <n v="805"/>
    <d v="2016-01-09T11:16:51"/>
    <d v="2016-01-09T11:31:51"/>
    <x v="1"/>
    <m/>
    <m/>
    <x v="0"/>
    <n v="70803"/>
    <n v="0"/>
    <d v="2016-01-09T11:34:50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806"/>
    <d v="2016-01-09T11:39:17"/>
    <d v="2016-01-09T11:54:15"/>
    <x v="2"/>
    <m/>
    <m/>
    <x v="0"/>
    <n v="70804"/>
    <n v="0"/>
    <d v="2016-01-09T11:57:12"/>
    <n v="11.59"/>
    <x v="102"/>
    <n v="1"/>
    <n v="1.7"/>
    <n v="0"/>
    <n v="0"/>
    <n v="1.7"/>
    <x v="0"/>
    <x v="0"/>
    <x v="0"/>
    <x v="0"/>
    <n v="10"/>
    <e v="#N/A"/>
    <e v="#N/A"/>
  </r>
  <r>
    <n v="807"/>
    <d v="2016-01-09T12:43:28"/>
    <d v="2016-01-09T12:58:29"/>
    <x v="1"/>
    <m/>
    <m/>
    <x v="1"/>
    <n v="70804"/>
    <n v="1.6507040634634"/>
    <d v="2016-01-09T13:06:44"/>
    <n v="15.35"/>
    <x v="381"/>
    <n v="1"/>
    <n v="2.2999999999999998"/>
    <n v="0"/>
    <n v="0"/>
    <n v="2.2999999999999998"/>
    <x v="368"/>
    <x v="0"/>
    <x v="398"/>
    <x v="230"/>
    <n v="14"/>
    <e v="#N/A"/>
    <e v="#N/A"/>
  </r>
  <r>
    <n v="808"/>
    <d v="2016-01-09T11:24:23"/>
    <d v="2016-01-09T11:39:22"/>
    <x v="2"/>
    <m/>
    <m/>
    <x v="0"/>
    <n v="70804"/>
    <n v="0"/>
    <d v="2016-01-09T11:42:23"/>
    <n v="11.59"/>
    <x v="14"/>
    <n v="1"/>
    <n v="1.7"/>
    <n v="0"/>
    <n v="0"/>
    <n v="1.7"/>
    <x v="0"/>
    <x v="0"/>
    <x v="0"/>
    <x v="0"/>
    <n v="10"/>
    <e v="#N/A"/>
    <e v="#N/A"/>
  </r>
  <r>
    <n v="809"/>
    <d v="2016-01-09T12:15:16"/>
    <d v="2016-01-09T12:30:17"/>
    <x v="0"/>
    <s v="Medium"/>
    <m/>
    <x v="1"/>
    <n v="70806"/>
    <n v="1.8168331140715599"/>
    <d v="2016-01-09T12:39:22"/>
    <n v="19.579999999999998"/>
    <x v="382"/>
    <n v="2"/>
    <n v="1"/>
    <n v="1.7"/>
    <n v="0"/>
    <n v="2.7"/>
    <x v="369"/>
    <x v="0"/>
    <x v="399"/>
    <x v="231"/>
    <n v="7"/>
    <n v="10"/>
    <e v="#N/A"/>
  </r>
  <r>
    <n v="810"/>
    <d v="2016-01-09T11:56:12"/>
    <d v="2016-01-09T12:11:12"/>
    <x v="0"/>
    <m/>
    <m/>
    <x v="0"/>
    <n v="70805"/>
    <n v="0"/>
    <d v="2016-01-09T12:14:11"/>
    <n v="7.99"/>
    <x v="1"/>
    <n v="1"/>
    <n v="1"/>
    <n v="0"/>
    <n v="0"/>
    <n v="1"/>
    <x v="0"/>
    <x v="0"/>
    <x v="0"/>
    <x v="0"/>
    <n v="7"/>
    <e v="#N/A"/>
    <e v="#N/A"/>
  </r>
  <r>
    <n v="811"/>
    <d v="2016-01-09T11:56:57"/>
    <d v="2016-01-09T12:11:56"/>
    <x v="0"/>
    <m/>
    <m/>
    <x v="1"/>
    <n v="70806"/>
    <n v="3.3255700704236801"/>
    <d v="2016-01-09T12:28:33"/>
    <n v="7.99"/>
    <x v="383"/>
    <n v="1"/>
    <n v="1"/>
    <n v="0"/>
    <n v="0"/>
    <n v="1"/>
    <x v="370"/>
    <x v="1"/>
    <x v="400"/>
    <x v="0"/>
    <n v="7"/>
    <e v="#N/A"/>
    <e v="#N/A"/>
  </r>
  <r>
    <n v="812"/>
    <d v="2016-01-09T11:32:28"/>
    <d v="2016-01-09T11:47:28"/>
    <x v="1"/>
    <m/>
    <m/>
    <x v="0"/>
    <n v="70806"/>
    <n v="0"/>
    <d v="2016-01-09T11:50:28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813"/>
    <d v="2016-01-09T11:11:49"/>
    <d v="2016-01-09T11:26:47"/>
    <x v="1"/>
    <m/>
    <m/>
    <x v="0"/>
    <n v="70805"/>
    <n v="0"/>
    <d v="2016-01-09T11:29:46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814"/>
    <d v="2016-01-09T11:35:13"/>
    <d v="2016-01-09T11:50:11"/>
    <x v="1"/>
    <m/>
    <m/>
    <x v="1"/>
    <n v="70804"/>
    <n v="4.0682276476745196"/>
    <d v="2016-01-09T12:10:31"/>
    <n v="15.35"/>
    <x v="179"/>
    <n v="1"/>
    <n v="2.2999999999999998"/>
    <n v="0"/>
    <n v="0"/>
    <n v="2.2999999999999998"/>
    <x v="167"/>
    <x v="1"/>
    <x v="401"/>
    <x v="0"/>
    <n v="14"/>
    <e v="#N/A"/>
    <e v="#N/A"/>
  </r>
  <r>
    <n v="815"/>
    <d v="2016-01-09T12:35:09"/>
    <d v="2016-01-09T12:50:08"/>
    <x v="1"/>
    <m/>
    <m/>
    <x v="0"/>
    <n v="70806"/>
    <n v="0"/>
    <d v="2016-01-09T12:53:09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816"/>
    <d v="2016-01-09T11:41:24"/>
    <d v="2016-01-09T11:56:23"/>
    <x v="1"/>
    <m/>
    <m/>
    <x v="1"/>
    <n v="70804"/>
    <n v="3.5826013878459801"/>
    <d v="2016-01-09T12:14:17"/>
    <n v="15.35"/>
    <x v="384"/>
    <n v="1"/>
    <n v="2.2999999999999998"/>
    <n v="0"/>
    <n v="0"/>
    <n v="2.2999999999999998"/>
    <x v="371"/>
    <x v="1"/>
    <x v="402"/>
    <x v="0"/>
    <n v="14"/>
    <e v="#N/A"/>
    <e v="#N/A"/>
  </r>
  <r>
    <n v="817"/>
    <d v="2016-01-09T10:17:05"/>
    <d v="2016-01-09T10:32:03"/>
    <x v="0"/>
    <s v="Medium"/>
    <m/>
    <x v="1"/>
    <n v="70805"/>
    <n v="2.3815963935611899"/>
    <d v="2016-01-09T10:43:57"/>
    <n v="19.579999999999998"/>
    <x v="73"/>
    <n v="2"/>
    <n v="1"/>
    <n v="1.7"/>
    <n v="0"/>
    <n v="2.7"/>
    <x v="64"/>
    <x v="0"/>
    <x v="403"/>
    <x v="232"/>
    <n v="7"/>
    <n v="10"/>
    <e v="#N/A"/>
  </r>
  <r>
    <n v="818"/>
    <d v="2016-01-09T12:04:03"/>
    <d v="2016-01-09T12:19:03"/>
    <x v="0"/>
    <m/>
    <m/>
    <x v="1"/>
    <n v="70804"/>
    <n v="6.1274753357750704"/>
    <d v="2016-01-09T12:49:41"/>
    <n v="7.99"/>
    <x v="385"/>
    <n v="1"/>
    <n v="1"/>
    <n v="0"/>
    <n v="0"/>
    <n v="1"/>
    <x v="372"/>
    <x v="1"/>
    <x v="404"/>
    <x v="0"/>
    <n v="7"/>
    <e v="#N/A"/>
    <e v="#N/A"/>
  </r>
  <r>
    <n v="819"/>
    <d v="2016-01-09T12:17:18"/>
    <d v="2016-01-09T12:32:16"/>
    <x v="0"/>
    <m/>
    <m/>
    <x v="1"/>
    <n v="70806"/>
    <n v="3.8217806096537501"/>
    <d v="2016-01-09T12:51:22"/>
    <n v="7.99"/>
    <x v="386"/>
    <n v="1"/>
    <n v="1"/>
    <n v="0"/>
    <n v="0"/>
    <n v="1"/>
    <x v="373"/>
    <x v="1"/>
    <x v="405"/>
    <x v="0"/>
    <n v="7"/>
    <e v="#N/A"/>
    <e v="#N/A"/>
  </r>
  <r>
    <n v="820"/>
    <d v="2016-01-09T14:09:37"/>
    <d v="2016-01-09T14:24:37"/>
    <x v="0"/>
    <m/>
    <m/>
    <x v="1"/>
    <n v="70807"/>
    <n v="3.0123519132261101"/>
    <d v="2016-01-09T14:39:40"/>
    <n v="7.99"/>
    <x v="387"/>
    <n v="1"/>
    <n v="1"/>
    <n v="0"/>
    <n v="0"/>
    <n v="1"/>
    <x v="374"/>
    <x v="0"/>
    <x v="406"/>
    <x v="233"/>
    <n v="7"/>
    <e v="#N/A"/>
    <e v="#N/A"/>
  </r>
  <r>
    <n v="821"/>
    <d v="2016-01-09T10:24:36"/>
    <d v="2016-01-09T10:39:35"/>
    <x v="0"/>
    <s v="Large"/>
    <m/>
    <x v="0"/>
    <n v="70803"/>
    <n v="0"/>
    <d v="2016-01-09T10:42:35"/>
    <n v="23.34"/>
    <x v="2"/>
    <n v="2"/>
    <n v="1"/>
    <n v="2.2999999999999998"/>
    <n v="0"/>
    <n v="3.3"/>
    <x v="0"/>
    <x v="0"/>
    <x v="0"/>
    <x v="0"/>
    <n v="7"/>
    <n v="14"/>
    <e v="#N/A"/>
  </r>
  <r>
    <n v="822"/>
    <d v="2016-01-09T10:23:24"/>
    <d v="2016-01-09T10:38:24"/>
    <x v="2"/>
    <m/>
    <m/>
    <x v="0"/>
    <n v="70805"/>
    <n v="0"/>
    <d v="2016-01-09T10:41:24"/>
    <n v="11.59"/>
    <x v="2"/>
    <n v="1"/>
    <n v="1.7"/>
    <n v="0"/>
    <n v="0"/>
    <n v="1.7"/>
    <x v="0"/>
    <x v="0"/>
    <x v="0"/>
    <x v="0"/>
    <n v="10"/>
    <e v="#N/A"/>
    <e v="#N/A"/>
  </r>
  <r>
    <n v="823"/>
    <d v="2016-01-09T12:43:00"/>
    <d v="2016-01-09T12:57:59"/>
    <x v="1"/>
    <m/>
    <m/>
    <x v="1"/>
    <n v="70806"/>
    <n v="5.8854886083103501"/>
    <d v="2016-01-09T13:27:24"/>
    <n v="15.35"/>
    <x v="388"/>
    <n v="1"/>
    <n v="2.2999999999999998"/>
    <n v="0"/>
    <n v="0"/>
    <n v="2.2999999999999998"/>
    <x v="375"/>
    <x v="1"/>
    <x v="407"/>
    <x v="0"/>
    <n v="14"/>
    <e v="#N/A"/>
    <e v="#N/A"/>
  </r>
  <r>
    <n v="824"/>
    <d v="2016-01-09T10:21:08"/>
    <d v="2016-01-09T10:36:07"/>
    <x v="1"/>
    <m/>
    <m/>
    <x v="0"/>
    <n v="70806"/>
    <n v="0"/>
    <d v="2016-01-09T10:39:05"/>
    <n v="15.35"/>
    <x v="19"/>
    <n v="1"/>
    <n v="2.2999999999999998"/>
    <n v="0"/>
    <n v="0"/>
    <n v="2.2999999999999998"/>
    <x v="0"/>
    <x v="0"/>
    <x v="0"/>
    <x v="0"/>
    <n v="14"/>
    <e v="#N/A"/>
    <e v="#N/A"/>
  </r>
  <r>
    <n v="825"/>
    <d v="2016-01-09T13:16:52"/>
    <d v="2016-01-09T13:31:50"/>
    <x v="2"/>
    <m/>
    <m/>
    <x v="1"/>
    <n v="70804"/>
    <n v="0.86531988152275296"/>
    <d v="2016-01-09T13:36:09"/>
    <n v="11.59"/>
    <x v="389"/>
    <n v="1"/>
    <n v="1.7"/>
    <n v="0"/>
    <n v="0"/>
    <n v="1.7"/>
    <x v="376"/>
    <x v="0"/>
    <x v="408"/>
    <x v="234"/>
    <n v="10"/>
    <e v="#N/A"/>
    <e v="#N/A"/>
  </r>
  <r>
    <n v="826"/>
    <d v="2016-01-09T12:51:13"/>
    <d v="2016-01-09T13:06:12"/>
    <x v="0"/>
    <s v="Large"/>
    <m/>
    <x v="1"/>
    <n v="70806"/>
    <n v="4.0281283546124298"/>
    <d v="2016-01-09T13:26:20"/>
    <n v="23.34"/>
    <x v="390"/>
    <n v="2"/>
    <n v="1"/>
    <n v="2.2999999999999998"/>
    <n v="0"/>
    <n v="3.3"/>
    <x v="377"/>
    <x v="1"/>
    <x v="409"/>
    <x v="0"/>
    <n v="7"/>
    <n v="14"/>
    <e v="#N/A"/>
  </r>
  <r>
    <n v="827"/>
    <d v="2016-01-09T10:43:21"/>
    <d v="2016-01-09T10:58:20"/>
    <x v="0"/>
    <m/>
    <m/>
    <x v="0"/>
    <n v="70807"/>
    <n v="0"/>
    <d v="2016-01-09T11:01:18"/>
    <n v="7.99"/>
    <x v="0"/>
    <n v="1"/>
    <n v="1"/>
    <n v="0"/>
    <n v="0"/>
    <n v="1"/>
    <x v="0"/>
    <x v="0"/>
    <x v="0"/>
    <x v="0"/>
    <n v="7"/>
    <e v="#N/A"/>
    <e v="#N/A"/>
  </r>
  <r>
    <n v="828"/>
    <d v="2016-01-09T11:27:37"/>
    <d v="2016-01-09T11:42:36"/>
    <x v="1"/>
    <m/>
    <m/>
    <x v="1"/>
    <n v="70805"/>
    <n v="4.6927831425776096"/>
    <d v="2016-01-09T12:06:03"/>
    <n v="15.35"/>
    <x v="391"/>
    <n v="1"/>
    <n v="2.2999999999999998"/>
    <n v="0"/>
    <n v="0"/>
    <n v="2.2999999999999998"/>
    <x v="378"/>
    <x v="1"/>
    <x v="410"/>
    <x v="0"/>
    <n v="14"/>
    <e v="#N/A"/>
    <e v="#N/A"/>
  </r>
  <r>
    <n v="829"/>
    <d v="2016-01-09T11:18:59"/>
    <d v="2016-01-09T11:33:58"/>
    <x v="0"/>
    <s v="Large"/>
    <m/>
    <x v="0"/>
    <n v="70803"/>
    <n v="0"/>
    <d v="2016-01-09T11:36:56"/>
    <n v="23.34"/>
    <x v="0"/>
    <n v="2"/>
    <n v="1"/>
    <n v="2.2999999999999998"/>
    <n v="0"/>
    <n v="3.3"/>
    <x v="0"/>
    <x v="0"/>
    <x v="0"/>
    <x v="0"/>
    <n v="7"/>
    <n v="14"/>
    <e v="#N/A"/>
  </r>
  <r>
    <n v="830"/>
    <d v="2016-01-09T12:54:39"/>
    <d v="2016-01-09T13:09:38"/>
    <x v="2"/>
    <m/>
    <m/>
    <x v="1"/>
    <n v="70804"/>
    <n v="1.7332172622714499"/>
    <d v="2016-01-09T13:18:17"/>
    <n v="11.59"/>
    <x v="330"/>
    <n v="1"/>
    <n v="1.7"/>
    <n v="0"/>
    <n v="0"/>
    <n v="1.7"/>
    <x v="317"/>
    <x v="0"/>
    <x v="411"/>
    <x v="235"/>
    <n v="10"/>
    <e v="#N/A"/>
    <e v="#N/A"/>
  </r>
  <r>
    <n v="831"/>
    <d v="2016-01-09T11:42:36"/>
    <d v="2016-01-09T11:57:35"/>
    <x v="1"/>
    <m/>
    <m/>
    <x v="1"/>
    <n v="70806"/>
    <n v="2.46126570697818"/>
    <d v="2016-01-09T12:09:53"/>
    <n v="15.35"/>
    <x v="392"/>
    <n v="1"/>
    <n v="2.2999999999999998"/>
    <n v="0"/>
    <n v="0"/>
    <n v="2.2999999999999998"/>
    <x v="379"/>
    <x v="0"/>
    <x v="412"/>
    <x v="236"/>
    <n v="14"/>
    <e v="#N/A"/>
    <e v="#N/A"/>
  </r>
  <r>
    <n v="832"/>
    <d v="2016-01-09T13:02:37"/>
    <d v="2016-01-09T13:17:39"/>
    <x v="0"/>
    <s v="Medium"/>
    <m/>
    <x v="1"/>
    <n v="70805"/>
    <n v="3.2476728502336698"/>
    <d v="2016-01-09T13:33:53"/>
    <n v="19.579999999999998"/>
    <x v="393"/>
    <n v="2"/>
    <n v="1"/>
    <n v="1.7"/>
    <n v="0"/>
    <n v="2.7"/>
    <x v="380"/>
    <x v="1"/>
    <x v="413"/>
    <x v="0"/>
    <n v="7"/>
    <n v="10"/>
    <e v="#N/A"/>
  </r>
  <r>
    <n v="833"/>
    <d v="2016-01-09T13:29:40"/>
    <d v="2016-01-09T13:44:41"/>
    <x v="2"/>
    <m/>
    <m/>
    <x v="0"/>
    <n v="70805"/>
    <n v="0"/>
    <d v="2016-01-09T13:47:41"/>
    <n v="11.59"/>
    <x v="2"/>
    <n v="1"/>
    <n v="1.7"/>
    <n v="0"/>
    <n v="0"/>
    <n v="1.7"/>
    <x v="0"/>
    <x v="0"/>
    <x v="0"/>
    <x v="0"/>
    <n v="10"/>
    <e v="#N/A"/>
    <e v="#N/A"/>
  </r>
  <r>
    <n v="834"/>
    <d v="2016-01-09T11:07:00"/>
    <d v="2016-01-09T11:21:58"/>
    <x v="0"/>
    <s v="Medium"/>
    <m/>
    <x v="0"/>
    <n v="70804"/>
    <n v="0"/>
    <d v="2016-01-09T11:24:55"/>
    <n v="19.579999999999998"/>
    <x v="102"/>
    <n v="2"/>
    <n v="1"/>
    <n v="1.7"/>
    <n v="0"/>
    <n v="2.7"/>
    <x v="0"/>
    <x v="0"/>
    <x v="0"/>
    <x v="0"/>
    <n v="7"/>
    <n v="10"/>
    <e v="#N/A"/>
  </r>
  <r>
    <n v="835"/>
    <d v="2016-01-09T12:03:59"/>
    <d v="2016-01-09T12:18:59"/>
    <x v="0"/>
    <m/>
    <m/>
    <x v="1"/>
    <n v="70804"/>
    <n v="3.14186495215823"/>
    <d v="2016-01-09T12:34:41"/>
    <n v="7.99"/>
    <x v="394"/>
    <n v="1"/>
    <n v="1"/>
    <n v="0"/>
    <n v="0"/>
    <n v="1"/>
    <x v="381"/>
    <x v="0"/>
    <x v="414"/>
    <x v="237"/>
    <n v="7"/>
    <e v="#N/A"/>
    <e v="#N/A"/>
  </r>
  <r>
    <n v="836"/>
    <d v="2016-01-09T10:09:01"/>
    <d v="2016-01-09T10:24:01"/>
    <x v="0"/>
    <s v="Medium"/>
    <m/>
    <x v="0"/>
    <n v="70803"/>
    <n v="0"/>
    <d v="2016-01-09T10:27:01"/>
    <n v="19.579999999999998"/>
    <x v="63"/>
    <n v="2"/>
    <n v="1"/>
    <n v="1.7"/>
    <n v="0"/>
    <n v="2.7"/>
    <x v="0"/>
    <x v="0"/>
    <x v="0"/>
    <x v="0"/>
    <n v="7"/>
    <n v="10"/>
    <e v="#N/A"/>
  </r>
  <r>
    <n v="837"/>
    <d v="2016-01-09T12:17:12"/>
    <d v="2016-01-09T12:32:12"/>
    <x v="1"/>
    <m/>
    <m/>
    <x v="0"/>
    <n v="70806"/>
    <n v="0"/>
    <d v="2016-01-09T12:35:12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838"/>
    <d v="2016-01-09T11:54:25"/>
    <d v="2016-01-09T12:09:24"/>
    <x v="2"/>
    <m/>
    <m/>
    <x v="1"/>
    <n v="70805"/>
    <n v="2.8480393256986098"/>
    <d v="2016-01-09T12:23:38"/>
    <n v="11.59"/>
    <x v="395"/>
    <n v="1"/>
    <n v="1.7"/>
    <n v="0"/>
    <n v="0"/>
    <n v="1.7"/>
    <x v="382"/>
    <x v="0"/>
    <x v="415"/>
    <x v="238"/>
    <n v="10"/>
    <e v="#N/A"/>
    <e v="#N/A"/>
  </r>
  <r>
    <n v="839"/>
    <d v="2016-01-09T13:24:28"/>
    <d v="2016-01-09T13:39:26"/>
    <x v="0"/>
    <s v="Medium"/>
    <m/>
    <x v="1"/>
    <n v="70803"/>
    <n v="4.8086607524304199"/>
    <d v="2016-01-09T14:03:28"/>
    <n v="19.579999999999998"/>
    <x v="396"/>
    <n v="2"/>
    <n v="1"/>
    <n v="1.7"/>
    <n v="0"/>
    <n v="2.7"/>
    <x v="383"/>
    <x v="1"/>
    <x v="416"/>
    <x v="0"/>
    <n v="7"/>
    <n v="10"/>
    <e v="#N/A"/>
  </r>
  <r>
    <n v="840"/>
    <d v="2016-01-09T12:03:38"/>
    <d v="2016-01-09T12:18:37"/>
    <x v="0"/>
    <s v="Medium"/>
    <m/>
    <x v="1"/>
    <n v="70805"/>
    <n v="1.74704983030379"/>
    <d v="2016-01-09T12:27:21"/>
    <n v="19.579999999999998"/>
    <x v="397"/>
    <n v="2"/>
    <n v="1"/>
    <n v="1.7"/>
    <n v="0"/>
    <n v="2.7"/>
    <x v="384"/>
    <x v="0"/>
    <x v="417"/>
    <x v="239"/>
    <n v="7"/>
    <n v="10"/>
    <e v="#N/A"/>
  </r>
  <r>
    <n v="841"/>
    <d v="2016-01-09T12:30:20"/>
    <d v="2016-01-09T12:45:19"/>
    <x v="0"/>
    <s v="Medium"/>
    <m/>
    <x v="0"/>
    <n v="70806"/>
    <n v="0"/>
    <d v="2016-01-09T12:48:20"/>
    <n v="19.579999999999998"/>
    <x v="14"/>
    <n v="2"/>
    <n v="1"/>
    <n v="1.7"/>
    <n v="0"/>
    <n v="2.7"/>
    <x v="0"/>
    <x v="0"/>
    <x v="0"/>
    <x v="0"/>
    <n v="7"/>
    <n v="10"/>
    <e v="#N/A"/>
  </r>
  <r>
    <n v="842"/>
    <d v="2016-01-09T13:40:41"/>
    <d v="2016-01-09T13:55:41"/>
    <x v="2"/>
    <m/>
    <m/>
    <x v="0"/>
    <n v="70806"/>
    <n v="0"/>
    <d v="2016-01-09T13:58:40"/>
    <n v="11.59"/>
    <x v="24"/>
    <n v="1"/>
    <n v="1.7"/>
    <n v="0"/>
    <n v="0"/>
    <n v="1.7"/>
    <x v="0"/>
    <x v="0"/>
    <x v="0"/>
    <x v="0"/>
    <n v="10"/>
    <e v="#N/A"/>
    <e v="#N/A"/>
  </r>
  <r>
    <n v="843"/>
    <d v="2016-01-09T10:31:24"/>
    <d v="2016-01-09T10:46:23"/>
    <x v="0"/>
    <m/>
    <m/>
    <x v="1"/>
    <n v="70806"/>
    <n v="1.7538188821176901"/>
    <d v="2016-01-09T10:55:09"/>
    <n v="7.99"/>
    <x v="398"/>
    <n v="1"/>
    <n v="1"/>
    <n v="0"/>
    <n v="0"/>
    <n v="1"/>
    <x v="385"/>
    <x v="0"/>
    <x v="418"/>
    <x v="240"/>
    <n v="7"/>
    <e v="#N/A"/>
    <e v="#N/A"/>
  </r>
  <r>
    <n v="844"/>
    <d v="2016-01-09T11:51:26"/>
    <d v="2016-01-09T12:06:26"/>
    <x v="0"/>
    <m/>
    <m/>
    <x v="0"/>
    <n v="70804"/>
    <n v="0"/>
    <d v="2016-01-09T12:09:24"/>
    <n v="7.99"/>
    <x v="0"/>
    <n v="1"/>
    <n v="1"/>
    <n v="0"/>
    <n v="0"/>
    <n v="1"/>
    <x v="0"/>
    <x v="0"/>
    <x v="0"/>
    <x v="0"/>
    <n v="7"/>
    <e v="#N/A"/>
    <e v="#N/A"/>
  </r>
  <r>
    <n v="845"/>
    <d v="2016-01-09T11:59:07"/>
    <d v="2016-01-09T12:14:07"/>
    <x v="2"/>
    <m/>
    <m/>
    <x v="0"/>
    <n v="70805"/>
    <n v="0"/>
    <d v="2016-01-09T12:17:07"/>
    <n v="11.59"/>
    <x v="2"/>
    <n v="1"/>
    <n v="1.7"/>
    <n v="0"/>
    <n v="0"/>
    <n v="1.7"/>
    <x v="0"/>
    <x v="0"/>
    <x v="0"/>
    <x v="0"/>
    <n v="10"/>
    <e v="#N/A"/>
    <e v="#N/A"/>
  </r>
  <r>
    <n v="846"/>
    <d v="2016-01-09T12:40:16"/>
    <d v="2016-01-09T12:55:16"/>
    <x v="2"/>
    <m/>
    <m/>
    <x v="1"/>
    <n v="70803"/>
    <n v="5.3887251510513297"/>
    <d v="2016-01-09T13:22:12"/>
    <n v="11.59"/>
    <x v="399"/>
    <n v="1"/>
    <n v="1.7"/>
    <n v="0"/>
    <n v="0"/>
    <n v="1.7"/>
    <x v="386"/>
    <x v="1"/>
    <x v="419"/>
    <x v="0"/>
    <n v="10"/>
    <e v="#N/A"/>
    <e v="#N/A"/>
  </r>
  <r>
    <n v="847"/>
    <d v="2016-01-10T11:51:37"/>
    <d v="2016-01-10T12:06:36"/>
    <x v="2"/>
    <m/>
    <m/>
    <x v="1"/>
    <n v="70805"/>
    <n v="2.8069874550129001"/>
    <d v="2016-01-10T12:20:38"/>
    <n v="11.59"/>
    <x v="400"/>
    <n v="1"/>
    <n v="1.7"/>
    <n v="0"/>
    <n v="0"/>
    <n v="1.7"/>
    <x v="387"/>
    <x v="0"/>
    <x v="420"/>
    <x v="241"/>
    <n v="10"/>
    <e v="#N/A"/>
    <e v="#N/A"/>
  </r>
  <r>
    <n v="848"/>
    <d v="2016-01-10T13:25:18"/>
    <d v="2016-01-10T13:40:18"/>
    <x v="1"/>
    <m/>
    <m/>
    <x v="0"/>
    <n v="70807"/>
    <n v="0"/>
    <d v="2016-01-10T13:43:18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849"/>
    <d v="2016-01-10T10:52:53"/>
    <d v="2016-01-10T11:07:53"/>
    <x v="0"/>
    <m/>
    <m/>
    <x v="0"/>
    <n v="70804"/>
    <n v="0"/>
    <d v="2016-01-10T11:10:53"/>
    <n v="7.99"/>
    <x v="2"/>
    <n v="1"/>
    <n v="1"/>
    <n v="0"/>
    <n v="0"/>
    <n v="1"/>
    <x v="0"/>
    <x v="0"/>
    <x v="0"/>
    <x v="0"/>
    <n v="7"/>
    <e v="#N/A"/>
    <e v="#N/A"/>
  </r>
  <r>
    <n v="850"/>
    <d v="2016-01-10T13:34:23"/>
    <d v="2016-01-10T13:49:24"/>
    <x v="1"/>
    <m/>
    <m/>
    <x v="1"/>
    <n v="70805"/>
    <n v="3.68547671574817"/>
    <d v="2016-01-10T14:07:49"/>
    <n v="15.35"/>
    <x v="401"/>
    <n v="1"/>
    <n v="2.2999999999999998"/>
    <n v="0"/>
    <n v="0"/>
    <n v="2.2999999999999998"/>
    <x v="388"/>
    <x v="1"/>
    <x v="421"/>
    <x v="0"/>
    <n v="14"/>
    <e v="#N/A"/>
    <e v="#N/A"/>
  </r>
  <r>
    <n v="851"/>
    <d v="2016-01-10T11:30:46"/>
    <d v="2016-01-10T11:45:45"/>
    <x v="0"/>
    <s v="Medium"/>
    <m/>
    <x v="1"/>
    <n v="70807"/>
    <n v="4.3980272128297999"/>
    <d v="2016-01-10T12:07:44"/>
    <n v="19.579999999999998"/>
    <x v="402"/>
    <n v="2"/>
    <n v="1"/>
    <n v="1.7"/>
    <n v="0"/>
    <n v="2.7"/>
    <x v="389"/>
    <x v="1"/>
    <x v="422"/>
    <x v="0"/>
    <n v="7"/>
    <n v="10"/>
    <e v="#N/A"/>
  </r>
  <r>
    <n v="852"/>
    <d v="2016-01-10T12:11:52"/>
    <d v="2016-01-10T12:26:51"/>
    <x v="0"/>
    <s v="Medium"/>
    <m/>
    <x v="1"/>
    <n v="70806"/>
    <n v="2.4182480340558401"/>
    <d v="2016-01-10T12:38:56"/>
    <n v="19.579999999999998"/>
    <x v="403"/>
    <n v="2"/>
    <n v="1"/>
    <n v="1.7"/>
    <n v="0"/>
    <n v="2.7"/>
    <x v="390"/>
    <x v="0"/>
    <x v="423"/>
    <x v="242"/>
    <n v="7"/>
    <n v="10"/>
    <e v="#N/A"/>
  </r>
  <r>
    <n v="853"/>
    <d v="2016-01-10T13:11:54"/>
    <d v="2016-01-10T13:26:52"/>
    <x v="0"/>
    <s v="Medium"/>
    <s v="Large"/>
    <x v="1"/>
    <n v="70804"/>
    <n v="2.9373704764113802"/>
    <d v="2016-01-10T13:41:33"/>
    <n v="33.93"/>
    <x v="404"/>
    <n v="3"/>
    <n v="1"/>
    <n v="1.7"/>
    <n v="2.2999999999999998"/>
    <n v="5"/>
    <x v="391"/>
    <x v="0"/>
    <x v="424"/>
    <x v="243"/>
    <n v="7"/>
    <n v="10"/>
    <n v="14"/>
  </r>
  <r>
    <n v="854"/>
    <d v="2016-01-10T11:29:51"/>
    <d v="2016-01-10T11:44:50"/>
    <x v="0"/>
    <s v="Medium"/>
    <m/>
    <x v="1"/>
    <n v="70805"/>
    <n v="2.5761821611095201"/>
    <d v="2016-01-10T11:57:42"/>
    <n v="19.579999999999998"/>
    <x v="16"/>
    <n v="2"/>
    <n v="1"/>
    <n v="1.7"/>
    <n v="0"/>
    <n v="2.7"/>
    <x v="13"/>
    <x v="0"/>
    <x v="425"/>
    <x v="244"/>
    <n v="7"/>
    <n v="10"/>
    <e v="#N/A"/>
  </r>
  <r>
    <n v="855"/>
    <d v="2016-01-10T12:40:07"/>
    <d v="2016-01-10T12:55:07"/>
    <x v="2"/>
    <m/>
    <m/>
    <x v="1"/>
    <n v="70803"/>
    <n v="4.5175073631567599"/>
    <d v="2016-01-10T13:17:42"/>
    <n v="11.59"/>
    <x v="405"/>
    <n v="1"/>
    <n v="1.7"/>
    <n v="0"/>
    <n v="0"/>
    <n v="1.7"/>
    <x v="392"/>
    <x v="1"/>
    <x v="426"/>
    <x v="0"/>
    <n v="10"/>
    <e v="#N/A"/>
    <e v="#N/A"/>
  </r>
  <r>
    <n v="856"/>
    <d v="2016-01-10T11:34:42"/>
    <d v="2016-01-10T11:49:41"/>
    <x v="1"/>
    <m/>
    <m/>
    <x v="1"/>
    <n v="70805"/>
    <n v="4.2532017188839504"/>
    <d v="2016-01-10T12:10:56"/>
    <n v="15.35"/>
    <x v="406"/>
    <n v="1"/>
    <n v="2.2999999999999998"/>
    <n v="0"/>
    <n v="0"/>
    <n v="2.2999999999999998"/>
    <x v="393"/>
    <x v="1"/>
    <x v="427"/>
    <x v="0"/>
    <n v="14"/>
    <e v="#N/A"/>
    <e v="#N/A"/>
  </r>
  <r>
    <n v="857"/>
    <d v="2016-01-10T11:37:49"/>
    <d v="2016-01-10T11:52:47"/>
    <x v="2"/>
    <m/>
    <m/>
    <x v="1"/>
    <n v="70807"/>
    <n v="1.93227988850185"/>
    <d v="2016-01-10T12:02:26"/>
    <n v="11.59"/>
    <x v="407"/>
    <n v="1"/>
    <n v="1.7"/>
    <n v="0"/>
    <n v="0"/>
    <n v="1.7"/>
    <x v="394"/>
    <x v="0"/>
    <x v="428"/>
    <x v="245"/>
    <n v="10"/>
    <e v="#N/A"/>
    <e v="#N/A"/>
  </r>
  <r>
    <n v="858"/>
    <d v="2016-01-10T10:48:29"/>
    <d v="2016-01-10T11:03:29"/>
    <x v="0"/>
    <m/>
    <m/>
    <x v="0"/>
    <n v="70805"/>
    <n v="0"/>
    <d v="2016-01-10T11:06:29"/>
    <n v="7.99"/>
    <x v="2"/>
    <n v="1"/>
    <n v="1"/>
    <n v="0"/>
    <n v="0"/>
    <n v="1"/>
    <x v="0"/>
    <x v="0"/>
    <x v="0"/>
    <x v="0"/>
    <n v="7"/>
    <e v="#N/A"/>
    <e v="#N/A"/>
  </r>
  <r>
    <n v="859"/>
    <d v="2016-01-10T10:16:19"/>
    <d v="2016-01-10T10:31:16"/>
    <x v="2"/>
    <m/>
    <m/>
    <x v="0"/>
    <n v="70805"/>
    <n v="0"/>
    <d v="2016-01-10T10:34:16"/>
    <n v="11.59"/>
    <x v="2"/>
    <n v="1"/>
    <n v="1.7"/>
    <n v="0"/>
    <n v="0"/>
    <n v="1.7"/>
    <x v="0"/>
    <x v="0"/>
    <x v="0"/>
    <x v="0"/>
    <n v="10"/>
    <e v="#N/A"/>
    <e v="#N/A"/>
  </r>
  <r>
    <n v="860"/>
    <d v="2016-01-10T13:26:02"/>
    <d v="2016-01-10T13:41:01"/>
    <x v="1"/>
    <m/>
    <m/>
    <x v="0"/>
    <n v="70805"/>
    <n v="0"/>
    <d v="2016-01-10T13:44:00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861"/>
    <d v="2016-01-10T10:29:39"/>
    <d v="2016-01-10T10:44:38"/>
    <x v="1"/>
    <m/>
    <m/>
    <x v="1"/>
    <n v="70805"/>
    <n v="1.96620491700108"/>
    <d v="2016-01-10T10:54:27"/>
    <n v="15.35"/>
    <x v="408"/>
    <n v="1"/>
    <n v="2.2999999999999998"/>
    <n v="0"/>
    <n v="0"/>
    <n v="2.2999999999999998"/>
    <x v="395"/>
    <x v="0"/>
    <x v="429"/>
    <x v="246"/>
    <n v="14"/>
    <e v="#N/A"/>
    <e v="#N/A"/>
  </r>
  <r>
    <n v="862"/>
    <d v="2016-01-10T11:32:22"/>
    <d v="2016-01-10T11:47:21"/>
    <x v="1"/>
    <m/>
    <m/>
    <x v="0"/>
    <n v="70804"/>
    <n v="0"/>
    <d v="2016-01-10T11:50:21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863"/>
    <d v="2016-01-10T11:29:38"/>
    <d v="2016-01-10T11:44:39"/>
    <x v="1"/>
    <m/>
    <m/>
    <x v="1"/>
    <n v="70804"/>
    <n v="1.91410225616569"/>
    <d v="2016-01-10T11:54:13"/>
    <n v="15.35"/>
    <x v="409"/>
    <n v="1"/>
    <n v="2.2999999999999998"/>
    <n v="0"/>
    <n v="0"/>
    <n v="2.2999999999999998"/>
    <x v="396"/>
    <x v="0"/>
    <x v="430"/>
    <x v="247"/>
    <n v="14"/>
    <e v="#N/A"/>
    <e v="#N/A"/>
  </r>
  <r>
    <n v="864"/>
    <d v="2016-01-10T11:51:21"/>
    <d v="2016-01-10T12:06:21"/>
    <x v="2"/>
    <m/>
    <m/>
    <x v="0"/>
    <n v="70804"/>
    <n v="0"/>
    <d v="2016-01-10T12:09:21"/>
    <n v="11.59"/>
    <x v="2"/>
    <n v="1"/>
    <n v="1.7"/>
    <n v="0"/>
    <n v="0"/>
    <n v="1.7"/>
    <x v="0"/>
    <x v="0"/>
    <x v="0"/>
    <x v="0"/>
    <n v="10"/>
    <e v="#N/A"/>
    <e v="#N/A"/>
  </r>
  <r>
    <n v="865"/>
    <d v="2016-01-10T11:43:47"/>
    <d v="2016-01-10T11:58:45"/>
    <x v="1"/>
    <m/>
    <m/>
    <x v="1"/>
    <n v="70807"/>
    <n v="4.3532467782117603"/>
    <d v="2016-01-10T12:20:30"/>
    <n v="15.35"/>
    <x v="410"/>
    <n v="1"/>
    <n v="2.2999999999999998"/>
    <n v="0"/>
    <n v="0"/>
    <n v="2.2999999999999998"/>
    <x v="397"/>
    <x v="1"/>
    <x v="431"/>
    <x v="0"/>
    <n v="14"/>
    <e v="#N/A"/>
    <e v="#N/A"/>
  </r>
  <r>
    <n v="866"/>
    <d v="2016-01-10T11:38:33"/>
    <d v="2016-01-10T11:53:33"/>
    <x v="2"/>
    <m/>
    <m/>
    <x v="1"/>
    <n v="70807"/>
    <n v="2.3736965504682201"/>
    <d v="2016-01-10T12:05:25"/>
    <n v="11.59"/>
    <x v="29"/>
    <n v="1"/>
    <n v="1.7"/>
    <n v="0"/>
    <n v="0"/>
    <n v="1.7"/>
    <x v="23"/>
    <x v="0"/>
    <x v="432"/>
    <x v="248"/>
    <n v="10"/>
    <e v="#N/A"/>
    <e v="#N/A"/>
  </r>
  <r>
    <n v="867"/>
    <d v="2016-01-10T10:33:15"/>
    <d v="2016-01-10T10:48:15"/>
    <x v="0"/>
    <m/>
    <m/>
    <x v="1"/>
    <n v="70805"/>
    <n v="3.86548517847769"/>
    <d v="2016-01-10T11:07:34"/>
    <n v="7.99"/>
    <x v="411"/>
    <n v="1"/>
    <n v="1"/>
    <n v="0"/>
    <n v="0"/>
    <n v="1"/>
    <x v="398"/>
    <x v="1"/>
    <x v="433"/>
    <x v="0"/>
    <n v="7"/>
    <e v="#N/A"/>
    <e v="#N/A"/>
  </r>
  <r>
    <n v="868"/>
    <d v="2016-01-10T12:39:25"/>
    <d v="2016-01-10T12:54:25"/>
    <x v="0"/>
    <m/>
    <m/>
    <x v="0"/>
    <n v="70804"/>
    <n v="0"/>
    <d v="2016-01-10T12:57:22"/>
    <n v="7.99"/>
    <x v="102"/>
    <n v="1"/>
    <n v="1"/>
    <n v="0"/>
    <n v="0"/>
    <n v="1"/>
    <x v="0"/>
    <x v="0"/>
    <x v="0"/>
    <x v="0"/>
    <n v="7"/>
    <e v="#N/A"/>
    <e v="#N/A"/>
  </r>
  <r>
    <n v="869"/>
    <d v="2016-01-10T10:27:44"/>
    <d v="2016-01-10T10:42:43"/>
    <x v="2"/>
    <m/>
    <m/>
    <x v="0"/>
    <n v="70805"/>
    <n v="0"/>
    <d v="2016-01-10T10:45:42"/>
    <n v="11.59"/>
    <x v="1"/>
    <n v="1"/>
    <n v="1.7"/>
    <n v="0"/>
    <n v="0"/>
    <n v="1.7"/>
    <x v="0"/>
    <x v="0"/>
    <x v="0"/>
    <x v="0"/>
    <n v="10"/>
    <e v="#N/A"/>
    <e v="#N/A"/>
  </r>
  <r>
    <n v="870"/>
    <d v="2016-01-10T12:59:38"/>
    <d v="2016-01-10T13:14:38"/>
    <x v="0"/>
    <m/>
    <m/>
    <x v="1"/>
    <n v="70804"/>
    <n v="3.84249502025046"/>
    <d v="2016-01-10T13:33:50"/>
    <n v="7.99"/>
    <x v="412"/>
    <n v="1"/>
    <n v="1"/>
    <n v="0"/>
    <n v="0"/>
    <n v="1"/>
    <x v="399"/>
    <x v="1"/>
    <x v="434"/>
    <x v="0"/>
    <n v="7"/>
    <e v="#N/A"/>
    <e v="#N/A"/>
  </r>
  <r>
    <n v="871"/>
    <d v="2016-01-10T11:32:31"/>
    <d v="2016-01-10T11:47:32"/>
    <x v="2"/>
    <m/>
    <m/>
    <x v="0"/>
    <n v="70803"/>
    <n v="0"/>
    <d v="2016-01-10T11:50:31"/>
    <n v="11.59"/>
    <x v="1"/>
    <n v="1"/>
    <n v="1.7"/>
    <n v="0"/>
    <n v="0"/>
    <n v="1.7"/>
    <x v="0"/>
    <x v="0"/>
    <x v="0"/>
    <x v="0"/>
    <n v="10"/>
    <e v="#N/A"/>
    <e v="#N/A"/>
  </r>
  <r>
    <n v="872"/>
    <d v="2016-01-10T11:31:53"/>
    <d v="2016-01-10T11:46:53"/>
    <x v="0"/>
    <m/>
    <m/>
    <x v="1"/>
    <n v="70804"/>
    <n v="2.0548380071142902"/>
    <d v="2016-01-10T11:57:09"/>
    <n v="7.99"/>
    <x v="413"/>
    <n v="1"/>
    <n v="1"/>
    <n v="0"/>
    <n v="0"/>
    <n v="1"/>
    <x v="400"/>
    <x v="0"/>
    <x v="435"/>
    <x v="249"/>
    <n v="7"/>
    <e v="#N/A"/>
    <e v="#N/A"/>
  </r>
  <r>
    <n v="873"/>
    <d v="2016-01-10T11:16:33"/>
    <d v="2016-01-10T11:31:33"/>
    <x v="0"/>
    <s v="Medium"/>
    <m/>
    <x v="1"/>
    <n v="70805"/>
    <n v="4.1860693819960701"/>
    <d v="2016-01-10T11:52:28"/>
    <n v="19.579999999999998"/>
    <x v="414"/>
    <n v="2"/>
    <n v="1"/>
    <n v="1.7"/>
    <n v="0"/>
    <n v="2.7"/>
    <x v="401"/>
    <x v="1"/>
    <x v="436"/>
    <x v="0"/>
    <n v="7"/>
    <n v="10"/>
    <e v="#N/A"/>
  </r>
  <r>
    <n v="874"/>
    <d v="2016-01-10T13:45:08"/>
    <d v="2016-01-10T14:00:07"/>
    <x v="2"/>
    <m/>
    <m/>
    <x v="0"/>
    <n v="70806"/>
    <n v="0"/>
    <d v="2016-01-10T14:03:07"/>
    <n v="11.59"/>
    <x v="2"/>
    <n v="1"/>
    <n v="1.7"/>
    <n v="0"/>
    <n v="0"/>
    <n v="1.7"/>
    <x v="0"/>
    <x v="0"/>
    <x v="0"/>
    <x v="0"/>
    <n v="10"/>
    <e v="#N/A"/>
    <e v="#N/A"/>
  </r>
  <r>
    <n v="875"/>
    <d v="2016-01-10T11:32:23"/>
    <d v="2016-01-10T11:47:21"/>
    <x v="0"/>
    <s v="Large"/>
    <m/>
    <x v="1"/>
    <n v="70805"/>
    <n v="4.9485738443802001"/>
    <d v="2016-01-10T12:12:05"/>
    <n v="23.34"/>
    <x v="415"/>
    <n v="2"/>
    <n v="1"/>
    <n v="2.2999999999999998"/>
    <n v="0"/>
    <n v="3.3"/>
    <x v="402"/>
    <x v="1"/>
    <x v="437"/>
    <x v="0"/>
    <n v="7"/>
    <n v="14"/>
    <e v="#N/A"/>
  </r>
  <r>
    <n v="876"/>
    <d v="2016-01-10T11:48:53"/>
    <d v="2016-01-10T12:03:54"/>
    <x v="1"/>
    <m/>
    <m/>
    <x v="0"/>
    <n v="70806"/>
    <n v="0"/>
    <d v="2016-01-10T12:06:55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877"/>
    <d v="2016-01-10T12:31:03"/>
    <d v="2016-01-10T12:46:03"/>
    <x v="0"/>
    <s v="Medium"/>
    <m/>
    <x v="1"/>
    <n v="70805"/>
    <n v="3.6455596246731901"/>
    <d v="2016-01-10T13:04:16"/>
    <n v="19.579999999999998"/>
    <x v="416"/>
    <n v="2"/>
    <n v="1"/>
    <n v="1.7"/>
    <n v="0"/>
    <n v="2.7"/>
    <x v="403"/>
    <x v="1"/>
    <x v="438"/>
    <x v="0"/>
    <n v="7"/>
    <n v="10"/>
    <e v="#N/A"/>
  </r>
  <r>
    <n v="878"/>
    <d v="2016-01-10T13:26:20"/>
    <d v="2016-01-10T13:41:20"/>
    <x v="2"/>
    <m/>
    <m/>
    <x v="0"/>
    <n v="70806"/>
    <n v="0"/>
    <d v="2016-01-10T13:44:21"/>
    <n v="11.59"/>
    <x v="14"/>
    <n v="1"/>
    <n v="1.7"/>
    <n v="0"/>
    <n v="0"/>
    <n v="1.7"/>
    <x v="0"/>
    <x v="0"/>
    <x v="0"/>
    <x v="0"/>
    <n v="10"/>
    <e v="#N/A"/>
    <e v="#N/A"/>
  </r>
  <r>
    <n v="879"/>
    <d v="2016-01-10T11:39:05"/>
    <d v="2016-01-10T11:54:04"/>
    <x v="0"/>
    <m/>
    <m/>
    <x v="0"/>
    <n v="70805"/>
    <n v="0"/>
    <d v="2016-01-10T11:57:03"/>
    <n v="7.99"/>
    <x v="1"/>
    <n v="1"/>
    <n v="1"/>
    <n v="0"/>
    <n v="0"/>
    <n v="1"/>
    <x v="0"/>
    <x v="0"/>
    <x v="0"/>
    <x v="0"/>
    <n v="7"/>
    <e v="#N/A"/>
    <e v="#N/A"/>
  </r>
  <r>
    <n v="880"/>
    <d v="2016-01-10T11:17:25"/>
    <d v="2016-01-10T11:32:26"/>
    <x v="0"/>
    <s v="Large"/>
    <m/>
    <x v="1"/>
    <n v="70805"/>
    <n v="2.21162932189341"/>
    <d v="2016-01-10T11:43:29"/>
    <n v="23.34"/>
    <x v="417"/>
    <n v="2"/>
    <n v="1"/>
    <n v="2.2999999999999998"/>
    <n v="0"/>
    <n v="3.3"/>
    <x v="404"/>
    <x v="0"/>
    <x v="439"/>
    <x v="250"/>
    <n v="7"/>
    <n v="14"/>
    <e v="#N/A"/>
  </r>
  <r>
    <n v="881"/>
    <d v="2016-01-10T14:35:02"/>
    <d v="2016-01-10T14:50:00"/>
    <x v="1"/>
    <m/>
    <m/>
    <x v="0"/>
    <n v="70807"/>
    <n v="0"/>
    <d v="2016-01-10T14:52:59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882"/>
    <d v="2016-01-10T10:37:28"/>
    <d v="2016-01-10T10:52:27"/>
    <x v="0"/>
    <s v="Medium"/>
    <m/>
    <x v="1"/>
    <n v="70806"/>
    <n v="2.14428518401902"/>
    <d v="2016-01-10T11:03:10"/>
    <n v="19.579999999999998"/>
    <x v="341"/>
    <n v="2"/>
    <n v="1"/>
    <n v="1.7"/>
    <n v="0"/>
    <n v="2.7"/>
    <x v="328"/>
    <x v="0"/>
    <x v="440"/>
    <x v="251"/>
    <n v="7"/>
    <n v="10"/>
    <e v="#N/A"/>
  </r>
  <r>
    <n v="883"/>
    <d v="2016-01-10T11:36:06"/>
    <d v="2016-01-10T11:51:04"/>
    <x v="0"/>
    <s v="Large"/>
    <m/>
    <x v="1"/>
    <n v="70807"/>
    <n v="1.9876421463982701"/>
    <d v="2016-01-10T12:01:00"/>
    <n v="23.34"/>
    <x v="418"/>
    <n v="2"/>
    <n v="1"/>
    <n v="2.2999999999999998"/>
    <n v="0"/>
    <n v="3.3"/>
    <x v="405"/>
    <x v="0"/>
    <x v="441"/>
    <x v="252"/>
    <n v="7"/>
    <n v="14"/>
    <e v="#N/A"/>
  </r>
  <r>
    <n v="884"/>
    <d v="2016-01-10T11:16:41"/>
    <d v="2016-01-10T11:31:41"/>
    <x v="2"/>
    <m/>
    <m/>
    <x v="1"/>
    <n v="70805"/>
    <n v="5.1834778423221097"/>
    <d v="2016-01-10T11:57:36"/>
    <n v="11.59"/>
    <x v="419"/>
    <n v="1"/>
    <n v="1.7"/>
    <n v="0"/>
    <n v="0"/>
    <n v="1.7"/>
    <x v="406"/>
    <x v="1"/>
    <x v="442"/>
    <x v="0"/>
    <n v="10"/>
    <e v="#N/A"/>
    <e v="#N/A"/>
  </r>
  <r>
    <n v="885"/>
    <d v="2016-01-10T10:47:26"/>
    <d v="2016-01-10T11:02:26"/>
    <x v="1"/>
    <m/>
    <m/>
    <x v="0"/>
    <n v="70804"/>
    <n v="0"/>
    <d v="2016-01-10T11:05:25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886"/>
    <d v="2016-01-10T13:50:16"/>
    <d v="2016-01-10T14:05:15"/>
    <x v="0"/>
    <m/>
    <m/>
    <x v="1"/>
    <n v="70808"/>
    <n v="1.8057750150668901"/>
    <d v="2016-01-10T14:14:16"/>
    <n v="7.99"/>
    <x v="420"/>
    <n v="1"/>
    <n v="1"/>
    <n v="0"/>
    <n v="0"/>
    <n v="1"/>
    <x v="407"/>
    <x v="0"/>
    <x v="443"/>
    <x v="253"/>
    <n v="7"/>
    <e v="#N/A"/>
    <e v="#N/A"/>
  </r>
  <r>
    <n v="887"/>
    <d v="2016-01-10T10:27:21"/>
    <d v="2016-01-10T10:42:21"/>
    <x v="1"/>
    <m/>
    <m/>
    <x v="1"/>
    <n v="70805"/>
    <n v="2.8019141396937601"/>
    <d v="2016-01-10T10:56:21"/>
    <n v="15.35"/>
    <x v="421"/>
    <n v="1"/>
    <n v="2.2999999999999998"/>
    <n v="0"/>
    <n v="0"/>
    <n v="2.2999999999999998"/>
    <x v="408"/>
    <x v="0"/>
    <x v="444"/>
    <x v="254"/>
    <n v="14"/>
    <e v="#N/A"/>
    <e v="#N/A"/>
  </r>
  <r>
    <n v="888"/>
    <d v="2016-01-10T11:53:30"/>
    <d v="2016-01-10T12:08:30"/>
    <x v="2"/>
    <m/>
    <m/>
    <x v="0"/>
    <n v="70806"/>
    <n v="0"/>
    <d v="2016-01-10T12:11:30"/>
    <n v="11.59"/>
    <x v="2"/>
    <n v="1"/>
    <n v="1.7"/>
    <n v="0"/>
    <n v="0"/>
    <n v="1.7"/>
    <x v="0"/>
    <x v="0"/>
    <x v="0"/>
    <x v="0"/>
    <n v="10"/>
    <e v="#N/A"/>
    <e v="#N/A"/>
  </r>
  <r>
    <n v="889"/>
    <d v="2016-01-10T12:11:23"/>
    <d v="2016-01-10T12:26:24"/>
    <x v="0"/>
    <m/>
    <m/>
    <x v="1"/>
    <n v="70805"/>
    <n v="2.12428824528756"/>
    <d v="2016-01-10T12:37:01"/>
    <n v="7.99"/>
    <x v="220"/>
    <n v="1"/>
    <n v="1"/>
    <n v="0"/>
    <n v="0"/>
    <n v="1"/>
    <x v="208"/>
    <x v="0"/>
    <x v="445"/>
    <x v="255"/>
    <n v="7"/>
    <e v="#N/A"/>
    <e v="#N/A"/>
  </r>
  <r>
    <n v="890"/>
    <d v="2016-01-10T11:29:13"/>
    <d v="2016-01-10T11:44:12"/>
    <x v="0"/>
    <s v="Large"/>
    <m/>
    <x v="1"/>
    <n v="70806"/>
    <n v="2.8449629223818298"/>
    <d v="2016-01-10T11:58:25"/>
    <n v="23.34"/>
    <x v="422"/>
    <n v="2"/>
    <n v="1"/>
    <n v="2.2999999999999998"/>
    <n v="0"/>
    <n v="3.3"/>
    <x v="409"/>
    <x v="0"/>
    <x v="446"/>
    <x v="256"/>
    <n v="7"/>
    <n v="14"/>
    <e v="#N/A"/>
  </r>
  <r>
    <n v="891"/>
    <d v="2016-01-10T12:54:16"/>
    <d v="2016-01-10T13:09:15"/>
    <x v="2"/>
    <m/>
    <m/>
    <x v="0"/>
    <n v="70804"/>
    <n v="0"/>
    <d v="2016-01-10T13:12:15"/>
    <n v="11.59"/>
    <x v="2"/>
    <n v="1"/>
    <n v="1.7"/>
    <n v="0"/>
    <n v="0"/>
    <n v="1.7"/>
    <x v="0"/>
    <x v="0"/>
    <x v="0"/>
    <x v="0"/>
    <n v="10"/>
    <e v="#N/A"/>
    <e v="#N/A"/>
  </r>
  <r>
    <n v="892"/>
    <d v="2016-01-10T14:58:29"/>
    <d v="2016-01-10T15:13:29"/>
    <x v="0"/>
    <s v="Large"/>
    <m/>
    <x v="0"/>
    <n v="70804"/>
    <n v="0"/>
    <d v="2016-01-10T15:16:29"/>
    <n v="23.34"/>
    <x v="2"/>
    <n v="2"/>
    <n v="1"/>
    <n v="2.2999999999999998"/>
    <n v="0"/>
    <n v="3.3"/>
    <x v="0"/>
    <x v="0"/>
    <x v="0"/>
    <x v="0"/>
    <n v="7"/>
    <n v="14"/>
    <e v="#N/A"/>
  </r>
  <r>
    <n v="893"/>
    <d v="2016-01-10T12:57:38"/>
    <d v="2016-01-10T13:12:37"/>
    <x v="1"/>
    <m/>
    <m/>
    <x v="1"/>
    <n v="70804"/>
    <n v="4.9877939863742196"/>
    <d v="2016-01-10T13:37:33"/>
    <n v="15.35"/>
    <x v="423"/>
    <n v="1"/>
    <n v="2.2999999999999998"/>
    <n v="0"/>
    <n v="0"/>
    <n v="2.2999999999999998"/>
    <x v="410"/>
    <x v="1"/>
    <x v="447"/>
    <x v="0"/>
    <n v="14"/>
    <e v="#N/A"/>
    <e v="#N/A"/>
  </r>
  <r>
    <n v="894"/>
    <d v="2016-01-10T11:34:56"/>
    <d v="2016-01-10T11:49:56"/>
    <x v="2"/>
    <m/>
    <m/>
    <x v="1"/>
    <n v="70806"/>
    <n v="2.4328743336674798"/>
    <d v="2016-01-10T12:02:05"/>
    <n v="11.59"/>
    <x v="424"/>
    <n v="1"/>
    <n v="1.7"/>
    <n v="0"/>
    <n v="0"/>
    <n v="1.7"/>
    <x v="411"/>
    <x v="0"/>
    <x v="448"/>
    <x v="257"/>
    <n v="10"/>
    <e v="#N/A"/>
    <e v="#N/A"/>
  </r>
  <r>
    <n v="895"/>
    <d v="2016-01-10T12:47:53"/>
    <d v="2016-01-10T13:02:52"/>
    <x v="0"/>
    <m/>
    <m/>
    <x v="1"/>
    <n v="70804"/>
    <n v="2.4054974468144099"/>
    <d v="2016-01-10T13:14:53"/>
    <n v="7.99"/>
    <x v="425"/>
    <n v="1"/>
    <n v="1"/>
    <n v="0"/>
    <n v="0"/>
    <n v="1"/>
    <x v="412"/>
    <x v="0"/>
    <x v="449"/>
    <x v="258"/>
    <n v="7"/>
    <e v="#N/A"/>
    <e v="#N/A"/>
  </r>
  <r>
    <n v="896"/>
    <d v="2016-01-10T11:47:07"/>
    <d v="2016-01-10T12:02:07"/>
    <x v="2"/>
    <m/>
    <m/>
    <x v="0"/>
    <n v="70803"/>
    <n v="0"/>
    <d v="2016-01-10T12:05:06"/>
    <n v="11.59"/>
    <x v="24"/>
    <n v="1"/>
    <n v="1.7"/>
    <n v="0"/>
    <n v="0"/>
    <n v="1.7"/>
    <x v="0"/>
    <x v="0"/>
    <x v="0"/>
    <x v="0"/>
    <n v="10"/>
    <e v="#N/A"/>
    <e v="#N/A"/>
  </r>
  <r>
    <n v="897"/>
    <d v="2016-01-10T12:00:52"/>
    <d v="2016-01-10T12:15:50"/>
    <x v="0"/>
    <s v="Medium"/>
    <m/>
    <x v="0"/>
    <n v="70804"/>
    <n v="0"/>
    <d v="2016-01-10T12:18:50"/>
    <n v="19.579999999999998"/>
    <x v="2"/>
    <n v="2"/>
    <n v="1"/>
    <n v="1.7"/>
    <n v="0"/>
    <n v="2.7"/>
    <x v="0"/>
    <x v="0"/>
    <x v="0"/>
    <x v="0"/>
    <n v="7"/>
    <n v="10"/>
    <e v="#N/A"/>
  </r>
  <r>
    <n v="898"/>
    <d v="2016-01-10T10:17:40"/>
    <d v="2016-01-10T10:32:38"/>
    <x v="0"/>
    <m/>
    <m/>
    <x v="1"/>
    <n v="70805"/>
    <n v="3.1359943294791401"/>
    <d v="2016-01-10T10:48:18"/>
    <n v="7.99"/>
    <x v="426"/>
    <n v="1"/>
    <n v="1"/>
    <n v="0"/>
    <n v="0"/>
    <n v="1"/>
    <x v="413"/>
    <x v="0"/>
    <x v="450"/>
    <x v="259"/>
    <n v="7"/>
    <e v="#N/A"/>
    <e v="#N/A"/>
  </r>
  <r>
    <n v="899"/>
    <d v="2016-01-10T10:23:10"/>
    <d v="2016-01-10T10:38:09"/>
    <x v="1"/>
    <m/>
    <m/>
    <x v="0"/>
    <n v="70804"/>
    <n v="0"/>
    <d v="2016-01-10T10:41:09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900"/>
    <d v="2016-01-10T12:42:26"/>
    <d v="2016-01-10T12:57:26"/>
    <x v="2"/>
    <m/>
    <m/>
    <x v="1"/>
    <n v="70804"/>
    <n v="2.4600320892918202"/>
    <d v="2016-01-10T13:09:44"/>
    <n v="11.59"/>
    <x v="392"/>
    <n v="1"/>
    <n v="1.7"/>
    <n v="0"/>
    <n v="0"/>
    <n v="1.7"/>
    <x v="379"/>
    <x v="0"/>
    <x v="451"/>
    <x v="260"/>
    <n v="10"/>
    <e v="#N/A"/>
    <e v="#N/A"/>
  </r>
  <r>
    <n v="901"/>
    <d v="2016-01-10T13:44:30"/>
    <d v="2016-01-10T13:59:30"/>
    <x v="0"/>
    <m/>
    <m/>
    <x v="0"/>
    <n v="70804"/>
    <n v="0"/>
    <d v="2016-01-10T14:02:30"/>
    <n v="7.99"/>
    <x v="2"/>
    <n v="1"/>
    <n v="1"/>
    <n v="0"/>
    <n v="0"/>
    <n v="1"/>
    <x v="0"/>
    <x v="0"/>
    <x v="0"/>
    <x v="0"/>
    <n v="7"/>
    <e v="#N/A"/>
    <e v="#N/A"/>
  </r>
  <r>
    <n v="902"/>
    <d v="2016-01-10T12:42:51"/>
    <d v="2016-01-10T12:57:52"/>
    <x v="0"/>
    <m/>
    <m/>
    <x v="1"/>
    <n v="70806"/>
    <n v="3.8398502230304898"/>
    <d v="2016-01-10T13:17:03"/>
    <n v="7.99"/>
    <x v="427"/>
    <n v="1"/>
    <n v="1"/>
    <n v="0"/>
    <n v="0"/>
    <n v="1"/>
    <x v="414"/>
    <x v="1"/>
    <x v="452"/>
    <x v="0"/>
    <n v="7"/>
    <e v="#N/A"/>
    <e v="#N/A"/>
  </r>
  <r>
    <n v="903"/>
    <d v="2016-01-10T12:57:16"/>
    <d v="2016-01-10T13:12:16"/>
    <x v="0"/>
    <m/>
    <m/>
    <x v="1"/>
    <n v="70803"/>
    <n v="3.0347664604903799"/>
    <d v="2016-01-10T13:27:26"/>
    <n v="7.99"/>
    <x v="428"/>
    <n v="1"/>
    <n v="1"/>
    <n v="0"/>
    <n v="0"/>
    <n v="1"/>
    <x v="415"/>
    <x v="0"/>
    <x v="453"/>
    <x v="261"/>
    <n v="7"/>
    <e v="#N/A"/>
    <e v="#N/A"/>
  </r>
  <r>
    <n v="904"/>
    <d v="2016-01-10T12:52:40"/>
    <d v="2016-01-10T13:07:39"/>
    <x v="1"/>
    <m/>
    <m/>
    <x v="1"/>
    <n v="70805"/>
    <n v="2.6873318709862"/>
    <d v="2016-01-10T13:21:05"/>
    <n v="15.35"/>
    <x v="429"/>
    <n v="1"/>
    <n v="2.2999999999999998"/>
    <n v="0"/>
    <n v="0"/>
    <n v="2.2999999999999998"/>
    <x v="416"/>
    <x v="0"/>
    <x v="454"/>
    <x v="262"/>
    <n v="14"/>
    <e v="#N/A"/>
    <e v="#N/A"/>
  </r>
  <r>
    <n v="905"/>
    <d v="2016-01-10T12:17:22"/>
    <d v="2016-01-10T12:32:19"/>
    <x v="2"/>
    <m/>
    <m/>
    <x v="0"/>
    <n v="70806"/>
    <n v="0"/>
    <d v="2016-01-10T12:35:18"/>
    <n v="11.59"/>
    <x v="24"/>
    <n v="1"/>
    <n v="1.7"/>
    <n v="0"/>
    <n v="0"/>
    <n v="1.7"/>
    <x v="0"/>
    <x v="0"/>
    <x v="0"/>
    <x v="0"/>
    <n v="10"/>
    <e v="#N/A"/>
    <e v="#N/A"/>
  </r>
  <r>
    <n v="906"/>
    <d v="2016-01-10T11:56:39"/>
    <d v="2016-01-10T12:11:37"/>
    <x v="1"/>
    <m/>
    <m/>
    <x v="0"/>
    <n v="70803"/>
    <n v="0"/>
    <d v="2016-01-10T12:14:35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907"/>
    <d v="2016-01-10T11:58:03"/>
    <d v="2016-01-10T12:13:06"/>
    <x v="0"/>
    <m/>
    <m/>
    <x v="0"/>
    <n v="70804"/>
    <n v="0"/>
    <d v="2016-01-10T12:16:05"/>
    <n v="7.99"/>
    <x v="24"/>
    <n v="1"/>
    <n v="1"/>
    <n v="0"/>
    <n v="0"/>
    <n v="1"/>
    <x v="0"/>
    <x v="0"/>
    <x v="0"/>
    <x v="0"/>
    <n v="7"/>
    <e v="#N/A"/>
    <e v="#N/A"/>
  </r>
  <r>
    <n v="908"/>
    <d v="2016-01-10T11:25:47"/>
    <d v="2016-01-10T11:40:46"/>
    <x v="1"/>
    <m/>
    <m/>
    <x v="1"/>
    <n v="70807"/>
    <n v="3.0531799425625801"/>
    <d v="2016-01-10T11:56:01"/>
    <n v="15.35"/>
    <x v="244"/>
    <n v="1"/>
    <n v="2.2999999999999998"/>
    <n v="0"/>
    <n v="0"/>
    <n v="2.2999999999999998"/>
    <x v="231"/>
    <x v="0"/>
    <x v="455"/>
    <x v="263"/>
    <n v="14"/>
    <e v="#N/A"/>
    <e v="#N/A"/>
  </r>
  <r>
    <n v="909"/>
    <d v="2016-01-10T13:09:28"/>
    <d v="2016-01-10T13:24:27"/>
    <x v="0"/>
    <s v="Large"/>
    <m/>
    <x v="0"/>
    <n v="70804"/>
    <n v="0"/>
    <d v="2016-01-10T13:27:28"/>
    <n v="23.34"/>
    <x v="14"/>
    <n v="2"/>
    <n v="1"/>
    <n v="2.2999999999999998"/>
    <n v="0"/>
    <n v="3.3"/>
    <x v="0"/>
    <x v="0"/>
    <x v="0"/>
    <x v="0"/>
    <n v="7"/>
    <n v="14"/>
    <e v="#N/A"/>
  </r>
  <r>
    <n v="910"/>
    <d v="2016-01-10T10:35:38"/>
    <d v="2016-01-10T10:50:36"/>
    <x v="2"/>
    <m/>
    <m/>
    <x v="1"/>
    <n v="70804"/>
    <n v="2.8748132223085201"/>
    <d v="2016-01-10T11:04:58"/>
    <n v="11.59"/>
    <x v="430"/>
    <n v="1"/>
    <n v="1.7"/>
    <n v="0"/>
    <n v="0"/>
    <n v="1.7"/>
    <x v="417"/>
    <x v="0"/>
    <x v="456"/>
    <x v="264"/>
    <n v="10"/>
    <e v="#N/A"/>
    <e v="#N/A"/>
  </r>
  <r>
    <n v="911"/>
    <d v="2016-01-10T10:11:17"/>
    <d v="2016-01-10T10:26:18"/>
    <x v="0"/>
    <s v="Medium"/>
    <m/>
    <x v="0"/>
    <n v="70805"/>
    <n v="0"/>
    <d v="2016-01-10T10:29:17"/>
    <n v="19.579999999999998"/>
    <x v="24"/>
    <n v="2"/>
    <n v="1"/>
    <n v="1.7"/>
    <n v="0"/>
    <n v="2.7"/>
    <x v="0"/>
    <x v="0"/>
    <x v="0"/>
    <x v="0"/>
    <n v="7"/>
    <n v="10"/>
    <e v="#N/A"/>
  </r>
  <r>
    <n v="912"/>
    <d v="2016-01-10T12:10:39"/>
    <d v="2016-01-10T12:25:38"/>
    <x v="0"/>
    <s v="Medium"/>
    <m/>
    <x v="0"/>
    <n v="70804"/>
    <n v="0"/>
    <d v="2016-01-10T12:28:37"/>
    <n v="19.579999999999998"/>
    <x v="1"/>
    <n v="2"/>
    <n v="1"/>
    <n v="1.7"/>
    <n v="0"/>
    <n v="2.7"/>
    <x v="0"/>
    <x v="0"/>
    <x v="0"/>
    <x v="0"/>
    <n v="7"/>
    <n v="10"/>
    <e v="#N/A"/>
  </r>
  <r>
    <n v="913"/>
    <d v="2016-01-10T11:33:18"/>
    <d v="2016-01-10T11:48:18"/>
    <x v="1"/>
    <m/>
    <m/>
    <x v="0"/>
    <n v="70804"/>
    <n v="0"/>
    <d v="2016-01-10T11:51:18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914"/>
    <d v="2016-01-10T12:15:46"/>
    <d v="2016-01-10T12:30:46"/>
    <x v="0"/>
    <m/>
    <m/>
    <x v="0"/>
    <n v="70803"/>
    <n v="0"/>
    <d v="2016-01-10T12:33:46"/>
    <n v="7.99"/>
    <x v="2"/>
    <n v="1"/>
    <n v="1"/>
    <n v="0"/>
    <n v="0"/>
    <n v="1"/>
    <x v="0"/>
    <x v="0"/>
    <x v="0"/>
    <x v="0"/>
    <n v="7"/>
    <e v="#N/A"/>
    <e v="#N/A"/>
  </r>
  <r>
    <n v="915"/>
    <d v="2016-01-10T10:25:22"/>
    <d v="2016-01-10T10:40:20"/>
    <x v="0"/>
    <s v="Large"/>
    <m/>
    <x v="0"/>
    <n v="70807"/>
    <n v="0"/>
    <d v="2016-01-10T10:43:21"/>
    <n v="23.34"/>
    <x v="14"/>
    <n v="2"/>
    <n v="1"/>
    <n v="2.2999999999999998"/>
    <n v="0"/>
    <n v="3.3"/>
    <x v="0"/>
    <x v="0"/>
    <x v="0"/>
    <x v="0"/>
    <n v="7"/>
    <n v="14"/>
    <e v="#N/A"/>
  </r>
  <r>
    <n v="916"/>
    <d v="2016-01-10T12:13:46"/>
    <d v="2016-01-10T12:28:44"/>
    <x v="2"/>
    <m/>
    <m/>
    <x v="1"/>
    <n v="70803"/>
    <n v="2.33662399940083"/>
    <d v="2016-01-10T12:40:24"/>
    <n v="11.59"/>
    <x v="431"/>
    <n v="1"/>
    <n v="1.7"/>
    <n v="0"/>
    <n v="0"/>
    <n v="1.7"/>
    <x v="418"/>
    <x v="0"/>
    <x v="457"/>
    <x v="265"/>
    <n v="10"/>
    <e v="#N/A"/>
    <e v="#N/A"/>
  </r>
  <r>
    <n v="917"/>
    <d v="2016-01-10T12:37:25"/>
    <d v="2016-01-10T12:52:24"/>
    <x v="1"/>
    <m/>
    <m/>
    <x v="1"/>
    <n v="70805"/>
    <n v="4.48417859515492"/>
    <d v="2016-01-10T13:14:49"/>
    <n v="15.35"/>
    <x v="432"/>
    <n v="1"/>
    <n v="2.2999999999999998"/>
    <n v="0"/>
    <n v="0"/>
    <n v="2.2999999999999998"/>
    <x v="419"/>
    <x v="1"/>
    <x v="458"/>
    <x v="0"/>
    <n v="14"/>
    <e v="#N/A"/>
    <e v="#N/A"/>
  </r>
  <r>
    <n v="918"/>
    <d v="2016-01-10T12:06:38"/>
    <d v="2016-01-10T12:21:35"/>
    <x v="0"/>
    <s v="Large"/>
    <m/>
    <x v="1"/>
    <n v="70805"/>
    <n v="3.54731064851627"/>
    <d v="2016-01-10T12:39:19"/>
    <n v="23.34"/>
    <x v="433"/>
    <n v="2"/>
    <n v="1"/>
    <n v="2.2999999999999998"/>
    <n v="0"/>
    <n v="3.3"/>
    <x v="420"/>
    <x v="1"/>
    <x v="459"/>
    <x v="0"/>
    <n v="7"/>
    <n v="14"/>
    <e v="#N/A"/>
  </r>
  <r>
    <n v="919"/>
    <d v="2016-01-10T11:24:02"/>
    <d v="2016-01-10T11:39:02"/>
    <x v="0"/>
    <s v="Medium"/>
    <m/>
    <x v="1"/>
    <n v="70804"/>
    <n v="5.1782596108877801"/>
    <d v="2016-01-10T12:04:55"/>
    <n v="19.579999999999998"/>
    <x v="434"/>
    <n v="2"/>
    <n v="1"/>
    <n v="1.7"/>
    <n v="0"/>
    <n v="2.7"/>
    <x v="421"/>
    <x v="1"/>
    <x v="460"/>
    <x v="0"/>
    <n v="7"/>
    <n v="10"/>
    <e v="#N/A"/>
  </r>
  <r>
    <n v="920"/>
    <d v="2016-01-10T11:31:16"/>
    <d v="2016-01-10T11:46:14"/>
    <x v="0"/>
    <m/>
    <m/>
    <x v="0"/>
    <n v="70803"/>
    <n v="0"/>
    <d v="2016-01-10T11:49:14"/>
    <n v="7.99"/>
    <x v="2"/>
    <n v="1"/>
    <n v="1"/>
    <n v="0"/>
    <n v="0"/>
    <n v="1"/>
    <x v="0"/>
    <x v="0"/>
    <x v="0"/>
    <x v="0"/>
    <n v="7"/>
    <e v="#N/A"/>
    <e v="#N/A"/>
  </r>
  <r>
    <n v="921"/>
    <d v="2016-01-10T14:49:53"/>
    <d v="2016-01-10T15:04:53"/>
    <x v="2"/>
    <m/>
    <m/>
    <x v="1"/>
    <n v="70807"/>
    <n v="2.9859387890778999"/>
    <d v="2016-01-10T15:19:48"/>
    <n v="11.59"/>
    <x v="37"/>
    <n v="1"/>
    <n v="1.7"/>
    <n v="0"/>
    <n v="0"/>
    <n v="1.7"/>
    <x v="31"/>
    <x v="0"/>
    <x v="461"/>
    <x v="266"/>
    <n v="10"/>
    <e v="#N/A"/>
    <e v="#N/A"/>
  </r>
  <r>
    <n v="922"/>
    <d v="2016-01-10T11:34:46"/>
    <d v="2016-01-10T11:49:46"/>
    <x v="0"/>
    <s v="Medium"/>
    <m/>
    <x v="1"/>
    <n v="70806"/>
    <n v="3.4575552337618101"/>
    <d v="2016-01-10T12:07:03"/>
    <n v="19.579999999999998"/>
    <x v="435"/>
    <n v="2"/>
    <n v="1"/>
    <n v="1.7"/>
    <n v="0"/>
    <n v="2.7"/>
    <x v="422"/>
    <x v="1"/>
    <x v="462"/>
    <x v="0"/>
    <n v="7"/>
    <n v="10"/>
    <e v="#N/A"/>
  </r>
  <r>
    <n v="923"/>
    <d v="2016-01-10T12:14:37"/>
    <d v="2016-01-10T12:29:35"/>
    <x v="2"/>
    <m/>
    <m/>
    <x v="1"/>
    <n v="70805"/>
    <n v="2.7022890649689"/>
    <d v="2016-01-10T12:43:05"/>
    <n v="11.59"/>
    <x v="66"/>
    <n v="1"/>
    <n v="1.7"/>
    <n v="0"/>
    <n v="0"/>
    <n v="1.7"/>
    <x v="58"/>
    <x v="0"/>
    <x v="463"/>
    <x v="267"/>
    <n v="10"/>
    <e v="#N/A"/>
    <e v="#N/A"/>
  </r>
  <r>
    <n v="924"/>
    <d v="2016-01-10T12:29:51"/>
    <d v="2016-01-10T12:44:50"/>
    <x v="2"/>
    <m/>
    <m/>
    <x v="0"/>
    <n v="70805"/>
    <n v="0"/>
    <d v="2016-01-10T12:47:50"/>
    <n v="11.59"/>
    <x v="2"/>
    <n v="1"/>
    <n v="1.7"/>
    <n v="0"/>
    <n v="0"/>
    <n v="1.7"/>
    <x v="0"/>
    <x v="0"/>
    <x v="0"/>
    <x v="0"/>
    <n v="10"/>
    <e v="#N/A"/>
    <e v="#N/A"/>
  </r>
  <r>
    <n v="925"/>
    <d v="2016-01-10T11:21:11"/>
    <d v="2016-01-10T11:36:11"/>
    <x v="2"/>
    <m/>
    <m/>
    <x v="0"/>
    <n v="70804"/>
    <n v="0"/>
    <d v="2016-01-10T11:39:12"/>
    <n v="11.59"/>
    <x v="14"/>
    <n v="1"/>
    <n v="1.7"/>
    <n v="0"/>
    <n v="0"/>
    <n v="1.7"/>
    <x v="0"/>
    <x v="0"/>
    <x v="0"/>
    <x v="0"/>
    <n v="10"/>
    <e v="#N/A"/>
    <e v="#N/A"/>
  </r>
  <r>
    <n v="926"/>
    <d v="2016-01-10T11:38:36"/>
    <d v="2016-01-10T11:53:34"/>
    <x v="2"/>
    <m/>
    <m/>
    <x v="1"/>
    <n v="70805"/>
    <n v="3.97726183589204"/>
    <d v="2016-01-10T12:13:27"/>
    <n v="11.59"/>
    <x v="436"/>
    <n v="1"/>
    <n v="1.7"/>
    <n v="0"/>
    <n v="0"/>
    <n v="1.7"/>
    <x v="423"/>
    <x v="1"/>
    <x v="464"/>
    <x v="0"/>
    <n v="10"/>
    <e v="#N/A"/>
    <e v="#N/A"/>
  </r>
  <r>
    <n v="927"/>
    <d v="2016-01-10T11:46:00"/>
    <d v="2016-01-10T12:00:59"/>
    <x v="0"/>
    <s v="Medium"/>
    <m/>
    <x v="1"/>
    <n v="70806"/>
    <n v="1.84923975819326"/>
    <d v="2016-01-10T12:10:13"/>
    <n v="19.579999999999998"/>
    <x v="437"/>
    <n v="2"/>
    <n v="1"/>
    <n v="1.7"/>
    <n v="0"/>
    <n v="2.7"/>
    <x v="424"/>
    <x v="0"/>
    <x v="465"/>
    <x v="268"/>
    <n v="7"/>
    <n v="10"/>
    <e v="#N/A"/>
  </r>
  <r>
    <n v="928"/>
    <d v="2016-01-10T11:24:35"/>
    <d v="2016-01-10T11:39:35"/>
    <x v="2"/>
    <m/>
    <m/>
    <x v="1"/>
    <n v="70805"/>
    <n v="4.7506546503479896"/>
    <d v="2016-01-10T12:03:20"/>
    <n v="11.59"/>
    <x v="438"/>
    <n v="1"/>
    <n v="1.7"/>
    <n v="0"/>
    <n v="0"/>
    <n v="1.7"/>
    <x v="425"/>
    <x v="1"/>
    <x v="466"/>
    <x v="0"/>
    <n v="10"/>
    <e v="#N/A"/>
    <e v="#N/A"/>
  </r>
  <r>
    <n v="929"/>
    <d v="2016-01-10T13:43:54"/>
    <d v="2016-01-10T13:58:55"/>
    <x v="1"/>
    <m/>
    <m/>
    <x v="1"/>
    <n v="70806"/>
    <n v="3.1023243278382"/>
    <d v="2016-01-10T14:14:25"/>
    <n v="15.35"/>
    <x v="439"/>
    <n v="1"/>
    <n v="2.2999999999999998"/>
    <n v="0"/>
    <n v="0"/>
    <n v="2.2999999999999998"/>
    <x v="426"/>
    <x v="0"/>
    <x v="467"/>
    <x v="269"/>
    <n v="14"/>
    <e v="#N/A"/>
    <e v="#N/A"/>
  </r>
  <r>
    <n v="930"/>
    <d v="2016-01-10T12:51:11"/>
    <d v="2016-01-10T13:06:10"/>
    <x v="2"/>
    <m/>
    <m/>
    <x v="0"/>
    <n v="70806"/>
    <n v="0"/>
    <d v="2016-01-10T13:09:10"/>
    <n v="11.59"/>
    <x v="2"/>
    <n v="1"/>
    <n v="1.7"/>
    <n v="0"/>
    <n v="0"/>
    <n v="1.7"/>
    <x v="0"/>
    <x v="0"/>
    <x v="0"/>
    <x v="0"/>
    <n v="10"/>
    <e v="#N/A"/>
    <e v="#N/A"/>
  </r>
  <r>
    <n v="931"/>
    <d v="2016-01-10T12:39:30"/>
    <d v="2016-01-10T12:54:28"/>
    <x v="2"/>
    <m/>
    <m/>
    <x v="1"/>
    <n v="70805"/>
    <n v="5.1775428339325202"/>
    <d v="2016-01-10T13:20:21"/>
    <n v="11.59"/>
    <x v="434"/>
    <n v="1"/>
    <n v="1.7"/>
    <n v="0"/>
    <n v="0"/>
    <n v="1.7"/>
    <x v="421"/>
    <x v="1"/>
    <x v="468"/>
    <x v="0"/>
    <n v="10"/>
    <e v="#N/A"/>
    <e v="#N/A"/>
  </r>
  <r>
    <n v="932"/>
    <d v="2016-01-10T12:47:11"/>
    <d v="2016-01-10T13:02:10"/>
    <x v="0"/>
    <m/>
    <m/>
    <x v="1"/>
    <n v="70803"/>
    <n v="3.77398552803729"/>
    <d v="2016-01-10T13:21:02"/>
    <n v="7.99"/>
    <x v="440"/>
    <n v="1"/>
    <n v="1"/>
    <n v="0"/>
    <n v="0"/>
    <n v="1"/>
    <x v="427"/>
    <x v="1"/>
    <x v="469"/>
    <x v="0"/>
    <n v="7"/>
    <e v="#N/A"/>
    <e v="#N/A"/>
  </r>
  <r>
    <n v="933"/>
    <d v="2016-01-10T11:45:22"/>
    <d v="2016-01-10T12:00:20"/>
    <x v="0"/>
    <m/>
    <m/>
    <x v="0"/>
    <n v="70806"/>
    <n v="0"/>
    <d v="2016-01-10T12:03:20"/>
    <n v="7.99"/>
    <x v="2"/>
    <n v="1"/>
    <n v="1"/>
    <n v="0"/>
    <n v="0"/>
    <n v="1"/>
    <x v="0"/>
    <x v="0"/>
    <x v="0"/>
    <x v="0"/>
    <n v="7"/>
    <e v="#N/A"/>
    <e v="#N/A"/>
  </r>
  <r>
    <n v="934"/>
    <d v="2016-01-10T13:11:51"/>
    <d v="2016-01-10T13:26:51"/>
    <x v="1"/>
    <m/>
    <m/>
    <x v="0"/>
    <n v="70806"/>
    <n v="0"/>
    <d v="2016-01-10T13:29:52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935"/>
    <d v="2016-01-10T13:59:23"/>
    <d v="2016-01-10T14:14:21"/>
    <x v="1"/>
    <m/>
    <m/>
    <x v="0"/>
    <n v="70806"/>
    <n v="0"/>
    <d v="2016-01-10T14:17:20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936"/>
    <d v="2016-01-10T11:16:24"/>
    <d v="2016-01-10T11:31:23"/>
    <x v="0"/>
    <s v="Medium"/>
    <m/>
    <x v="1"/>
    <n v="70806"/>
    <n v="0.96980497349091199"/>
    <d v="2016-01-10T11:36:13"/>
    <n v="19.579999999999998"/>
    <x v="441"/>
    <n v="2"/>
    <n v="1"/>
    <n v="1.7"/>
    <n v="0"/>
    <n v="2.7"/>
    <x v="428"/>
    <x v="0"/>
    <x v="470"/>
    <x v="270"/>
    <n v="7"/>
    <n v="10"/>
    <e v="#N/A"/>
  </r>
  <r>
    <n v="937"/>
    <d v="2016-01-10T13:03:13"/>
    <d v="2016-01-10T13:18:13"/>
    <x v="0"/>
    <s v="Medium"/>
    <m/>
    <x v="0"/>
    <n v="70805"/>
    <n v="0"/>
    <d v="2016-01-10T13:21:14"/>
    <n v="19.579999999999998"/>
    <x v="14"/>
    <n v="2"/>
    <n v="1"/>
    <n v="1.7"/>
    <n v="0"/>
    <n v="2.7"/>
    <x v="0"/>
    <x v="0"/>
    <x v="0"/>
    <x v="0"/>
    <n v="7"/>
    <n v="10"/>
    <e v="#N/A"/>
  </r>
  <r>
    <n v="938"/>
    <d v="2016-01-10T12:33:30"/>
    <d v="2016-01-10T12:48:31"/>
    <x v="0"/>
    <s v="Medium"/>
    <m/>
    <x v="1"/>
    <n v="70806"/>
    <n v="3.77616396846078"/>
    <d v="2016-01-10T13:07:23"/>
    <n v="19.579999999999998"/>
    <x v="440"/>
    <n v="2"/>
    <n v="1"/>
    <n v="1.7"/>
    <n v="0"/>
    <n v="2.7"/>
    <x v="427"/>
    <x v="1"/>
    <x v="471"/>
    <x v="0"/>
    <n v="7"/>
    <n v="10"/>
    <e v="#N/A"/>
  </r>
  <r>
    <n v="939"/>
    <d v="2016-01-10T11:20:58"/>
    <d v="2016-01-10T11:35:57"/>
    <x v="2"/>
    <m/>
    <m/>
    <x v="1"/>
    <n v="70805"/>
    <n v="4.07464166218438"/>
    <d v="2016-01-10T11:56:19"/>
    <n v="11.59"/>
    <x v="110"/>
    <n v="1"/>
    <n v="1.7"/>
    <n v="0"/>
    <n v="0"/>
    <n v="1.7"/>
    <x v="100"/>
    <x v="1"/>
    <x v="472"/>
    <x v="0"/>
    <n v="10"/>
    <e v="#N/A"/>
    <e v="#N/A"/>
  </r>
  <r>
    <n v="940"/>
    <d v="2016-01-10T14:48:19"/>
    <d v="2016-01-10T15:03:18"/>
    <x v="0"/>
    <m/>
    <m/>
    <x v="0"/>
    <n v="70806"/>
    <n v="0"/>
    <d v="2016-01-10T15:06:15"/>
    <n v="7.99"/>
    <x v="22"/>
    <n v="1"/>
    <n v="1"/>
    <n v="0"/>
    <n v="0"/>
    <n v="1"/>
    <x v="0"/>
    <x v="0"/>
    <x v="0"/>
    <x v="0"/>
    <n v="7"/>
    <e v="#N/A"/>
    <e v="#N/A"/>
  </r>
  <r>
    <n v="941"/>
    <d v="2016-01-10T11:08:27"/>
    <d v="2016-01-10T11:23:27"/>
    <x v="0"/>
    <s v="Medium"/>
    <m/>
    <x v="0"/>
    <n v="70808"/>
    <n v="0"/>
    <d v="2016-01-10T11:26:26"/>
    <n v="19.579999999999998"/>
    <x v="1"/>
    <n v="2"/>
    <n v="1"/>
    <n v="1.7"/>
    <n v="0"/>
    <n v="2.7"/>
    <x v="0"/>
    <x v="0"/>
    <x v="0"/>
    <x v="0"/>
    <n v="7"/>
    <n v="10"/>
    <e v="#N/A"/>
  </r>
  <r>
    <n v="942"/>
    <d v="2016-01-10T12:28:21"/>
    <d v="2016-01-10T12:43:20"/>
    <x v="0"/>
    <s v="Medium"/>
    <m/>
    <x v="1"/>
    <n v="70804"/>
    <n v="1.7857933280786999"/>
    <d v="2016-01-10T12:52:15"/>
    <n v="19.579999999999998"/>
    <x v="376"/>
    <n v="2"/>
    <n v="1"/>
    <n v="1.7"/>
    <n v="0"/>
    <n v="2.7"/>
    <x v="363"/>
    <x v="0"/>
    <x v="473"/>
    <x v="271"/>
    <n v="7"/>
    <n v="10"/>
    <e v="#N/A"/>
  </r>
  <r>
    <n v="943"/>
    <d v="2016-01-10T10:28:13"/>
    <d v="2016-01-10T10:43:13"/>
    <x v="0"/>
    <s v="Medium"/>
    <m/>
    <x v="1"/>
    <n v="70805"/>
    <n v="4.9406293825716396"/>
    <d v="2016-01-10T11:07:55"/>
    <n v="19.579999999999998"/>
    <x v="442"/>
    <n v="2"/>
    <n v="1"/>
    <n v="1.7"/>
    <n v="0"/>
    <n v="2.7"/>
    <x v="429"/>
    <x v="1"/>
    <x v="474"/>
    <x v="0"/>
    <n v="7"/>
    <n v="10"/>
    <e v="#N/A"/>
  </r>
  <r>
    <n v="944"/>
    <d v="2016-01-10T12:28:50"/>
    <d v="2016-01-10T12:43:49"/>
    <x v="0"/>
    <s v="Large"/>
    <m/>
    <x v="0"/>
    <n v="70803"/>
    <n v="0"/>
    <d v="2016-01-10T12:46:49"/>
    <n v="23.34"/>
    <x v="2"/>
    <n v="2"/>
    <n v="1"/>
    <n v="2.2999999999999998"/>
    <n v="0"/>
    <n v="3.3"/>
    <x v="0"/>
    <x v="0"/>
    <x v="0"/>
    <x v="0"/>
    <n v="7"/>
    <n v="14"/>
    <e v="#N/A"/>
  </r>
  <r>
    <n v="945"/>
    <d v="2016-01-10T14:11:46"/>
    <d v="2016-01-10T14:26:49"/>
    <x v="0"/>
    <m/>
    <m/>
    <x v="1"/>
    <n v="70804"/>
    <n v="4.95042246420119"/>
    <d v="2016-01-10T14:51:34"/>
    <n v="7.99"/>
    <x v="443"/>
    <n v="1"/>
    <n v="1"/>
    <n v="0"/>
    <n v="0"/>
    <n v="1"/>
    <x v="430"/>
    <x v="1"/>
    <x v="475"/>
    <x v="0"/>
    <n v="7"/>
    <e v="#N/A"/>
    <e v="#N/A"/>
  </r>
  <r>
    <n v="946"/>
    <d v="2016-01-10T12:23:26"/>
    <d v="2016-01-10T12:38:26"/>
    <x v="0"/>
    <s v="Medium"/>
    <m/>
    <x v="1"/>
    <n v="70805"/>
    <n v="1.8818063061553101"/>
    <d v="2016-01-10T12:47:50"/>
    <n v="19.579999999999998"/>
    <x v="444"/>
    <n v="2"/>
    <n v="1"/>
    <n v="1.7"/>
    <n v="0"/>
    <n v="2.7"/>
    <x v="431"/>
    <x v="0"/>
    <x v="476"/>
    <x v="272"/>
    <n v="7"/>
    <n v="10"/>
    <e v="#N/A"/>
  </r>
  <r>
    <n v="947"/>
    <d v="2016-01-10T12:42:13"/>
    <d v="2016-01-10T12:57:12"/>
    <x v="2"/>
    <m/>
    <m/>
    <x v="1"/>
    <n v="70803"/>
    <n v="4.5330480230164003"/>
    <d v="2016-01-10T13:19:51"/>
    <n v="11.59"/>
    <x v="445"/>
    <n v="1"/>
    <n v="1.7"/>
    <n v="0"/>
    <n v="0"/>
    <n v="1.7"/>
    <x v="432"/>
    <x v="1"/>
    <x v="477"/>
    <x v="0"/>
    <n v="10"/>
    <e v="#N/A"/>
    <e v="#N/A"/>
  </r>
  <r>
    <n v="948"/>
    <d v="2016-01-10T11:53:18"/>
    <d v="2016-01-10T12:08:19"/>
    <x v="2"/>
    <m/>
    <m/>
    <x v="1"/>
    <n v="70805"/>
    <n v="1.70168758641454"/>
    <d v="2016-01-10T12:16:49"/>
    <n v="11.59"/>
    <x v="446"/>
    <n v="1"/>
    <n v="1.7"/>
    <n v="0"/>
    <n v="0"/>
    <n v="1.7"/>
    <x v="433"/>
    <x v="0"/>
    <x v="478"/>
    <x v="273"/>
    <n v="10"/>
    <e v="#N/A"/>
    <e v="#N/A"/>
  </r>
  <r>
    <n v="949"/>
    <d v="2016-01-10T11:01:11"/>
    <d v="2016-01-10T11:16:10"/>
    <x v="1"/>
    <m/>
    <m/>
    <x v="0"/>
    <n v="70805"/>
    <n v="0"/>
    <d v="2016-01-10T11:19:09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950"/>
    <d v="2016-01-10T11:55:27"/>
    <d v="2016-01-10T12:10:26"/>
    <x v="2"/>
    <m/>
    <m/>
    <x v="1"/>
    <n v="70805"/>
    <n v="2.5914535966379"/>
    <d v="2016-01-10T12:23:23"/>
    <n v="11.59"/>
    <x v="447"/>
    <n v="1"/>
    <n v="1.7"/>
    <n v="0"/>
    <n v="0"/>
    <n v="1.7"/>
    <x v="434"/>
    <x v="0"/>
    <x v="479"/>
    <x v="274"/>
    <n v="10"/>
    <e v="#N/A"/>
    <e v="#N/A"/>
  </r>
  <r>
    <n v="951"/>
    <d v="2016-01-10T10:51:10"/>
    <d v="2016-01-10T11:06:09"/>
    <x v="1"/>
    <m/>
    <m/>
    <x v="0"/>
    <n v="70806"/>
    <n v="0"/>
    <d v="2016-01-10T11:09:08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952"/>
    <d v="2016-01-10T12:23:44"/>
    <d v="2016-01-10T12:38:42"/>
    <x v="0"/>
    <s v="Medium"/>
    <m/>
    <x v="0"/>
    <n v="70804"/>
    <n v="0"/>
    <d v="2016-01-10T12:41:39"/>
    <n v="19.579999999999998"/>
    <x v="102"/>
    <n v="2"/>
    <n v="1"/>
    <n v="1.7"/>
    <n v="0"/>
    <n v="2.7"/>
    <x v="0"/>
    <x v="0"/>
    <x v="0"/>
    <x v="0"/>
    <n v="7"/>
    <n v="10"/>
    <e v="#N/A"/>
  </r>
  <r>
    <n v="953"/>
    <d v="2016-01-10T11:01:32"/>
    <d v="2016-01-10T11:16:33"/>
    <x v="1"/>
    <m/>
    <m/>
    <x v="1"/>
    <n v="70807"/>
    <n v="4.5024779959774897"/>
    <d v="2016-01-10T11:39:03"/>
    <n v="15.35"/>
    <x v="448"/>
    <n v="1"/>
    <n v="2.2999999999999998"/>
    <n v="0"/>
    <n v="0"/>
    <n v="2.2999999999999998"/>
    <x v="435"/>
    <x v="1"/>
    <x v="480"/>
    <x v="0"/>
    <n v="14"/>
    <e v="#N/A"/>
    <e v="#N/A"/>
  </r>
  <r>
    <n v="954"/>
    <d v="2016-01-10T11:35:24"/>
    <d v="2016-01-10T11:50:23"/>
    <x v="1"/>
    <m/>
    <m/>
    <x v="0"/>
    <n v="70804"/>
    <n v="0"/>
    <d v="2016-01-10T11:53:24"/>
    <n v="15.35"/>
    <x v="56"/>
    <n v="1"/>
    <n v="2.2999999999999998"/>
    <n v="0"/>
    <n v="0"/>
    <n v="2.2999999999999998"/>
    <x v="0"/>
    <x v="0"/>
    <x v="0"/>
    <x v="0"/>
    <n v="14"/>
    <e v="#N/A"/>
    <e v="#N/A"/>
  </r>
  <r>
    <n v="955"/>
    <d v="2016-01-10T11:41:09"/>
    <d v="2016-01-10T11:56:10"/>
    <x v="2"/>
    <m/>
    <m/>
    <x v="1"/>
    <n v="70805"/>
    <n v="4.1306200285256596"/>
    <d v="2016-01-10T12:16:49"/>
    <n v="11.59"/>
    <x v="449"/>
    <n v="1"/>
    <n v="1.7"/>
    <n v="0"/>
    <n v="0"/>
    <n v="1.7"/>
    <x v="436"/>
    <x v="1"/>
    <x v="481"/>
    <x v="0"/>
    <n v="10"/>
    <e v="#N/A"/>
    <e v="#N/A"/>
  </r>
  <r>
    <n v="956"/>
    <d v="2016-01-10T12:58:37"/>
    <d v="2016-01-10T13:13:36"/>
    <x v="2"/>
    <m/>
    <m/>
    <x v="0"/>
    <n v="70804"/>
    <n v="0"/>
    <d v="2016-01-10T13:16:34"/>
    <n v="11.59"/>
    <x v="0"/>
    <n v="1"/>
    <n v="1.7"/>
    <n v="0"/>
    <n v="0"/>
    <n v="1.7"/>
    <x v="0"/>
    <x v="0"/>
    <x v="0"/>
    <x v="0"/>
    <n v="10"/>
    <e v="#N/A"/>
    <e v="#N/A"/>
  </r>
  <r>
    <n v="957"/>
    <d v="2016-01-10T10:22:27"/>
    <d v="2016-01-10T10:37:28"/>
    <x v="2"/>
    <m/>
    <m/>
    <x v="0"/>
    <n v="70804"/>
    <n v="0"/>
    <d v="2016-01-10T10:40:26"/>
    <n v="11.59"/>
    <x v="0"/>
    <n v="1"/>
    <n v="1.7"/>
    <n v="0"/>
    <n v="0"/>
    <n v="1.7"/>
    <x v="0"/>
    <x v="0"/>
    <x v="0"/>
    <x v="0"/>
    <n v="10"/>
    <e v="#N/A"/>
    <e v="#N/A"/>
  </r>
  <r>
    <n v="958"/>
    <d v="2016-01-10T13:20:25"/>
    <d v="2016-01-10T13:35:24"/>
    <x v="1"/>
    <m/>
    <m/>
    <x v="1"/>
    <n v="70805"/>
    <n v="5.3192652960415199"/>
    <d v="2016-01-10T14:01:59"/>
    <n v="15.35"/>
    <x v="450"/>
    <n v="1"/>
    <n v="2.2999999999999998"/>
    <n v="0"/>
    <n v="0"/>
    <n v="2.2999999999999998"/>
    <x v="437"/>
    <x v="1"/>
    <x v="482"/>
    <x v="0"/>
    <n v="14"/>
    <e v="#N/A"/>
    <e v="#N/A"/>
  </r>
  <r>
    <n v="959"/>
    <d v="2016-01-10T12:59:07"/>
    <d v="2016-01-10T13:14:08"/>
    <x v="0"/>
    <s v="Medium"/>
    <m/>
    <x v="0"/>
    <n v="70805"/>
    <n v="0"/>
    <d v="2016-01-10T13:17:07"/>
    <n v="19.579999999999998"/>
    <x v="24"/>
    <n v="2"/>
    <n v="1"/>
    <n v="1.7"/>
    <n v="0"/>
    <n v="2.7"/>
    <x v="0"/>
    <x v="0"/>
    <x v="0"/>
    <x v="0"/>
    <n v="7"/>
    <n v="10"/>
    <e v="#N/A"/>
  </r>
  <r>
    <n v="960"/>
    <d v="2016-01-10T12:37:15"/>
    <d v="2016-01-10T12:52:14"/>
    <x v="2"/>
    <m/>
    <m/>
    <x v="1"/>
    <n v="70804"/>
    <n v="2.2436849201818401"/>
    <d v="2016-01-10T13:03:27"/>
    <n v="11.59"/>
    <x v="451"/>
    <n v="1"/>
    <n v="1.7"/>
    <n v="0"/>
    <n v="0"/>
    <n v="1.7"/>
    <x v="438"/>
    <x v="0"/>
    <x v="483"/>
    <x v="275"/>
    <n v="10"/>
    <e v="#N/A"/>
    <e v="#N/A"/>
  </r>
  <r>
    <n v="961"/>
    <d v="2016-01-10T13:05:56"/>
    <d v="2016-01-10T13:20:57"/>
    <x v="2"/>
    <m/>
    <m/>
    <x v="1"/>
    <n v="70804"/>
    <n v="2.7055843350253301"/>
    <d v="2016-01-10T13:34:28"/>
    <n v="11.59"/>
    <x v="452"/>
    <n v="1"/>
    <n v="1.7"/>
    <n v="0"/>
    <n v="0"/>
    <n v="1.7"/>
    <x v="439"/>
    <x v="0"/>
    <x v="484"/>
    <x v="276"/>
    <n v="10"/>
    <e v="#N/A"/>
    <e v="#N/A"/>
  </r>
  <r>
    <n v="962"/>
    <d v="2016-01-10T13:07:24"/>
    <d v="2016-01-10T13:22:25"/>
    <x v="2"/>
    <m/>
    <m/>
    <x v="1"/>
    <n v="70805"/>
    <n v="2.7266263014096901"/>
    <d v="2016-01-10T13:36:02"/>
    <n v="11.59"/>
    <x v="453"/>
    <n v="1"/>
    <n v="1.7"/>
    <n v="0"/>
    <n v="0"/>
    <n v="1.7"/>
    <x v="440"/>
    <x v="0"/>
    <x v="485"/>
    <x v="277"/>
    <n v="10"/>
    <e v="#N/A"/>
    <e v="#N/A"/>
  </r>
  <r>
    <n v="963"/>
    <d v="2016-01-10T11:24:35"/>
    <d v="2016-01-10T11:39:35"/>
    <x v="1"/>
    <m/>
    <m/>
    <x v="1"/>
    <n v="70804"/>
    <n v="3.1900397344552101"/>
    <d v="2016-01-10T11:55:32"/>
    <n v="15.35"/>
    <x v="257"/>
    <n v="1"/>
    <n v="2.2999999999999998"/>
    <n v="0"/>
    <n v="0"/>
    <n v="2.2999999999999998"/>
    <x v="244"/>
    <x v="0"/>
    <x v="486"/>
    <x v="278"/>
    <n v="14"/>
    <e v="#N/A"/>
    <e v="#N/A"/>
  </r>
  <r>
    <n v="964"/>
    <d v="2016-01-10T11:09:32"/>
    <d v="2016-01-10T11:24:32"/>
    <x v="2"/>
    <m/>
    <m/>
    <x v="1"/>
    <n v="70805"/>
    <n v="3.9118802218409199"/>
    <d v="2016-01-10T11:44:05"/>
    <n v="11.59"/>
    <x v="454"/>
    <n v="1"/>
    <n v="1.7"/>
    <n v="0"/>
    <n v="0"/>
    <n v="1.7"/>
    <x v="441"/>
    <x v="1"/>
    <x v="487"/>
    <x v="0"/>
    <n v="10"/>
    <e v="#N/A"/>
    <e v="#N/A"/>
  </r>
  <r>
    <n v="965"/>
    <d v="2016-01-11T11:10:13"/>
    <d v="2016-01-11T11:25:12"/>
    <x v="0"/>
    <m/>
    <m/>
    <x v="1"/>
    <n v="70804"/>
    <n v="5.0029703802554497"/>
    <d v="2016-01-11T11:50:12"/>
    <n v="7.99"/>
    <x v="455"/>
    <n v="1"/>
    <n v="1"/>
    <n v="0"/>
    <n v="0"/>
    <n v="1"/>
    <x v="442"/>
    <x v="1"/>
    <x v="488"/>
    <x v="0"/>
    <n v="7"/>
    <e v="#N/A"/>
    <e v="#N/A"/>
  </r>
  <r>
    <n v="966"/>
    <d v="2016-01-11T11:43:48"/>
    <d v="2016-01-11T11:58:45"/>
    <x v="0"/>
    <m/>
    <m/>
    <x v="1"/>
    <n v="70805"/>
    <n v="4.6381335542169602"/>
    <d v="2016-01-11T12:21:56"/>
    <n v="7.99"/>
    <x v="456"/>
    <n v="1"/>
    <n v="1"/>
    <n v="0"/>
    <n v="0"/>
    <n v="1"/>
    <x v="443"/>
    <x v="1"/>
    <x v="489"/>
    <x v="0"/>
    <n v="7"/>
    <e v="#N/A"/>
    <e v="#N/A"/>
  </r>
  <r>
    <n v="967"/>
    <d v="2016-01-11T12:04:53"/>
    <d v="2016-01-11T12:19:52"/>
    <x v="2"/>
    <m/>
    <m/>
    <x v="0"/>
    <n v="70804"/>
    <n v="0"/>
    <d v="2016-01-11T12:22:53"/>
    <n v="11.59"/>
    <x v="56"/>
    <n v="1"/>
    <n v="1.7"/>
    <n v="0"/>
    <n v="0"/>
    <n v="1.7"/>
    <x v="0"/>
    <x v="0"/>
    <x v="0"/>
    <x v="0"/>
    <n v="10"/>
    <e v="#N/A"/>
    <e v="#N/A"/>
  </r>
  <r>
    <n v="968"/>
    <d v="2016-01-11T12:35:12"/>
    <d v="2016-01-11T12:50:11"/>
    <x v="2"/>
    <m/>
    <m/>
    <x v="1"/>
    <n v="70806"/>
    <n v="1.12286084305772"/>
    <d v="2016-01-11T12:55:47"/>
    <n v="11.59"/>
    <x v="457"/>
    <n v="1"/>
    <n v="1.7"/>
    <n v="0"/>
    <n v="0"/>
    <n v="1.7"/>
    <x v="444"/>
    <x v="0"/>
    <x v="490"/>
    <x v="279"/>
    <n v="10"/>
    <e v="#N/A"/>
    <e v="#N/A"/>
  </r>
  <r>
    <n v="969"/>
    <d v="2016-01-11T13:25:40"/>
    <d v="2016-01-11T13:40:38"/>
    <x v="0"/>
    <m/>
    <m/>
    <x v="1"/>
    <n v="70805"/>
    <n v="3.3520562463035999"/>
    <d v="2016-01-11T13:57:23"/>
    <n v="7.99"/>
    <x v="458"/>
    <n v="1"/>
    <n v="1"/>
    <n v="0"/>
    <n v="0"/>
    <n v="1"/>
    <x v="445"/>
    <x v="1"/>
    <x v="491"/>
    <x v="0"/>
    <n v="7"/>
    <e v="#N/A"/>
    <e v="#N/A"/>
  </r>
  <r>
    <n v="970"/>
    <d v="2016-01-11T14:13:48"/>
    <d v="2016-01-11T14:28:48"/>
    <x v="0"/>
    <s v="Large"/>
    <m/>
    <x v="1"/>
    <n v="70806"/>
    <n v="4.2264476510380202"/>
    <d v="2016-01-11T14:49:55"/>
    <n v="23.34"/>
    <x v="459"/>
    <n v="2"/>
    <n v="1"/>
    <n v="2.2999999999999998"/>
    <n v="0"/>
    <n v="3.3"/>
    <x v="446"/>
    <x v="1"/>
    <x v="492"/>
    <x v="0"/>
    <n v="7"/>
    <n v="14"/>
    <e v="#N/A"/>
  </r>
  <r>
    <n v="971"/>
    <d v="2016-01-11T11:29:41"/>
    <d v="2016-01-11T11:44:41"/>
    <x v="0"/>
    <s v="Medium"/>
    <s v="Large"/>
    <x v="1"/>
    <n v="70804"/>
    <n v="2.5904276121458398"/>
    <d v="2016-01-11T11:57:38"/>
    <n v="33.93"/>
    <x v="447"/>
    <n v="3"/>
    <n v="1"/>
    <n v="1.7"/>
    <n v="2.2999999999999998"/>
    <n v="5"/>
    <x v="434"/>
    <x v="0"/>
    <x v="493"/>
    <x v="280"/>
    <n v="7"/>
    <n v="10"/>
    <n v="14"/>
  </r>
  <r>
    <n v="972"/>
    <d v="2016-01-11T13:58:45"/>
    <d v="2016-01-11T14:13:46"/>
    <x v="0"/>
    <m/>
    <m/>
    <x v="1"/>
    <n v="70804"/>
    <n v="1.94425431047178"/>
    <d v="2016-01-11T14:23:29"/>
    <n v="7.99"/>
    <x v="60"/>
    <n v="1"/>
    <n v="1"/>
    <n v="0"/>
    <n v="0"/>
    <n v="1"/>
    <x v="53"/>
    <x v="0"/>
    <x v="494"/>
    <x v="281"/>
    <n v="7"/>
    <e v="#N/A"/>
    <e v="#N/A"/>
  </r>
  <r>
    <n v="973"/>
    <d v="2016-01-11T11:47:02"/>
    <d v="2016-01-11T12:02:01"/>
    <x v="0"/>
    <s v="Medium"/>
    <m/>
    <x v="0"/>
    <n v="70805"/>
    <n v="0"/>
    <d v="2016-01-11T12:05:00"/>
    <n v="19.579999999999998"/>
    <x v="24"/>
    <n v="2"/>
    <n v="1"/>
    <n v="1.7"/>
    <n v="0"/>
    <n v="2.7"/>
    <x v="0"/>
    <x v="0"/>
    <x v="0"/>
    <x v="0"/>
    <n v="7"/>
    <n v="10"/>
    <e v="#N/A"/>
  </r>
  <r>
    <n v="974"/>
    <d v="2016-01-11T12:26:14"/>
    <d v="2016-01-11T12:41:13"/>
    <x v="0"/>
    <s v="Medium"/>
    <m/>
    <x v="1"/>
    <n v="70805"/>
    <n v="3.01970799804125"/>
    <d v="2016-01-11T12:56:18"/>
    <n v="19.579999999999998"/>
    <x v="460"/>
    <n v="2"/>
    <n v="1"/>
    <n v="1.7"/>
    <n v="0"/>
    <n v="2.7"/>
    <x v="447"/>
    <x v="0"/>
    <x v="495"/>
    <x v="282"/>
    <n v="7"/>
    <n v="10"/>
    <e v="#N/A"/>
  </r>
  <r>
    <n v="975"/>
    <d v="2016-01-11T11:16:17"/>
    <d v="2016-01-11T11:31:16"/>
    <x v="0"/>
    <s v="Medium"/>
    <m/>
    <x v="1"/>
    <n v="70805"/>
    <n v="2.56196176503934"/>
    <d v="2016-01-11T11:44:04"/>
    <n v="19.579999999999998"/>
    <x v="461"/>
    <n v="2"/>
    <n v="1"/>
    <n v="1.7"/>
    <n v="0"/>
    <n v="2.7"/>
    <x v="448"/>
    <x v="0"/>
    <x v="496"/>
    <x v="283"/>
    <n v="7"/>
    <n v="10"/>
    <e v="#N/A"/>
  </r>
  <r>
    <n v="976"/>
    <d v="2016-01-11T12:32:35"/>
    <d v="2016-01-11T12:47:35"/>
    <x v="0"/>
    <m/>
    <m/>
    <x v="1"/>
    <n v="70808"/>
    <n v="0.88712829595254095"/>
    <d v="2016-01-11T12:52:01"/>
    <n v="7.99"/>
    <x v="246"/>
    <n v="1"/>
    <n v="1"/>
    <n v="0"/>
    <n v="0"/>
    <n v="1"/>
    <x v="233"/>
    <x v="0"/>
    <x v="497"/>
    <x v="284"/>
    <n v="7"/>
    <e v="#N/A"/>
    <e v="#N/A"/>
  </r>
  <r>
    <n v="977"/>
    <d v="2016-01-11T11:26:55"/>
    <d v="2016-01-11T11:41:54"/>
    <x v="2"/>
    <m/>
    <m/>
    <x v="1"/>
    <n v="70806"/>
    <n v="3.9579237755916399"/>
    <d v="2016-01-11T12:01:41"/>
    <n v="11.59"/>
    <x v="462"/>
    <n v="1"/>
    <n v="1.7"/>
    <n v="0"/>
    <n v="0"/>
    <n v="1.7"/>
    <x v="449"/>
    <x v="1"/>
    <x v="498"/>
    <x v="0"/>
    <n v="10"/>
    <e v="#N/A"/>
    <e v="#N/A"/>
  </r>
  <r>
    <n v="978"/>
    <d v="2016-01-11T10:37:07"/>
    <d v="2016-01-11T10:52:06"/>
    <x v="0"/>
    <m/>
    <m/>
    <x v="0"/>
    <n v="70805"/>
    <n v="0"/>
    <d v="2016-01-11T10:55:05"/>
    <n v="7.99"/>
    <x v="24"/>
    <n v="1"/>
    <n v="1"/>
    <n v="0"/>
    <n v="0"/>
    <n v="1"/>
    <x v="0"/>
    <x v="0"/>
    <x v="0"/>
    <x v="0"/>
    <n v="7"/>
    <e v="#N/A"/>
    <e v="#N/A"/>
  </r>
  <r>
    <n v="979"/>
    <d v="2016-01-11T11:13:35"/>
    <d v="2016-01-11T11:28:37"/>
    <x v="0"/>
    <m/>
    <m/>
    <x v="1"/>
    <n v="70804"/>
    <n v="1.70835536586235"/>
    <d v="2016-01-11T11:37:09"/>
    <n v="7.99"/>
    <x v="463"/>
    <n v="1"/>
    <n v="1"/>
    <n v="0"/>
    <n v="0"/>
    <n v="1"/>
    <x v="450"/>
    <x v="0"/>
    <x v="499"/>
    <x v="285"/>
    <n v="7"/>
    <e v="#N/A"/>
    <e v="#N/A"/>
  </r>
  <r>
    <n v="980"/>
    <d v="2016-01-11T11:22:04"/>
    <d v="2016-01-11T11:37:03"/>
    <x v="0"/>
    <s v="Medium"/>
    <m/>
    <x v="0"/>
    <n v="70805"/>
    <n v="0"/>
    <d v="2016-01-11T11:40:02"/>
    <n v="19.579999999999998"/>
    <x v="24"/>
    <n v="2"/>
    <n v="1"/>
    <n v="1.7"/>
    <n v="0"/>
    <n v="2.7"/>
    <x v="0"/>
    <x v="0"/>
    <x v="0"/>
    <x v="0"/>
    <n v="7"/>
    <n v="10"/>
    <e v="#N/A"/>
  </r>
  <r>
    <n v="981"/>
    <d v="2016-01-11T13:42:49"/>
    <d v="2016-01-11T13:57:50"/>
    <x v="0"/>
    <m/>
    <m/>
    <x v="1"/>
    <n v="70805"/>
    <n v="4.9282707790035101"/>
    <d v="2016-01-11T14:22:28"/>
    <n v="7.99"/>
    <x v="464"/>
    <n v="1"/>
    <n v="1"/>
    <n v="0"/>
    <n v="0"/>
    <n v="1"/>
    <x v="451"/>
    <x v="1"/>
    <x v="500"/>
    <x v="0"/>
    <n v="7"/>
    <e v="#N/A"/>
    <e v="#N/A"/>
  </r>
  <r>
    <n v="982"/>
    <d v="2016-01-11T11:31:30"/>
    <d v="2016-01-11T11:46:28"/>
    <x v="0"/>
    <m/>
    <m/>
    <x v="0"/>
    <n v="70804"/>
    <n v="0"/>
    <d v="2016-01-11T11:49:27"/>
    <n v="7.99"/>
    <x v="24"/>
    <n v="1"/>
    <n v="1"/>
    <n v="0"/>
    <n v="0"/>
    <n v="1"/>
    <x v="0"/>
    <x v="0"/>
    <x v="0"/>
    <x v="0"/>
    <n v="7"/>
    <e v="#N/A"/>
    <e v="#N/A"/>
  </r>
  <r>
    <n v="983"/>
    <d v="2016-01-11T12:42:25"/>
    <d v="2016-01-11T12:57:24"/>
    <x v="2"/>
    <m/>
    <m/>
    <x v="0"/>
    <n v="70804"/>
    <n v="0"/>
    <d v="2016-01-11T13:00:22"/>
    <n v="11.59"/>
    <x v="0"/>
    <n v="1"/>
    <n v="1.7"/>
    <n v="0"/>
    <n v="0"/>
    <n v="1.7"/>
    <x v="0"/>
    <x v="0"/>
    <x v="0"/>
    <x v="0"/>
    <n v="10"/>
    <e v="#N/A"/>
    <e v="#N/A"/>
  </r>
  <r>
    <n v="984"/>
    <d v="2016-01-11T11:15:29"/>
    <d v="2016-01-11T11:30:29"/>
    <x v="2"/>
    <m/>
    <m/>
    <x v="1"/>
    <n v="70805"/>
    <n v="3.06105434523987"/>
    <d v="2016-01-11T11:45:47"/>
    <n v="11.59"/>
    <x v="465"/>
    <n v="1"/>
    <n v="1.7"/>
    <n v="0"/>
    <n v="0"/>
    <n v="1.7"/>
    <x v="452"/>
    <x v="0"/>
    <x v="501"/>
    <x v="286"/>
    <n v="10"/>
    <e v="#N/A"/>
    <e v="#N/A"/>
  </r>
  <r>
    <n v="985"/>
    <d v="2016-01-11T10:26:44"/>
    <d v="2016-01-11T10:41:44"/>
    <x v="1"/>
    <m/>
    <m/>
    <x v="0"/>
    <n v="70804"/>
    <n v="0"/>
    <d v="2016-01-11T10:44:43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986"/>
    <d v="2016-01-11T11:04:54"/>
    <d v="2016-01-11T11:19:53"/>
    <x v="0"/>
    <s v="Medium"/>
    <m/>
    <x v="1"/>
    <n v="70805"/>
    <n v="1.74756379576123"/>
    <d v="2016-01-11T11:28:37"/>
    <n v="19.579999999999998"/>
    <x v="397"/>
    <n v="2"/>
    <n v="1"/>
    <n v="1.7"/>
    <n v="0"/>
    <n v="2.7"/>
    <x v="384"/>
    <x v="0"/>
    <x v="502"/>
    <x v="287"/>
    <n v="7"/>
    <n v="10"/>
    <e v="#N/A"/>
  </r>
  <r>
    <n v="987"/>
    <d v="2016-01-11T11:23:43"/>
    <d v="2016-01-11T11:38:42"/>
    <x v="2"/>
    <m/>
    <m/>
    <x v="1"/>
    <n v="70803"/>
    <n v="1.63707859158011"/>
    <d v="2016-01-11T11:46:53"/>
    <n v="11.59"/>
    <x v="466"/>
    <n v="1"/>
    <n v="1.7"/>
    <n v="0"/>
    <n v="0"/>
    <n v="1.7"/>
    <x v="453"/>
    <x v="0"/>
    <x v="503"/>
    <x v="288"/>
    <n v="10"/>
    <e v="#N/A"/>
    <e v="#N/A"/>
  </r>
  <r>
    <n v="988"/>
    <d v="2016-01-11T11:15:43"/>
    <d v="2016-01-11T11:30:43"/>
    <x v="0"/>
    <s v="Medium"/>
    <m/>
    <x v="1"/>
    <n v="70804"/>
    <n v="2.4127197532775901"/>
    <d v="2016-01-11T11:42:46"/>
    <n v="19.579999999999998"/>
    <x v="467"/>
    <n v="2"/>
    <n v="1"/>
    <n v="1.7"/>
    <n v="0"/>
    <n v="2.7"/>
    <x v="454"/>
    <x v="0"/>
    <x v="504"/>
    <x v="289"/>
    <n v="7"/>
    <n v="10"/>
    <e v="#N/A"/>
  </r>
  <r>
    <n v="989"/>
    <d v="2016-01-11T11:09:34"/>
    <d v="2016-01-11T11:24:33"/>
    <x v="2"/>
    <m/>
    <m/>
    <x v="0"/>
    <n v="70803"/>
    <n v="0"/>
    <d v="2016-01-11T11:27:34"/>
    <n v="11.59"/>
    <x v="14"/>
    <n v="1"/>
    <n v="1.7"/>
    <n v="0"/>
    <n v="0"/>
    <n v="1.7"/>
    <x v="0"/>
    <x v="0"/>
    <x v="0"/>
    <x v="0"/>
    <n v="10"/>
    <e v="#N/A"/>
    <e v="#N/A"/>
  </r>
  <r>
    <n v="990"/>
    <d v="2016-01-11T13:28:27"/>
    <d v="2016-01-11T13:43:28"/>
    <x v="2"/>
    <m/>
    <m/>
    <x v="0"/>
    <n v="70806"/>
    <n v="0"/>
    <d v="2016-01-11T13:46:26"/>
    <n v="11.59"/>
    <x v="19"/>
    <n v="1"/>
    <n v="1.7"/>
    <n v="0"/>
    <n v="0"/>
    <n v="1.7"/>
    <x v="0"/>
    <x v="0"/>
    <x v="0"/>
    <x v="0"/>
    <n v="10"/>
    <e v="#N/A"/>
    <e v="#N/A"/>
  </r>
  <r>
    <n v="991"/>
    <d v="2016-01-11T11:25:35"/>
    <d v="2016-01-11T11:40:34"/>
    <x v="0"/>
    <s v="Large"/>
    <m/>
    <x v="1"/>
    <n v="70804"/>
    <n v="2.0956189567229999"/>
    <d v="2016-01-11T11:51:02"/>
    <n v="23.34"/>
    <x v="468"/>
    <n v="2"/>
    <n v="1"/>
    <n v="2.2999999999999998"/>
    <n v="0"/>
    <n v="3.3"/>
    <x v="455"/>
    <x v="0"/>
    <x v="505"/>
    <x v="290"/>
    <n v="7"/>
    <n v="14"/>
    <e v="#N/A"/>
  </r>
  <r>
    <n v="992"/>
    <d v="2016-01-11T10:27:58"/>
    <d v="2016-01-11T10:42:56"/>
    <x v="1"/>
    <m/>
    <m/>
    <x v="0"/>
    <n v="70806"/>
    <n v="0"/>
    <d v="2016-01-11T10:45:56"/>
    <n v="15.35"/>
    <x v="63"/>
    <n v="1"/>
    <n v="2.2999999999999998"/>
    <n v="0"/>
    <n v="0"/>
    <n v="2.2999999999999998"/>
    <x v="0"/>
    <x v="0"/>
    <x v="0"/>
    <x v="0"/>
    <n v="14"/>
    <e v="#N/A"/>
    <e v="#N/A"/>
  </r>
  <r>
    <n v="993"/>
    <d v="2016-01-11T12:55:01"/>
    <d v="2016-01-11T13:09:59"/>
    <x v="0"/>
    <s v="Medium"/>
    <m/>
    <x v="0"/>
    <n v="70807"/>
    <n v="0"/>
    <d v="2016-01-11T13:12:59"/>
    <n v="19.579999999999998"/>
    <x v="2"/>
    <n v="2"/>
    <n v="1"/>
    <n v="1.7"/>
    <n v="0"/>
    <n v="2.7"/>
    <x v="0"/>
    <x v="0"/>
    <x v="0"/>
    <x v="0"/>
    <n v="7"/>
    <n v="10"/>
    <e v="#N/A"/>
  </r>
  <r>
    <n v="994"/>
    <d v="2016-01-11T10:16:28"/>
    <d v="2016-01-11T10:31:27"/>
    <x v="1"/>
    <m/>
    <m/>
    <x v="1"/>
    <n v="70805"/>
    <n v="4.1060321902483103"/>
    <d v="2016-01-11T10:51:58"/>
    <n v="15.35"/>
    <x v="469"/>
    <n v="1"/>
    <n v="2.2999999999999998"/>
    <n v="0"/>
    <n v="0"/>
    <n v="2.2999999999999998"/>
    <x v="456"/>
    <x v="1"/>
    <x v="506"/>
    <x v="0"/>
    <n v="14"/>
    <e v="#N/A"/>
    <e v="#N/A"/>
  </r>
  <r>
    <n v="995"/>
    <d v="2016-01-11T11:21:58"/>
    <d v="2016-01-11T11:36:58"/>
    <x v="2"/>
    <m/>
    <m/>
    <x v="0"/>
    <n v="70806"/>
    <n v="0"/>
    <d v="2016-01-11T11:39:58"/>
    <n v="11.59"/>
    <x v="2"/>
    <n v="1"/>
    <n v="1.7"/>
    <n v="0"/>
    <n v="0"/>
    <n v="1.7"/>
    <x v="0"/>
    <x v="0"/>
    <x v="0"/>
    <x v="0"/>
    <n v="10"/>
    <e v="#N/A"/>
    <e v="#N/A"/>
  </r>
  <r>
    <n v="996"/>
    <d v="2016-01-11T10:32:30"/>
    <d v="2016-01-11T10:47:29"/>
    <x v="2"/>
    <m/>
    <m/>
    <x v="0"/>
    <n v="70804"/>
    <n v="0"/>
    <d v="2016-01-11T10:50:28"/>
    <n v="11.59"/>
    <x v="24"/>
    <n v="1"/>
    <n v="1.7"/>
    <n v="0"/>
    <n v="0"/>
    <n v="1.7"/>
    <x v="0"/>
    <x v="0"/>
    <x v="0"/>
    <x v="0"/>
    <n v="10"/>
    <e v="#N/A"/>
    <e v="#N/A"/>
  </r>
  <r>
    <n v="997"/>
    <d v="2016-01-11T10:45:43"/>
    <d v="2016-01-11T11:00:42"/>
    <x v="2"/>
    <m/>
    <m/>
    <x v="0"/>
    <n v="70808"/>
    <n v="0"/>
    <d v="2016-01-11T11:03:41"/>
    <n v="11.59"/>
    <x v="24"/>
    <n v="1"/>
    <n v="1.7"/>
    <n v="0"/>
    <n v="0"/>
    <n v="1.7"/>
    <x v="0"/>
    <x v="0"/>
    <x v="0"/>
    <x v="0"/>
    <n v="10"/>
    <e v="#N/A"/>
    <e v="#N/A"/>
  </r>
  <r>
    <n v="998"/>
    <d v="2016-01-11T11:51:31"/>
    <d v="2016-01-11T12:06:30"/>
    <x v="0"/>
    <m/>
    <m/>
    <x v="1"/>
    <n v="70804"/>
    <n v="3.09713517372733"/>
    <d v="2016-01-11T12:21:59"/>
    <n v="7.99"/>
    <x v="470"/>
    <n v="1"/>
    <n v="1"/>
    <n v="0"/>
    <n v="0"/>
    <n v="1"/>
    <x v="457"/>
    <x v="0"/>
    <x v="507"/>
    <x v="291"/>
    <n v="7"/>
    <e v="#N/A"/>
    <e v="#N/A"/>
  </r>
  <r>
    <n v="999"/>
    <d v="2016-01-11T11:28:45"/>
    <d v="2016-01-11T11:43:44"/>
    <x v="2"/>
    <m/>
    <m/>
    <x v="1"/>
    <n v="70804"/>
    <n v="3.7480151284650001"/>
    <d v="2016-01-11T12:02:28"/>
    <n v="11.59"/>
    <x v="471"/>
    <n v="1"/>
    <n v="1.7"/>
    <n v="0"/>
    <n v="0"/>
    <n v="1.7"/>
    <x v="458"/>
    <x v="1"/>
    <x v="508"/>
    <x v="0"/>
    <n v="10"/>
    <e v="#N/A"/>
    <e v="#N/A"/>
  </r>
  <r>
    <n v="1000"/>
    <d v="2016-01-11T12:51:25"/>
    <d v="2016-01-11T13:06:24"/>
    <x v="2"/>
    <m/>
    <m/>
    <x v="1"/>
    <n v="70805"/>
    <n v="2.4956274696621898"/>
    <d v="2016-01-11T13:18:52"/>
    <n v="11.59"/>
    <x v="472"/>
    <n v="1"/>
    <n v="1.7"/>
    <n v="0"/>
    <n v="0"/>
    <n v="1.7"/>
    <x v="459"/>
    <x v="0"/>
    <x v="509"/>
    <x v="292"/>
    <n v="10"/>
    <e v="#N/A"/>
    <e v="#N/A"/>
  </r>
  <r>
    <n v="1001"/>
    <d v="2016-01-11T12:35:26"/>
    <d v="2016-01-11T12:50:27"/>
    <x v="2"/>
    <m/>
    <m/>
    <x v="0"/>
    <n v="70804"/>
    <n v="0"/>
    <d v="2016-01-11T12:53:27"/>
    <n v="11.59"/>
    <x v="2"/>
    <n v="1"/>
    <n v="1.7"/>
    <n v="0"/>
    <n v="0"/>
    <n v="1.7"/>
    <x v="0"/>
    <x v="0"/>
    <x v="0"/>
    <x v="0"/>
    <n v="10"/>
    <e v="#N/A"/>
    <e v="#N/A"/>
  </r>
  <r>
    <n v="1002"/>
    <d v="2016-01-11T12:22:52"/>
    <d v="2016-01-11T12:37:52"/>
    <x v="1"/>
    <m/>
    <m/>
    <x v="1"/>
    <n v="70805"/>
    <n v="1.4968833848190199"/>
    <d v="2016-01-11T12:45:21"/>
    <n v="15.35"/>
    <x v="473"/>
    <n v="1"/>
    <n v="2.2999999999999998"/>
    <n v="0"/>
    <n v="0"/>
    <n v="2.2999999999999998"/>
    <x v="460"/>
    <x v="0"/>
    <x v="510"/>
    <x v="293"/>
    <n v="14"/>
    <e v="#N/A"/>
    <e v="#N/A"/>
  </r>
  <r>
    <n v="1003"/>
    <d v="2016-01-11T10:25:28"/>
    <d v="2016-01-11T10:40:29"/>
    <x v="0"/>
    <s v="Large"/>
    <m/>
    <x v="0"/>
    <n v="70804"/>
    <n v="0"/>
    <d v="2016-01-11T10:43:30"/>
    <n v="23.34"/>
    <x v="14"/>
    <n v="2"/>
    <n v="1"/>
    <n v="2.2999999999999998"/>
    <n v="0"/>
    <n v="3.3"/>
    <x v="0"/>
    <x v="0"/>
    <x v="0"/>
    <x v="0"/>
    <n v="7"/>
    <n v="14"/>
    <e v="#N/A"/>
  </r>
  <r>
    <n v="1004"/>
    <d v="2016-01-11T13:42:38"/>
    <d v="2016-01-11T13:57:38"/>
    <x v="2"/>
    <m/>
    <m/>
    <x v="0"/>
    <n v="70806"/>
    <n v="0"/>
    <d v="2016-01-11T14:00:37"/>
    <n v="11.59"/>
    <x v="1"/>
    <n v="1"/>
    <n v="1.7"/>
    <n v="0"/>
    <n v="0"/>
    <n v="1.7"/>
    <x v="0"/>
    <x v="0"/>
    <x v="0"/>
    <x v="0"/>
    <n v="10"/>
    <e v="#N/A"/>
    <e v="#N/A"/>
  </r>
  <r>
    <n v="1005"/>
    <d v="2016-01-11T11:11:34"/>
    <d v="2016-01-11T11:26:35"/>
    <x v="0"/>
    <s v="Large"/>
    <m/>
    <x v="1"/>
    <n v="70805"/>
    <n v="3.8917914303085799"/>
    <d v="2016-01-11T11:46:02"/>
    <n v="23.34"/>
    <x v="225"/>
    <n v="2"/>
    <n v="1"/>
    <n v="2.2999999999999998"/>
    <n v="0"/>
    <n v="3.3"/>
    <x v="213"/>
    <x v="1"/>
    <x v="511"/>
    <x v="0"/>
    <n v="7"/>
    <n v="14"/>
    <e v="#N/A"/>
  </r>
  <r>
    <n v="1006"/>
    <d v="2016-01-11T12:26:47"/>
    <d v="2016-01-11T12:41:47"/>
    <x v="0"/>
    <s v="Medium"/>
    <m/>
    <x v="1"/>
    <n v="70804"/>
    <n v="2.79604109235818"/>
    <d v="2016-01-11T12:55:45"/>
    <n v="19.579999999999998"/>
    <x v="474"/>
    <n v="2"/>
    <n v="1"/>
    <n v="1.7"/>
    <n v="0"/>
    <n v="2.7"/>
    <x v="461"/>
    <x v="0"/>
    <x v="512"/>
    <x v="294"/>
    <n v="7"/>
    <n v="10"/>
    <e v="#N/A"/>
  </r>
  <r>
    <n v="1007"/>
    <d v="2016-01-11T13:35:46"/>
    <d v="2016-01-11T13:50:45"/>
    <x v="2"/>
    <m/>
    <m/>
    <x v="0"/>
    <n v="70805"/>
    <n v="0"/>
    <d v="2016-01-11T13:53:44"/>
    <n v="11.59"/>
    <x v="24"/>
    <n v="1"/>
    <n v="1.7"/>
    <n v="0"/>
    <n v="0"/>
    <n v="1.7"/>
    <x v="0"/>
    <x v="0"/>
    <x v="0"/>
    <x v="0"/>
    <n v="10"/>
    <e v="#N/A"/>
    <e v="#N/A"/>
  </r>
  <r>
    <n v="1008"/>
    <d v="2016-01-11T12:08:28"/>
    <d v="2016-01-11T12:23:28"/>
    <x v="0"/>
    <s v="Medium"/>
    <m/>
    <x v="0"/>
    <n v="70807"/>
    <n v="0"/>
    <d v="2016-01-11T12:26:29"/>
    <n v="19.579999999999998"/>
    <x v="14"/>
    <n v="2"/>
    <n v="1"/>
    <n v="1.7"/>
    <n v="0"/>
    <n v="2.7"/>
    <x v="0"/>
    <x v="0"/>
    <x v="0"/>
    <x v="0"/>
    <n v="7"/>
    <n v="10"/>
    <e v="#N/A"/>
  </r>
  <r>
    <n v="1009"/>
    <d v="2016-01-11T11:27:43"/>
    <d v="2016-01-11T11:42:43"/>
    <x v="2"/>
    <m/>
    <m/>
    <x v="1"/>
    <n v="70805"/>
    <n v="1.9595570890155201"/>
    <d v="2016-01-11T11:52:30"/>
    <n v="11.59"/>
    <x v="475"/>
    <n v="1"/>
    <n v="1.7"/>
    <n v="0"/>
    <n v="0"/>
    <n v="1.7"/>
    <x v="462"/>
    <x v="0"/>
    <x v="513"/>
    <x v="295"/>
    <n v="10"/>
    <e v="#N/A"/>
    <e v="#N/A"/>
  </r>
  <r>
    <n v="1010"/>
    <d v="2016-01-11T11:14:03"/>
    <d v="2016-01-11T11:29:03"/>
    <x v="0"/>
    <s v="Medium"/>
    <m/>
    <x v="1"/>
    <n v="70808"/>
    <n v="1.8735961521715201"/>
    <d v="2016-01-11T11:38:25"/>
    <n v="19.579999999999998"/>
    <x v="23"/>
    <n v="2"/>
    <n v="1"/>
    <n v="1.7"/>
    <n v="0"/>
    <n v="2.7"/>
    <x v="18"/>
    <x v="0"/>
    <x v="514"/>
    <x v="296"/>
    <n v="7"/>
    <n v="10"/>
    <e v="#N/A"/>
  </r>
  <r>
    <n v="1011"/>
    <d v="2016-01-11T11:06:42"/>
    <d v="2016-01-11T11:21:42"/>
    <x v="1"/>
    <m/>
    <m/>
    <x v="0"/>
    <n v="70805"/>
    <n v="0"/>
    <d v="2016-01-11T11:24:43"/>
    <n v="15.35"/>
    <x v="56"/>
    <n v="1"/>
    <n v="2.2999999999999998"/>
    <n v="0"/>
    <n v="0"/>
    <n v="2.2999999999999998"/>
    <x v="0"/>
    <x v="0"/>
    <x v="0"/>
    <x v="0"/>
    <n v="14"/>
    <e v="#N/A"/>
    <e v="#N/A"/>
  </r>
  <r>
    <n v="1012"/>
    <d v="2016-01-11T12:28:34"/>
    <d v="2016-01-11T12:43:33"/>
    <x v="2"/>
    <m/>
    <m/>
    <x v="1"/>
    <n v="70805"/>
    <n v="3.8912597164256799"/>
    <d v="2016-01-11T13:03:00"/>
    <n v="11.59"/>
    <x v="225"/>
    <n v="1"/>
    <n v="1.7"/>
    <n v="0"/>
    <n v="0"/>
    <n v="1.7"/>
    <x v="213"/>
    <x v="1"/>
    <x v="515"/>
    <x v="0"/>
    <n v="10"/>
    <e v="#N/A"/>
    <e v="#N/A"/>
  </r>
  <r>
    <n v="1013"/>
    <d v="2016-01-11T12:10:36"/>
    <d v="2016-01-11T12:25:38"/>
    <x v="2"/>
    <m/>
    <m/>
    <x v="1"/>
    <n v="70805"/>
    <n v="0.92288771619889898"/>
    <d v="2016-01-11T12:30:14"/>
    <n v="11.59"/>
    <x v="476"/>
    <n v="1"/>
    <n v="1.7"/>
    <n v="0"/>
    <n v="0"/>
    <n v="1.7"/>
    <x v="463"/>
    <x v="0"/>
    <x v="516"/>
    <x v="297"/>
    <n v="10"/>
    <e v="#N/A"/>
    <e v="#N/A"/>
  </r>
  <r>
    <n v="1014"/>
    <d v="2016-01-11T11:34:39"/>
    <d v="2016-01-11T11:49:40"/>
    <x v="2"/>
    <m/>
    <m/>
    <x v="0"/>
    <n v="70805"/>
    <n v="0"/>
    <d v="2016-01-11T11:52:38"/>
    <n v="11.59"/>
    <x v="19"/>
    <n v="1"/>
    <n v="1.7"/>
    <n v="0"/>
    <n v="0"/>
    <n v="1.7"/>
    <x v="0"/>
    <x v="0"/>
    <x v="0"/>
    <x v="0"/>
    <n v="10"/>
    <e v="#N/A"/>
    <e v="#N/A"/>
  </r>
  <r>
    <n v="1015"/>
    <d v="2016-01-11T11:25:25"/>
    <d v="2016-01-11T11:40:24"/>
    <x v="0"/>
    <s v="Medium"/>
    <m/>
    <x v="0"/>
    <n v="70804"/>
    <n v="0"/>
    <d v="2016-01-11T11:43:23"/>
    <n v="19.579999999999998"/>
    <x v="1"/>
    <n v="2"/>
    <n v="1"/>
    <n v="1.7"/>
    <n v="0"/>
    <n v="2.7"/>
    <x v="0"/>
    <x v="0"/>
    <x v="0"/>
    <x v="0"/>
    <n v="7"/>
    <n v="10"/>
    <e v="#N/A"/>
  </r>
  <r>
    <n v="1016"/>
    <d v="2016-01-11T12:55:50"/>
    <d v="2016-01-11T13:10:49"/>
    <x v="0"/>
    <s v="Large"/>
    <m/>
    <x v="1"/>
    <n v="70803"/>
    <n v="1.71825832419332"/>
    <d v="2016-01-11T13:19:24"/>
    <n v="23.34"/>
    <x v="477"/>
    <n v="2"/>
    <n v="1"/>
    <n v="2.2999999999999998"/>
    <n v="0"/>
    <n v="3.3"/>
    <x v="464"/>
    <x v="0"/>
    <x v="517"/>
    <x v="298"/>
    <n v="7"/>
    <n v="14"/>
    <e v="#N/A"/>
  </r>
  <r>
    <n v="1017"/>
    <d v="2016-01-11T11:08:47"/>
    <d v="2016-01-11T11:23:48"/>
    <x v="0"/>
    <s v="Large"/>
    <m/>
    <x v="1"/>
    <n v="70805"/>
    <n v="2.66467987052035"/>
    <d v="2016-01-11T11:37:07"/>
    <n v="23.34"/>
    <x v="180"/>
    <n v="2"/>
    <n v="1"/>
    <n v="2.2999999999999998"/>
    <n v="0"/>
    <n v="3.3"/>
    <x v="168"/>
    <x v="0"/>
    <x v="518"/>
    <x v="299"/>
    <n v="7"/>
    <n v="14"/>
    <e v="#N/A"/>
  </r>
  <r>
    <n v="1018"/>
    <d v="2016-01-11T12:44:04"/>
    <d v="2016-01-11T12:59:02"/>
    <x v="2"/>
    <m/>
    <m/>
    <x v="0"/>
    <n v="70804"/>
    <n v="0"/>
    <d v="2016-01-11T13:02:00"/>
    <n v="11.59"/>
    <x v="0"/>
    <n v="1"/>
    <n v="1.7"/>
    <n v="0"/>
    <n v="0"/>
    <n v="1.7"/>
    <x v="0"/>
    <x v="0"/>
    <x v="0"/>
    <x v="0"/>
    <n v="10"/>
    <e v="#N/A"/>
    <e v="#N/A"/>
  </r>
  <r>
    <n v="1019"/>
    <d v="2016-01-11T12:43:38"/>
    <d v="2016-01-11T12:58:38"/>
    <x v="0"/>
    <s v="Medium"/>
    <m/>
    <x v="0"/>
    <n v="70806"/>
    <n v="0"/>
    <d v="2016-01-11T13:01:38"/>
    <n v="19.579999999999998"/>
    <x v="2"/>
    <n v="2"/>
    <n v="1"/>
    <n v="1.7"/>
    <n v="0"/>
    <n v="2.7"/>
    <x v="0"/>
    <x v="0"/>
    <x v="0"/>
    <x v="0"/>
    <n v="7"/>
    <n v="10"/>
    <e v="#N/A"/>
  </r>
  <r>
    <n v="1020"/>
    <d v="2016-01-11T12:13:27"/>
    <d v="2016-01-11T12:28:27"/>
    <x v="2"/>
    <m/>
    <m/>
    <x v="0"/>
    <n v="70804"/>
    <n v="0"/>
    <d v="2016-01-11T12:31:27"/>
    <n v="11.59"/>
    <x v="2"/>
    <n v="1"/>
    <n v="1.7"/>
    <n v="0"/>
    <n v="0"/>
    <n v="1.7"/>
    <x v="0"/>
    <x v="0"/>
    <x v="0"/>
    <x v="0"/>
    <n v="10"/>
    <e v="#N/A"/>
    <e v="#N/A"/>
  </r>
  <r>
    <n v="1021"/>
    <d v="2016-01-11T13:30:31"/>
    <d v="2016-01-11T13:45:31"/>
    <x v="1"/>
    <m/>
    <m/>
    <x v="0"/>
    <n v="70804"/>
    <n v="0"/>
    <d v="2016-01-11T13:48:30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1022"/>
    <d v="2016-01-11T11:21:25"/>
    <d v="2016-01-11T11:36:24"/>
    <x v="2"/>
    <s v="Large"/>
    <m/>
    <x v="0"/>
    <n v="70803"/>
    <n v="0"/>
    <d v="2016-01-11T11:39:24"/>
    <n v="25.94"/>
    <x v="2"/>
    <n v="2"/>
    <n v="1.7"/>
    <n v="2.2999999999999998"/>
    <n v="0"/>
    <n v="4"/>
    <x v="0"/>
    <x v="0"/>
    <x v="0"/>
    <x v="0"/>
    <n v="10"/>
    <n v="14"/>
    <e v="#N/A"/>
  </r>
  <r>
    <n v="1023"/>
    <d v="2016-01-11T11:42:28"/>
    <d v="2016-01-11T11:57:28"/>
    <x v="1"/>
    <m/>
    <m/>
    <x v="0"/>
    <n v="70806"/>
    <n v="0"/>
    <d v="2016-01-11T12:00:27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1024"/>
    <d v="2016-01-11T12:10:47"/>
    <d v="2016-01-11T12:25:46"/>
    <x v="0"/>
    <s v="Large"/>
    <m/>
    <x v="0"/>
    <n v="70803"/>
    <n v="0"/>
    <d v="2016-01-11T12:28:46"/>
    <n v="23.34"/>
    <x v="2"/>
    <n v="2"/>
    <n v="1"/>
    <n v="2.2999999999999998"/>
    <n v="0"/>
    <n v="3.3"/>
    <x v="0"/>
    <x v="0"/>
    <x v="0"/>
    <x v="0"/>
    <n v="7"/>
    <n v="14"/>
    <e v="#N/A"/>
  </r>
  <r>
    <n v="1025"/>
    <d v="2016-01-11T12:28:44"/>
    <d v="2016-01-11T12:43:45"/>
    <x v="2"/>
    <m/>
    <m/>
    <x v="0"/>
    <n v="70803"/>
    <n v="0"/>
    <d v="2016-01-11T12:46:46"/>
    <n v="11.59"/>
    <x v="14"/>
    <n v="1"/>
    <n v="1.7"/>
    <n v="0"/>
    <n v="0"/>
    <n v="1.7"/>
    <x v="0"/>
    <x v="0"/>
    <x v="0"/>
    <x v="0"/>
    <n v="10"/>
    <e v="#N/A"/>
    <e v="#N/A"/>
  </r>
  <r>
    <n v="1026"/>
    <d v="2016-01-11T12:20:17"/>
    <d v="2016-01-11T12:35:16"/>
    <x v="2"/>
    <m/>
    <m/>
    <x v="0"/>
    <n v="70805"/>
    <n v="0"/>
    <d v="2016-01-11T12:38:14"/>
    <n v="11.59"/>
    <x v="0"/>
    <n v="1"/>
    <n v="1.7"/>
    <n v="0"/>
    <n v="0"/>
    <n v="1.7"/>
    <x v="0"/>
    <x v="0"/>
    <x v="0"/>
    <x v="0"/>
    <n v="10"/>
    <e v="#N/A"/>
    <e v="#N/A"/>
  </r>
  <r>
    <n v="1027"/>
    <d v="2016-01-11T12:29:47"/>
    <d v="2016-01-11T12:44:46"/>
    <x v="0"/>
    <m/>
    <m/>
    <x v="0"/>
    <n v="70806"/>
    <n v="0"/>
    <d v="2016-01-11T12:47:45"/>
    <n v="7.99"/>
    <x v="1"/>
    <n v="1"/>
    <n v="1"/>
    <n v="0"/>
    <n v="0"/>
    <n v="1"/>
    <x v="0"/>
    <x v="0"/>
    <x v="0"/>
    <x v="0"/>
    <n v="7"/>
    <e v="#N/A"/>
    <e v="#N/A"/>
  </r>
  <r>
    <n v="1028"/>
    <d v="2016-01-11T12:03:50"/>
    <d v="2016-01-11T12:18:49"/>
    <x v="0"/>
    <s v="Medium"/>
    <m/>
    <x v="0"/>
    <n v="70804"/>
    <n v="0"/>
    <d v="2016-01-11T12:21:49"/>
    <n v="19.579999999999998"/>
    <x v="2"/>
    <n v="2"/>
    <n v="1"/>
    <n v="1.7"/>
    <n v="0"/>
    <n v="2.7"/>
    <x v="0"/>
    <x v="0"/>
    <x v="0"/>
    <x v="0"/>
    <n v="7"/>
    <n v="10"/>
    <e v="#N/A"/>
  </r>
  <r>
    <n v="1029"/>
    <d v="2016-01-11T13:30:01"/>
    <d v="2016-01-11T13:45:00"/>
    <x v="1"/>
    <m/>
    <m/>
    <x v="0"/>
    <n v="70805"/>
    <n v="0"/>
    <d v="2016-01-11T13:48:00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030"/>
    <d v="2016-01-11T10:01:20"/>
    <d v="2016-01-11T10:16:20"/>
    <x v="1"/>
    <m/>
    <m/>
    <x v="0"/>
    <n v="70805"/>
    <n v="0"/>
    <d v="2016-01-11T10:19:21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1031"/>
    <d v="2016-01-11T13:29:27"/>
    <d v="2016-01-11T13:44:26"/>
    <x v="0"/>
    <m/>
    <m/>
    <x v="1"/>
    <n v="70804"/>
    <n v="1.80069833455121"/>
    <d v="2016-01-11T13:53:26"/>
    <n v="7.99"/>
    <x v="113"/>
    <n v="1"/>
    <n v="1"/>
    <n v="0"/>
    <n v="0"/>
    <n v="1"/>
    <x v="103"/>
    <x v="0"/>
    <x v="519"/>
    <x v="300"/>
    <n v="7"/>
    <e v="#N/A"/>
    <e v="#N/A"/>
  </r>
  <r>
    <n v="1032"/>
    <d v="2016-01-11T11:46:16"/>
    <d v="2016-01-11T12:01:16"/>
    <x v="0"/>
    <m/>
    <m/>
    <x v="0"/>
    <n v="70804"/>
    <n v="0"/>
    <d v="2016-01-11T12:04:16"/>
    <n v="7.99"/>
    <x v="2"/>
    <n v="1"/>
    <n v="1"/>
    <n v="0"/>
    <n v="0"/>
    <n v="1"/>
    <x v="0"/>
    <x v="0"/>
    <x v="0"/>
    <x v="0"/>
    <n v="7"/>
    <e v="#N/A"/>
    <e v="#N/A"/>
  </r>
  <r>
    <n v="1033"/>
    <d v="2016-01-11T11:22:38"/>
    <d v="2016-01-11T11:37:39"/>
    <x v="2"/>
    <s v="Large"/>
    <m/>
    <x v="1"/>
    <n v="70805"/>
    <n v="3.47148089091595"/>
    <d v="2016-01-11T11:55:00"/>
    <n v="25.94"/>
    <x v="170"/>
    <n v="2"/>
    <n v="1.7"/>
    <n v="2.2999999999999998"/>
    <n v="0"/>
    <n v="4"/>
    <x v="160"/>
    <x v="1"/>
    <x v="520"/>
    <x v="0"/>
    <n v="10"/>
    <n v="14"/>
    <e v="#N/A"/>
  </r>
  <r>
    <n v="1034"/>
    <d v="2016-01-11T11:21:24"/>
    <d v="2016-01-11T11:36:24"/>
    <x v="0"/>
    <s v="Medium"/>
    <m/>
    <x v="1"/>
    <n v="70803"/>
    <n v="2.69124057712007"/>
    <d v="2016-01-11T11:49:51"/>
    <n v="19.579999999999998"/>
    <x v="222"/>
    <n v="2"/>
    <n v="1"/>
    <n v="1.7"/>
    <n v="0"/>
    <n v="2.7"/>
    <x v="210"/>
    <x v="0"/>
    <x v="521"/>
    <x v="301"/>
    <n v="7"/>
    <n v="10"/>
    <e v="#N/A"/>
  </r>
  <r>
    <n v="1035"/>
    <d v="2016-01-11T11:00:20"/>
    <d v="2016-01-11T11:15:20"/>
    <x v="0"/>
    <s v="Large"/>
    <m/>
    <x v="0"/>
    <n v="70804"/>
    <n v="0"/>
    <d v="2016-01-11T11:18:21"/>
    <n v="23.34"/>
    <x v="56"/>
    <n v="2"/>
    <n v="1"/>
    <n v="2.2999999999999998"/>
    <n v="0"/>
    <n v="3.3"/>
    <x v="0"/>
    <x v="0"/>
    <x v="0"/>
    <x v="0"/>
    <n v="7"/>
    <n v="14"/>
    <e v="#N/A"/>
  </r>
  <r>
    <n v="1036"/>
    <d v="2016-01-11T12:42:19"/>
    <d v="2016-01-11T12:57:21"/>
    <x v="1"/>
    <m/>
    <m/>
    <x v="1"/>
    <n v="70805"/>
    <n v="1.47140063351807"/>
    <d v="2016-01-11T13:04:42"/>
    <n v="15.35"/>
    <x v="478"/>
    <n v="1"/>
    <n v="2.2999999999999998"/>
    <n v="0"/>
    <n v="0"/>
    <n v="2.2999999999999998"/>
    <x v="465"/>
    <x v="0"/>
    <x v="522"/>
    <x v="302"/>
    <n v="14"/>
    <e v="#N/A"/>
    <e v="#N/A"/>
  </r>
  <r>
    <n v="1037"/>
    <d v="2016-01-11T13:17:06"/>
    <d v="2016-01-11T13:32:05"/>
    <x v="2"/>
    <m/>
    <m/>
    <x v="1"/>
    <n v="70805"/>
    <n v="4.4197353147674496"/>
    <d v="2016-01-11T13:54:10"/>
    <n v="11.59"/>
    <x v="479"/>
    <n v="1"/>
    <n v="1.7"/>
    <n v="0"/>
    <n v="0"/>
    <n v="1.7"/>
    <x v="466"/>
    <x v="1"/>
    <x v="523"/>
    <x v="0"/>
    <n v="10"/>
    <e v="#N/A"/>
    <e v="#N/A"/>
  </r>
  <r>
    <n v="1038"/>
    <d v="2016-01-11T12:18:29"/>
    <d v="2016-01-11T12:33:29"/>
    <x v="0"/>
    <s v="Medium"/>
    <m/>
    <x v="0"/>
    <n v="70806"/>
    <n v="0"/>
    <d v="2016-01-11T12:36:30"/>
    <n v="19.579999999999998"/>
    <x v="14"/>
    <n v="2"/>
    <n v="1"/>
    <n v="1.7"/>
    <n v="0"/>
    <n v="2.7"/>
    <x v="0"/>
    <x v="0"/>
    <x v="0"/>
    <x v="0"/>
    <n v="7"/>
    <n v="10"/>
    <e v="#N/A"/>
  </r>
  <r>
    <n v="1039"/>
    <d v="2016-01-11T10:13:47"/>
    <d v="2016-01-11T10:28:46"/>
    <x v="1"/>
    <m/>
    <m/>
    <x v="1"/>
    <n v="70804"/>
    <n v="3.9443710126478901"/>
    <d v="2016-01-11T10:48:29"/>
    <n v="15.35"/>
    <x v="480"/>
    <n v="1"/>
    <n v="2.2999999999999998"/>
    <n v="0"/>
    <n v="0"/>
    <n v="2.2999999999999998"/>
    <x v="467"/>
    <x v="1"/>
    <x v="524"/>
    <x v="0"/>
    <n v="14"/>
    <e v="#N/A"/>
    <e v="#N/A"/>
  </r>
  <r>
    <n v="1040"/>
    <d v="2016-01-11T12:51:00"/>
    <d v="2016-01-11T13:05:59"/>
    <x v="1"/>
    <m/>
    <m/>
    <x v="0"/>
    <n v="70803"/>
    <n v="0"/>
    <d v="2016-01-11T13:08:58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1041"/>
    <d v="2016-01-11T12:11:26"/>
    <d v="2016-01-11T12:26:26"/>
    <x v="0"/>
    <s v="Large"/>
    <m/>
    <x v="1"/>
    <n v="70805"/>
    <n v="4.4174067075365198"/>
    <d v="2016-01-11T12:48:31"/>
    <n v="23.34"/>
    <x v="481"/>
    <n v="2"/>
    <n v="1"/>
    <n v="2.2999999999999998"/>
    <n v="0"/>
    <n v="3.3"/>
    <x v="468"/>
    <x v="1"/>
    <x v="525"/>
    <x v="0"/>
    <n v="7"/>
    <n v="14"/>
    <e v="#N/A"/>
  </r>
  <r>
    <n v="1042"/>
    <d v="2016-01-11T12:34:10"/>
    <d v="2016-01-11T12:49:07"/>
    <x v="1"/>
    <m/>
    <m/>
    <x v="0"/>
    <n v="70806"/>
    <n v="0"/>
    <d v="2016-01-11T12:52:06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1043"/>
    <d v="2016-01-11T12:37:26"/>
    <d v="2016-01-11T12:52:26"/>
    <x v="2"/>
    <m/>
    <m/>
    <x v="0"/>
    <n v="70806"/>
    <n v="0"/>
    <d v="2016-01-11T12:55:25"/>
    <n v="11.59"/>
    <x v="1"/>
    <n v="1"/>
    <n v="1.7"/>
    <n v="0"/>
    <n v="0"/>
    <n v="1.7"/>
    <x v="0"/>
    <x v="0"/>
    <x v="0"/>
    <x v="0"/>
    <n v="10"/>
    <e v="#N/A"/>
    <e v="#N/A"/>
  </r>
  <r>
    <n v="1044"/>
    <d v="2016-01-11T10:18:05"/>
    <d v="2016-01-11T10:33:05"/>
    <x v="1"/>
    <m/>
    <m/>
    <x v="1"/>
    <n v="70805"/>
    <n v="1.7892688407108399"/>
    <d v="2016-01-11T10:42:01"/>
    <n v="15.35"/>
    <x v="104"/>
    <n v="1"/>
    <n v="2.2999999999999998"/>
    <n v="0"/>
    <n v="0"/>
    <n v="2.2999999999999998"/>
    <x v="94"/>
    <x v="0"/>
    <x v="526"/>
    <x v="303"/>
    <n v="14"/>
    <e v="#N/A"/>
    <e v="#N/A"/>
  </r>
  <r>
    <n v="1045"/>
    <d v="2016-01-11T13:15:35"/>
    <d v="2016-01-11T13:30:35"/>
    <x v="1"/>
    <m/>
    <m/>
    <x v="1"/>
    <n v="70806"/>
    <n v="4.6413605475594304"/>
    <d v="2016-01-11T13:53:47"/>
    <n v="15.35"/>
    <x v="482"/>
    <n v="1"/>
    <n v="2.2999999999999998"/>
    <n v="0"/>
    <n v="0"/>
    <n v="2.2999999999999998"/>
    <x v="469"/>
    <x v="1"/>
    <x v="527"/>
    <x v="0"/>
    <n v="14"/>
    <e v="#N/A"/>
    <e v="#N/A"/>
  </r>
  <r>
    <n v="1046"/>
    <d v="2016-01-11T11:52:28"/>
    <d v="2016-01-11T12:07:29"/>
    <x v="1"/>
    <m/>
    <m/>
    <x v="1"/>
    <n v="70806"/>
    <n v="1.96122431781192"/>
    <d v="2016-01-11T12:17:17"/>
    <n v="15.35"/>
    <x v="483"/>
    <n v="1"/>
    <n v="2.2999999999999998"/>
    <n v="0"/>
    <n v="0"/>
    <n v="2.2999999999999998"/>
    <x v="470"/>
    <x v="0"/>
    <x v="528"/>
    <x v="304"/>
    <n v="14"/>
    <e v="#N/A"/>
    <e v="#N/A"/>
  </r>
  <r>
    <n v="1047"/>
    <d v="2016-01-11T12:33:30"/>
    <d v="2016-01-11T12:48:29"/>
    <x v="0"/>
    <s v="Medium"/>
    <m/>
    <x v="1"/>
    <n v="70805"/>
    <n v="3.1597813876807401"/>
    <d v="2016-01-11T13:04:16"/>
    <n v="19.579999999999998"/>
    <x v="484"/>
    <n v="2"/>
    <n v="1"/>
    <n v="1.7"/>
    <n v="0"/>
    <n v="2.7"/>
    <x v="471"/>
    <x v="0"/>
    <x v="529"/>
    <x v="305"/>
    <n v="7"/>
    <n v="10"/>
    <e v="#N/A"/>
  </r>
  <r>
    <n v="1048"/>
    <d v="2016-01-11T14:46:36"/>
    <d v="2016-01-11T15:01:36"/>
    <x v="0"/>
    <s v="Medium"/>
    <m/>
    <x v="0"/>
    <n v="70804"/>
    <n v="0"/>
    <d v="2016-01-11T15:04:35"/>
    <n v="19.579999999999998"/>
    <x v="1"/>
    <n v="2"/>
    <n v="1"/>
    <n v="1.7"/>
    <n v="0"/>
    <n v="2.7"/>
    <x v="0"/>
    <x v="0"/>
    <x v="0"/>
    <x v="0"/>
    <n v="7"/>
    <n v="10"/>
    <e v="#N/A"/>
  </r>
  <r>
    <n v="1049"/>
    <d v="2016-01-11T12:44:20"/>
    <d v="2016-01-11T12:59:19"/>
    <x v="0"/>
    <m/>
    <m/>
    <x v="1"/>
    <n v="70805"/>
    <n v="3.92893299886186"/>
    <d v="2016-01-11T13:18:57"/>
    <n v="7.99"/>
    <x v="485"/>
    <n v="1"/>
    <n v="1"/>
    <n v="0"/>
    <n v="0"/>
    <n v="1"/>
    <x v="472"/>
    <x v="1"/>
    <x v="530"/>
    <x v="0"/>
    <n v="7"/>
    <e v="#N/A"/>
    <e v="#N/A"/>
  </r>
  <r>
    <n v="1050"/>
    <d v="2016-01-11T11:41:36"/>
    <d v="2016-01-11T11:56:36"/>
    <x v="2"/>
    <m/>
    <m/>
    <x v="1"/>
    <n v="70806"/>
    <n v="2.4682333351030699"/>
    <d v="2016-01-11T12:08:56"/>
    <n v="11.59"/>
    <x v="486"/>
    <n v="1"/>
    <n v="1.7"/>
    <n v="0"/>
    <n v="0"/>
    <n v="1.7"/>
    <x v="473"/>
    <x v="0"/>
    <x v="531"/>
    <x v="306"/>
    <n v="10"/>
    <e v="#N/A"/>
    <e v="#N/A"/>
  </r>
  <r>
    <n v="1051"/>
    <d v="2016-01-11T12:28:09"/>
    <d v="2016-01-11T12:43:10"/>
    <x v="2"/>
    <m/>
    <m/>
    <x v="0"/>
    <n v="70803"/>
    <n v="0"/>
    <d v="2016-01-11T12:46:09"/>
    <n v="11.59"/>
    <x v="24"/>
    <n v="1"/>
    <n v="1.7"/>
    <n v="0"/>
    <n v="0"/>
    <n v="1.7"/>
    <x v="0"/>
    <x v="0"/>
    <x v="0"/>
    <x v="0"/>
    <n v="10"/>
    <e v="#N/A"/>
    <e v="#N/A"/>
  </r>
  <r>
    <n v="1052"/>
    <d v="2016-01-11T12:27:01"/>
    <d v="2016-01-11T12:42:02"/>
    <x v="2"/>
    <m/>
    <m/>
    <x v="1"/>
    <n v="70805"/>
    <n v="3.0995608183440901"/>
    <d v="2016-01-11T12:57:31"/>
    <n v="11.59"/>
    <x v="470"/>
    <n v="1"/>
    <n v="1.7"/>
    <n v="0"/>
    <n v="0"/>
    <n v="1.7"/>
    <x v="457"/>
    <x v="0"/>
    <x v="532"/>
    <x v="307"/>
    <n v="10"/>
    <e v="#N/A"/>
    <e v="#N/A"/>
  </r>
  <r>
    <n v="1053"/>
    <d v="2016-01-11T11:14:14"/>
    <d v="2016-01-11T11:29:14"/>
    <x v="0"/>
    <m/>
    <m/>
    <x v="0"/>
    <n v="70805"/>
    <n v="0"/>
    <d v="2016-01-11T11:32:13"/>
    <n v="7.99"/>
    <x v="1"/>
    <n v="1"/>
    <n v="1"/>
    <n v="0"/>
    <n v="0"/>
    <n v="1"/>
    <x v="0"/>
    <x v="0"/>
    <x v="0"/>
    <x v="0"/>
    <n v="7"/>
    <e v="#N/A"/>
    <e v="#N/A"/>
  </r>
  <r>
    <n v="1054"/>
    <d v="2016-01-11T11:18:51"/>
    <d v="2016-01-11T11:33:50"/>
    <x v="0"/>
    <s v="Medium"/>
    <m/>
    <x v="1"/>
    <n v="70803"/>
    <n v="2.9050772180635702"/>
    <d v="2016-01-11T11:48:21"/>
    <n v="19.579999999999998"/>
    <x v="372"/>
    <n v="2"/>
    <n v="1"/>
    <n v="1.7"/>
    <n v="0"/>
    <n v="2.7"/>
    <x v="359"/>
    <x v="0"/>
    <x v="533"/>
    <x v="308"/>
    <n v="7"/>
    <n v="10"/>
    <e v="#N/A"/>
  </r>
  <r>
    <n v="1055"/>
    <d v="2016-01-11T13:07:19"/>
    <d v="2016-01-11T13:22:17"/>
    <x v="0"/>
    <m/>
    <m/>
    <x v="1"/>
    <n v="70805"/>
    <n v="3.31177772055617"/>
    <d v="2016-01-11T13:38:50"/>
    <n v="7.99"/>
    <x v="487"/>
    <n v="1"/>
    <n v="1"/>
    <n v="0"/>
    <n v="0"/>
    <n v="1"/>
    <x v="474"/>
    <x v="1"/>
    <x v="534"/>
    <x v="0"/>
    <n v="7"/>
    <e v="#N/A"/>
    <e v="#N/A"/>
  </r>
  <r>
    <n v="1056"/>
    <d v="2016-01-11T10:47:41"/>
    <d v="2016-01-11T11:02:41"/>
    <x v="2"/>
    <m/>
    <m/>
    <x v="1"/>
    <n v="70808"/>
    <n v="3.2433501561889302"/>
    <d v="2016-01-11T11:18:54"/>
    <n v="11.59"/>
    <x v="50"/>
    <n v="1"/>
    <n v="1.7"/>
    <n v="0"/>
    <n v="0"/>
    <n v="1.7"/>
    <x v="44"/>
    <x v="1"/>
    <x v="535"/>
    <x v="0"/>
    <n v="10"/>
    <e v="#N/A"/>
    <e v="#N/A"/>
  </r>
  <r>
    <n v="1057"/>
    <d v="2016-01-11T12:29:22"/>
    <d v="2016-01-11T12:44:21"/>
    <x v="2"/>
    <m/>
    <m/>
    <x v="1"/>
    <n v="70803"/>
    <n v="3.3767469409949902"/>
    <d v="2016-01-11T13:01:14"/>
    <n v="11.59"/>
    <x v="488"/>
    <n v="1"/>
    <n v="1.7"/>
    <n v="0"/>
    <n v="0"/>
    <n v="1.7"/>
    <x v="475"/>
    <x v="1"/>
    <x v="536"/>
    <x v="0"/>
    <n v="10"/>
    <e v="#N/A"/>
    <e v="#N/A"/>
  </r>
  <r>
    <n v="1058"/>
    <d v="2016-01-11T12:46:56"/>
    <d v="2016-01-11T13:01:53"/>
    <x v="1"/>
    <m/>
    <m/>
    <x v="1"/>
    <n v="70805"/>
    <n v="3.02554281507425"/>
    <d v="2016-01-11T13:17:00"/>
    <n v="15.35"/>
    <x v="489"/>
    <n v="1"/>
    <n v="2.2999999999999998"/>
    <n v="0"/>
    <n v="0"/>
    <n v="2.2999999999999998"/>
    <x v="476"/>
    <x v="0"/>
    <x v="537"/>
    <x v="309"/>
    <n v="14"/>
    <e v="#N/A"/>
    <e v="#N/A"/>
  </r>
  <r>
    <n v="1059"/>
    <d v="2016-01-11T11:34:50"/>
    <d v="2016-01-11T11:49:50"/>
    <x v="1"/>
    <m/>
    <m/>
    <x v="0"/>
    <n v="70804"/>
    <n v="0"/>
    <d v="2016-01-11T11:52:49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1060"/>
    <d v="2016-01-11T13:48:02"/>
    <d v="2016-01-11T14:03:02"/>
    <x v="0"/>
    <s v="Large"/>
    <m/>
    <x v="0"/>
    <n v="70805"/>
    <n v="0"/>
    <d v="2016-01-11T14:06:02"/>
    <n v="23.34"/>
    <x v="2"/>
    <n v="2"/>
    <n v="1"/>
    <n v="2.2999999999999998"/>
    <n v="0"/>
    <n v="3.3"/>
    <x v="0"/>
    <x v="0"/>
    <x v="0"/>
    <x v="0"/>
    <n v="7"/>
    <n v="14"/>
    <e v="#N/A"/>
  </r>
  <r>
    <n v="1061"/>
    <d v="2016-01-11T12:09:17"/>
    <d v="2016-01-11T12:24:16"/>
    <x v="2"/>
    <m/>
    <m/>
    <x v="1"/>
    <n v="70803"/>
    <n v="2.7736722899243298"/>
    <d v="2016-01-11T12:38:08"/>
    <n v="11.59"/>
    <x v="490"/>
    <n v="1"/>
    <n v="1.7"/>
    <n v="0"/>
    <n v="0"/>
    <n v="1.7"/>
    <x v="477"/>
    <x v="0"/>
    <x v="538"/>
    <x v="310"/>
    <n v="10"/>
    <e v="#N/A"/>
    <e v="#N/A"/>
  </r>
  <r>
    <n v="1062"/>
    <d v="2016-01-11T11:33:52"/>
    <d v="2016-01-11T11:48:54"/>
    <x v="1"/>
    <m/>
    <m/>
    <x v="0"/>
    <n v="70805"/>
    <n v="0"/>
    <d v="2016-01-11T11:51:54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063"/>
    <d v="2016-01-11T12:31:32"/>
    <d v="2016-01-11T12:46:30"/>
    <x v="0"/>
    <s v="Medium"/>
    <m/>
    <x v="0"/>
    <n v="70806"/>
    <n v="0"/>
    <d v="2016-01-11T12:49:30"/>
    <n v="19.579999999999998"/>
    <x v="2"/>
    <n v="2"/>
    <n v="1"/>
    <n v="1.7"/>
    <n v="0"/>
    <n v="2.7"/>
    <x v="0"/>
    <x v="0"/>
    <x v="0"/>
    <x v="0"/>
    <n v="7"/>
    <n v="10"/>
    <e v="#N/A"/>
  </r>
  <r>
    <n v="1064"/>
    <d v="2016-01-11T11:31:28"/>
    <d v="2016-01-11T11:46:28"/>
    <x v="2"/>
    <m/>
    <m/>
    <x v="1"/>
    <n v="70805"/>
    <n v="5.1963751196643804"/>
    <d v="2016-01-11T12:12:26"/>
    <n v="11.59"/>
    <x v="491"/>
    <n v="1"/>
    <n v="1.7"/>
    <n v="0"/>
    <n v="0"/>
    <n v="1.7"/>
    <x v="478"/>
    <x v="1"/>
    <x v="539"/>
    <x v="0"/>
    <n v="10"/>
    <e v="#N/A"/>
    <e v="#N/A"/>
  </r>
  <r>
    <n v="1065"/>
    <d v="2016-01-11T12:11:29"/>
    <d v="2016-01-11T12:26:29"/>
    <x v="2"/>
    <m/>
    <m/>
    <x v="0"/>
    <n v="70805"/>
    <n v="0"/>
    <d v="2016-01-11T12:29:27"/>
    <n v="11.59"/>
    <x v="0"/>
    <n v="1"/>
    <n v="1.7"/>
    <n v="0"/>
    <n v="0"/>
    <n v="1.7"/>
    <x v="0"/>
    <x v="0"/>
    <x v="0"/>
    <x v="0"/>
    <n v="10"/>
    <e v="#N/A"/>
    <e v="#N/A"/>
  </r>
  <r>
    <n v="1066"/>
    <d v="2016-01-11T10:41:11"/>
    <d v="2016-01-11T10:56:10"/>
    <x v="1"/>
    <m/>
    <m/>
    <x v="0"/>
    <n v="70806"/>
    <n v="0"/>
    <d v="2016-01-11T10:59:09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1067"/>
    <d v="2016-01-12T11:50:40"/>
    <d v="2016-01-12T12:05:40"/>
    <x v="2"/>
    <m/>
    <m/>
    <x v="1"/>
    <n v="70804"/>
    <n v="2.8808286075674001"/>
    <d v="2016-01-12T12:20:04"/>
    <n v="11.59"/>
    <x v="492"/>
    <n v="1"/>
    <n v="1.7"/>
    <n v="0"/>
    <n v="0"/>
    <n v="1.7"/>
    <x v="479"/>
    <x v="0"/>
    <x v="540"/>
    <x v="311"/>
    <n v="10"/>
    <e v="#N/A"/>
    <e v="#N/A"/>
  </r>
  <r>
    <n v="1068"/>
    <d v="2016-01-12T11:49:55"/>
    <d v="2016-01-12T12:04:54"/>
    <x v="2"/>
    <m/>
    <m/>
    <x v="1"/>
    <n v="70805"/>
    <n v="4.1406875820225997"/>
    <d v="2016-01-12T12:25:36"/>
    <n v="11.59"/>
    <x v="167"/>
    <n v="1"/>
    <n v="1.7"/>
    <n v="0"/>
    <n v="0"/>
    <n v="1.7"/>
    <x v="157"/>
    <x v="1"/>
    <x v="541"/>
    <x v="0"/>
    <n v="10"/>
    <e v="#N/A"/>
    <e v="#N/A"/>
  </r>
  <r>
    <n v="1069"/>
    <d v="2016-01-12T11:29:50"/>
    <d v="2016-01-12T11:44:49"/>
    <x v="2"/>
    <m/>
    <m/>
    <x v="1"/>
    <n v="70805"/>
    <n v="1.6673817068354599"/>
    <d v="2016-01-12T11:53:09"/>
    <n v="11.59"/>
    <x v="493"/>
    <n v="1"/>
    <n v="1.7"/>
    <n v="0"/>
    <n v="0"/>
    <n v="1.7"/>
    <x v="480"/>
    <x v="0"/>
    <x v="542"/>
    <x v="312"/>
    <n v="10"/>
    <e v="#N/A"/>
    <e v="#N/A"/>
  </r>
  <r>
    <n v="1070"/>
    <d v="2016-01-12T10:46:58"/>
    <d v="2016-01-12T11:01:57"/>
    <x v="2"/>
    <m/>
    <m/>
    <x v="1"/>
    <n v="70805"/>
    <n v="2.28297191816897"/>
    <d v="2016-01-12T11:13:21"/>
    <n v="11.59"/>
    <x v="494"/>
    <n v="1"/>
    <n v="1.7"/>
    <n v="0"/>
    <n v="0"/>
    <n v="1.7"/>
    <x v="481"/>
    <x v="0"/>
    <x v="543"/>
    <x v="313"/>
    <n v="10"/>
    <e v="#N/A"/>
    <e v="#N/A"/>
  </r>
  <r>
    <n v="1071"/>
    <d v="2016-01-12T14:25:25"/>
    <d v="2016-01-12T14:40:26"/>
    <x v="1"/>
    <m/>
    <m/>
    <x v="0"/>
    <n v="70803"/>
    <n v="0"/>
    <d v="2016-01-12T14:43:25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1072"/>
    <d v="2016-01-12T10:53:23"/>
    <d v="2016-01-12T11:08:22"/>
    <x v="1"/>
    <m/>
    <m/>
    <x v="1"/>
    <n v="70804"/>
    <n v="1.41203102819736"/>
    <d v="2016-01-12T11:15:25"/>
    <n v="15.35"/>
    <x v="495"/>
    <n v="1"/>
    <n v="2.2999999999999998"/>
    <n v="0"/>
    <n v="0"/>
    <n v="2.2999999999999998"/>
    <x v="482"/>
    <x v="0"/>
    <x v="544"/>
    <x v="314"/>
    <n v="14"/>
    <e v="#N/A"/>
    <e v="#N/A"/>
  </r>
  <r>
    <n v="1073"/>
    <d v="2016-01-12T11:32:26"/>
    <d v="2016-01-12T11:47:27"/>
    <x v="0"/>
    <s v="Medium"/>
    <m/>
    <x v="0"/>
    <n v="70805"/>
    <n v="0"/>
    <d v="2016-01-12T11:50:26"/>
    <n v="19.579999999999998"/>
    <x v="24"/>
    <n v="2"/>
    <n v="1"/>
    <n v="1.7"/>
    <n v="0"/>
    <n v="2.7"/>
    <x v="0"/>
    <x v="0"/>
    <x v="0"/>
    <x v="0"/>
    <n v="7"/>
    <n v="10"/>
    <e v="#N/A"/>
  </r>
  <r>
    <n v="1074"/>
    <d v="2016-01-12T10:58:04"/>
    <d v="2016-01-12T11:13:04"/>
    <x v="2"/>
    <m/>
    <m/>
    <x v="0"/>
    <n v="70805"/>
    <n v="0"/>
    <d v="2016-01-12T11:16:03"/>
    <n v="11.59"/>
    <x v="1"/>
    <n v="1"/>
    <n v="1.7"/>
    <n v="0"/>
    <n v="0"/>
    <n v="1.7"/>
    <x v="0"/>
    <x v="0"/>
    <x v="0"/>
    <x v="0"/>
    <n v="10"/>
    <e v="#N/A"/>
    <e v="#N/A"/>
  </r>
  <r>
    <n v="1075"/>
    <d v="2016-01-12T10:33:57"/>
    <d v="2016-01-12T10:48:57"/>
    <x v="1"/>
    <m/>
    <m/>
    <x v="1"/>
    <n v="70808"/>
    <n v="3.3426306697128201"/>
    <d v="2016-01-12T11:05:39"/>
    <n v="15.35"/>
    <x v="284"/>
    <n v="1"/>
    <n v="2.2999999999999998"/>
    <n v="0"/>
    <n v="0"/>
    <n v="2.2999999999999998"/>
    <x v="271"/>
    <x v="1"/>
    <x v="545"/>
    <x v="0"/>
    <n v="14"/>
    <e v="#N/A"/>
    <e v="#N/A"/>
  </r>
  <r>
    <n v="1076"/>
    <d v="2016-01-12T12:49:01"/>
    <d v="2016-01-12T13:04:00"/>
    <x v="0"/>
    <m/>
    <m/>
    <x v="1"/>
    <n v="70805"/>
    <n v="2.3746878313540498"/>
    <d v="2016-01-12T13:15:52"/>
    <n v="7.99"/>
    <x v="29"/>
    <n v="1"/>
    <n v="1"/>
    <n v="0"/>
    <n v="0"/>
    <n v="1"/>
    <x v="23"/>
    <x v="0"/>
    <x v="546"/>
    <x v="315"/>
    <n v="7"/>
    <e v="#N/A"/>
    <e v="#N/A"/>
  </r>
  <r>
    <n v="1077"/>
    <d v="2016-01-12T13:53:18"/>
    <d v="2016-01-12T14:08:17"/>
    <x v="1"/>
    <m/>
    <m/>
    <x v="0"/>
    <n v="70803"/>
    <n v="0"/>
    <d v="2016-01-12T14:11:17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078"/>
    <d v="2016-01-12T12:37:24"/>
    <d v="2016-01-12T12:52:24"/>
    <x v="1"/>
    <m/>
    <m/>
    <x v="1"/>
    <n v="70804"/>
    <n v="3.7932380702744601"/>
    <d v="2016-01-12T13:11:21"/>
    <n v="15.35"/>
    <x v="496"/>
    <n v="1"/>
    <n v="2.2999999999999998"/>
    <n v="0"/>
    <n v="0"/>
    <n v="2.2999999999999998"/>
    <x v="483"/>
    <x v="1"/>
    <x v="547"/>
    <x v="0"/>
    <n v="14"/>
    <e v="#N/A"/>
    <e v="#N/A"/>
  </r>
  <r>
    <n v="1079"/>
    <d v="2016-01-12T11:49:00"/>
    <d v="2016-01-12T12:03:58"/>
    <x v="2"/>
    <m/>
    <m/>
    <x v="1"/>
    <n v="70803"/>
    <n v="4.1979388085134604"/>
    <d v="2016-01-12T12:24:57"/>
    <n v="11.59"/>
    <x v="247"/>
    <n v="1"/>
    <n v="1.7"/>
    <n v="0"/>
    <n v="0"/>
    <n v="1.7"/>
    <x v="234"/>
    <x v="1"/>
    <x v="548"/>
    <x v="0"/>
    <n v="10"/>
    <e v="#N/A"/>
    <e v="#N/A"/>
  </r>
  <r>
    <n v="1080"/>
    <d v="2016-01-12T11:47:37"/>
    <d v="2016-01-12T12:02:38"/>
    <x v="0"/>
    <s v="Medium"/>
    <m/>
    <x v="1"/>
    <n v="70804"/>
    <n v="1.6667947869811399"/>
    <d v="2016-01-12T12:10:58"/>
    <n v="19.579999999999998"/>
    <x v="493"/>
    <n v="2"/>
    <n v="1"/>
    <n v="1.7"/>
    <n v="0"/>
    <n v="2.7"/>
    <x v="480"/>
    <x v="0"/>
    <x v="549"/>
    <x v="316"/>
    <n v="7"/>
    <n v="10"/>
    <e v="#N/A"/>
  </r>
  <r>
    <n v="1081"/>
    <d v="2016-01-12T11:45:18"/>
    <d v="2016-01-12T12:00:16"/>
    <x v="0"/>
    <s v="Large"/>
    <m/>
    <x v="0"/>
    <n v="70806"/>
    <n v="0"/>
    <d v="2016-01-12T12:03:16"/>
    <n v="23.34"/>
    <x v="2"/>
    <n v="2"/>
    <n v="1"/>
    <n v="2.2999999999999998"/>
    <n v="0"/>
    <n v="3.3"/>
    <x v="0"/>
    <x v="0"/>
    <x v="0"/>
    <x v="0"/>
    <n v="7"/>
    <n v="14"/>
    <e v="#N/A"/>
  </r>
  <r>
    <n v="1082"/>
    <d v="2016-01-12T11:59:10"/>
    <d v="2016-01-12T12:14:09"/>
    <x v="1"/>
    <m/>
    <m/>
    <x v="1"/>
    <n v="70806"/>
    <n v="4.38264169789056"/>
    <d v="2016-01-12T12:36:03"/>
    <n v="15.35"/>
    <x v="497"/>
    <n v="1"/>
    <n v="2.2999999999999998"/>
    <n v="0"/>
    <n v="0"/>
    <n v="2.2999999999999998"/>
    <x v="484"/>
    <x v="1"/>
    <x v="550"/>
    <x v="0"/>
    <n v="14"/>
    <e v="#N/A"/>
    <e v="#N/A"/>
  </r>
  <r>
    <n v="1083"/>
    <d v="2016-01-12T12:11:25"/>
    <d v="2016-01-12T12:26:23"/>
    <x v="2"/>
    <m/>
    <m/>
    <x v="1"/>
    <n v="70804"/>
    <n v="3.3098200725698801"/>
    <d v="2016-01-12T12:42:55"/>
    <n v="11.59"/>
    <x v="242"/>
    <n v="1"/>
    <n v="1.7"/>
    <n v="0"/>
    <n v="0"/>
    <n v="1.7"/>
    <x v="229"/>
    <x v="1"/>
    <x v="551"/>
    <x v="0"/>
    <n v="10"/>
    <e v="#N/A"/>
    <e v="#N/A"/>
  </r>
  <r>
    <n v="1084"/>
    <d v="2016-01-12T12:15:30"/>
    <d v="2016-01-12T12:30:30"/>
    <x v="2"/>
    <m/>
    <m/>
    <x v="0"/>
    <n v="70804"/>
    <n v="0"/>
    <d v="2016-01-12T12:33:29"/>
    <n v="11.59"/>
    <x v="24"/>
    <n v="1"/>
    <n v="1.7"/>
    <n v="0"/>
    <n v="0"/>
    <n v="1.7"/>
    <x v="0"/>
    <x v="0"/>
    <x v="0"/>
    <x v="0"/>
    <n v="10"/>
    <e v="#N/A"/>
    <e v="#N/A"/>
  </r>
  <r>
    <n v="1085"/>
    <d v="2016-01-12T12:22:44"/>
    <d v="2016-01-12T12:37:43"/>
    <x v="0"/>
    <s v="Medium"/>
    <m/>
    <x v="0"/>
    <n v="70808"/>
    <n v="0"/>
    <d v="2016-01-12T12:40:44"/>
    <n v="19.579999999999998"/>
    <x v="14"/>
    <n v="2"/>
    <n v="1"/>
    <n v="1.7"/>
    <n v="0"/>
    <n v="2.7"/>
    <x v="0"/>
    <x v="0"/>
    <x v="0"/>
    <x v="0"/>
    <n v="7"/>
    <n v="10"/>
    <e v="#N/A"/>
  </r>
  <r>
    <n v="1086"/>
    <d v="2016-01-12T10:23:41"/>
    <d v="2016-01-12T10:38:39"/>
    <x v="0"/>
    <m/>
    <m/>
    <x v="1"/>
    <n v="70804"/>
    <n v="3.7466325935879898"/>
    <d v="2016-01-12T10:57:22"/>
    <n v="7.99"/>
    <x v="498"/>
    <n v="1"/>
    <n v="1"/>
    <n v="0"/>
    <n v="0"/>
    <n v="1"/>
    <x v="485"/>
    <x v="1"/>
    <x v="552"/>
    <x v="0"/>
    <n v="7"/>
    <e v="#N/A"/>
    <e v="#N/A"/>
  </r>
  <r>
    <n v="1087"/>
    <d v="2016-01-12T12:18:12"/>
    <d v="2016-01-12T12:33:11"/>
    <x v="2"/>
    <m/>
    <m/>
    <x v="0"/>
    <n v="70804"/>
    <n v="0"/>
    <d v="2016-01-12T12:36:12"/>
    <n v="11.59"/>
    <x v="56"/>
    <n v="1"/>
    <n v="1.7"/>
    <n v="0"/>
    <n v="0"/>
    <n v="1.7"/>
    <x v="0"/>
    <x v="0"/>
    <x v="0"/>
    <x v="0"/>
    <n v="10"/>
    <e v="#N/A"/>
    <e v="#N/A"/>
  </r>
  <r>
    <n v="1088"/>
    <d v="2016-01-12T10:38:50"/>
    <d v="2016-01-12T10:53:52"/>
    <x v="2"/>
    <m/>
    <m/>
    <x v="1"/>
    <n v="70804"/>
    <n v="2.74246590847428"/>
    <d v="2016-01-12T11:07:34"/>
    <n v="11.59"/>
    <x v="161"/>
    <n v="1"/>
    <n v="1.7"/>
    <n v="0"/>
    <n v="0"/>
    <n v="1.7"/>
    <x v="151"/>
    <x v="0"/>
    <x v="553"/>
    <x v="317"/>
    <n v="10"/>
    <e v="#N/A"/>
    <e v="#N/A"/>
  </r>
  <r>
    <n v="1089"/>
    <d v="2016-01-12T12:25:40"/>
    <d v="2016-01-12T12:40:40"/>
    <x v="0"/>
    <s v="Medium"/>
    <m/>
    <x v="0"/>
    <n v="70804"/>
    <n v="0"/>
    <d v="2016-01-12T12:43:39"/>
    <n v="19.579999999999998"/>
    <x v="24"/>
    <n v="2"/>
    <n v="1"/>
    <n v="1.7"/>
    <n v="0"/>
    <n v="2.7"/>
    <x v="0"/>
    <x v="0"/>
    <x v="0"/>
    <x v="0"/>
    <n v="7"/>
    <n v="10"/>
    <e v="#N/A"/>
  </r>
  <r>
    <n v="1090"/>
    <d v="2016-01-12T12:32:50"/>
    <d v="2016-01-12T12:47:51"/>
    <x v="0"/>
    <s v="Medium"/>
    <m/>
    <x v="1"/>
    <n v="70808"/>
    <n v="1.5988477288799201"/>
    <d v="2016-01-12T12:55:50"/>
    <n v="19.579999999999998"/>
    <x v="499"/>
    <n v="2"/>
    <n v="1"/>
    <n v="1.7"/>
    <n v="0"/>
    <n v="2.7"/>
    <x v="486"/>
    <x v="0"/>
    <x v="554"/>
    <x v="318"/>
    <n v="7"/>
    <n v="10"/>
    <e v="#N/A"/>
  </r>
  <r>
    <n v="1091"/>
    <d v="2016-01-12T11:31:39"/>
    <d v="2016-01-12T11:46:39"/>
    <x v="1"/>
    <m/>
    <m/>
    <x v="1"/>
    <n v="70806"/>
    <n v="3.7245432057616501"/>
    <d v="2016-01-12T12:05:16"/>
    <n v="15.35"/>
    <x v="500"/>
    <n v="1"/>
    <n v="2.2999999999999998"/>
    <n v="0"/>
    <n v="0"/>
    <n v="2.2999999999999998"/>
    <x v="487"/>
    <x v="1"/>
    <x v="555"/>
    <x v="0"/>
    <n v="14"/>
    <e v="#N/A"/>
    <e v="#N/A"/>
  </r>
  <r>
    <n v="1092"/>
    <d v="2016-01-12T11:10:35"/>
    <d v="2016-01-12T11:25:33"/>
    <x v="0"/>
    <s v="Large"/>
    <m/>
    <x v="1"/>
    <n v="70805"/>
    <n v="0.56447470376956899"/>
    <d v="2016-01-12T11:28:22"/>
    <n v="23.34"/>
    <x v="501"/>
    <n v="2"/>
    <n v="1"/>
    <n v="2.2999999999999998"/>
    <n v="0"/>
    <n v="3.3"/>
    <x v="488"/>
    <x v="0"/>
    <x v="556"/>
    <x v="319"/>
    <n v="7"/>
    <n v="14"/>
    <e v="#N/A"/>
  </r>
  <r>
    <n v="1093"/>
    <d v="2016-01-12T11:27:48"/>
    <d v="2016-01-12T11:42:48"/>
    <x v="1"/>
    <m/>
    <m/>
    <x v="1"/>
    <n v="70804"/>
    <n v="2.72737606218644"/>
    <d v="2016-01-12T11:56:26"/>
    <n v="15.35"/>
    <x v="36"/>
    <n v="1"/>
    <n v="2.2999999999999998"/>
    <n v="0"/>
    <n v="0"/>
    <n v="2.2999999999999998"/>
    <x v="30"/>
    <x v="0"/>
    <x v="557"/>
    <x v="320"/>
    <n v="14"/>
    <e v="#N/A"/>
    <e v="#N/A"/>
  </r>
  <r>
    <n v="1094"/>
    <d v="2016-01-12T12:12:27"/>
    <d v="2016-01-12T12:27:28"/>
    <x v="1"/>
    <m/>
    <m/>
    <x v="0"/>
    <n v="70804"/>
    <n v="0"/>
    <d v="2016-01-12T12:30:28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095"/>
    <d v="2016-01-12T12:30:33"/>
    <d v="2016-01-12T12:45:32"/>
    <x v="0"/>
    <m/>
    <m/>
    <x v="0"/>
    <n v="70804"/>
    <n v="0"/>
    <d v="2016-01-12T12:48:30"/>
    <n v="7.99"/>
    <x v="0"/>
    <n v="1"/>
    <n v="1"/>
    <n v="0"/>
    <n v="0"/>
    <n v="1"/>
    <x v="0"/>
    <x v="0"/>
    <x v="0"/>
    <x v="0"/>
    <n v="7"/>
    <e v="#N/A"/>
    <e v="#N/A"/>
  </r>
  <r>
    <n v="1096"/>
    <d v="2016-01-12T13:24:43"/>
    <d v="2016-01-12T13:39:41"/>
    <x v="0"/>
    <s v="Large"/>
    <m/>
    <x v="0"/>
    <n v="70804"/>
    <n v="0"/>
    <d v="2016-01-12T13:42:40"/>
    <n v="23.34"/>
    <x v="24"/>
    <n v="2"/>
    <n v="1"/>
    <n v="2.2999999999999998"/>
    <n v="0"/>
    <n v="3.3"/>
    <x v="0"/>
    <x v="0"/>
    <x v="0"/>
    <x v="0"/>
    <n v="7"/>
    <n v="14"/>
    <e v="#N/A"/>
  </r>
  <r>
    <n v="1097"/>
    <d v="2016-01-12T12:42:51"/>
    <d v="2016-01-12T12:57:49"/>
    <x v="2"/>
    <s v="Large"/>
    <m/>
    <x v="1"/>
    <n v="70804"/>
    <n v="4.4176507503456701"/>
    <d v="2016-01-12T13:19:54"/>
    <n v="25.94"/>
    <x v="479"/>
    <n v="2"/>
    <n v="1.7"/>
    <n v="2.2999999999999998"/>
    <n v="0"/>
    <n v="4"/>
    <x v="466"/>
    <x v="1"/>
    <x v="558"/>
    <x v="0"/>
    <n v="10"/>
    <n v="14"/>
    <e v="#N/A"/>
  </r>
  <r>
    <n v="1098"/>
    <d v="2016-01-12T11:45:27"/>
    <d v="2016-01-12T12:00:27"/>
    <x v="1"/>
    <m/>
    <m/>
    <x v="1"/>
    <n v="70805"/>
    <n v="3.3463877901419599"/>
    <d v="2016-01-12T12:17:10"/>
    <n v="15.35"/>
    <x v="502"/>
    <n v="1"/>
    <n v="2.2999999999999998"/>
    <n v="0"/>
    <n v="0"/>
    <n v="2.2999999999999998"/>
    <x v="489"/>
    <x v="1"/>
    <x v="559"/>
    <x v="0"/>
    <n v="14"/>
    <e v="#N/A"/>
    <e v="#N/A"/>
  </r>
  <r>
    <n v="1099"/>
    <d v="2016-01-12T11:35:16"/>
    <d v="2016-01-12T11:50:16"/>
    <x v="1"/>
    <m/>
    <m/>
    <x v="0"/>
    <n v="70806"/>
    <n v="0"/>
    <d v="2016-01-12T11:53:13"/>
    <n v="15.35"/>
    <x v="102"/>
    <n v="1"/>
    <n v="2.2999999999999998"/>
    <n v="0"/>
    <n v="0"/>
    <n v="2.2999999999999998"/>
    <x v="0"/>
    <x v="0"/>
    <x v="0"/>
    <x v="0"/>
    <n v="14"/>
    <e v="#N/A"/>
    <e v="#N/A"/>
  </r>
  <r>
    <n v="1100"/>
    <d v="2016-01-12T10:29:22"/>
    <d v="2016-01-12T10:44:21"/>
    <x v="2"/>
    <m/>
    <m/>
    <x v="0"/>
    <n v="70808"/>
    <n v="0"/>
    <d v="2016-01-12T10:47:21"/>
    <n v="11.59"/>
    <x v="2"/>
    <n v="1"/>
    <n v="1.7"/>
    <n v="0"/>
    <n v="0"/>
    <n v="1.7"/>
    <x v="0"/>
    <x v="0"/>
    <x v="0"/>
    <x v="0"/>
    <n v="10"/>
    <e v="#N/A"/>
    <e v="#N/A"/>
  </r>
  <r>
    <n v="1101"/>
    <d v="2016-01-12T12:12:49"/>
    <d v="2016-01-12T12:27:50"/>
    <x v="1"/>
    <m/>
    <m/>
    <x v="1"/>
    <n v="70803"/>
    <n v="4.0938711846218796"/>
    <d v="2016-01-12T12:48:18"/>
    <n v="15.35"/>
    <x v="503"/>
    <n v="1"/>
    <n v="2.2999999999999998"/>
    <n v="0"/>
    <n v="0"/>
    <n v="2.2999999999999998"/>
    <x v="490"/>
    <x v="1"/>
    <x v="560"/>
    <x v="0"/>
    <n v="14"/>
    <e v="#N/A"/>
    <e v="#N/A"/>
  </r>
  <r>
    <n v="1102"/>
    <d v="2016-01-12T14:43:02"/>
    <d v="2016-01-12T14:58:03"/>
    <x v="1"/>
    <m/>
    <m/>
    <x v="1"/>
    <n v="70806"/>
    <n v="3.3575348201255601"/>
    <d v="2016-01-12T15:14:50"/>
    <n v="15.35"/>
    <x v="504"/>
    <n v="1"/>
    <n v="2.2999999999999998"/>
    <n v="0"/>
    <n v="0"/>
    <n v="2.2999999999999998"/>
    <x v="491"/>
    <x v="1"/>
    <x v="561"/>
    <x v="0"/>
    <n v="14"/>
    <e v="#N/A"/>
    <e v="#N/A"/>
  </r>
  <r>
    <n v="1103"/>
    <d v="2016-01-12T12:26:58"/>
    <d v="2016-01-12T12:41:58"/>
    <x v="0"/>
    <s v="Medium"/>
    <m/>
    <x v="1"/>
    <n v="70803"/>
    <n v="5.1312441956947001"/>
    <d v="2016-01-12T13:07:37"/>
    <n v="19.579999999999998"/>
    <x v="505"/>
    <n v="2"/>
    <n v="1"/>
    <n v="1.7"/>
    <n v="0"/>
    <n v="2.7"/>
    <x v="492"/>
    <x v="1"/>
    <x v="562"/>
    <x v="0"/>
    <n v="7"/>
    <n v="10"/>
    <e v="#N/A"/>
  </r>
  <r>
    <n v="1104"/>
    <d v="2016-01-12T12:44:43"/>
    <d v="2016-01-12T12:59:41"/>
    <x v="1"/>
    <m/>
    <m/>
    <x v="1"/>
    <n v="70806"/>
    <n v="2.8814140906533998"/>
    <d v="2016-01-12T13:14:05"/>
    <n v="15.35"/>
    <x v="506"/>
    <n v="1"/>
    <n v="2.2999999999999998"/>
    <n v="0"/>
    <n v="0"/>
    <n v="2.2999999999999998"/>
    <x v="493"/>
    <x v="0"/>
    <x v="563"/>
    <x v="321"/>
    <n v="14"/>
    <e v="#N/A"/>
    <e v="#N/A"/>
  </r>
  <r>
    <n v="1105"/>
    <d v="2016-01-12T11:56:27"/>
    <d v="2016-01-12T12:11:28"/>
    <x v="1"/>
    <m/>
    <m/>
    <x v="1"/>
    <n v="70806"/>
    <n v="1.42307126887312"/>
    <d v="2016-01-12T12:18:34"/>
    <n v="15.35"/>
    <x v="507"/>
    <n v="1"/>
    <n v="2.2999999999999998"/>
    <n v="0"/>
    <n v="0"/>
    <n v="2.2999999999999998"/>
    <x v="494"/>
    <x v="0"/>
    <x v="564"/>
    <x v="322"/>
    <n v="14"/>
    <e v="#N/A"/>
    <e v="#N/A"/>
  </r>
  <r>
    <n v="1106"/>
    <d v="2016-01-12T12:00:56"/>
    <d v="2016-01-12T12:15:56"/>
    <x v="0"/>
    <m/>
    <m/>
    <x v="1"/>
    <n v="70804"/>
    <n v="3.9887029192671402"/>
    <d v="2016-01-12T12:35:52"/>
    <n v="7.99"/>
    <x v="508"/>
    <n v="1"/>
    <n v="1"/>
    <n v="0"/>
    <n v="0"/>
    <n v="1"/>
    <x v="495"/>
    <x v="1"/>
    <x v="565"/>
    <x v="0"/>
    <n v="7"/>
    <e v="#N/A"/>
    <e v="#N/A"/>
  </r>
  <r>
    <n v="1107"/>
    <d v="2016-01-12T11:49:11"/>
    <d v="2016-01-12T12:04:10"/>
    <x v="1"/>
    <m/>
    <m/>
    <x v="0"/>
    <n v="70806"/>
    <n v="0"/>
    <d v="2016-01-12T12:07:11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1108"/>
    <d v="2016-01-12T11:29:21"/>
    <d v="2016-01-12T11:44:21"/>
    <x v="0"/>
    <s v="Medium"/>
    <m/>
    <x v="0"/>
    <n v="70804"/>
    <n v="0"/>
    <d v="2016-01-12T11:47:21"/>
    <n v="19.579999999999998"/>
    <x v="2"/>
    <n v="2"/>
    <n v="1"/>
    <n v="1.7"/>
    <n v="0"/>
    <n v="2.7"/>
    <x v="0"/>
    <x v="0"/>
    <x v="0"/>
    <x v="0"/>
    <n v="7"/>
    <n v="10"/>
    <e v="#N/A"/>
  </r>
  <r>
    <n v="1109"/>
    <d v="2016-01-12T11:35:15"/>
    <d v="2016-01-12T11:50:16"/>
    <x v="2"/>
    <m/>
    <m/>
    <x v="1"/>
    <n v="70807"/>
    <n v="3.8524290859392898"/>
    <d v="2016-01-12T12:09:31"/>
    <n v="11.59"/>
    <x v="509"/>
    <n v="1"/>
    <n v="1.7"/>
    <n v="0"/>
    <n v="0"/>
    <n v="1.7"/>
    <x v="496"/>
    <x v="1"/>
    <x v="566"/>
    <x v="0"/>
    <n v="10"/>
    <e v="#N/A"/>
    <e v="#N/A"/>
  </r>
  <r>
    <n v="1110"/>
    <d v="2016-01-12T12:50:01"/>
    <d v="2016-01-12T13:05:02"/>
    <x v="1"/>
    <m/>
    <m/>
    <x v="1"/>
    <n v="70805"/>
    <n v="4.0204124251681099"/>
    <d v="2016-01-12T13:25:08"/>
    <n v="15.35"/>
    <x v="510"/>
    <n v="1"/>
    <n v="2.2999999999999998"/>
    <n v="0"/>
    <n v="0"/>
    <n v="2.2999999999999998"/>
    <x v="497"/>
    <x v="1"/>
    <x v="567"/>
    <x v="0"/>
    <n v="14"/>
    <e v="#N/A"/>
    <e v="#N/A"/>
  </r>
  <r>
    <n v="1111"/>
    <d v="2016-01-12T11:15:31"/>
    <d v="2016-01-12T11:30:32"/>
    <x v="0"/>
    <s v="Large"/>
    <m/>
    <x v="0"/>
    <n v="70805"/>
    <n v="0"/>
    <d v="2016-01-12T11:33:32"/>
    <n v="23.34"/>
    <x v="63"/>
    <n v="2"/>
    <n v="1"/>
    <n v="2.2999999999999998"/>
    <n v="0"/>
    <n v="3.3"/>
    <x v="0"/>
    <x v="0"/>
    <x v="0"/>
    <x v="0"/>
    <n v="7"/>
    <n v="14"/>
    <e v="#N/A"/>
  </r>
  <r>
    <n v="1112"/>
    <d v="2016-01-12T11:07:36"/>
    <d v="2016-01-12T11:22:35"/>
    <x v="1"/>
    <m/>
    <m/>
    <x v="1"/>
    <n v="70805"/>
    <n v="3.7333103372069201"/>
    <d v="2016-01-12T11:41:14"/>
    <n v="15.35"/>
    <x v="511"/>
    <n v="1"/>
    <n v="2.2999999999999998"/>
    <n v="0"/>
    <n v="0"/>
    <n v="2.2999999999999998"/>
    <x v="498"/>
    <x v="1"/>
    <x v="568"/>
    <x v="0"/>
    <n v="14"/>
    <e v="#N/A"/>
    <e v="#N/A"/>
  </r>
  <r>
    <n v="1113"/>
    <d v="2016-01-12T13:56:57"/>
    <d v="2016-01-12T14:11:55"/>
    <x v="1"/>
    <m/>
    <m/>
    <x v="0"/>
    <n v="70807"/>
    <n v="0"/>
    <d v="2016-01-12T14:14:54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1114"/>
    <d v="2016-01-12T12:24:43"/>
    <d v="2016-01-12T12:39:44"/>
    <x v="2"/>
    <m/>
    <m/>
    <x v="0"/>
    <n v="70804"/>
    <n v="0"/>
    <d v="2016-01-12T12:42:43"/>
    <n v="11.59"/>
    <x v="24"/>
    <n v="1"/>
    <n v="1.7"/>
    <n v="0"/>
    <n v="0"/>
    <n v="1.7"/>
    <x v="0"/>
    <x v="0"/>
    <x v="0"/>
    <x v="0"/>
    <n v="10"/>
    <e v="#N/A"/>
    <e v="#N/A"/>
  </r>
  <r>
    <n v="1115"/>
    <d v="2016-01-12T12:25:18"/>
    <d v="2016-01-12T12:40:17"/>
    <x v="2"/>
    <m/>
    <m/>
    <x v="0"/>
    <n v="70806"/>
    <n v="0"/>
    <d v="2016-01-12T12:43:17"/>
    <n v="11.59"/>
    <x v="2"/>
    <n v="1"/>
    <n v="1.7"/>
    <n v="0"/>
    <n v="0"/>
    <n v="1.7"/>
    <x v="0"/>
    <x v="0"/>
    <x v="0"/>
    <x v="0"/>
    <n v="10"/>
    <e v="#N/A"/>
    <e v="#N/A"/>
  </r>
  <r>
    <n v="1116"/>
    <d v="2016-01-12T13:26:13"/>
    <d v="2016-01-12T13:41:13"/>
    <x v="0"/>
    <m/>
    <m/>
    <x v="1"/>
    <n v="70805"/>
    <n v="2.8280466933444699"/>
    <d v="2016-01-12T13:55:21"/>
    <n v="7.99"/>
    <x v="512"/>
    <n v="1"/>
    <n v="1"/>
    <n v="0"/>
    <n v="0"/>
    <n v="1"/>
    <x v="499"/>
    <x v="0"/>
    <x v="569"/>
    <x v="323"/>
    <n v="7"/>
    <e v="#N/A"/>
    <e v="#N/A"/>
  </r>
  <r>
    <n v="1117"/>
    <d v="2016-01-12T12:44:18"/>
    <d v="2016-01-12T12:59:19"/>
    <x v="2"/>
    <m/>
    <m/>
    <x v="0"/>
    <n v="70807"/>
    <n v="0"/>
    <d v="2016-01-12T13:02:18"/>
    <n v="11.59"/>
    <x v="24"/>
    <n v="1"/>
    <n v="1.7"/>
    <n v="0"/>
    <n v="0"/>
    <n v="1.7"/>
    <x v="0"/>
    <x v="0"/>
    <x v="0"/>
    <x v="0"/>
    <n v="10"/>
    <e v="#N/A"/>
    <e v="#N/A"/>
  </r>
  <r>
    <n v="1118"/>
    <d v="2016-01-12T10:30:41"/>
    <d v="2016-01-12T10:45:40"/>
    <x v="0"/>
    <s v="Medium"/>
    <m/>
    <x v="0"/>
    <n v="70805"/>
    <n v="0"/>
    <d v="2016-01-12T10:48:38"/>
    <n v="19.579999999999998"/>
    <x v="0"/>
    <n v="2"/>
    <n v="1"/>
    <n v="1.7"/>
    <n v="0"/>
    <n v="2.7"/>
    <x v="0"/>
    <x v="0"/>
    <x v="0"/>
    <x v="0"/>
    <n v="7"/>
    <n v="10"/>
    <e v="#N/A"/>
  </r>
  <r>
    <n v="1119"/>
    <d v="2016-01-12T12:31:16"/>
    <d v="2016-01-12T12:46:16"/>
    <x v="0"/>
    <s v="Medium"/>
    <m/>
    <x v="1"/>
    <n v="70805"/>
    <n v="3.5389578277735301"/>
    <d v="2016-01-12T13:03:57"/>
    <n v="19.579999999999998"/>
    <x v="513"/>
    <n v="2"/>
    <n v="1"/>
    <n v="1.7"/>
    <n v="0"/>
    <n v="2.7"/>
    <x v="500"/>
    <x v="1"/>
    <x v="570"/>
    <x v="0"/>
    <n v="7"/>
    <n v="10"/>
    <e v="#N/A"/>
  </r>
  <r>
    <n v="1120"/>
    <d v="2016-01-12T11:11:51"/>
    <d v="2016-01-12T11:26:51"/>
    <x v="1"/>
    <m/>
    <m/>
    <x v="0"/>
    <n v="70804"/>
    <n v="0"/>
    <d v="2016-01-12T11:29:49"/>
    <n v="15.35"/>
    <x v="19"/>
    <n v="1"/>
    <n v="2.2999999999999998"/>
    <n v="0"/>
    <n v="0"/>
    <n v="2.2999999999999998"/>
    <x v="0"/>
    <x v="0"/>
    <x v="0"/>
    <x v="0"/>
    <n v="14"/>
    <e v="#N/A"/>
    <e v="#N/A"/>
  </r>
  <r>
    <n v="1121"/>
    <d v="2016-01-12T12:53:23"/>
    <d v="2016-01-12T13:08:23"/>
    <x v="2"/>
    <m/>
    <m/>
    <x v="1"/>
    <n v="70806"/>
    <n v="3.37228450871048"/>
    <d v="2016-01-12T13:25:14"/>
    <n v="11.59"/>
    <x v="514"/>
    <n v="1"/>
    <n v="1.7"/>
    <n v="0"/>
    <n v="0"/>
    <n v="1.7"/>
    <x v="501"/>
    <x v="1"/>
    <x v="571"/>
    <x v="0"/>
    <n v="10"/>
    <e v="#N/A"/>
    <e v="#N/A"/>
  </r>
  <r>
    <n v="1122"/>
    <d v="2016-01-12T13:26:14"/>
    <d v="2016-01-12T13:41:12"/>
    <x v="1"/>
    <m/>
    <m/>
    <x v="0"/>
    <n v="70805"/>
    <n v="0"/>
    <d v="2016-01-12T13:44:12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123"/>
    <d v="2016-01-12T10:07:10"/>
    <d v="2016-01-12T10:22:09"/>
    <x v="0"/>
    <s v="Large"/>
    <m/>
    <x v="1"/>
    <n v="70804"/>
    <n v="2.1033815236784998"/>
    <d v="2016-01-12T10:32:40"/>
    <n v="23.34"/>
    <x v="515"/>
    <n v="2"/>
    <n v="1"/>
    <n v="2.2999999999999998"/>
    <n v="0"/>
    <n v="3.3"/>
    <x v="502"/>
    <x v="0"/>
    <x v="572"/>
    <x v="324"/>
    <n v="7"/>
    <n v="14"/>
    <e v="#N/A"/>
  </r>
  <r>
    <n v="1124"/>
    <d v="2016-01-12T12:52:29"/>
    <d v="2016-01-12T13:07:28"/>
    <x v="2"/>
    <m/>
    <m/>
    <x v="1"/>
    <n v="70803"/>
    <n v="3.9939006629182199"/>
    <d v="2016-01-12T13:27:26"/>
    <n v="11.59"/>
    <x v="516"/>
    <n v="1"/>
    <n v="1.7"/>
    <n v="0"/>
    <n v="0"/>
    <n v="1.7"/>
    <x v="503"/>
    <x v="1"/>
    <x v="573"/>
    <x v="0"/>
    <n v="10"/>
    <e v="#N/A"/>
    <e v="#N/A"/>
  </r>
  <r>
    <n v="1125"/>
    <d v="2016-01-12T11:39:23"/>
    <d v="2016-01-12T11:54:23"/>
    <x v="2"/>
    <m/>
    <m/>
    <x v="0"/>
    <n v="70805"/>
    <n v="0"/>
    <d v="2016-01-12T11:57:24"/>
    <n v="11.59"/>
    <x v="14"/>
    <n v="1"/>
    <n v="1.7"/>
    <n v="0"/>
    <n v="0"/>
    <n v="1.7"/>
    <x v="0"/>
    <x v="0"/>
    <x v="0"/>
    <x v="0"/>
    <n v="10"/>
    <e v="#N/A"/>
    <e v="#N/A"/>
  </r>
  <r>
    <n v="1126"/>
    <d v="2016-01-12T12:39:33"/>
    <d v="2016-01-12T12:54:32"/>
    <x v="0"/>
    <m/>
    <m/>
    <x v="0"/>
    <n v="70807"/>
    <n v="0"/>
    <d v="2016-01-12T12:57:31"/>
    <n v="7.99"/>
    <x v="1"/>
    <n v="1"/>
    <n v="1"/>
    <n v="0"/>
    <n v="0"/>
    <n v="1"/>
    <x v="0"/>
    <x v="0"/>
    <x v="0"/>
    <x v="0"/>
    <n v="7"/>
    <e v="#N/A"/>
    <e v="#N/A"/>
  </r>
  <r>
    <n v="1127"/>
    <d v="2016-01-12T12:40:29"/>
    <d v="2016-01-12T12:55:28"/>
    <x v="1"/>
    <m/>
    <m/>
    <x v="1"/>
    <n v="70804"/>
    <n v="3.4056420268776799"/>
    <d v="2016-01-12T13:12:29"/>
    <n v="15.35"/>
    <x v="517"/>
    <n v="1"/>
    <n v="2.2999999999999998"/>
    <n v="0"/>
    <n v="0"/>
    <n v="2.2999999999999998"/>
    <x v="504"/>
    <x v="1"/>
    <x v="574"/>
    <x v="0"/>
    <n v="14"/>
    <e v="#N/A"/>
    <e v="#N/A"/>
  </r>
  <r>
    <n v="1128"/>
    <d v="2016-01-12T12:23:10"/>
    <d v="2016-01-12T12:38:09"/>
    <x v="0"/>
    <s v="Medium"/>
    <m/>
    <x v="0"/>
    <n v="70804"/>
    <n v="0"/>
    <d v="2016-01-12T12:41:09"/>
    <n v="19.579999999999998"/>
    <x v="2"/>
    <n v="2"/>
    <n v="1"/>
    <n v="1.7"/>
    <n v="0"/>
    <n v="2.7"/>
    <x v="0"/>
    <x v="0"/>
    <x v="0"/>
    <x v="0"/>
    <n v="7"/>
    <n v="10"/>
    <e v="#N/A"/>
  </r>
  <r>
    <n v="1129"/>
    <d v="2016-01-12T13:33:56"/>
    <d v="2016-01-12T13:48:57"/>
    <x v="0"/>
    <m/>
    <m/>
    <x v="0"/>
    <n v="70804"/>
    <n v="0"/>
    <d v="2016-01-12T13:51:57"/>
    <n v="7.99"/>
    <x v="2"/>
    <n v="1"/>
    <n v="1"/>
    <n v="0"/>
    <n v="0"/>
    <n v="1"/>
    <x v="0"/>
    <x v="0"/>
    <x v="0"/>
    <x v="0"/>
    <n v="7"/>
    <e v="#N/A"/>
    <e v="#N/A"/>
  </r>
  <r>
    <n v="1130"/>
    <d v="2016-01-12T10:08:16"/>
    <d v="2016-01-12T10:23:16"/>
    <x v="1"/>
    <m/>
    <m/>
    <x v="1"/>
    <n v="70805"/>
    <n v="3.2821086101749501"/>
    <d v="2016-01-12T10:39:40"/>
    <n v="15.35"/>
    <x v="108"/>
    <n v="1"/>
    <n v="2.2999999999999998"/>
    <n v="0"/>
    <n v="0"/>
    <n v="2.2999999999999998"/>
    <x v="98"/>
    <x v="1"/>
    <x v="575"/>
    <x v="0"/>
    <n v="14"/>
    <e v="#N/A"/>
    <e v="#N/A"/>
  </r>
  <r>
    <n v="1131"/>
    <d v="2016-01-12T12:33:14"/>
    <d v="2016-01-12T12:48:15"/>
    <x v="2"/>
    <m/>
    <m/>
    <x v="0"/>
    <n v="70805"/>
    <n v="0"/>
    <d v="2016-01-12T12:51:16"/>
    <n v="11.59"/>
    <x v="14"/>
    <n v="1"/>
    <n v="1.7"/>
    <n v="0"/>
    <n v="0"/>
    <n v="1.7"/>
    <x v="0"/>
    <x v="0"/>
    <x v="0"/>
    <x v="0"/>
    <n v="10"/>
    <e v="#N/A"/>
    <e v="#N/A"/>
  </r>
  <r>
    <n v="1132"/>
    <d v="2016-01-12T14:18:51"/>
    <d v="2016-01-12T14:33:53"/>
    <x v="2"/>
    <s v="Large"/>
    <m/>
    <x v="1"/>
    <n v="70805"/>
    <n v="2.6985372707335902"/>
    <d v="2016-01-12T14:47:22"/>
    <n v="25.94"/>
    <x v="241"/>
    <n v="2"/>
    <n v="1.7"/>
    <n v="2.2999999999999998"/>
    <n v="0"/>
    <n v="4"/>
    <x v="228"/>
    <x v="0"/>
    <x v="576"/>
    <x v="325"/>
    <n v="10"/>
    <n v="14"/>
    <e v="#N/A"/>
  </r>
  <r>
    <n v="1133"/>
    <d v="2016-01-12T12:51:44"/>
    <d v="2016-01-12T13:06:44"/>
    <x v="1"/>
    <m/>
    <m/>
    <x v="1"/>
    <n v="70806"/>
    <n v="2.3821901090442399"/>
    <d v="2016-01-12T13:18:38"/>
    <n v="15.35"/>
    <x v="73"/>
    <n v="1"/>
    <n v="2.2999999999999998"/>
    <n v="0"/>
    <n v="0"/>
    <n v="2.2999999999999998"/>
    <x v="64"/>
    <x v="0"/>
    <x v="577"/>
    <x v="326"/>
    <n v="14"/>
    <e v="#N/A"/>
    <e v="#N/A"/>
  </r>
  <r>
    <n v="1134"/>
    <d v="2016-01-12T11:37:08"/>
    <d v="2016-01-12T11:52:08"/>
    <x v="0"/>
    <s v="Medium"/>
    <m/>
    <x v="1"/>
    <n v="70803"/>
    <n v="2.78353897059392"/>
    <d v="2016-01-12T12:06:03"/>
    <n v="19.579999999999998"/>
    <x v="274"/>
    <n v="2"/>
    <n v="1"/>
    <n v="1.7"/>
    <n v="0"/>
    <n v="2.7"/>
    <x v="261"/>
    <x v="0"/>
    <x v="578"/>
    <x v="327"/>
    <n v="7"/>
    <n v="10"/>
    <e v="#N/A"/>
  </r>
  <r>
    <n v="1135"/>
    <d v="2016-01-12T12:48:41"/>
    <d v="2016-01-12T13:03:40"/>
    <x v="0"/>
    <s v="Medium"/>
    <m/>
    <x v="1"/>
    <n v="70803"/>
    <n v="0.58841113329234895"/>
    <d v="2016-01-12T13:06:36"/>
    <n v="19.579999999999998"/>
    <x v="518"/>
    <n v="2"/>
    <n v="1"/>
    <n v="1.7"/>
    <n v="0"/>
    <n v="2.7"/>
    <x v="505"/>
    <x v="0"/>
    <x v="579"/>
    <x v="328"/>
    <n v="7"/>
    <n v="10"/>
    <e v="#N/A"/>
  </r>
  <r>
    <n v="1136"/>
    <d v="2016-01-12T11:13:34"/>
    <d v="2016-01-12T11:28:33"/>
    <x v="1"/>
    <m/>
    <m/>
    <x v="1"/>
    <n v="70803"/>
    <n v="2.2109623085488601"/>
    <d v="2016-01-12T11:39:36"/>
    <n v="15.35"/>
    <x v="231"/>
    <n v="1"/>
    <n v="2.2999999999999998"/>
    <n v="0"/>
    <n v="0"/>
    <n v="2.2999999999999998"/>
    <x v="218"/>
    <x v="0"/>
    <x v="580"/>
    <x v="329"/>
    <n v="14"/>
    <e v="#N/A"/>
    <e v="#N/A"/>
  </r>
  <r>
    <n v="1137"/>
    <d v="2016-01-12T11:57:44"/>
    <d v="2016-01-12T12:12:45"/>
    <x v="1"/>
    <m/>
    <m/>
    <x v="0"/>
    <n v="70804"/>
    <n v="0"/>
    <d v="2016-01-12T12:15:41"/>
    <n v="15.35"/>
    <x v="518"/>
    <n v="1"/>
    <n v="2.2999999999999998"/>
    <n v="0"/>
    <n v="0"/>
    <n v="2.2999999999999998"/>
    <x v="0"/>
    <x v="0"/>
    <x v="0"/>
    <x v="0"/>
    <n v="14"/>
    <e v="#N/A"/>
    <e v="#N/A"/>
  </r>
  <r>
    <n v="1138"/>
    <d v="2016-01-12T10:58:05"/>
    <d v="2016-01-12T11:13:03"/>
    <x v="2"/>
    <m/>
    <m/>
    <x v="1"/>
    <n v="70805"/>
    <n v="1.55988152163801"/>
    <d v="2016-01-12T11:20:50"/>
    <n v="11.59"/>
    <x v="519"/>
    <n v="1"/>
    <n v="1.7"/>
    <n v="0"/>
    <n v="0"/>
    <n v="1.7"/>
    <x v="506"/>
    <x v="0"/>
    <x v="581"/>
    <x v="330"/>
    <n v="10"/>
    <e v="#N/A"/>
    <e v="#N/A"/>
  </r>
  <r>
    <n v="1139"/>
    <d v="2016-01-12T12:44:21"/>
    <d v="2016-01-12T12:59:20"/>
    <x v="2"/>
    <m/>
    <m/>
    <x v="1"/>
    <n v="70806"/>
    <n v="3.0507717518782802"/>
    <d v="2016-01-12T13:14:35"/>
    <n v="11.59"/>
    <x v="244"/>
    <n v="1"/>
    <n v="1.7"/>
    <n v="0"/>
    <n v="0"/>
    <n v="1.7"/>
    <x v="231"/>
    <x v="0"/>
    <x v="582"/>
    <x v="331"/>
    <n v="10"/>
    <e v="#N/A"/>
    <e v="#N/A"/>
  </r>
  <r>
    <n v="1140"/>
    <d v="2016-01-12T14:53:23"/>
    <d v="2016-01-12T15:08:23"/>
    <x v="2"/>
    <m/>
    <m/>
    <x v="1"/>
    <n v="70805"/>
    <n v="3.7535614742122601"/>
    <d v="2016-01-12T15:27:09"/>
    <n v="11.59"/>
    <x v="520"/>
    <n v="1"/>
    <n v="1.7"/>
    <n v="0"/>
    <n v="0"/>
    <n v="1.7"/>
    <x v="507"/>
    <x v="1"/>
    <x v="583"/>
    <x v="0"/>
    <n v="10"/>
    <e v="#N/A"/>
    <e v="#N/A"/>
  </r>
  <r>
    <n v="1141"/>
    <d v="2016-01-12T11:39:09"/>
    <d v="2016-01-12T11:54:09"/>
    <x v="0"/>
    <s v="Medium"/>
    <m/>
    <x v="1"/>
    <n v="70805"/>
    <n v="3.7931249623855101"/>
    <d v="2016-01-12T12:13:06"/>
    <n v="19.579999999999998"/>
    <x v="496"/>
    <n v="2"/>
    <n v="1"/>
    <n v="1.7"/>
    <n v="0"/>
    <n v="2.7"/>
    <x v="483"/>
    <x v="1"/>
    <x v="584"/>
    <x v="0"/>
    <n v="7"/>
    <n v="10"/>
    <e v="#N/A"/>
  </r>
  <r>
    <n v="1142"/>
    <d v="2016-01-12T12:43:43"/>
    <d v="2016-01-12T12:58:42"/>
    <x v="2"/>
    <m/>
    <m/>
    <x v="0"/>
    <n v="70804"/>
    <n v="0"/>
    <d v="2016-01-12T13:01:42"/>
    <n v="11.59"/>
    <x v="2"/>
    <n v="1"/>
    <n v="1.7"/>
    <n v="0"/>
    <n v="0"/>
    <n v="1.7"/>
    <x v="0"/>
    <x v="0"/>
    <x v="0"/>
    <x v="0"/>
    <n v="10"/>
    <e v="#N/A"/>
    <e v="#N/A"/>
  </r>
  <r>
    <n v="1143"/>
    <d v="2016-01-12T11:27:05"/>
    <d v="2016-01-12T11:42:05"/>
    <x v="0"/>
    <m/>
    <m/>
    <x v="0"/>
    <n v="70803"/>
    <n v="0"/>
    <d v="2016-01-12T11:45:05"/>
    <n v="7.99"/>
    <x v="2"/>
    <n v="1"/>
    <n v="1"/>
    <n v="0"/>
    <n v="0"/>
    <n v="1"/>
    <x v="0"/>
    <x v="0"/>
    <x v="0"/>
    <x v="0"/>
    <n v="7"/>
    <e v="#N/A"/>
    <e v="#N/A"/>
  </r>
  <r>
    <n v="1144"/>
    <d v="2016-01-12T10:16:31"/>
    <d v="2016-01-12T10:31:30"/>
    <x v="1"/>
    <m/>
    <m/>
    <x v="1"/>
    <n v="70804"/>
    <n v="5.3819089435210099"/>
    <d v="2016-01-12T10:58:24"/>
    <n v="15.35"/>
    <x v="521"/>
    <n v="1"/>
    <n v="2.2999999999999998"/>
    <n v="0"/>
    <n v="0"/>
    <n v="2.2999999999999998"/>
    <x v="508"/>
    <x v="1"/>
    <x v="585"/>
    <x v="0"/>
    <n v="14"/>
    <e v="#N/A"/>
    <e v="#N/A"/>
  </r>
  <r>
    <n v="1145"/>
    <d v="2016-01-12T11:49:41"/>
    <d v="2016-01-12T12:04:42"/>
    <x v="2"/>
    <m/>
    <m/>
    <x v="0"/>
    <n v="70803"/>
    <n v="0"/>
    <d v="2016-01-12T12:07:43"/>
    <n v="11.59"/>
    <x v="14"/>
    <n v="1"/>
    <n v="1.7"/>
    <n v="0"/>
    <n v="0"/>
    <n v="1.7"/>
    <x v="0"/>
    <x v="0"/>
    <x v="0"/>
    <x v="0"/>
    <n v="10"/>
    <e v="#N/A"/>
    <e v="#N/A"/>
  </r>
  <r>
    <n v="1146"/>
    <d v="2016-01-12T10:58:49"/>
    <d v="2016-01-12T11:13:48"/>
    <x v="2"/>
    <m/>
    <m/>
    <x v="1"/>
    <n v="70804"/>
    <n v="2.6996363531395802"/>
    <d v="2016-01-12T11:27:17"/>
    <n v="11.59"/>
    <x v="241"/>
    <n v="1"/>
    <n v="1.7"/>
    <n v="0"/>
    <n v="0"/>
    <n v="1.7"/>
    <x v="228"/>
    <x v="0"/>
    <x v="586"/>
    <x v="332"/>
    <n v="10"/>
    <e v="#N/A"/>
    <e v="#N/A"/>
  </r>
  <r>
    <n v="1147"/>
    <d v="2016-01-12T12:06:36"/>
    <d v="2016-01-12T12:21:35"/>
    <x v="0"/>
    <s v="Large"/>
    <m/>
    <x v="0"/>
    <n v="70804"/>
    <n v="0"/>
    <d v="2016-01-12T12:24:35"/>
    <n v="23.34"/>
    <x v="63"/>
    <n v="2"/>
    <n v="1"/>
    <n v="2.2999999999999998"/>
    <n v="0"/>
    <n v="3.3"/>
    <x v="0"/>
    <x v="0"/>
    <x v="0"/>
    <x v="0"/>
    <n v="7"/>
    <n v="14"/>
    <e v="#N/A"/>
  </r>
  <r>
    <n v="1148"/>
    <d v="2016-01-12T10:11:59"/>
    <d v="2016-01-12T10:26:58"/>
    <x v="0"/>
    <m/>
    <m/>
    <x v="0"/>
    <n v="70806"/>
    <n v="0"/>
    <d v="2016-01-12T10:29:58"/>
    <n v="7.99"/>
    <x v="2"/>
    <n v="1"/>
    <n v="1"/>
    <n v="0"/>
    <n v="0"/>
    <n v="1"/>
    <x v="0"/>
    <x v="0"/>
    <x v="0"/>
    <x v="0"/>
    <n v="7"/>
    <e v="#N/A"/>
    <e v="#N/A"/>
  </r>
  <r>
    <n v="1149"/>
    <d v="2016-01-12T12:53:42"/>
    <d v="2016-01-12T13:08:40"/>
    <x v="0"/>
    <m/>
    <m/>
    <x v="1"/>
    <n v="70803"/>
    <n v="2.7910737267099401"/>
    <d v="2016-01-12T13:22:37"/>
    <n v="7.99"/>
    <x v="522"/>
    <n v="1"/>
    <n v="1"/>
    <n v="0"/>
    <n v="0"/>
    <n v="1"/>
    <x v="509"/>
    <x v="0"/>
    <x v="587"/>
    <x v="333"/>
    <n v="7"/>
    <e v="#N/A"/>
    <e v="#N/A"/>
  </r>
  <r>
    <n v="1150"/>
    <d v="2016-01-12T11:06:25"/>
    <d v="2016-01-12T11:21:24"/>
    <x v="1"/>
    <m/>
    <m/>
    <x v="0"/>
    <n v="70805"/>
    <n v="0"/>
    <d v="2016-01-12T11:24:23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1151"/>
    <d v="2016-01-12T13:50:03"/>
    <d v="2016-01-12T14:05:01"/>
    <x v="0"/>
    <s v="Medium"/>
    <m/>
    <x v="0"/>
    <n v="70805"/>
    <n v="0"/>
    <d v="2016-01-12T14:08:01"/>
    <n v="19.579999999999998"/>
    <x v="2"/>
    <n v="2"/>
    <n v="1"/>
    <n v="1.7"/>
    <n v="0"/>
    <n v="2.7"/>
    <x v="0"/>
    <x v="0"/>
    <x v="0"/>
    <x v="0"/>
    <n v="7"/>
    <n v="10"/>
    <e v="#N/A"/>
  </r>
  <r>
    <n v="1152"/>
    <d v="2016-01-12T11:12:47"/>
    <d v="2016-01-12T11:27:48"/>
    <x v="0"/>
    <m/>
    <m/>
    <x v="0"/>
    <n v="70804"/>
    <n v="0"/>
    <d v="2016-01-12T11:30:47"/>
    <n v="7.99"/>
    <x v="1"/>
    <n v="1"/>
    <n v="1"/>
    <n v="0"/>
    <n v="0"/>
    <n v="1"/>
    <x v="0"/>
    <x v="0"/>
    <x v="0"/>
    <x v="0"/>
    <n v="7"/>
    <e v="#N/A"/>
    <e v="#N/A"/>
  </r>
  <r>
    <n v="1153"/>
    <d v="2016-01-12T12:45:26"/>
    <d v="2016-01-12T13:00:27"/>
    <x v="1"/>
    <m/>
    <m/>
    <x v="0"/>
    <n v="70804"/>
    <n v="0"/>
    <d v="2016-01-12T13:03:26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1154"/>
    <d v="2016-01-12T12:52:08"/>
    <d v="2016-01-12T13:07:08"/>
    <x v="1"/>
    <m/>
    <m/>
    <x v="1"/>
    <n v="70805"/>
    <n v="2.86643234886348"/>
    <d v="2016-01-12T13:21:27"/>
    <n v="15.35"/>
    <x v="523"/>
    <n v="1"/>
    <n v="2.2999999999999998"/>
    <n v="0"/>
    <n v="0"/>
    <n v="2.2999999999999998"/>
    <x v="510"/>
    <x v="0"/>
    <x v="588"/>
    <x v="334"/>
    <n v="14"/>
    <e v="#N/A"/>
    <e v="#N/A"/>
  </r>
  <r>
    <n v="1155"/>
    <d v="2016-01-12T13:07:54"/>
    <d v="2016-01-12T13:22:54"/>
    <x v="0"/>
    <s v="Large"/>
    <m/>
    <x v="1"/>
    <n v="70806"/>
    <n v="3.9161564119549399"/>
    <d v="2016-01-12T13:42:28"/>
    <n v="23.34"/>
    <x v="212"/>
    <n v="2"/>
    <n v="1"/>
    <n v="2.2999999999999998"/>
    <n v="0"/>
    <n v="3.3"/>
    <x v="200"/>
    <x v="1"/>
    <x v="589"/>
    <x v="0"/>
    <n v="7"/>
    <n v="14"/>
    <e v="#N/A"/>
  </r>
  <r>
    <n v="1156"/>
    <d v="2016-01-12T11:24:37"/>
    <d v="2016-01-12T11:39:35"/>
    <x v="1"/>
    <m/>
    <m/>
    <x v="0"/>
    <n v="70804"/>
    <n v="0"/>
    <d v="2016-01-12T11:42:34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1157"/>
    <d v="2016-01-12T11:00:47"/>
    <d v="2016-01-12T11:15:45"/>
    <x v="2"/>
    <m/>
    <m/>
    <x v="0"/>
    <n v="70807"/>
    <n v="0"/>
    <d v="2016-01-12T11:18:45"/>
    <n v="11.59"/>
    <x v="2"/>
    <n v="1"/>
    <n v="1.7"/>
    <n v="0"/>
    <n v="0"/>
    <n v="1.7"/>
    <x v="0"/>
    <x v="0"/>
    <x v="0"/>
    <x v="0"/>
    <n v="10"/>
    <e v="#N/A"/>
    <e v="#N/A"/>
  </r>
  <r>
    <n v="1158"/>
    <d v="2016-01-12T11:20:06"/>
    <d v="2016-01-12T11:35:05"/>
    <x v="2"/>
    <m/>
    <m/>
    <x v="0"/>
    <n v="70803"/>
    <n v="0"/>
    <d v="2016-01-12T11:38:01"/>
    <n v="11.59"/>
    <x v="518"/>
    <n v="1"/>
    <n v="1.7"/>
    <n v="0"/>
    <n v="0"/>
    <n v="1.7"/>
    <x v="0"/>
    <x v="0"/>
    <x v="0"/>
    <x v="0"/>
    <n v="10"/>
    <e v="#N/A"/>
    <e v="#N/A"/>
  </r>
  <r>
    <n v="1159"/>
    <d v="2016-01-12T13:25:47"/>
    <d v="2016-01-12T13:40:46"/>
    <x v="2"/>
    <m/>
    <m/>
    <x v="1"/>
    <n v="70804"/>
    <n v="2.0142192796397"/>
    <d v="2016-01-12T13:50:50"/>
    <n v="11.59"/>
    <x v="524"/>
    <n v="1"/>
    <n v="1.7"/>
    <n v="0"/>
    <n v="0"/>
    <n v="1.7"/>
    <x v="511"/>
    <x v="0"/>
    <x v="590"/>
    <x v="335"/>
    <n v="10"/>
    <e v="#N/A"/>
    <e v="#N/A"/>
  </r>
  <r>
    <n v="1160"/>
    <d v="2016-01-13T11:26:42"/>
    <d v="2016-01-13T11:41:43"/>
    <x v="0"/>
    <m/>
    <m/>
    <x v="0"/>
    <n v="70803"/>
    <n v="0"/>
    <d v="2016-01-13T11:44:45"/>
    <n v="7.99"/>
    <x v="67"/>
    <n v="1"/>
    <n v="1"/>
    <n v="0"/>
    <n v="0"/>
    <n v="1"/>
    <x v="0"/>
    <x v="0"/>
    <x v="0"/>
    <x v="0"/>
    <n v="7"/>
    <e v="#N/A"/>
    <e v="#N/A"/>
  </r>
  <r>
    <n v="1161"/>
    <d v="2016-01-13T10:44:37"/>
    <d v="2016-01-13T10:59:36"/>
    <x v="0"/>
    <s v="Medium"/>
    <m/>
    <x v="1"/>
    <n v="70804"/>
    <n v="1.9675562975721901"/>
    <d v="2016-01-13T11:09:26"/>
    <n v="19.579999999999998"/>
    <x v="525"/>
    <n v="2"/>
    <n v="1"/>
    <n v="1.7"/>
    <n v="0"/>
    <n v="2.7"/>
    <x v="512"/>
    <x v="0"/>
    <x v="591"/>
    <x v="336"/>
    <n v="7"/>
    <n v="10"/>
    <e v="#N/A"/>
  </r>
  <r>
    <n v="1162"/>
    <d v="2016-01-13T12:14:36"/>
    <d v="2016-01-13T12:29:36"/>
    <x v="2"/>
    <m/>
    <m/>
    <x v="0"/>
    <n v="70805"/>
    <n v="0"/>
    <d v="2016-01-13T12:32:35"/>
    <n v="11.59"/>
    <x v="24"/>
    <n v="1"/>
    <n v="1.7"/>
    <n v="0"/>
    <n v="0"/>
    <n v="1.7"/>
    <x v="0"/>
    <x v="0"/>
    <x v="0"/>
    <x v="0"/>
    <n v="10"/>
    <e v="#N/A"/>
    <e v="#N/A"/>
  </r>
  <r>
    <n v="1163"/>
    <d v="2016-01-13T12:20:37"/>
    <d v="2016-01-13T12:35:36"/>
    <x v="0"/>
    <s v="Medium"/>
    <m/>
    <x v="1"/>
    <n v="70804"/>
    <n v="2.6534439736269002"/>
    <d v="2016-01-13T12:48:52"/>
    <n v="19.579999999999998"/>
    <x v="526"/>
    <n v="2"/>
    <n v="1"/>
    <n v="1.7"/>
    <n v="0"/>
    <n v="2.7"/>
    <x v="513"/>
    <x v="0"/>
    <x v="592"/>
    <x v="337"/>
    <n v="7"/>
    <n v="10"/>
    <e v="#N/A"/>
  </r>
  <r>
    <n v="1164"/>
    <d v="2016-01-13T10:14:23"/>
    <d v="2016-01-13T10:29:21"/>
    <x v="0"/>
    <s v="Medium"/>
    <m/>
    <x v="1"/>
    <n v="70803"/>
    <n v="2.9921372792493699"/>
    <d v="2016-01-13T10:44:18"/>
    <n v="19.579999999999998"/>
    <x v="53"/>
    <n v="2"/>
    <n v="1"/>
    <n v="1.7"/>
    <n v="0"/>
    <n v="2.7"/>
    <x v="47"/>
    <x v="0"/>
    <x v="593"/>
    <x v="338"/>
    <n v="7"/>
    <n v="10"/>
    <e v="#N/A"/>
  </r>
  <r>
    <n v="1165"/>
    <d v="2016-01-13T13:32:41"/>
    <d v="2016-01-13T13:47:40"/>
    <x v="0"/>
    <m/>
    <m/>
    <x v="1"/>
    <n v="70808"/>
    <n v="3.5297198052762999"/>
    <d v="2016-01-13T14:05:18"/>
    <n v="7.99"/>
    <x v="527"/>
    <n v="1"/>
    <n v="1"/>
    <n v="0"/>
    <n v="0"/>
    <n v="1"/>
    <x v="514"/>
    <x v="1"/>
    <x v="594"/>
    <x v="0"/>
    <n v="7"/>
    <e v="#N/A"/>
    <e v="#N/A"/>
  </r>
  <r>
    <n v="1166"/>
    <d v="2016-01-13T11:56:24"/>
    <d v="2016-01-13T12:11:23"/>
    <x v="2"/>
    <m/>
    <m/>
    <x v="0"/>
    <n v="70805"/>
    <n v="0"/>
    <d v="2016-01-13T12:14:21"/>
    <n v="11.59"/>
    <x v="0"/>
    <n v="1"/>
    <n v="1.7"/>
    <n v="0"/>
    <n v="0"/>
    <n v="1.7"/>
    <x v="0"/>
    <x v="0"/>
    <x v="0"/>
    <x v="0"/>
    <n v="10"/>
    <e v="#N/A"/>
    <e v="#N/A"/>
  </r>
  <r>
    <n v="1167"/>
    <d v="2016-01-13T11:45:26"/>
    <d v="2016-01-13T12:00:24"/>
    <x v="0"/>
    <s v="Medium"/>
    <m/>
    <x v="1"/>
    <n v="70805"/>
    <n v="3.4544310162489098"/>
    <d v="2016-01-13T12:17:40"/>
    <n v="19.579999999999998"/>
    <x v="528"/>
    <n v="2"/>
    <n v="1"/>
    <n v="1.7"/>
    <n v="0"/>
    <n v="2.7"/>
    <x v="515"/>
    <x v="1"/>
    <x v="595"/>
    <x v="0"/>
    <n v="7"/>
    <n v="10"/>
    <e v="#N/A"/>
  </r>
  <r>
    <n v="1168"/>
    <d v="2016-01-13T12:22:04"/>
    <d v="2016-01-13T12:37:05"/>
    <x v="1"/>
    <m/>
    <m/>
    <x v="1"/>
    <n v="70808"/>
    <n v="2.54360658327179"/>
    <d v="2016-01-13T12:49:48"/>
    <n v="15.35"/>
    <x v="529"/>
    <n v="1"/>
    <n v="2.2999999999999998"/>
    <n v="0"/>
    <n v="0"/>
    <n v="2.2999999999999998"/>
    <x v="516"/>
    <x v="0"/>
    <x v="596"/>
    <x v="339"/>
    <n v="14"/>
    <e v="#N/A"/>
    <e v="#N/A"/>
  </r>
  <r>
    <n v="1169"/>
    <d v="2016-01-13T13:41:52"/>
    <d v="2016-01-13T13:56:53"/>
    <x v="0"/>
    <s v="Medium"/>
    <m/>
    <x v="0"/>
    <n v="70806"/>
    <n v="0"/>
    <d v="2016-01-13T13:59:53"/>
    <n v="19.579999999999998"/>
    <x v="2"/>
    <n v="2"/>
    <n v="1"/>
    <n v="1.7"/>
    <n v="0"/>
    <n v="2.7"/>
    <x v="0"/>
    <x v="0"/>
    <x v="0"/>
    <x v="0"/>
    <n v="7"/>
    <n v="10"/>
    <e v="#N/A"/>
  </r>
  <r>
    <n v="1170"/>
    <d v="2016-01-13T11:11:40"/>
    <d v="2016-01-13T11:26:39"/>
    <x v="2"/>
    <m/>
    <m/>
    <x v="0"/>
    <n v="70807"/>
    <n v="0"/>
    <d v="2016-01-13T11:29:39"/>
    <n v="11.59"/>
    <x v="2"/>
    <n v="1"/>
    <n v="1.7"/>
    <n v="0"/>
    <n v="0"/>
    <n v="1.7"/>
    <x v="0"/>
    <x v="0"/>
    <x v="0"/>
    <x v="0"/>
    <n v="10"/>
    <e v="#N/A"/>
    <e v="#N/A"/>
  </r>
  <r>
    <n v="1171"/>
    <d v="2016-01-13T12:04:50"/>
    <d v="2016-01-13T12:19:49"/>
    <x v="2"/>
    <s v="Large"/>
    <m/>
    <x v="1"/>
    <n v="70806"/>
    <n v="2.40931406043928"/>
    <d v="2016-01-13T12:31:51"/>
    <n v="25.94"/>
    <x v="530"/>
    <n v="2"/>
    <n v="1.7"/>
    <n v="2.2999999999999998"/>
    <n v="0"/>
    <n v="4"/>
    <x v="517"/>
    <x v="0"/>
    <x v="597"/>
    <x v="340"/>
    <n v="10"/>
    <n v="14"/>
    <e v="#N/A"/>
  </r>
  <r>
    <n v="1172"/>
    <d v="2016-01-13T12:41:18"/>
    <d v="2016-01-13T12:56:16"/>
    <x v="0"/>
    <m/>
    <m/>
    <x v="1"/>
    <n v="70805"/>
    <n v="2.5940128852450801"/>
    <d v="2016-01-13T13:09:14"/>
    <n v="7.99"/>
    <x v="531"/>
    <n v="1"/>
    <n v="1"/>
    <n v="0"/>
    <n v="0"/>
    <n v="1"/>
    <x v="518"/>
    <x v="0"/>
    <x v="598"/>
    <x v="341"/>
    <n v="7"/>
    <e v="#N/A"/>
    <e v="#N/A"/>
  </r>
  <r>
    <n v="1173"/>
    <d v="2016-01-13T13:02:59"/>
    <d v="2016-01-13T13:17:59"/>
    <x v="2"/>
    <m/>
    <m/>
    <x v="0"/>
    <n v="70805"/>
    <n v="0"/>
    <d v="2016-01-13T13:21:01"/>
    <n v="11.59"/>
    <x v="67"/>
    <n v="1"/>
    <n v="1.7"/>
    <n v="0"/>
    <n v="0"/>
    <n v="1.7"/>
    <x v="0"/>
    <x v="0"/>
    <x v="0"/>
    <x v="0"/>
    <n v="10"/>
    <e v="#N/A"/>
    <e v="#N/A"/>
  </r>
  <r>
    <n v="1174"/>
    <d v="2016-01-13T11:35:47"/>
    <d v="2016-01-13T11:50:47"/>
    <x v="0"/>
    <s v="Large"/>
    <m/>
    <x v="0"/>
    <n v="70803"/>
    <n v="0"/>
    <d v="2016-01-13T11:53:46"/>
    <n v="23.34"/>
    <x v="24"/>
    <n v="2"/>
    <n v="1"/>
    <n v="2.2999999999999998"/>
    <n v="0"/>
    <n v="3.3"/>
    <x v="0"/>
    <x v="0"/>
    <x v="0"/>
    <x v="0"/>
    <n v="7"/>
    <n v="14"/>
    <e v="#N/A"/>
  </r>
  <r>
    <n v="1175"/>
    <d v="2016-01-13T11:42:41"/>
    <d v="2016-01-13T11:57:39"/>
    <x v="1"/>
    <m/>
    <m/>
    <x v="1"/>
    <n v="70805"/>
    <n v="4.3503869114279796"/>
    <d v="2016-01-13T12:19:24"/>
    <n v="15.35"/>
    <x v="410"/>
    <n v="1"/>
    <n v="2.2999999999999998"/>
    <n v="0"/>
    <n v="0"/>
    <n v="2.2999999999999998"/>
    <x v="397"/>
    <x v="1"/>
    <x v="599"/>
    <x v="0"/>
    <n v="14"/>
    <e v="#N/A"/>
    <e v="#N/A"/>
  </r>
  <r>
    <n v="1176"/>
    <d v="2016-01-13T12:47:39"/>
    <d v="2016-01-13T13:02:38"/>
    <x v="0"/>
    <m/>
    <m/>
    <x v="0"/>
    <n v="70805"/>
    <n v="0"/>
    <d v="2016-01-13T13:05:37"/>
    <n v="7.99"/>
    <x v="24"/>
    <n v="1"/>
    <n v="1"/>
    <n v="0"/>
    <n v="0"/>
    <n v="1"/>
    <x v="0"/>
    <x v="0"/>
    <x v="0"/>
    <x v="0"/>
    <n v="7"/>
    <e v="#N/A"/>
    <e v="#N/A"/>
  </r>
  <r>
    <n v="1177"/>
    <d v="2016-01-13T11:43:22"/>
    <d v="2016-01-13T11:58:21"/>
    <x v="0"/>
    <m/>
    <m/>
    <x v="0"/>
    <n v="70803"/>
    <n v="0"/>
    <d v="2016-01-13T12:01:22"/>
    <n v="7.99"/>
    <x v="14"/>
    <n v="1"/>
    <n v="1"/>
    <n v="0"/>
    <n v="0"/>
    <n v="1"/>
    <x v="0"/>
    <x v="0"/>
    <x v="0"/>
    <x v="0"/>
    <n v="7"/>
    <e v="#N/A"/>
    <e v="#N/A"/>
  </r>
  <r>
    <n v="1178"/>
    <d v="2016-01-13T10:37:37"/>
    <d v="2016-01-13T10:52:35"/>
    <x v="0"/>
    <m/>
    <m/>
    <x v="0"/>
    <n v="70806"/>
    <n v="0"/>
    <d v="2016-01-13T10:55:33"/>
    <n v="7.99"/>
    <x v="0"/>
    <n v="1"/>
    <n v="1"/>
    <n v="0"/>
    <n v="0"/>
    <n v="1"/>
    <x v="0"/>
    <x v="0"/>
    <x v="0"/>
    <x v="0"/>
    <n v="7"/>
    <e v="#N/A"/>
    <e v="#N/A"/>
  </r>
  <r>
    <n v="1179"/>
    <d v="2016-01-13T11:40:48"/>
    <d v="2016-01-13T11:55:48"/>
    <x v="1"/>
    <m/>
    <m/>
    <x v="1"/>
    <n v="70803"/>
    <n v="3.7309273318098599"/>
    <d v="2016-01-13T12:14:27"/>
    <n v="15.35"/>
    <x v="511"/>
    <n v="1"/>
    <n v="2.2999999999999998"/>
    <n v="0"/>
    <n v="0"/>
    <n v="2.2999999999999998"/>
    <x v="498"/>
    <x v="1"/>
    <x v="600"/>
    <x v="0"/>
    <n v="14"/>
    <e v="#N/A"/>
    <e v="#N/A"/>
  </r>
  <r>
    <n v="1180"/>
    <d v="2016-01-13T13:25:45"/>
    <d v="2016-01-13T13:40:44"/>
    <x v="2"/>
    <m/>
    <m/>
    <x v="0"/>
    <n v="70805"/>
    <n v="0"/>
    <d v="2016-01-13T13:43:44"/>
    <n v="11.59"/>
    <x v="2"/>
    <n v="1"/>
    <n v="1.7"/>
    <n v="0"/>
    <n v="0"/>
    <n v="1.7"/>
    <x v="0"/>
    <x v="0"/>
    <x v="0"/>
    <x v="0"/>
    <n v="10"/>
    <e v="#N/A"/>
    <e v="#N/A"/>
  </r>
  <r>
    <n v="1181"/>
    <d v="2016-01-13T12:22:24"/>
    <d v="2016-01-13T12:37:24"/>
    <x v="0"/>
    <s v="Medium"/>
    <m/>
    <x v="1"/>
    <n v="70804"/>
    <n v="2.6650403580201201"/>
    <d v="2016-01-13T12:50:43"/>
    <n v="19.579999999999998"/>
    <x v="532"/>
    <n v="2"/>
    <n v="1"/>
    <n v="1.7"/>
    <n v="0"/>
    <n v="2.7"/>
    <x v="519"/>
    <x v="0"/>
    <x v="601"/>
    <x v="342"/>
    <n v="7"/>
    <n v="10"/>
    <e v="#N/A"/>
  </r>
  <r>
    <n v="1182"/>
    <d v="2016-01-13T12:38:50"/>
    <d v="2016-01-13T12:53:50"/>
    <x v="2"/>
    <m/>
    <m/>
    <x v="0"/>
    <n v="70804"/>
    <n v="0"/>
    <d v="2016-01-13T12:56:49"/>
    <n v="11.59"/>
    <x v="24"/>
    <n v="1"/>
    <n v="1.7"/>
    <n v="0"/>
    <n v="0"/>
    <n v="1.7"/>
    <x v="0"/>
    <x v="0"/>
    <x v="0"/>
    <x v="0"/>
    <n v="10"/>
    <e v="#N/A"/>
    <e v="#N/A"/>
  </r>
  <r>
    <n v="1183"/>
    <d v="2016-01-13T11:50:12"/>
    <d v="2016-01-13T12:05:13"/>
    <x v="0"/>
    <m/>
    <m/>
    <x v="1"/>
    <n v="70805"/>
    <n v="4.04015551092506"/>
    <d v="2016-01-13T12:25:25"/>
    <n v="7.99"/>
    <x v="533"/>
    <n v="1"/>
    <n v="1"/>
    <n v="0"/>
    <n v="0"/>
    <n v="1"/>
    <x v="520"/>
    <x v="1"/>
    <x v="602"/>
    <x v="0"/>
    <n v="7"/>
    <e v="#N/A"/>
    <e v="#N/A"/>
  </r>
  <r>
    <n v="1184"/>
    <d v="2016-01-13T12:26:56"/>
    <d v="2016-01-13T12:41:57"/>
    <x v="2"/>
    <m/>
    <m/>
    <x v="0"/>
    <n v="70805"/>
    <n v="0"/>
    <d v="2016-01-13T12:44:57"/>
    <n v="11.59"/>
    <x v="2"/>
    <n v="1"/>
    <n v="1.7"/>
    <n v="0"/>
    <n v="0"/>
    <n v="1.7"/>
    <x v="0"/>
    <x v="0"/>
    <x v="0"/>
    <x v="0"/>
    <n v="10"/>
    <e v="#N/A"/>
    <e v="#N/A"/>
  </r>
  <r>
    <n v="1185"/>
    <d v="2016-01-13T12:24:36"/>
    <d v="2016-01-13T12:39:37"/>
    <x v="0"/>
    <s v="Large"/>
    <m/>
    <x v="1"/>
    <n v="70804"/>
    <n v="2.8084128216128899"/>
    <d v="2016-01-13T12:53:39"/>
    <n v="23.34"/>
    <x v="400"/>
    <n v="2"/>
    <n v="1"/>
    <n v="2.2999999999999998"/>
    <n v="0"/>
    <n v="3.3"/>
    <x v="387"/>
    <x v="0"/>
    <x v="603"/>
    <x v="343"/>
    <n v="7"/>
    <n v="14"/>
    <e v="#N/A"/>
  </r>
  <r>
    <n v="1186"/>
    <d v="2016-01-13T11:16:25"/>
    <d v="2016-01-13T11:31:24"/>
    <x v="0"/>
    <s v="Medium"/>
    <m/>
    <x v="1"/>
    <n v="70804"/>
    <n v="1.86948525715975"/>
    <d v="2016-01-13T11:40:44"/>
    <n v="19.579999999999998"/>
    <x v="534"/>
    <n v="2"/>
    <n v="1"/>
    <n v="1.7"/>
    <n v="0"/>
    <n v="2.7"/>
    <x v="521"/>
    <x v="0"/>
    <x v="604"/>
    <x v="344"/>
    <n v="7"/>
    <n v="10"/>
    <e v="#N/A"/>
  </r>
  <r>
    <n v="1187"/>
    <d v="2016-01-13T12:18:54"/>
    <d v="2016-01-13T12:33:54"/>
    <x v="0"/>
    <s v="Large"/>
    <m/>
    <x v="0"/>
    <n v="70803"/>
    <n v="0"/>
    <d v="2016-01-13T12:36:54"/>
    <n v="23.34"/>
    <x v="2"/>
    <n v="2"/>
    <n v="1"/>
    <n v="2.2999999999999998"/>
    <n v="0"/>
    <n v="3.3"/>
    <x v="0"/>
    <x v="0"/>
    <x v="0"/>
    <x v="0"/>
    <n v="7"/>
    <n v="14"/>
    <e v="#N/A"/>
  </r>
  <r>
    <n v="1188"/>
    <d v="2016-01-13T12:39:04"/>
    <d v="2016-01-13T12:54:06"/>
    <x v="2"/>
    <m/>
    <m/>
    <x v="0"/>
    <n v="70805"/>
    <n v="0"/>
    <d v="2016-01-13T12:57:06"/>
    <n v="11.59"/>
    <x v="2"/>
    <n v="1"/>
    <n v="1.7"/>
    <n v="0"/>
    <n v="0"/>
    <n v="1.7"/>
    <x v="0"/>
    <x v="0"/>
    <x v="0"/>
    <x v="0"/>
    <n v="10"/>
    <e v="#N/A"/>
    <e v="#N/A"/>
  </r>
  <r>
    <n v="1189"/>
    <d v="2016-01-13T11:27:30"/>
    <d v="2016-01-13T11:42:30"/>
    <x v="1"/>
    <m/>
    <m/>
    <x v="0"/>
    <n v="70805"/>
    <n v="0"/>
    <d v="2016-01-13T11:45:29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1190"/>
    <d v="2016-01-13T14:39:44"/>
    <d v="2016-01-13T14:54:43"/>
    <x v="2"/>
    <m/>
    <m/>
    <x v="1"/>
    <n v="70807"/>
    <n v="1.3617271658500301"/>
    <d v="2016-01-13T15:01:31"/>
    <n v="11.59"/>
    <x v="535"/>
    <n v="1"/>
    <n v="1.7"/>
    <n v="0"/>
    <n v="0"/>
    <n v="1.7"/>
    <x v="522"/>
    <x v="0"/>
    <x v="605"/>
    <x v="345"/>
    <n v="10"/>
    <e v="#N/A"/>
    <e v="#N/A"/>
  </r>
  <r>
    <n v="1191"/>
    <d v="2016-01-13T11:50:24"/>
    <d v="2016-01-13T12:05:24"/>
    <x v="2"/>
    <m/>
    <m/>
    <x v="0"/>
    <n v="70805"/>
    <n v="0"/>
    <d v="2016-01-13T12:08:23"/>
    <n v="11.59"/>
    <x v="24"/>
    <n v="1"/>
    <n v="1.7"/>
    <n v="0"/>
    <n v="0"/>
    <n v="1.7"/>
    <x v="0"/>
    <x v="0"/>
    <x v="0"/>
    <x v="0"/>
    <n v="10"/>
    <e v="#N/A"/>
    <e v="#N/A"/>
  </r>
  <r>
    <n v="1192"/>
    <d v="2016-01-13T11:22:04"/>
    <d v="2016-01-13T11:37:03"/>
    <x v="0"/>
    <s v="Medium"/>
    <m/>
    <x v="0"/>
    <n v="70804"/>
    <n v="0"/>
    <d v="2016-01-13T11:40:01"/>
    <n v="19.579999999999998"/>
    <x v="0"/>
    <n v="2"/>
    <n v="1"/>
    <n v="1.7"/>
    <n v="0"/>
    <n v="2.7"/>
    <x v="0"/>
    <x v="0"/>
    <x v="0"/>
    <x v="0"/>
    <n v="7"/>
    <n v="10"/>
    <e v="#N/A"/>
  </r>
  <r>
    <n v="1193"/>
    <d v="2016-01-13T11:25:35"/>
    <d v="2016-01-13T11:40:34"/>
    <x v="0"/>
    <s v="Medium"/>
    <m/>
    <x v="0"/>
    <n v="70805"/>
    <n v="0"/>
    <d v="2016-01-13T11:43:34"/>
    <n v="19.579999999999998"/>
    <x v="2"/>
    <n v="2"/>
    <n v="1"/>
    <n v="1.7"/>
    <n v="0"/>
    <n v="2.7"/>
    <x v="0"/>
    <x v="0"/>
    <x v="0"/>
    <x v="0"/>
    <n v="7"/>
    <n v="10"/>
    <e v="#N/A"/>
  </r>
  <r>
    <n v="1194"/>
    <d v="2016-01-13T11:10:58"/>
    <d v="2016-01-13T11:25:59"/>
    <x v="2"/>
    <m/>
    <m/>
    <x v="0"/>
    <n v="70806"/>
    <n v="0"/>
    <d v="2016-01-13T11:28:59"/>
    <n v="11.59"/>
    <x v="2"/>
    <n v="1"/>
    <n v="1.7"/>
    <n v="0"/>
    <n v="0"/>
    <n v="1.7"/>
    <x v="0"/>
    <x v="0"/>
    <x v="0"/>
    <x v="0"/>
    <n v="10"/>
    <e v="#N/A"/>
    <e v="#N/A"/>
  </r>
  <r>
    <n v="1195"/>
    <d v="2016-01-13T13:56:36"/>
    <d v="2016-01-13T14:11:36"/>
    <x v="2"/>
    <m/>
    <m/>
    <x v="1"/>
    <n v="70806"/>
    <n v="1.6582241970827001"/>
    <d v="2016-01-13T14:19:53"/>
    <n v="11.59"/>
    <x v="536"/>
    <n v="1"/>
    <n v="1.7"/>
    <n v="0"/>
    <n v="0"/>
    <n v="1.7"/>
    <x v="523"/>
    <x v="0"/>
    <x v="606"/>
    <x v="346"/>
    <n v="10"/>
    <e v="#N/A"/>
    <e v="#N/A"/>
  </r>
  <r>
    <n v="1196"/>
    <d v="2016-01-13T11:45:49"/>
    <d v="2016-01-13T12:00:47"/>
    <x v="0"/>
    <s v="Medium"/>
    <m/>
    <x v="0"/>
    <n v="70807"/>
    <n v="0"/>
    <d v="2016-01-13T12:03:46"/>
    <n v="19.579999999999998"/>
    <x v="24"/>
    <n v="2"/>
    <n v="1"/>
    <n v="1.7"/>
    <n v="0"/>
    <n v="2.7"/>
    <x v="0"/>
    <x v="0"/>
    <x v="0"/>
    <x v="0"/>
    <n v="7"/>
    <n v="10"/>
    <e v="#N/A"/>
  </r>
  <r>
    <n v="1197"/>
    <d v="2016-01-13T13:09:18"/>
    <d v="2016-01-13T13:24:16"/>
    <x v="0"/>
    <m/>
    <m/>
    <x v="1"/>
    <n v="70803"/>
    <n v="3.8112519777276601"/>
    <d v="2016-01-13T13:43:19"/>
    <n v="7.99"/>
    <x v="537"/>
    <n v="1"/>
    <n v="1"/>
    <n v="0"/>
    <n v="0"/>
    <n v="1"/>
    <x v="524"/>
    <x v="1"/>
    <x v="607"/>
    <x v="0"/>
    <n v="7"/>
    <e v="#N/A"/>
    <e v="#N/A"/>
  </r>
  <r>
    <n v="1198"/>
    <d v="2016-01-13T12:44:52"/>
    <d v="2016-01-13T12:59:52"/>
    <x v="1"/>
    <m/>
    <m/>
    <x v="1"/>
    <n v="70805"/>
    <n v="1.9508736267851301"/>
    <d v="2016-01-13T13:09:37"/>
    <n v="15.35"/>
    <x v="538"/>
    <n v="1"/>
    <n v="2.2999999999999998"/>
    <n v="0"/>
    <n v="0"/>
    <n v="2.2999999999999998"/>
    <x v="525"/>
    <x v="0"/>
    <x v="608"/>
    <x v="347"/>
    <n v="14"/>
    <e v="#N/A"/>
    <e v="#N/A"/>
  </r>
  <r>
    <n v="1199"/>
    <d v="2016-01-13T13:15:01"/>
    <d v="2016-01-13T13:30:02"/>
    <x v="0"/>
    <s v="Medium"/>
    <m/>
    <x v="1"/>
    <n v="70804"/>
    <n v="3.46256831611311"/>
    <d v="2016-01-13T13:47:20"/>
    <n v="19.579999999999998"/>
    <x v="539"/>
    <n v="2"/>
    <n v="1"/>
    <n v="1.7"/>
    <n v="0"/>
    <n v="2.7"/>
    <x v="526"/>
    <x v="1"/>
    <x v="609"/>
    <x v="0"/>
    <n v="7"/>
    <n v="10"/>
    <e v="#N/A"/>
  </r>
  <r>
    <n v="1200"/>
    <d v="2016-01-13T13:30:42"/>
    <d v="2016-01-13T13:45:41"/>
    <x v="1"/>
    <m/>
    <m/>
    <x v="0"/>
    <n v="70805"/>
    <n v="0"/>
    <d v="2016-01-13T13:48:40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1201"/>
    <d v="2016-01-13T13:26:38"/>
    <d v="2016-01-13T13:41:36"/>
    <x v="0"/>
    <s v="Large"/>
    <m/>
    <x v="1"/>
    <n v="70806"/>
    <n v="3.4174311859044102"/>
    <d v="2016-01-13T13:58:41"/>
    <n v="23.34"/>
    <x v="540"/>
    <n v="2"/>
    <n v="1"/>
    <n v="2.2999999999999998"/>
    <n v="0"/>
    <n v="3.3"/>
    <x v="527"/>
    <x v="1"/>
    <x v="610"/>
    <x v="0"/>
    <n v="7"/>
    <n v="14"/>
    <e v="#N/A"/>
  </r>
  <r>
    <n v="1202"/>
    <d v="2016-01-13T11:09:45"/>
    <d v="2016-01-13T11:24:45"/>
    <x v="2"/>
    <m/>
    <m/>
    <x v="1"/>
    <n v="70805"/>
    <n v="5.2669655076570496"/>
    <d v="2016-01-13T11:51:05"/>
    <n v="11.59"/>
    <x v="541"/>
    <n v="1"/>
    <n v="1.7"/>
    <n v="0"/>
    <n v="0"/>
    <n v="1.7"/>
    <x v="528"/>
    <x v="1"/>
    <x v="611"/>
    <x v="0"/>
    <n v="10"/>
    <e v="#N/A"/>
    <e v="#N/A"/>
  </r>
  <r>
    <n v="1203"/>
    <d v="2016-01-13T11:08:27"/>
    <d v="2016-01-13T11:23:27"/>
    <x v="0"/>
    <m/>
    <m/>
    <x v="1"/>
    <n v="70804"/>
    <n v="2.8360615756644698"/>
    <d v="2016-01-13T11:37:37"/>
    <n v="7.99"/>
    <x v="542"/>
    <n v="1"/>
    <n v="1"/>
    <n v="0"/>
    <n v="0"/>
    <n v="1"/>
    <x v="529"/>
    <x v="0"/>
    <x v="612"/>
    <x v="348"/>
    <n v="7"/>
    <e v="#N/A"/>
    <e v="#N/A"/>
  </r>
  <r>
    <n v="1204"/>
    <d v="2016-01-13T12:40:49"/>
    <d v="2016-01-13T12:55:47"/>
    <x v="2"/>
    <m/>
    <m/>
    <x v="0"/>
    <n v="70805"/>
    <n v="0"/>
    <d v="2016-01-13T12:58:47"/>
    <n v="11.59"/>
    <x v="2"/>
    <n v="1"/>
    <n v="1.7"/>
    <n v="0"/>
    <n v="0"/>
    <n v="1.7"/>
    <x v="0"/>
    <x v="0"/>
    <x v="0"/>
    <x v="0"/>
    <n v="10"/>
    <e v="#N/A"/>
    <e v="#N/A"/>
  </r>
  <r>
    <n v="1205"/>
    <d v="2016-01-13T13:39:25"/>
    <d v="2016-01-13T13:54:24"/>
    <x v="0"/>
    <m/>
    <m/>
    <x v="0"/>
    <n v="70803"/>
    <n v="0"/>
    <d v="2016-01-13T13:57:24"/>
    <n v="7.99"/>
    <x v="2"/>
    <n v="1"/>
    <n v="1"/>
    <n v="0"/>
    <n v="0"/>
    <n v="1"/>
    <x v="0"/>
    <x v="0"/>
    <x v="0"/>
    <x v="0"/>
    <n v="7"/>
    <e v="#N/A"/>
    <e v="#N/A"/>
  </r>
  <r>
    <n v="1206"/>
    <d v="2016-01-13T11:05:57"/>
    <d v="2016-01-13T11:20:57"/>
    <x v="2"/>
    <s v="Large"/>
    <m/>
    <x v="1"/>
    <n v="70808"/>
    <n v="3.1954898542434802"/>
    <d v="2016-01-13T11:36:55"/>
    <n v="25.94"/>
    <x v="543"/>
    <n v="2"/>
    <n v="1.7"/>
    <n v="2.2999999999999998"/>
    <n v="0"/>
    <n v="4"/>
    <x v="530"/>
    <x v="0"/>
    <x v="613"/>
    <x v="349"/>
    <n v="10"/>
    <n v="14"/>
    <e v="#N/A"/>
  </r>
  <r>
    <n v="1207"/>
    <d v="2016-01-13T11:14:52"/>
    <d v="2016-01-13T11:29:52"/>
    <x v="1"/>
    <m/>
    <m/>
    <x v="0"/>
    <n v="70804"/>
    <n v="0"/>
    <d v="2016-01-13T11:32:51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1208"/>
    <d v="2016-01-13T12:51:33"/>
    <d v="2016-01-13T13:06:32"/>
    <x v="0"/>
    <s v="Medium"/>
    <m/>
    <x v="0"/>
    <n v="70805"/>
    <n v="0"/>
    <d v="2016-01-13T13:09:31"/>
    <n v="19.579999999999998"/>
    <x v="24"/>
    <n v="2"/>
    <n v="1"/>
    <n v="1.7"/>
    <n v="0"/>
    <n v="2.7"/>
    <x v="0"/>
    <x v="0"/>
    <x v="0"/>
    <x v="0"/>
    <n v="7"/>
    <n v="10"/>
    <e v="#N/A"/>
  </r>
  <r>
    <n v="1209"/>
    <d v="2016-01-13T14:30:34"/>
    <d v="2016-01-13T14:45:36"/>
    <x v="2"/>
    <m/>
    <m/>
    <x v="1"/>
    <n v="70805"/>
    <n v="1.7471153657733101"/>
    <d v="2016-01-13T14:54:20"/>
    <n v="11.59"/>
    <x v="397"/>
    <n v="1"/>
    <n v="1.7"/>
    <n v="0"/>
    <n v="0"/>
    <n v="1.7"/>
    <x v="384"/>
    <x v="0"/>
    <x v="614"/>
    <x v="350"/>
    <n v="10"/>
    <e v="#N/A"/>
    <e v="#N/A"/>
  </r>
  <r>
    <n v="1210"/>
    <d v="2016-01-13T11:06:24"/>
    <d v="2016-01-13T11:21:24"/>
    <x v="0"/>
    <s v="Medium"/>
    <m/>
    <x v="0"/>
    <n v="70806"/>
    <n v="0"/>
    <d v="2016-01-13T11:24:24"/>
    <n v="19.579999999999998"/>
    <x v="2"/>
    <n v="2"/>
    <n v="1"/>
    <n v="1.7"/>
    <n v="0"/>
    <n v="2.7"/>
    <x v="0"/>
    <x v="0"/>
    <x v="0"/>
    <x v="0"/>
    <n v="7"/>
    <n v="10"/>
    <e v="#N/A"/>
  </r>
  <r>
    <n v="1211"/>
    <d v="2016-01-13T12:20:35"/>
    <d v="2016-01-13T12:35:36"/>
    <x v="1"/>
    <m/>
    <m/>
    <x v="1"/>
    <n v="70805"/>
    <n v="2.4661045731325002"/>
    <d v="2016-01-13T12:47:55"/>
    <n v="15.35"/>
    <x v="544"/>
    <n v="1"/>
    <n v="2.2999999999999998"/>
    <n v="0"/>
    <n v="0"/>
    <n v="2.2999999999999998"/>
    <x v="531"/>
    <x v="0"/>
    <x v="615"/>
    <x v="351"/>
    <n v="14"/>
    <e v="#N/A"/>
    <e v="#N/A"/>
  </r>
  <r>
    <n v="1212"/>
    <d v="2016-01-13T10:44:13"/>
    <d v="2016-01-13T10:59:12"/>
    <x v="0"/>
    <m/>
    <m/>
    <x v="1"/>
    <n v="70804"/>
    <n v="3.57573829100942"/>
    <d v="2016-01-13T11:17:04"/>
    <n v="7.99"/>
    <x v="545"/>
    <n v="1"/>
    <n v="1"/>
    <n v="0"/>
    <n v="0"/>
    <n v="1"/>
    <x v="532"/>
    <x v="1"/>
    <x v="616"/>
    <x v="0"/>
    <n v="7"/>
    <e v="#N/A"/>
    <e v="#N/A"/>
  </r>
  <r>
    <n v="1213"/>
    <d v="2016-01-13T14:48:46"/>
    <d v="2016-01-13T15:03:45"/>
    <x v="2"/>
    <m/>
    <m/>
    <x v="1"/>
    <n v="70805"/>
    <n v="2.4591858965944802"/>
    <d v="2016-01-13T15:16:02"/>
    <n v="11.59"/>
    <x v="235"/>
    <n v="1"/>
    <n v="1.7"/>
    <n v="0"/>
    <n v="0"/>
    <n v="1.7"/>
    <x v="222"/>
    <x v="0"/>
    <x v="617"/>
    <x v="352"/>
    <n v="10"/>
    <e v="#N/A"/>
    <e v="#N/A"/>
  </r>
  <r>
    <n v="1214"/>
    <d v="2016-01-13T14:31:55"/>
    <d v="2016-01-13T14:46:55"/>
    <x v="0"/>
    <s v="Medium"/>
    <m/>
    <x v="1"/>
    <n v="70805"/>
    <n v="2.3391705283306199"/>
    <d v="2016-01-13T14:58:36"/>
    <n v="19.579999999999998"/>
    <x v="546"/>
    <n v="2"/>
    <n v="1"/>
    <n v="1.7"/>
    <n v="0"/>
    <n v="2.7"/>
    <x v="533"/>
    <x v="0"/>
    <x v="618"/>
    <x v="353"/>
    <n v="7"/>
    <n v="10"/>
    <e v="#N/A"/>
  </r>
  <r>
    <n v="1215"/>
    <d v="2016-01-13T11:34:06"/>
    <d v="2016-01-13T11:49:07"/>
    <x v="0"/>
    <m/>
    <m/>
    <x v="0"/>
    <n v="70806"/>
    <n v="0"/>
    <d v="2016-01-13T11:52:06"/>
    <n v="7.99"/>
    <x v="24"/>
    <n v="1"/>
    <n v="1"/>
    <n v="0"/>
    <n v="0"/>
    <n v="1"/>
    <x v="0"/>
    <x v="0"/>
    <x v="0"/>
    <x v="0"/>
    <n v="7"/>
    <e v="#N/A"/>
    <e v="#N/A"/>
  </r>
  <r>
    <n v="1216"/>
    <d v="2016-01-13T13:07:09"/>
    <d v="2016-01-13T13:22:10"/>
    <x v="1"/>
    <m/>
    <m/>
    <x v="0"/>
    <n v="70805"/>
    <n v="0"/>
    <d v="2016-01-13T13:25:11"/>
    <n v="15.35"/>
    <x v="56"/>
    <n v="1"/>
    <n v="2.2999999999999998"/>
    <n v="0"/>
    <n v="0"/>
    <n v="2.2999999999999998"/>
    <x v="0"/>
    <x v="0"/>
    <x v="0"/>
    <x v="0"/>
    <n v="14"/>
    <e v="#N/A"/>
    <e v="#N/A"/>
  </r>
  <r>
    <n v="1217"/>
    <d v="2016-01-13T12:11:32"/>
    <d v="2016-01-13T12:26:33"/>
    <x v="2"/>
    <m/>
    <m/>
    <x v="0"/>
    <n v="70806"/>
    <n v="0"/>
    <d v="2016-01-13T12:29:33"/>
    <n v="11.59"/>
    <x v="2"/>
    <n v="1"/>
    <n v="1.7"/>
    <n v="0"/>
    <n v="0"/>
    <n v="1.7"/>
    <x v="0"/>
    <x v="0"/>
    <x v="0"/>
    <x v="0"/>
    <n v="10"/>
    <e v="#N/A"/>
    <e v="#N/A"/>
  </r>
  <r>
    <n v="1218"/>
    <d v="2016-01-13T10:34:23"/>
    <d v="2016-01-13T10:49:22"/>
    <x v="1"/>
    <m/>
    <m/>
    <x v="1"/>
    <n v="70803"/>
    <n v="3.95950858469384"/>
    <d v="2016-01-13T11:09:09"/>
    <n v="15.35"/>
    <x v="547"/>
    <n v="1"/>
    <n v="2.2999999999999998"/>
    <n v="0"/>
    <n v="0"/>
    <n v="2.2999999999999998"/>
    <x v="534"/>
    <x v="1"/>
    <x v="619"/>
    <x v="0"/>
    <n v="14"/>
    <e v="#N/A"/>
    <e v="#N/A"/>
  </r>
  <r>
    <n v="1219"/>
    <d v="2016-01-13T11:54:30"/>
    <d v="2016-01-13T12:09:29"/>
    <x v="0"/>
    <s v="Large"/>
    <m/>
    <x v="1"/>
    <n v="70804"/>
    <n v="2.3359625215003801"/>
    <d v="2016-01-13T12:21:09"/>
    <n v="23.34"/>
    <x v="431"/>
    <n v="2"/>
    <n v="1"/>
    <n v="2.2999999999999998"/>
    <n v="0"/>
    <n v="3.3"/>
    <x v="418"/>
    <x v="0"/>
    <x v="620"/>
    <x v="354"/>
    <n v="7"/>
    <n v="14"/>
    <e v="#N/A"/>
  </r>
  <r>
    <n v="1220"/>
    <d v="2016-01-13T11:17:33"/>
    <d v="2016-01-13T11:32:33"/>
    <x v="0"/>
    <s v="Medium"/>
    <m/>
    <x v="0"/>
    <n v="70804"/>
    <n v="0"/>
    <d v="2016-01-13T11:35:33"/>
    <n v="19.579999999999998"/>
    <x v="63"/>
    <n v="2"/>
    <n v="1"/>
    <n v="1.7"/>
    <n v="0"/>
    <n v="2.7"/>
    <x v="0"/>
    <x v="0"/>
    <x v="0"/>
    <x v="0"/>
    <n v="7"/>
    <n v="10"/>
    <e v="#N/A"/>
  </r>
  <r>
    <n v="1221"/>
    <d v="2016-01-13T12:28:56"/>
    <d v="2016-01-13T12:43:55"/>
    <x v="0"/>
    <s v="Medium"/>
    <m/>
    <x v="1"/>
    <n v="70803"/>
    <n v="2.0228570583078498"/>
    <d v="2016-01-13T12:54:01"/>
    <n v="19.579999999999998"/>
    <x v="347"/>
    <n v="2"/>
    <n v="1"/>
    <n v="1.7"/>
    <n v="0"/>
    <n v="2.7"/>
    <x v="334"/>
    <x v="0"/>
    <x v="621"/>
    <x v="355"/>
    <n v="7"/>
    <n v="10"/>
    <e v="#N/A"/>
  </r>
  <r>
    <n v="1222"/>
    <d v="2016-01-13T12:09:30"/>
    <d v="2016-01-13T12:24:31"/>
    <x v="1"/>
    <m/>
    <m/>
    <x v="1"/>
    <n v="70804"/>
    <n v="1.1041806734280499"/>
    <d v="2016-01-13T12:30:02"/>
    <n v="15.35"/>
    <x v="548"/>
    <n v="1"/>
    <n v="2.2999999999999998"/>
    <n v="0"/>
    <n v="0"/>
    <n v="2.2999999999999998"/>
    <x v="535"/>
    <x v="0"/>
    <x v="622"/>
    <x v="356"/>
    <n v="14"/>
    <e v="#N/A"/>
    <e v="#N/A"/>
  </r>
  <r>
    <n v="1223"/>
    <d v="2016-01-13T13:57:45"/>
    <d v="2016-01-13T14:12:45"/>
    <x v="2"/>
    <s v="Large"/>
    <m/>
    <x v="1"/>
    <n v="70805"/>
    <n v="2.0394656004281102"/>
    <d v="2016-01-13T14:22:56"/>
    <n v="25.94"/>
    <x v="549"/>
    <n v="2"/>
    <n v="1.7"/>
    <n v="2.2999999999999998"/>
    <n v="0"/>
    <n v="4"/>
    <x v="536"/>
    <x v="0"/>
    <x v="623"/>
    <x v="357"/>
    <n v="10"/>
    <n v="14"/>
    <e v="#N/A"/>
  </r>
  <r>
    <n v="1224"/>
    <d v="2016-01-13T12:32:30"/>
    <d v="2016-01-13T12:47:31"/>
    <x v="0"/>
    <s v="Medium"/>
    <m/>
    <x v="1"/>
    <n v="70806"/>
    <n v="2.7064579403922799"/>
    <d v="2016-01-13T13:01:02"/>
    <n v="19.579999999999998"/>
    <x v="452"/>
    <n v="2"/>
    <n v="1"/>
    <n v="1.7"/>
    <n v="0"/>
    <n v="2.7"/>
    <x v="439"/>
    <x v="0"/>
    <x v="624"/>
    <x v="358"/>
    <n v="7"/>
    <n v="10"/>
    <e v="#N/A"/>
  </r>
  <r>
    <n v="1225"/>
    <d v="2016-01-13T11:38:18"/>
    <d v="2016-01-13T11:53:18"/>
    <x v="0"/>
    <s v="Medium"/>
    <m/>
    <x v="1"/>
    <n v="70804"/>
    <n v="3.7343564265826199"/>
    <d v="2016-01-13T12:11:58"/>
    <n v="19.579999999999998"/>
    <x v="550"/>
    <n v="2"/>
    <n v="1"/>
    <n v="1.7"/>
    <n v="0"/>
    <n v="2.7"/>
    <x v="537"/>
    <x v="1"/>
    <x v="625"/>
    <x v="0"/>
    <n v="7"/>
    <n v="10"/>
    <e v="#N/A"/>
  </r>
  <r>
    <n v="1226"/>
    <d v="2016-01-13T11:07:08"/>
    <d v="2016-01-13T11:22:07"/>
    <x v="0"/>
    <s v="Medium"/>
    <m/>
    <x v="0"/>
    <n v="70807"/>
    <n v="0"/>
    <d v="2016-01-13T11:25:08"/>
    <n v="19.579999999999998"/>
    <x v="14"/>
    <n v="2"/>
    <n v="1"/>
    <n v="1.7"/>
    <n v="0"/>
    <n v="2.7"/>
    <x v="0"/>
    <x v="0"/>
    <x v="0"/>
    <x v="0"/>
    <n v="7"/>
    <n v="10"/>
    <e v="#N/A"/>
  </r>
  <r>
    <n v="1227"/>
    <d v="2016-01-13T12:46:41"/>
    <d v="2016-01-13T13:01:40"/>
    <x v="0"/>
    <m/>
    <m/>
    <x v="1"/>
    <n v="70803"/>
    <n v="2.31473315501878"/>
    <d v="2016-01-13T13:13:14"/>
    <n v="7.99"/>
    <x v="551"/>
    <n v="1"/>
    <n v="1"/>
    <n v="0"/>
    <n v="0"/>
    <n v="1"/>
    <x v="538"/>
    <x v="0"/>
    <x v="626"/>
    <x v="359"/>
    <n v="7"/>
    <e v="#N/A"/>
    <e v="#N/A"/>
  </r>
  <r>
    <n v="1228"/>
    <d v="2016-01-13T12:12:15"/>
    <d v="2016-01-13T12:27:14"/>
    <x v="1"/>
    <m/>
    <m/>
    <x v="1"/>
    <n v="70805"/>
    <n v="4.6021967599168203"/>
    <d v="2016-01-13T12:50:14"/>
    <n v="15.35"/>
    <x v="552"/>
    <n v="1"/>
    <n v="2.2999999999999998"/>
    <n v="0"/>
    <n v="0"/>
    <n v="2.2999999999999998"/>
    <x v="539"/>
    <x v="1"/>
    <x v="627"/>
    <x v="0"/>
    <n v="14"/>
    <e v="#N/A"/>
    <e v="#N/A"/>
  </r>
  <r>
    <n v="1229"/>
    <d v="2016-01-13T12:55:50"/>
    <d v="2016-01-13T13:10:48"/>
    <x v="1"/>
    <m/>
    <m/>
    <x v="0"/>
    <n v="70804"/>
    <n v="0"/>
    <d v="2016-01-13T13:13:47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1230"/>
    <d v="2016-01-13T12:09:34"/>
    <d v="2016-01-13T12:24:34"/>
    <x v="0"/>
    <s v="Medium"/>
    <m/>
    <x v="0"/>
    <n v="70806"/>
    <n v="0"/>
    <d v="2016-01-13T12:27:33"/>
    <n v="19.579999999999998"/>
    <x v="24"/>
    <n v="2"/>
    <n v="1"/>
    <n v="1.7"/>
    <n v="0"/>
    <n v="2.7"/>
    <x v="0"/>
    <x v="0"/>
    <x v="0"/>
    <x v="0"/>
    <n v="7"/>
    <n v="10"/>
    <e v="#N/A"/>
  </r>
  <r>
    <n v="1231"/>
    <d v="2016-01-13T12:06:12"/>
    <d v="2016-01-13T12:21:10"/>
    <x v="2"/>
    <s v="Large"/>
    <m/>
    <x v="1"/>
    <n v="70806"/>
    <n v="4.0394413927823596"/>
    <d v="2016-01-13T12:41:21"/>
    <n v="25.94"/>
    <x v="553"/>
    <n v="2"/>
    <n v="1.7"/>
    <n v="2.2999999999999998"/>
    <n v="0"/>
    <n v="4"/>
    <x v="540"/>
    <x v="1"/>
    <x v="628"/>
    <x v="0"/>
    <n v="10"/>
    <n v="14"/>
    <e v="#N/A"/>
  </r>
  <r>
    <n v="1232"/>
    <d v="2016-01-13T13:33:07"/>
    <d v="2016-01-13T13:48:07"/>
    <x v="0"/>
    <s v="Medium"/>
    <m/>
    <x v="0"/>
    <n v="70804"/>
    <n v="0"/>
    <d v="2016-01-13T13:51:06"/>
    <n v="19.579999999999998"/>
    <x v="24"/>
    <n v="2"/>
    <n v="1"/>
    <n v="1.7"/>
    <n v="0"/>
    <n v="2.7"/>
    <x v="0"/>
    <x v="0"/>
    <x v="0"/>
    <x v="0"/>
    <n v="7"/>
    <n v="10"/>
    <e v="#N/A"/>
  </r>
  <r>
    <n v="1233"/>
    <d v="2016-01-13T11:19:53"/>
    <d v="2016-01-13T11:34:52"/>
    <x v="2"/>
    <m/>
    <m/>
    <x v="1"/>
    <n v="70805"/>
    <n v="3.4413180757557802"/>
    <d v="2016-01-13T11:52:04"/>
    <n v="11.59"/>
    <x v="342"/>
    <n v="1"/>
    <n v="1.7"/>
    <n v="0"/>
    <n v="0"/>
    <n v="1.7"/>
    <x v="329"/>
    <x v="1"/>
    <x v="629"/>
    <x v="0"/>
    <n v="10"/>
    <e v="#N/A"/>
    <e v="#N/A"/>
  </r>
  <r>
    <n v="1234"/>
    <d v="2016-01-13T12:47:31"/>
    <d v="2016-01-13T13:02:30"/>
    <x v="1"/>
    <m/>
    <m/>
    <x v="1"/>
    <n v="70806"/>
    <n v="1.6262347046243899"/>
    <d v="2016-01-13T13:10:37"/>
    <n v="15.35"/>
    <x v="554"/>
    <n v="1"/>
    <n v="2.2999999999999998"/>
    <n v="0"/>
    <n v="0"/>
    <n v="2.2999999999999998"/>
    <x v="541"/>
    <x v="0"/>
    <x v="630"/>
    <x v="360"/>
    <n v="14"/>
    <e v="#N/A"/>
    <e v="#N/A"/>
  </r>
  <r>
    <n v="1235"/>
    <d v="2016-01-13T11:24:03"/>
    <d v="2016-01-13T11:39:03"/>
    <x v="0"/>
    <s v="Medium"/>
    <m/>
    <x v="0"/>
    <n v="70805"/>
    <n v="0"/>
    <d v="2016-01-13T11:42:03"/>
    <n v="19.579999999999998"/>
    <x v="2"/>
    <n v="2"/>
    <n v="1"/>
    <n v="1.7"/>
    <n v="0"/>
    <n v="2.7"/>
    <x v="0"/>
    <x v="0"/>
    <x v="0"/>
    <x v="0"/>
    <n v="7"/>
    <n v="10"/>
    <e v="#N/A"/>
  </r>
  <r>
    <n v="1236"/>
    <d v="2016-01-13T11:21:59"/>
    <d v="2016-01-13T11:36:58"/>
    <x v="2"/>
    <m/>
    <m/>
    <x v="0"/>
    <n v="70804"/>
    <n v="0"/>
    <d v="2016-01-13T11:39:57"/>
    <n v="11.59"/>
    <x v="24"/>
    <n v="1"/>
    <n v="1.7"/>
    <n v="0"/>
    <n v="0"/>
    <n v="1.7"/>
    <x v="0"/>
    <x v="0"/>
    <x v="0"/>
    <x v="0"/>
    <n v="10"/>
    <e v="#N/A"/>
    <e v="#N/A"/>
  </r>
  <r>
    <n v="1237"/>
    <d v="2016-01-13T11:01:16"/>
    <d v="2016-01-13T11:16:16"/>
    <x v="0"/>
    <s v="Medium"/>
    <m/>
    <x v="1"/>
    <n v="70804"/>
    <n v="4.3008801660245801"/>
    <d v="2016-01-13T11:37:46"/>
    <n v="19.579999999999998"/>
    <x v="61"/>
    <n v="2"/>
    <n v="1"/>
    <n v="1.7"/>
    <n v="0"/>
    <n v="2.7"/>
    <x v="54"/>
    <x v="1"/>
    <x v="631"/>
    <x v="0"/>
    <n v="7"/>
    <n v="10"/>
    <e v="#N/A"/>
  </r>
  <r>
    <n v="1238"/>
    <d v="2016-01-13T12:34:18"/>
    <d v="2016-01-13T12:49:16"/>
    <x v="2"/>
    <m/>
    <m/>
    <x v="1"/>
    <n v="70805"/>
    <n v="4.0743961337657302"/>
    <d v="2016-01-13T13:09:38"/>
    <n v="11.59"/>
    <x v="110"/>
    <n v="1"/>
    <n v="1.7"/>
    <n v="0"/>
    <n v="0"/>
    <n v="1.7"/>
    <x v="100"/>
    <x v="1"/>
    <x v="632"/>
    <x v="0"/>
    <n v="10"/>
    <e v="#N/A"/>
    <e v="#N/A"/>
  </r>
  <r>
    <n v="1239"/>
    <d v="2016-01-13T12:12:07"/>
    <d v="2016-01-13T12:27:07"/>
    <x v="1"/>
    <m/>
    <m/>
    <x v="1"/>
    <n v="70806"/>
    <n v="6.01543451158342"/>
    <d v="2016-01-13T12:57:11"/>
    <n v="15.35"/>
    <x v="555"/>
    <n v="1"/>
    <n v="2.2999999999999998"/>
    <n v="0"/>
    <n v="0"/>
    <n v="2.2999999999999998"/>
    <x v="542"/>
    <x v="1"/>
    <x v="633"/>
    <x v="0"/>
    <n v="14"/>
    <e v="#N/A"/>
    <e v="#N/A"/>
  </r>
  <r>
    <n v="1240"/>
    <d v="2016-01-13T12:26:23"/>
    <d v="2016-01-13T12:41:23"/>
    <x v="1"/>
    <m/>
    <m/>
    <x v="0"/>
    <n v="70807"/>
    <n v="0"/>
    <d v="2016-01-13T12:44:23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241"/>
    <d v="2016-01-13T12:20:18"/>
    <d v="2016-01-13T12:35:19"/>
    <x v="2"/>
    <s v="Large"/>
    <m/>
    <x v="1"/>
    <n v="70803"/>
    <n v="4.2093384244352396"/>
    <d v="2016-01-13T12:56:21"/>
    <n v="25.94"/>
    <x v="556"/>
    <n v="2"/>
    <n v="1.7"/>
    <n v="2.2999999999999998"/>
    <n v="0"/>
    <n v="4"/>
    <x v="543"/>
    <x v="1"/>
    <x v="634"/>
    <x v="0"/>
    <n v="10"/>
    <n v="14"/>
    <e v="#N/A"/>
  </r>
  <r>
    <n v="1242"/>
    <d v="2016-01-13T13:18:46"/>
    <d v="2016-01-13T13:33:44"/>
    <x v="0"/>
    <s v="Medium"/>
    <m/>
    <x v="0"/>
    <n v="70806"/>
    <n v="0"/>
    <d v="2016-01-13T13:36:44"/>
    <n v="19.579999999999998"/>
    <x v="2"/>
    <n v="2"/>
    <n v="1"/>
    <n v="1.7"/>
    <n v="0"/>
    <n v="2.7"/>
    <x v="0"/>
    <x v="0"/>
    <x v="0"/>
    <x v="0"/>
    <n v="7"/>
    <n v="10"/>
    <e v="#N/A"/>
  </r>
  <r>
    <n v="1243"/>
    <d v="2016-01-13T10:27:13"/>
    <d v="2016-01-13T10:42:12"/>
    <x v="1"/>
    <m/>
    <m/>
    <x v="0"/>
    <n v="70807"/>
    <n v="0"/>
    <d v="2016-01-13T10:45:10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1244"/>
    <d v="2016-01-13T12:20:31"/>
    <d v="2016-01-13T12:35:28"/>
    <x v="2"/>
    <m/>
    <m/>
    <x v="0"/>
    <n v="70806"/>
    <n v="0"/>
    <d v="2016-01-13T12:38:27"/>
    <n v="11.59"/>
    <x v="24"/>
    <n v="1"/>
    <n v="1.7"/>
    <n v="0"/>
    <n v="0"/>
    <n v="1.7"/>
    <x v="0"/>
    <x v="0"/>
    <x v="0"/>
    <x v="0"/>
    <n v="10"/>
    <e v="#N/A"/>
    <e v="#N/A"/>
  </r>
  <r>
    <n v="1245"/>
    <d v="2016-01-13T12:28:40"/>
    <d v="2016-01-13T12:43:41"/>
    <x v="1"/>
    <m/>
    <m/>
    <x v="1"/>
    <n v="70804"/>
    <n v="5.14672268160776"/>
    <d v="2016-01-13T13:09:25"/>
    <n v="15.35"/>
    <x v="557"/>
    <n v="1"/>
    <n v="2.2999999999999998"/>
    <n v="0"/>
    <n v="0"/>
    <n v="2.2999999999999998"/>
    <x v="544"/>
    <x v="1"/>
    <x v="635"/>
    <x v="0"/>
    <n v="14"/>
    <e v="#N/A"/>
    <e v="#N/A"/>
  </r>
  <r>
    <n v="1246"/>
    <d v="2016-01-13T10:34:39"/>
    <d v="2016-01-13T10:49:36"/>
    <x v="1"/>
    <m/>
    <m/>
    <x v="1"/>
    <n v="70804"/>
    <n v="2.8488240564580898"/>
    <d v="2016-01-13T11:03:50"/>
    <n v="15.35"/>
    <x v="558"/>
    <n v="1"/>
    <n v="2.2999999999999998"/>
    <n v="0"/>
    <n v="0"/>
    <n v="2.2999999999999998"/>
    <x v="545"/>
    <x v="0"/>
    <x v="636"/>
    <x v="361"/>
    <n v="14"/>
    <e v="#N/A"/>
    <e v="#N/A"/>
  </r>
  <r>
    <n v="1247"/>
    <d v="2016-01-13T10:30:31"/>
    <d v="2016-01-13T10:45:29"/>
    <x v="1"/>
    <m/>
    <m/>
    <x v="0"/>
    <n v="70806"/>
    <n v="0"/>
    <d v="2016-01-13T10:48:29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248"/>
    <d v="2016-01-13T10:30:30"/>
    <d v="2016-01-13T10:45:30"/>
    <x v="2"/>
    <m/>
    <m/>
    <x v="0"/>
    <n v="70804"/>
    <n v="0"/>
    <d v="2016-01-13T10:48:28"/>
    <n v="11.59"/>
    <x v="0"/>
    <n v="1"/>
    <n v="1.7"/>
    <n v="0"/>
    <n v="0"/>
    <n v="1.7"/>
    <x v="0"/>
    <x v="0"/>
    <x v="0"/>
    <x v="0"/>
    <n v="10"/>
    <e v="#N/A"/>
    <e v="#N/A"/>
  </r>
  <r>
    <n v="1249"/>
    <d v="2016-01-13T12:07:47"/>
    <d v="2016-01-13T12:22:45"/>
    <x v="2"/>
    <m/>
    <m/>
    <x v="0"/>
    <n v="70803"/>
    <n v="0"/>
    <d v="2016-01-13T12:25:43"/>
    <n v="11.59"/>
    <x v="0"/>
    <n v="1"/>
    <n v="1.7"/>
    <n v="0"/>
    <n v="0"/>
    <n v="1.7"/>
    <x v="0"/>
    <x v="0"/>
    <x v="0"/>
    <x v="0"/>
    <n v="10"/>
    <e v="#N/A"/>
    <e v="#N/A"/>
  </r>
  <r>
    <n v="1250"/>
    <d v="2016-01-13T10:25:49"/>
    <d v="2016-01-13T10:40:49"/>
    <x v="2"/>
    <m/>
    <m/>
    <x v="0"/>
    <n v="70803"/>
    <n v="0"/>
    <d v="2016-01-13T10:43:48"/>
    <n v="11.59"/>
    <x v="24"/>
    <n v="1"/>
    <n v="1.7"/>
    <n v="0"/>
    <n v="0"/>
    <n v="1.7"/>
    <x v="0"/>
    <x v="0"/>
    <x v="0"/>
    <x v="0"/>
    <n v="10"/>
    <e v="#N/A"/>
    <e v="#N/A"/>
  </r>
  <r>
    <n v="1251"/>
    <d v="2016-01-13T12:57:53"/>
    <d v="2016-01-13T13:12:52"/>
    <x v="0"/>
    <m/>
    <m/>
    <x v="0"/>
    <n v="70806"/>
    <n v="0"/>
    <d v="2016-01-13T13:15:51"/>
    <n v="7.99"/>
    <x v="1"/>
    <n v="1"/>
    <n v="1"/>
    <n v="0"/>
    <n v="0"/>
    <n v="1"/>
    <x v="0"/>
    <x v="0"/>
    <x v="0"/>
    <x v="0"/>
    <n v="7"/>
    <e v="#N/A"/>
    <e v="#N/A"/>
  </r>
  <r>
    <n v="1252"/>
    <d v="2016-01-13T14:28:38"/>
    <d v="2016-01-13T14:43:37"/>
    <x v="2"/>
    <m/>
    <m/>
    <x v="0"/>
    <n v="70807"/>
    <n v="0"/>
    <d v="2016-01-13T14:46:37"/>
    <n v="11.59"/>
    <x v="2"/>
    <n v="1"/>
    <n v="1.7"/>
    <n v="0"/>
    <n v="0"/>
    <n v="1.7"/>
    <x v="0"/>
    <x v="0"/>
    <x v="0"/>
    <x v="0"/>
    <n v="10"/>
    <e v="#N/A"/>
    <e v="#N/A"/>
  </r>
  <r>
    <n v="1253"/>
    <d v="2016-01-13T10:25:07"/>
    <d v="2016-01-13T10:40:07"/>
    <x v="1"/>
    <m/>
    <m/>
    <x v="1"/>
    <n v="70803"/>
    <n v="2.3874994787642598"/>
    <d v="2016-01-13T10:52:03"/>
    <n v="15.35"/>
    <x v="559"/>
    <n v="1"/>
    <n v="2.2999999999999998"/>
    <n v="0"/>
    <n v="0"/>
    <n v="2.2999999999999998"/>
    <x v="546"/>
    <x v="0"/>
    <x v="637"/>
    <x v="362"/>
    <n v="14"/>
    <e v="#N/A"/>
    <e v="#N/A"/>
  </r>
  <r>
    <n v="1254"/>
    <d v="2016-01-13T11:34:17"/>
    <d v="2016-01-13T11:49:16"/>
    <x v="1"/>
    <m/>
    <m/>
    <x v="1"/>
    <n v="70805"/>
    <n v="1.2259568409852499"/>
    <d v="2016-01-13T11:55:23"/>
    <n v="15.35"/>
    <x v="560"/>
    <n v="1"/>
    <n v="2.2999999999999998"/>
    <n v="0"/>
    <n v="0"/>
    <n v="2.2999999999999998"/>
    <x v="547"/>
    <x v="0"/>
    <x v="638"/>
    <x v="363"/>
    <n v="14"/>
    <e v="#N/A"/>
    <e v="#N/A"/>
  </r>
  <r>
    <n v="1255"/>
    <d v="2016-01-13T11:22:15"/>
    <d v="2016-01-13T11:37:14"/>
    <x v="0"/>
    <m/>
    <m/>
    <x v="1"/>
    <n v="70803"/>
    <n v="2.1219468068365499"/>
    <d v="2016-01-13T11:47:50"/>
    <n v="7.99"/>
    <x v="561"/>
    <n v="1"/>
    <n v="1"/>
    <n v="0"/>
    <n v="0"/>
    <n v="1"/>
    <x v="548"/>
    <x v="0"/>
    <x v="639"/>
    <x v="364"/>
    <n v="7"/>
    <e v="#N/A"/>
    <e v="#N/A"/>
  </r>
  <r>
    <n v="1256"/>
    <d v="2016-01-13T11:02:22"/>
    <d v="2016-01-13T11:17:21"/>
    <x v="2"/>
    <m/>
    <m/>
    <x v="0"/>
    <n v="70806"/>
    <n v="0"/>
    <d v="2016-01-13T11:20:21"/>
    <n v="11.59"/>
    <x v="2"/>
    <n v="1"/>
    <n v="1.7"/>
    <n v="0"/>
    <n v="0"/>
    <n v="1.7"/>
    <x v="0"/>
    <x v="0"/>
    <x v="0"/>
    <x v="0"/>
    <n v="10"/>
    <e v="#N/A"/>
    <e v="#N/A"/>
  </r>
  <r>
    <n v="1257"/>
    <d v="2016-01-13T12:02:21"/>
    <d v="2016-01-13T12:17:21"/>
    <x v="1"/>
    <m/>
    <m/>
    <x v="1"/>
    <n v="70804"/>
    <n v="6.7674798053647596"/>
    <d v="2016-01-13T12:51:11"/>
    <n v="15.35"/>
    <x v="562"/>
    <n v="1"/>
    <n v="2.2999999999999998"/>
    <n v="0"/>
    <n v="0"/>
    <n v="2.2999999999999998"/>
    <x v="549"/>
    <x v="1"/>
    <x v="640"/>
    <x v="0"/>
    <n v="14"/>
    <e v="#N/A"/>
    <e v="#N/A"/>
  </r>
  <r>
    <n v="1258"/>
    <d v="2016-01-13T11:14:12"/>
    <d v="2016-01-13T11:29:09"/>
    <x v="2"/>
    <m/>
    <m/>
    <x v="1"/>
    <n v="70805"/>
    <n v="3.1035058478568698"/>
    <d v="2016-01-13T11:44:40"/>
    <n v="11.59"/>
    <x v="120"/>
    <n v="1"/>
    <n v="1.7"/>
    <n v="0"/>
    <n v="0"/>
    <n v="1.7"/>
    <x v="110"/>
    <x v="0"/>
    <x v="641"/>
    <x v="365"/>
    <n v="10"/>
    <e v="#N/A"/>
    <e v="#N/A"/>
  </r>
  <r>
    <n v="1259"/>
    <d v="2016-01-13T13:30:38"/>
    <d v="2016-01-13T13:45:38"/>
    <x v="0"/>
    <s v="Medium"/>
    <m/>
    <x v="1"/>
    <n v="70805"/>
    <n v="2.4557349580673402"/>
    <d v="2016-01-13T13:57:54"/>
    <n v="19.579999999999998"/>
    <x v="563"/>
    <n v="2"/>
    <n v="1"/>
    <n v="1.7"/>
    <n v="0"/>
    <n v="2.7"/>
    <x v="550"/>
    <x v="0"/>
    <x v="642"/>
    <x v="366"/>
    <n v="7"/>
    <n v="10"/>
    <e v="#N/A"/>
  </r>
  <r>
    <n v="1260"/>
    <d v="2016-01-13T11:25:21"/>
    <d v="2016-01-13T11:40:20"/>
    <x v="0"/>
    <m/>
    <m/>
    <x v="1"/>
    <n v="70804"/>
    <n v="2.5633258354631798"/>
    <d v="2016-01-13T11:53:08"/>
    <n v="7.99"/>
    <x v="461"/>
    <n v="1"/>
    <n v="1"/>
    <n v="0"/>
    <n v="0"/>
    <n v="1"/>
    <x v="448"/>
    <x v="0"/>
    <x v="643"/>
    <x v="367"/>
    <n v="7"/>
    <e v="#N/A"/>
    <e v="#N/A"/>
  </r>
  <r>
    <n v="1261"/>
    <d v="2016-01-13T11:02:10"/>
    <d v="2016-01-13T11:17:11"/>
    <x v="0"/>
    <m/>
    <m/>
    <x v="0"/>
    <n v="70806"/>
    <n v="0"/>
    <d v="2016-01-13T11:20:09"/>
    <n v="7.99"/>
    <x v="0"/>
    <n v="1"/>
    <n v="1"/>
    <n v="0"/>
    <n v="0"/>
    <n v="1"/>
    <x v="0"/>
    <x v="0"/>
    <x v="0"/>
    <x v="0"/>
    <n v="7"/>
    <e v="#N/A"/>
    <e v="#N/A"/>
  </r>
  <r>
    <n v="1262"/>
    <d v="2016-01-13T13:37:38"/>
    <d v="2016-01-13T13:52:38"/>
    <x v="0"/>
    <s v="Medium"/>
    <m/>
    <x v="0"/>
    <n v="70805"/>
    <n v="0"/>
    <d v="2016-01-13T13:55:38"/>
    <n v="19.579999999999998"/>
    <x v="2"/>
    <n v="2"/>
    <n v="1"/>
    <n v="1.7"/>
    <n v="0"/>
    <n v="2.7"/>
    <x v="0"/>
    <x v="0"/>
    <x v="0"/>
    <x v="0"/>
    <n v="7"/>
    <n v="10"/>
    <e v="#N/A"/>
  </r>
  <r>
    <n v="1263"/>
    <d v="2016-01-13T11:06:45"/>
    <d v="2016-01-13T11:21:43"/>
    <x v="0"/>
    <s v="Large"/>
    <m/>
    <x v="0"/>
    <n v="70803"/>
    <n v="0"/>
    <d v="2016-01-13T11:24:43"/>
    <n v="23.34"/>
    <x v="2"/>
    <n v="2"/>
    <n v="1"/>
    <n v="2.2999999999999998"/>
    <n v="0"/>
    <n v="3.3"/>
    <x v="0"/>
    <x v="0"/>
    <x v="0"/>
    <x v="0"/>
    <n v="7"/>
    <n v="14"/>
    <e v="#N/A"/>
  </r>
  <r>
    <n v="1264"/>
    <d v="2016-01-13T11:02:07"/>
    <d v="2016-01-13T11:17:05"/>
    <x v="0"/>
    <s v="Medium"/>
    <m/>
    <x v="1"/>
    <n v="70805"/>
    <n v="2.79820162569218"/>
    <d v="2016-01-13T11:31:04"/>
    <n v="19.579999999999998"/>
    <x v="564"/>
    <n v="2"/>
    <n v="1"/>
    <n v="1.7"/>
    <n v="0"/>
    <n v="2.7"/>
    <x v="551"/>
    <x v="0"/>
    <x v="644"/>
    <x v="368"/>
    <n v="7"/>
    <n v="10"/>
    <e v="#N/A"/>
  </r>
  <r>
    <n v="1265"/>
    <d v="2016-01-13T10:42:49"/>
    <d v="2016-01-13T10:57:48"/>
    <x v="0"/>
    <s v="Medium"/>
    <m/>
    <x v="0"/>
    <n v="70803"/>
    <n v="0"/>
    <d v="2016-01-13T11:00:48"/>
    <n v="19.579999999999998"/>
    <x v="2"/>
    <n v="2"/>
    <n v="1"/>
    <n v="1.7"/>
    <n v="0"/>
    <n v="2.7"/>
    <x v="0"/>
    <x v="0"/>
    <x v="0"/>
    <x v="0"/>
    <n v="7"/>
    <n v="10"/>
    <e v="#N/A"/>
  </r>
  <r>
    <n v="1266"/>
    <d v="2016-01-13T12:39:33"/>
    <d v="2016-01-13T12:54:32"/>
    <x v="0"/>
    <m/>
    <m/>
    <x v="0"/>
    <n v="70804"/>
    <n v="0"/>
    <d v="2016-01-13T12:57:32"/>
    <n v="7.99"/>
    <x v="2"/>
    <n v="1"/>
    <n v="1"/>
    <n v="0"/>
    <n v="0"/>
    <n v="1"/>
    <x v="0"/>
    <x v="0"/>
    <x v="0"/>
    <x v="0"/>
    <n v="7"/>
    <e v="#N/A"/>
    <e v="#N/A"/>
  </r>
  <r>
    <n v="1267"/>
    <d v="2016-01-13T11:58:21"/>
    <d v="2016-01-13T12:13:22"/>
    <x v="2"/>
    <m/>
    <m/>
    <x v="0"/>
    <n v="70805"/>
    <n v="0"/>
    <d v="2016-01-13T12:16:22"/>
    <n v="11.59"/>
    <x v="2"/>
    <n v="1"/>
    <n v="1.7"/>
    <n v="0"/>
    <n v="0"/>
    <n v="1.7"/>
    <x v="0"/>
    <x v="0"/>
    <x v="0"/>
    <x v="0"/>
    <n v="10"/>
    <e v="#N/A"/>
    <e v="#N/A"/>
  </r>
  <r>
    <n v="1268"/>
    <d v="2016-01-13T10:23:02"/>
    <d v="2016-01-13T10:38:01"/>
    <x v="1"/>
    <m/>
    <m/>
    <x v="0"/>
    <n v="70804"/>
    <n v="0"/>
    <d v="2016-01-13T10:41:01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269"/>
    <d v="2016-01-13T11:50:41"/>
    <d v="2016-01-13T12:05:41"/>
    <x v="2"/>
    <m/>
    <m/>
    <x v="0"/>
    <n v="70806"/>
    <n v="0"/>
    <d v="2016-01-13T12:08:40"/>
    <n v="11.59"/>
    <x v="1"/>
    <n v="1"/>
    <n v="1.7"/>
    <n v="0"/>
    <n v="0"/>
    <n v="1.7"/>
    <x v="0"/>
    <x v="0"/>
    <x v="0"/>
    <x v="0"/>
    <n v="10"/>
    <e v="#N/A"/>
    <e v="#N/A"/>
  </r>
  <r>
    <n v="1270"/>
    <d v="2016-01-13T14:20:30"/>
    <d v="2016-01-13T14:35:31"/>
    <x v="2"/>
    <m/>
    <m/>
    <x v="0"/>
    <n v="70805"/>
    <n v="0"/>
    <d v="2016-01-13T14:38:31"/>
    <n v="11.59"/>
    <x v="2"/>
    <n v="1"/>
    <n v="1.7"/>
    <n v="0"/>
    <n v="0"/>
    <n v="1.7"/>
    <x v="0"/>
    <x v="0"/>
    <x v="0"/>
    <x v="0"/>
    <n v="10"/>
    <e v="#N/A"/>
    <e v="#N/A"/>
  </r>
  <r>
    <n v="1271"/>
    <d v="2016-01-13T12:19:19"/>
    <d v="2016-01-13T12:34:18"/>
    <x v="1"/>
    <m/>
    <m/>
    <x v="1"/>
    <n v="70805"/>
    <n v="0.65416117413362596"/>
    <d v="2016-01-13T12:37:34"/>
    <n v="15.35"/>
    <x v="565"/>
    <n v="1"/>
    <n v="2.2999999999999998"/>
    <n v="0"/>
    <n v="0"/>
    <n v="2.2999999999999998"/>
    <x v="552"/>
    <x v="0"/>
    <x v="645"/>
    <x v="369"/>
    <n v="14"/>
    <e v="#N/A"/>
    <e v="#N/A"/>
  </r>
  <r>
    <n v="1272"/>
    <d v="2016-01-13T11:30:38"/>
    <d v="2016-01-13T11:45:38"/>
    <x v="0"/>
    <m/>
    <m/>
    <x v="1"/>
    <n v="70805"/>
    <n v="3.1584925932908701"/>
    <d v="2016-01-13T12:01:25"/>
    <n v="7.99"/>
    <x v="566"/>
    <n v="1"/>
    <n v="1"/>
    <n v="0"/>
    <n v="0"/>
    <n v="1"/>
    <x v="553"/>
    <x v="0"/>
    <x v="646"/>
    <x v="370"/>
    <n v="7"/>
    <e v="#N/A"/>
    <e v="#N/A"/>
  </r>
  <r>
    <n v="1273"/>
    <d v="2016-01-13T14:13:40"/>
    <d v="2016-01-13T14:28:41"/>
    <x v="1"/>
    <m/>
    <m/>
    <x v="1"/>
    <n v="70807"/>
    <n v="4.56236558085984"/>
    <d v="2016-01-13T14:51:29"/>
    <n v="15.35"/>
    <x v="567"/>
    <n v="1"/>
    <n v="2.2999999999999998"/>
    <n v="0"/>
    <n v="0"/>
    <n v="2.2999999999999998"/>
    <x v="554"/>
    <x v="1"/>
    <x v="647"/>
    <x v="0"/>
    <n v="14"/>
    <e v="#N/A"/>
    <e v="#N/A"/>
  </r>
  <r>
    <n v="1274"/>
    <d v="2016-01-13T11:19:29"/>
    <d v="2016-01-13T11:34:28"/>
    <x v="1"/>
    <m/>
    <m/>
    <x v="1"/>
    <n v="70806"/>
    <n v="5.5270081915870097"/>
    <d v="2016-01-13T12:02:06"/>
    <n v="15.35"/>
    <x v="568"/>
    <n v="1"/>
    <n v="2.2999999999999998"/>
    <n v="0"/>
    <n v="0"/>
    <n v="2.2999999999999998"/>
    <x v="555"/>
    <x v="1"/>
    <x v="648"/>
    <x v="0"/>
    <n v="14"/>
    <e v="#N/A"/>
    <e v="#N/A"/>
  </r>
  <r>
    <n v="1275"/>
    <d v="2016-01-13T10:18:46"/>
    <d v="2016-01-13T10:33:43"/>
    <x v="2"/>
    <m/>
    <m/>
    <x v="1"/>
    <n v="70805"/>
    <n v="3.9364412390552102"/>
    <d v="2016-01-13T10:53:23"/>
    <n v="11.59"/>
    <x v="569"/>
    <n v="1"/>
    <n v="1.7"/>
    <n v="0"/>
    <n v="0"/>
    <n v="1.7"/>
    <x v="556"/>
    <x v="1"/>
    <x v="649"/>
    <x v="0"/>
    <n v="10"/>
    <e v="#N/A"/>
    <e v="#N/A"/>
  </r>
  <r>
    <n v="1276"/>
    <d v="2016-01-13T13:50:24"/>
    <d v="2016-01-13T14:05:24"/>
    <x v="1"/>
    <m/>
    <m/>
    <x v="0"/>
    <n v="70805"/>
    <n v="0"/>
    <d v="2016-01-13T14:08:24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277"/>
    <d v="2016-01-13T11:04:59"/>
    <d v="2016-01-13T11:19:59"/>
    <x v="0"/>
    <m/>
    <m/>
    <x v="0"/>
    <n v="70803"/>
    <n v="0"/>
    <d v="2016-01-13T11:22:57"/>
    <n v="7.99"/>
    <x v="0"/>
    <n v="1"/>
    <n v="1"/>
    <n v="0"/>
    <n v="0"/>
    <n v="1"/>
    <x v="0"/>
    <x v="0"/>
    <x v="0"/>
    <x v="0"/>
    <n v="7"/>
    <e v="#N/A"/>
    <e v="#N/A"/>
  </r>
  <r>
    <n v="1278"/>
    <d v="2016-01-13T13:38:43"/>
    <d v="2016-01-13T13:53:43"/>
    <x v="2"/>
    <s v="Large"/>
    <m/>
    <x v="1"/>
    <n v="70803"/>
    <n v="3.7399057159045999"/>
    <d v="2016-01-13T14:12:24"/>
    <n v="25.94"/>
    <x v="570"/>
    <n v="2"/>
    <n v="1.7"/>
    <n v="2.2999999999999998"/>
    <n v="0"/>
    <n v="4"/>
    <x v="557"/>
    <x v="1"/>
    <x v="650"/>
    <x v="0"/>
    <n v="10"/>
    <n v="14"/>
    <e v="#N/A"/>
  </r>
  <r>
    <n v="1279"/>
    <d v="2016-01-13T12:15:26"/>
    <d v="2016-01-13T12:30:25"/>
    <x v="1"/>
    <m/>
    <m/>
    <x v="0"/>
    <n v="70803"/>
    <n v="0"/>
    <d v="2016-01-13T12:33:25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280"/>
    <d v="2016-01-13T12:31:38"/>
    <d v="2016-01-13T12:46:37"/>
    <x v="1"/>
    <m/>
    <m/>
    <x v="0"/>
    <n v="70805"/>
    <n v="0"/>
    <d v="2016-01-13T12:49:37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281"/>
    <d v="2016-01-14T10:02:47"/>
    <d v="2016-01-14T10:17:48"/>
    <x v="2"/>
    <m/>
    <m/>
    <x v="1"/>
    <n v="70806"/>
    <n v="2.5504066111117001"/>
    <d v="2016-01-14T10:30:33"/>
    <n v="11.59"/>
    <x v="571"/>
    <n v="1"/>
    <n v="1.7"/>
    <n v="0"/>
    <n v="0"/>
    <n v="1.7"/>
    <x v="558"/>
    <x v="0"/>
    <x v="651"/>
    <x v="371"/>
    <n v="10"/>
    <e v="#N/A"/>
    <e v="#N/A"/>
  </r>
  <r>
    <n v="1282"/>
    <d v="2016-01-14T12:42:39"/>
    <d v="2016-01-14T12:57:40"/>
    <x v="0"/>
    <m/>
    <m/>
    <x v="1"/>
    <n v="70803"/>
    <n v="5.2896576347462201"/>
    <d v="2016-01-14T13:24:06"/>
    <n v="7.99"/>
    <x v="572"/>
    <n v="1"/>
    <n v="1"/>
    <n v="0"/>
    <n v="0"/>
    <n v="1"/>
    <x v="559"/>
    <x v="1"/>
    <x v="652"/>
    <x v="0"/>
    <n v="7"/>
    <e v="#N/A"/>
    <e v="#N/A"/>
  </r>
  <r>
    <n v="1283"/>
    <d v="2016-01-14T12:44:06"/>
    <d v="2016-01-14T12:59:05"/>
    <x v="0"/>
    <s v="Medium"/>
    <m/>
    <x v="1"/>
    <n v="70807"/>
    <n v="2.4493782134095601"/>
    <d v="2016-01-14T13:11:19"/>
    <n v="19.579999999999998"/>
    <x v="573"/>
    <n v="2"/>
    <n v="1"/>
    <n v="1.7"/>
    <n v="0"/>
    <n v="2.7"/>
    <x v="560"/>
    <x v="0"/>
    <x v="653"/>
    <x v="372"/>
    <n v="7"/>
    <n v="10"/>
    <e v="#N/A"/>
  </r>
  <r>
    <n v="1284"/>
    <d v="2016-01-14T10:31:14"/>
    <d v="2016-01-14T10:46:14"/>
    <x v="2"/>
    <m/>
    <m/>
    <x v="0"/>
    <n v="70804"/>
    <n v="0"/>
    <d v="2016-01-14T10:49:12"/>
    <n v="11.59"/>
    <x v="0"/>
    <n v="1"/>
    <n v="1.7"/>
    <n v="0"/>
    <n v="0"/>
    <n v="1.7"/>
    <x v="0"/>
    <x v="0"/>
    <x v="0"/>
    <x v="0"/>
    <n v="10"/>
    <e v="#N/A"/>
    <e v="#N/A"/>
  </r>
  <r>
    <n v="1285"/>
    <d v="2016-01-14T10:27:31"/>
    <d v="2016-01-14T10:42:31"/>
    <x v="2"/>
    <m/>
    <m/>
    <x v="1"/>
    <n v="70805"/>
    <n v="3.8432328447141302"/>
    <d v="2016-01-14T11:01:43"/>
    <n v="11.59"/>
    <x v="412"/>
    <n v="1"/>
    <n v="1.7"/>
    <n v="0"/>
    <n v="0"/>
    <n v="1.7"/>
    <x v="399"/>
    <x v="1"/>
    <x v="654"/>
    <x v="0"/>
    <n v="10"/>
    <e v="#N/A"/>
    <e v="#N/A"/>
  </r>
  <r>
    <n v="1286"/>
    <d v="2016-01-14T10:30:47"/>
    <d v="2016-01-14T10:45:45"/>
    <x v="1"/>
    <m/>
    <m/>
    <x v="1"/>
    <n v="70806"/>
    <n v="3.1372559381127201"/>
    <d v="2016-01-14T11:01:26"/>
    <n v="15.35"/>
    <x v="574"/>
    <n v="1"/>
    <n v="2.2999999999999998"/>
    <n v="0"/>
    <n v="0"/>
    <n v="2.2999999999999998"/>
    <x v="561"/>
    <x v="0"/>
    <x v="655"/>
    <x v="373"/>
    <n v="14"/>
    <e v="#N/A"/>
    <e v="#N/A"/>
  </r>
  <r>
    <n v="1287"/>
    <d v="2016-01-14T11:23:29"/>
    <d v="2016-01-14T11:38:29"/>
    <x v="2"/>
    <m/>
    <m/>
    <x v="0"/>
    <n v="70803"/>
    <n v="0"/>
    <d v="2016-01-14T11:41:29"/>
    <n v="11.59"/>
    <x v="2"/>
    <n v="1"/>
    <n v="1.7"/>
    <n v="0"/>
    <n v="0"/>
    <n v="1.7"/>
    <x v="0"/>
    <x v="0"/>
    <x v="0"/>
    <x v="0"/>
    <n v="10"/>
    <e v="#N/A"/>
    <e v="#N/A"/>
  </r>
  <r>
    <n v="1288"/>
    <d v="2016-01-14T12:22:18"/>
    <d v="2016-01-14T12:37:17"/>
    <x v="2"/>
    <m/>
    <m/>
    <x v="0"/>
    <n v="70805"/>
    <n v="0"/>
    <d v="2016-01-14T12:40:16"/>
    <n v="11.59"/>
    <x v="1"/>
    <n v="1"/>
    <n v="1.7"/>
    <n v="0"/>
    <n v="0"/>
    <n v="1.7"/>
    <x v="0"/>
    <x v="0"/>
    <x v="0"/>
    <x v="0"/>
    <n v="10"/>
    <e v="#N/A"/>
    <e v="#N/A"/>
  </r>
  <r>
    <n v="1289"/>
    <d v="2016-01-14T12:05:37"/>
    <d v="2016-01-14T12:20:36"/>
    <x v="1"/>
    <m/>
    <m/>
    <x v="0"/>
    <n v="70805"/>
    <n v="0"/>
    <d v="2016-01-14T12:23:37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1290"/>
    <d v="2016-01-14T11:24:36"/>
    <d v="2016-01-14T11:39:36"/>
    <x v="0"/>
    <s v="Medium"/>
    <m/>
    <x v="1"/>
    <n v="70804"/>
    <n v="3.3964774914763001"/>
    <d v="2016-01-14T11:56:34"/>
    <n v="19.579999999999998"/>
    <x v="575"/>
    <n v="2"/>
    <n v="1"/>
    <n v="1.7"/>
    <n v="0"/>
    <n v="2.7"/>
    <x v="562"/>
    <x v="1"/>
    <x v="656"/>
    <x v="0"/>
    <n v="7"/>
    <n v="10"/>
    <e v="#N/A"/>
  </r>
  <r>
    <n v="1291"/>
    <d v="2016-01-14T10:09:02"/>
    <d v="2016-01-14T10:24:03"/>
    <x v="1"/>
    <m/>
    <m/>
    <x v="0"/>
    <n v="70804"/>
    <n v="0"/>
    <d v="2016-01-14T10:27:03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292"/>
    <d v="2016-01-14T12:44:47"/>
    <d v="2016-01-14T12:59:47"/>
    <x v="0"/>
    <s v="Medium"/>
    <m/>
    <x v="1"/>
    <n v="70804"/>
    <n v="1.25685538352943"/>
    <d v="2016-01-14T13:06:04"/>
    <n v="19.579999999999998"/>
    <x v="576"/>
    <n v="2"/>
    <n v="1"/>
    <n v="1.7"/>
    <n v="0"/>
    <n v="2.7"/>
    <x v="563"/>
    <x v="0"/>
    <x v="657"/>
    <x v="374"/>
    <n v="7"/>
    <n v="10"/>
    <e v="#N/A"/>
  </r>
  <r>
    <n v="1293"/>
    <d v="2016-01-14T10:40:33"/>
    <d v="2016-01-14T10:55:32"/>
    <x v="0"/>
    <s v="Large"/>
    <m/>
    <x v="0"/>
    <n v="70804"/>
    <n v="0"/>
    <d v="2016-01-14T10:58:30"/>
    <n v="23.34"/>
    <x v="0"/>
    <n v="2"/>
    <n v="1"/>
    <n v="2.2999999999999998"/>
    <n v="0"/>
    <n v="3.3"/>
    <x v="0"/>
    <x v="0"/>
    <x v="0"/>
    <x v="0"/>
    <n v="7"/>
    <n v="14"/>
    <e v="#N/A"/>
  </r>
  <r>
    <n v="1294"/>
    <d v="2016-01-14T11:51:09"/>
    <d v="2016-01-14T12:06:09"/>
    <x v="1"/>
    <m/>
    <m/>
    <x v="1"/>
    <n v="70807"/>
    <n v="4.1532192729500403"/>
    <d v="2016-01-14T12:26:54"/>
    <n v="15.35"/>
    <x v="577"/>
    <n v="1"/>
    <n v="2.2999999999999998"/>
    <n v="0"/>
    <n v="0"/>
    <n v="2.2999999999999998"/>
    <x v="564"/>
    <x v="1"/>
    <x v="658"/>
    <x v="0"/>
    <n v="14"/>
    <e v="#N/A"/>
    <e v="#N/A"/>
  </r>
  <r>
    <n v="1295"/>
    <d v="2016-01-14T10:43:20"/>
    <d v="2016-01-14T10:58:20"/>
    <x v="0"/>
    <s v="Medium"/>
    <m/>
    <x v="1"/>
    <n v="70803"/>
    <n v="4.6352955317801898"/>
    <d v="2016-01-14T11:21:30"/>
    <n v="19.579999999999998"/>
    <x v="578"/>
    <n v="2"/>
    <n v="1"/>
    <n v="1.7"/>
    <n v="0"/>
    <n v="2.7"/>
    <x v="565"/>
    <x v="1"/>
    <x v="659"/>
    <x v="0"/>
    <n v="7"/>
    <n v="10"/>
    <e v="#N/A"/>
  </r>
  <r>
    <n v="1296"/>
    <d v="2016-01-14T12:46:03"/>
    <d v="2016-01-14T13:01:03"/>
    <x v="1"/>
    <m/>
    <m/>
    <x v="1"/>
    <n v="70806"/>
    <n v="4.6981899762196004"/>
    <d v="2016-01-14T13:24:32"/>
    <n v="15.35"/>
    <x v="338"/>
    <n v="1"/>
    <n v="2.2999999999999998"/>
    <n v="0"/>
    <n v="0"/>
    <n v="2.2999999999999998"/>
    <x v="325"/>
    <x v="1"/>
    <x v="660"/>
    <x v="0"/>
    <n v="14"/>
    <e v="#N/A"/>
    <e v="#N/A"/>
  </r>
  <r>
    <n v="1297"/>
    <d v="2016-01-14T12:13:34"/>
    <d v="2016-01-14T12:28:34"/>
    <x v="2"/>
    <m/>
    <m/>
    <x v="1"/>
    <n v="70806"/>
    <n v="3.5094837558825098"/>
    <d v="2016-01-14T12:46:06"/>
    <n v="11.59"/>
    <x v="579"/>
    <n v="1"/>
    <n v="1.7"/>
    <n v="0"/>
    <n v="0"/>
    <n v="1.7"/>
    <x v="566"/>
    <x v="1"/>
    <x v="661"/>
    <x v="0"/>
    <n v="10"/>
    <e v="#N/A"/>
    <e v="#N/A"/>
  </r>
  <r>
    <n v="1298"/>
    <d v="2016-01-14T12:32:45"/>
    <d v="2016-01-14T12:47:43"/>
    <x v="1"/>
    <m/>
    <m/>
    <x v="0"/>
    <n v="70805"/>
    <n v="0"/>
    <d v="2016-01-14T12:50:44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1299"/>
    <d v="2016-01-14T11:12:23"/>
    <d v="2016-01-14T11:27:22"/>
    <x v="1"/>
    <m/>
    <m/>
    <x v="1"/>
    <n v="70806"/>
    <n v="3.3974769737905501"/>
    <d v="2016-01-14T11:44:21"/>
    <n v="15.35"/>
    <x v="580"/>
    <n v="1"/>
    <n v="2.2999999999999998"/>
    <n v="0"/>
    <n v="0"/>
    <n v="2.2999999999999998"/>
    <x v="567"/>
    <x v="1"/>
    <x v="662"/>
    <x v="0"/>
    <n v="14"/>
    <e v="#N/A"/>
    <e v="#N/A"/>
  </r>
  <r>
    <n v="1300"/>
    <d v="2016-01-14T10:31:37"/>
    <d v="2016-01-14T10:46:36"/>
    <x v="1"/>
    <m/>
    <m/>
    <x v="1"/>
    <n v="70804"/>
    <n v="3.4382274317286701"/>
    <d v="2016-01-14T11:03:47"/>
    <n v="15.35"/>
    <x v="581"/>
    <n v="1"/>
    <n v="2.2999999999999998"/>
    <n v="0"/>
    <n v="0"/>
    <n v="2.2999999999999998"/>
    <x v="568"/>
    <x v="1"/>
    <x v="663"/>
    <x v="0"/>
    <n v="14"/>
    <e v="#N/A"/>
    <e v="#N/A"/>
  </r>
  <r>
    <n v="1301"/>
    <d v="2016-01-14T12:36:23"/>
    <d v="2016-01-14T12:51:24"/>
    <x v="2"/>
    <m/>
    <m/>
    <x v="1"/>
    <n v="70805"/>
    <n v="1.4158476502169699"/>
    <d v="2016-01-14T12:58:28"/>
    <n v="11.59"/>
    <x v="582"/>
    <n v="1"/>
    <n v="1.7"/>
    <n v="0"/>
    <n v="0"/>
    <n v="1.7"/>
    <x v="569"/>
    <x v="0"/>
    <x v="664"/>
    <x v="375"/>
    <n v="10"/>
    <e v="#N/A"/>
    <e v="#N/A"/>
  </r>
  <r>
    <n v="1302"/>
    <d v="2016-01-14T10:19:15"/>
    <d v="2016-01-14T10:34:15"/>
    <x v="2"/>
    <m/>
    <m/>
    <x v="0"/>
    <n v="70805"/>
    <n v="0"/>
    <d v="2016-01-14T10:37:14"/>
    <n v="11.59"/>
    <x v="1"/>
    <n v="1"/>
    <n v="1.7"/>
    <n v="0"/>
    <n v="0"/>
    <n v="1.7"/>
    <x v="0"/>
    <x v="0"/>
    <x v="0"/>
    <x v="0"/>
    <n v="10"/>
    <e v="#N/A"/>
    <e v="#N/A"/>
  </r>
  <r>
    <n v="1303"/>
    <d v="2016-01-14T12:16:58"/>
    <d v="2016-01-14T12:31:57"/>
    <x v="2"/>
    <m/>
    <m/>
    <x v="0"/>
    <n v="70806"/>
    <n v="0"/>
    <d v="2016-01-14T12:34:58"/>
    <n v="11.59"/>
    <x v="14"/>
    <n v="1"/>
    <n v="1.7"/>
    <n v="0"/>
    <n v="0"/>
    <n v="1.7"/>
    <x v="0"/>
    <x v="0"/>
    <x v="0"/>
    <x v="0"/>
    <n v="10"/>
    <e v="#N/A"/>
    <e v="#N/A"/>
  </r>
  <r>
    <n v="1304"/>
    <d v="2016-01-14T11:50:38"/>
    <d v="2016-01-14T12:05:39"/>
    <x v="1"/>
    <m/>
    <m/>
    <x v="1"/>
    <n v="70806"/>
    <n v="5.4827654542412398"/>
    <d v="2016-01-14T12:33:03"/>
    <n v="15.35"/>
    <x v="583"/>
    <n v="1"/>
    <n v="2.2999999999999998"/>
    <n v="0"/>
    <n v="0"/>
    <n v="2.2999999999999998"/>
    <x v="570"/>
    <x v="1"/>
    <x v="665"/>
    <x v="0"/>
    <n v="14"/>
    <e v="#N/A"/>
    <e v="#N/A"/>
  </r>
  <r>
    <n v="1305"/>
    <d v="2016-01-14T11:55:39"/>
    <d v="2016-01-14T12:10:38"/>
    <x v="0"/>
    <m/>
    <m/>
    <x v="0"/>
    <n v="70807"/>
    <n v="0"/>
    <d v="2016-01-14T12:13:37"/>
    <n v="7.99"/>
    <x v="24"/>
    <n v="1"/>
    <n v="1"/>
    <n v="0"/>
    <n v="0"/>
    <n v="1"/>
    <x v="0"/>
    <x v="0"/>
    <x v="0"/>
    <x v="0"/>
    <n v="7"/>
    <e v="#N/A"/>
    <e v="#N/A"/>
  </r>
  <r>
    <n v="1306"/>
    <d v="2016-01-14T11:06:38"/>
    <d v="2016-01-14T11:21:37"/>
    <x v="0"/>
    <m/>
    <m/>
    <x v="0"/>
    <n v="70804"/>
    <n v="0"/>
    <d v="2016-01-14T11:24:36"/>
    <n v="7.99"/>
    <x v="1"/>
    <n v="1"/>
    <n v="1"/>
    <n v="0"/>
    <n v="0"/>
    <n v="1"/>
    <x v="0"/>
    <x v="0"/>
    <x v="0"/>
    <x v="0"/>
    <n v="7"/>
    <e v="#N/A"/>
    <e v="#N/A"/>
  </r>
  <r>
    <n v="1307"/>
    <d v="2016-01-14T13:22:41"/>
    <d v="2016-01-14T13:37:41"/>
    <x v="0"/>
    <m/>
    <m/>
    <x v="0"/>
    <n v="70807"/>
    <n v="0"/>
    <d v="2016-01-14T13:40:41"/>
    <n v="7.99"/>
    <x v="2"/>
    <n v="1"/>
    <n v="1"/>
    <n v="0"/>
    <n v="0"/>
    <n v="1"/>
    <x v="0"/>
    <x v="0"/>
    <x v="0"/>
    <x v="0"/>
    <n v="7"/>
    <e v="#N/A"/>
    <e v="#N/A"/>
  </r>
  <r>
    <n v="1308"/>
    <d v="2016-01-14T10:32:43"/>
    <d v="2016-01-14T10:47:43"/>
    <x v="1"/>
    <m/>
    <m/>
    <x v="1"/>
    <n v="70806"/>
    <n v="3.0650235658123601"/>
    <d v="2016-01-14T11:03:02"/>
    <n v="15.35"/>
    <x v="584"/>
    <n v="1"/>
    <n v="2.2999999999999998"/>
    <n v="0"/>
    <n v="0"/>
    <n v="2.2999999999999998"/>
    <x v="571"/>
    <x v="0"/>
    <x v="666"/>
    <x v="376"/>
    <n v="14"/>
    <e v="#N/A"/>
    <e v="#N/A"/>
  </r>
  <r>
    <n v="1309"/>
    <d v="2016-01-14T12:52:37"/>
    <d v="2016-01-14T13:07:36"/>
    <x v="2"/>
    <m/>
    <m/>
    <x v="0"/>
    <n v="70805"/>
    <n v="0"/>
    <d v="2016-01-14T13:10:35"/>
    <n v="11.59"/>
    <x v="24"/>
    <n v="1"/>
    <n v="1.7"/>
    <n v="0"/>
    <n v="0"/>
    <n v="1.7"/>
    <x v="0"/>
    <x v="0"/>
    <x v="0"/>
    <x v="0"/>
    <n v="10"/>
    <e v="#N/A"/>
    <e v="#N/A"/>
  </r>
  <r>
    <n v="1310"/>
    <d v="2016-01-14T12:13:02"/>
    <d v="2016-01-14T12:28:00"/>
    <x v="1"/>
    <m/>
    <m/>
    <x v="1"/>
    <n v="70804"/>
    <n v="3.3836540705534102"/>
    <d v="2016-01-14T12:44:55"/>
    <n v="15.35"/>
    <x v="585"/>
    <n v="1"/>
    <n v="2.2999999999999998"/>
    <n v="0"/>
    <n v="0"/>
    <n v="2.2999999999999998"/>
    <x v="572"/>
    <x v="1"/>
    <x v="667"/>
    <x v="0"/>
    <n v="14"/>
    <e v="#N/A"/>
    <e v="#N/A"/>
  </r>
  <r>
    <n v="1311"/>
    <d v="2016-01-14T12:22:28"/>
    <d v="2016-01-14T12:37:29"/>
    <x v="0"/>
    <s v="Medium"/>
    <m/>
    <x v="0"/>
    <n v="70805"/>
    <n v="0"/>
    <d v="2016-01-14T12:40:29"/>
    <n v="19.579999999999998"/>
    <x v="2"/>
    <n v="2"/>
    <n v="1"/>
    <n v="1.7"/>
    <n v="0"/>
    <n v="2.7"/>
    <x v="0"/>
    <x v="0"/>
    <x v="0"/>
    <x v="0"/>
    <n v="7"/>
    <n v="10"/>
    <e v="#N/A"/>
  </r>
  <r>
    <n v="1312"/>
    <d v="2016-01-14T10:32:46"/>
    <d v="2016-01-14T10:47:45"/>
    <x v="0"/>
    <m/>
    <m/>
    <x v="0"/>
    <n v="70806"/>
    <n v="0"/>
    <d v="2016-01-14T10:50:42"/>
    <n v="7.99"/>
    <x v="102"/>
    <n v="1"/>
    <n v="1"/>
    <n v="0"/>
    <n v="0"/>
    <n v="1"/>
    <x v="0"/>
    <x v="0"/>
    <x v="0"/>
    <x v="0"/>
    <n v="7"/>
    <e v="#N/A"/>
    <e v="#N/A"/>
  </r>
  <r>
    <n v="1313"/>
    <d v="2016-01-14T12:37:41"/>
    <d v="2016-01-14T12:52:41"/>
    <x v="2"/>
    <m/>
    <m/>
    <x v="1"/>
    <n v="70804"/>
    <n v="1.3010294330497001"/>
    <d v="2016-01-14T12:59:11"/>
    <n v="11.59"/>
    <x v="586"/>
    <n v="1"/>
    <n v="1.7"/>
    <n v="0"/>
    <n v="0"/>
    <n v="1.7"/>
    <x v="573"/>
    <x v="0"/>
    <x v="668"/>
    <x v="377"/>
    <n v="10"/>
    <e v="#N/A"/>
    <e v="#N/A"/>
  </r>
  <r>
    <n v="1314"/>
    <d v="2016-01-14T11:35:25"/>
    <d v="2016-01-14T11:50:21"/>
    <x v="2"/>
    <m/>
    <m/>
    <x v="0"/>
    <n v="70804"/>
    <n v="0"/>
    <d v="2016-01-14T11:53:19"/>
    <n v="11.59"/>
    <x v="0"/>
    <n v="1"/>
    <n v="1.7"/>
    <n v="0"/>
    <n v="0"/>
    <n v="1.7"/>
    <x v="0"/>
    <x v="0"/>
    <x v="0"/>
    <x v="0"/>
    <n v="10"/>
    <e v="#N/A"/>
    <e v="#N/A"/>
  </r>
  <r>
    <n v="1315"/>
    <d v="2016-01-14T11:37:58"/>
    <d v="2016-01-14T11:52:56"/>
    <x v="0"/>
    <s v="Large"/>
    <m/>
    <x v="1"/>
    <n v="70805"/>
    <n v="1.5968130731743599"/>
    <d v="2016-01-14T12:00:55"/>
    <n v="23.34"/>
    <x v="499"/>
    <n v="2"/>
    <n v="1"/>
    <n v="2.2999999999999998"/>
    <n v="0"/>
    <n v="3.3"/>
    <x v="486"/>
    <x v="0"/>
    <x v="669"/>
    <x v="378"/>
    <n v="7"/>
    <n v="14"/>
    <e v="#N/A"/>
  </r>
  <r>
    <n v="1316"/>
    <d v="2016-01-14T14:14:48"/>
    <d v="2016-01-14T14:29:48"/>
    <x v="0"/>
    <s v="Medium"/>
    <m/>
    <x v="0"/>
    <n v="70803"/>
    <n v="0"/>
    <d v="2016-01-14T14:32:46"/>
    <n v="19.579999999999998"/>
    <x v="0"/>
    <n v="2"/>
    <n v="1"/>
    <n v="1.7"/>
    <n v="0"/>
    <n v="2.7"/>
    <x v="0"/>
    <x v="0"/>
    <x v="0"/>
    <x v="0"/>
    <n v="7"/>
    <n v="10"/>
    <e v="#N/A"/>
  </r>
  <r>
    <n v="1317"/>
    <d v="2016-01-14T12:35:19"/>
    <d v="2016-01-14T12:50:19"/>
    <x v="0"/>
    <s v="Medium"/>
    <m/>
    <x v="1"/>
    <n v="70804"/>
    <n v="4.5353682523531198"/>
    <d v="2016-01-14T13:12:59"/>
    <n v="19.579999999999998"/>
    <x v="587"/>
    <n v="2"/>
    <n v="1"/>
    <n v="1.7"/>
    <n v="0"/>
    <n v="2.7"/>
    <x v="574"/>
    <x v="1"/>
    <x v="670"/>
    <x v="0"/>
    <n v="7"/>
    <n v="10"/>
    <e v="#N/A"/>
  </r>
  <r>
    <n v="1318"/>
    <d v="2016-01-14T12:44:24"/>
    <d v="2016-01-14T12:59:21"/>
    <x v="1"/>
    <m/>
    <m/>
    <x v="0"/>
    <n v="70806"/>
    <n v="0"/>
    <d v="2016-01-14T13:02:19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1319"/>
    <d v="2016-01-14T12:32:15"/>
    <d v="2016-01-14T12:47:14"/>
    <x v="2"/>
    <m/>
    <m/>
    <x v="0"/>
    <n v="70805"/>
    <n v="0"/>
    <d v="2016-01-14T12:50:15"/>
    <n v="11.59"/>
    <x v="14"/>
    <n v="1"/>
    <n v="1.7"/>
    <n v="0"/>
    <n v="0"/>
    <n v="1.7"/>
    <x v="0"/>
    <x v="0"/>
    <x v="0"/>
    <x v="0"/>
    <n v="10"/>
    <e v="#N/A"/>
    <e v="#N/A"/>
  </r>
  <r>
    <n v="1320"/>
    <d v="2016-01-14T12:33:24"/>
    <d v="2016-01-14T12:48:24"/>
    <x v="2"/>
    <m/>
    <m/>
    <x v="1"/>
    <n v="70803"/>
    <n v="3.9317365020177499"/>
    <d v="2016-01-14T13:08:03"/>
    <n v="11.59"/>
    <x v="588"/>
    <n v="1"/>
    <n v="1.7"/>
    <n v="0"/>
    <n v="0"/>
    <n v="1.7"/>
    <x v="575"/>
    <x v="1"/>
    <x v="671"/>
    <x v="0"/>
    <n v="10"/>
    <e v="#N/A"/>
    <e v="#N/A"/>
  </r>
  <r>
    <n v="1321"/>
    <d v="2016-01-14T10:34:04"/>
    <d v="2016-01-14T10:49:05"/>
    <x v="0"/>
    <m/>
    <m/>
    <x v="0"/>
    <n v="70805"/>
    <n v="0"/>
    <d v="2016-01-14T10:52:03"/>
    <n v="7.99"/>
    <x v="0"/>
    <n v="1"/>
    <n v="1"/>
    <n v="0"/>
    <n v="0"/>
    <n v="1"/>
    <x v="0"/>
    <x v="0"/>
    <x v="0"/>
    <x v="0"/>
    <n v="7"/>
    <e v="#N/A"/>
    <e v="#N/A"/>
  </r>
  <r>
    <n v="1322"/>
    <d v="2016-01-14T12:45:53"/>
    <d v="2016-01-14T13:00:52"/>
    <x v="2"/>
    <m/>
    <m/>
    <x v="0"/>
    <n v="70803"/>
    <n v="0"/>
    <d v="2016-01-14T13:03:51"/>
    <n v="11.59"/>
    <x v="24"/>
    <n v="1"/>
    <n v="1.7"/>
    <n v="0"/>
    <n v="0"/>
    <n v="1.7"/>
    <x v="0"/>
    <x v="0"/>
    <x v="0"/>
    <x v="0"/>
    <n v="10"/>
    <e v="#N/A"/>
    <e v="#N/A"/>
  </r>
  <r>
    <n v="1323"/>
    <d v="2016-01-14T12:33:28"/>
    <d v="2016-01-14T12:48:28"/>
    <x v="2"/>
    <m/>
    <m/>
    <x v="1"/>
    <n v="70804"/>
    <n v="2.7985583041781501"/>
    <d v="2016-01-14T13:02:27"/>
    <n v="11.59"/>
    <x v="564"/>
    <n v="1"/>
    <n v="1.7"/>
    <n v="0"/>
    <n v="0"/>
    <n v="1.7"/>
    <x v="551"/>
    <x v="0"/>
    <x v="672"/>
    <x v="379"/>
    <n v="10"/>
    <e v="#N/A"/>
    <e v="#N/A"/>
  </r>
  <r>
    <n v="1324"/>
    <d v="2016-01-14T13:15:11"/>
    <d v="2016-01-14T13:30:12"/>
    <x v="1"/>
    <m/>
    <m/>
    <x v="1"/>
    <n v="70804"/>
    <n v="1.9940357681080501"/>
    <d v="2016-01-14T13:40:10"/>
    <n v="15.35"/>
    <x v="589"/>
    <n v="1"/>
    <n v="2.2999999999999998"/>
    <n v="0"/>
    <n v="0"/>
    <n v="2.2999999999999998"/>
    <x v="576"/>
    <x v="0"/>
    <x v="673"/>
    <x v="380"/>
    <n v="14"/>
    <e v="#N/A"/>
    <e v="#N/A"/>
  </r>
  <r>
    <n v="1325"/>
    <d v="2016-01-14T10:43:56"/>
    <d v="2016-01-14T10:58:54"/>
    <x v="2"/>
    <m/>
    <m/>
    <x v="0"/>
    <n v="70804"/>
    <n v="0"/>
    <d v="2016-01-14T11:01:53"/>
    <n v="11.59"/>
    <x v="1"/>
    <n v="1"/>
    <n v="1.7"/>
    <n v="0"/>
    <n v="0"/>
    <n v="1.7"/>
    <x v="0"/>
    <x v="0"/>
    <x v="0"/>
    <x v="0"/>
    <n v="10"/>
    <e v="#N/A"/>
    <e v="#N/A"/>
  </r>
  <r>
    <n v="1326"/>
    <d v="2016-01-14T12:44:32"/>
    <d v="2016-01-14T12:59:30"/>
    <x v="1"/>
    <m/>
    <m/>
    <x v="1"/>
    <n v="70806"/>
    <n v="2.5220867427542202"/>
    <d v="2016-01-14T13:12:06"/>
    <n v="15.35"/>
    <x v="590"/>
    <n v="1"/>
    <n v="2.2999999999999998"/>
    <n v="0"/>
    <n v="0"/>
    <n v="2.2999999999999998"/>
    <x v="577"/>
    <x v="0"/>
    <x v="674"/>
    <x v="381"/>
    <n v="14"/>
    <e v="#N/A"/>
    <e v="#N/A"/>
  </r>
  <r>
    <n v="1327"/>
    <d v="2016-01-14T12:10:56"/>
    <d v="2016-01-14T12:25:55"/>
    <x v="1"/>
    <m/>
    <m/>
    <x v="1"/>
    <n v="70805"/>
    <n v="2.1815490432628999"/>
    <d v="2016-01-14T12:36:49"/>
    <n v="15.35"/>
    <x v="323"/>
    <n v="1"/>
    <n v="2.2999999999999998"/>
    <n v="0"/>
    <n v="0"/>
    <n v="2.2999999999999998"/>
    <x v="310"/>
    <x v="0"/>
    <x v="675"/>
    <x v="382"/>
    <n v="14"/>
    <e v="#N/A"/>
    <e v="#N/A"/>
  </r>
  <r>
    <n v="1328"/>
    <d v="2016-01-14T11:54:20"/>
    <d v="2016-01-14T12:09:19"/>
    <x v="1"/>
    <m/>
    <m/>
    <x v="1"/>
    <n v="70804"/>
    <n v="4.5486856024763904"/>
    <d v="2016-01-14T12:32:03"/>
    <n v="15.35"/>
    <x v="591"/>
    <n v="1"/>
    <n v="2.2999999999999998"/>
    <n v="0"/>
    <n v="0"/>
    <n v="2.2999999999999998"/>
    <x v="578"/>
    <x v="1"/>
    <x v="676"/>
    <x v="0"/>
    <n v="14"/>
    <e v="#N/A"/>
    <e v="#N/A"/>
  </r>
  <r>
    <n v="1329"/>
    <d v="2016-01-14T13:24:46"/>
    <d v="2016-01-14T13:39:44"/>
    <x v="2"/>
    <m/>
    <m/>
    <x v="1"/>
    <n v="70805"/>
    <n v="5.3964994073556696"/>
    <d v="2016-01-14T14:06:42"/>
    <n v="11.59"/>
    <x v="592"/>
    <n v="1"/>
    <n v="1.7"/>
    <n v="0"/>
    <n v="0"/>
    <n v="1.7"/>
    <x v="579"/>
    <x v="1"/>
    <x v="677"/>
    <x v="0"/>
    <n v="10"/>
    <e v="#N/A"/>
    <e v="#N/A"/>
  </r>
  <r>
    <n v="1330"/>
    <d v="2016-01-14T10:58:50"/>
    <d v="2016-01-14T11:13:49"/>
    <x v="0"/>
    <s v="Large"/>
    <m/>
    <x v="1"/>
    <n v="70803"/>
    <n v="2.1046562235580102"/>
    <d v="2016-01-14T11:24:20"/>
    <n v="23.34"/>
    <x v="515"/>
    <n v="2"/>
    <n v="1"/>
    <n v="2.2999999999999998"/>
    <n v="0"/>
    <n v="3.3"/>
    <x v="502"/>
    <x v="0"/>
    <x v="678"/>
    <x v="383"/>
    <n v="7"/>
    <n v="14"/>
    <e v="#N/A"/>
  </r>
  <r>
    <n v="1331"/>
    <d v="2016-01-14T14:56:34"/>
    <d v="2016-01-14T15:11:33"/>
    <x v="1"/>
    <m/>
    <m/>
    <x v="0"/>
    <n v="70806"/>
    <n v="0"/>
    <d v="2016-01-14T15:14:32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1332"/>
    <d v="2016-01-14T13:20:49"/>
    <d v="2016-01-14T13:35:47"/>
    <x v="0"/>
    <m/>
    <m/>
    <x v="1"/>
    <n v="70806"/>
    <n v="2.4533084281441502"/>
    <d v="2016-01-14T13:48:02"/>
    <n v="7.99"/>
    <x v="593"/>
    <n v="1"/>
    <n v="1"/>
    <n v="0"/>
    <n v="0"/>
    <n v="1"/>
    <x v="580"/>
    <x v="0"/>
    <x v="679"/>
    <x v="384"/>
    <n v="7"/>
    <e v="#N/A"/>
    <e v="#N/A"/>
  </r>
  <r>
    <n v="1333"/>
    <d v="2016-01-14T12:40:44"/>
    <d v="2016-01-14T12:55:43"/>
    <x v="1"/>
    <m/>
    <m/>
    <x v="1"/>
    <n v="70804"/>
    <n v="3.96432337362012"/>
    <d v="2016-01-14T13:15:32"/>
    <n v="15.35"/>
    <x v="48"/>
    <n v="1"/>
    <n v="2.2999999999999998"/>
    <n v="0"/>
    <n v="0"/>
    <n v="2.2999999999999998"/>
    <x v="42"/>
    <x v="1"/>
    <x v="680"/>
    <x v="0"/>
    <n v="14"/>
    <e v="#N/A"/>
    <e v="#N/A"/>
  </r>
  <r>
    <n v="1334"/>
    <d v="2016-01-14T11:50:20"/>
    <d v="2016-01-14T12:05:20"/>
    <x v="2"/>
    <m/>
    <m/>
    <x v="1"/>
    <n v="70806"/>
    <n v="3.2706298763157502"/>
    <d v="2016-01-14T12:21:41"/>
    <n v="11.59"/>
    <x v="594"/>
    <n v="1"/>
    <n v="1.7"/>
    <n v="0"/>
    <n v="0"/>
    <n v="1.7"/>
    <x v="581"/>
    <x v="1"/>
    <x v="681"/>
    <x v="0"/>
    <n v="10"/>
    <e v="#N/A"/>
    <e v="#N/A"/>
  </r>
  <r>
    <n v="1335"/>
    <d v="2016-01-14T12:36:30"/>
    <d v="2016-01-14T12:51:29"/>
    <x v="1"/>
    <m/>
    <m/>
    <x v="1"/>
    <n v="70806"/>
    <n v="2.34300186480277"/>
    <d v="2016-01-14T13:03:11"/>
    <n v="15.35"/>
    <x v="595"/>
    <n v="1"/>
    <n v="2.2999999999999998"/>
    <n v="0"/>
    <n v="0"/>
    <n v="2.2999999999999998"/>
    <x v="582"/>
    <x v="0"/>
    <x v="682"/>
    <x v="385"/>
    <n v="14"/>
    <e v="#N/A"/>
    <e v="#N/A"/>
  </r>
  <r>
    <n v="1336"/>
    <d v="2016-01-14T12:14:17"/>
    <d v="2016-01-14T12:29:17"/>
    <x v="0"/>
    <m/>
    <m/>
    <x v="0"/>
    <n v="70804"/>
    <n v="0"/>
    <d v="2016-01-14T12:32:17"/>
    <n v="7.99"/>
    <x v="2"/>
    <n v="1"/>
    <n v="1"/>
    <n v="0"/>
    <n v="0"/>
    <n v="1"/>
    <x v="0"/>
    <x v="0"/>
    <x v="0"/>
    <x v="0"/>
    <n v="7"/>
    <e v="#N/A"/>
    <e v="#N/A"/>
  </r>
  <r>
    <n v="1337"/>
    <d v="2016-01-14T13:59:56"/>
    <d v="2016-01-14T14:14:55"/>
    <x v="0"/>
    <s v="Large"/>
    <m/>
    <x v="0"/>
    <n v="70806"/>
    <n v="0"/>
    <d v="2016-01-14T14:17:55"/>
    <n v="23.34"/>
    <x v="2"/>
    <n v="2"/>
    <n v="1"/>
    <n v="2.2999999999999998"/>
    <n v="0"/>
    <n v="3.3"/>
    <x v="0"/>
    <x v="0"/>
    <x v="0"/>
    <x v="0"/>
    <n v="7"/>
    <n v="14"/>
    <e v="#N/A"/>
  </r>
  <r>
    <n v="1338"/>
    <d v="2016-01-14T12:12:04"/>
    <d v="2016-01-14T12:27:02"/>
    <x v="2"/>
    <m/>
    <m/>
    <x v="1"/>
    <n v="70807"/>
    <n v="3.2686008717830699"/>
    <d v="2016-01-14T12:43:22"/>
    <n v="11.59"/>
    <x v="596"/>
    <n v="1"/>
    <n v="1.7"/>
    <n v="0"/>
    <n v="0"/>
    <n v="1.7"/>
    <x v="583"/>
    <x v="1"/>
    <x v="683"/>
    <x v="0"/>
    <n v="10"/>
    <e v="#N/A"/>
    <e v="#N/A"/>
  </r>
  <r>
    <n v="1339"/>
    <d v="2016-01-14T13:25:53"/>
    <d v="2016-01-14T13:40:52"/>
    <x v="0"/>
    <m/>
    <m/>
    <x v="0"/>
    <n v="70804"/>
    <n v="0"/>
    <d v="2016-01-14T13:43:52"/>
    <n v="7.99"/>
    <x v="2"/>
    <n v="1"/>
    <n v="1"/>
    <n v="0"/>
    <n v="0"/>
    <n v="1"/>
    <x v="0"/>
    <x v="0"/>
    <x v="0"/>
    <x v="0"/>
    <n v="7"/>
    <e v="#N/A"/>
    <e v="#N/A"/>
  </r>
  <r>
    <n v="1340"/>
    <d v="2016-01-14T12:16:33"/>
    <d v="2016-01-14T12:31:32"/>
    <x v="2"/>
    <m/>
    <m/>
    <x v="0"/>
    <n v="70803"/>
    <n v="0"/>
    <d v="2016-01-14T12:34:32"/>
    <n v="11.59"/>
    <x v="63"/>
    <n v="1"/>
    <n v="1.7"/>
    <n v="0"/>
    <n v="0"/>
    <n v="1.7"/>
    <x v="0"/>
    <x v="0"/>
    <x v="0"/>
    <x v="0"/>
    <n v="10"/>
    <e v="#N/A"/>
    <e v="#N/A"/>
  </r>
  <r>
    <n v="1341"/>
    <d v="2016-01-14T11:41:32"/>
    <d v="2016-01-14T11:56:31"/>
    <x v="1"/>
    <m/>
    <m/>
    <x v="0"/>
    <n v="70805"/>
    <n v="0"/>
    <d v="2016-01-14T11:59:30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1342"/>
    <d v="2016-01-14T10:40:35"/>
    <d v="2016-01-14T10:55:36"/>
    <x v="0"/>
    <s v="Medium"/>
    <m/>
    <x v="1"/>
    <n v="70803"/>
    <n v="1.7711007677409201"/>
    <d v="2016-01-14T11:04:27"/>
    <n v="19.579999999999998"/>
    <x v="597"/>
    <n v="2"/>
    <n v="1"/>
    <n v="1.7"/>
    <n v="0"/>
    <n v="2.7"/>
    <x v="584"/>
    <x v="0"/>
    <x v="684"/>
    <x v="386"/>
    <n v="7"/>
    <n v="10"/>
    <e v="#N/A"/>
  </r>
  <r>
    <n v="1343"/>
    <d v="2016-01-14T12:37:53"/>
    <d v="2016-01-14T12:52:52"/>
    <x v="2"/>
    <m/>
    <m/>
    <x v="1"/>
    <n v="70805"/>
    <n v="3.0726933549638602"/>
    <d v="2016-01-14T13:08:13"/>
    <n v="11.59"/>
    <x v="598"/>
    <n v="1"/>
    <n v="1.7"/>
    <n v="0"/>
    <n v="0"/>
    <n v="1.7"/>
    <x v="585"/>
    <x v="0"/>
    <x v="685"/>
    <x v="387"/>
    <n v="10"/>
    <e v="#N/A"/>
    <e v="#N/A"/>
  </r>
  <r>
    <n v="1344"/>
    <d v="2016-01-14T11:19:40"/>
    <d v="2016-01-14T11:34:39"/>
    <x v="2"/>
    <s v="Large"/>
    <m/>
    <x v="1"/>
    <n v="70805"/>
    <n v="3.4878001917650199"/>
    <d v="2016-01-14T11:52:05"/>
    <n v="25.94"/>
    <x v="175"/>
    <n v="2"/>
    <n v="1.7"/>
    <n v="2.2999999999999998"/>
    <n v="0"/>
    <n v="4"/>
    <x v="163"/>
    <x v="1"/>
    <x v="686"/>
    <x v="0"/>
    <n v="10"/>
    <n v="14"/>
    <e v="#N/A"/>
  </r>
  <r>
    <n v="1345"/>
    <d v="2016-01-14T11:45:07"/>
    <d v="2016-01-14T12:00:07"/>
    <x v="2"/>
    <m/>
    <m/>
    <x v="1"/>
    <n v="70804"/>
    <n v="2.3973750546767798"/>
    <d v="2016-01-14T12:12:06"/>
    <n v="11.59"/>
    <x v="599"/>
    <n v="1"/>
    <n v="1.7"/>
    <n v="0"/>
    <n v="0"/>
    <n v="1.7"/>
    <x v="586"/>
    <x v="0"/>
    <x v="687"/>
    <x v="388"/>
    <n v="10"/>
    <e v="#N/A"/>
    <e v="#N/A"/>
  </r>
  <r>
    <n v="1346"/>
    <d v="2016-01-14T13:38:20"/>
    <d v="2016-01-14T13:53:20"/>
    <x v="1"/>
    <m/>
    <m/>
    <x v="1"/>
    <n v="70804"/>
    <n v="1.2130984583265201"/>
    <d v="2016-01-14T13:59:23"/>
    <n v="15.35"/>
    <x v="600"/>
    <n v="1"/>
    <n v="2.2999999999999998"/>
    <n v="0"/>
    <n v="0"/>
    <n v="2.2999999999999998"/>
    <x v="587"/>
    <x v="0"/>
    <x v="688"/>
    <x v="389"/>
    <n v="14"/>
    <e v="#N/A"/>
    <e v="#N/A"/>
  </r>
  <r>
    <n v="1347"/>
    <d v="2016-01-14T11:57:27"/>
    <d v="2016-01-14T12:12:26"/>
    <x v="0"/>
    <m/>
    <m/>
    <x v="1"/>
    <n v="70805"/>
    <n v="3.2065535562445602"/>
    <d v="2016-01-14T12:28:27"/>
    <n v="7.99"/>
    <x v="601"/>
    <n v="1"/>
    <n v="1"/>
    <n v="0"/>
    <n v="0"/>
    <n v="1"/>
    <x v="588"/>
    <x v="1"/>
    <x v="689"/>
    <x v="0"/>
    <n v="7"/>
    <e v="#N/A"/>
    <e v="#N/A"/>
  </r>
  <r>
    <n v="1348"/>
    <d v="2016-01-14T12:49:14"/>
    <d v="2016-01-14T13:04:14"/>
    <x v="0"/>
    <m/>
    <m/>
    <x v="0"/>
    <n v="70805"/>
    <n v="0"/>
    <d v="2016-01-14T13:07:13"/>
    <n v="7.99"/>
    <x v="24"/>
    <n v="1"/>
    <n v="1"/>
    <n v="0"/>
    <n v="0"/>
    <n v="1"/>
    <x v="0"/>
    <x v="0"/>
    <x v="0"/>
    <x v="0"/>
    <n v="7"/>
    <e v="#N/A"/>
    <e v="#N/A"/>
  </r>
  <r>
    <n v="1349"/>
    <d v="2016-01-14T10:42:55"/>
    <d v="2016-01-14T10:57:55"/>
    <x v="0"/>
    <s v="Medium"/>
    <m/>
    <x v="0"/>
    <n v="70805"/>
    <n v="0"/>
    <d v="2016-01-14T11:00:53"/>
    <n v="19.579999999999998"/>
    <x v="0"/>
    <n v="2"/>
    <n v="1"/>
    <n v="1.7"/>
    <n v="0"/>
    <n v="2.7"/>
    <x v="0"/>
    <x v="0"/>
    <x v="0"/>
    <x v="0"/>
    <n v="7"/>
    <n v="10"/>
    <e v="#N/A"/>
  </r>
  <r>
    <n v="1350"/>
    <d v="2016-01-14T11:51:54"/>
    <d v="2016-01-14T12:06:54"/>
    <x v="2"/>
    <m/>
    <m/>
    <x v="0"/>
    <n v="70803"/>
    <n v="0"/>
    <d v="2016-01-14T12:09:53"/>
    <n v="11.59"/>
    <x v="24"/>
    <n v="1"/>
    <n v="1.7"/>
    <n v="0"/>
    <n v="0"/>
    <n v="1.7"/>
    <x v="0"/>
    <x v="0"/>
    <x v="0"/>
    <x v="0"/>
    <n v="10"/>
    <e v="#N/A"/>
    <e v="#N/A"/>
  </r>
  <r>
    <n v="1351"/>
    <d v="2016-01-14T12:09:20"/>
    <d v="2016-01-14T12:24:19"/>
    <x v="0"/>
    <m/>
    <m/>
    <x v="0"/>
    <n v="70804"/>
    <n v="0"/>
    <d v="2016-01-14T12:27:19"/>
    <n v="7.99"/>
    <x v="63"/>
    <n v="1"/>
    <n v="1"/>
    <n v="0"/>
    <n v="0"/>
    <n v="1"/>
    <x v="0"/>
    <x v="0"/>
    <x v="0"/>
    <x v="0"/>
    <n v="7"/>
    <e v="#N/A"/>
    <e v="#N/A"/>
  </r>
  <r>
    <n v="1352"/>
    <d v="2016-01-14T10:17:32"/>
    <d v="2016-01-14T10:32:33"/>
    <x v="0"/>
    <s v="Medium"/>
    <m/>
    <x v="1"/>
    <n v="70804"/>
    <n v="4.4613651674390997"/>
    <d v="2016-01-14T10:54:51"/>
    <n v="19.579999999999998"/>
    <x v="602"/>
    <n v="2"/>
    <n v="1"/>
    <n v="1.7"/>
    <n v="0"/>
    <n v="2.7"/>
    <x v="589"/>
    <x v="1"/>
    <x v="690"/>
    <x v="0"/>
    <n v="7"/>
    <n v="10"/>
    <e v="#N/A"/>
  </r>
  <r>
    <n v="1353"/>
    <d v="2016-01-14T11:15:11"/>
    <d v="2016-01-14T11:30:09"/>
    <x v="0"/>
    <s v="Medium"/>
    <m/>
    <x v="1"/>
    <n v="70804"/>
    <n v="2.0996471163645798"/>
    <d v="2016-01-14T11:40:38"/>
    <n v="19.579999999999998"/>
    <x v="230"/>
    <n v="2"/>
    <n v="1"/>
    <n v="1.7"/>
    <n v="0"/>
    <n v="2.7"/>
    <x v="217"/>
    <x v="0"/>
    <x v="691"/>
    <x v="390"/>
    <n v="7"/>
    <n v="10"/>
    <e v="#N/A"/>
  </r>
  <r>
    <n v="1354"/>
    <d v="2016-01-14T12:24:18"/>
    <d v="2016-01-14T12:39:18"/>
    <x v="2"/>
    <m/>
    <m/>
    <x v="0"/>
    <n v="70804"/>
    <n v="0"/>
    <d v="2016-01-14T12:42:17"/>
    <n v="11.59"/>
    <x v="1"/>
    <n v="1"/>
    <n v="1.7"/>
    <n v="0"/>
    <n v="0"/>
    <n v="1.7"/>
    <x v="0"/>
    <x v="0"/>
    <x v="0"/>
    <x v="0"/>
    <n v="10"/>
    <e v="#N/A"/>
    <e v="#N/A"/>
  </r>
  <r>
    <n v="1355"/>
    <d v="2016-01-14T11:41:06"/>
    <d v="2016-01-14T11:56:04"/>
    <x v="0"/>
    <s v="Large"/>
    <m/>
    <x v="0"/>
    <n v="70805"/>
    <n v="0"/>
    <d v="2016-01-14T11:59:02"/>
    <n v="23.34"/>
    <x v="0"/>
    <n v="2"/>
    <n v="1"/>
    <n v="2.2999999999999998"/>
    <n v="0"/>
    <n v="3.3"/>
    <x v="0"/>
    <x v="0"/>
    <x v="0"/>
    <x v="0"/>
    <n v="7"/>
    <n v="14"/>
    <e v="#N/A"/>
  </r>
  <r>
    <n v="1356"/>
    <d v="2016-01-14T12:02:29"/>
    <d v="2016-01-14T12:17:28"/>
    <x v="2"/>
    <m/>
    <m/>
    <x v="0"/>
    <n v="70804"/>
    <n v="0"/>
    <d v="2016-01-14T12:20:28"/>
    <n v="11.59"/>
    <x v="2"/>
    <n v="1"/>
    <n v="1.7"/>
    <n v="0"/>
    <n v="0"/>
    <n v="1.7"/>
    <x v="0"/>
    <x v="0"/>
    <x v="0"/>
    <x v="0"/>
    <n v="10"/>
    <e v="#N/A"/>
    <e v="#N/A"/>
  </r>
  <r>
    <n v="1357"/>
    <d v="2016-01-14T11:31:04"/>
    <d v="2016-01-14T11:46:04"/>
    <x v="2"/>
    <m/>
    <m/>
    <x v="0"/>
    <n v="70807"/>
    <n v="0"/>
    <d v="2016-01-14T11:49:03"/>
    <n v="11.59"/>
    <x v="24"/>
    <n v="1"/>
    <n v="1.7"/>
    <n v="0"/>
    <n v="0"/>
    <n v="1.7"/>
    <x v="0"/>
    <x v="0"/>
    <x v="0"/>
    <x v="0"/>
    <n v="10"/>
    <e v="#N/A"/>
    <e v="#N/A"/>
  </r>
  <r>
    <n v="1358"/>
    <d v="2016-01-14T12:21:23"/>
    <d v="2016-01-14T12:36:23"/>
    <x v="0"/>
    <m/>
    <m/>
    <x v="1"/>
    <n v="70803"/>
    <n v="4.2003345872690403"/>
    <d v="2016-01-14T12:57:23"/>
    <n v="7.99"/>
    <x v="603"/>
    <n v="1"/>
    <n v="1"/>
    <n v="0"/>
    <n v="0"/>
    <n v="1"/>
    <x v="590"/>
    <x v="1"/>
    <x v="692"/>
    <x v="0"/>
    <n v="7"/>
    <e v="#N/A"/>
    <e v="#N/A"/>
  </r>
  <r>
    <n v="1359"/>
    <d v="2016-01-14T10:52:07"/>
    <d v="2016-01-14T11:07:06"/>
    <x v="1"/>
    <m/>
    <m/>
    <x v="1"/>
    <n v="70806"/>
    <n v="1.6591518587196401"/>
    <d v="2016-01-14T11:15:23"/>
    <n v="15.35"/>
    <x v="536"/>
    <n v="1"/>
    <n v="2.2999999999999998"/>
    <n v="0"/>
    <n v="0"/>
    <n v="2.2999999999999998"/>
    <x v="523"/>
    <x v="0"/>
    <x v="693"/>
    <x v="391"/>
    <n v="14"/>
    <e v="#N/A"/>
    <e v="#N/A"/>
  </r>
  <r>
    <n v="1360"/>
    <d v="2016-01-14T11:25:41"/>
    <d v="2016-01-14T11:40:38"/>
    <x v="0"/>
    <s v="Medium"/>
    <m/>
    <x v="1"/>
    <n v="70806"/>
    <n v="2.7800264115397999"/>
    <d v="2016-01-14T11:54:32"/>
    <n v="19.579999999999998"/>
    <x v="604"/>
    <n v="2"/>
    <n v="1"/>
    <n v="1.7"/>
    <n v="0"/>
    <n v="2.7"/>
    <x v="591"/>
    <x v="0"/>
    <x v="694"/>
    <x v="392"/>
    <n v="7"/>
    <n v="10"/>
    <e v="#N/A"/>
  </r>
  <r>
    <n v="1361"/>
    <d v="2016-01-14T12:59:10"/>
    <d v="2016-01-14T13:14:10"/>
    <x v="2"/>
    <m/>
    <m/>
    <x v="1"/>
    <n v="70805"/>
    <n v="3.4185537663712302"/>
    <d v="2016-01-14T13:31:15"/>
    <n v="11.59"/>
    <x v="540"/>
    <n v="1"/>
    <n v="1.7"/>
    <n v="0"/>
    <n v="0"/>
    <n v="1.7"/>
    <x v="527"/>
    <x v="1"/>
    <x v="695"/>
    <x v="0"/>
    <n v="10"/>
    <e v="#N/A"/>
    <e v="#N/A"/>
  </r>
  <r>
    <n v="1362"/>
    <d v="2016-01-14T12:48:45"/>
    <d v="2016-01-14T13:03:44"/>
    <x v="2"/>
    <s v="Large"/>
    <m/>
    <x v="1"/>
    <n v="70805"/>
    <n v="3.8888640045125702"/>
    <d v="2016-01-14T13:23:10"/>
    <n v="25.94"/>
    <x v="605"/>
    <n v="2"/>
    <n v="1.7"/>
    <n v="2.2999999999999998"/>
    <n v="0"/>
    <n v="4"/>
    <x v="592"/>
    <x v="1"/>
    <x v="696"/>
    <x v="0"/>
    <n v="10"/>
    <n v="14"/>
    <e v="#N/A"/>
  </r>
  <r>
    <n v="1363"/>
    <d v="2016-01-14T12:26:46"/>
    <d v="2016-01-14T12:41:45"/>
    <x v="1"/>
    <m/>
    <m/>
    <x v="0"/>
    <n v="70804"/>
    <n v="0"/>
    <d v="2016-01-14T12:44:44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1364"/>
    <d v="2016-01-14T12:39:28"/>
    <d v="2016-01-14T12:54:29"/>
    <x v="0"/>
    <s v="Medium"/>
    <m/>
    <x v="0"/>
    <n v="70805"/>
    <n v="0"/>
    <d v="2016-01-14T12:57:30"/>
    <n v="19.579999999999998"/>
    <x v="14"/>
    <n v="2"/>
    <n v="1"/>
    <n v="1.7"/>
    <n v="0"/>
    <n v="2.7"/>
    <x v="0"/>
    <x v="0"/>
    <x v="0"/>
    <x v="0"/>
    <n v="7"/>
    <n v="10"/>
    <e v="#N/A"/>
  </r>
  <r>
    <n v="1365"/>
    <d v="2016-01-14T11:30:34"/>
    <d v="2016-01-14T11:45:35"/>
    <x v="2"/>
    <s v="Large"/>
    <m/>
    <x v="0"/>
    <n v="70805"/>
    <n v="0"/>
    <d v="2016-01-14T11:48:35"/>
    <n v="25.94"/>
    <x v="2"/>
    <n v="2"/>
    <n v="1.7"/>
    <n v="2.2999999999999998"/>
    <n v="0"/>
    <n v="4"/>
    <x v="0"/>
    <x v="0"/>
    <x v="0"/>
    <x v="0"/>
    <n v="10"/>
    <n v="14"/>
    <e v="#N/A"/>
  </r>
  <r>
    <n v="1366"/>
    <d v="2016-01-14T12:00:32"/>
    <d v="2016-01-14T12:15:32"/>
    <x v="1"/>
    <m/>
    <m/>
    <x v="1"/>
    <n v="70804"/>
    <n v="2.65667324460036"/>
    <d v="2016-01-14T12:28:49"/>
    <n v="15.35"/>
    <x v="606"/>
    <n v="1"/>
    <n v="2.2999999999999998"/>
    <n v="0"/>
    <n v="0"/>
    <n v="2.2999999999999998"/>
    <x v="593"/>
    <x v="0"/>
    <x v="697"/>
    <x v="393"/>
    <n v="14"/>
    <e v="#N/A"/>
    <e v="#N/A"/>
  </r>
  <r>
    <n v="1367"/>
    <d v="2016-01-14T10:21:47"/>
    <d v="2016-01-14T10:36:46"/>
    <x v="1"/>
    <m/>
    <m/>
    <x v="0"/>
    <n v="70805"/>
    <n v="0"/>
    <d v="2016-01-14T10:39:46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368"/>
    <d v="2016-01-14T10:19:39"/>
    <d v="2016-01-14T10:34:38"/>
    <x v="2"/>
    <m/>
    <m/>
    <x v="1"/>
    <n v="70805"/>
    <n v="5.0017622374964299"/>
    <d v="2016-01-14T10:59:38"/>
    <n v="11.59"/>
    <x v="607"/>
    <n v="1"/>
    <n v="1.7"/>
    <n v="0"/>
    <n v="0"/>
    <n v="1.7"/>
    <x v="594"/>
    <x v="1"/>
    <x v="698"/>
    <x v="0"/>
    <n v="10"/>
    <e v="#N/A"/>
    <e v="#N/A"/>
  </r>
  <r>
    <n v="1369"/>
    <d v="2016-01-14T11:33:55"/>
    <d v="2016-01-14T11:48:54"/>
    <x v="0"/>
    <m/>
    <m/>
    <x v="1"/>
    <n v="70803"/>
    <n v="4.13624786258708"/>
    <d v="2016-01-14T12:09:34"/>
    <n v="7.99"/>
    <x v="608"/>
    <n v="1"/>
    <n v="1"/>
    <n v="0"/>
    <n v="0"/>
    <n v="1"/>
    <x v="595"/>
    <x v="1"/>
    <x v="699"/>
    <x v="0"/>
    <n v="7"/>
    <e v="#N/A"/>
    <e v="#N/A"/>
  </r>
  <r>
    <n v="1370"/>
    <d v="2016-01-14T11:11:21"/>
    <d v="2016-01-14T11:26:19"/>
    <x v="1"/>
    <m/>
    <m/>
    <x v="1"/>
    <n v="70804"/>
    <n v="5.6996388637273396"/>
    <d v="2016-01-14T11:54:48"/>
    <n v="15.35"/>
    <x v="609"/>
    <n v="1"/>
    <n v="2.2999999999999998"/>
    <n v="0"/>
    <n v="0"/>
    <n v="2.2999999999999998"/>
    <x v="596"/>
    <x v="1"/>
    <x v="700"/>
    <x v="0"/>
    <n v="14"/>
    <e v="#N/A"/>
    <e v="#N/A"/>
  </r>
  <r>
    <n v="1371"/>
    <d v="2016-01-14T13:45:16"/>
    <d v="2016-01-14T14:00:16"/>
    <x v="1"/>
    <m/>
    <m/>
    <x v="1"/>
    <n v="70805"/>
    <n v="0.77524199139377103"/>
    <d v="2016-01-14T14:04:08"/>
    <n v="15.35"/>
    <x v="610"/>
    <n v="1"/>
    <n v="2.2999999999999998"/>
    <n v="0"/>
    <n v="0"/>
    <n v="2.2999999999999998"/>
    <x v="597"/>
    <x v="0"/>
    <x v="701"/>
    <x v="394"/>
    <n v="14"/>
    <e v="#N/A"/>
    <e v="#N/A"/>
  </r>
  <r>
    <n v="1372"/>
    <d v="2016-01-14T15:42:56"/>
    <d v="2016-01-14T15:57:57"/>
    <x v="1"/>
    <m/>
    <m/>
    <x v="0"/>
    <n v="70806"/>
    <n v="0"/>
    <d v="2016-01-14T16:00:56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1373"/>
    <d v="2016-01-14T11:30:20"/>
    <d v="2016-01-14T11:45:21"/>
    <x v="1"/>
    <m/>
    <m/>
    <x v="1"/>
    <n v="70805"/>
    <n v="3.2910359277910302"/>
    <d v="2016-01-14T12:01:48"/>
    <n v="15.35"/>
    <x v="352"/>
    <n v="1"/>
    <n v="2.2999999999999998"/>
    <n v="0"/>
    <n v="0"/>
    <n v="2.2999999999999998"/>
    <x v="339"/>
    <x v="1"/>
    <x v="702"/>
    <x v="0"/>
    <n v="14"/>
    <e v="#N/A"/>
    <e v="#N/A"/>
  </r>
  <r>
    <n v="1374"/>
    <d v="2016-01-14T13:05:16"/>
    <d v="2016-01-14T13:20:15"/>
    <x v="2"/>
    <m/>
    <m/>
    <x v="0"/>
    <n v="70804"/>
    <n v="0"/>
    <d v="2016-01-14T13:23:14"/>
    <n v="11.59"/>
    <x v="24"/>
    <n v="1"/>
    <n v="1.7"/>
    <n v="0"/>
    <n v="0"/>
    <n v="1.7"/>
    <x v="0"/>
    <x v="0"/>
    <x v="0"/>
    <x v="0"/>
    <n v="10"/>
    <e v="#N/A"/>
    <e v="#N/A"/>
  </r>
  <r>
    <n v="1375"/>
    <d v="2016-01-14T11:35:21"/>
    <d v="2016-01-14T11:50:21"/>
    <x v="0"/>
    <m/>
    <m/>
    <x v="0"/>
    <n v="70805"/>
    <n v="0"/>
    <d v="2016-01-14T11:53:20"/>
    <n v="7.99"/>
    <x v="1"/>
    <n v="1"/>
    <n v="1"/>
    <n v="0"/>
    <n v="0"/>
    <n v="1"/>
    <x v="0"/>
    <x v="0"/>
    <x v="0"/>
    <x v="0"/>
    <n v="7"/>
    <e v="#N/A"/>
    <e v="#N/A"/>
  </r>
  <r>
    <n v="1376"/>
    <d v="2016-01-14T11:22:20"/>
    <d v="2016-01-14T11:37:20"/>
    <x v="1"/>
    <m/>
    <m/>
    <x v="0"/>
    <n v="70806"/>
    <n v="0"/>
    <d v="2016-01-14T11:40:20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377"/>
    <d v="2016-01-14T12:10:10"/>
    <d v="2016-01-14T12:25:10"/>
    <x v="2"/>
    <m/>
    <m/>
    <x v="1"/>
    <n v="70805"/>
    <n v="5.3948244250852602"/>
    <d v="2016-01-14T12:52:08"/>
    <n v="11.59"/>
    <x v="592"/>
    <n v="1"/>
    <n v="1.7"/>
    <n v="0"/>
    <n v="0"/>
    <n v="1.7"/>
    <x v="579"/>
    <x v="1"/>
    <x v="703"/>
    <x v="0"/>
    <n v="10"/>
    <e v="#N/A"/>
    <e v="#N/A"/>
  </r>
  <r>
    <n v="1378"/>
    <d v="2016-01-14T11:34:30"/>
    <d v="2016-01-14T11:49:27"/>
    <x v="0"/>
    <s v="Medium"/>
    <m/>
    <x v="1"/>
    <n v="70807"/>
    <n v="2.4137462258411801"/>
    <d v="2016-01-14T12:01:31"/>
    <n v="19.579999999999998"/>
    <x v="611"/>
    <n v="2"/>
    <n v="1"/>
    <n v="1.7"/>
    <n v="0"/>
    <n v="2.7"/>
    <x v="598"/>
    <x v="0"/>
    <x v="704"/>
    <x v="395"/>
    <n v="7"/>
    <n v="10"/>
    <e v="#N/A"/>
  </r>
  <r>
    <n v="1379"/>
    <d v="2016-01-14T11:52:11"/>
    <d v="2016-01-14T12:07:09"/>
    <x v="0"/>
    <m/>
    <m/>
    <x v="0"/>
    <n v="70805"/>
    <n v="0"/>
    <d v="2016-01-14T12:10:09"/>
    <n v="7.99"/>
    <x v="63"/>
    <n v="1"/>
    <n v="1"/>
    <n v="0"/>
    <n v="0"/>
    <n v="1"/>
    <x v="0"/>
    <x v="0"/>
    <x v="0"/>
    <x v="0"/>
    <n v="7"/>
    <e v="#N/A"/>
    <e v="#N/A"/>
  </r>
  <r>
    <n v="1380"/>
    <d v="2016-01-14T11:41:56"/>
    <d v="2016-01-14T11:56:57"/>
    <x v="2"/>
    <m/>
    <m/>
    <x v="0"/>
    <n v="70806"/>
    <n v="0"/>
    <d v="2016-01-14T11:59:58"/>
    <n v="11.59"/>
    <x v="14"/>
    <n v="1"/>
    <n v="1.7"/>
    <n v="0"/>
    <n v="0"/>
    <n v="1.7"/>
    <x v="0"/>
    <x v="0"/>
    <x v="0"/>
    <x v="0"/>
    <n v="10"/>
    <e v="#N/A"/>
    <e v="#N/A"/>
  </r>
  <r>
    <n v="1381"/>
    <d v="2016-01-14T11:16:13"/>
    <d v="2016-01-14T11:31:15"/>
    <x v="0"/>
    <s v="Large"/>
    <m/>
    <x v="0"/>
    <n v="70806"/>
    <n v="0"/>
    <d v="2016-01-14T11:34:13"/>
    <n v="23.34"/>
    <x v="0"/>
    <n v="2"/>
    <n v="1"/>
    <n v="2.2999999999999998"/>
    <n v="0"/>
    <n v="3.3"/>
    <x v="0"/>
    <x v="0"/>
    <x v="0"/>
    <x v="0"/>
    <n v="7"/>
    <n v="14"/>
    <e v="#N/A"/>
  </r>
  <r>
    <n v="1382"/>
    <d v="2016-01-14T11:32:35"/>
    <d v="2016-01-14T11:47:35"/>
    <x v="1"/>
    <m/>
    <m/>
    <x v="1"/>
    <n v="70803"/>
    <n v="1.8215872001918401"/>
    <d v="2016-01-14T11:56:41"/>
    <n v="15.35"/>
    <x v="336"/>
    <n v="1"/>
    <n v="2.2999999999999998"/>
    <n v="0"/>
    <n v="0"/>
    <n v="2.2999999999999998"/>
    <x v="323"/>
    <x v="0"/>
    <x v="705"/>
    <x v="396"/>
    <n v="14"/>
    <e v="#N/A"/>
    <e v="#N/A"/>
  </r>
  <r>
    <n v="1383"/>
    <d v="2016-01-14T10:22:45"/>
    <d v="2016-01-14T10:37:44"/>
    <x v="1"/>
    <m/>
    <m/>
    <x v="1"/>
    <n v="70807"/>
    <n v="3.9234695385179301"/>
    <d v="2016-01-14T10:57:21"/>
    <n v="15.35"/>
    <x v="612"/>
    <n v="1"/>
    <n v="2.2999999999999998"/>
    <n v="0"/>
    <n v="0"/>
    <n v="2.2999999999999998"/>
    <x v="599"/>
    <x v="1"/>
    <x v="706"/>
    <x v="0"/>
    <n v="14"/>
    <e v="#N/A"/>
    <e v="#N/A"/>
  </r>
  <r>
    <n v="1384"/>
    <d v="2016-01-14T12:05:47"/>
    <d v="2016-01-14T12:20:46"/>
    <x v="1"/>
    <m/>
    <m/>
    <x v="0"/>
    <n v="70806"/>
    <n v="0"/>
    <d v="2016-01-14T12:23:47"/>
    <n v="15.35"/>
    <x v="56"/>
    <n v="1"/>
    <n v="2.2999999999999998"/>
    <n v="0"/>
    <n v="0"/>
    <n v="2.2999999999999998"/>
    <x v="0"/>
    <x v="0"/>
    <x v="0"/>
    <x v="0"/>
    <n v="14"/>
    <e v="#N/A"/>
    <e v="#N/A"/>
  </r>
  <r>
    <n v="1385"/>
    <d v="2016-01-14T11:34:22"/>
    <d v="2016-01-14T11:49:21"/>
    <x v="2"/>
    <m/>
    <m/>
    <x v="1"/>
    <n v="70803"/>
    <n v="2.4342202562431301"/>
    <d v="2016-01-14T12:01:31"/>
    <n v="11.59"/>
    <x v="613"/>
    <n v="1"/>
    <n v="1.7"/>
    <n v="0"/>
    <n v="0"/>
    <n v="1.7"/>
    <x v="600"/>
    <x v="0"/>
    <x v="707"/>
    <x v="397"/>
    <n v="10"/>
    <e v="#N/A"/>
    <e v="#N/A"/>
  </r>
  <r>
    <n v="1386"/>
    <d v="2016-01-14T10:23:44"/>
    <d v="2016-01-14T10:38:43"/>
    <x v="1"/>
    <m/>
    <m/>
    <x v="1"/>
    <n v="70806"/>
    <n v="3.0581777182136101"/>
    <d v="2016-01-14T10:54:00"/>
    <n v="15.35"/>
    <x v="614"/>
    <n v="1"/>
    <n v="2.2999999999999998"/>
    <n v="0"/>
    <n v="0"/>
    <n v="2.2999999999999998"/>
    <x v="601"/>
    <x v="0"/>
    <x v="708"/>
    <x v="398"/>
    <n v="14"/>
    <e v="#N/A"/>
    <e v="#N/A"/>
  </r>
  <r>
    <n v="1387"/>
    <d v="2016-01-14T13:51:06"/>
    <d v="2016-01-14T14:06:04"/>
    <x v="0"/>
    <m/>
    <m/>
    <x v="1"/>
    <n v="70804"/>
    <n v="2.9992621087192002"/>
    <d v="2016-01-14T14:21:03"/>
    <n v="7.99"/>
    <x v="615"/>
    <n v="1"/>
    <n v="1"/>
    <n v="0"/>
    <n v="0"/>
    <n v="1"/>
    <x v="602"/>
    <x v="0"/>
    <x v="709"/>
    <x v="399"/>
    <n v="7"/>
    <e v="#N/A"/>
    <e v="#N/A"/>
  </r>
  <r>
    <n v="1388"/>
    <d v="2016-01-14T11:01:07"/>
    <d v="2016-01-14T11:16:06"/>
    <x v="1"/>
    <m/>
    <m/>
    <x v="0"/>
    <n v="70804"/>
    <n v="0"/>
    <d v="2016-01-14T11:19:06"/>
    <n v="15.35"/>
    <x v="63"/>
    <n v="1"/>
    <n v="2.2999999999999998"/>
    <n v="0"/>
    <n v="0"/>
    <n v="2.2999999999999998"/>
    <x v="0"/>
    <x v="0"/>
    <x v="0"/>
    <x v="0"/>
    <n v="14"/>
    <e v="#N/A"/>
    <e v="#N/A"/>
  </r>
  <r>
    <n v="1389"/>
    <d v="2016-01-14T11:48:28"/>
    <d v="2016-01-14T12:03:29"/>
    <x v="1"/>
    <m/>
    <m/>
    <x v="0"/>
    <n v="70803"/>
    <n v="0"/>
    <d v="2016-01-14T12:06:30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1390"/>
    <d v="2016-01-14T12:21:33"/>
    <d v="2016-01-14T12:36:33"/>
    <x v="2"/>
    <s v="Large"/>
    <m/>
    <x v="0"/>
    <n v="70804"/>
    <n v="0"/>
    <d v="2016-01-14T12:39:33"/>
    <n v="25.94"/>
    <x v="2"/>
    <n v="2"/>
    <n v="1.7"/>
    <n v="2.2999999999999998"/>
    <n v="0"/>
    <n v="4"/>
    <x v="0"/>
    <x v="0"/>
    <x v="0"/>
    <x v="0"/>
    <n v="10"/>
    <n v="14"/>
    <e v="#N/A"/>
  </r>
  <r>
    <n v="1391"/>
    <d v="2016-01-14T13:10:49"/>
    <d v="2016-01-14T13:25:46"/>
    <x v="1"/>
    <m/>
    <m/>
    <x v="0"/>
    <n v="70805"/>
    <n v="0"/>
    <d v="2016-01-14T13:28:46"/>
    <n v="15.35"/>
    <x v="63"/>
    <n v="1"/>
    <n v="2.2999999999999998"/>
    <n v="0"/>
    <n v="0"/>
    <n v="2.2999999999999998"/>
    <x v="0"/>
    <x v="0"/>
    <x v="0"/>
    <x v="0"/>
    <n v="14"/>
    <e v="#N/A"/>
    <e v="#N/A"/>
  </r>
  <r>
    <n v="1392"/>
    <d v="2016-01-14T11:02:58"/>
    <d v="2016-01-14T11:17:57"/>
    <x v="0"/>
    <m/>
    <m/>
    <x v="0"/>
    <n v="70805"/>
    <n v="0"/>
    <d v="2016-01-14T11:20:56"/>
    <n v="7.99"/>
    <x v="1"/>
    <n v="1"/>
    <n v="1"/>
    <n v="0"/>
    <n v="0"/>
    <n v="1"/>
    <x v="0"/>
    <x v="0"/>
    <x v="0"/>
    <x v="0"/>
    <n v="7"/>
    <e v="#N/A"/>
    <e v="#N/A"/>
  </r>
  <r>
    <n v="1393"/>
    <d v="2016-01-14T11:03:55"/>
    <d v="2016-01-14T11:18:54"/>
    <x v="1"/>
    <m/>
    <m/>
    <x v="1"/>
    <n v="70805"/>
    <n v="3.06720998046127"/>
    <d v="2016-01-14T11:34:14"/>
    <n v="15.35"/>
    <x v="254"/>
    <n v="1"/>
    <n v="2.2999999999999998"/>
    <n v="0"/>
    <n v="0"/>
    <n v="2.2999999999999998"/>
    <x v="241"/>
    <x v="0"/>
    <x v="710"/>
    <x v="400"/>
    <n v="14"/>
    <e v="#N/A"/>
    <e v="#N/A"/>
  </r>
  <r>
    <n v="1394"/>
    <d v="2016-01-14T10:33:13"/>
    <d v="2016-01-14T10:48:14"/>
    <x v="0"/>
    <s v="Medium"/>
    <m/>
    <x v="1"/>
    <n v="70808"/>
    <n v="3.70940530968485"/>
    <d v="2016-01-14T11:06:46"/>
    <n v="19.579999999999998"/>
    <x v="616"/>
    <n v="2"/>
    <n v="1"/>
    <n v="1.7"/>
    <n v="0"/>
    <n v="2.7"/>
    <x v="603"/>
    <x v="1"/>
    <x v="711"/>
    <x v="0"/>
    <n v="7"/>
    <n v="10"/>
    <e v="#N/A"/>
  </r>
  <r>
    <n v="1395"/>
    <d v="2016-01-14T12:49:49"/>
    <d v="2016-01-14T13:04:49"/>
    <x v="0"/>
    <s v="Large"/>
    <m/>
    <x v="1"/>
    <n v="70805"/>
    <n v="3.3451497235301302"/>
    <d v="2016-01-14T13:21:32"/>
    <n v="23.34"/>
    <x v="502"/>
    <n v="2"/>
    <n v="1"/>
    <n v="2.2999999999999998"/>
    <n v="0"/>
    <n v="3.3"/>
    <x v="489"/>
    <x v="1"/>
    <x v="712"/>
    <x v="0"/>
    <n v="7"/>
    <n v="14"/>
    <e v="#N/A"/>
  </r>
  <r>
    <n v="1396"/>
    <d v="2016-01-14T13:59:32"/>
    <d v="2016-01-14T14:14:34"/>
    <x v="0"/>
    <s v="Medium"/>
    <m/>
    <x v="1"/>
    <n v="70805"/>
    <n v="2.2626825535685802"/>
    <d v="2016-01-14T14:25:52"/>
    <n v="19.579999999999998"/>
    <x v="27"/>
    <n v="2"/>
    <n v="1"/>
    <n v="1.7"/>
    <n v="0"/>
    <n v="2.7"/>
    <x v="21"/>
    <x v="0"/>
    <x v="713"/>
    <x v="401"/>
    <n v="7"/>
    <n v="10"/>
    <e v="#N/A"/>
  </r>
  <r>
    <n v="1397"/>
    <d v="2016-01-14T10:22:16"/>
    <d v="2016-01-14T10:37:16"/>
    <x v="0"/>
    <s v="Medium"/>
    <m/>
    <x v="0"/>
    <n v="70806"/>
    <n v="0"/>
    <d v="2016-01-14T10:40:16"/>
    <n v="19.579999999999998"/>
    <x v="2"/>
    <n v="2"/>
    <n v="1"/>
    <n v="1.7"/>
    <n v="0"/>
    <n v="2.7"/>
    <x v="0"/>
    <x v="0"/>
    <x v="0"/>
    <x v="0"/>
    <n v="7"/>
    <n v="10"/>
    <e v="#N/A"/>
  </r>
  <r>
    <n v="1398"/>
    <d v="2016-01-14T10:28:12"/>
    <d v="2016-01-14T10:43:11"/>
    <x v="1"/>
    <m/>
    <m/>
    <x v="0"/>
    <n v="70805"/>
    <n v="0"/>
    <d v="2016-01-14T10:46:11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399"/>
    <d v="2016-01-14T12:50:10"/>
    <d v="2016-01-14T13:05:09"/>
    <x v="0"/>
    <s v="Large"/>
    <m/>
    <x v="1"/>
    <n v="70804"/>
    <n v="4.67007832133213"/>
    <d v="2016-01-14T13:28:30"/>
    <n v="23.34"/>
    <x v="617"/>
    <n v="2"/>
    <n v="1"/>
    <n v="2.2999999999999998"/>
    <n v="0"/>
    <n v="3.3"/>
    <x v="604"/>
    <x v="1"/>
    <x v="714"/>
    <x v="0"/>
    <n v="7"/>
    <n v="14"/>
    <e v="#N/A"/>
  </r>
  <r>
    <n v="1400"/>
    <d v="2016-01-14T13:32:23"/>
    <d v="2016-01-14T13:47:22"/>
    <x v="2"/>
    <s v="Large"/>
    <m/>
    <x v="1"/>
    <n v="70803"/>
    <n v="3.5021260097186402"/>
    <d v="2016-01-14T14:04:52"/>
    <n v="25.94"/>
    <x v="618"/>
    <n v="2"/>
    <n v="1.7"/>
    <n v="2.2999999999999998"/>
    <n v="0"/>
    <n v="4"/>
    <x v="605"/>
    <x v="1"/>
    <x v="715"/>
    <x v="0"/>
    <n v="10"/>
    <n v="14"/>
    <e v="#N/A"/>
  </r>
  <r>
    <n v="1401"/>
    <d v="2016-01-14T11:48:51"/>
    <d v="2016-01-14T12:03:50"/>
    <x v="1"/>
    <m/>
    <m/>
    <x v="0"/>
    <n v="70804"/>
    <n v="0"/>
    <d v="2016-01-14T12:06:50"/>
    <n v="15.35"/>
    <x v="63"/>
    <n v="1"/>
    <n v="2.2999999999999998"/>
    <n v="0"/>
    <n v="0"/>
    <n v="2.2999999999999998"/>
    <x v="0"/>
    <x v="0"/>
    <x v="0"/>
    <x v="0"/>
    <n v="14"/>
    <e v="#N/A"/>
    <e v="#N/A"/>
  </r>
  <r>
    <n v="1402"/>
    <d v="2016-01-14T11:08:36"/>
    <d v="2016-01-14T11:23:35"/>
    <x v="0"/>
    <s v="Medium"/>
    <m/>
    <x v="0"/>
    <n v="70807"/>
    <n v="0"/>
    <d v="2016-01-14T11:26:35"/>
    <n v="19.579999999999998"/>
    <x v="63"/>
    <n v="2"/>
    <n v="1"/>
    <n v="1.7"/>
    <n v="0"/>
    <n v="2.7"/>
    <x v="0"/>
    <x v="0"/>
    <x v="0"/>
    <x v="0"/>
    <n v="7"/>
    <n v="10"/>
    <e v="#N/A"/>
  </r>
  <r>
    <n v="1403"/>
    <d v="2016-01-14T12:50:47"/>
    <d v="2016-01-14T13:05:48"/>
    <x v="2"/>
    <m/>
    <m/>
    <x v="1"/>
    <n v="70804"/>
    <n v="3.6472874630972898"/>
    <d v="2016-01-14T13:24:02"/>
    <n v="11.59"/>
    <x v="619"/>
    <n v="1"/>
    <n v="1.7"/>
    <n v="0"/>
    <n v="0"/>
    <n v="1.7"/>
    <x v="606"/>
    <x v="1"/>
    <x v="716"/>
    <x v="0"/>
    <n v="10"/>
    <e v="#N/A"/>
    <e v="#N/A"/>
  </r>
  <r>
    <n v="1404"/>
    <d v="2016-01-15T11:09:18"/>
    <d v="2016-01-15T11:24:16"/>
    <x v="0"/>
    <s v="Medium"/>
    <m/>
    <x v="0"/>
    <n v="70804"/>
    <n v="0"/>
    <d v="2016-01-15T11:27:17"/>
    <n v="19.579999999999998"/>
    <x v="14"/>
    <n v="2"/>
    <n v="1"/>
    <n v="1.7"/>
    <n v="0"/>
    <n v="2.7"/>
    <x v="0"/>
    <x v="0"/>
    <x v="0"/>
    <x v="0"/>
    <n v="7"/>
    <n v="10"/>
    <e v="#N/A"/>
  </r>
  <r>
    <n v="1405"/>
    <d v="2016-01-15T10:32:25"/>
    <d v="2016-01-15T10:47:25"/>
    <x v="2"/>
    <m/>
    <m/>
    <x v="1"/>
    <n v="70805"/>
    <n v="2.66780235016904"/>
    <d v="2016-01-15T11:00:45"/>
    <n v="11.59"/>
    <x v="25"/>
    <n v="1"/>
    <n v="1.7"/>
    <n v="0"/>
    <n v="0"/>
    <n v="1.7"/>
    <x v="19"/>
    <x v="0"/>
    <x v="717"/>
    <x v="402"/>
    <n v="10"/>
    <e v="#N/A"/>
    <e v="#N/A"/>
  </r>
  <r>
    <n v="1406"/>
    <d v="2016-01-15T12:30:06"/>
    <d v="2016-01-15T12:45:06"/>
    <x v="1"/>
    <m/>
    <m/>
    <x v="0"/>
    <n v="70805"/>
    <n v="0"/>
    <d v="2016-01-15T12:48:05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1407"/>
    <d v="2016-01-15T13:25:19"/>
    <d v="2016-01-15T13:40:17"/>
    <x v="0"/>
    <s v="Large"/>
    <m/>
    <x v="1"/>
    <n v="70803"/>
    <n v="3.8011596849810698"/>
    <d v="2016-01-15T13:59:17"/>
    <n v="23.34"/>
    <x v="59"/>
    <n v="2"/>
    <n v="1"/>
    <n v="2.2999999999999998"/>
    <n v="0"/>
    <n v="3.3"/>
    <x v="52"/>
    <x v="1"/>
    <x v="718"/>
    <x v="0"/>
    <n v="7"/>
    <n v="14"/>
    <e v="#N/A"/>
  </r>
  <r>
    <n v="1408"/>
    <d v="2016-01-15T11:34:21"/>
    <d v="2016-01-15T11:49:20"/>
    <x v="2"/>
    <s v="Large"/>
    <m/>
    <x v="1"/>
    <n v="70805"/>
    <n v="4.6230381190994096"/>
    <d v="2016-01-15T12:12:26"/>
    <n v="25.94"/>
    <x v="620"/>
    <n v="2"/>
    <n v="1.7"/>
    <n v="2.2999999999999998"/>
    <n v="0"/>
    <n v="4"/>
    <x v="607"/>
    <x v="1"/>
    <x v="719"/>
    <x v="0"/>
    <n v="10"/>
    <n v="14"/>
    <e v="#N/A"/>
  </r>
  <r>
    <n v="1409"/>
    <d v="2016-01-15T11:01:50"/>
    <d v="2016-01-15T11:16:48"/>
    <x v="2"/>
    <m/>
    <m/>
    <x v="0"/>
    <n v="70805"/>
    <n v="0"/>
    <d v="2016-01-15T11:19:47"/>
    <n v="11.59"/>
    <x v="24"/>
    <n v="1"/>
    <n v="1.7"/>
    <n v="0"/>
    <n v="0"/>
    <n v="1.7"/>
    <x v="0"/>
    <x v="0"/>
    <x v="0"/>
    <x v="0"/>
    <n v="10"/>
    <e v="#N/A"/>
    <e v="#N/A"/>
  </r>
  <r>
    <n v="1410"/>
    <d v="2016-01-15T13:01:34"/>
    <d v="2016-01-15T13:16:34"/>
    <x v="1"/>
    <m/>
    <m/>
    <x v="1"/>
    <n v="70803"/>
    <n v="4.9431116580604604"/>
    <d v="2016-01-15T13:41:16"/>
    <n v="15.35"/>
    <x v="442"/>
    <n v="1"/>
    <n v="2.2999999999999998"/>
    <n v="0"/>
    <n v="0"/>
    <n v="2.2999999999999998"/>
    <x v="429"/>
    <x v="1"/>
    <x v="720"/>
    <x v="0"/>
    <n v="14"/>
    <e v="#N/A"/>
    <e v="#N/A"/>
  </r>
  <r>
    <n v="1411"/>
    <d v="2016-01-15T12:31:34"/>
    <d v="2016-01-15T12:46:35"/>
    <x v="2"/>
    <m/>
    <m/>
    <x v="1"/>
    <n v="70806"/>
    <n v="4.0166064335788398"/>
    <d v="2016-01-15T13:06:39"/>
    <n v="11.59"/>
    <x v="621"/>
    <n v="1"/>
    <n v="1.7"/>
    <n v="0"/>
    <n v="0"/>
    <n v="1.7"/>
    <x v="608"/>
    <x v="1"/>
    <x v="721"/>
    <x v="0"/>
    <n v="10"/>
    <e v="#N/A"/>
    <e v="#N/A"/>
  </r>
  <r>
    <n v="1412"/>
    <d v="2016-01-15T11:28:38"/>
    <d v="2016-01-15T11:43:37"/>
    <x v="0"/>
    <s v="Medium"/>
    <m/>
    <x v="0"/>
    <n v="70804"/>
    <n v="0"/>
    <d v="2016-01-15T11:46:36"/>
    <n v="19.579999999999998"/>
    <x v="24"/>
    <n v="2"/>
    <n v="1"/>
    <n v="1.7"/>
    <n v="0"/>
    <n v="2.7"/>
    <x v="0"/>
    <x v="0"/>
    <x v="0"/>
    <x v="0"/>
    <n v="7"/>
    <n v="10"/>
    <e v="#N/A"/>
  </r>
  <r>
    <n v="1413"/>
    <d v="2016-01-15T11:17:45"/>
    <d v="2016-01-15T11:32:44"/>
    <x v="0"/>
    <s v="Large"/>
    <m/>
    <x v="1"/>
    <n v="70804"/>
    <n v="3.3014230874417398"/>
    <d v="2016-01-15T11:49:14"/>
    <n v="23.34"/>
    <x v="297"/>
    <n v="2"/>
    <n v="1"/>
    <n v="2.2999999999999998"/>
    <n v="0"/>
    <n v="3.3"/>
    <x v="284"/>
    <x v="1"/>
    <x v="722"/>
    <x v="0"/>
    <n v="7"/>
    <n v="14"/>
    <e v="#N/A"/>
  </r>
  <r>
    <n v="1414"/>
    <d v="2016-01-15T11:28:38"/>
    <d v="2016-01-15T11:43:38"/>
    <x v="1"/>
    <m/>
    <m/>
    <x v="1"/>
    <n v="70803"/>
    <n v="3.5556427356567299"/>
    <d v="2016-01-15T12:01:24"/>
    <n v="15.35"/>
    <x v="622"/>
    <n v="1"/>
    <n v="2.2999999999999998"/>
    <n v="0"/>
    <n v="0"/>
    <n v="2.2999999999999998"/>
    <x v="609"/>
    <x v="1"/>
    <x v="723"/>
    <x v="0"/>
    <n v="14"/>
    <e v="#N/A"/>
    <e v="#N/A"/>
  </r>
  <r>
    <n v="1415"/>
    <d v="2016-01-15T12:00:25"/>
    <d v="2016-01-15T12:15:24"/>
    <x v="0"/>
    <m/>
    <m/>
    <x v="1"/>
    <n v="70803"/>
    <n v="2.4658333750005101"/>
    <d v="2016-01-15T12:27:43"/>
    <n v="7.99"/>
    <x v="373"/>
    <n v="1"/>
    <n v="1"/>
    <n v="0"/>
    <n v="0"/>
    <n v="1"/>
    <x v="360"/>
    <x v="0"/>
    <x v="724"/>
    <x v="403"/>
    <n v="7"/>
    <e v="#N/A"/>
    <e v="#N/A"/>
  </r>
  <r>
    <n v="1416"/>
    <d v="2016-01-15T11:33:24"/>
    <d v="2016-01-15T11:48:25"/>
    <x v="2"/>
    <m/>
    <m/>
    <x v="0"/>
    <n v="70804"/>
    <n v="0"/>
    <d v="2016-01-15T11:51:26"/>
    <n v="11.59"/>
    <x v="14"/>
    <n v="1"/>
    <n v="1.7"/>
    <n v="0"/>
    <n v="0"/>
    <n v="1.7"/>
    <x v="0"/>
    <x v="0"/>
    <x v="0"/>
    <x v="0"/>
    <n v="10"/>
    <e v="#N/A"/>
    <e v="#N/A"/>
  </r>
  <r>
    <n v="1417"/>
    <d v="2016-01-15T10:31:44"/>
    <d v="2016-01-15T10:46:44"/>
    <x v="0"/>
    <s v="Large"/>
    <m/>
    <x v="0"/>
    <n v="70803"/>
    <n v="0"/>
    <d v="2016-01-15T10:49:43"/>
    <n v="23.34"/>
    <x v="24"/>
    <n v="2"/>
    <n v="1"/>
    <n v="2.2999999999999998"/>
    <n v="0"/>
    <n v="3.3"/>
    <x v="0"/>
    <x v="0"/>
    <x v="0"/>
    <x v="0"/>
    <n v="7"/>
    <n v="14"/>
    <e v="#N/A"/>
  </r>
  <r>
    <n v="1418"/>
    <d v="2016-01-15T12:13:43"/>
    <d v="2016-01-15T12:28:43"/>
    <x v="1"/>
    <m/>
    <m/>
    <x v="1"/>
    <n v="70806"/>
    <n v="3.90127837905152"/>
    <d v="2016-01-15T12:48:13"/>
    <n v="15.35"/>
    <x v="132"/>
    <n v="1"/>
    <n v="2.2999999999999998"/>
    <n v="0"/>
    <n v="0"/>
    <n v="2.2999999999999998"/>
    <x v="122"/>
    <x v="1"/>
    <x v="725"/>
    <x v="0"/>
    <n v="14"/>
    <e v="#N/A"/>
    <e v="#N/A"/>
  </r>
  <r>
    <n v="1419"/>
    <d v="2016-01-15T12:32:01"/>
    <d v="2016-01-15T12:47:01"/>
    <x v="0"/>
    <s v="Large"/>
    <m/>
    <x v="1"/>
    <n v="70804"/>
    <n v="1.76331961032439"/>
    <d v="2016-01-15T12:55:49"/>
    <n v="23.34"/>
    <x v="623"/>
    <n v="2"/>
    <n v="1"/>
    <n v="2.2999999999999998"/>
    <n v="0"/>
    <n v="3.3"/>
    <x v="610"/>
    <x v="0"/>
    <x v="726"/>
    <x v="404"/>
    <n v="7"/>
    <n v="14"/>
    <e v="#N/A"/>
  </r>
  <r>
    <n v="1420"/>
    <d v="2016-01-15T12:44:32"/>
    <d v="2016-01-15T12:59:32"/>
    <x v="1"/>
    <m/>
    <m/>
    <x v="0"/>
    <n v="70805"/>
    <n v="0"/>
    <d v="2016-01-15T13:02:32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421"/>
    <d v="2016-01-15T11:28:36"/>
    <d v="2016-01-15T11:43:34"/>
    <x v="2"/>
    <m/>
    <m/>
    <x v="1"/>
    <n v="70803"/>
    <n v="3.37314815662126"/>
    <d v="2016-01-15T12:00:25"/>
    <n v="11.59"/>
    <x v="514"/>
    <n v="1"/>
    <n v="1.7"/>
    <n v="0"/>
    <n v="0"/>
    <n v="1.7"/>
    <x v="501"/>
    <x v="1"/>
    <x v="727"/>
    <x v="0"/>
    <n v="10"/>
    <e v="#N/A"/>
    <e v="#N/A"/>
  </r>
  <r>
    <n v="1422"/>
    <d v="2016-01-15T12:53:03"/>
    <d v="2016-01-15T13:08:02"/>
    <x v="1"/>
    <m/>
    <m/>
    <x v="0"/>
    <n v="70806"/>
    <n v="0"/>
    <d v="2016-01-15T13:11:01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1423"/>
    <d v="2016-01-15T13:27:07"/>
    <d v="2016-01-15T13:42:05"/>
    <x v="0"/>
    <m/>
    <m/>
    <x v="1"/>
    <n v="70808"/>
    <n v="2.7230500948332801"/>
    <d v="2016-01-15T13:55:41"/>
    <n v="7.99"/>
    <x v="624"/>
    <n v="1"/>
    <n v="1"/>
    <n v="0"/>
    <n v="0"/>
    <n v="1"/>
    <x v="611"/>
    <x v="0"/>
    <x v="728"/>
    <x v="405"/>
    <n v="7"/>
    <e v="#N/A"/>
    <e v="#N/A"/>
  </r>
  <r>
    <n v="1424"/>
    <d v="2016-01-15T11:15:38"/>
    <d v="2016-01-15T11:30:36"/>
    <x v="2"/>
    <m/>
    <m/>
    <x v="1"/>
    <n v="70805"/>
    <n v="3.43075711305235"/>
    <d v="2016-01-15T11:47:45"/>
    <n v="11.59"/>
    <x v="625"/>
    <n v="1"/>
    <n v="1.7"/>
    <n v="0"/>
    <n v="0"/>
    <n v="1.7"/>
    <x v="612"/>
    <x v="1"/>
    <x v="729"/>
    <x v="0"/>
    <n v="10"/>
    <e v="#N/A"/>
    <e v="#N/A"/>
  </r>
  <r>
    <n v="1425"/>
    <d v="2016-01-15T12:22:19"/>
    <d v="2016-01-15T12:37:18"/>
    <x v="2"/>
    <m/>
    <m/>
    <x v="0"/>
    <n v="70805"/>
    <n v="0"/>
    <d v="2016-01-15T12:40:16"/>
    <n v="11.59"/>
    <x v="0"/>
    <n v="1"/>
    <n v="1.7"/>
    <n v="0"/>
    <n v="0"/>
    <n v="1.7"/>
    <x v="0"/>
    <x v="0"/>
    <x v="0"/>
    <x v="0"/>
    <n v="10"/>
    <e v="#N/A"/>
    <e v="#N/A"/>
  </r>
  <r>
    <n v="1426"/>
    <d v="2016-01-15T11:27:38"/>
    <d v="2016-01-15T11:42:40"/>
    <x v="2"/>
    <m/>
    <m/>
    <x v="1"/>
    <n v="70804"/>
    <n v="3.0599527654355101"/>
    <d v="2016-01-15T11:57:57"/>
    <n v="11.59"/>
    <x v="614"/>
    <n v="1"/>
    <n v="1.7"/>
    <n v="0"/>
    <n v="0"/>
    <n v="1.7"/>
    <x v="601"/>
    <x v="0"/>
    <x v="730"/>
    <x v="406"/>
    <n v="10"/>
    <e v="#N/A"/>
    <e v="#N/A"/>
  </r>
  <r>
    <n v="1427"/>
    <d v="2016-01-15T11:12:10"/>
    <d v="2016-01-15T11:27:09"/>
    <x v="1"/>
    <m/>
    <m/>
    <x v="0"/>
    <n v="70803"/>
    <n v="0"/>
    <d v="2016-01-15T11:30:06"/>
    <n v="15.35"/>
    <x v="102"/>
    <n v="1"/>
    <n v="2.2999999999999998"/>
    <n v="0"/>
    <n v="0"/>
    <n v="2.2999999999999998"/>
    <x v="0"/>
    <x v="0"/>
    <x v="0"/>
    <x v="0"/>
    <n v="14"/>
    <e v="#N/A"/>
    <e v="#N/A"/>
  </r>
  <r>
    <n v="1428"/>
    <d v="2016-01-15T13:34:26"/>
    <d v="2016-01-15T13:49:26"/>
    <x v="1"/>
    <m/>
    <m/>
    <x v="0"/>
    <n v="70806"/>
    <n v="0"/>
    <d v="2016-01-15T13:52:25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1429"/>
    <d v="2016-01-15T12:19:11"/>
    <d v="2016-01-15T12:34:08"/>
    <x v="0"/>
    <m/>
    <m/>
    <x v="0"/>
    <n v="70805"/>
    <n v="0"/>
    <d v="2016-01-15T12:37:08"/>
    <n v="7.99"/>
    <x v="63"/>
    <n v="1"/>
    <n v="1"/>
    <n v="0"/>
    <n v="0"/>
    <n v="1"/>
    <x v="0"/>
    <x v="0"/>
    <x v="0"/>
    <x v="0"/>
    <n v="7"/>
    <e v="#N/A"/>
    <e v="#N/A"/>
  </r>
  <r>
    <n v="1430"/>
    <d v="2016-01-15T12:36:36"/>
    <d v="2016-01-15T12:51:36"/>
    <x v="0"/>
    <m/>
    <m/>
    <x v="1"/>
    <n v="70803"/>
    <n v="1.29283265150414"/>
    <d v="2016-01-15T12:58:03"/>
    <n v="7.99"/>
    <x v="626"/>
    <n v="1"/>
    <n v="1"/>
    <n v="0"/>
    <n v="0"/>
    <n v="1"/>
    <x v="613"/>
    <x v="0"/>
    <x v="731"/>
    <x v="407"/>
    <n v="7"/>
    <e v="#N/A"/>
    <e v="#N/A"/>
  </r>
  <r>
    <n v="1431"/>
    <d v="2016-01-15T13:05:15"/>
    <d v="2016-01-15T13:20:13"/>
    <x v="0"/>
    <s v="Medium"/>
    <m/>
    <x v="0"/>
    <n v="70805"/>
    <n v="0"/>
    <d v="2016-01-15T13:23:12"/>
    <n v="19.579999999999998"/>
    <x v="1"/>
    <n v="2"/>
    <n v="1"/>
    <n v="1.7"/>
    <n v="0"/>
    <n v="2.7"/>
    <x v="0"/>
    <x v="0"/>
    <x v="0"/>
    <x v="0"/>
    <n v="7"/>
    <n v="10"/>
    <e v="#N/A"/>
  </r>
  <r>
    <n v="1432"/>
    <d v="2016-01-15T11:15:28"/>
    <d v="2016-01-15T11:30:29"/>
    <x v="0"/>
    <m/>
    <m/>
    <x v="1"/>
    <n v="70804"/>
    <n v="3.2151253123589099"/>
    <d v="2016-01-15T11:46:33"/>
    <n v="7.99"/>
    <x v="627"/>
    <n v="1"/>
    <n v="1"/>
    <n v="0"/>
    <n v="0"/>
    <n v="1"/>
    <x v="614"/>
    <x v="1"/>
    <x v="732"/>
    <x v="0"/>
    <n v="7"/>
    <e v="#N/A"/>
    <e v="#N/A"/>
  </r>
  <r>
    <n v="1433"/>
    <d v="2016-01-15T12:37:46"/>
    <d v="2016-01-15T12:52:45"/>
    <x v="1"/>
    <m/>
    <m/>
    <x v="1"/>
    <n v="70807"/>
    <n v="3.7001527055119201"/>
    <d v="2016-01-15T13:11:15"/>
    <n v="15.35"/>
    <x v="628"/>
    <n v="1"/>
    <n v="2.2999999999999998"/>
    <n v="0"/>
    <n v="0"/>
    <n v="2.2999999999999998"/>
    <x v="615"/>
    <x v="1"/>
    <x v="733"/>
    <x v="0"/>
    <n v="14"/>
    <e v="#N/A"/>
    <e v="#N/A"/>
  </r>
  <r>
    <n v="1434"/>
    <d v="2016-01-15T12:37:32"/>
    <d v="2016-01-15T12:52:29"/>
    <x v="1"/>
    <m/>
    <m/>
    <x v="0"/>
    <n v="70804"/>
    <n v="0"/>
    <d v="2016-01-15T12:55:29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435"/>
    <d v="2016-01-15T11:43:40"/>
    <d v="2016-01-15T11:58:39"/>
    <x v="0"/>
    <s v="Medium"/>
    <m/>
    <x v="1"/>
    <n v="70807"/>
    <n v="1.58299192399289"/>
    <d v="2016-01-15T12:06:33"/>
    <n v="19.579999999999998"/>
    <x v="629"/>
    <n v="2"/>
    <n v="1"/>
    <n v="1.7"/>
    <n v="0"/>
    <n v="2.7"/>
    <x v="616"/>
    <x v="0"/>
    <x v="734"/>
    <x v="408"/>
    <n v="7"/>
    <n v="10"/>
    <e v="#N/A"/>
  </r>
  <r>
    <n v="1436"/>
    <d v="2016-01-15T10:16:07"/>
    <d v="2016-01-15T10:31:06"/>
    <x v="0"/>
    <m/>
    <m/>
    <x v="0"/>
    <n v="70806"/>
    <n v="0"/>
    <d v="2016-01-15T10:34:05"/>
    <n v="7.99"/>
    <x v="1"/>
    <n v="1"/>
    <n v="1"/>
    <n v="0"/>
    <n v="0"/>
    <n v="1"/>
    <x v="0"/>
    <x v="0"/>
    <x v="0"/>
    <x v="0"/>
    <n v="7"/>
    <e v="#N/A"/>
    <e v="#N/A"/>
  </r>
  <r>
    <n v="1437"/>
    <d v="2016-01-15T12:30:42"/>
    <d v="2016-01-15T12:45:41"/>
    <x v="2"/>
    <m/>
    <m/>
    <x v="0"/>
    <n v="70805"/>
    <n v="0"/>
    <d v="2016-01-15T12:48:42"/>
    <n v="11.59"/>
    <x v="56"/>
    <n v="1"/>
    <n v="1.7"/>
    <n v="0"/>
    <n v="0"/>
    <n v="1.7"/>
    <x v="0"/>
    <x v="0"/>
    <x v="0"/>
    <x v="0"/>
    <n v="10"/>
    <e v="#N/A"/>
    <e v="#N/A"/>
  </r>
  <r>
    <n v="1438"/>
    <d v="2016-01-15T12:20:11"/>
    <d v="2016-01-15T12:35:09"/>
    <x v="0"/>
    <s v="Medium"/>
    <m/>
    <x v="0"/>
    <n v="70805"/>
    <n v="0"/>
    <d v="2016-01-15T12:38:07"/>
    <n v="19.579999999999998"/>
    <x v="0"/>
    <n v="2"/>
    <n v="1"/>
    <n v="1.7"/>
    <n v="0"/>
    <n v="2.7"/>
    <x v="0"/>
    <x v="0"/>
    <x v="0"/>
    <x v="0"/>
    <n v="7"/>
    <n v="10"/>
    <e v="#N/A"/>
  </r>
  <r>
    <n v="1439"/>
    <d v="2016-01-15T13:31:51"/>
    <d v="2016-01-15T13:46:49"/>
    <x v="2"/>
    <m/>
    <m/>
    <x v="1"/>
    <n v="70803"/>
    <n v="2.7435719012633202"/>
    <d v="2016-01-15T14:00:32"/>
    <n v="11.59"/>
    <x v="630"/>
    <n v="1"/>
    <n v="1.7"/>
    <n v="0"/>
    <n v="0"/>
    <n v="1.7"/>
    <x v="617"/>
    <x v="0"/>
    <x v="735"/>
    <x v="409"/>
    <n v="10"/>
    <e v="#N/A"/>
    <e v="#N/A"/>
  </r>
  <r>
    <n v="1440"/>
    <d v="2016-01-15T12:05:21"/>
    <d v="2016-01-15T12:20:19"/>
    <x v="1"/>
    <m/>
    <m/>
    <x v="0"/>
    <n v="70804"/>
    <n v="0"/>
    <d v="2016-01-15T12:23:19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441"/>
    <d v="2016-01-15T11:36:19"/>
    <d v="2016-01-15T11:51:17"/>
    <x v="1"/>
    <m/>
    <m/>
    <x v="0"/>
    <n v="70805"/>
    <n v="0"/>
    <d v="2016-01-15T11:54:16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1442"/>
    <d v="2016-01-15T13:37:41"/>
    <d v="2016-01-15T13:52:41"/>
    <x v="0"/>
    <s v="Medium"/>
    <m/>
    <x v="1"/>
    <n v="70807"/>
    <n v="4.3124970280342696"/>
    <d v="2016-01-15T14:14:14"/>
    <n v="19.579999999999998"/>
    <x v="631"/>
    <n v="2"/>
    <n v="1"/>
    <n v="1.7"/>
    <n v="0"/>
    <n v="2.7"/>
    <x v="618"/>
    <x v="1"/>
    <x v="736"/>
    <x v="0"/>
    <n v="7"/>
    <n v="10"/>
    <e v="#N/A"/>
  </r>
  <r>
    <n v="1443"/>
    <d v="2016-01-15T12:18:19"/>
    <d v="2016-01-15T12:33:21"/>
    <x v="2"/>
    <m/>
    <m/>
    <x v="0"/>
    <n v="70805"/>
    <n v="0"/>
    <d v="2016-01-15T12:36:19"/>
    <n v="11.59"/>
    <x v="0"/>
    <n v="1"/>
    <n v="1.7"/>
    <n v="0"/>
    <n v="0"/>
    <n v="1.7"/>
    <x v="0"/>
    <x v="0"/>
    <x v="0"/>
    <x v="0"/>
    <n v="10"/>
    <e v="#N/A"/>
    <e v="#N/A"/>
  </r>
  <r>
    <n v="1444"/>
    <d v="2016-01-15T12:33:31"/>
    <d v="2016-01-15T12:48:31"/>
    <x v="0"/>
    <s v="Medium"/>
    <m/>
    <x v="0"/>
    <n v="70807"/>
    <n v="0"/>
    <d v="2016-01-15T12:51:32"/>
    <n v="19.579999999999998"/>
    <x v="56"/>
    <n v="2"/>
    <n v="1"/>
    <n v="1.7"/>
    <n v="0"/>
    <n v="2.7"/>
    <x v="0"/>
    <x v="0"/>
    <x v="0"/>
    <x v="0"/>
    <n v="7"/>
    <n v="10"/>
    <e v="#N/A"/>
  </r>
  <r>
    <n v="1445"/>
    <d v="2016-01-15T12:45:10"/>
    <d v="2016-01-15T13:00:10"/>
    <x v="1"/>
    <m/>
    <m/>
    <x v="1"/>
    <n v="70804"/>
    <n v="2.1088836788949799"/>
    <d v="2016-01-15T13:10:42"/>
    <n v="15.35"/>
    <x v="339"/>
    <n v="1"/>
    <n v="2.2999999999999998"/>
    <n v="0"/>
    <n v="0"/>
    <n v="2.2999999999999998"/>
    <x v="326"/>
    <x v="0"/>
    <x v="737"/>
    <x v="410"/>
    <n v="14"/>
    <e v="#N/A"/>
    <e v="#N/A"/>
  </r>
  <r>
    <n v="1446"/>
    <d v="2016-01-15T11:14:32"/>
    <d v="2016-01-15T11:29:31"/>
    <x v="2"/>
    <m/>
    <m/>
    <x v="1"/>
    <n v="70804"/>
    <n v="3.47424357854563"/>
    <d v="2016-01-15T11:46:53"/>
    <n v="11.59"/>
    <x v="632"/>
    <n v="1"/>
    <n v="1.7"/>
    <n v="0"/>
    <n v="0"/>
    <n v="1.7"/>
    <x v="619"/>
    <x v="1"/>
    <x v="738"/>
    <x v="0"/>
    <n v="10"/>
    <e v="#N/A"/>
    <e v="#N/A"/>
  </r>
  <r>
    <n v="1447"/>
    <d v="2016-01-15T13:48:31"/>
    <d v="2016-01-15T14:03:31"/>
    <x v="2"/>
    <s v="Large"/>
    <m/>
    <x v="0"/>
    <n v="70805"/>
    <n v="0"/>
    <d v="2016-01-15T14:06:30"/>
    <n v="25.94"/>
    <x v="1"/>
    <n v="2"/>
    <n v="1.7"/>
    <n v="2.2999999999999998"/>
    <n v="0"/>
    <n v="4"/>
    <x v="0"/>
    <x v="0"/>
    <x v="0"/>
    <x v="0"/>
    <n v="10"/>
    <n v="14"/>
    <e v="#N/A"/>
  </r>
  <r>
    <n v="1448"/>
    <d v="2016-01-15T13:51:25"/>
    <d v="2016-01-15T14:06:26"/>
    <x v="2"/>
    <m/>
    <m/>
    <x v="0"/>
    <n v="70803"/>
    <n v="0"/>
    <d v="2016-01-15T14:09:26"/>
    <n v="11.59"/>
    <x v="2"/>
    <n v="1"/>
    <n v="1.7"/>
    <n v="0"/>
    <n v="0"/>
    <n v="1.7"/>
    <x v="0"/>
    <x v="0"/>
    <x v="0"/>
    <x v="0"/>
    <n v="10"/>
    <e v="#N/A"/>
    <e v="#N/A"/>
  </r>
  <r>
    <n v="1449"/>
    <d v="2016-01-15T11:40:11"/>
    <d v="2016-01-15T11:55:12"/>
    <x v="2"/>
    <m/>
    <m/>
    <x v="0"/>
    <n v="70806"/>
    <n v="0"/>
    <d v="2016-01-15T11:58:12"/>
    <n v="11.59"/>
    <x v="2"/>
    <n v="1"/>
    <n v="1.7"/>
    <n v="0"/>
    <n v="0"/>
    <n v="1.7"/>
    <x v="0"/>
    <x v="0"/>
    <x v="0"/>
    <x v="0"/>
    <n v="10"/>
    <e v="#N/A"/>
    <e v="#N/A"/>
  </r>
  <r>
    <n v="1450"/>
    <d v="2016-01-15T12:31:34"/>
    <d v="2016-01-15T12:46:34"/>
    <x v="0"/>
    <m/>
    <m/>
    <x v="1"/>
    <n v="70804"/>
    <n v="2.2557557448441199"/>
    <d v="2016-01-15T12:57:50"/>
    <n v="7.99"/>
    <x v="633"/>
    <n v="1"/>
    <n v="1"/>
    <n v="0"/>
    <n v="0"/>
    <n v="1"/>
    <x v="620"/>
    <x v="0"/>
    <x v="739"/>
    <x v="411"/>
    <n v="7"/>
    <e v="#N/A"/>
    <e v="#N/A"/>
  </r>
  <r>
    <n v="1451"/>
    <d v="2016-01-15T11:18:34"/>
    <d v="2016-01-15T11:33:33"/>
    <x v="2"/>
    <m/>
    <m/>
    <x v="1"/>
    <n v="70805"/>
    <n v="4.3980134060995804"/>
    <d v="2016-01-15T11:55:32"/>
    <n v="11.59"/>
    <x v="634"/>
    <n v="1"/>
    <n v="1.7"/>
    <n v="0"/>
    <n v="0"/>
    <n v="1.7"/>
    <x v="621"/>
    <x v="1"/>
    <x v="740"/>
    <x v="0"/>
    <n v="10"/>
    <e v="#N/A"/>
    <e v="#N/A"/>
  </r>
  <r>
    <n v="1452"/>
    <d v="2016-01-15T11:49:29"/>
    <d v="2016-01-15T12:04:30"/>
    <x v="0"/>
    <s v="Medium"/>
    <m/>
    <x v="1"/>
    <n v="70804"/>
    <n v="2.9777260476284999"/>
    <d v="2016-01-15T12:19:23"/>
    <n v="19.579999999999998"/>
    <x v="635"/>
    <n v="2"/>
    <n v="1"/>
    <n v="1.7"/>
    <n v="0"/>
    <n v="2.7"/>
    <x v="622"/>
    <x v="0"/>
    <x v="741"/>
    <x v="412"/>
    <n v="7"/>
    <n v="10"/>
    <e v="#N/A"/>
  </r>
  <r>
    <n v="1453"/>
    <d v="2016-01-15T12:01:12"/>
    <d v="2016-01-15T12:16:11"/>
    <x v="1"/>
    <m/>
    <m/>
    <x v="1"/>
    <n v="70806"/>
    <n v="5.6788347040169702"/>
    <d v="2016-01-15T12:44:34"/>
    <n v="15.35"/>
    <x v="636"/>
    <n v="1"/>
    <n v="2.2999999999999998"/>
    <n v="0"/>
    <n v="0"/>
    <n v="2.2999999999999998"/>
    <x v="623"/>
    <x v="1"/>
    <x v="742"/>
    <x v="0"/>
    <n v="14"/>
    <e v="#N/A"/>
    <e v="#N/A"/>
  </r>
  <r>
    <n v="1454"/>
    <d v="2016-01-15T10:04:54"/>
    <d v="2016-01-15T10:19:54"/>
    <x v="0"/>
    <m/>
    <m/>
    <x v="1"/>
    <n v="70805"/>
    <n v="1.5187440581186999"/>
    <d v="2016-01-15T10:27:29"/>
    <n v="7.99"/>
    <x v="637"/>
    <n v="1"/>
    <n v="1"/>
    <n v="0"/>
    <n v="0"/>
    <n v="1"/>
    <x v="624"/>
    <x v="0"/>
    <x v="743"/>
    <x v="413"/>
    <n v="7"/>
    <e v="#N/A"/>
    <e v="#N/A"/>
  </r>
  <r>
    <n v="1455"/>
    <d v="2016-01-15T11:13:23"/>
    <d v="2016-01-15T11:28:21"/>
    <x v="1"/>
    <m/>
    <m/>
    <x v="0"/>
    <n v="70803"/>
    <n v="0"/>
    <d v="2016-01-15T11:31:22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1456"/>
    <d v="2016-01-15T10:20:39"/>
    <d v="2016-01-15T10:35:40"/>
    <x v="0"/>
    <m/>
    <m/>
    <x v="1"/>
    <n v="70806"/>
    <n v="4.4564730466691298"/>
    <d v="2016-01-15T10:57:56"/>
    <n v="7.99"/>
    <x v="12"/>
    <n v="1"/>
    <n v="1"/>
    <n v="0"/>
    <n v="0"/>
    <n v="1"/>
    <x v="10"/>
    <x v="1"/>
    <x v="744"/>
    <x v="0"/>
    <n v="7"/>
    <e v="#N/A"/>
    <e v="#N/A"/>
  </r>
  <r>
    <n v="1457"/>
    <d v="2016-01-15T12:33:13"/>
    <d v="2016-01-15T12:48:14"/>
    <x v="1"/>
    <m/>
    <m/>
    <x v="0"/>
    <n v="70807"/>
    <n v="0"/>
    <d v="2016-01-15T12:51:13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1458"/>
    <d v="2016-01-15T12:03:07"/>
    <d v="2016-01-15T12:18:07"/>
    <x v="2"/>
    <m/>
    <m/>
    <x v="1"/>
    <n v="70803"/>
    <n v="4.0107425739059197"/>
    <d v="2016-01-15T12:38:10"/>
    <n v="11.59"/>
    <x v="638"/>
    <n v="1"/>
    <n v="1.7"/>
    <n v="0"/>
    <n v="0"/>
    <n v="1.7"/>
    <x v="625"/>
    <x v="1"/>
    <x v="745"/>
    <x v="0"/>
    <n v="10"/>
    <e v="#N/A"/>
    <e v="#N/A"/>
  </r>
  <r>
    <n v="1459"/>
    <d v="2016-01-15T11:53:16"/>
    <d v="2016-01-15T12:08:17"/>
    <x v="1"/>
    <m/>
    <m/>
    <x v="1"/>
    <n v="70804"/>
    <n v="3.8648232711881199"/>
    <d v="2016-01-15T12:27:36"/>
    <n v="15.35"/>
    <x v="411"/>
    <n v="1"/>
    <n v="2.2999999999999998"/>
    <n v="0"/>
    <n v="0"/>
    <n v="2.2999999999999998"/>
    <x v="398"/>
    <x v="1"/>
    <x v="746"/>
    <x v="0"/>
    <n v="14"/>
    <e v="#N/A"/>
    <e v="#N/A"/>
  </r>
  <r>
    <n v="1460"/>
    <d v="2016-01-15T11:52:07"/>
    <d v="2016-01-15T12:07:05"/>
    <x v="0"/>
    <m/>
    <m/>
    <x v="1"/>
    <n v="70805"/>
    <n v="1.4908358283422201"/>
    <d v="2016-01-15T12:14:32"/>
    <n v="7.99"/>
    <x v="639"/>
    <n v="1"/>
    <n v="1"/>
    <n v="0"/>
    <n v="0"/>
    <n v="1"/>
    <x v="626"/>
    <x v="0"/>
    <x v="747"/>
    <x v="414"/>
    <n v="7"/>
    <e v="#N/A"/>
    <e v="#N/A"/>
  </r>
  <r>
    <n v="1461"/>
    <d v="2016-01-15T12:40:32"/>
    <d v="2016-01-15T12:55:33"/>
    <x v="1"/>
    <m/>
    <m/>
    <x v="0"/>
    <n v="70803"/>
    <n v="0"/>
    <d v="2016-01-15T12:58:32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1462"/>
    <d v="2016-01-15T12:43:22"/>
    <d v="2016-01-15T12:58:21"/>
    <x v="0"/>
    <s v="Large"/>
    <m/>
    <x v="1"/>
    <n v="70804"/>
    <n v="4.3295274065632503"/>
    <d v="2016-01-15T13:19:59"/>
    <n v="23.34"/>
    <x v="337"/>
    <n v="2"/>
    <n v="1"/>
    <n v="2.2999999999999998"/>
    <n v="0"/>
    <n v="3.3"/>
    <x v="324"/>
    <x v="1"/>
    <x v="748"/>
    <x v="0"/>
    <n v="7"/>
    <n v="14"/>
    <e v="#N/A"/>
  </r>
  <r>
    <n v="1463"/>
    <d v="2016-01-15T11:31:13"/>
    <d v="2016-01-15T11:46:13"/>
    <x v="0"/>
    <m/>
    <m/>
    <x v="1"/>
    <n v="70805"/>
    <n v="3.6590756221118501"/>
    <d v="2016-01-15T12:04:30"/>
    <n v="7.99"/>
    <x v="80"/>
    <n v="1"/>
    <n v="1"/>
    <n v="0"/>
    <n v="0"/>
    <n v="1"/>
    <x v="71"/>
    <x v="1"/>
    <x v="749"/>
    <x v="0"/>
    <n v="7"/>
    <e v="#N/A"/>
    <e v="#N/A"/>
  </r>
  <r>
    <n v="1464"/>
    <d v="2016-01-15T12:45:17"/>
    <d v="2016-01-15T13:00:17"/>
    <x v="0"/>
    <m/>
    <m/>
    <x v="0"/>
    <n v="70804"/>
    <n v="0"/>
    <d v="2016-01-15T13:03:17"/>
    <n v="7.99"/>
    <x v="2"/>
    <n v="1"/>
    <n v="1"/>
    <n v="0"/>
    <n v="0"/>
    <n v="1"/>
    <x v="0"/>
    <x v="0"/>
    <x v="0"/>
    <x v="0"/>
    <n v="7"/>
    <e v="#N/A"/>
    <e v="#N/A"/>
  </r>
  <r>
    <n v="1465"/>
    <d v="2016-01-15T12:47:58"/>
    <d v="2016-01-15T13:02:58"/>
    <x v="2"/>
    <m/>
    <m/>
    <x v="0"/>
    <n v="70805"/>
    <n v="0"/>
    <d v="2016-01-15T13:05:58"/>
    <n v="11.59"/>
    <x v="2"/>
    <n v="1"/>
    <n v="1.7"/>
    <n v="0"/>
    <n v="0"/>
    <n v="1.7"/>
    <x v="0"/>
    <x v="0"/>
    <x v="0"/>
    <x v="0"/>
    <n v="10"/>
    <e v="#N/A"/>
    <e v="#N/A"/>
  </r>
  <r>
    <n v="1466"/>
    <d v="2016-01-15T12:06:32"/>
    <d v="2016-01-15T12:21:32"/>
    <x v="2"/>
    <m/>
    <m/>
    <x v="0"/>
    <n v="70805"/>
    <n v="0"/>
    <d v="2016-01-15T12:24:33"/>
    <n v="11.59"/>
    <x v="56"/>
    <n v="1"/>
    <n v="1.7"/>
    <n v="0"/>
    <n v="0"/>
    <n v="1.7"/>
    <x v="0"/>
    <x v="0"/>
    <x v="0"/>
    <x v="0"/>
    <n v="10"/>
    <e v="#N/A"/>
    <e v="#N/A"/>
  </r>
  <r>
    <n v="1467"/>
    <d v="2016-01-15T10:05:26"/>
    <d v="2016-01-15T10:20:27"/>
    <x v="1"/>
    <m/>
    <m/>
    <x v="1"/>
    <n v="70803"/>
    <n v="2.7262808506313898"/>
    <d v="2016-01-15T10:34:04"/>
    <n v="15.35"/>
    <x v="453"/>
    <n v="1"/>
    <n v="2.2999999999999998"/>
    <n v="0"/>
    <n v="0"/>
    <n v="2.2999999999999998"/>
    <x v="440"/>
    <x v="0"/>
    <x v="750"/>
    <x v="415"/>
    <n v="14"/>
    <e v="#N/A"/>
    <e v="#N/A"/>
  </r>
  <r>
    <n v="1468"/>
    <d v="2016-01-15T11:14:39"/>
    <d v="2016-01-15T11:29:37"/>
    <x v="0"/>
    <s v="Medium"/>
    <m/>
    <x v="0"/>
    <n v="70808"/>
    <n v="0"/>
    <d v="2016-01-15T11:32:36"/>
    <n v="19.579999999999998"/>
    <x v="24"/>
    <n v="2"/>
    <n v="1"/>
    <n v="1.7"/>
    <n v="0"/>
    <n v="2.7"/>
    <x v="0"/>
    <x v="0"/>
    <x v="0"/>
    <x v="0"/>
    <n v="7"/>
    <n v="10"/>
    <e v="#N/A"/>
  </r>
  <r>
    <n v="1469"/>
    <d v="2016-01-15T14:09:34"/>
    <d v="2016-01-15T14:24:35"/>
    <x v="2"/>
    <m/>
    <m/>
    <x v="0"/>
    <n v="70806"/>
    <n v="0"/>
    <d v="2016-01-15T14:27:34"/>
    <n v="11.59"/>
    <x v="1"/>
    <n v="1"/>
    <n v="1.7"/>
    <n v="0"/>
    <n v="0"/>
    <n v="1.7"/>
    <x v="0"/>
    <x v="0"/>
    <x v="0"/>
    <x v="0"/>
    <n v="10"/>
    <e v="#N/A"/>
    <e v="#N/A"/>
  </r>
  <r>
    <n v="1470"/>
    <d v="2016-01-15T10:58:27"/>
    <d v="2016-01-15T11:13:25"/>
    <x v="2"/>
    <m/>
    <m/>
    <x v="0"/>
    <n v="70805"/>
    <n v="0"/>
    <d v="2016-01-15T11:16:25"/>
    <n v="11.59"/>
    <x v="2"/>
    <n v="1"/>
    <n v="1.7"/>
    <n v="0"/>
    <n v="0"/>
    <n v="1.7"/>
    <x v="0"/>
    <x v="0"/>
    <x v="0"/>
    <x v="0"/>
    <n v="10"/>
    <e v="#N/A"/>
    <e v="#N/A"/>
  </r>
  <r>
    <n v="1471"/>
    <d v="2016-01-15T12:29:32"/>
    <d v="2016-01-15T12:44:32"/>
    <x v="0"/>
    <s v="Large"/>
    <m/>
    <x v="0"/>
    <n v="70806"/>
    <n v="0"/>
    <d v="2016-01-15T12:47:31"/>
    <n v="23.34"/>
    <x v="1"/>
    <n v="2"/>
    <n v="1"/>
    <n v="2.2999999999999998"/>
    <n v="0"/>
    <n v="3.3"/>
    <x v="0"/>
    <x v="0"/>
    <x v="0"/>
    <x v="0"/>
    <n v="7"/>
    <n v="14"/>
    <e v="#N/A"/>
  </r>
  <r>
    <n v="1472"/>
    <d v="2016-01-15T12:35:39"/>
    <d v="2016-01-15T12:50:37"/>
    <x v="0"/>
    <s v="Medium"/>
    <m/>
    <x v="1"/>
    <n v="70804"/>
    <n v="2.5320635649657399"/>
    <d v="2016-01-15T13:03:16"/>
    <n v="19.579999999999998"/>
    <x v="640"/>
    <n v="2"/>
    <n v="1"/>
    <n v="1.7"/>
    <n v="0"/>
    <n v="2.7"/>
    <x v="627"/>
    <x v="0"/>
    <x v="751"/>
    <x v="416"/>
    <n v="7"/>
    <n v="10"/>
    <e v="#N/A"/>
  </r>
  <r>
    <n v="1473"/>
    <d v="2016-01-15T11:13:41"/>
    <d v="2016-01-15T11:28:41"/>
    <x v="0"/>
    <s v="Medium"/>
    <m/>
    <x v="0"/>
    <n v="70805"/>
    <n v="0"/>
    <d v="2016-01-15T11:31:40"/>
    <n v="19.579999999999998"/>
    <x v="24"/>
    <n v="2"/>
    <n v="1"/>
    <n v="1.7"/>
    <n v="0"/>
    <n v="2.7"/>
    <x v="0"/>
    <x v="0"/>
    <x v="0"/>
    <x v="0"/>
    <n v="7"/>
    <n v="10"/>
    <e v="#N/A"/>
  </r>
  <r>
    <n v="1474"/>
    <d v="2016-01-15T11:17:11"/>
    <d v="2016-01-15T11:32:11"/>
    <x v="0"/>
    <s v="Medium"/>
    <m/>
    <x v="0"/>
    <n v="70805"/>
    <n v="0"/>
    <d v="2016-01-15T11:35:11"/>
    <n v="19.579999999999998"/>
    <x v="2"/>
    <n v="2"/>
    <n v="1"/>
    <n v="1.7"/>
    <n v="0"/>
    <n v="2.7"/>
    <x v="0"/>
    <x v="0"/>
    <x v="0"/>
    <x v="0"/>
    <n v="7"/>
    <n v="10"/>
    <e v="#N/A"/>
  </r>
  <r>
    <n v="1475"/>
    <d v="2016-01-15T13:42:13"/>
    <d v="2016-01-15T13:57:14"/>
    <x v="0"/>
    <s v="Medium"/>
    <m/>
    <x v="0"/>
    <n v="70805"/>
    <n v="0"/>
    <d v="2016-01-15T14:00:15"/>
    <n v="19.579999999999998"/>
    <x v="14"/>
    <n v="2"/>
    <n v="1"/>
    <n v="1.7"/>
    <n v="0"/>
    <n v="2.7"/>
    <x v="0"/>
    <x v="0"/>
    <x v="0"/>
    <x v="0"/>
    <n v="7"/>
    <n v="10"/>
    <e v="#N/A"/>
  </r>
  <r>
    <n v="1476"/>
    <d v="2016-01-15T12:31:38"/>
    <d v="2016-01-15T12:46:38"/>
    <x v="0"/>
    <m/>
    <m/>
    <x v="0"/>
    <n v="70806"/>
    <n v="0"/>
    <d v="2016-01-15T12:49:36"/>
    <n v="7.99"/>
    <x v="19"/>
    <n v="1"/>
    <n v="1"/>
    <n v="0"/>
    <n v="0"/>
    <n v="1"/>
    <x v="0"/>
    <x v="0"/>
    <x v="0"/>
    <x v="0"/>
    <n v="7"/>
    <e v="#N/A"/>
    <e v="#N/A"/>
  </r>
  <r>
    <n v="1477"/>
    <d v="2016-01-15T12:51:55"/>
    <d v="2016-01-15T13:06:55"/>
    <x v="0"/>
    <s v="Medium"/>
    <m/>
    <x v="0"/>
    <n v="70804"/>
    <n v="0"/>
    <d v="2016-01-15T13:09:55"/>
    <n v="19.579999999999998"/>
    <x v="2"/>
    <n v="2"/>
    <n v="1"/>
    <n v="1.7"/>
    <n v="0"/>
    <n v="2.7"/>
    <x v="0"/>
    <x v="0"/>
    <x v="0"/>
    <x v="0"/>
    <n v="7"/>
    <n v="10"/>
    <e v="#N/A"/>
  </r>
  <r>
    <n v="1478"/>
    <d v="2016-01-15T11:35:23"/>
    <d v="2016-01-15T11:50:21"/>
    <x v="1"/>
    <m/>
    <m/>
    <x v="1"/>
    <n v="70806"/>
    <n v="2.9128691247071501"/>
    <d v="2016-01-15T12:04:54"/>
    <n v="15.35"/>
    <x v="256"/>
    <n v="1"/>
    <n v="2.2999999999999998"/>
    <n v="0"/>
    <n v="0"/>
    <n v="2.2999999999999998"/>
    <x v="243"/>
    <x v="0"/>
    <x v="752"/>
    <x v="417"/>
    <n v="14"/>
    <e v="#N/A"/>
    <e v="#N/A"/>
  </r>
  <r>
    <n v="1479"/>
    <d v="2016-01-15T10:47:44"/>
    <d v="2016-01-15T11:02:43"/>
    <x v="1"/>
    <m/>
    <m/>
    <x v="1"/>
    <n v="70804"/>
    <n v="0.67596521174083202"/>
    <d v="2016-01-15T11:06:05"/>
    <n v="15.35"/>
    <x v="641"/>
    <n v="1"/>
    <n v="2.2999999999999998"/>
    <n v="0"/>
    <n v="0"/>
    <n v="2.2999999999999998"/>
    <x v="628"/>
    <x v="0"/>
    <x v="753"/>
    <x v="418"/>
    <n v="14"/>
    <e v="#N/A"/>
    <e v="#N/A"/>
  </r>
  <r>
    <n v="1480"/>
    <d v="2016-01-15T12:52:19"/>
    <d v="2016-01-15T13:07:19"/>
    <x v="0"/>
    <s v="Medium"/>
    <m/>
    <x v="1"/>
    <n v="70805"/>
    <n v="5.1379089968484601"/>
    <d v="2016-01-15T13:33:00"/>
    <n v="19.579999999999998"/>
    <x v="642"/>
    <n v="2"/>
    <n v="1"/>
    <n v="1.7"/>
    <n v="0"/>
    <n v="2.7"/>
    <x v="629"/>
    <x v="1"/>
    <x v="754"/>
    <x v="0"/>
    <n v="7"/>
    <n v="10"/>
    <e v="#N/A"/>
  </r>
  <r>
    <n v="1481"/>
    <d v="2016-01-15T11:07:47"/>
    <d v="2016-01-15T11:22:48"/>
    <x v="1"/>
    <m/>
    <m/>
    <x v="1"/>
    <n v="70805"/>
    <n v="2.6640946008201398"/>
    <d v="2016-01-15T11:36:07"/>
    <n v="15.35"/>
    <x v="180"/>
    <n v="1"/>
    <n v="2.2999999999999998"/>
    <n v="0"/>
    <n v="0"/>
    <n v="2.2999999999999998"/>
    <x v="168"/>
    <x v="0"/>
    <x v="755"/>
    <x v="419"/>
    <n v="14"/>
    <e v="#N/A"/>
    <e v="#N/A"/>
  </r>
  <r>
    <n v="1482"/>
    <d v="2016-01-15T12:59:01"/>
    <d v="2016-01-15T13:14:02"/>
    <x v="0"/>
    <s v="Large"/>
    <m/>
    <x v="0"/>
    <n v="70805"/>
    <n v="0"/>
    <d v="2016-01-15T13:17:00"/>
    <n v="23.34"/>
    <x v="0"/>
    <n v="2"/>
    <n v="1"/>
    <n v="2.2999999999999998"/>
    <n v="0"/>
    <n v="3.3"/>
    <x v="0"/>
    <x v="0"/>
    <x v="0"/>
    <x v="0"/>
    <n v="7"/>
    <n v="14"/>
    <e v="#N/A"/>
  </r>
  <r>
    <n v="1483"/>
    <d v="2016-01-15T14:13:45"/>
    <d v="2016-01-15T14:28:42"/>
    <x v="1"/>
    <m/>
    <m/>
    <x v="1"/>
    <n v="70804"/>
    <n v="6.0262860107950997"/>
    <d v="2016-01-15T14:58:49"/>
    <n v="15.35"/>
    <x v="643"/>
    <n v="1"/>
    <n v="2.2999999999999998"/>
    <n v="0"/>
    <n v="0"/>
    <n v="2.2999999999999998"/>
    <x v="630"/>
    <x v="1"/>
    <x v="756"/>
    <x v="0"/>
    <n v="14"/>
    <e v="#N/A"/>
    <e v="#N/A"/>
  </r>
  <r>
    <n v="1484"/>
    <d v="2016-01-15T11:32:38"/>
    <d v="2016-01-15T11:47:38"/>
    <x v="2"/>
    <m/>
    <m/>
    <x v="1"/>
    <n v="70804"/>
    <n v="2.4311442521818298"/>
    <d v="2016-01-15T11:59:47"/>
    <n v="11.59"/>
    <x v="424"/>
    <n v="1"/>
    <n v="1.7"/>
    <n v="0"/>
    <n v="0"/>
    <n v="1.7"/>
    <x v="411"/>
    <x v="0"/>
    <x v="757"/>
    <x v="420"/>
    <n v="10"/>
    <e v="#N/A"/>
    <e v="#N/A"/>
  </r>
  <r>
    <n v="1485"/>
    <d v="2016-01-15T11:56:16"/>
    <d v="2016-01-15T12:11:15"/>
    <x v="2"/>
    <m/>
    <m/>
    <x v="0"/>
    <n v="70804"/>
    <n v="0"/>
    <d v="2016-01-15T12:14:13"/>
    <n v="11.59"/>
    <x v="0"/>
    <n v="1"/>
    <n v="1.7"/>
    <n v="0"/>
    <n v="0"/>
    <n v="1.7"/>
    <x v="0"/>
    <x v="0"/>
    <x v="0"/>
    <x v="0"/>
    <n v="10"/>
    <e v="#N/A"/>
    <e v="#N/A"/>
  </r>
  <r>
    <n v="1486"/>
    <d v="2016-01-15T11:28:37"/>
    <d v="2016-01-15T11:43:36"/>
    <x v="2"/>
    <m/>
    <m/>
    <x v="0"/>
    <n v="70803"/>
    <n v="0"/>
    <d v="2016-01-15T11:46:37"/>
    <n v="11.59"/>
    <x v="14"/>
    <n v="1"/>
    <n v="1.7"/>
    <n v="0"/>
    <n v="0"/>
    <n v="1.7"/>
    <x v="0"/>
    <x v="0"/>
    <x v="0"/>
    <x v="0"/>
    <n v="10"/>
    <e v="#N/A"/>
    <e v="#N/A"/>
  </r>
  <r>
    <n v="1487"/>
    <d v="2016-01-15T11:06:05"/>
    <d v="2016-01-15T11:21:05"/>
    <x v="1"/>
    <m/>
    <m/>
    <x v="1"/>
    <n v="70804"/>
    <n v="2.4228389394357102"/>
    <d v="2016-01-15T11:33:11"/>
    <n v="15.35"/>
    <x v="644"/>
    <n v="1"/>
    <n v="2.2999999999999998"/>
    <n v="0"/>
    <n v="0"/>
    <n v="2.2999999999999998"/>
    <x v="631"/>
    <x v="0"/>
    <x v="758"/>
    <x v="421"/>
    <n v="14"/>
    <e v="#N/A"/>
    <e v="#N/A"/>
  </r>
  <r>
    <n v="1488"/>
    <d v="2016-01-15T11:25:40"/>
    <d v="2016-01-15T11:40:38"/>
    <x v="1"/>
    <m/>
    <m/>
    <x v="1"/>
    <n v="70804"/>
    <n v="3.97112199346246"/>
    <d v="2016-01-15T12:00:29"/>
    <n v="15.35"/>
    <x v="645"/>
    <n v="1"/>
    <n v="2.2999999999999998"/>
    <n v="0"/>
    <n v="0"/>
    <n v="2.2999999999999998"/>
    <x v="632"/>
    <x v="1"/>
    <x v="759"/>
    <x v="0"/>
    <n v="14"/>
    <e v="#N/A"/>
    <e v="#N/A"/>
  </r>
  <r>
    <n v="1489"/>
    <d v="2016-01-15T12:18:59"/>
    <d v="2016-01-15T12:33:59"/>
    <x v="1"/>
    <m/>
    <m/>
    <x v="0"/>
    <n v="70807"/>
    <n v="0"/>
    <d v="2016-01-15T12:36:59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490"/>
    <d v="2016-01-15T10:46:19"/>
    <d v="2016-01-15T11:01:17"/>
    <x v="0"/>
    <s v="Large"/>
    <m/>
    <x v="0"/>
    <n v="70805"/>
    <n v="0"/>
    <d v="2016-01-15T11:04:16"/>
    <n v="23.34"/>
    <x v="24"/>
    <n v="2"/>
    <n v="1"/>
    <n v="2.2999999999999998"/>
    <n v="0"/>
    <n v="3.3"/>
    <x v="0"/>
    <x v="0"/>
    <x v="0"/>
    <x v="0"/>
    <n v="7"/>
    <n v="14"/>
    <e v="#N/A"/>
  </r>
  <r>
    <n v="1491"/>
    <d v="2016-01-15T13:22:04"/>
    <d v="2016-01-15T13:37:04"/>
    <x v="1"/>
    <m/>
    <m/>
    <x v="0"/>
    <n v="70805"/>
    <n v="0"/>
    <d v="2016-01-15T13:40:03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1492"/>
    <d v="2016-01-15T11:05:10"/>
    <d v="2016-01-15T11:20:12"/>
    <x v="0"/>
    <m/>
    <m/>
    <x v="1"/>
    <n v="70805"/>
    <n v="2.8258600289238598"/>
    <d v="2016-01-15T11:34:19"/>
    <n v="7.99"/>
    <x v="83"/>
    <n v="1"/>
    <n v="1"/>
    <n v="0"/>
    <n v="0"/>
    <n v="1"/>
    <x v="74"/>
    <x v="0"/>
    <x v="760"/>
    <x v="422"/>
    <n v="7"/>
    <e v="#N/A"/>
    <e v="#N/A"/>
  </r>
  <r>
    <n v="1493"/>
    <d v="2016-01-15T11:58:33"/>
    <d v="2016-01-15T12:13:33"/>
    <x v="1"/>
    <m/>
    <m/>
    <x v="1"/>
    <n v="70803"/>
    <n v="2.8273028164035998"/>
    <d v="2016-01-15T12:27:41"/>
    <n v="15.35"/>
    <x v="512"/>
    <n v="1"/>
    <n v="2.2999999999999998"/>
    <n v="0"/>
    <n v="0"/>
    <n v="2.2999999999999998"/>
    <x v="499"/>
    <x v="0"/>
    <x v="761"/>
    <x v="423"/>
    <n v="14"/>
    <e v="#N/A"/>
    <e v="#N/A"/>
  </r>
  <r>
    <n v="1494"/>
    <d v="2016-01-15T12:17:34"/>
    <d v="2016-01-15T12:32:32"/>
    <x v="2"/>
    <m/>
    <m/>
    <x v="0"/>
    <n v="70806"/>
    <n v="0"/>
    <d v="2016-01-15T12:35:32"/>
    <n v="11.59"/>
    <x v="2"/>
    <n v="1"/>
    <n v="1.7"/>
    <n v="0"/>
    <n v="0"/>
    <n v="1.7"/>
    <x v="0"/>
    <x v="0"/>
    <x v="0"/>
    <x v="0"/>
    <n v="10"/>
    <e v="#N/A"/>
    <e v="#N/A"/>
  </r>
  <r>
    <n v="1495"/>
    <d v="2016-01-15T12:06:45"/>
    <d v="2016-01-15T12:21:44"/>
    <x v="1"/>
    <m/>
    <m/>
    <x v="1"/>
    <n v="70804"/>
    <n v="4.6139872192451197"/>
    <d v="2016-01-15T12:44:48"/>
    <n v="15.35"/>
    <x v="646"/>
    <n v="1"/>
    <n v="2.2999999999999998"/>
    <n v="0"/>
    <n v="0"/>
    <n v="2.2999999999999998"/>
    <x v="633"/>
    <x v="1"/>
    <x v="762"/>
    <x v="0"/>
    <n v="14"/>
    <e v="#N/A"/>
    <e v="#N/A"/>
  </r>
  <r>
    <n v="1496"/>
    <d v="2016-01-15T12:30:29"/>
    <d v="2016-01-15T12:45:30"/>
    <x v="1"/>
    <m/>
    <m/>
    <x v="1"/>
    <n v="70806"/>
    <n v="2.3301394650990499"/>
    <d v="2016-01-15T12:57:09"/>
    <n v="15.35"/>
    <x v="356"/>
    <n v="1"/>
    <n v="2.2999999999999998"/>
    <n v="0"/>
    <n v="0"/>
    <n v="2.2999999999999998"/>
    <x v="343"/>
    <x v="0"/>
    <x v="763"/>
    <x v="424"/>
    <n v="14"/>
    <e v="#N/A"/>
    <e v="#N/A"/>
  </r>
  <r>
    <n v="1497"/>
    <d v="2016-01-15T12:55:13"/>
    <d v="2016-01-15T13:10:13"/>
    <x v="0"/>
    <m/>
    <m/>
    <x v="1"/>
    <n v="70808"/>
    <n v="0.49409141066170598"/>
    <d v="2016-01-15T13:12:41"/>
    <n v="7.99"/>
    <x v="647"/>
    <n v="1"/>
    <n v="1"/>
    <n v="0"/>
    <n v="0"/>
    <n v="1"/>
    <x v="634"/>
    <x v="0"/>
    <x v="764"/>
    <x v="425"/>
    <n v="7"/>
    <e v="#N/A"/>
    <e v="#N/A"/>
  </r>
  <r>
    <n v="1498"/>
    <d v="2016-01-15T12:29:42"/>
    <d v="2016-01-15T12:44:41"/>
    <x v="1"/>
    <m/>
    <m/>
    <x v="0"/>
    <n v="70804"/>
    <n v="0"/>
    <d v="2016-01-15T12:47:41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499"/>
    <d v="2016-01-15T11:48:50"/>
    <d v="2016-01-15T12:03:49"/>
    <x v="0"/>
    <s v="Large"/>
    <m/>
    <x v="1"/>
    <n v="70806"/>
    <n v="3.64231542397917"/>
    <d v="2016-01-15T12:22:01"/>
    <n v="23.34"/>
    <x v="648"/>
    <n v="2"/>
    <n v="1"/>
    <n v="2.2999999999999998"/>
    <n v="0"/>
    <n v="3.3"/>
    <x v="635"/>
    <x v="1"/>
    <x v="765"/>
    <x v="0"/>
    <n v="7"/>
    <n v="14"/>
    <e v="#N/A"/>
  </r>
  <r>
    <n v="1500"/>
    <d v="2016-01-15T12:24:54"/>
    <d v="2016-01-15T12:39:54"/>
    <x v="2"/>
    <m/>
    <m/>
    <x v="1"/>
    <n v="70804"/>
    <n v="3.8662889003245402"/>
    <d v="2016-01-15T12:59:13"/>
    <n v="11.59"/>
    <x v="411"/>
    <n v="1"/>
    <n v="1.7"/>
    <n v="0"/>
    <n v="0"/>
    <n v="1.7"/>
    <x v="398"/>
    <x v="1"/>
    <x v="766"/>
    <x v="0"/>
    <n v="10"/>
    <e v="#N/A"/>
    <e v="#N/A"/>
  </r>
  <r>
    <n v="1501"/>
    <d v="2016-01-15T14:48:15"/>
    <d v="2016-01-15T15:03:14"/>
    <x v="0"/>
    <m/>
    <m/>
    <x v="1"/>
    <n v="70804"/>
    <n v="1.36020123884918"/>
    <d v="2016-01-15T15:10:02"/>
    <n v="7.99"/>
    <x v="535"/>
    <n v="1"/>
    <n v="1"/>
    <n v="0"/>
    <n v="0"/>
    <n v="1"/>
    <x v="522"/>
    <x v="0"/>
    <x v="767"/>
    <x v="426"/>
    <n v="7"/>
    <e v="#N/A"/>
    <e v="#N/A"/>
  </r>
  <r>
    <n v="1502"/>
    <d v="2016-01-15T12:31:58"/>
    <d v="2016-01-15T12:47:00"/>
    <x v="2"/>
    <m/>
    <m/>
    <x v="1"/>
    <n v="70805"/>
    <n v="4.0919238369096798"/>
    <d v="2016-01-15T13:07:27"/>
    <n v="11.59"/>
    <x v="39"/>
    <n v="1"/>
    <n v="1.7"/>
    <n v="0"/>
    <n v="0"/>
    <n v="1.7"/>
    <x v="33"/>
    <x v="1"/>
    <x v="768"/>
    <x v="0"/>
    <n v="10"/>
    <e v="#N/A"/>
    <e v="#N/A"/>
  </r>
  <r>
    <n v="1503"/>
    <d v="2016-01-15T11:07:49"/>
    <d v="2016-01-15T11:22:47"/>
    <x v="0"/>
    <m/>
    <m/>
    <x v="0"/>
    <n v="70805"/>
    <n v="0"/>
    <d v="2016-01-15T11:25:47"/>
    <n v="7.99"/>
    <x v="2"/>
    <n v="1"/>
    <n v="1"/>
    <n v="0"/>
    <n v="0"/>
    <n v="1"/>
    <x v="0"/>
    <x v="0"/>
    <x v="0"/>
    <x v="0"/>
    <n v="7"/>
    <e v="#N/A"/>
    <e v="#N/A"/>
  </r>
  <r>
    <n v="1504"/>
    <d v="2016-01-15T12:53:56"/>
    <d v="2016-01-15T13:08:55"/>
    <x v="0"/>
    <s v="Large"/>
    <m/>
    <x v="1"/>
    <n v="70803"/>
    <n v="3.75965797523122"/>
    <d v="2016-01-15T13:27:42"/>
    <n v="23.34"/>
    <x v="117"/>
    <n v="2"/>
    <n v="1"/>
    <n v="2.2999999999999998"/>
    <n v="0"/>
    <n v="3.3"/>
    <x v="107"/>
    <x v="1"/>
    <x v="769"/>
    <x v="0"/>
    <n v="7"/>
    <n v="14"/>
    <e v="#N/A"/>
  </r>
  <r>
    <n v="1505"/>
    <d v="2016-01-15T12:21:05"/>
    <d v="2016-01-15T12:36:05"/>
    <x v="2"/>
    <m/>
    <m/>
    <x v="1"/>
    <n v="70803"/>
    <n v="0.38223119972220099"/>
    <d v="2016-01-15T12:37:59"/>
    <n v="11.59"/>
    <x v="649"/>
    <n v="1"/>
    <n v="1.7"/>
    <n v="0"/>
    <n v="0"/>
    <n v="1.7"/>
    <x v="636"/>
    <x v="0"/>
    <x v="770"/>
    <x v="427"/>
    <n v="10"/>
    <e v="#N/A"/>
    <e v="#N/A"/>
  </r>
  <r>
    <n v="1506"/>
    <d v="2016-01-15T12:25:14"/>
    <d v="2016-01-15T12:40:13"/>
    <x v="1"/>
    <m/>
    <m/>
    <x v="0"/>
    <n v="70803"/>
    <n v="0"/>
    <d v="2016-01-15T12:43:14"/>
    <n v="15.35"/>
    <x v="56"/>
    <n v="1"/>
    <n v="2.2999999999999998"/>
    <n v="0"/>
    <n v="0"/>
    <n v="2.2999999999999998"/>
    <x v="0"/>
    <x v="0"/>
    <x v="0"/>
    <x v="0"/>
    <n v="14"/>
    <e v="#N/A"/>
    <e v="#N/A"/>
  </r>
  <r>
    <n v="1507"/>
    <d v="2016-01-15T10:30:17"/>
    <d v="2016-01-15T10:45:18"/>
    <x v="1"/>
    <m/>
    <m/>
    <x v="0"/>
    <n v="70805"/>
    <n v="0"/>
    <d v="2016-01-15T10:48:18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508"/>
    <d v="2016-01-15T12:46:17"/>
    <d v="2016-01-15T13:01:18"/>
    <x v="0"/>
    <m/>
    <m/>
    <x v="0"/>
    <n v="70804"/>
    <n v="0"/>
    <d v="2016-01-15T13:04:19"/>
    <n v="7.99"/>
    <x v="14"/>
    <n v="1"/>
    <n v="1"/>
    <n v="0"/>
    <n v="0"/>
    <n v="1"/>
    <x v="0"/>
    <x v="0"/>
    <x v="0"/>
    <x v="0"/>
    <n v="7"/>
    <e v="#N/A"/>
    <e v="#N/A"/>
  </r>
  <r>
    <n v="1509"/>
    <d v="2016-01-15T10:19:27"/>
    <d v="2016-01-15T10:34:27"/>
    <x v="2"/>
    <m/>
    <m/>
    <x v="1"/>
    <n v="70806"/>
    <n v="1.9704749238700801"/>
    <d v="2016-01-15T10:44:18"/>
    <n v="11.59"/>
    <x v="250"/>
    <n v="1"/>
    <n v="1.7"/>
    <n v="0"/>
    <n v="0"/>
    <n v="1.7"/>
    <x v="237"/>
    <x v="0"/>
    <x v="771"/>
    <x v="428"/>
    <n v="10"/>
    <e v="#N/A"/>
    <e v="#N/A"/>
  </r>
  <r>
    <n v="1510"/>
    <d v="2016-01-15T12:02:35"/>
    <d v="2016-01-15T12:17:33"/>
    <x v="1"/>
    <m/>
    <m/>
    <x v="1"/>
    <n v="70804"/>
    <n v="3.89024904844451"/>
    <d v="2016-01-15T12:37:00"/>
    <n v="15.35"/>
    <x v="225"/>
    <n v="1"/>
    <n v="2.2999999999999998"/>
    <n v="0"/>
    <n v="0"/>
    <n v="2.2999999999999998"/>
    <x v="213"/>
    <x v="1"/>
    <x v="772"/>
    <x v="0"/>
    <n v="14"/>
    <e v="#N/A"/>
    <e v="#N/A"/>
  </r>
  <r>
    <n v="1511"/>
    <d v="2016-01-15T11:53:33"/>
    <d v="2016-01-15T12:08:32"/>
    <x v="1"/>
    <m/>
    <m/>
    <x v="0"/>
    <n v="70804"/>
    <n v="0"/>
    <d v="2016-01-15T12:11:32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512"/>
    <d v="2016-01-15T11:04:26"/>
    <d v="2016-01-15T11:19:26"/>
    <x v="0"/>
    <s v="Medium"/>
    <m/>
    <x v="1"/>
    <n v="70806"/>
    <n v="2.59519219044657"/>
    <d v="2016-01-15T11:32:24"/>
    <n v="19.579999999999998"/>
    <x v="650"/>
    <n v="2"/>
    <n v="1"/>
    <n v="1.7"/>
    <n v="0"/>
    <n v="2.7"/>
    <x v="637"/>
    <x v="0"/>
    <x v="773"/>
    <x v="429"/>
    <n v="7"/>
    <n v="10"/>
    <e v="#N/A"/>
  </r>
  <r>
    <n v="1513"/>
    <d v="2016-01-15T11:53:44"/>
    <d v="2016-01-15T12:08:44"/>
    <x v="0"/>
    <s v="Medium"/>
    <m/>
    <x v="1"/>
    <n v="70806"/>
    <n v="5.4660901434970297"/>
    <d v="2016-01-15T12:36:03"/>
    <n v="19.579999999999998"/>
    <x v="651"/>
    <n v="2"/>
    <n v="1"/>
    <n v="1.7"/>
    <n v="0"/>
    <n v="2.7"/>
    <x v="638"/>
    <x v="1"/>
    <x v="774"/>
    <x v="0"/>
    <n v="7"/>
    <n v="10"/>
    <e v="#N/A"/>
  </r>
  <r>
    <n v="1514"/>
    <d v="2016-01-15T12:12:00"/>
    <d v="2016-01-15T12:27:00"/>
    <x v="2"/>
    <m/>
    <m/>
    <x v="0"/>
    <n v="70805"/>
    <n v="0"/>
    <d v="2016-01-15T12:29:59"/>
    <n v="11.59"/>
    <x v="24"/>
    <n v="1"/>
    <n v="1.7"/>
    <n v="0"/>
    <n v="0"/>
    <n v="1.7"/>
    <x v="0"/>
    <x v="0"/>
    <x v="0"/>
    <x v="0"/>
    <n v="10"/>
    <e v="#N/A"/>
    <e v="#N/A"/>
  </r>
  <r>
    <n v="1515"/>
    <d v="2016-01-16T11:45:24"/>
    <d v="2016-01-16T12:00:23"/>
    <x v="2"/>
    <m/>
    <m/>
    <x v="1"/>
    <n v="70805"/>
    <n v="2.4372986265745999"/>
    <d v="2016-01-16T12:12:34"/>
    <n v="11.59"/>
    <x v="317"/>
    <n v="1"/>
    <n v="1.7"/>
    <n v="0"/>
    <n v="0"/>
    <n v="1.7"/>
    <x v="304"/>
    <x v="0"/>
    <x v="775"/>
    <x v="430"/>
    <n v="10"/>
    <e v="#N/A"/>
    <e v="#N/A"/>
  </r>
  <r>
    <n v="1516"/>
    <d v="2016-01-16T13:10:42"/>
    <d v="2016-01-16T13:25:41"/>
    <x v="0"/>
    <s v="Medium"/>
    <m/>
    <x v="1"/>
    <n v="70804"/>
    <n v="2.64926577145761"/>
    <d v="2016-01-16T13:38:55"/>
    <n v="19.579999999999998"/>
    <x v="652"/>
    <n v="2"/>
    <n v="1"/>
    <n v="1.7"/>
    <n v="0"/>
    <n v="2.7"/>
    <x v="639"/>
    <x v="0"/>
    <x v="776"/>
    <x v="431"/>
    <n v="7"/>
    <n v="10"/>
    <e v="#N/A"/>
  </r>
  <r>
    <n v="1517"/>
    <d v="2016-01-16T13:38:17"/>
    <d v="2016-01-16T13:53:15"/>
    <x v="0"/>
    <s v="Medium"/>
    <m/>
    <x v="0"/>
    <n v="70808"/>
    <n v="0"/>
    <d v="2016-01-16T13:56:15"/>
    <n v="19.579999999999998"/>
    <x v="2"/>
    <n v="2"/>
    <n v="1"/>
    <n v="1.7"/>
    <n v="0"/>
    <n v="2.7"/>
    <x v="0"/>
    <x v="0"/>
    <x v="0"/>
    <x v="0"/>
    <n v="7"/>
    <n v="10"/>
    <e v="#N/A"/>
  </r>
  <r>
    <n v="1518"/>
    <d v="2016-01-16T13:18:35"/>
    <d v="2016-01-16T13:33:35"/>
    <x v="1"/>
    <m/>
    <m/>
    <x v="1"/>
    <n v="70806"/>
    <n v="0.53276881784878904"/>
    <d v="2016-01-16T13:36:14"/>
    <n v="15.35"/>
    <x v="653"/>
    <n v="1"/>
    <n v="2.2999999999999998"/>
    <n v="0"/>
    <n v="0"/>
    <n v="2.2999999999999998"/>
    <x v="640"/>
    <x v="0"/>
    <x v="777"/>
    <x v="432"/>
    <n v="14"/>
    <e v="#N/A"/>
    <e v="#N/A"/>
  </r>
  <r>
    <n v="1519"/>
    <d v="2016-01-16T11:35:17"/>
    <d v="2016-01-16T11:50:17"/>
    <x v="0"/>
    <m/>
    <m/>
    <x v="0"/>
    <n v="70804"/>
    <n v="0"/>
    <d v="2016-01-16T11:53:16"/>
    <n v="7.99"/>
    <x v="24"/>
    <n v="1"/>
    <n v="1"/>
    <n v="0"/>
    <n v="0"/>
    <n v="1"/>
    <x v="0"/>
    <x v="0"/>
    <x v="0"/>
    <x v="0"/>
    <n v="7"/>
    <e v="#N/A"/>
    <e v="#N/A"/>
  </r>
  <r>
    <n v="1520"/>
    <d v="2016-01-16T11:44:40"/>
    <d v="2016-01-16T11:59:40"/>
    <x v="2"/>
    <m/>
    <m/>
    <x v="1"/>
    <n v="70805"/>
    <n v="2.67926181081795"/>
    <d v="2016-01-16T12:13:03"/>
    <n v="11.59"/>
    <x v="654"/>
    <n v="1"/>
    <n v="1.7"/>
    <n v="0"/>
    <n v="0"/>
    <n v="1.7"/>
    <x v="641"/>
    <x v="0"/>
    <x v="778"/>
    <x v="433"/>
    <n v="10"/>
    <e v="#N/A"/>
    <e v="#N/A"/>
  </r>
  <r>
    <n v="1521"/>
    <d v="2016-01-16T12:42:04"/>
    <d v="2016-01-16T12:57:02"/>
    <x v="1"/>
    <m/>
    <m/>
    <x v="0"/>
    <n v="70805"/>
    <n v="0"/>
    <d v="2016-01-16T13:00:01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1522"/>
    <d v="2016-01-16T11:11:40"/>
    <d v="2016-01-16T11:26:39"/>
    <x v="0"/>
    <s v="Medium"/>
    <m/>
    <x v="0"/>
    <n v="70803"/>
    <n v="0"/>
    <d v="2016-01-16T11:29:39"/>
    <n v="19.579999999999998"/>
    <x v="2"/>
    <n v="2"/>
    <n v="1"/>
    <n v="1.7"/>
    <n v="0"/>
    <n v="2.7"/>
    <x v="0"/>
    <x v="0"/>
    <x v="0"/>
    <x v="0"/>
    <n v="7"/>
    <n v="10"/>
    <e v="#N/A"/>
  </r>
  <r>
    <n v="1523"/>
    <d v="2016-01-16T11:56:32"/>
    <d v="2016-01-16T12:11:31"/>
    <x v="2"/>
    <s v="Large"/>
    <m/>
    <x v="0"/>
    <n v="70805"/>
    <n v="0"/>
    <d v="2016-01-16T12:14:31"/>
    <n v="25.94"/>
    <x v="2"/>
    <n v="2"/>
    <n v="1.7"/>
    <n v="2.2999999999999998"/>
    <n v="0"/>
    <n v="4"/>
    <x v="0"/>
    <x v="0"/>
    <x v="0"/>
    <x v="0"/>
    <n v="10"/>
    <n v="14"/>
    <e v="#N/A"/>
  </r>
  <r>
    <n v="1524"/>
    <d v="2016-01-16T10:18:38"/>
    <d v="2016-01-16T10:33:37"/>
    <x v="1"/>
    <m/>
    <m/>
    <x v="0"/>
    <n v="70806"/>
    <n v="0"/>
    <d v="2016-01-16T10:36:35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1525"/>
    <d v="2016-01-16T13:09:38"/>
    <d v="2016-01-16T13:24:39"/>
    <x v="0"/>
    <s v="Large"/>
    <m/>
    <x v="0"/>
    <n v="70806"/>
    <n v="0"/>
    <d v="2016-01-16T13:27:38"/>
    <n v="23.34"/>
    <x v="1"/>
    <n v="2"/>
    <n v="1"/>
    <n v="2.2999999999999998"/>
    <n v="0"/>
    <n v="3.3"/>
    <x v="0"/>
    <x v="0"/>
    <x v="0"/>
    <x v="0"/>
    <n v="7"/>
    <n v="14"/>
    <e v="#N/A"/>
  </r>
  <r>
    <n v="1526"/>
    <d v="2016-01-16T13:27:42"/>
    <d v="2016-01-16T13:42:41"/>
    <x v="2"/>
    <m/>
    <m/>
    <x v="1"/>
    <n v="70804"/>
    <n v="1.6724347642051101"/>
    <d v="2016-01-16T13:51:02"/>
    <n v="11.59"/>
    <x v="655"/>
    <n v="1"/>
    <n v="1.7"/>
    <n v="0"/>
    <n v="0"/>
    <n v="1.7"/>
    <x v="642"/>
    <x v="0"/>
    <x v="779"/>
    <x v="434"/>
    <n v="10"/>
    <e v="#N/A"/>
    <e v="#N/A"/>
  </r>
  <r>
    <n v="1527"/>
    <d v="2016-01-16T10:27:27"/>
    <d v="2016-01-16T10:42:25"/>
    <x v="0"/>
    <s v="Medium"/>
    <m/>
    <x v="0"/>
    <n v="70804"/>
    <n v="0"/>
    <d v="2016-01-16T10:45:25"/>
    <n v="19.579999999999998"/>
    <x v="2"/>
    <n v="2"/>
    <n v="1"/>
    <n v="1.7"/>
    <n v="0"/>
    <n v="2.7"/>
    <x v="0"/>
    <x v="0"/>
    <x v="0"/>
    <x v="0"/>
    <n v="7"/>
    <n v="10"/>
    <e v="#N/A"/>
  </r>
  <r>
    <n v="1528"/>
    <d v="2016-01-16T11:33:14"/>
    <d v="2016-01-16T11:48:15"/>
    <x v="0"/>
    <s v="Medium"/>
    <m/>
    <x v="0"/>
    <n v="70803"/>
    <n v="0"/>
    <d v="2016-01-16T11:51:15"/>
    <n v="19.579999999999998"/>
    <x v="2"/>
    <n v="2"/>
    <n v="1"/>
    <n v="1.7"/>
    <n v="0"/>
    <n v="2.7"/>
    <x v="0"/>
    <x v="0"/>
    <x v="0"/>
    <x v="0"/>
    <n v="7"/>
    <n v="10"/>
    <e v="#N/A"/>
  </r>
  <r>
    <n v="1529"/>
    <d v="2016-01-16T11:34:33"/>
    <d v="2016-01-16T11:49:34"/>
    <x v="1"/>
    <m/>
    <m/>
    <x v="0"/>
    <n v="70803"/>
    <n v="0"/>
    <d v="2016-01-16T11:52:32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1530"/>
    <d v="2016-01-16T10:23:21"/>
    <d v="2016-01-16T10:38:19"/>
    <x v="2"/>
    <m/>
    <m/>
    <x v="1"/>
    <n v="70806"/>
    <n v="3.07463797843667"/>
    <d v="2016-01-16T10:53:41"/>
    <n v="11.59"/>
    <x v="252"/>
    <n v="1"/>
    <n v="1.7"/>
    <n v="0"/>
    <n v="0"/>
    <n v="1.7"/>
    <x v="239"/>
    <x v="0"/>
    <x v="780"/>
    <x v="435"/>
    <n v="10"/>
    <e v="#N/A"/>
    <e v="#N/A"/>
  </r>
  <r>
    <n v="1531"/>
    <d v="2016-01-16T11:53:52"/>
    <d v="2016-01-16T12:08:51"/>
    <x v="2"/>
    <m/>
    <m/>
    <x v="0"/>
    <n v="70804"/>
    <n v="0"/>
    <d v="2016-01-16T12:11:52"/>
    <n v="11.59"/>
    <x v="56"/>
    <n v="1"/>
    <n v="1.7"/>
    <n v="0"/>
    <n v="0"/>
    <n v="1.7"/>
    <x v="0"/>
    <x v="0"/>
    <x v="0"/>
    <x v="0"/>
    <n v="10"/>
    <e v="#N/A"/>
    <e v="#N/A"/>
  </r>
  <r>
    <n v="1532"/>
    <d v="2016-01-16T12:25:09"/>
    <d v="2016-01-16T12:40:09"/>
    <x v="0"/>
    <m/>
    <m/>
    <x v="1"/>
    <n v="70803"/>
    <n v="2.3926917626368698"/>
    <d v="2016-01-16T12:52:06"/>
    <n v="7.99"/>
    <x v="656"/>
    <n v="1"/>
    <n v="1"/>
    <n v="0"/>
    <n v="0"/>
    <n v="1"/>
    <x v="643"/>
    <x v="0"/>
    <x v="781"/>
    <x v="436"/>
    <n v="7"/>
    <e v="#N/A"/>
    <e v="#N/A"/>
  </r>
  <r>
    <n v="1533"/>
    <d v="2016-01-16T13:47:32"/>
    <d v="2016-01-16T14:02:31"/>
    <x v="1"/>
    <m/>
    <m/>
    <x v="1"/>
    <n v="70806"/>
    <n v="2.0547983144040902"/>
    <d v="2016-01-16T14:12:47"/>
    <n v="15.35"/>
    <x v="657"/>
    <n v="1"/>
    <n v="2.2999999999999998"/>
    <n v="0"/>
    <n v="0"/>
    <n v="2.2999999999999998"/>
    <x v="644"/>
    <x v="0"/>
    <x v="782"/>
    <x v="437"/>
    <n v="14"/>
    <e v="#N/A"/>
    <e v="#N/A"/>
  </r>
  <r>
    <n v="1534"/>
    <d v="2016-01-16T10:06:48"/>
    <d v="2016-01-16T10:21:48"/>
    <x v="0"/>
    <m/>
    <m/>
    <x v="0"/>
    <n v="70804"/>
    <n v="0"/>
    <d v="2016-01-16T10:24:48"/>
    <n v="7.99"/>
    <x v="2"/>
    <n v="1"/>
    <n v="1"/>
    <n v="0"/>
    <n v="0"/>
    <n v="1"/>
    <x v="0"/>
    <x v="0"/>
    <x v="0"/>
    <x v="0"/>
    <n v="7"/>
    <e v="#N/A"/>
    <e v="#N/A"/>
  </r>
  <r>
    <n v="1535"/>
    <d v="2016-01-16T11:21:34"/>
    <d v="2016-01-16T11:36:34"/>
    <x v="2"/>
    <m/>
    <m/>
    <x v="0"/>
    <n v="70803"/>
    <n v="0"/>
    <d v="2016-01-16T11:39:34"/>
    <n v="11.59"/>
    <x v="2"/>
    <n v="1"/>
    <n v="1.7"/>
    <n v="0"/>
    <n v="0"/>
    <n v="1.7"/>
    <x v="0"/>
    <x v="0"/>
    <x v="0"/>
    <x v="0"/>
    <n v="10"/>
    <e v="#N/A"/>
    <e v="#N/A"/>
  </r>
  <r>
    <n v="1536"/>
    <d v="2016-01-16T11:00:46"/>
    <d v="2016-01-16T11:15:45"/>
    <x v="0"/>
    <s v="Large"/>
    <m/>
    <x v="1"/>
    <n v="70807"/>
    <n v="1.83019827777315"/>
    <d v="2016-01-16T11:24:54"/>
    <n v="23.34"/>
    <x v="658"/>
    <n v="2"/>
    <n v="1"/>
    <n v="2.2999999999999998"/>
    <n v="0"/>
    <n v="3.3"/>
    <x v="645"/>
    <x v="0"/>
    <x v="783"/>
    <x v="438"/>
    <n v="7"/>
    <n v="14"/>
    <e v="#N/A"/>
  </r>
  <r>
    <n v="1537"/>
    <d v="2016-01-16T13:08:56"/>
    <d v="2016-01-16T13:23:56"/>
    <x v="1"/>
    <m/>
    <m/>
    <x v="1"/>
    <n v="70804"/>
    <n v="4.0986319468014596"/>
    <d v="2016-01-16T13:44:25"/>
    <n v="15.35"/>
    <x v="659"/>
    <n v="1"/>
    <n v="2.2999999999999998"/>
    <n v="0"/>
    <n v="0"/>
    <n v="2.2999999999999998"/>
    <x v="646"/>
    <x v="1"/>
    <x v="784"/>
    <x v="0"/>
    <n v="14"/>
    <e v="#N/A"/>
    <e v="#N/A"/>
  </r>
  <r>
    <n v="1538"/>
    <d v="2016-01-16T11:47:56"/>
    <d v="2016-01-16T12:02:57"/>
    <x v="2"/>
    <m/>
    <m/>
    <x v="1"/>
    <n v="70806"/>
    <n v="1.0888403119419801"/>
    <d v="2016-01-16T12:08:23"/>
    <n v="11.59"/>
    <x v="660"/>
    <n v="1"/>
    <n v="1.7"/>
    <n v="0"/>
    <n v="0"/>
    <n v="1.7"/>
    <x v="647"/>
    <x v="0"/>
    <x v="785"/>
    <x v="439"/>
    <n v="10"/>
    <e v="#N/A"/>
    <e v="#N/A"/>
  </r>
  <r>
    <n v="1539"/>
    <d v="2016-01-16T11:24:41"/>
    <d v="2016-01-16T11:39:40"/>
    <x v="2"/>
    <m/>
    <m/>
    <x v="1"/>
    <n v="70803"/>
    <n v="0.64965634890581803"/>
    <d v="2016-01-16T11:42:54"/>
    <n v="11.59"/>
    <x v="661"/>
    <n v="1"/>
    <n v="1.7"/>
    <n v="0"/>
    <n v="0"/>
    <n v="1.7"/>
    <x v="648"/>
    <x v="0"/>
    <x v="786"/>
    <x v="440"/>
    <n v="10"/>
    <e v="#N/A"/>
    <e v="#N/A"/>
  </r>
  <r>
    <n v="1540"/>
    <d v="2016-01-16T13:05:52"/>
    <d v="2016-01-16T13:20:53"/>
    <x v="0"/>
    <m/>
    <m/>
    <x v="0"/>
    <n v="70807"/>
    <n v="0"/>
    <d v="2016-01-16T13:23:53"/>
    <n v="7.99"/>
    <x v="2"/>
    <n v="1"/>
    <n v="1"/>
    <n v="0"/>
    <n v="0"/>
    <n v="1"/>
    <x v="0"/>
    <x v="0"/>
    <x v="0"/>
    <x v="0"/>
    <n v="7"/>
    <e v="#N/A"/>
    <e v="#N/A"/>
  </r>
  <r>
    <n v="1541"/>
    <d v="2016-01-16T12:52:49"/>
    <d v="2016-01-16T13:07:48"/>
    <x v="1"/>
    <m/>
    <m/>
    <x v="1"/>
    <n v="70804"/>
    <n v="2.1108398369580299"/>
    <d v="2016-01-16T13:18:21"/>
    <n v="15.35"/>
    <x v="662"/>
    <n v="1"/>
    <n v="2.2999999999999998"/>
    <n v="0"/>
    <n v="0"/>
    <n v="2.2999999999999998"/>
    <x v="649"/>
    <x v="0"/>
    <x v="787"/>
    <x v="441"/>
    <n v="14"/>
    <e v="#N/A"/>
    <e v="#N/A"/>
  </r>
  <r>
    <n v="1542"/>
    <d v="2016-01-16T12:31:24"/>
    <d v="2016-01-16T12:46:22"/>
    <x v="1"/>
    <m/>
    <m/>
    <x v="0"/>
    <n v="70803"/>
    <n v="0"/>
    <d v="2016-01-16T12:49:21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1543"/>
    <d v="2016-01-16T13:33:21"/>
    <d v="2016-01-16T13:48:20"/>
    <x v="0"/>
    <m/>
    <m/>
    <x v="0"/>
    <n v="70803"/>
    <n v="0"/>
    <d v="2016-01-16T13:51:20"/>
    <n v="7.99"/>
    <x v="2"/>
    <n v="1"/>
    <n v="1"/>
    <n v="0"/>
    <n v="0"/>
    <n v="1"/>
    <x v="0"/>
    <x v="0"/>
    <x v="0"/>
    <x v="0"/>
    <n v="7"/>
    <e v="#N/A"/>
    <e v="#N/A"/>
  </r>
  <r>
    <n v="1544"/>
    <d v="2016-01-16T11:38:36"/>
    <d v="2016-01-16T11:53:34"/>
    <x v="2"/>
    <m/>
    <m/>
    <x v="0"/>
    <n v="70805"/>
    <n v="0"/>
    <d v="2016-01-16T11:56:33"/>
    <n v="11.59"/>
    <x v="24"/>
    <n v="1"/>
    <n v="1.7"/>
    <n v="0"/>
    <n v="0"/>
    <n v="1.7"/>
    <x v="0"/>
    <x v="0"/>
    <x v="0"/>
    <x v="0"/>
    <n v="10"/>
    <e v="#N/A"/>
    <e v="#N/A"/>
  </r>
  <r>
    <n v="1545"/>
    <d v="2016-01-16T10:15:22"/>
    <d v="2016-01-16T10:30:21"/>
    <x v="1"/>
    <m/>
    <m/>
    <x v="0"/>
    <n v="70804"/>
    <n v="0"/>
    <d v="2016-01-16T10:33:19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1546"/>
    <d v="2016-01-16T12:44:00"/>
    <d v="2016-01-16T12:58:59"/>
    <x v="0"/>
    <m/>
    <m/>
    <x v="0"/>
    <n v="70804"/>
    <n v="0"/>
    <d v="2016-01-16T13:01:57"/>
    <n v="7.99"/>
    <x v="0"/>
    <n v="1"/>
    <n v="1"/>
    <n v="0"/>
    <n v="0"/>
    <n v="1"/>
    <x v="0"/>
    <x v="0"/>
    <x v="0"/>
    <x v="0"/>
    <n v="7"/>
    <e v="#N/A"/>
    <e v="#N/A"/>
  </r>
  <r>
    <n v="1547"/>
    <d v="2016-01-16T12:04:00"/>
    <d v="2016-01-16T12:19:00"/>
    <x v="1"/>
    <m/>
    <m/>
    <x v="0"/>
    <n v="70808"/>
    <n v="0"/>
    <d v="2016-01-16T12:22:01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1548"/>
    <d v="2016-01-16T13:32:14"/>
    <d v="2016-01-16T13:47:15"/>
    <x v="1"/>
    <m/>
    <m/>
    <x v="1"/>
    <n v="70805"/>
    <n v="2.0272109173098598"/>
    <d v="2016-01-16T13:57:23"/>
    <n v="15.35"/>
    <x v="663"/>
    <n v="1"/>
    <n v="2.2999999999999998"/>
    <n v="0"/>
    <n v="0"/>
    <n v="2.2999999999999998"/>
    <x v="650"/>
    <x v="0"/>
    <x v="788"/>
    <x v="442"/>
    <n v="14"/>
    <e v="#N/A"/>
    <e v="#N/A"/>
  </r>
  <r>
    <n v="1549"/>
    <d v="2016-01-16T13:07:07"/>
    <d v="2016-01-16T13:22:06"/>
    <x v="0"/>
    <s v="Large"/>
    <m/>
    <x v="0"/>
    <n v="70805"/>
    <n v="0"/>
    <d v="2016-01-16T13:25:05"/>
    <n v="23.34"/>
    <x v="1"/>
    <n v="2"/>
    <n v="1"/>
    <n v="2.2999999999999998"/>
    <n v="0"/>
    <n v="3.3"/>
    <x v="0"/>
    <x v="0"/>
    <x v="0"/>
    <x v="0"/>
    <n v="7"/>
    <n v="14"/>
    <e v="#N/A"/>
  </r>
  <r>
    <n v="1550"/>
    <d v="2016-01-16T13:20:13"/>
    <d v="2016-01-16T13:35:14"/>
    <x v="1"/>
    <m/>
    <m/>
    <x v="0"/>
    <n v="70804"/>
    <n v="0"/>
    <d v="2016-01-16T13:38:14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551"/>
    <d v="2016-01-16T12:18:35"/>
    <d v="2016-01-16T12:33:36"/>
    <x v="2"/>
    <m/>
    <m/>
    <x v="1"/>
    <n v="70804"/>
    <n v="2.7376212256016199"/>
    <d v="2016-01-16T12:47:17"/>
    <n v="11.59"/>
    <x v="664"/>
    <n v="1"/>
    <n v="1.7"/>
    <n v="0"/>
    <n v="0"/>
    <n v="1.7"/>
    <x v="651"/>
    <x v="0"/>
    <x v="789"/>
    <x v="443"/>
    <n v="10"/>
    <e v="#N/A"/>
    <e v="#N/A"/>
  </r>
  <r>
    <n v="1552"/>
    <d v="2016-01-16T11:03:31"/>
    <d v="2016-01-16T11:18:31"/>
    <x v="0"/>
    <s v="Medium"/>
    <m/>
    <x v="0"/>
    <n v="70807"/>
    <n v="0"/>
    <d v="2016-01-16T11:21:31"/>
    <n v="19.579999999999998"/>
    <x v="2"/>
    <n v="2"/>
    <n v="1"/>
    <n v="1.7"/>
    <n v="0"/>
    <n v="2.7"/>
    <x v="0"/>
    <x v="0"/>
    <x v="0"/>
    <x v="0"/>
    <n v="7"/>
    <n v="10"/>
    <e v="#N/A"/>
  </r>
  <r>
    <n v="1553"/>
    <d v="2016-01-16T11:10:46"/>
    <d v="2016-01-16T11:25:46"/>
    <x v="1"/>
    <m/>
    <m/>
    <x v="0"/>
    <n v="70805"/>
    <n v="0"/>
    <d v="2016-01-16T11:28:45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1554"/>
    <d v="2016-01-16T13:47:50"/>
    <d v="2016-01-16T14:02:48"/>
    <x v="2"/>
    <m/>
    <m/>
    <x v="0"/>
    <n v="70805"/>
    <n v="0"/>
    <d v="2016-01-16T14:05:48"/>
    <n v="11.59"/>
    <x v="2"/>
    <n v="1"/>
    <n v="1.7"/>
    <n v="0"/>
    <n v="0"/>
    <n v="1.7"/>
    <x v="0"/>
    <x v="0"/>
    <x v="0"/>
    <x v="0"/>
    <n v="10"/>
    <e v="#N/A"/>
    <e v="#N/A"/>
  </r>
  <r>
    <n v="1555"/>
    <d v="2016-01-16T12:06:33"/>
    <d v="2016-01-16T12:21:31"/>
    <x v="1"/>
    <m/>
    <m/>
    <x v="1"/>
    <n v="70807"/>
    <n v="5.1102298268547601"/>
    <d v="2016-01-16T12:47:04"/>
    <n v="15.35"/>
    <x v="665"/>
    <n v="1"/>
    <n v="2.2999999999999998"/>
    <n v="0"/>
    <n v="0"/>
    <n v="2.2999999999999998"/>
    <x v="652"/>
    <x v="1"/>
    <x v="790"/>
    <x v="0"/>
    <n v="14"/>
    <e v="#N/A"/>
    <e v="#N/A"/>
  </r>
  <r>
    <n v="1556"/>
    <d v="2016-01-16T11:15:12"/>
    <d v="2016-01-16T11:30:11"/>
    <x v="2"/>
    <m/>
    <m/>
    <x v="0"/>
    <n v="70807"/>
    <n v="0"/>
    <d v="2016-01-16T11:33:11"/>
    <n v="11.59"/>
    <x v="2"/>
    <n v="1"/>
    <n v="1.7"/>
    <n v="0"/>
    <n v="0"/>
    <n v="1.7"/>
    <x v="0"/>
    <x v="0"/>
    <x v="0"/>
    <x v="0"/>
    <n v="10"/>
    <e v="#N/A"/>
    <e v="#N/A"/>
  </r>
  <r>
    <n v="1557"/>
    <d v="2016-01-16T10:25:17"/>
    <d v="2016-01-16T10:40:19"/>
    <x v="0"/>
    <m/>
    <m/>
    <x v="0"/>
    <n v="70806"/>
    <n v="0"/>
    <d v="2016-01-16T10:43:19"/>
    <n v="7.99"/>
    <x v="2"/>
    <n v="1"/>
    <n v="1"/>
    <n v="0"/>
    <n v="0"/>
    <n v="1"/>
    <x v="0"/>
    <x v="0"/>
    <x v="0"/>
    <x v="0"/>
    <n v="7"/>
    <e v="#N/A"/>
    <e v="#N/A"/>
  </r>
  <r>
    <n v="1558"/>
    <d v="2016-01-16T11:39:59"/>
    <d v="2016-01-16T11:54:59"/>
    <x v="0"/>
    <m/>
    <m/>
    <x v="1"/>
    <n v="70803"/>
    <n v="2.38403863984863"/>
    <d v="2016-01-16T12:06:54"/>
    <n v="7.99"/>
    <x v="666"/>
    <n v="1"/>
    <n v="1"/>
    <n v="0"/>
    <n v="0"/>
    <n v="1"/>
    <x v="653"/>
    <x v="0"/>
    <x v="791"/>
    <x v="444"/>
    <n v="7"/>
    <e v="#N/A"/>
    <e v="#N/A"/>
  </r>
  <r>
    <n v="1559"/>
    <d v="2016-01-16T10:21:30"/>
    <d v="2016-01-16T10:36:30"/>
    <x v="0"/>
    <m/>
    <m/>
    <x v="0"/>
    <n v="70806"/>
    <n v="0"/>
    <d v="2016-01-16T10:39:27"/>
    <n v="7.99"/>
    <x v="102"/>
    <n v="1"/>
    <n v="1"/>
    <n v="0"/>
    <n v="0"/>
    <n v="1"/>
    <x v="0"/>
    <x v="0"/>
    <x v="0"/>
    <x v="0"/>
    <n v="7"/>
    <e v="#N/A"/>
    <e v="#N/A"/>
  </r>
  <r>
    <n v="1560"/>
    <d v="2016-01-16T14:33:21"/>
    <d v="2016-01-16T14:48:20"/>
    <x v="1"/>
    <m/>
    <m/>
    <x v="1"/>
    <n v="70805"/>
    <n v="4.37938678004297"/>
    <d v="2016-01-16T15:10:13"/>
    <n v="15.35"/>
    <x v="667"/>
    <n v="1"/>
    <n v="2.2999999999999998"/>
    <n v="0"/>
    <n v="0"/>
    <n v="2.2999999999999998"/>
    <x v="654"/>
    <x v="1"/>
    <x v="792"/>
    <x v="0"/>
    <n v="14"/>
    <e v="#N/A"/>
    <e v="#N/A"/>
  </r>
  <r>
    <n v="1561"/>
    <d v="2016-01-16T10:01:40"/>
    <d v="2016-01-16T10:16:40"/>
    <x v="0"/>
    <s v="Medium"/>
    <m/>
    <x v="1"/>
    <n v="70805"/>
    <n v="3.4485353306070601"/>
    <d v="2016-01-16T10:33:54"/>
    <n v="19.579999999999998"/>
    <x v="292"/>
    <n v="2"/>
    <n v="1"/>
    <n v="1.7"/>
    <n v="0"/>
    <n v="2.7"/>
    <x v="279"/>
    <x v="1"/>
    <x v="793"/>
    <x v="0"/>
    <n v="7"/>
    <n v="10"/>
    <e v="#N/A"/>
  </r>
  <r>
    <n v="1562"/>
    <d v="2016-01-16T12:59:41"/>
    <d v="2016-01-16T13:14:40"/>
    <x v="0"/>
    <s v="Large"/>
    <m/>
    <x v="0"/>
    <n v="70804"/>
    <n v="0"/>
    <d v="2016-01-16T13:17:40"/>
    <n v="23.34"/>
    <x v="2"/>
    <n v="2"/>
    <n v="1"/>
    <n v="2.2999999999999998"/>
    <n v="0"/>
    <n v="3.3"/>
    <x v="0"/>
    <x v="0"/>
    <x v="0"/>
    <x v="0"/>
    <n v="7"/>
    <n v="14"/>
    <e v="#N/A"/>
  </r>
  <r>
    <n v="1563"/>
    <d v="2016-01-16T11:36:12"/>
    <d v="2016-01-16T11:51:12"/>
    <x v="0"/>
    <s v="Large"/>
    <m/>
    <x v="0"/>
    <n v="70805"/>
    <n v="0"/>
    <d v="2016-01-16T11:54:12"/>
    <n v="23.34"/>
    <x v="2"/>
    <n v="2"/>
    <n v="1"/>
    <n v="2.2999999999999998"/>
    <n v="0"/>
    <n v="3.3"/>
    <x v="0"/>
    <x v="0"/>
    <x v="0"/>
    <x v="0"/>
    <n v="7"/>
    <n v="14"/>
    <e v="#N/A"/>
  </r>
  <r>
    <n v="1564"/>
    <d v="2016-01-16T10:10:50"/>
    <d v="2016-01-16T10:25:51"/>
    <x v="0"/>
    <s v="Medium"/>
    <m/>
    <x v="0"/>
    <n v="70803"/>
    <n v="0"/>
    <d v="2016-01-16T10:28:50"/>
    <n v="19.579999999999998"/>
    <x v="24"/>
    <n v="2"/>
    <n v="1"/>
    <n v="1.7"/>
    <n v="0"/>
    <n v="2.7"/>
    <x v="0"/>
    <x v="0"/>
    <x v="0"/>
    <x v="0"/>
    <n v="7"/>
    <n v="10"/>
    <e v="#N/A"/>
  </r>
  <r>
    <n v="1565"/>
    <d v="2016-01-16T11:34:34"/>
    <d v="2016-01-16T11:49:34"/>
    <x v="2"/>
    <m/>
    <m/>
    <x v="0"/>
    <n v="70806"/>
    <n v="0"/>
    <d v="2016-01-16T11:52:33"/>
    <n v="11.59"/>
    <x v="24"/>
    <n v="1"/>
    <n v="1.7"/>
    <n v="0"/>
    <n v="0"/>
    <n v="1.7"/>
    <x v="0"/>
    <x v="0"/>
    <x v="0"/>
    <x v="0"/>
    <n v="10"/>
    <e v="#N/A"/>
    <e v="#N/A"/>
  </r>
  <r>
    <n v="1566"/>
    <d v="2016-01-16T12:50:51"/>
    <d v="2016-01-16T13:05:51"/>
    <x v="1"/>
    <m/>
    <m/>
    <x v="1"/>
    <n v="70805"/>
    <n v="3.0607895405905099"/>
    <d v="2016-01-16T13:21:09"/>
    <n v="15.35"/>
    <x v="465"/>
    <n v="1"/>
    <n v="2.2999999999999998"/>
    <n v="0"/>
    <n v="0"/>
    <n v="2.2999999999999998"/>
    <x v="452"/>
    <x v="0"/>
    <x v="794"/>
    <x v="445"/>
    <n v="14"/>
    <e v="#N/A"/>
    <e v="#N/A"/>
  </r>
  <r>
    <n v="1567"/>
    <d v="2016-01-16T11:46:37"/>
    <d v="2016-01-16T12:01:36"/>
    <x v="1"/>
    <m/>
    <m/>
    <x v="1"/>
    <n v="70803"/>
    <n v="2.0418024874404299"/>
    <d v="2016-01-16T12:11:48"/>
    <n v="15.35"/>
    <x v="668"/>
    <n v="1"/>
    <n v="2.2999999999999998"/>
    <n v="0"/>
    <n v="0"/>
    <n v="2.2999999999999998"/>
    <x v="655"/>
    <x v="0"/>
    <x v="795"/>
    <x v="446"/>
    <n v="14"/>
    <e v="#N/A"/>
    <e v="#N/A"/>
  </r>
  <r>
    <n v="1568"/>
    <d v="2016-01-16T11:25:53"/>
    <d v="2016-01-16T11:40:51"/>
    <x v="2"/>
    <m/>
    <m/>
    <x v="1"/>
    <n v="70805"/>
    <n v="1.25784612315255"/>
    <d v="2016-01-16T11:47:08"/>
    <n v="11.59"/>
    <x v="576"/>
    <n v="1"/>
    <n v="1.7"/>
    <n v="0"/>
    <n v="0"/>
    <n v="1.7"/>
    <x v="563"/>
    <x v="0"/>
    <x v="796"/>
    <x v="447"/>
    <n v="10"/>
    <e v="#N/A"/>
    <e v="#N/A"/>
  </r>
  <r>
    <n v="1569"/>
    <d v="2016-01-16T11:12:11"/>
    <d v="2016-01-16T11:27:10"/>
    <x v="1"/>
    <m/>
    <m/>
    <x v="1"/>
    <n v="70807"/>
    <n v="1.6908358409287501"/>
    <d v="2016-01-16T11:35:37"/>
    <n v="15.35"/>
    <x v="669"/>
    <n v="1"/>
    <n v="2.2999999999999998"/>
    <n v="0"/>
    <n v="0"/>
    <n v="2.2999999999999998"/>
    <x v="656"/>
    <x v="0"/>
    <x v="797"/>
    <x v="448"/>
    <n v="14"/>
    <e v="#N/A"/>
    <e v="#N/A"/>
  </r>
  <r>
    <n v="1570"/>
    <d v="2016-01-16T11:54:07"/>
    <d v="2016-01-16T12:09:08"/>
    <x v="0"/>
    <s v="Medium"/>
    <m/>
    <x v="0"/>
    <n v="70803"/>
    <n v="0"/>
    <d v="2016-01-16T12:12:09"/>
    <n v="19.579999999999998"/>
    <x v="14"/>
    <n v="2"/>
    <n v="1"/>
    <n v="1.7"/>
    <n v="0"/>
    <n v="2.7"/>
    <x v="0"/>
    <x v="0"/>
    <x v="0"/>
    <x v="0"/>
    <n v="7"/>
    <n v="10"/>
    <e v="#N/A"/>
  </r>
  <r>
    <n v="1571"/>
    <d v="2016-01-16T10:12:49"/>
    <d v="2016-01-16T10:27:50"/>
    <x v="0"/>
    <m/>
    <m/>
    <x v="1"/>
    <n v="70804"/>
    <n v="3.8087217742408201"/>
    <d v="2016-01-16T10:46:52"/>
    <n v="7.99"/>
    <x v="670"/>
    <n v="1"/>
    <n v="1"/>
    <n v="0"/>
    <n v="0"/>
    <n v="1"/>
    <x v="657"/>
    <x v="1"/>
    <x v="798"/>
    <x v="0"/>
    <n v="7"/>
    <e v="#N/A"/>
    <e v="#N/A"/>
  </r>
  <r>
    <n v="1572"/>
    <d v="2016-01-16T11:11:29"/>
    <d v="2016-01-16T11:26:29"/>
    <x v="2"/>
    <m/>
    <m/>
    <x v="0"/>
    <n v="70805"/>
    <n v="0"/>
    <d v="2016-01-16T11:29:29"/>
    <n v="11.59"/>
    <x v="2"/>
    <n v="1"/>
    <n v="1.7"/>
    <n v="0"/>
    <n v="0"/>
    <n v="1.7"/>
    <x v="0"/>
    <x v="0"/>
    <x v="0"/>
    <x v="0"/>
    <n v="10"/>
    <e v="#N/A"/>
    <e v="#N/A"/>
  </r>
  <r>
    <n v="1573"/>
    <d v="2016-01-16T12:27:56"/>
    <d v="2016-01-16T12:42:56"/>
    <x v="2"/>
    <s v="Large"/>
    <m/>
    <x v="0"/>
    <n v="70803"/>
    <n v="0"/>
    <d v="2016-01-16T12:45:54"/>
    <n v="25.94"/>
    <x v="0"/>
    <n v="2"/>
    <n v="1.7"/>
    <n v="2.2999999999999998"/>
    <n v="0"/>
    <n v="4"/>
    <x v="0"/>
    <x v="0"/>
    <x v="0"/>
    <x v="0"/>
    <n v="10"/>
    <n v="14"/>
    <e v="#N/A"/>
  </r>
  <r>
    <n v="1574"/>
    <d v="2016-01-16T13:21:36"/>
    <d v="2016-01-16T13:36:34"/>
    <x v="1"/>
    <m/>
    <m/>
    <x v="0"/>
    <n v="70805"/>
    <n v="0"/>
    <d v="2016-01-16T13:39:31"/>
    <n v="15.35"/>
    <x v="22"/>
    <n v="1"/>
    <n v="2.2999999999999998"/>
    <n v="0"/>
    <n v="0"/>
    <n v="2.2999999999999998"/>
    <x v="0"/>
    <x v="0"/>
    <x v="0"/>
    <x v="0"/>
    <n v="14"/>
    <e v="#N/A"/>
    <e v="#N/A"/>
  </r>
  <r>
    <n v="1575"/>
    <d v="2016-01-16T11:31:11"/>
    <d v="2016-01-16T11:46:11"/>
    <x v="0"/>
    <s v="Large"/>
    <m/>
    <x v="0"/>
    <n v="70803"/>
    <n v="0"/>
    <d v="2016-01-16T11:49:11"/>
    <n v="23.34"/>
    <x v="2"/>
    <n v="2"/>
    <n v="1"/>
    <n v="2.2999999999999998"/>
    <n v="0"/>
    <n v="3.3"/>
    <x v="0"/>
    <x v="0"/>
    <x v="0"/>
    <x v="0"/>
    <n v="7"/>
    <n v="14"/>
    <e v="#N/A"/>
  </r>
  <r>
    <n v="1576"/>
    <d v="2016-01-16T12:14:30"/>
    <d v="2016-01-16T12:29:29"/>
    <x v="1"/>
    <m/>
    <m/>
    <x v="1"/>
    <n v="70803"/>
    <n v="4.2469926800057998"/>
    <d v="2016-01-16T12:50:43"/>
    <n v="15.35"/>
    <x v="671"/>
    <n v="1"/>
    <n v="2.2999999999999998"/>
    <n v="0"/>
    <n v="0"/>
    <n v="2.2999999999999998"/>
    <x v="658"/>
    <x v="1"/>
    <x v="799"/>
    <x v="0"/>
    <n v="14"/>
    <e v="#N/A"/>
    <e v="#N/A"/>
  </r>
  <r>
    <n v="1577"/>
    <d v="2016-01-16T11:09:28"/>
    <d v="2016-01-16T11:24:27"/>
    <x v="2"/>
    <m/>
    <m/>
    <x v="0"/>
    <n v="70804"/>
    <n v="0"/>
    <d v="2016-01-16T11:27:27"/>
    <n v="11.59"/>
    <x v="2"/>
    <n v="1"/>
    <n v="1.7"/>
    <n v="0"/>
    <n v="0"/>
    <n v="1.7"/>
    <x v="0"/>
    <x v="0"/>
    <x v="0"/>
    <x v="0"/>
    <n v="10"/>
    <e v="#N/A"/>
    <e v="#N/A"/>
  </r>
  <r>
    <n v="1578"/>
    <d v="2016-01-16T11:38:39"/>
    <d v="2016-01-16T11:53:36"/>
    <x v="0"/>
    <m/>
    <m/>
    <x v="0"/>
    <n v="70805"/>
    <n v="0"/>
    <d v="2016-01-16T11:56:34"/>
    <n v="7.99"/>
    <x v="0"/>
    <n v="1"/>
    <n v="1"/>
    <n v="0"/>
    <n v="0"/>
    <n v="1"/>
    <x v="0"/>
    <x v="0"/>
    <x v="0"/>
    <x v="0"/>
    <n v="7"/>
    <e v="#N/A"/>
    <e v="#N/A"/>
  </r>
  <r>
    <n v="1579"/>
    <d v="2016-01-16T12:01:27"/>
    <d v="2016-01-16T12:16:25"/>
    <x v="1"/>
    <m/>
    <m/>
    <x v="0"/>
    <n v="70806"/>
    <n v="0"/>
    <d v="2016-01-16T12:19:24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1580"/>
    <d v="2016-01-16T11:37:15"/>
    <d v="2016-01-16T11:52:15"/>
    <x v="1"/>
    <m/>
    <m/>
    <x v="0"/>
    <n v="70804"/>
    <n v="0"/>
    <d v="2016-01-16T11:55:14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1581"/>
    <d v="2016-01-16T10:30:06"/>
    <d v="2016-01-16T10:45:05"/>
    <x v="2"/>
    <m/>
    <m/>
    <x v="1"/>
    <n v="70803"/>
    <n v="4.7145854459705703"/>
    <d v="2016-01-16T11:08:39"/>
    <n v="11.59"/>
    <x v="672"/>
    <n v="1"/>
    <n v="1.7"/>
    <n v="0"/>
    <n v="0"/>
    <n v="1.7"/>
    <x v="659"/>
    <x v="1"/>
    <x v="800"/>
    <x v="0"/>
    <n v="10"/>
    <e v="#N/A"/>
    <e v="#N/A"/>
  </r>
  <r>
    <n v="1582"/>
    <d v="2016-01-16T10:57:40"/>
    <d v="2016-01-16T11:12:40"/>
    <x v="0"/>
    <m/>
    <m/>
    <x v="0"/>
    <n v="70806"/>
    <n v="0"/>
    <d v="2016-01-16T11:15:40"/>
    <n v="7.99"/>
    <x v="2"/>
    <n v="1"/>
    <n v="1"/>
    <n v="0"/>
    <n v="0"/>
    <n v="1"/>
    <x v="0"/>
    <x v="0"/>
    <x v="0"/>
    <x v="0"/>
    <n v="7"/>
    <e v="#N/A"/>
    <e v="#N/A"/>
  </r>
  <r>
    <n v="1583"/>
    <d v="2016-01-16T12:21:43"/>
    <d v="2016-01-16T12:36:42"/>
    <x v="1"/>
    <m/>
    <m/>
    <x v="0"/>
    <n v="70804"/>
    <n v="0"/>
    <d v="2016-01-16T12:39:40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1584"/>
    <d v="2016-01-16T11:03:30"/>
    <d v="2016-01-16T11:18:29"/>
    <x v="2"/>
    <m/>
    <m/>
    <x v="0"/>
    <n v="70804"/>
    <n v="0"/>
    <d v="2016-01-16T11:21:28"/>
    <n v="11.59"/>
    <x v="1"/>
    <n v="1"/>
    <n v="1.7"/>
    <n v="0"/>
    <n v="0"/>
    <n v="1.7"/>
    <x v="0"/>
    <x v="0"/>
    <x v="0"/>
    <x v="0"/>
    <n v="10"/>
    <e v="#N/A"/>
    <e v="#N/A"/>
  </r>
  <r>
    <n v="1585"/>
    <d v="2016-01-16T14:52:37"/>
    <d v="2016-01-16T15:07:38"/>
    <x v="1"/>
    <m/>
    <m/>
    <x v="1"/>
    <n v="70804"/>
    <n v="3.28643494697782"/>
    <d v="2016-01-16T15:24:03"/>
    <n v="15.35"/>
    <x v="673"/>
    <n v="1"/>
    <n v="2.2999999999999998"/>
    <n v="0"/>
    <n v="0"/>
    <n v="2.2999999999999998"/>
    <x v="660"/>
    <x v="1"/>
    <x v="801"/>
    <x v="0"/>
    <n v="14"/>
    <e v="#N/A"/>
    <e v="#N/A"/>
  </r>
  <r>
    <n v="1586"/>
    <d v="2016-01-16T11:35:23"/>
    <d v="2016-01-16T11:50:23"/>
    <x v="0"/>
    <s v="Medium"/>
    <m/>
    <x v="0"/>
    <n v="70805"/>
    <n v="0"/>
    <d v="2016-01-16T11:53:22"/>
    <n v="19.579999999999998"/>
    <x v="24"/>
    <n v="2"/>
    <n v="1"/>
    <n v="1.7"/>
    <n v="0"/>
    <n v="2.7"/>
    <x v="0"/>
    <x v="0"/>
    <x v="0"/>
    <x v="0"/>
    <n v="7"/>
    <n v="10"/>
    <e v="#N/A"/>
  </r>
  <r>
    <n v="1587"/>
    <d v="2016-01-16T12:23:08"/>
    <d v="2016-01-16T12:38:08"/>
    <x v="2"/>
    <m/>
    <m/>
    <x v="0"/>
    <n v="70804"/>
    <n v="0"/>
    <d v="2016-01-16T12:41:08"/>
    <n v="11.59"/>
    <x v="2"/>
    <n v="1"/>
    <n v="1.7"/>
    <n v="0"/>
    <n v="0"/>
    <n v="1.7"/>
    <x v="0"/>
    <x v="0"/>
    <x v="0"/>
    <x v="0"/>
    <n v="10"/>
    <e v="#N/A"/>
    <e v="#N/A"/>
  </r>
  <r>
    <n v="1588"/>
    <d v="2016-01-16T12:08:56"/>
    <d v="2016-01-16T12:23:55"/>
    <x v="0"/>
    <s v="Large"/>
    <m/>
    <x v="0"/>
    <n v="70806"/>
    <n v="0"/>
    <d v="2016-01-16T12:26:54"/>
    <n v="23.34"/>
    <x v="1"/>
    <n v="2"/>
    <n v="1"/>
    <n v="2.2999999999999998"/>
    <n v="0"/>
    <n v="3.3"/>
    <x v="0"/>
    <x v="0"/>
    <x v="0"/>
    <x v="0"/>
    <n v="7"/>
    <n v="14"/>
    <e v="#N/A"/>
  </r>
  <r>
    <n v="1589"/>
    <d v="2016-01-16T12:43:35"/>
    <d v="2016-01-16T12:58:35"/>
    <x v="1"/>
    <m/>
    <m/>
    <x v="0"/>
    <n v="70806"/>
    <n v="0"/>
    <d v="2016-01-16T13:01:35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590"/>
    <d v="2016-01-16T12:31:14"/>
    <d v="2016-01-16T12:46:12"/>
    <x v="0"/>
    <s v="Medium"/>
    <m/>
    <x v="0"/>
    <n v="70805"/>
    <n v="0"/>
    <d v="2016-01-16T12:49:11"/>
    <n v="19.579999999999998"/>
    <x v="1"/>
    <n v="2"/>
    <n v="1"/>
    <n v="1.7"/>
    <n v="0"/>
    <n v="2.7"/>
    <x v="0"/>
    <x v="0"/>
    <x v="0"/>
    <x v="0"/>
    <n v="7"/>
    <n v="10"/>
    <e v="#N/A"/>
  </r>
  <r>
    <n v="1591"/>
    <d v="2016-01-16T11:12:12"/>
    <d v="2016-01-16T11:27:12"/>
    <x v="0"/>
    <s v="Large"/>
    <m/>
    <x v="0"/>
    <n v="70804"/>
    <n v="0"/>
    <d v="2016-01-16T11:30:12"/>
    <n v="23.34"/>
    <x v="2"/>
    <n v="2"/>
    <n v="1"/>
    <n v="2.2999999999999998"/>
    <n v="0"/>
    <n v="3.3"/>
    <x v="0"/>
    <x v="0"/>
    <x v="0"/>
    <x v="0"/>
    <n v="7"/>
    <n v="14"/>
    <e v="#N/A"/>
  </r>
  <r>
    <n v="1592"/>
    <d v="2016-01-16T13:34:06"/>
    <d v="2016-01-16T13:49:06"/>
    <x v="1"/>
    <m/>
    <m/>
    <x v="1"/>
    <n v="70804"/>
    <n v="3.0085587663540401"/>
    <d v="2016-01-16T14:04:08"/>
    <n v="15.35"/>
    <x v="674"/>
    <n v="1"/>
    <n v="2.2999999999999998"/>
    <n v="0"/>
    <n v="0"/>
    <n v="2.2999999999999998"/>
    <x v="661"/>
    <x v="0"/>
    <x v="802"/>
    <x v="449"/>
    <n v="14"/>
    <e v="#N/A"/>
    <e v="#N/A"/>
  </r>
  <r>
    <n v="1593"/>
    <d v="2016-01-16T13:22:33"/>
    <d v="2016-01-16T13:37:31"/>
    <x v="0"/>
    <s v="Medium"/>
    <m/>
    <x v="0"/>
    <n v="70803"/>
    <n v="0"/>
    <d v="2016-01-16T13:40:31"/>
    <n v="19.579999999999998"/>
    <x v="2"/>
    <n v="2"/>
    <n v="1"/>
    <n v="1.7"/>
    <n v="0"/>
    <n v="2.7"/>
    <x v="0"/>
    <x v="0"/>
    <x v="0"/>
    <x v="0"/>
    <n v="7"/>
    <n v="10"/>
    <e v="#N/A"/>
  </r>
  <r>
    <n v="1594"/>
    <d v="2016-01-16T13:20:07"/>
    <d v="2016-01-16T13:35:06"/>
    <x v="0"/>
    <m/>
    <m/>
    <x v="0"/>
    <n v="70805"/>
    <n v="0"/>
    <d v="2016-01-16T13:38:07"/>
    <n v="7.99"/>
    <x v="14"/>
    <n v="1"/>
    <n v="1"/>
    <n v="0"/>
    <n v="0"/>
    <n v="1"/>
    <x v="0"/>
    <x v="0"/>
    <x v="0"/>
    <x v="0"/>
    <n v="7"/>
    <e v="#N/A"/>
    <e v="#N/A"/>
  </r>
  <r>
    <n v="1595"/>
    <d v="2016-01-16T13:43:42"/>
    <d v="2016-01-16T13:58:44"/>
    <x v="2"/>
    <m/>
    <m/>
    <x v="1"/>
    <n v="70805"/>
    <n v="3.1647173457909501"/>
    <d v="2016-01-16T14:14:33"/>
    <n v="11.59"/>
    <x v="675"/>
    <n v="1"/>
    <n v="1.7"/>
    <n v="0"/>
    <n v="0"/>
    <n v="1.7"/>
    <x v="662"/>
    <x v="0"/>
    <x v="803"/>
    <x v="450"/>
    <n v="10"/>
    <e v="#N/A"/>
    <e v="#N/A"/>
  </r>
  <r>
    <n v="1596"/>
    <d v="2016-01-16T10:41:20"/>
    <d v="2016-01-16T10:56:19"/>
    <x v="2"/>
    <m/>
    <m/>
    <x v="1"/>
    <n v="70805"/>
    <n v="2.66870170134254"/>
    <d v="2016-01-16T11:09:39"/>
    <n v="11.59"/>
    <x v="114"/>
    <n v="1"/>
    <n v="1.7"/>
    <n v="0"/>
    <n v="0"/>
    <n v="1.7"/>
    <x v="104"/>
    <x v="0"/>
    <x v="804"/>
    <x v="451"/>
    <n v="10"/>
    <e v="#N/A"/>
    <e v="#N/A"/>
  </r>
  <r>
    <n v="1597"/>
    <d v="2016-01-16T11:41:09"/>
    <d v="2016-01-16T11:56:08"/>
    <x v="0"/>
    <s v="Medium"/>
    <m/>
    <x v="0"/>
    <n v="70803"/>
    <n v="0"/>
    <d v="2016-01-16T11:59:07"/>
    <n v="19.579999999999998"/>
    <x v="1"/>
    <n v="2"/>
    <n v="1"/>
    <n v="1.7"/>
    <n v="0"/>
    <n v="2.7"/>
    <x v="0"/>
    <x v="0"/>
    <x v="0"/>
    <x v="0"/>
    <n v="7"/>
    <n v="10"/>
    <e v="#N/A"/>
  </r>
  <r>
    <n v="1598"/>
    <d v="2016-01-16T12:22:22"/>
    <d v="2016-01-16T12:37:22"/>
    <x v="0"/>
    <s v="Large"/>
    <m/>
    <x v="1"/>
    <n v="70805"/>
    <n v="2.7864074641994701"/>
    <d v="2016-01-16T12:51:17"/>
    <n v="23.34"/>
    <x v="676"/>
    <n v="2"/>
    <n v="1"/>
    <n v="2.2999999999999998"/>
    <n v="0"/>
    <n v="3.3"/>
    <x v="663"/>
    <x v="0"/>
    <x v="805"/>
    <x v="452"/>
    <n v="7"/>
    <n v="14"/>
    <e v="#N/A"/>
  </r>
  <r>
    <n v="1599"/>
    <d v="2016-01-16T12:16:22"/>
    <d v="2016-01-16T12:31:22"/>
    <x v="1"/>
    <m/>
    <m/>
    <x v="0"/>
    <n v="70806"/>
    <n v="0"/>
    <d v="2016-01-16T12:34:22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600"/>
    <d v="2016-01-16T10:11:43"/>
    <d v="2016-01-16T10:26:42"/>
    <x v="2"/>
    <m/>
    <m/>
    <x v="0"/>
    <n v="70805"/>
    <n v="0"/>
    <d v="2016-01-16T10:29:41"/>
    <n v="11.59"/>
    <x v="24"/>
    <n v="1"/>
    <n v="1.7"/>
    <n v="0"/>
    <n v="0"/>
    <n v="1.7"/>
    <x v="0"/>
    <x v="0"/>
    <x v="0"/>
    <x v="0"/>
    <n v="10"/>
    <e v="#N/A"/>
    <e v="#N/A"/>
  </r>
  <r>
    <n v="1601"/>
    <d v="2016-01-16T12:29:22"/>
    <d v="2016-01-16T12:44:22"/>
    <x v="0"/>
    <s v="Medium"/>
    <m/>
    <x v="1"/>
    <n v="70803"/>
    <n v="2.3314714844464799"/>
    <d v="2016-01-16T12:56:01"/>
    <n v="19.579999999999998"/>
    <x v="356"/>
    <n v="2"/>
    <n v="1"/>
    <n v="1.7"/>
    <n v="0"/>
    <n v="2.7"/>
    <x v="343"/>
    <x v="0"/>
    <x v="806"/>
    <x v="453"/>
    <n v="7"/>
    <n v="10"/>
    <e v="#N/A"/>
  </r>
  <r>
    <n v="1602"/>
    <d v="2016-01-16T12:12:24"/>
    <d v="2016-01-16T12:27:24"/>
    <x v="0"/>
    <m/>
    <m/>
    <x v="0"/>
    <n v="70804"/>
    <n v="0"/>
    <d v="2016-01-16T12:30:22"/>
    <n v="7.99"/>
    <x v="19"/>
    <n v="1"/>
    <n v="1"/>
    <n v="0"/>
    <n v="0"/>
    <n v="1"/>
    <x v="0"/>
    <x v="0"/>
    <x v="0"/>
    <x v="0"/>
    <n v="7"/>
    <e v="#N/A"/>
    <e v="#N/A"/>
  </r>
  <r>
    <n v="1603"/>
    <d v="2016-01-16T11:38:17"/>
    <d v="2016-01-16T11:53:14"/>
    <x v="0"/>
    <s v="Medium"/>
    <m/>
    <x v="1"/>
    <n v="70803"/>
    <n v="1.24603908013894"/>
    <d v="2016-01-16T11:59:27"/>
    <n v="19.579999999999998"/>
    <x v="677"/>
    <n v="2"/>
    <n v="1"/>
    <n v="1.7"/>
    <n v="0"/>
    <n v="2.7"/>
    <x v="664"/>
    <x v="0"/>
    <x v="807"/>
    <x v="454"/>
    <n v="7"/>
    <n v="10"/>
    <e v="#N/A"/>
  </r>
  <r>
    <n v="1604"/>
    <d v="2016-01-16T12:30:54"/>
    <d v="2016-01-16T12:45:52"/>
    <x v="1"/>
    <m/>
    <m/>
    <x v="0"/>
    <n v="70803"/>
    <n v="0"/>
    <d v="2016-01-16T12:48:52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605"/>
    <d v="2016-01-16T12:07:27"/>
    <d v="2016-01-16T12:22:25"/>
    <x v="0"/>
    <m/>
    <m/>
    <x v="0"/>
    <n v="70804"/>
    <n v="0"/>
    <d v="2016-01-16T12:25:24"/>
    <n v="7.99"/>
    <x v="24"/>
    <n v="1"/>
    <n v="1"/>
    <n v="0"/>
    <n v="0"/>
    <n v="1"/>
    <x v="0"/>
    <x v="0"/>
    <x v="0"/>
    <x v="0"/>
    <n v="7"/>
    <e v="#N/A"/>
    <e v="#N/A"/>
  </r>
  <r>
    <n v="1606"/>
    <d v="2016-01-16T10:36:55"/>
    <d v="2016-01-16T10:51:53"/>
    <x v="2"/>
    <m/>
    <m/>
    <x v="0"/>
    <n v="70803"/>
    <n v="0"/>
    <d v="2016-01-16T10:54:53"/>
    <n v="11.59"/>
    <x v="2"/>
    <n v="1"/>
    <n v="1.7"/>
    <n v="0"/>
    <n v="0"/>
    <n v="1.7"/>
    <x v="0"/>
    <x v="0"/>
    <x v="0"/>
    <x v="0"/>
    <n v="10"/>
    <e v="#N/A"/>
    <e v="#N/A"/>
  </r>
  <r>
    <n v="1607"/>
    <d v="2016-01-16T12:19:51"/>
    <d v="2016-01-16T12:34:50"/>
    <x v="0"/>
    <s v="Large"/>
    <m/>
    <x v="1"/>
    <n v="70805"/>
    <n v="3.3762829858616401"/>
    <d v="2016-01-16T12:51:42"/>
    <n v="23.34"/>
    <x v="678"/>
    <n v="2"/>
    <n v="1"/>
    <n v="2.2999999999999998"/>
    <n v="0"/>
    <n v="3.3"/>
    <x v="665"/>
    <x v="1"/>
    <x v="808"/>
    <x v="0"/>
    <n v="7"/>
    <n v="14"/>
    <e v="#N/A"/>
  </r>
  <r>
    <n v="1608"/>
    <d v="2016-01-16T12:27:26"/>
    <d v="2016-01-16T12:42:27"/>
    <x v="2"/>
    <m/>
    <m/>
    <x v="1"/>
    <n v="70806"/>
    <n v="3.3104011391537398"/>
    <d v="2016-01-16T12:59:00"/>
    <n v="11.59"/>
    <x v="487"/>
    <n v="1"/>
    <n v="1.7"/>
    <n v="0"/>
    <n v="0"/>
    <n v="1.7"/>
    <x v="474"/>
    <x v="1"/>
    <x v="809"/>
    <x v="0"/>
    <n v="10"/>
    <e v="#N/A"/>
    <e v="#N/A"/>
  </r>
  <r>
    <n v="1609"/>
    <d v="2016-01-16T12:15:17"/>
    <d v="2016-01-16T12:30:16"/>
    <x v="1"/>
    <m/>
    <m/>
    <x v="0"/>
    <n v="70805"/>
    <n v="0"/>
    <d v="2016-01-16T12:33:16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610"/>
    <d v="2016-01-16T14:47:48"/>
    <d v="2016-01-16T15:02:48"/>
    <x v="0"/>
    <m/>
    <m/>
    <x v="0"/>
    <n v="70806"/>
    <n v="0"/>
    <d v="2016-01-16T15:05:47"/>
    <n v="7.99"/>
    <x v="24"/>
    <n v="1"/>
    <n v="1"/>
    <n v="0"/>
    <n v="0"/>
    <n v="1"/>
    <x v="0"/>
    <x v="0"/>
    <x v="0"/>
    <x v="0"/>
    <n v="7"/>
    <e v="#N/A"/>
    <e v="#N/A"/>
  </r>
  <r>
    <n v="1611"/>
    <d v="2016-01-17T13:57:29"/>
    <d v="2016-01-17T14:12:29"/>
    <x v="2"/>
    <s v="Large"/>
    <m/>
    <x v="0"/>
    <n v="70804"/>
    <n v="0"/>
    <d v="2016-01-17T14:15:29"/>
    <n v="25.94"/>
    <x v="2"/>
    <n v="2"/>
    <n v="1.7"/>
    <n v="2.2999999999999998"/>
    <n v="0"/>
    <n v="4"/>
    <x v="0"/>
    <x v="0"/>
    <x v="0"/>
    <x v="0"/>
    <n v="10"/>
    <n v="14"/>
    <e v="#N/A"/>
  </r>
  <r>
    <n v="1612"/>
    <d v="2016-01-17T11:35:43"/>
    <d v="2016-01-17T11:50:43"/>
    <x v="0"/>
    <s v="Medium"/>
    <m/>
    <x v="0"/>
    <n v="70803"/>
    <n v="0"/>
    <d v="2016-01-17T11:53:44"/>
    <n v="19.579999999999998"/>
    <x v="14"/>
    <n v="2"/>
    <n v="1"/>
    <n v="1.7"/>
    <n v="0"/>
    <n v="2.7"/>
    <x v="0"/>
    <x v="0"/>
    <x v="0"/>
    <x v="0"/>
    <n v="7"/>
    <n v="10"/>
    <e v="#N/A"/>
  </r>
  <r>
    <n v="1613"/>
    <d v="2016-01-17T11:35:45"/>
    <d v="2016-01-17T11:50:44"/>
    <x v="0"/>
    <m/>
    <m/>
    <x v="0"/>
    <n v="70803"/>
    <n v="0"/>
    <d v="2016-01-17T11:53:43"/>
    <n v="7.99"/>
    <x v="24"/>
    <n v="1"/>
    <n v="1"/>
    <n v="0"/>
    <n v="0"/>
    <n v="1"/>
    <x v="0"/>
    <x v="0"/>
    <x v="0"/>
    <x v="0"/>
    <n v="7"/>
    <e v="#N/A"/>
    <e v="#N/A"/>
  </r>
  <r>
    <n v="1614"/>
    <d v="2016-01-17T10:45:42"/>
    <d v="2016-01-17T11:00:42"/>
    <x v="0"/>
    <m/>
    <m/>
    <x v="0"/>
    <n v="70806"/>
    <n v="0"/>
    <d v="2016-01-17T11:03:41"/>
    <n v="7.99"/>
    <x v="24"/>
    <n v="1"/>
    <n v="1"/>
    <n v="0"/>
    <n v="0"/>
    <n v="1"/>
    <x v="0"/>
    <x v="0"/>
    <x v="0"/>
    <x v="0"/>
    <n v="7"/>
    <e v="#N/A"/>
    <e v="#N/A"/>
  </r>
  <r>
    <n v="1615"/>
    <d v="2016-01-17T12:31:28"/>
    <d v="2016-01-17T12:46:26"/>
    <x v="0"/>
    <s v="Medium"/>
    <m/>
    <x v="0"/>
    <n v="70804"/>
    <n v="0"/>
    <d v="2016-01-17T12:49:25"/>
    <n v="19.579999999999998"/>
    <x v="24"/>
    <n v="2"/>
    <n v="1"/>
    <n v="1.7"/>
    <n v="0"/>
    <n v="2.7"/>
    <x v="0"/>
    <x v="0"/>
    <x v="0"/>
    <x v="0"/>
    <n v="7"/>
    <n v="10"/>
    <e v="#N/A"/>
  </r>
  <r>
    <n v="1616"/>
    <d v="2016-01-17T13:28:13"/>
    <d v="2016-01-17T13:43:13"/>
    <x v="2"/>
    <m/>
    <m/>
    <x v="1"/>
    <n v="70806"/>
    <n v="3.5914789142230901"/>
    <d v="2016-01-17T14:01:10"/>
    <n v="11.59"/>
    <x v="679"/>
    <n v="1"/>
    <n v="1.7"/>
    <n v="0"/>
    <n v="0"/>
    <n v="1.7"/>
    <x v="666"/>
    <x v="1"/>
    <x v="810"/>
    <x v="0"/>
    <n v="10"/>
    <e v="#N/A"/>
    <e v="#N/A"/>
  </r>
  <r>
    <n v="1617"/>
    <d v="2016-01-17T12:20:27"/>
    <d v="2016-01-17T12:35:25"/>
    <x v="2"/>
    <m/>
    <m/>
    <x v="0"/>
    <n v="70805"/>
    <n v="0"/>
    <d v="2016-01-17T12:38:25"/>
    <n v="11.59"/>
    <x v="2"/>
    <n v="1"/>
    <n v="1.7"/>
    <n v="0"/>
    <n v="0"/>
    <n v="1.7"/>
    <x v="0"/>
    <x v="0"/>
    <x v="0"/>
    <x v="0"/>
    <n v="10"/>
    <e v="#N/A"/>
    <e v="#N/A"/>
  </r>
  <r>
    <n v="1618"/>
    <d v="2016-01-17T13:37:16"/>
    <d v="2016-01-17T13:52:17"/>
    <x v="2"/>
    <m/>
    <m/>
    <x v="0"/>
    <n v="70805"/>
    <n v="0"/>
    <d v="2016-01-17T13:55:16"/>
    <n v="11.59"/>
    <x v="24"/>
    <n v="1"/>
    <n v="1.7"/>
    <n v="0"/>
    <n v="0"/>
    <n v="1.7"/>
    <x v="0"/>
    <x v="0"/>
    <x v="0"/>
    <x v="0"/>
    <n v="10"/>
    <e v="#N/A"/>
    <e v="#N/A"/>
  </r>
  <r>
    <n v="1619"/>
    <d v="2016-01-17T13:45:13"/>
    <d v="2016-01-17T14:00:13"/>
    <x v="2"/>
    <m/>
    <m/>
    <x v="1"/>
    <n v="70805"/>
    <n v="1.8245723523675099"/>
    <d v="2016-01-17T14:09:20"/>
    <n v="11.59"/>
    <x v="680"/>
    <n v="1"/>
    <n v="1.7"/>
    <n v="0"/>
    <n v="0"/>
    <n v="1.7"/>
    <x v="667"/>
    <x v="0"/>
    <x v="811"/>
    <x v="455"/>
    <n v="10"/>
    <e v="#N/A"/>
    <e v="#N/A"/>
  </r>
  <r>
    <n v="1620"/>
    <d v="2016-01-17T11:48:30"/>
    <d v="2016-01-17T12:03:27"/>
    <x v="0"/>
    <s v="Medium"/>
    <m/>
    <x v="1"/>
    <n v="70805"/>
    <n v="2.0608402450096901"/>
    <d v="2016-01-17T12:13:45"/>
    <n v="19.579999999999998"/>
    <x v="681"/>
    <n v="2"/>
    <n v="1"/>
    <n v="1.7"/>
    <n v="0"/>
    <n v="2.7"/>
    <x v="668"/>
    <x v="0"/>
    <x v="812"/>
    <x v="456"/>
    <n v="7"/>
    <n v="10"/>
    <e v="#N/A"/>
  </r>
  <r>
    <n v="1621"/>
    <d v="2016-01-17T10:36:37"/>
    <d v="2016-01-17T10:51:36"/>
    <x v="2"/>
    <m/>
    <m/>
    <x v="1"/>
    <n v="70804"/>
    <n v="1.65431710821374"/>
    <d v="2016-01-17T10:59:52"/>
    <n v="11.59"/>
    <x v="282"/>
    <n v="1"/>
    <n v="1.7"/>
    <n v="0"/>
    <n v="0"/>
    <n v="1.7"/>
    <x v="269"/>
    <x v="0"/>
    <x v="813"/>
    <x v="457"/>
    <n v="10"/>
    <e v="#N/A"/>
    <e v="#N/A"/>
  </r>
  <r>
    <n v="1622"/>
    <d v="2016-01-17T14:49:49"/>
    <d v="2016-01-17T15:04:49"/>
    <x v="0"/>
    <s v="Large"/>
    <m/>
    <x v="0"/>
    <n v="70805"/>
    <n v="0"/>
    <d v="2016-01-17T15:07:48"/>
    <n v="23.34"/>
    <x v="24"/>
    <n v="2"/>
    <n v="1"/>
    <n v="2.2999999999999998"/>
    <n v="0"/>
    <n v="3.3"/>
    <x v="0"/>
    <x v="0"/>
    <x v="0"/>
    <x v="0"/>
    <n v="7"/>
    <n v="14"/>
    <e v="#N/A"/>
  </r>
  <r>
    <n v="1623"/>
    <d v="2016-01-17T12:32:36"/>
    <d v="2016-01-17T12:47:36"/>
    <x v="0"/>
    <m/>
    <m/>
    <x v="0"/>
    <n v="70804"/>
    <n v="0"/>
    <d v="2016-01-17T12:50:35"/>
    <n v="7.99"/>
    <x v="24"/>
    <n v="1"/>
    <n v="1"/>
    <n v="0"/>
    <n v="0"/>
    <n v="1"/>
    <x v="0"/>
    <x v="0"/>
    <x v="0"/>
    <x v="0"/>
    <n v="7"/>
    <e v="#N/A"/>
    <e v="#N/A"/>
  </r>
  <r>
    <n v="1624"/>
    <d v="2016-01-17T11:27:54"/>
    <d v="2016-01-17T11:42:52"/>
    <x v="2"/>
    <s v="Large"/>
    <m/>
    <x v="1"/>
    <n v="70803"/>
    <n v="2.7557257557905799"/>
    <d v="2016-01-17T11:56:38"/>
    <n v="25.94"/>
    <x v="682"/>
    <n v="2"/>
    <n v="1.7"/>
    <n v="2.2999999999999998"/>
    <n v="0"/>
    <n v="4"/>
    <x v="669"/>
    <x v="0"/>
    <x v="814"/>
    <x v="458"/>
    <n v="10"/>
    <n v="14"/>
    <e v="#N/A"/>
  </r>
  <r>
    <n v="1625"/>
    <d v="2016-01-17T13:24:18"/>
    <d v="2016-01-17T13:39:17"/>
    <x v="0"/>
    <s v="Medium"/>
    <m/>
    <x v="0"/>
    <n v="70807"/>
    <n v="0"/>
    <d v="2016-01-17T13:42:15"/>
    <n v="19.579999999999998"/>
    <x v="0"/>
    <n v="2"/>
    <n v="1"/>
    <n v="1.7"/>
    <n v="0"/>
    <n v="2.7"/>
    <x v="0"/>
    <x v="0"/>
    <x v="0"/>
    <x v="0"/>
    <n v="7"/>
    <n v="10"/>
    <e v="#N/A"/>
  </r>
  <r>
    <n v="1626"/>
    <d v="2016-01-17T12:48:09"/>
    <d v="2016-01-17T13:03:10"/>
    <x v="2"/>
    <m/>
    <m/>
    <x v="0"/>
    <n v="70804"/>
    <n v="0"/>
    <d v="2016-01-17T13:06:09"/>
    <n v="11.59"/>
    <x v="24"/>
    <n v="1"/>
    <n v="1.7"/>
    <n v="0"/>
    <n v="0"/>
    <n v="1.7"/>
    <x v="0"/>
    <x v="0"/>
    <x v="0"/>
    <x v="0"/>
    <n v="10"/>
    <e v="#N/A"/>
    <e v="#N/A"/>
  </r>
  <r>
    <n v="1627"/>
    <d v="2016-01-17T12:25:12"/>
    <d v="2016-01-17T12:40:11"/>
    <x v="0"/>
    <m/>
    <m/>
    <x v="1"/>
    <n v="70806"/>
    <n v="3.8035479208763801"/>
    <d v="2016-01-17T12:59:12"/>
    <n v="7.99"/>
    <x v="683"/>
    <n v="1"/>
    <n v="1"/>
    <n v="0"/>
    <n v="0"/>
    <n v="1"/>
    <x v="670"/>
    <x v="1"/>
    <x v="815"/>
    <x v="0"/>
    <n v="7"/>
    <e v="#N/A"/>
    <e v="#N/A"/>
  </r>
  <r>
    <n v="1628"/>
    <d v="2016-01-17T12:22:21"/>
    <d v="2016-01-17T12:37:20"/>
    <x v="2"/>
    <m/>
    <m/>
    <x v="0"/>
    <n v="70805"/>
    <n v="0"/>
    <d v="2016-01-17T12:40:19"/>
    <n v="11.59"/>
    <x v="24"/>
    <n v="1"/>
    <n v="1.7"/>
    <n v="0"/>
    <n v="0"/>
    <n v="1.7"/>
    <x v="0"/>
    <x v="0"/>
    <x v="0"/>
    <x v="0"/>
    <n v="10"/>
    <e v="#N/A"/>
    <e v="#N/A"/>
  </r>
  <r>
    <n v="1629"/>
    <d v="2016-01-17T11:35:14"/>
    <d v="2016-01-17T11:50:14"/>
    <x v="2"/>
    <m/>
    <m/>
    <x v="0"/>
    <n v="70804"/>
    <n v="0"/>
    <d v="2016-01-17T11:53:14"/>
    <n v="11.59"/>
    <x v="2"/>
    <n v="1"/>
    <n v="1.7"/>
    <n v="0"/>
    <n v="0"/>
    <n v="1.7"/>
    <x v="0"/>
    <x v="0"/>
    <x v="0"/>
    <x v="0"/>
    <n v="10"/>
    <e v="#N/A"/>
    <e v="#N/A"/>
  </r>
  <r>
    <n v="1630"/>
    <d v="2016-01-17T13:17:29"/>
    <d v="2016-01-17T13:32:29"/>
    <x v="2"/>
    <m/>
    <m/>
    <x v="0"/>
    <n v="70806"/>
    <n v="0"/>
    <d v="2016-01-17T13:35:28"/>
    <n v="11.59"/>
    <x v="24"/>
    <n v="1"/>
    <n v="1.7"/>
    <n v="0"/>
    <n v="0"/>
    <n v="1.7"/>
    <x v="0"/>
    <x v="0"/>
    <x v="0"/>
    <x v="0"/>
    <n v="10"/>
    <e v="#N/A"/>
    <e v="#N/A"/>
  </r>
  <r>
    <n v="1631"/>
    <d v="2016-01-17T11:02:24"/>
    <d v="2016-01-17T11:17:23"/>
    <x v="2"/>
    <s v="Large"/>
    <m/>
    <x v="0"/>
    <n v="70804"/>
    <n v="0"/>
    <d v="2016-01-17T11:20:24"/>
    <n v="25.94"/>
    <x v="14"/>
    <n v="2"/>
    <n v="1.7"/>
    <n v="2.2999999999999998"/>
    <n v="0"/>
    <n v="4"/>
    <x v="0"/>
    <x v="0"/>
    <x v="0"/>
    <x v="0"/>
    <n v="10"/>
    <n v="14"/>
    <e v="#N/A"/>
  </r>
  <r>
    <n v="1632"/>
    <d v="2016-01-17T12:13:43"/>
    <d v="2016-01-17T12:28:41"/>
    <x v="0"/>
    <m/>
    <m/>
    <x v="0"/>
    <n v="70805"/>
    <n v="0"/>
    <d v="2016-01-17T12:31:40"/>
    <n v="7.99"/>
    <x v="24"/>
    <n v="1"/>
    <n v="1"/>
    <n v="0"/>
    <n v="0"/>
    <n v="1"/>
    <x v="0"/>
    <x v="0"/>
    <x v="0"/>
    <x v="0"/>
    <n v="7"/>
    <e v="#N/A"/>
    <e v="#N/A"/>
  </r>
  <r>
    <n v="1633"/>
    <d v="2016-01-17T12:39:05"/>
    <d v="2016-01-17T12:54:04"/>
    <x v="0"/>
    <s v="Medium"/>
    <m/>
    <x v="0"/>
    <n v="70805"/>
    <n v="0"/>
    <d v="2016-01-17T12:57:04"/>
    <n v="19.579999999999998"/>
    <x v="2"/>
    <n v="2"/>
    <n v="1"/>
    <n v="1.7"/>
    <n v="0"/>
    <n v="2.7"/>
    <x v="0"/>
    <x v="0"/>
    <x v="0"/>
    <x v="0"/>
    <n v="7"/>
    <n v="10"/>
    <e v="#N/A"/>
  </r>
  <r>
    <n v="1634"/>
    <d v="2016-01-17T12:36:22"/>
    <d v="2016-01-17T12:51:22"/>
    <x v="0"/>
    <m/>
    <m/>
    <x v="1"/>
    <n v="70803"/>
    <n v="4.9803087576670002"/>
    <d v="2016-01-17T13:16:16"/>
    <n v="7.99"/>
    <x v="684"/>
    <n v="1"/>
    <n v="1"/>
    <n v="0"/>
    <n v="0"/>
    <n v="1"/>
    <x v="671"/>
    <x v="1"/>
    <x v="816"/>
    <x v="0"/>
    <n v="7"/>
    <e v="#N/A"/>
    <e v="#N/A"/>
  </r>
  <r>
    <n v="1635"/>
    <d v="2016-01-17T13:38:09"/>
    <d v="2016-01-17T13:53:08"/>
    <x v="2"/>
    <m/>
    <m/>
    <x v="0"/>
    <n v="70806"/>
    <n v="0"/>
    <d v="2016-01-17T13:56:07"/>
    <n v="11.59"/>
    <x v="24"/>
    <n v="1"/>
    <n v="1.7"/>
    <n v="0"/>
    <n v="0"/>
    <n v="1.7"/>
    <x v="0"/>
    <x v="0"/>
    <x v="0"/>
    <x v="0"/>
    <n v="10"/>
    <e v="#N/A"/>
    <e v="#N/A"/>
  </r>
  <r>
    <n v="1636"/>
    <d v="2016-01-17T11:24:31"/>
    <d v="2016-01-17T11:39:30"/>
    <x v="1"/>
    <m/>
    <m/>
    <x v="0"/>
    <n v="70807"/>
    <n v="0"/>
    <d v="2016-01-17T11:42:28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1637"/>
    <d v="2016-01-17T14:35:28"/>
    <d v="2016-01-17T14:50:27"/>
    <x v="0"/>
    <m/>
    <m/>
    <x v="1"/>
    <n v="70806"/>
    <n v="3.0164756847796301"/>
    <d v="2016-01-17T15:05:31"/>
    <n v="7.99"/>
    <x v="685"/>
    <n v="1"/>
    <n v="1"/>
    <n v="0"/>
    <n v="0"/>
    <n v="1"/>
    <x v="672"/>
    <x v="0"/>
    <x v="817"/>
    <x v="459"/>
    <n v="7"/>
    <e v="#N/A"/>
    <e v="#N/A"/>
  </r>
  <r>
    <n v="1638"/>
    <d v="2016-01-17T12:33:43"/>
    <d v="2016-01-17T12:48:41"/>
    <x v="0"/>
    <m/>
    <m/>
    <x v="0"/>
    <n v="70804"/>
    <n v="0"/>
    <d v="2016-01-17T12:51:41"/>
    <n v="7.99"/>
    <x v="2"/>
    <n v="1"/>
    <n v="1"/>
    <n v="0"/>
    <n v="0"/>
    <n v="1"/>
    <x v="0"/>
    <x v="0"/>
    <x v="0"/>
    <x v="0"/>
    <n v="7"/>
    <e v="#N/A"/>
    <e v="#N/A"/>
  </r>
  <r>
    <n v="1639"/>
    <d v="2016-01-17T12:40:43"/>
    <d v="2016-01-17T12:55:45"/>
    <x v="1"/>
    <m/>
    <m/>
    <x v="0"/>
    <n v="70803"/>
    <n v="0"/>
    <d v="2016-01-17T12:58:44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1640"/>
    <d v="2016-01-17T11:44:26"/>
    <d v="2016-01-17T11:59:26"/>
    <x v="1"/>
    <m/>
    <m/>
    <x v="1"/>
    <n v="70805"/>
    <n v="3.5266122335089101"/>
    <d v="2016-01-17T12:17:03"/>
    <n v="15.35"/>
    <x v="686"/>
    <n v="1"/>
    <n v="2.2999999999999998"/>
    <n v="0"/>
    <n v="0"/>
    <n v="2.2999999999999998"/>
    <x v="673"/>
    <x v="1"/>
    <x v="818"/>
    <x v="0"/>
    <n v="14"/>
    <e v="#N/A"/>
    <e v="#N/A"/>
  </r>
  <r>
    <n v="1641"/>
    <d v="2016-01-17T11:26:32"/>
    <d v="2016-01-17T11:41:32"/>
    <x v="2"/>
    <m/>
    <m/>
    <x v="0"/>
    <n v="70804"/>
    <n v="0"/>
    <d v="2016-01-17T11:44:31"/>
    <n v="11.59"/>
    <x v="24"/>
    <n v="1"/>
    <n v="1.7"/>
    <n v="0"/>
    <n v="0"/>
    <n v="1.7"/>
    <x v="0"/>
    <x v="0"/>
    <x v="0"/>
    <x v="0"/>
    <n v="10"/>
    <e v="#N/A"/>
    <e v="#N/A"/>
  </r>
  <r>
    <n v="1642"/>
    <d v="2016-01-17T13:26:50"/>
    <d v="2016-01-17T13:41:47"/>
    <x v="1"/>
    <m/>
    <m/>
    <x v="1"/>
    <n v="70805"/>
    <n v="3.6261620077648198"/>
    <d v="2016-01-17T13:59:54"/>
    <n v="15.35"/>
    <x v="687"/>
    <n v="1"/>
    <n v="2.2999999999999998"/>
    <n v="0"/>
    <n v="0"/>
    <n v="2.2999999999999998"/>
    <x v="674"/>
    <x v="1"/>
    <x v="819"/>
    <x v="0"/>
    <n v="14"/>
    <e v="#N/A"/>
    <e v="#N/A"/>
  </r>
  <r>
    <n v="1643"/>
    <d v="2016-01-17T12:16:07"/>
    <d v="2016-01-17T12:31:07"/>
    <x v="0"/>
    <s v="Medium"/>
    <m/>
    <x v="1"/>
    <n v="70805"/>
    <n v="1.2641813005086699"/>
    <d v="2016-01-17T12:37:26"/>
    <n v="19.579999999999998"/>
    <x v="688"/>
    <n v="2"/>
    <n v="1"/>
    <n v="1.7"/>
    <n v="0"/>
    <n v="2.7"/>
    <x v="675"/>
    <x v="0"/>
    <x v="820"/>
    <x v="460"/>
    <n v="7"/>
    <n v="10"/>
    <e v="#N/A"/>
  </r>
  <r>
    <n v="1644"/>
    <d v="2016-01-17T11:33:06"/>
    <d v="2016-01-17T11:48:06"/>
    <x v="1"/>
    <m/>
    <m/>
    <x v="1"/>
    <n v="70804"/>
    <n v="2.6459816881716298"/>
    <d v="2016-01-17T12:01:19"/>
    <n v="15.35"/>
    <x v="689"/>
    <n v="1"/>
    <n v="2.2999999999999998"/>
    <n v="0"/>
    <n v="0"/>
    <n v="2.2999999999999998"/>
    <x v="676"/>
    <x v="0"/>
    <x v="821"/>
    <x v="461"/>
    <n v="14"/>
    <e v="#N/A"/>
    <e v="#N/A"/>
  </r>
  <r>
    <n v="1645"/>
    <d v="2016-01-17T10:35:20"/>
    <d v="2016-01-17T10:50:20"/>
    <x v="0"/>
    <s v="Medium"/>
    <m/>
    <x v="0"/>
    <n v="70803"/>
    <n v="0"/>
    <d v="2016-01-17T10:53:20"/>
    <n v="19.579999999999998"/>
    <x v="2"/>
    <n v="2"/>
    <n v="1"/>
    <n v="1.7"/>
    <n v="0"/>
    <n v="2.7"/>
    <x v="0"/>
    <x v="0"/>
    <x v="0"/>
    <x v="0"/>
    <n v="7"/>
    <n v="10"/>
    <e v="#N/A"/>
  </r>
  <r>
    <n v="1646"/>
    <d v="2016-01-17T11:18:32"/>
    <d v="2016-01-17T11:33:30"/>
    <x v="0"/>
    <s v="Medium"/>
    <m/>
    <x v="1"/>
    <n v="70804"/>
    <n v="3.0139840047321198"/>
    <d v="2016-01-17T11:48:34"/>
    <n v="19.579999999999998"/>
    <x v="685"/>
    <n v="2"/>
    <n v="1"/>
    <n v="1.7"/>
    <n v="0"/>
    <n v="2.7"/>
    <x v="672"/>
    <x v="0"/>
    <x v="822"/>
    <x v="462"/>
    <n v="7"/>
    <n v="10"/>
    <e v="#N/A"/>
  </r>
  <r>
    <n v="1647"/>
    <d v="2016-01-17T12:32:47"/>
    <d v="2016-01-17T12:47:48"/>
    <x v="1"/>
    <m/>
    <m/>
    <x v="1"/>
    <n v="70807"/>
    <n v="2.64015628183324"/>
    <d v="2016-01-17T13:01:00"/>
    <n v="15.35"/>
    <x v="690"/>
    <n v="1"/>
    <n v="2.2999999999999998"/>
    <n v="0"/>
    <n v="0"/>
    <n v="2.2999999999999998"/>
    <x v="677"/>
    <x v="0"/>
    <x v="823"/>
    <x v="463"/>
    <n v="14"/>
    <e v="#N/A"/>
    <e v="#N/A"/>
  </r>
  <r>
    <n v="1648"/>
    <d v="2016-01-17T13:23:16"/>
    <d v="2016-01-17T13:38:15"/>
    <x v="0"/>
    <m/>
    <m/>
    <x v="0"/>
    <n v="70805"/>
    <n v="0"/>
    <d v="2016-01-17T13:41:14"/>
    <n v="7.99"/>
    <x v="24"/>
    <n v="1"/>
    <n v="1"/>
    <n v="0"/>
    <n v="0"/>
    <n v="1"/>
    <x v="0"/>
    <x v="0"/>
    <x v="0"/>
    <x v="0"/>
    <n v="7"/>
    <e v="#N/A"/>
    <e v="#N/A"/>
  </r>
  <r>
    <n v="1649"/>
    <d v="2016-01-17T12:44:55"/>
    <d v="2016-01-17T12:59:55"/>
    <x v="1"/>
    <m/>
    <m/>
    <x v="0"/>
    <n v="70803"/>
    <n v="0"/>
    <d v="2016-01-17T13:02:55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650"/>
    <d v="2016-01-17T11:00:27"/>
    <d v="2016-01-17T11:15:27"/>
    <x v="1"/>
    <m/>
    <m/>
    <x v="1"/>
    <n v="70806"/>
    <n v="2.3593288266408399"/>
    <d v="2016-01-17T11:27:14"/>
    <n v="15.35"/>
    <x v="4"/>
    <n v="1"/>
    <n v="2.2999999999999998"/>
    <n v="0"/>
    <n v="0"/>
    <n v="2.2999999999999998"/>
    <x v="2"/>
    <x v="0"/>
    <x v="824"/>
    <x v="464"/>
    <n v="14"/>
    <e v="#N/A"/>
    <e v="#N/A"/>
  </r>
  <r>
    <n v="1651"/>
    <d v="2016-01-17T11:41:15"/>
    <d v="2016-01-17T11:56:13"/>
    <x v="2"/>
    <m/>
    <m/>
    <x v="1"/>
    <n v="70804"/>
    <n v="3.5697015230211"/>
    <d v="2016-01-17T12:14:03"/>
    <n v="11.59"/>
    <x v="691"/>
    <n v="1"/>
    <n v="1.7"/>
    <n v="0"/>
    <n v="0"/>
    <n v="1.7"/>
    <x v="678"/>
    <x v="1"/>
    <x v="825"/>
    <x v="0"/>
    <n v="10"/>
    <e v="#N/A"/>
    <e v="#N/A"/>
  </r>
  <r>
    <n v="1652"/>
    <d v="2016-01-17T11:35:25"/>
    <d v="2016-01-17T11:50:24"/>
    <x v="0"/>
    <s v="Large"/>
    <m/>
    <x v="0"/>
    <n v="70806"/>
    <n v="0"/>
    <d v="2016-01-17T11:53:24"/>
    <n v="23.34"/>
    <x v="2"/>
    <n v="2"/>
    <n v="1"/>
    <n v="2.2999999999999998"/>
    <n v="0"/>
    <n v="3.3"/>
    <x v="0"/>
    <x v="0"/>
    <x v="0"/>
    <x v="0"/>
    <n v="7"/>
    <n v="14"/>
    <e v="#N/A"/>
  </r>
  <r>
    <n v="1653"/>
    <d v="2016-01-17T12:24:13"/>
    <d v="2016-01-17T12:39:11"/>
    <x v="0"/>
    <s v="Large"/>
    <m/>
    <x v="0"/>
    <n v="70805"/>
    <n v="0"/>
    <d v="2016-01-17T12:42:10"/>
    <n v="23.34"/>
    <x v="24"/>
    <n v="2"/>
    <n v="1"/>
    <n v="2.2999999999999998"/>
    <n v="0"/>
    <n v="3.3"/>
    <x v="0"/>
    <x v="0"/>
    <x v="0"/>
    <x v="0"/>
    <n v="7"/>
    <n v="14"/>
    <e v="#N/A"/>
  </r>
  <r>
    <n v="1654"/>
    <d v="2016-01-17T11:20:32"/>
    <d v="2016-01-17T11:35:29"/>
    <x v="0"/>
    <m/>
    <m/>
    <x v="0"/>
    <n v="70803"/>
    <n v="0"/>
    <d v="2016-01-17T11:38:27"/>
    <n v="7.99"/>
    <x v="0"/>
    <n v="1"/>
    <n v="1"/>
    <n v="0"/>
    <n v="0"/>
    <n v="1"/>
    <x v="0"/>
    <x v="0"/>
    <x v="0"/>
    <x v="0"/>
    <n v="7"/>
    <e v="#N/A"/>
    <e v="#N/A"/>
  </r>
  <r>
    <n v="1655"/>
    <d v="2016-01-17T10:18:51"/>
    <d v="2016-01-17T10:33:50"/>
    <x v="0"/>
    <s v="Large"/>
    <m/>
    <x v="1"/>
    <n v="70805"/>
    <n v="1.9551896045684301"/>
    <d v="2016-01-17T10:43:36"/>
    <n v="23.34"/>
    <x v="692"/>
    <n v="2"/>
    <n v="1"/>
    <n v="2.2999999999999998"/>
    <n v="0"/>
    <n v="3.3"/>
    <x v="679"/>
    <x v="0"/>
    <x v="826"/>
    <x v="465"/>
    <n v="7"/>
    <n v="14"/>
    <e v="#N/A"/>
  </r>
  <r>
    <n v="1656"/>
    <d v="2016-01-17T10:09:51"/>
    <d v="2016-01-17T10:24:50"/>
    <x v="2"/>
    <m/>
    <m/>
    <x v="1"/>
    <n v="70805"/>
    <n v="3.0534082309903798"/>
    <d v="2016-01-17T10:40:06"/>
    <n v="11.59"/>
    <x v="693"/>
    <n v="1"/>
    <n v="1.7"/>
    <n v="0"/>
    <n v="0"/>
    <n v="1.7"/>
    <x v="680"/>
    <x v="0"/>
    <x v="827"/>
    <x v="466"/>
    <n v="10"/>
    <e v="#N/A"/>
    <e v="#N/A"/>
  </r>
  <r>
    <n v="1657"/>
    <d v="2016-01-17T12:24:26"/>
    <d v="2016-01-17T12:39:26"/>
    <x v="1"/>
    <m/>
    <m/>
    <x v="0"/>
    <n v="70805"/>
    <n v="0"/>
    <d v="2016-01-17T12:42:25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1658"/>
    <d v="2016-01-17T13:38:18"/>
    <d v="2016-01-17T13:53:17"/>
    <x v="1"/>
    <m/>
    <m/>
    <x v="0"/>
    <n v="70804"/>
    <n v="0"/>
    <d v="2016-01-17T13:56:17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659"/>
    <d v="2016-01-17T12:29:30"/>
    <d v="2016-01-17T12:44:30"/>
    <x v="0"/>
    <m/>
    <m/>
    <x v="0"/>
    <n v="70804"/>
    <n v="0"/>
    <d v="2016-01-17T12:47:30"/>
    <n v="7.99"/>
    <x v="2"/>
    <n v="1"/>
    <n v="1"/>
    <n v="0"/>
    <n v="0"/>
    <n v="1"/>
    <x v="0"/>
    <x v="0"/>
    <x v="0"/>
    <x v="0"/>
    <n v="7"/>
    <e v="#N/A"/>
    <e v="#N/A"/>
  </r>
  <r>
    <n v="1660"/>
    <d v="2016-01-17T11:11:32"/>
    <d v="2016-01-17T11:26:33"/>
    <x v="2"/>
    <m/>
    <m/>
    <x v="0"/>
    <n v="70807"/>
    <n v="0"/>
    <d v="2016-01-17T11:29:32"/>
    <n v="11.59"/>
    <x v="1"/>
    <n v="1"/>
    <n v="1.7"/>
    <n v="0"/>
    <n v="0"/>
    <n v="1.7"/>
    <x v="0"/>
    <x v="0"/>
    <x v="0"/>
    <x v="0"/>
    <n v="10"/>
    <e v="#N/A"/>
    <e v="#N/A"/>
  </r>
  <r>
    <n v="1661"/>
    <d v="2016-01-17T13:44:26"/>
    <d v="2016-01-17T13:59:25"/>
    <x v="1"/>
    <m/>
    <m/>
    <x v="1"/>
    <n v="70803"/>
    <n v="2.7981967914346701"/>
    <d v="2016-01-17T14:13:24"/>
    <n v="15.35"/>
    <x v="564"/>
    <n v="1"/>
    <n v="2.2999999999999998"/>
    <n v="0"/>
    <n v="0"/>
    <n v="2.2999999999999998"/>
    <x v="551"/>
    <x v="0"/>
    <x v="828"/>
    <x v="467"/>
    <n v="14"/>
    <e v="#N/A"/>
    <e v="#N/A"/>
  </r>
  <r>
    <n v="1662"/>
    <d v="2016-01-17T12:54:56"/>
    <d v="2016-01-17T13:09:58"/>
    <x v="1"/>
    <m/>
    <m/>
    <x v="0"/>
    <n v="70804"/>
    <n v="0"/>
    <d v="2016-01-17T13:12:57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1663"/>
    <d v="2016-01-17T11:11:52"/>
    <d v="2016-01-17T11:26:52"/>
    <x v="0"/>
    <s v="Medium"/>
    <m/>
    <x v="1"/>
    <n v="70807"/>
    <n v="3.8977799070726298"/>
    <d v="2016-01-17T11:46:21"/>
    <n v="19.579999999999998"/>
    <x v="694"/>
    <n v="2"/>
    <n v="1"/>
    <n v="1.7"/>
    <n v="0"/>
    <n v="2.7"/>
    <x v="681"/>
    <x v="1"/>
    <x v="829"/>
    <x v="0"/>
    <n v="7"/>
    <n v="10"/>
    <e v="#N/A"/>
  </r>
  <r>
    <n v="1664"/>
    <d v="2016-01-17T11:03:55"/>
    <d v="2016-01-17T11:18:54"/>
    <x v="2"/>
    <m/>
    <m/>
    <x v="0"/>
    <n v="70805"/>
    <n v="0"/>
    <d v="2016-01-17T11:21:53"/>
    <n v="11.59"/>
    <x v="24"/>
    <n v="1"/>
    <n v="1.7"/>
    <n v="0"/>
    <n v="0"/>
    <n v="1.7"/>
    <x v="0"/>
    <x v="0"/>
    <x v="0"/>
    <x v="0"/>
    <n v="10"/>
    <e v="#N/A"/>
    <e v="#N/A"/>
  </r>
  <r>
    <n v="1665"/>
    <d v="2016-01-17T13:37:36"/>
    <d v="2016-01-17T13:52:34"/>
    <x v="0"/>
    <m/>
    <m/>
    <x v="1"/>
    <n v="70804"/>
    <n v="4.0172950081797696"/>
    <d v="2016-01-17T14:12:39"/>
    <n v="7.99"/>
    <x v="695"/>
    <n v="1"/>
    <n v="1"/>
    <n v="0"/>
    <n v="0"/>
    <n v="1"/>
    <x v="682"/>
    <x v="1"/>
    <x v="830"/>
    <x v="0"/>
    <n v="7"/>
    <e v="#N/A"/>
    <e v="#N/A"/>
  </r>
  <r>
    <n v="1666"/>
    <d v="2016-01-17T11:17:38"/>
    <d v="2016-01-17T11:32:38"/>
    <x v="0"/>
    <s v="Medium"/>
    <m/>
    <x v="1"/>
    <n v="70804"/>
    <n v="4.6335853751494698"/>
    <d v="2016-01-17T11:55:48"/>
    <n v="19.579999999999998"/>
    <x v="578"/>
    <n v="2"/>
    <n v="1"/>
    <n v="1.7"/>
    <n v="0"/>
    <n v="2.7"/>
    <x v="565"/>
    <x v="1"/>
    <x v="831"/>
    <x v="0"/>
    <n v="7"/>
    <n v="10"/>
    <e v="#N/A"/>
  </r>
  <r>
    <n v="1667"/>
    <d v="2016-01-17T11:30:05"/>
    <d v="2016-01-17T11:45:05"/>
    <x v="2"/>
    <m/>
    <m/>
    <x v="0"/>
    <n v="70805"/>
    <n v="0"/>
    <d v="2016-01-17T11:48:04"/>
    <n v="11.59"/>
    <x v="24"/>
    <n v="1"/>
    <n v="1.7"/>
    <n v="0"/>
    <n v="0"/>
    <n v="1.7"/>
    <x v="0"/>
    <x v="0"/>
    <x v="0"/>
    <x v="0"/>
    <n v="10"/>
    <e v="#N/A"/>
    <e v="#N/A"/>
  </r>
  <r>
    <n v="1668"/>
    <d v="2016-01-17T11:05:07"/>
    <d v="2016-01-17T11:20:06"/>
    <x v="1"/>
    <m/>
    <m/>
    <x v="1"/>
    <n v="70803"/>
    <n v="2.7978153834477602"/>
    <d v="2016-01-17T11:34:05"/>
    <n v="15.35"/>
    <x v="564"/>
    <n v="1"/>
    <n v="2.2999999999999998"/>
    <n v="0"/>
    <n v="0"/>
    <n v="2.2999999999999998"/>
    <x v="551"/>
    <x v="0"/>
    <x v="832"/>
    <x v="468"/>
    <n v="14"/>
    <e v="#N/A"/>
    <e v="#N/A"/>
  </r>
  <r>
    <n v="1669"/>
    <d v="2016-01-17T12:02:42"/>
    <d v="2016-01-17T12:17:41"/>
    <x v="0"/>
    <m/>
    <m/>
    <x v="0"/>
    <n v="70807"/>
    <n v="0"/>
    <d v="2016-01-17T12:20:41"/>
    <n v="7.99"/>
    <x v="63"/>
    <n v="1"/>
    <n v="1"/>
    <n v="0"/>
    <n v="0"/>
    <n v="1"/>
    <x v="0"/>
    <x v="0"/>
    <x v="0"/>
    <x v="0"/>
    <n v="7"/>
    <e v="#N/A"/>
    <e v="#N/A"/>
  </r>
  <r>
    <n v="1670"/>
    <d v="2016-01-17T13:15:44"/>
    <d v="2016-01-17T13:30:44"/>
    <x v="1"/>
    <m/>
    <m/>
    <x v="1"/>
    <n v="70805"/>
    <n v="3.21518247120042"/>
    <d v="2016-01-17T13:46:48"/>
    <n v="15.35"/>
    <x v="627"/>
    <n v="1"/>
    <n v="2.2999999999999998"/>
    <n v="0"/>
    <n v="0"/>
    <n v="2.2999999999999998"/>
    <x v="614"/>
    <x v="1"/>
    <x v="833"/>
    <x v="0"/>
    <n v="14"/>
    <e v="#N/A"/>
    <e v="#N/A"/>
  </r>
  <r>
    <n v="1671"/>
    <d v="2016-01-17T11:00:30"/>
    <d v="2016-01-17T11:15:30"/>
    <x v="0"/>
    <m/>
    <m/>
    <x v="0"/>
    <n v="70805"/>
    <n v="0"/>
    <d v="2016-01-17T11:18:31"/>
    <n v="7.99"/>
    <x v="14"/>
    <n v="1"/>
    <n v="1"/>
    <n v="0"/>
    <n v="0"/>
    <n v="1"/>
    <x v="0"/>
    <x v="0"/>
    <x v="0"/>
    <x v="0"/>
    <n v="7"/>
    <e v="#N/A"/>
    <e v="#N/A"/>
  </r>
  <r>
    <n v="1672"/>
    <d v="2016-01-17T11:04:12"/>
    <d v="2016-01-17T11:19:12"/>
    <x v="1"/>
    <m/>
    <m/>
    <x v="1"/>
    <n v="70804"/>
    <n v="2.4827198040665501"/>
    <d v="2016-01-17T11:31:36"/>
    <n v="15.35"/>
    <x v="696"/>
    <n v="1"/>
    <n v="2.2999999999999998"/>
    <n v="0"/>
    <n v="0"/>
    <n v="2.2999999999999998"/>
    <x v="683"/>
    <x v="0"/>
    <x v="834"/>
    <x v="469"/>
    <n v="14"/>
    <e v="#N/A"/>
    <e v="#N/A"/>
  </r>
  <r>
    <n v="1673"/>
    <d v="2016-01-17T11:13:17"/>
    <d v="2016-01-17T11:28:17"/>
    <x v="0"/>
    <s v="Medium"/>
    <m/>
    <x v="1"/>
    <n v="70803"/>
    <n v="2.2436013465525"/>
    <d v="2016-01-17T11:39:30"/>
    <n v="19.579999999999998"/>
    <x v="451"/>
    <n v="2"/>
    <n v="1"/>
    <n v="1.7"/>
    <n v="0"/>
    <n v="2.7"/>
    <x v="438"/>
    <x v="0"/>
    <x v="835"/>
    <x v="470"/>
    <n v="7"/>
    <n v="10"/>
    <e v="#N/A"/>
  </r>
  <r>
    <n v="1674"/>
    <d v="2016-01-17T11:37:50"/>
    <d v="2016-01-17T11:52:49"/>
    <x v="0"/>
    <m/>
    <m/>
    <x v="1"/>
    <n v="70804"/>
    <n v="1.7127768908380201"/>
    <d v="2016-01-17T12:01:22"/>
    <n v="7.99"/>
    <x v="697"/>
    <n v="1"/>
    <n v="1"/>
    <n v="0"/>
    <n v="0"/>
    <n v="1"/>
    <x v="684"/>
    <x v="0"/>
    <x v="836"/>
    <x v="471"/>
    <n v="7"/>
    <e v="#N/A"/>
    <e v="#N/A"/>
  </r>
  <r>
    <n v="1675"/>
    <d v="2016-01-17T13:18:30"/>
    <d v="2016-01-17T13:33:30"/>
    <x v="2"/>
    <m/>
    <m/>
    <x v="0"/>
    <n v="70805"/>
    <n v="0"/>
    <d v="2016-01-17T13:36:31"/>
    <n v="11.59"/>
    <x v="14"/>
    <n v="1"/>
    <n v="1.7"/>
    <n v="0"/>
    <n v="0"/>
    <n v="1.7"/>
    <x v="0"/>
    <x v="0"/>
    <x v="0"/>
    <x v="0"/>
    <n v="10"/>
    <e v="#N/A"/>
    <e v="#N/A"/>
  </r>
  <r>
    <n v="1676"/>
    <d v="2016-01-17T12:17:39"/>
    <d v="2016-01-17T12:32:38"/>
    <x v="0"/>
    <m/>
    <m/>
    <x v="0"/>
    <n v="70805"/>
    <n v="0"/>
    <d v="2016-01-17T12:35:37"/>
    <n v="7.99"/>
    <x v="24"/>
    <n v="1"/>
    <n v="1"/>
    <n v="0"/>
    <n v="0"/>
    <n v="1"/>
    <x v="0"/>
    <x v="0"/>
    <x v="0"/>
    <x v="0"/>
    <n v="7"/>
    <e v="#N/A"/>
    <e v="#N/A"/>
  </r>
  <r>
    <n v="1677"/>
    <d v="2016-01-17T13:40:37"/>
    <d v="2016-01-17T13:55:37"/>
    <x v="1"/>
    <m/>
    <m/>
    <x v="1"/>
    <n v="70805"/>
    <n v="1.8851351742202"/>
    <d v="2016-01-17T14:05:02"/>
    <n v="15.35"/>
    <x v="169"/>
    <n v="1"/>
    <n v="2.2999999999999998"/>
    <n v="0"/>
    <n v="0"/>
    <n v="2.2999999999999998"/>
    <x v="159"/>
    <x v="0"/>
    <x v="837"/>
    <x v="472"/>
    <n v="14"/>
    <e v="#N/A"/>
    <e v="#N/A"/>
  </r>
  <r>
    <n v="1678"/>
    <d v="2016-01-17T13:19:31"/>
    <d v="2016-01-17T13:34:31"/>
    <x v="1"/>
    <m/>
    <m/>
    <x v="0"/>
    <n v="70806"/>
    <n v="0"/>
    <d v="2016-01-17T13:37:30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1679"/>
    <d v="2016-01-17T11:36:39"/>
    <d v="2016-01-17T11:51:38"/>
    <x v="2"/>
    <m/>
    <m/>
    <x v="0"/>
    <n v="70804"/>
    <n v="0"/>
    <d v="2016-01-17T11:54:39"/>
    <n v="11.59"/>
    <x v="56"/>
    <n v="1"/>
    <n v="1.7"/>
    <n v="0"/>
    <n v="0"/>
    <n v="1.7"/>
    <x v="0"/>
    <x v="0"/>
    <x v="0"/>
    <x v="0"/>
    <n v="10"/>
    <e v="#N/A"/>
    <e v="#N/A"/>
  </r>
  <r>
    <n v="1680"/>
    <d v="2016-01-17T12:14:42"/>
    <d v="2016-01-17T12:29:42"/>
    <x v="0"/>
    <s v="Large"/>
    <m/>
    <x v="0"/>
    <n v="70806"/>
    <n v="0"/>
    <d v="2016-01-17T12:32:41"/>
    <n v="23.34"/>
    <x v="1"/>
    <n v="2"/>
    <n v="1"/>
    <n v="2.2999999999999998"/>
    <n v="0"/>
    <n v="3.3"/>
    <x v="0"/>
    <x v="0"/>
    <x v="0"/>
    <x v="0"/>
    <n v="7"/>
    <n v="14"/>
    <e v="#N/A"/>
  </r>
  <r>
    <n v="1681"/>
    <d v="2016-01-17T11:17:07"/>
    <d v="2016-01-17T11:32:05"/>
    <x v="2"/>
    <m/>
    <m/>
    <x v="1"/>
    <n v="70807"/>
    <n v="2.66803774003544"/>
    <d v="2016-01-17T11:45:25"/>
    <n v="11.59"/>
    <x v="114"/>
    <n v="1"/>
    <n v="1.7"/>
    <n v="0"/>
    <n v="0"/>
    <n v="1.7"/>
    <x v="104"/>
    <x v="0"/>
    <x v="838"/>
    <x v="473"/>
    <n v="10"/>
    <e v="#N/A"/>
    <e v="#N/A"/>
  </r>
  <r>
    <n v="1682"/>
    <d v="2016-01-17T10:44:30"/>
    <d v="2016-01-17T10:59:28"/>
    <x v="2"/>
    <m/>
    <m/>
    <x v="1"/>
    <n v="70804"/>
    <n v="2.8916727010865202"/>
    <d v="2016-01-17T11:13:55"/>
    <n v="11.59"/>
    <x v="698"/>
    <n v="1"/>
    <n v="1.7"/>
    <n v="0"/>
    <n v="0"/>
    <n v="1.7"/>
    <x v="685"/>
    <x v="0"/>
    <x v="839"/>
    <x v="474"/>
    <n v="10"/>
    <e v="#N/A"/>
    <e v="#N/A"/>
  </r>
  <r>
    <n v="1683"/>
    <d v="2016-01-17T13:23:48"/>
    <d v="2016-01-17T13:38:49"/>
    <x v="0"/>
    <s v="Large"/>
    <m/>
    <x v="0"/>
    <n v="70805"/>
    <n v="0"/>
    <d v="2016-01-17T13:41:48"/>
    <n v="23.34"/>
    <x v="1"/>
    <n v="2"/>
    <n v="1"/>
    <n v="2.2999999999999998"/>
    <n v="0"/>
    <n v="3.3"/>
    <x v="0"/>
    <x v="0"/>
    <x v="0"/>
    <x v="0"/>
    <n v="7"/>
    <n v="14"/>
    <e v="#N/A"/>
  </r>
  <r>
    <n v="1684"/>
    <d v="2016-01-17T10:45:15"/>
    <d v="2016-01-17T11:00:13"/>
    <x v="0"/>
    <s v="Medium"/>
    <m/>
    <x v="1"/>
    <n v="70804"/>
    <n v="3.0690439486011498"/>
    <d v="2016-01-17T11:15:33"/>
    <n v="19.579999999999998"/>
    <x v="254"/>
    <n v="2"/>
    <n v="1"/>
    <n v="1.7"/>
    <n v="0"/>
    <n v="2.7"/>
    <x v="241"/>
    <x v="0"/>
    <x v="840"/>
    <x v="475"/>
    <n v="7"/>
    <n v="10"/>
    <e v="#N/A"/>
  </r>
  <r>
    <n v="1685"/>
    <d v="2016-01-17T12:29:40"/>
    <d v="2016-01-17T12:44:38"/>
    <x v="0"/>
    <m/>
    <m/>
    <x v="1"/>
    <n v="70804"/>
    <n v="2.6891883120467002"/>
    <d v="2016-01-17T12:58:04"/>
    <n v="7.99"/>
    <x v="429"/>
    <n v="1"/>
    <n v="1"/>
    <n v="0"/>
    <n v="0"/>
    <n v="1"/>
    <x v="416"/>
    <x v="0"/>
    <x v="841"/>
    <x v="476"/>
    <n v="7"/>
    <e v="#N/A"/>
    <e v="#N/A"/>
  </r>
  <r>
    <n v="1686"/>
    <d v="2016-01-17T13:27:59"/>
    <d v="2016-01-17T13:42:59"/>
    <x v="1"/>
    <m/>
    <m/>
    <x v="0"/>
    <n v="70806"/>
    <n v="0"/>
    <d v="2016-01-17T13:45:59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687"/>
    <d v="2016-01-17T10:49:39"/>
    <d v="2016-01-17T11:04:38"/>
    <x v="2"/>
    <m/>
    <m/>
    <x v="0"/>
    <n v="70805"/>
    <n v="0"/>
    <d v="2016-01-17T11:07:37"/>
    <n v="11.59"/>
    <x v="1"/>
    <n v="1"/>
    <n v="1.7"/>
    <n v="0"/>
    <n v="0"/>
    <n v="1.7"/>
    <x v="0"/>
    <x v="0"/>
    <x v="0"/>
    <x v="0"/>
    <n v="10"/>
    <e v="#N/A"/>
    <e v="#N/A"/>
  </r>
  <r>
    <n v="1688"/>
    <d v="2016-01-17T10:25:00"/>
    <d v="2016-01-17T10:40:01"/>
    <x v="1"/>
    <m/>
    <m/>
    <x v="0"/>
    <n v="70805"/>
    <n v="0"/>
    <d v="2016-01-17T10:43:00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1689"/>
    <d v="2016-01-17T11:16:44"/>
    <d v="2016-01-17T11:31:44"/>
    <x v="1"/>
    <m/>
    <m/>
    <x v="0"/>
    <n v="70804"/>
    <n v="0"/>
    <d v="2016-01-17T11:34:43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1690"/>
    <d v="2016-01-17T12:25:07"/>
    <d v="2016-01-17T12:40:05"/>
    <x v="1"/>
    <m/>
    <m/>
    <x v="1"/>
    <n v="70806"/>
    <n v="2.0258082853199002"/>
    <d v="2016-01-17T12:50:12"/>
    <n v="15.35"/>
    <x v="699"/>
    <n v="1"/>
    <n v="2.2999999999999998"/>
    <n v="0"/>
    <n v="0"/>
    <n v="2.2999999999999998"/>
    <x v="686"/>
    <x v="0"/>
    <x v="842"/>
    <x v="477"/>
    <n v="14"/>
    <e v="#N/A"/>
    <e v="#N/A"/>
  </r>
  <r>
    <n v="1691"/>
    <d v="2016-01-17T11:48:13"/>
    <d v="2016-01-17T12:03:11"/>
    <x v="0"/>
    <m/>
    <m/>
    <x v="1"/>
    <n v="70804"/>
    <n v="2.7739402642490201"/>
    <d v="2016-01-17T12:17:03"/>
    <n v="7.99"/>
    <x v="700"/>
    <n v="1"/>
    <n v="1"/>
    <n v="0"/>
    <n v="0"/>
    <n v="1"/>
    <x v="687"/>
    <x v="0"/>
    <x v="843"/>
    <x v="478"/>
    <n v="7"/>
    <e v="#N/A"/>
    <e v="#N/A"/>
  </r>
  <r>
    <n v="1692"/>
    <d v="2016-01-17T11:21:14"/>
    <d v="2016-01-17T11:36:13"/>
    <x v="0"/>
    <s v="Large"/>
    <m/>
    <x v="0"/>
    <n v="70803"/>
    <n v="0"/>
    <d v="2016-01-17T11:39:13"/>
    <n v="23.34"/>
    <x v="2"/>
    <n v="2"/>
    <n v="1"/>
    <n v="2.2999999999999998"/>
    <n v="0"/>
    <n v="3.3"/>
    <x v="0"/>
    <x v="0"/>
    <x v="0"/>
    <x v="0"/>
    <n v="7"/>
    <n v="14"/>
    <e v="#N/A"/>
  </r>
  <r>
    <n v="1693"/>
    <d v="2016-01-17T12:25:20"/>
    <d v="2016-01-17T12:40:21"/>
    <x v="0"/>
    <m/>
    <m/>
    <x v="1"/>
    <n v="70804"/>
    <n v="2.9732545980265499"/>
    <d v="2016-01-17T12:55:12"/>
    <n v="7.99"/>
    <x v="251"/>
    <n v="1"/>
    <n v="1"/>
    <n v="0"/>
    <n v="0"/>
    <n v="1"/>
    <x v="238"/>
    <x v="0"/>
    <x v="844"/>
    <x v="479"/>
    <n v="7"/>
    <e v="#N/A"/>
    <e v="#N/A"/>
  </r>
  <r>
    <n v="1694"/>
    <d v="2016-01-17T10:42:33"/>
    <d v="2016-01-17T10:57:33"/>
    <x v="0"/>
    <m/>
    <m/>
    <x v="1"/>
    <n v="70804"/>
    <n v="4.7758487026210403"/>
    <d v="2016-01-17T11:21:25"/>
    <n v="7.99"/>
    <x v="701"/>
    <n v="1"/>
    <n v="1"/>
    <n v="0"/>
    <n v="0"/>
    <n v="1"/>
    <x v="688"/>
    <x v="1"/>
    <x v="845"/>
    <x v="0"/>
    <n v="7"/>
    <e v="#N/A"/>
    <e v="#N/A"/>
  </r>
  <r>
    <n v="1695"/>
    <d v="2016-01-17T11:49:10"/>
    <d v="2016-01-17T12:04:11"/>
    <x v="1"/>
    <m/>
    <m/>
    <x v="0"/>
    <n v="70804"/>
    <n v="0"/>
    <d v="2016-01-17T12:07:09"/>
    <n v="15.35"/>
    <x v="19"/>
    <n v="1"/>
    <n v="2.2999999999999998"/>
    <n v="0"/>
    <n v="0"/>
    <n v="2.2999999999999998"/>
    <x v="0"/>
    <x v="0"/>
    <x v="0"/>
    <x v="0"/>
    <n v="14"/>
    <e v="#N/A"/>
    <e v="#N/A"/>
  </r>
  <r>
    <n v="1696"/>
    <d v="2016-01-17T11:08:43"/>
    <d v="2016-01-17T11:23:42"/>
    <x v="1"/>
    <m/>
    <m/>
    <x v="1"/>
    <n v="70806"/>
    <n v="3.3279205623372898"/>
    <d v="2016-01-17T11:40:20"/>
    <n v="15.35"/>
    <x v="702"/>
    <n v="1"/>
    <n v="2.2999999999999998"/>
    <n v="0"/>
    <n v="0"/>
    <n v="2.2999999999999998"/>
    <x v="689"/>
    <x v="1"/>
    <x v="846"/>
    <x v="0"/>
    <n v="14"/>
    <e v="#N/A"/>
    <e v="#N/A"/>
  </r>
  <r>
    <n v="1697"/>
    <d v="2016-01-17T13:54:10"/>
    <d v="2016-01-17T14:09:09"/>
    <x v="1"/>
    <m/>
    <m/>
    <x v="1"/>
    <n v="70807"/>
    <n v="1.0651476836402201"/>
    <d v="2016-01-17T14:14:28"/>
    <n v="15.35"/>
    <x v="703"/>
    <n v="1"/>
    <n v="2.2999999999999998"/>
    <n v="0"/>
    <n v="0"/>
    <n v="2.2999999999999998"/>
    <x v="690"/>
    <x v="0"/>
    <x v="847"/>
    <x v="480"/>
    <n v="14"/>
    <e v="#N/A"/>
    <e v="#N/A"/>
  </r>
  <r>
    <n v="1698"/>
    <d v="2016-01-17T12:28:37"/>
    <d v="2016-01-17T12:43:38"/>
    <x v="0"/>
    <s v="Medium"/>
    <m/>
    <x v="1"/>
    <n v="70804"/>
    <n v="3.2058504168839299"/>
    <d v="2016-01-17T12:59:39"/>
    <n v="19.579999999999998"/>
    <x v="35"/>
    <n v="2"/>
    <n v="1"/>
    <n v="1.7"/>
    <n v="0"/>
    <n v="2.7"/>
    <x v="29"/>
    <x v="1"/>
    <x v="848"/>
    <x v="0"/>
    <n v="7"/>
    <n v="10"/>
    <e v="#N/A"/>
  </r>
  <r>
    <n v="1699"/>
    <d v="2016-01-17T11:34:22"/>
    <d v="2016-01-17T11:49:22"/>
    <x v="1"/>
    <m/>
    <m/>
    <x v="1"/>
    <n v="70805"/>
    <n v="4.61025755790119"/>
    <d v="2016-01-17T12:12:25"/>
    <n v="15.35"/>
    <x v="704"/>
    <n v="1"/>
    <n v="2.2999999999999998"/>
    <n v="0"/>
    <n v="0"/>
    <n v="2.2999999999999998"/>
    <x v="691"/>
    <x v="1"/>
    <x v="849"/>
    <x v="0"/>
    <n v="14"/>
    <e v="#N/A"/>
    <e v="#N/A"/>
  </r>
  <r>
    <n v="1700"/>
    <d v="2016-01-17T11:58:22"/>
    <d v="2016-01-17T12:13:21"/>
    <x v="2"/>
    <m/>
    <m/>
    <x v="1"/>
    <n v="70803"/>
    <n v="3.1836760440866301"/>
    <d v="2016-01-17T12:29:16"/>
    <n v="11.59"/>
    <x v="705"/>
    <n v="1"/>
    <n v="1.7"/>
    <n v="0"/>
    <n v="0"/>
    <n v="1.7"/>
    <x v="692"/>
    <x v="0"/>
    <x v="850"/>
    <x v="481"/>
    <n v="10"/>
    <e v="#N/A"/>
    <e v="#N/A"/>
  </r>
  <r>
    <n v="1701"/>
    <d v="2016-01-17T11:41:26"/>
    <d v="2016-01-17T11:56:26"/>
    <x v="0"/>
    <s v="Medium"/>
    <m/>
    <x v="0"/>
    <n v="70806"/>
    <n v="0"/>
    <d v="2016-01-17T11:59:26"/>
    <n v="19.579999999999998"/>
    <x v="2"/>
    <n v="2"/>
    <n v="1"/>
    <n v="1.7"/>
    <n v="0"/>
    <n v="2.7"/>
    <x v="0"/>
    <x v="0"/>
    <x v="0"/>
    <x v="0"/>
    <n v="7"/>
    <n v="10"/>
    <e v="#N/A"/>
  </r>
  <r>
    <n v="1702"/>
    <d v="2016-01-17T12:27:04"/>
    <d v="2016-01-17T12:42:02"/>
    <x v="0"/>
    <s v="Large"/>
    <m/>
    <x v="1"/>
    <n v="70805"/>
    <n v="1.65451019574401"/>
    <d v="2016-01-17T12:50:18"/>
    <n v="23.34"/>
    <x v="282"/>
    <n v="2"/>
    <n v="1"/>
    <n v="2.2999999999999998"/>
    <n v="0"/>
    <n v="3.3"/>
    <x v="269"/>
    <x v="0"/>
    <x v="851"/>
    <x v="482"/>
    <n v="7"/>
    <n v="14"/>
    <e v="#N/A"/>
  </r>
  <r>
    <n v="1703"/>
    <d v="2016-01-17T13:30:28"/>
    <d v="2016-01-17T13:45:27"/>
    <x v="1"/>
    <m/>
    <m/>
    <x v="0"/>
    <n v="70804"/>
    <n v="0"/>
    <d v="2016-01-17T13:48:26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1704"/>
    <d v="2016-01-17T13:34:29"/>
    <d v="2016-01-17T13:49:30"/>
    <x v="2"/>
    <m/>
    <m/>
    <x v="1"/>
    <n v="70804"/>
    <n v="2.0413978681543101"/>
    <d v="2016-01-17T13:59:42"/>
    <n v="11.59"/>
    <x v="706"/>
    <n v="1"/>
    <n v="1.7"/>
    <n v="0"/>
    <n v="0"/>
    <n v="1.7"/>
    <x v="693"/>
    <x v="0"/>
    <x v="852"/>
    <x v="483"/>
    <n v="10"/>
    <e v="#N/A"/>
    <e v="#N/A"/>
  </r>
  <r>
    <n v="1705"/>
    <d v="2016-01-17T11:19:39"/>
    <d v="2016-01-17T11:34:37"/>
    <x v="2"/>
    <m/>
    <m/>
    <x v="0"/>
    <n v="70805"/>
    <n v="0"/>
    <d v="2016-01-17T11:37:37"/>
    <n v="11.59"/>
    <x v="2"/>
    <n v="1"/>
    <n v="1.7"/>
    <n v="0"/>
    <n v="0"/>
    <n v="1.7"/>
    <x v="0"/>
    <x v="0"/>
    <x v="0"/>
    <x v="0"/>
    <n v="10"/>
    <e v="#N/A"/>
    <e v="#N/A"/>
  </r>
  <r>
    <n v="1706"/>
    <d v="2016-01-17T12:27:55"/>
    <d v="2016-01-17T12:42:53"/>
    <x v="1"/>
    <m/>
    <m/>
    <x v="1"/>
    <n v="70808"/>
    <n v="3.7576478585732902"/>
    <d v="2016-01-17T13:01:40"/>
    <n v="15.35"/>
    <x v="117"/>
    <n v="1"/>
    <n v="2.2999999999999998"/>
    <n v="0"/>
    <n v="0"/>
    <n v="2.2999999999999998"/>
    <x v="107"/>
    <x v="1"/>
    <x v="853"/>
    <x v="0"/>
    <n v="14"/>
    <e v="#N/A"/>
    <e v="#N/A"/>
  </r>
  <r>
    <n v="1707"/>
    <d v="2016-01-17T13:44:20"/>
    <d v="2016-01-17T13:59:21"/>
    <x v="0"/>
    <s v="Medium"/>
    <m/>
    <x v="0"/>
    <n v="70804"/>
    <n v="0"/>
    <d v="2016-01-17T14:02:19"/>
    <n v="19.579999999999998"/>
    <x v="0"/>
    <n v="2"/>
    <n v="1"/>
    <n v="1.7"/>
    <n v="0"/>
    <n v="2.7"/>
    <x v="0"/>
    <x v="0"/>
    <x v="0"/>
    <x v="0"/>
    <n v="7"/>
    <n v="10"/>
    <e v="#N/A"/>
  </r>
  <r>
    <n v="1708"/>
    <d v="2016-01-17T11:32:12"/>
    <d v="2016-01-17T11:47:12"/>
    <x v="0"/>
    <m/>
    <m/>
    <x v="1"/>
    <n v="70804"/>
    <n v="2.2703774284513898"/>
    <d v="2016-01-17T11:58:33"/>
    <n v="7.99"/>
    <x v="707"/>
    <n v="1"/>
    <n v="1"/>
    <n v="0"/>
    <n v="0"/>
    <n v="1"/>
    <x v="694"/>
    <x v="0"/>
    <x v="854"/>
    <x v="484"/>
    <n v="7"/>
    <e v="#N/A"/>
    <e v="#N/A"/>
  </r>
  <r>
    <n v="1709"/>
    <d v="2016-01-17T11:25:33"/>
    <d v="2016-01-17T11:40:31"/>
    <x v="0"/>
    <m/>
    <m/>
    <x v="1"/>
    <n v="70803"/>
    <n v="3.5496191061759799"/>
    <d v="2016-01-17T11:58:15"/>
    <n v="7.99"/>
    <x v="708"/>
    <n v="1"/>
    <n v="1"/>
    <n v="0"/>
    <n v="0"/>
    <n v="1"/>
    <x v="695"/>
    <x v="1"/>
    <x v="855"/>
    <x v="0"/>
    <n v="7"/>
    <e v="#N/A"/>
    <e v="#N/A"/>
  </r>
  <r>
    <n v="1710"/>
    <d v="2016-01-17T11:47:22"/>
    <d v="2016-01-17T12:02:21"/>
    <x v="0"/>
    <m/>
    <m/>
    <x v="0"/>
    <n v="70807"/>
    <n v="0"/>
    <d v="2016-01-17T12:05:19"/>
    <n v="7.99"/>
    <x v="19"/>
    <n v="1"/>
    <n v="1"/>
    <n v="0"/>
    <n v="0"/>
    <n v="1"/>
    <x v="0"/>
    <x v="0"/>
    <x v="0"/>
    <x v="0"/>
    <n v="7"/>
    <e v="#N/A"/>
    <e v="#N/A"/>
  </r>
  <r>
    <n v="1711"/>
    <d v="2016-01-17T12:10:57"/>
    <d v="2016-01-17T12:25:57"/>
    <x v="0"/>
    <s v="Medium"/>
    <m/>
    <x v="0"/>
    <n v="70805"/>
    <n v="0"/>
    <d v="2016-01-17T12:28:57"/>
    <n v="19.579999999999998"/>
    <x v="2"/>
    <n v="2"/>
    <n v="1"/>
    <n v="1.7"/>
    <n v="0"/>
    <n v="2.7"/>
    <x v="0"/>
    <x v="0"/>
    <x v="0"/>
    <x v="0"/>
    <n v="7"/>
    <n v="10"/>
    <e v="#N/A"/>
  </r>
  <r>
    <n v="1712"/>
    <d v="2016-01-17T13:28:11"/>
    <d v="2016-01-17T13:43:12"/>
    <x v="1"/>
    <m/>
    <m/>
    <x v="1"/>
    <n v="70804"/>
    <n v="1.8805999071756401"/>
    <d v="2016-01-17T13:52:36"/>
    <n v="15.35"/>
    <x v="709"/>
    <n v="1"/>
    <n v="2.2999999999999998"/>
    <n v="0"/>
    <n v="0"/>
    <n v="2.2999999999999998"/>
    <x v="696"/>
    <x v="0"/>
    <x v="856"/>
    <x v="485"/>
    <n v="14"/>
    <e v="#N/A"/>
    <e v="#N/A"/>
  </r>
  <r>
    <n v="1713"/>
    <d v="2016-01-17T12:48:13"/>
    <d v="2016-01-17T13:03:14"/>
    <x v="0"/>
    <s v="Medium"/>
    <m/>
    <x v="0"/>
    <n v="70803"/>
    <n v="0"/>
    <d v="2016-01-17T13:06:13"/>
    <n v="19.579999999999998"/>
    <x v="1"/>
    <n v="2"/>
    <n v="1"/>
    <n v="1.7"/>
    <n v="0"/>
    <n v="2.7"/>
    <x v="0"/>
    <x v="0"/>
    <x v="0"/>
    <x v="0"/>
    <n v="7"/>
    <n v="10"/>
    <e v="#N/A"/>
  </r>
  <r>
    <n v="1714"/>
    <d v="2016-01-17T10:36:28"/>
    <d v="2016-01-17T10:51:26"/>
    <x v="2"/>
    <m/>
    <m/>
    <x v="1"/>
    <n v="70806"/>
    <n v="3.26074643834469"/>
    <d v="2016-01-17T11:07:44"/>
    <n v="11.59"/>
    <x v="710"/>
    <n v="1"/>
    <n v="1.7"/>
    <n v="0"/>
    <n v="0"/>
    <n v="1.7"/>
    <x v="697"/>
    <x v="1"/>
    <x v="857"/>
    <x v="0"/>
    <n v="10"/>
    <e v="#N/A"/>
    <e v="#N/A"/>
  </r>
  <r>
    <n v="1715"/>
    <d v="2016-01-17T12:47:27"/>
    <d v="2016-01-17T13:02:26"/>
    <x v="1"/>
    <m/>
    <m/>
    <x v="0"/>
    <n v="70803"/>
    <n v="0"/>
    <d v="2016-01-17T13:05:26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716"/>
    <d v="2016-01-17T12:34:42"/>
    <d v="2016-01-17T12:49:43"/>
    <x v="1"/>
    <m/>
    <m/>
    <x v="1"/>
    <n v="70805"/>
    <n v="2.6652261644961701"/>
    <d v="2016-01-17T13:03:02"/>
    <n v="15.35"/>
    <x v="180"/>
    <n v="1"/>
    <n v="2.2999999999999998"/>
    <n v="0"/>
    <n v="0"/>
    <n v="2.2999999999999998"/>
    <x v="168"/>
    <x v="0"/>
    <x v="858"/>
    <x v="486"/>
    <n v="14"/>
    <e v="#N/A"/>
    <e v="#N/A"/>
  </r>
  <r>
    <n v="1717"/>
    <d v="2016-01-17T12:05:24"/>
    <d v="2016-01-17T12:20:22"/>
    <x v="2"/>
    <m/>
    <m/>
    <x v="1"/>
    <n v="70805"/>
    <n v="4.4872442747250902"/>
    <d v="2016-01-17T12:42:48"/>
    <n v="11.59"/>
    <x v="711"/>
    <n v="1"/>
    <n v="1.7"/>
    <n v="0"/>
    <n v="0"/>
    <n v="1.7"/>
    <x v="698"/>
    <x v="1"/>
    <x v="859"/>
    <x v="0"/>
    <n v="10"/>
    <e v="#N/A"/>
    <e v="#N/A"/>
  </r>
  <r>
    <n v="1718"/>
    <d v="2016-01-17T13:40:28"/>
    <d v="2016-01-17T13:55:29"/>
    <x v="0"/>
    <s v="Medium"/>
    <m/>
    <x v="1"/>
    <n v="70806"/>
    <n v="3.6580222896353001"/>
    <d v="2016-01-17T14:13:46"/>
    <n v="19.579999999999998"/>
    <x v="712"/>
    <n v="2"/>
    <n v="1"/>
    <n v="1.7"/>
    <n v="0"/>
    <n v="2.7"/>
    <x v="699"/>
    <x v="1"/>
    <x v="860"/>
    <x v="0"/>
    <n v="7"/>
    <n v="10"/>
    <e v="#N/A"/>
  </r>
  <r>
    <n v="1719"/>
    <d v="2016-01-17T10:40:58"/>
    <d v="2016-01-17T10:55:58"/>
    <x v="1"/>
    <m/>
    <m/>
    <x v="1"/>
    <n v="70806"/>
    <n v="3.76515100737427"/>
    <d v="2016-01-17T11:14:47"/>
    <n v="15.35"/>
    <x v="713"/>
    <n v="1"/>
    <n v="2.2999999999999998"/>
    <n v="0"/>
    <n v="0"/>
    <n v="2.2999999999999998"/>
    <x v="700"/>
    <x v="1"/>
    <x v="861"/>
    <x v="0"/>
    <n v="14"/>
    <e v="#N/A"/>
    <e v="#N/A"/>
  </r>
  <r>
    <n v="1720"/>
    <d v="2016-01-18T12:14:26"/>
    <d v="2016-01-18T12:29:25"/>
    <x v="1"/>
    <m/>
    <m/>
    <x v="0"/>
    <n v="70803"/>
    <n v="0"/>
    <d v="2016-01-18T12:32:25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721"/>
    <d v="2016-01-18T12:26:33"/>
    <d v="2016-01-18T12:41:32"/>
    <x v="0"/>
    <s v="Medium"/>
    <m/>
    <x v="0"/>
    <n v="70806"/>
    <n v="0"/>
    <d v="2016-01-18T12:44:32"/>
    <n v="19.579999999999998"/>
    <x v="2"/>
    <n v="2"/>
    <n v="1"/>
    <n v="1.7"/>
    <n v="0"/>
    <n v="2.7"/>
    <x v="0"/>
    <x v="0"/>
    <x v="0"/>
    <x v="0"/>
    <n v="7"/>
    <n v="10"/>
    <e v="#N/A"/>
  </r>
  <r>
    <n v="1722"/>
    <d v="2016-01-18T11:15:34"/>
    <d v="2016-01-18T11:30:34"/>
    <x v="0"/>
    <m/>
    <m/>
    <x v="0"/>
    <n v="70805"/>
    <n v="0"/>
    <d v="2016-01-18T11:33:34"/>
    <n v="7.99"/>
    <x v="2"/>
    <n v="1"/>
    <n v="1"/>
    <n v="0"/>
    <n v="0"/>
    <n v="1"/>
    <x v="0"/>
    <x v="0"/>
    <x v="0"/>
    <x v="0"/>
    <n v="7"/>
    <e v="#N/A"/>
    <e v="#N/A"/>
  </r>
  <r>
    <n v="1723"/>
    <d v="2016-01-18T13:34:52"/>
    <d v="2016-01-18T13:49:51"/>
    <x v="1"/>
    <m/>
    <m/>
    <x v="0"/>
    <n v="70804"/>
    <n v="0"/>
    <d v="2016-01-18T13:52:51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724"/>
    <d v="2016-01-18T11:32:18"/>
    <d v="2016-01-18T11:47:17"/>
    <x v="0"/>
    <s v="Large"/>
    <m/>
    <x v="1"/>
    <n v="70804"/>
    <n v="2.4548769762759202"/>
    <d v="2016-01-18T11:59:33"/>
    <n v="23.34"/>
    <x v="217"/>
    <n v="2"/>
    <n v="1"/>
    <n v="2.2999999999999998"/>
    <n v="0"/>
    <n v="3.3"/>
    <x v="205"/>
    <x v="0"/>
    <x v="862"/>
    <x v="487"/>
    <n v="7"/>
    <n v="14"/>
    <e v="#N/A"/>
  </r>
  <r>
    <n v="1725"/>
    <d v="2016-01-18T10:29:11"/>
    <d v="2016-01-18T10:44:11"/>
    <x v="1"/>
    <m/>
    <m/>
    <x v="1"/>
    <n v="70805"/>
    <n v="3.8204585273829998"/>
    <d v="2016-01-18T11:03:17"/>
    <n v="15.35"/>
    <x v="714"/>
    <n v="1"/>
    <n v="2.2999999999999998"/>
    <n v="0"/>
    <n v="0"/>
    <n v="2.2999999999999998"/>
    <x v="701"/>
    <x v="1"/>
    <x v="863"/>
    <x v="0"/>
    <n v="14"/>
    <e v="#N/A"/>
    <e v="#N/A"/>
  </r>
  <r>
    <n v="1726"/>
    <d v="2016-01-18T12:26:35"/>
    <d v="2016-01-18T12:41:34"/>
    <x v="2"/>
    <m/>
    <m/>
    <x v="1"/>
    <n v="70805"/>
    <n v="3.2743825476349699"/>
    <d v="2016-01-18T12:57:56"/>
    <n v="11.59"/>
    <x v="715"/>
    <n v="1"/>
    <n v="1.7"/>
    <n v="0"/>
    <n v="0"/>
    <n v="1.7"/>
    <x v="702"/>
    <x v="1"/>
    <x v="864"/>
    <x v="0"/>
    <n v="10"/>
    <e v="#N/A"/>
    <e v="#N/A"/>
  </r>
  <r>
    <n v="1727"/>
    <d v="2016-01-18T11:27:01"/>
    <d v="2016-01-18T11:41:59"/>
    <x v="1"/>
    <m/>
    <m/>
    <x v="0"/>
    <n v="70806"/>
    <n v="0"/>
    <d v="2016-01-18T11:44:58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1728"/>
    <d v="2016-01-18T12:01:01"/>
    <d v="2016-01-18T12:16:02"/>
    <x v="2"/>
    <m/>
    <m/>
    <x v="1"/>
    <n v="70805"/>
    <n v="1.44534660808742"/>
    <d v="2016-01-18T12:23:15"/>
    <n v="11.59"/>
    <x v="716"/>
    <n v="1"/>
    <n v="1.7"/>
    <n v="0"/>
    <n v="0"/>
    <n v="1.7"/>
    <x v="703"/>
    <x v="0"/>
    <x v="865"/>
    <x v="488"/>
    <n v="10"/>
    <e v="#N/A"/>
    <e v="#N/A"/>
  </r>
  <r>
    <n v="1729"/>
    <d v="2016-01-18T10:43:46"/>
    <d v="2016-01-18T10:58:46"/>
    <x v="1"/>
    <m/>
    <m/>
    <x v="0"/>
    <n v="70805"/>
    <n v="0"/>
    <d v="2016-01-18T11:01:46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730"/>
    <d v="2016-01-18T10:42:58"/>
    <d v="2016-01-18T10:57:59"/>
    <x v="1"/>
    <m/>
    <m/>
    <x v="1"/>
    <n v="70804"/>
    <n v="3.6042438566705801"/>
    <d v="2016-01-18T11:16:00"/>
    <n v="15.35"/>
    <x v="717"/>
    <n v="1"/>
    <n v="2.2999999999999998"/>
    <n v="0"/>
    <n v="0"/>
    <n v="2.2999999999999998"/>
    <x v="704"/>
    <x v="1"/>
    <x v="866"/>
    <x v="0"/>
    <n v="14"/>
    <e v="#N/A"/>
    <e v="#N/A"/>
  </r>
  <r>
    <n v="1731"/>
    <d v="2016-01-18T11:13:00"/>
    <d v="2016-01-18T11:28:00"/>
    <x v="0"/>
    <s v="Medium"/>
    <m/>
    <x v="1"/>
    <n v="70806"/>
    <n v="3.2575811315115599"/>
    <d v="2016-01-18T11:44:17"/>
    <n v="19.579999999999998"/>
    <x v="186"/>
    <n v="2"/>
    <n v="1"/>
    <n v="1.7"/>
    <n v="0"/>
    <n v="2.7"/>
    <x v="174"/>
    <x v="1"/>
    <x v="867"/>
    <x v="0"/>
    <n v="7"/>
    <n v="10"/>
    <e v="#N/A"/>
  </r>
  <r>
    <n v="1732"/>
    <d v="2016-01-18T14:50:38"/>
    <d v="2016-01-18T15:05:37"/>
    <x v="0"/>
    <s v="Medium"/>
    <m/>
    <x v="0"/>
    <n v="70804"/>
    <n v="0"/>
    <d v="2016-01-18T15:08:37"/>
    <n v="19.579999999999998"/>
    <x v="2"/>
    <n v="2"/>
    <n v="1"/>
    <n v="1.7"/>
    <n v="0"/>
    <n v="2.7"/>
    <x v="0"/>
    <x v="0"/>
    <x v="0"/>
    <x v="0"/>
    <n v="7"/>
    <n v="10"/>
    <e v="#N/A"/>
  </r>
  <r>
    <n v="1733"/>
    <d v="2016-01-18T11:31:46"/>
    <d v="2016-01-18T11:46:45"/>
    <x v="0"/>
    <m/>
    <m/>
    <x v="1"/>
    <n v="70806"/>
    <n v="3.0312913766857399"/>
    <d v="2016-01-18T12:01:54"/>
    <n v="7.99"/>
    <x v="718"/>
    <n v="1"/>
    <n v="1"/>
    <n v="0"/>
    <n v="0"/>
    <n v="1"/>
    <x v="705"/>
    <x v="0"/>
    <x v="868"/>
    <x v="489"/>
    <n v="7"/>
    <e v="#N/A"/>
    <e v="#N/A"/>
  </r>
  <r>
    <n v="1734"/>
    <d v="2016-01-18T13:38:43"/>
    <d v="2016-01-18T13:53:42"/>
    <x v="0"/>
    <s v="Medium"/>
    <m/>
    <x v="0"/>
    <n v="70805"/>
    <n v="0"/>
    <d v="2016-01-18T13:56:42"/>
    <n v="19.579999999999998"/>
    <x v="2"/>
    <n v="2"/>
    <n v="1"/>
    <n v="1.7"/>
    <n v="0"/>
    <n v="2.7"/>
    <x v="0"/>
    <x v="0"/>
    <x v="0"/>
    <x v="0"/>
    <n v="7"/>
    <n v="10"/>
    <e v="#N/A"/>
  </r>
  <r>
    <n v="1735"/>
    <d v="2016-01-18T13:33:35"/>
    <d v="2016-01-18T13:48:36"/>
    <x v="2"/>
    <m/>
    <m/>
    <x v="0"/>
    <n v="70807"/>
    <n v="0"/>
    <d v="2016-01-18T13:51:35"/>
    <n v="11.59"/>
    <x v="24"/>
    <n v="1"/>
    <n v="1.7"/>
    <n v="0"/>
    <n v="0"/>
    <n v="1.7"/>
    <x v="0"/>
    <x v="0"/>
    <x v="0"/>
    <x v="0"/>
    <n v="10"/>
    <e v="#N/A"/>
    <e v="#N/A"/>
  </r>
  <r>
    <n v="1736"/>
    <d v="2016-01-18T11:16:02"/>
    <d v="2016-01-18T11:31:02"/>
    <x v="2"/>
    <m/>
    <m/>
    <x v="1"/>
    <n v="70805"/>
    <n v="2.38371935009646"/>
    <d v="2016-01-18T11:42:57"/>
    <n v="11.59"/>
    <x v="666"/>
    <n v="1"/>
    <n v="1.7"/>
    <n v="0"/>
    <n v="0"/>
    <n v="1.7"/>
    <x v="653"/>
    <x v="0"/>
    <x v="869"/>
    <x v="490"/>
    <n v="10"/>
    <e v="#N/A"/>
    <e v="#N/A"/>
  </r>
  <r>
    <n v="1737"/>
    <d v="2016-01-18T11:07:12"/>
    <d v="2016-01-18T11:22:12"/>
    <x v="2"/>
    <m/>
    <m/>
    <x v="1"/>
    <n v="70804"/>
    <n v="1.5014609393837901"/>
    <d v="2016-01-18T11:29:42"/>
    <n v="11.59"/>
    <x v="719"/>
    <n v="1"/>
    <n v="1.7"/>
    <n v="0"/>
    <n v="0"/>
    <n v="1.7"/>
    <x v="706"/>
    <x v="0"/>
    <x v="870"/>
    <x v="491"/>
    <n v="10"/>
    <e v="#N/A"/>
    <e v="#N/A"/>
  </r>
  <r>
    <n v="1738"/>
    <d v="2016-01-18T12:54:50"/>
    <d v="2016-01-18T13:09:49"/>
    <x v="2"/>
    <m/>
    <m/>
    <x v="0"/>
    <n v="70807"/>
    <n v="0"/>
    <d v="2016-01-18T13:12:47"/>
    <n v="11.59"/>
    <x v="0"/>
    <n v="1"/>
    <n v="1.7"/>
    <n v="0"/>
    <n v="0"/>
    <n v="1.7"/>
    <x v="0"/>
    <x v="0"/>
    <x v="0"/>
    <x v="0"/>
    <n v="10"/>
    <e v="#N/A"/>
    <e v="#N/A"/>
  </r>
  <r>
    <n v="1739"/>
    <d v="2016-01-18T10:37:41"/>
    <d v="2016-01-18T10:52:40"/>
    <x v="2"/>
    <m/>
    <m/>
    <x v="0"/>
    <n v="70805"/>
    <n v="0"/>
    <d v="2016-01-18T10:55:37"/>
    <n v="11.59"/>
    <x v="102"/>
    <n v="1"/>
    <n v="1.7"/>
    <n v="0"/>
    <n v="0"/>
    <n v="1.7"/>
    <x v="0"/>
    <x v="0"/>
    <x v="0"/>
    <x v="0"/>
    <n v="10"/>
    <e v="#N/A"/>
    <e v="#N/A"/>
  </r>
  <r>
    <n v="1740"/>
    <d v="2016-01-18T13:40:09"/>
    <d v="2016-01-18T13:55:08"/>
    <x v="2"/>
    <m/>
    <m/>
    <x v="1"/>
    <n v="70807"/>
    <n v="2.6716915013004598"/>
    <d v="2016-01-18T14:08:29"/>
    <n v="11.59"/>
    <x v="720"/>
    <n v="1"/>
    <n v="1.7"/>
    <n v="0"/>
    <n v="0"/>
    <n v="1.7"/>
    <x v="707"/>
    <x v="0"/>
    <x v="871"/>
    <x v="492"/>
    <n v="10"/>
    <e v="#N/A"/>
    <e v="#N/A"/>
  </r>
  <r>
    <n v="1741"/>
    <d v="2016-01-18T12:25:04"/>
    <d v="2016-01-18T12:40:05"/>
    <x v="1"/>
    <m/>
    <m/>
    <x v="1"/>
    <n v="70806"/>
    <n v="2.5188131809410899"/>
    <d v="2016-01-18T12:52:40"/>
    <n v="15.35"/>
    <x v="208"/>
    <n v="1"/>
    <n v="2.2999999999999998"/>
    <n v="0"/>
    <n v="0"/>
    <n v="2.2999999999999998"/>
    <x v="196"/>
    <x v="0"/>
    <x v="872"/>
    <x v="493"/>
    <n v="14"/>
    <e v="#N/A"/>
    <e v="#N/A"/>
  </r>
  <r>
    <n v="1742"/>
    <d v="2016-01-18T12:59:14"/>
    <d v="2016-01-18T13:14:14"/>
    <x v="2"/>
    <m/>
    <m/>
    <x v="0"/>
    <n v="70803"/>
    <n v="0"/>
    <d v="2016-01-18T13:17:13"/>
    <n v="11.59"/>
    <x v="24"/>
    <n v="1"/>
    <n v="1.7"/>
    <n v="0"/>
    <n v="0"/>
    <n v="1.7"/>
    <x v="0"/>
    <x v="0"/>
    <x v="0"/>
    <x v="0"/>
    <n v="10"/>
    <e v="#N/A"/>
    <e v="#N/A"/>
  </r>
  <r>
    <n v="1743"/>
    <d v="2016-01-18T11:46:42"/>
    <d v="2016-01-18T12:01:42"/>
    <x v="1"/>
    <m/>
    <m/>
    <x v="0"/>
    <n v="70803"/>
    <n v="0"/>
    <d v="2016-01-18T12:04:42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744"/>
    <d v="2016-01-18T12:30:31"/>
    <d v="2016-01-18T12:45:31"/>
    <x v="2"/>
    <m/>
    <m/>
    <x v="1"/>
    <n v="70803"/>
    <n v="1.0964422367742299"/>
    <d v="2016-01-18T12:50:59"/>
    <n v="11.59"/>
    <x v="721"/>
    <n v="1"/>
    <n v="1.7"/>
    <n v="0"/>
    <n v="0"/>
    <n v="1.7"/>
    <x v="708"/>
    <x v="0"/>
    <x v="873"/>
    <x v="494"/>
    <n v="10"/>
    <e v="#N/A"/>
    <e v="#N/A"/>
  </r>
  <r>
    <n v="1745"/>
    <d v="2016-01-18T13:11:25"/>
    <d v="2016-01-18T13:26:24"/>
    <x v="1"/>
    <m/>
    <m/>
    <x v="0"/>
    <n v="70806"/>
    <n v="0"/>
    <d v="2016-01-18T13:29:24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746"/>
    <d v="2016-01-18T13:33:13"/>
    <d v="2016-01-18T13:48:13"/>
    <x v="2"/>
    <m/>
    <m/>
    <x v="1"/>
    <n v="70804"/>
    <n v="2.77657565879574"/>
    <d v="2016-01-18T14:02:05"/>
    <n v="11.59"/>
    <x v="490"/>
    <n v="1"/>
    <n v="1.7"/>
    <n v="0"/>
    <n v="0"/>
    <n v="1.7"/>
    <x v="477"/>
    <x v="0"/>
    <x v="874"/>
    <x v="495"/>
    <n v="10"/>
    <e v="#N/A"/>
    <e v="#N/A"/>
  </r>
  <r>
    <n v="1747"/>
    <d v="2016-01-18T12:14:27"/>
    <d v="2016-01-18T12:29:27"/>
    <x v="0"/>
    <s v="Large"/>
    <m/>
    <x v="1"/>
    <n v="70804"/>
    <n v="3.1565834945793698"/>
    <d v="2016-01-18T12:45:13"/>
    <n v="23.34"/>
    <x v="722"/>
    <n v="2"/>
    <n v="1"/>
    <n v="2.2999999999999998"/>
    <n v="0"/>
    <n v="3.3"/>
    <x v="709"/>
    <x v="0"/>
    <x v="875"/>
    <x v="496"/>
    <n v="7"/>
    <n v="14"/>
    <e v="#N/A"/>
  </r>
  <r>
    <n v="1748"/>
    <d v="2016-01-18T11:52:24"/>
    <d v="2016-01-18T12:07:24"/>
    <x v="1"/>
    <m/>
    <m/>
    <x v="0"/>
    <n v="70804"/>
    <n v="0"/>
    <d v="2016-01-18T12:10:23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1749"/>
    <d v="2016-01-18T11:44:31"/>
    <d v="2016-01-18T11:59:31"/>
    <x v="0"/>
    <s v="Medium"/>
    <m/>
    <x v="0"/>
    <n v="70804"/>
    <n v="0"/>
    <d v="2016-01-18T12:02:31"/>
    <n v="19.579999999999998"/>
    <x v="2"/>
    <n v="2"/>
    <n v="1"/>
    <n v="1.7"/>
    <n v="0"/>
    <n v="2.7"/>
    <x v="0"/>
    <x v="0"/>
    <x v="0"/>
    <x v="0"/>
    <n v="7"/>
    <n v="10"/>
    <e v="#N/A"/>
  </r>
  <r>
    <n v="1750"/>
    <d v="2016-01-18T11:32:22"/>
    <d v="2016-01-18T11:47:21"/>
    <x v="2"/>
    <m/>
    <m/>
    <x v="0"/>
    <n v="70804"/>
    <n v="0"/>
    <d v="2016-01-18T11:50:21"/>
    <n v="11.59"/>
    <x v="2"/>
    <n v="1"/>
    <n v="1.7"/>
    <n v="0"/>
    <n v="0"/>
    <n v="1.7"/>
    <x v="0"/>
    <x v="0"/>
    <x v="0"/>
    <x v="0"/>
    <n v="10"/>
    <e v="#N/A"/>
    <e v="#N/A"/>
  </r>
  <r>
    <n v="1751"/>
    <d v="2016-01-18T12:50:49"/>
    <d v="2016-01-18T13:05:49"/>
    <x v="0"/>
    <m/>
    <m/>
    <x v="0"/>
    <n v="70803"/>
    <n v="0"/>
    <d v="2016-01-18T13:08:49"/>
    <n v="7.99"/>
    <x v="2"/>
    <n v="1"/>
    <n v="1"/>
    <n v="0"/>
    <n v="0"/>
    <n v="1"/>
    <x v="0"/>
    <x v="0"/>
    <x v="0"/>
    <x v="0"/>
    <n v="7"/>
    <e v="#N/A"/>
    <e v="#N/A"/>
  </r>
  <r>
    <n v="1752"/>
    <d v="2016-01-18T12:11:09"/>
    <d v="2016-01-18T12:26:09"/>
    <x v="0"/>
    <s v="Large"/>
    <m/>
    <x v="1"/>
    <n v="70804"/>
    <n v="3.0053658697287502"/>
    <d v="2016-01-18T12:41:10"/>
    <n v="23.34"/>
    <x v="723"/>
    <n v="2"/>
    <n v="1"/>
    <n v="2.2999999999999998"/>
    <n v="0"/>
    <n v="3.3"/>
    <x v="710"/>
    <x v="0"/>
    <x v="876"/>
    <x v="497"/>
    <n v="7"/>
    <n v="14"/>
    <e v="#N/A"/>
  </r>
  <r>
    <n v="1753"/>
    <d v="2016-01-18T12:50:16"/>
    <d v="2016-01-18T13:05:15"/>
    <x v="0"/>
    <m/>
    <m/>
    <x v="1"/>
    <n v="70806"/>
    <n v="3.6665230526605601"/>
    <d v="2016-01-18T13:23:34"/>
    <n v="7.99"/>
    <x v="724"/>
    <n v="1"/>
    <n v="1"/>
    <n v="0"/>
    <n v="0"/>
    <n v="1"/>
    <x v="711"/>
    <x v="1"/>
    <x v="877"/>
    <x v="0"/>
    <n v="7"/>
    <e v="#N/A"/>
    <e v="#N/A"/>
  </r>
  <r>
    <n v="1754"/>
    <d v="2016-01-18T12:57:27"/>
    <d v="2016-01-18T13:12:26"/>
    <x v="1"/>
    <m/>
    <m/>
    <x v="1"/>
    <n v="70804"/>
    <n v="2.45745279033421"/>
    <d v="2016-01-18T13:24:43"/>
    <n v="15.35"/>
    <x v="235"/>
    <n v="1"/>
    <n v="2.2999999999999998"/>
    <n v="0"/>
    <n v="0"/>
    <n v="2.2999999999999998"/>
    <x v="222"/>
    <x v="0"/>
    <x v="878"/>
    <x v="498"/>
    <n v="14"/>
    <e v="#N/A"/>
    <e v="#N/A"/>
  </r>
  <r>
    <n v="1755"/>
    <d v="2016-01-18T10:32:14"/>
    <d v="2016-01-18T10:47:13"/>
    <x v="2"/>
    <m/>
    <m/>
    <x v="0"/>
    <n v="70806"/>
    <n v="0"/>
    <d v="2016-01-18T10:50:12"/>
    <n v="11.59"/>
    <x v="24"/>
    <n v="1"/>
    <n v="1.7"/>
    <n v="0"/>
    <n v="0"/>
    <n v="1.7"/>
    <x v="0"/>
    <x v="0"/>
    <x v="0"/>
    <x v="0"/>
    <n v="10"/>
    <e v="#N/A"/>
    <e v="#N/A"/>
  </r>
  <r>
    <n v="1756"/>
    <d v="2016-01-18T13:49:47"/>
    <d v="2016-01-18T14:04:46"/>
    <x v="2"/>
    <m/>
    <m/>
    <x v="0"/>
    <n v="70803"/>
    <n v="0"/>
    <d v="2016-01-18T14:07:47"/>
    <n v="11.59"/>
    <x v="14"/>
    <n v="1"/>
    <n v="1.7"/>
    <n v="0"/>
    <n v="0"/>
    <n v="1.7"/>
    <x v="0"/>
    <x v="0"/>
    <x v="0"/>
    <x v="0"/>
    <n v="10"/>
    <e v="#N/A"/>
    <e v="#N/A"/>
  </r>
  <r>
    <n v="1757"/>
    <d v="2016-01-18T12:10:16"/>
    <d v="2016-01-18T12:25:13"/>
    <x v="1"/>
    <m/>
    <m/>
    <x v="0"/>
    <n v="70804"/>
    <n v="0"/>
    <d v="2016-01-18T12:28:13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758"/>
    <d v="2016-01-18T12:17:18"/>
    <d v="2016-01-18T12:32:17"/>
    <x v="2"/>
    <m/>
    <m/>
    <x v="1"/>
    <n v="70805"/>
    <n v="5.3433247336835699"/>
    <d v="2016-01-18T12:58:59"/>
    <n v="11.59"/>
    <x v="725"/>
    <n v="1"/>
    <n v="1.7"/>
    <n v="0"/>
    <n v="0"/>
    <n v="1.7"/>
    <x v="712"/>
    <x v="1"/>
    <x v="879"/>
    <x v="0"/>
    <n v="10"/>
    <e v="#N/A"/>
    <e v="#N/A"/>
  </r>
  <r>
    <n v="1759"/>
    <d v="2016-01-18T12:20:31"/>
    <d v="2016-01-18T12:35:31"/>
    <x v="0"/>
    <m/>
    <m/>
    <x v="0"/>
    <n v="70805"/>
    <n v="0"/>
    <d v="2016-01-18T12:38:28"/>
    <n v="7.99"/>
    <x v="102"/>
    <n v="1"/>
    <n v="1"/>
    <n v="0"/>
    <n v="0"/>
    <n v="1"/>
    <x v="0"/>
    <x v="0"/>
    <x v="0"/>
    <x v="0"/>
    <n v="7"/>
    <e v="#N/A"/>
    <e v="#N/A"/>
  </r>
  <r>
    <n v="1760"/>
    <d v="2016-01-18T12:32:40"/>
    <d v="2016-01-18T12:47:40"/>
    <x v="0"/>
    <s v="Medium"/>
    <m/>
    <x v="1"/>
    <n v="70805"/>
    <n v="3.72080094700183"/>
    <d v="2016-01-18T13:06:16"/>
    <n v="19.579999999999998"/>
    <x v="221"/>
    <n v="2"/>
    <n v="1"/>
    <n v="1.7"/>
    <n v="0"/>
    <n v="2.7"/>
    <x v="209"/>
    <x v="1"/>
    <x v="880"/>
    <x v="0"/>
    <n v="7"/>
    <n v="10"/>
    <e v="#N/A"/>
  </r>
  <r>
    <n v="1761"/>
    <d v="2016-01-18T11:28:46"/>
    <d v="2016-01-18T11:43:47"/>
    <x v="1"/>
    <m/>
    <m/>
    <x v="1"/>
    <n v="70804"/>
    <n v="3.4929876334782701"/>
    <d v="2016-01-18T12:01:14"/>
    <n v="15.35"/>
    <x v="103"/>
    <n v="1"/>
    <n v="2.2999999999999998"/>
    <n v="0"/>
    <n v="0"/>
    <n v="2.2999999999999998"/>
    <x v="93"/>
    <x v="1"/>
    <x v="881"/>
    <x v="0"/>
    <n v="14"/>
    <e v="#N/A"/>
    <e v="#N/A"/>
  </r>
  <r>
    <n v="1762"/>
    <d v="2016-01-18T12:50:44"/>
    <d v="2016-01-18T13:05:45"/>
    <x v="0"/>
    <m/>
    <m/>
    <x v="1"/>
    <n v="70805"/>
    <n v="3.5012037501421598"/>
    <d v="2016-01-18T13:23:15"/>
    <n v="7.99"/>
    <x v="726"/>
    <n v="1"/>
    <n v="1"/>
    <n v="0"/>
    <n v="0"/>
    <n v="1"/>
    <x v="713"/>
    <x v="1"/>
    <x v="882"/>
    <x v="0"/>
    <n v="7"/>
    <e v="#N/A"/>
    <e v="#N/A"/>
  </r>
  <r>
    <n v="1763"/>
    <d v="2016-01-18T12:27:59"/>
    <d v="2016-01-18T12:42:56"/>
    <x v="1"/>
    <m/>
    <m/>
    <x v="1"/>
    <n v="70806"/>
    <n v="3.0786319237856299"/>
    <d v="2016-01-18T12:58:19"/>
    <n v="15.35"/>
    <x v="727"/>
    <n v="1"/>
    <n v="2.2999999999999998"/>
    <n v="0"/>
    <n v="0"/>
    <n v="2.2999999999999998"/>
    <x v="714"/>
    <x v="0"/>
    <x v="883"/>
    <x v="499"/>
    <n v="14"/>
    <e v="#N/A"/>
    <e v="#N/A"/>
  </r>
  <r>
    <n v="1764"/>
    <d v="2016-01-18T10:36:41"/>
    <d v="2016-01-18T10:51:41"/>
    <x v="0"/>
    <m/>
    <m/>
    <x v="0"/>
    <n v="70804"/>
    <n v="0"/>
    <d v="2016-01-18T10:54:40"/>
    <n v="7.99"/>
    <x v="1"/>
    <n v="1"/>
    <n v="1"/>
    <n v="0"/>
    <n v="0"/>
    <n v="1"/>
    <x v="0"/>
    <x v="0"/>
    <x v="0"/>
    <x v="0"/>
    <n v="7"/>
    <e v="#N/A"/>
    <e v="#N/A"/>
  </r>
  <r>
    <n v="1765"/>
    <d v="2016-01-18T13:59:01"/>
    <d v="2016-01-18T14:14:00"/>
    <x v="0"/>
    <s v="Medium"/>
    <m/>
    <x v="0"/>
    <n v="70803"/>
    <n v="0"/>
    <d v="2016-01-18T14:16:59"/>
    <n v="19.579999999999998"/>
    <x v="1"/>
    <n v="2"/>
    <n v="1"/>
    <n v="1.7"/>
    <n v="0"/>
    <n v="2.7"/>
    <x v="0"/>
    <x v="0"/>
    <x v="0"/>
    <x v="0"/>
    <n v="7"/>
    <n v="10"/>
    <e v="#N/A"/>
  </r>
  <r>
    <n v="1766"/>
    <d v="2016-01-18T11:27:45"/>
    <d v="2016-01-18T11:42:45"/>
    <x v="0"/>
    <s v="Medium"/>
    <m/>
    <x v="0"/>
    <n v="70805"/>
    <n v="0"/>
    <d v="2016-01-18T11:45:44"/>
    <n v="19.579999999999998"/>
    <x v="24"/>
    <n v="2"/>
    <n v="1"/>
    <n v="1.7"/>
    <n v="0"/>
    <n v="2.7"/>
    <x v="0"/>
    <x v="0"/>
    <x v="0"/>
    <x v="0"/>
    <n v="7"/>
    <n v="10"/>
    <e v="#N/A"/>
  </r>
  <r>
    <n v="1767"/>
    <d v="2016-01-18T10:11:26"/>
    <d v="2016-01-18T10:26:27"/>
    <x v="0"/>
    <s v="Medium"/>
    <m/>
    <x v="1"/>
    <n v="70805"/>
    <n v="4.8234741559895697"/>
    <d v="2016-01-18T10:50:34"/>
    <n v="19.579999999999998"/>
    <x v="728"/>
    <n v="2"/>
    <n v="1"/>
    <n v="1.7"/>
    <n v="0"/>
    <n v="2.7"/>
    <x v="715"/>
    <x v="1"/>
    <x v="884"/>
    <x v="0"/>
    <n v="7"/>
    <n v="10"/>
    <e v="#N/A"/>
  </r>
  <r>
    <n v="1768"/>
    <d v="2016-01-18T11:07:07"/>
    <d v="2016-01-18T11:22:08"/>
    <x v="0"/>
    <m/>
    <m/>
    <x v="0"/>
    <n v="70807"/>
    <n v="0"/>
    <d v="2016-01-18T11:25:07"/>
    <n v="7.99"/>
    <x v="24"/>
    <n v="1"/>
    <n v="1"/>
    <n v="0"/>
    <n v="0"/>
    <n v="1"/>
    <x v="0"/>
    <x v="0"/>
    <x v="0"/>
    <x v="0"/>
    <n v="7"/>
    <e v="#N/A"/>
    <e v="#N/A"/>
  </r>
  <r>
    <n v="1769"/>
    <d v="2016-01-18T11:45:06"/>
    <d v="2016-01-18T12:00:05"/>
    <x v="1"/>
    <m/>
    <m/>
    <x v="1"/>
    <n v="70806"/>
    <n v="3.9309428880078099"/>
    <d v="2016-01-18T12:19:44"/>
    <n v="15.35"/>
    <x v="588"/>
    <n v="1"/>
    <n v="2.2999999999999998"/>
    <n v="0"/>
    <n v="0"/>
    <n v="2.2999999999999998"/>
    <x v="575"/>
    <x v="1"/>
    <x v="885"/>
    <x v="0"/>
    <n v="14"/>
    <e v="#N/A"/>
    <e v="#N/A"/>
  </r>
  <r>
    <n v="1770"/>
    <d v="2016-01-18T10:07:50"/>
    <d v="2016-01-18T10:22:50"/>
    <x v="2"/>
    <m/>
    <m/>
    <x v="1"/>
    <n v="70804"/>
    <n v="4.9411622886308901"/>
    <d v="2016-01-18T10:47:32"/>
    <n v="11.59"/>
    <x v="442"/>
    <n v="1"/>
    <n v="1.7"/>
    <n v="0"/>
    <n v="0"/>
    <n v="1.7"/>
    <x v="429"/>
    <x v="1"/>
    <x v="886"/>
    <x v="0"/>
    <n v="10"/>
    <e v="#N/A"/>
    <e v="#N/A"/>
  </r>
  <r>
    <n v="1771"/>
    <d v="2016-01-18T11:32:38"/>
    <d v="2016-01-18T11:47:39"/>
    <x v="0"/>
    <m/>
    <m/>
    <x v="1"/>
    <n v="70803"/>
    <n v="1.52870732165195"/>
    <d v="2016-01-18T11:55:17"/>
    <n v="7.99"/>
    <x v="729"/>
    <n v="1"/>
    <n v="1"/>
    <n v="0"/>
    <n v="0"/>
    <n v="1"/>
    <x v="716"/>
    <x v="0"/>
    <x v="887"/>
    <x v="500"/>
    <n v="7"/>
    <e v="#N/A"/>
    <e v="#N/A"/>
  </r>
  <r>
    <n v="1772"/>
    <d v="2016-01-18T12:19:28"/>
    <d v="2016-01-18T12:34:30"/>
    <x v="2"/>
    <m/>
    <m/>
    <x v="0"/>
    <n v="70806"/>
    <n v="0"/>
    <d v="2016-01-18T12:37:29"/>
    <n v="11.59"/>
    <x v="1"/>
    <n v="1"/>
    <n v="1.7"/>
    <n v="0"/>
    <n v="0"/>
    <n v="1.7"/>
    <x v="0"/>
    <x v="0"/>
    <x v="0"/>
    <x v="0"/>
    <n v="10"/>
    <e v="#N/A"/>
    <e v="#N/A"/>
  </r>
  <r>
    <n v="1773"/>
    <d v="2016-01-18T13:27:55"/>
    <d v="2016-01-18T13:42:54"/>
    <x v="2"/>
    <m/>
    <m/>
    <x v="1"/>
    <n v="70804"/>
    <n v="3.3366927835813001"/>
    <d v="2016-01-18T13:59:35"/>
    <n v="11.59"/>
    <x v="351"/>
    <n v="1"/>
    <n v="1.7"/>
    <n v="0"/>
    <n v="0"/>
    <n v="1.7"/>
    <x v="338"/>
    <x v="1"/>
    <x v="888"/>
    <x v="0"/>
    <n v="10"/>
    <e v="#N/A"/>
    <e v="#N/A"/>
  </r>
  <r>
    <n v="1774"/>
    <d v="2016-01-18T12:43:21"/>
    <d v="2016-01-18T12:58:21"/>
    <x v="1"/>
    <m/>
    <m/>
    <x v="0"/>
    <n v="70805"/>
    <n v="0"/>
    <d v="2016-01-18T13:01:21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775"/>
    <d v="2016-01-18T11:22:25"/>
    <d v="2016-01-18T11:37:24"/>
    <x v="1"/>
    <m/>
    <m/>
    <x v="0"/>
    <n v="70806"/>
    <n v="0"/>
    <d v="2016-01-18T11:40:25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1776"/>
    <d v="2016-01-18T12:19:27"/>
    <d v="2016-01-18T12:34:28"/>
    <x v="2"/>
    <m/>
    <m/>
    <x v="0"/>
    <n v="70805"/>
    <n v="0"/>
    <d v="2016-01-18T12:37:28"/>
    <n v="11.59"/>
    <x v="2"/>
    <n v="1"/>
    <n v="1.7"/>
    <n v="0"/>
    <n v="0"/>
    <n v="1.7"/>
    <x v="0"/>
    <x v="0"/>
    <x v="0"/>
    <x v="0"/>
    <n v="10"/>
    <e v="#N/A"/>
    <e v="#N/A"/>
  </r>
  <r>
    <n v="1777"/>
    <d v="2016-01-18T11:24:43"/>
    <d v="2016-01-18T11:39:41"/>
    <x v="1"/>
    <m/>
    <m/>
    <x v="0"/>
    <n v="70805"/>
    <n v="0"/>
    <d v="2016-01-18T11:42:39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1778"/>
    <d v="2016-01-18T15:52:09"/>
    <d v="2016-01-18T16:07:10"/>
    <x v="1"/>
    <m/>
    <m/>
    <x v="1"/>
    <n v="70805"/>
    <n v="1.8433917805485001"/>
    <d v="2016-01-18T16:16:23"/>
    <n v="15.35"/>
    <x v="730"/>
    <n v="1"/>
    <n v="2.2999999999999998"/>
    <n v="0"/>
    <n v="0"/>
    <n v="2.2999999999999998"/>
    <x v="717"/>
    <x v="0"/>
    <x v="889"/>
    <x v="501"/>
    <n v="14"/>
    <e v="#N/A"/>
    <e v="#N/A"/>
  </r>
  <r>
    <n v="1779"/>
    <d v="2016-01-18T10:35:36"/>
    <d v="2016-01-18T10:50:35"/>
    <x v="1"/>
    <m/>
    <m/>
    <x v="0"/>
    <n v="70807"/>
    <n v="0"/>
    <d v="2016-01-18T10:53:35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780"/>
    <d v="2016-01-18T10:35:55"/>
    <d v="2016-01-18T10:50:53"/>
    <x v="0"/>
    <m/>
    <m/>
    <x v="0"/>
    <n v="70803"/>
    <n v="0"/>
    <d v="2016-01-18T10:53:53"/>
    <n v="7.99"/>
    <x v="2"/>
    <n v="1"/>
    <n v="1"/>
    <n v="0"/>
    <n v="0"/>
    <n v="1"/>
    <x v="0"/>
    <x v="0"/>
    <x v="0"/>
    <x v="0"/>
    <n v="7"/>
    <e v="#N/A"/>
    <e v="#N/A"/>
  </r>
  <r>
    <n v="1781"/>
    <d v="2016-01-18T11:59:36"/>
    <d v="2016-01-18T12:14:36"/>
    <x v="1"/>
    <m/>
    <m/>
    <x v="1"/>
    <n v="70804"/>
    <n v="2.0834705565868199"/>
    <d v="2016-01-18T12:25:01"/>
    <n v="15.35"/>
    <x v="320"/>
    <n v="1"/>
    <n v="2.2999999999999998"/>
    <n v="0"/>
    <n v="0"/>
    <n v="2.2999999999999998"/>
    <x v="307"/>
    <x v="0"/>
    <x v="890"/>
    <x v="502"/>
    <n v="14"/>
    <e v="#N/A"/>
    <e v="#N/A"/>
  </r>
  <r>
    <n v="1782"/>
    <d v="2016-01-18T11:22:45"/>
    <d v="2016-01-18T11:37:45"/>
    <x v="0"/>
    <m/>
    <m/>
    <x v="1"/>
    <n v="70804"/>
    <n v="1.79322806563462"/>
    <d v="2016-01-18T11:46:42"/>
    <n v="7.99"/>
    <x v="731"/>
    <n v="1"/>
    <n v="1"/>
    <n v="0"/>
    <n v="0"/>
    <n v="1"/>
    <x v="718"/>
    <x v="0"/>
    <x v="891"/>
    <x v="503"/>
    <n v="7"/>
    <e v="#N/A"/>
    <e v="#N/A"/>
  </r>
  <r>
    <n v="1783"/>
    <d v="2016-01-18T11:33:46"/>
    <d v="2016-01-18T11:48:47"/>
    <x v="0"/>
    <m/>
    <m/>
    <x v="1"/>
    <n v="70806"/>
    <n v="1.58902609825721"/>
    <d v="2016-01-18T11:56:43"/>
    <n v="7.99"/>
    <x v="253"/>
    <n v="1"/>
    <n v="1"/>
    <n v="0"/>
    <n v="0"/>
    <n v="1"/>
    <x v="240"/>
    <x v="0"/>
    <x v="892"/>
    <x v="504"/>
    <n v="7"/>
    <e v="#N/A"/>
    <e v="#N/A"/>
  </r>
  <r>
    <n v="1784"/>
    <d v="2016-01-18T12:25:37"/>
    <d v="2016-01-18T12:40:35"/>
    <x v="0"/>
    <s v="Large"/>
    <m/>
    <x v="0"/>
    <n v="70805"/>
    <n v="0"/>
    <d v="2016-01-18T12:43:35"/>
    <n v="23.34"/>
    <x v="2"/>
    <n v="2"/>
    <n v="1"/>
    <n v="2.2999999999999998"/>
    <n v="0"/>
    <n v="3.3"/>
    <x v="0"/>
    <x v="0"/>
    <x v="0"/>
    <x v="0"/>
    <n v="7"/>
    <n v="14"/>
    <e v="#N/A"/>
  </r>
  <r>
    <n v="1785"/>
    <d v="2016-01-18T11:57:43"/>
    <d v="2016-01-18T12:12:43"/>
    <x v="1"/>
    <m/>
    <m/>
    <x v="1"/>
    <n v="70806"/>
    <n v="2.34313351603743"/>
    <d v="2016-01-18T12:24:25"/>
    <n v="15.35"/>
    <x v="595"/>
    <n v="1"/>
    <n v="2.2999999999999998"/>
    <n v="0"/>
    <n v="0"/>
    <n v="2.2999999999999998"/>
    <x v="582"/>
    <x v="0"/>
    <x v="893"/>
    <x v="505"/>
    <n v="14"/>
    <e v="#N/A"/>
    <e v="#N/A"/>
  </r>
  <r>
    <n v="1786"/>
    <d v="2016-01-18T12:12:27"/>
    <d v="2016-01-18T12:27:26"/>
    <x v="2"/>
    <m/>
    <m/>
    <x v="1"/>
    <n v="70804"/>
    <n v="4.9128069030623198"/>
    <d v="2016-01-18T12:51:59"/>
    <n v="11.59"/>
    <x v="732"/>
    <n v="1"/>
    <n v="1.7"/>
    <n v="0"/>
    <n v="0"/>
    <n v="1.7"/>
    <x v="719"/>
    <x v="1"/>
    <x v="894"/>
    <x v="0"/>
    <n v="10"/>
    <e v="#N/A"/>
    <e v="#N/A"/>
  </r>
  <r>
    <n v="1787"/>
    <d v="2016-01-18T12:05:39"/>
    <d v="2016-01-18T12:20:38"/>
    <x v="0"/>
    <m/>
    <m/>
    <x v="1"/>
    <n v="70807"/>
    <n v="2.53379339133441"/>
    <d v="2016-01-18T12:33:18"/>
    <n v="7.99"/>
    <x v="237"/>
    <n v="1"/>
    <n v="1"/>
    <n v="0"/>
    <n v="0"/>
    <n v="1"/>
    <x v="224"/>
    <x v="0"/>
    <x v="895"/>
    <x v="506"/>
    <n v="7"/>
    <e v="#N/A"/>
    <e v="#N/A"/>
  </r>
  <r>
    <n v="1788"/>
    <d v="2016-01-18T11:59:20"/>
    <d v="2016-01-18T12:14:20"/>
    <x v="2"/>
    <m/>
    <m/>
    <x v="1"/>
    <n v="70805"/>
    <n v="1.96185806146509"/>
    <d v="2016-01-18T12:24:08"/>
    <n v="11.59"/>
    <x v="733"/>
    <n v="1"/>
    <n v="1.7"/>
    <n v="0"/>
    <n v="0"/>
    <n v="1.7"/>
    <x v="720"/>
    <x v="0"/>
    <x v="896"/>
    <x v="507"/>
    <n v="10"/>
    <e v="#N/A"/>
    <e v="#N/A"/>
  </r>
  <r>
    <n v="1789"/>
    <d v="2016-01-18T11:15:33"/>
    <d v="2016-01-18T11:30:34"/>
    <x v="0"/>
    <s v="Large"/>
    <m/>
    <x v="0"/>
    <n v="70807"/>
    <n v="0"/>
    <d v="2016-01-18T11:33:33"/>
    <n v="23.34"/>
    <x v="24"/>
    <n v="2"/>
    <n v="1"/>
    <n v="2.2999999999999998"/>
    <n v="0"/>
    <n v="3.3"/>
    <x v="0"/>
    <x v="0"/>
    <x v="0"/>
    <x v="0"/>
    <n v="7"/>
    <n v="14"/>
    <e v="#N/A"/>
  </r>
  <r>
    <n v="1790"/>
    <d v="2016-01-18T13:56:52"/>
    <d v="2016-01-18T14:11:50"/>
    <x v="0"/>
    <m/>
    <m/>
    <x v="0"/>
    <n v="70806"/>
    <n v="0"/>
    <d v="2016-01-18T14:14:49"/>
    <n v="7.99"/>
    <x v="24"/>
    <n v="1"/>
    <n v="1"/>
    <n v="0"/>
    <n v="0"/>
    <n v="1"/>
    <x v="0"/>
    <x v="0"/>
    <x v="0"/>
    <x v="0"/>
    <n v="7"/>
    <e v="#N/A"/>
    <e v="#N/A"/>
  </r>
  <r>
    <n v="1791"/>
    <d v="2016-01-18T11:24:30"/>
    <d v="2016-01-18T11:39:30"/>
    <x v="0"/>
    <s v="Medium"/>
    <m/>
    <x v="1"/>
    <n v="70803"/>
    <n v="4.3857271733913104"/>
    <d v="2016-01-18T12:01:25"/>
    <n v="19.579999999999998"/>
    <x v="350"/>
    <n v="2"/>
    <n v="1"/>
    <n v="1.7"/>
    <n v="0"/>
    <n v="2.7"/>
    <x v="337"/>
    <x v="1"/>
    <x v="897"/>
    <x v="0"/>
    <n v="7"/>
    <n v="10"/>
    <e v="#N/A"/>
  </r>
  <r>
    <n v="1792"/>
    <d v="2016-01-18T11:23:43"/>
    <d v="2016-01-18T11:38:41"/>
    <x v="1"/>
    <m/>
    <m/>
    <x v="0"/>
    <n v="70805"/>
    <n v="0"/>
    <d v="2016-01-18T11:41:42"/>
    <n v="15.35"/>
    <x v="56"/>
    <n v="1"/>
    <n v="2.2999999999999998"/>
    <n v="0"/>
    <n v="0"/>
    <n v="2.2999999999999998"/>
    <x v="0"/>
    <x v="0"/>
    <x v="0"/>
    <x v="0"/>
    <n v="14"/>
    <e v="#N/A"/>
    <e v="#N/A"/>
  </r>
  <r>
    <n v="1793"/>
    <d v="2016-01-18T11:08:42"/>
    <d v="2016-01-18T11:23:41"/>
    <x v="0"/>
    <s v="Medium"/>
    <m/>
    <x v="0"/>
    <n v="70807"/>
    <n v="0"/>
    <d v="2016-01-18T11:26:38"/>
    <n v="19.579999999999998"/>
    <x v="102"/>
    <n v="2"/>
    <n v="1"/>
    <n v="1.7"/>
    <n v="0"/>
    <n v="2.7"/>
    <x v="0"/>
    <x v="0"/>
    <x v="0"/>
    <x v="0"/>
    <n v="7"/>
    <n v="10"/>
    <e v="#N/A"/>
  </r>
  <r>
    <n v="1794"/>
    <d v="2016-01-18T11:56:34"/>
    <d v="2016-01-18T12:11:33"/>
    <x v="1"/>
    <m/>
    <m/>
    <x v="0"/>
    <n v="70803"/>
    <n v="0"/>
    <d v="2016-01-18T12:14:35"/>
    <n v="15.35"/>
    <x v="171"/>
    <n v="1"/>
    <n v="2.2999999999999998"/>
    <n v="0"/>
    <n v="0"/>
    <n v="2.2999999999999998"/>
    <x v="0"/>
    <x v="0"/>
    <x v="0"/>
    <x v="0"/>
    <n v="14"/>
    <e v="#N/A"/>
    <e v="#N/A"/>
  </r>
  <r>
    <n v="1795"/>
    <d v="2016-01-18T11:47:39"/>
    <d v="2016-01-18T12:02:39"/>
    <x v="2"/>
    <s v="Large"/>
    <m/>
    <x v="1"/>
    <n v="70806"/>
    <n v="4.7609151263096301"/>
    <d v="2016-01-18T12:26:27"/>
    <n v="25.94"/>
    <x v="300"/>
    <n v="2"/>
    <n v="1.7"/>
    <n v="2.2999999999999998"/>
    <n v="0"/>
    <n v="4"/>
    <x v="287"/>
    <x v="1"/>
    <x v="898"/>
    <x v="0"/>
    <n v="10"/>
    <n v="14"/>
    <e v="#N/A"/>
  </r>
  <r>
    <n v="1796"/>
    <d v="2016-01-18T15:17:38"/>
    <d v="2016-01-18T15:32:38"/>
    <x v="2"/>
    <m/>
    <m/>
    <x v="0"/>
    <n v="70804"/>
    <n v="0"/>
    <d v="2016-01-18T15:35:38"/>
    <n v="11.59"/>
    <x v="2"/>
    <n v="1"/>
    <n v="1.7"/>
    <n v="0"/>
    <n v="0"/>
    <n v="1.7"/>
    <x v="0"/>
    <x v="0"/>
    <x v="0"/>
    <x v="0"/>
    <n v="10"/>
    <e v="#N/A"/>
    <e v="#N/A"/>
  </r>
  <r>
    <n v="1797"/>
    <d v="2016-01-18T10:29:20"/>
    <d v="2016-01-18T10:44:18"/>
    <x v="2"/>
    <m/>
    <m/>
    <x v="0"/>
    <n v="70807"/>
    <n v="0"/>
    <d v="2016-01-18T10:47:16"/>
    <n v="11.59"/>
    <x v="0"/>
    <n v="1"/>
    <n v="1.7"/>
    <n v="0"/>
    <n v="0"/>
    <n v="1.7"/>
    <x v="0"/>
    <x v="0"/>
    <x v="0"/>
    <x v="0"/>
    <n v="10"/>
    <e v="#N/A"/>
    <e v="#N/A"/>
  </r>
  <r>
    <n v="1798"/>
    <d v="2016-01-18T11:33:38"/>
    <d v="2016-01-18T11:48:38"/>
    <x v="2"/>
    <m/>
    <m/>
    <x v="0"/>
    <n v="70806"/>
    <n v="0"/>
    <d v="2016-01-18T11:51:38"/>
    <n v="11.59"/>
    <x v="2"/>
    <n v="1"/>
    <n v="1.7"/>
    <n v="0"/>
    <n v="0"/>
    <n v="1.7"/>
    <x v="0"/>
    <x v="0"/>
    <x v="0"/>
    <x v="0"/>
    <n v="10"/>
    <e v="#N/A"/>
    <e v="#N/A"/>
  </r>
  <r>
    <n v="1799"/>
    <d v="2016-01-18T12:57:26"/>
    <d v="2016-01-18T13:12:26"/>
    <x v="1"/>
    <m/>
    <m/>
    <x v="1"/>
    <n v="70803"/>
    <n v="5.2244081304362799"/>
    <d v="2016-01-18T13:38:33"/>
    <n v="15.35"/>
    <x v="734"/>
    <n v="1"/>
    <n v="2.2999999999999998"/>
    <n v="0"/>
    <n v="0"/>
    <n v="2.2999999999999998"/>
    <x v="721"/>
    <x v="1"/>
    <x v="899"/>
    <x v="0"/>
    <n v="14"/>
    <e v="#N/A"/>
    <e v="#N/A"/>
  </r>
  <r>
    <n v="1800"/>
    <d v="2016-01-18T12:35:23"/>
    <d v="2016-01-18T12:50:22"/>
    <x v="2"/>
    <m/>
    <m/>
    <x v="1"/>
    <n v="70803"/>
    <n v="4.2581375563246304"/>
    <d v="2016-01-18T13:11:39"/>
    <n v="11.59"/>
    <x v="735"/>
    <n v="1"/>
    <n v="1.7"/>
    <n v="0"/>
    <n v="0"/>
    <n v="1.7"/>
    <x v="722"/>
    <x v="1"/>
    <x v="900"/>
    <x v="0"/>
    <n v="10"/>
    <e v="#N/A"/>
    <e v="#N/A"/>
  </r>
  <r>
    <n v="1801"/>
    <d v="2016-01-18T11:08:24"/>
    <d v="2016-01-18T11:23:24"/>
    <x v="2"/>
    <m/>
    <m/>
    <x v="0"/>
    <n v="70804"/>
    <n v="0"/>
    <d v="2016-01-18T11:26:23"/>
    <n v="11.59"/>
    <x v="24"/>
    <n v="1"/>
    <n v="1.7"/>
    <n v="0"/>
    <n v="0"/>
    <n v="1.7"/>
    <x v="0"/>
    <x v="0"/>
    <x v="0"/>
    <x v="0"/>
    <n v="10"/>
    <e v="#N/A"/>
    <e v="#N/A"/>
  </r>
  <r>
    <n v="1802"/>
    <d v="2016-01-18T13:11:04"/>
    <d v="2016-01-18T13:26:03"/>
    <x v="1"/>
    <m/>
    <m/>
    <x v="0"/>
    <n v="70806"/>
    <n v="0"/>
    <d v="2016-01-18T13:29:03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803"/>
    <d v="2016-01-18T13:31:17"/>
    <d v="2016-01-18T13:46:17"/>
    <x v="0"/>
    <m/>
    <m/>
    <x v="0"/>
    <n v="70807"/>
    <n v="0"/>
    <d v="2016-01-18T13:49:16"/>
    <n v="7.99"/>
    <x v="24"/>
    <n v="1"/>
    <n v="1"/>
    <n v="0"/>
    <n v="0"/>
    <n v="1"/>
    <x v="0"/>
    <x v="0"/>
    <x v="0"/>
    <x v="0"/>
    <n v="7"/>
    <e v="#N/A"/>
    <e v="#N/A"/>
  </r>
  <r>
    <n v="1804"/>
    <d v="2016-01-18T11:39:35"/>
    <d v="2016-01-18T11:54:35"/>
    <x v="0"/>
    <s v="Medium"/>
    <m/>
    <x v="1"/>
    <n v="70804"/>
    <n v="1.7831126694966699"/>
    <d v="2016-01-18T12:03:29"/>
    <n v="19.579999999999998"/>
    <x v="137"/>
    <n v="2"/>
    <n v="1"/>
    <n v="1.7"/>
    <n v="0"/>
    <n v="2.7"/>
    <x v="127"/>
    <x v="0"/>
    <x v="901"/>
    <x v="508"/>
    <n v="7"/>
    <n v="10"/>
    <e v="#N/A"/>
  </r>
  <r>
    <n v="1805"/>
    <d v="2016-01-18T11:26:40"/>
    <d v="2016-01-18T11:41:40"/>
    <x v="2"/>
    <m/>
    <m/>
    <x v="1"/>
    <n v="70806"/>
    <n v="3.17155994539349"/>
    <d v="2016-01-18T11:57:31"/>
    <n v="11.59"/>
    <x v="38"/>
    <n v="1"/>
    <n v="1.7"/>
    <n v="0"/>
    <n v="0"/>
    <n v="1.7"/>
    <x v="32"/>
    <x v="0"/>
    <x v="902"/>
    <x v="509"/>
    <n v="10"/>
    <e v="#N/A"/>
    <e v="#N/A"/>
  </r>
  <r>
    <n v="1806"/>
    <d v="2016-01-18T11:25:25"/>
    <d v="2016-01-18T11:40:26"/>
    <x v="2"/>
    <m/>
    <m/>
    <x v="0"/>
    <n v="70803"/>
    <n v="0"/>
    <d v="2016-01-18T11:43:25"/>
    <n v="11.59"/>
    <x v="24"/>
    <n v="1"/>
    <n v="1.7"/>
    <n v="0"/>
    <n v="0"/>
    <n v="1.7"/>
    <x v="0"/>
    <x v="0"/>
    <x v="0"/>
    <x v="0"/>
    <n v="10"/>
    <e v="#N/A"/>
    <e v="#N/A"/>
  </r>
  <r>
    <n v="1807"/>
    <d v="2016-01-18T11:51:34"/>
    <d v="2016-01-18T12:06:33"/>
    <x v="2"/>
    <m/>
    <m/>
    <x v="0"/>
    <n v="70806"/>
    <n v="0"/>
    <d v="2016-01-18T12:09:31"/>
    <n v="11.59"/>
    <x v="0"/>
    <n v="1"/>
    <n v="1.7"/>
    <n v="0"/>
    <n v="0"/>
    <n v="1.7"/>
    <x v="0"/>
    <x v="0"/>
    <x v="0"/>
    <x v="0"/>
    <n v="10"/>
    <e v="#N/A"/>
    <e v="#N/A"/>
  </r>
  <r>
    <n v="1808"/>
    <d v="2016-01-18T12:31:11"/>
    <d v="2016-01-18T12:46:11"/>
    <x v="2"/>
    <m/>
    <m/>
    <x v="1"/>
    <n v="70804"/>
    <n v="3.68484712293079"/>
    <d v="2016-01-18T13:04:36"/>
    <n v="11.59"/>
    <x v="401"/>
    <n v="1"/>
    <n v="1.7"/>
    <n v="0"/>
    <n v="0"/>
    <n v="1.7"/>
    <x v="388"/>
    <x v="1"/>
    <x v="903"/>
    <x v="0"/>
    <n v="10"/>
    <e v="#N/A"/>
    <e v="#N/A"/>
  </r>
  <r>
    <n v="1809"/>
    <d v="2016-01-18T12:04:27"/>
    <d v="2016-01-18T12:19:27"/>
    <x v="2"/>
    <m/>
    <m/>
    <x v="1"/>
    <n v="70805"/>
    <n v="0.44670019986316201"/>
    <d v="2016-01-18T12:21:41"/>
    <n v="11.59"/>
    <x v="736"/>
    <n v="1"/>
    <n v="1.7"/>
    <n v="0"/>
    <n v="0"/>
    <n v="1.7"/>
    <x v="723"/>
    <x v="0"/>
    <x v="904"/>
    <x v="510"/>
    <n v="10"/>
    <e v="#N/A"/>
    <e v="#N/A"/>
  </r>
  <r>
    <n v="1810"/>
    <d v="2016-01-18T12:57:36"/>
    <d v="2016-01-18T13:12:35"/>
    <x v="1"/>
    <m/>
    <m/>
    <x v="1"/>
    <n v="70805"/>
    <n v="1.7291795900503399"/>
    <d v="2016-01-18T13:21:13"/>
    <n v="15.35"/>
    <x v="737"/>
    <n v="1"/>
    <n v="2.2999999999999998"/>
    <n v="0"/>
    <n v="0"/>
    <n v="2.2999999999999998"/>
    <x v="724"/>
    <x v="0"/>
    <x v="905"/>
    <x v="511"/>
    <n v="14"/>
    <e v="#N/A"/>
    <e v="#N/A"/>
  </r>
  <r>
    <n v="1811"/>
    <d v="2016-01-18T10:21:43"/>
    <d v="2016-01-18T10:36:44"/>
    <x v="0"/>
    <m/>
    <m/>
    <x v="1"/>
    <n v="70804"/>
    <n v="4.6818948753687497"/>
    <d v="2016-01-18T11:00:08"/>
    <n v="7.99"/>
    <x v="738"/>
    <n v="1"/>
    <n v="1"/>
    <n v="0"/>
    <n v="0"/>
    <n v="1"/>
    <x v="725"/>
    <x v="1"/>
    <x v="906"/>
    <x v="0"/>
    <n v="7"/>
    <e v="#N/A"/>
    <e v="#N/A"/>
  </r>
  <r>
    <n v="1812"/>
    <d v="2016-01-18T10:29:28"/>
    <d v="2016-01-18T10:44:28"/>
    <x v="2"/>
    <m/>
    <m/>
    <x v="0"/>
    <n v="70805"/>
    <n v="0"/>
    <d v="2016-01-18T10:47:27"/>
    <n v="11.59"/>
    <x v="1"/>
    <n v="1"/>
    <n v="1.7"/>
    <n v="0"/>
    <n v="0"/>
    <n v="1.7"/>
    <x v="0"/>
    <x v="0"/>
    <x v="0"/>
    <x v="0"/>
    <n v="10"/>
    <e v="#N/A"/>
    <e v="#N/A"/>
  </r>
  <r>
    <n v="1813"/>
    <d v="2016-01-18T12:44:17"/>
    <d v="2016-01-18T12:59:17"/>
    <x v="1"/>
    <m/>
    <m/>
    <x v="0"/>
    <n v="70804"/>
    <n v="0"/>
    <d v="2016-01-18T13:02:15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1814"/>
    <d v="2016-01-18T11:20:22"/>
    <d v="2016-01-18T11:35:21"/>
    <x v="1"/>
    <m/>
    <m/>
    <x v="0"/>
    <n v="70804"/>
    <n v="0"/>
    <d v="2016-01-18T11:38:19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1815"/>
    <d v="2016-01-18T12:28:14"/>
    <d v="2016-01-18T12:43:14"/>
    <x v="0"/>
    <s v="Medium"/>
    <m/>
    <x v="1"/>
    <n v="70804"/>
    <n v="2.16933794500541"/>
    <d v="2016-01-18T12:54:04"/>
    <n v="19.579999999999998"/>
    <x v="739"/>
    <n v="2"/>
    <n v="1"/>
    <n v="1.7"/>
    <n v="0"/>
    <n v="2.7"/>
    <x v="726"/>
    <x v="0"/>
    <x v="907"/>
    <x v="512"/>
    <n v="7"/>
    <n v="10"/>
    <e v="#N/A"/>
  </r>
  <r>
    <n v="1816"/>
    <d v="2016-01-19T11:56:58"/>
    <d v="2016-01-19T12:11:59"/>
    <x v="0"/>
    <s v="Medium"/>
    <m/>
    <x v="0"/>
    <n v="70806"/>
    <n v="0"/>
    <d v="2016-01-19T12:14:58"/>
    <n v="19.579999999999998"/>
    <x v="24"/>
    <n v="2"/>
    <n v="1"/>
    <n v="1.7"/>
    <n v="0"/>
    <n v="2.7"/>
    <x v="0"/>
    <x v="0"/>
    <x v="0"/>
    <x v="0"/>
    <n v="7"/>
    <n v="10"/>
    <e v="#N/A"/>
  </r>
  <r>
    <n v="1817"/>
    <d v="2016-01-19T12:35:22"/>
    <d v="2016-01-19T12:50:24"/>
    <x v="1"/>
    <m/>
    <m/>
    <x v="0"/>
    <n v="70804"/>
    <n v="0"/>
    <d v="2016-01-19T12:53:24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818"/>
    <d v="2016-01-19T11:28:21"/>
    <d v="2016-01-19T11:43:21"/>
    <x v="2"/>
    <m/>
    <m/>
    <x v="1"/>
    <n v="70805"/>
    <n v="1.27883547450155"/>
    <d v="2016-01-19T11:49:44"/>
    <n v="11.59"/>
    <x v="740"/>
    <n v="1"/>
    <n v="1.7"/>
    <n v="0"/>
    <n v="0"/>
    <n v="1.7"/>
    <x v="727"/>
    <x v="0"/>
    <x v="908"/>
    <x v="513"/>
    <n v="10"/>
    <e v="#N/A"/>
    <e v="#N/A"/>
  </r>
  <r>
    <n v="1819"/>
    <d v="2016-01-19T11:32:42"/>
    <d v="2016-01-19T11:47:42"/>
    <x v="2"/>
    <m/>
    <m/>
    <x v="0"/>
    <n v="70804"/>
    <n v="0"/>
    <d v="2016-01-19T11:50:42"/>
    <n v="11.59"/>
    <x v="2"/>
    <n v="1"/>
    <n v="1.7"/>
    <n v="0"/>
    <n v="0"/>
    <n v="1.7"/>
    <x v="0"/>
    <x v="0"/>
    <x v="0"/>
    <x v="0"/>
    <n v="10"/>
    <e v="#N/A"/>
    <e v="#N/A"/>
  </r>
  <r>
    <n v="1820"/>
    <d v="2016-01-19T13:27:25"/>
    <d v="2016-01-19T13:42:23"/>
    <x v="2"/>
    <s v="Large"/>
    <m/>
    <x v="1"/>
    <n v="70804"/>
    <n v="2.1063773450364098"/>
    <d v="2016-01-19T13:52:54"/>
    <n v="25.94"/>
    <x v="741"/>
    <n v="2"/>
    <n v="1.7"/>
    <n v="2.2999999999999998"/>
    <n v="0"/>
    <n v="4"/>
    <x v="728"/>
    <x v="0"/>
    <x v="909"/>
    <x v="514"/>
    <n v="10"/>
    <n v="14"/>
    <e v="#N/A"/>
  </r>
  <r>
    <n v="1821"/>
    <d v="2016-01-19T13:37:09"/>
    <d v="2016-01-19T13:52:09"/>
    <x v="1"/>
    <m/>
    <m/>
    <x v="1"/>
    <n v="70806"/>
    <n v="0.550537569736259"/>
    <d v="2016-01-19T13:54:54"/>
    <n v="15.35"/>
    <x v="742"/>
    <n v="1"/>
    <n v="2.2999999999999998"/>
    <n v="0"/>
    <n v="0"/>
    <n v="2.2999999999999998"/>
    <x v="729"/>
    <x v="0"/>
    <x v="910"/>
    <x v="515"/>
    <n v="14"/>
    <e v="#N/A"/>
    <e v="#N/A"/>
  </r>
  <r>
    <n v="1822"/>
    <d v="2016-01-19T12:32:42"/>
    <d v="2016-01-19T12:47:42"/>
    <x v="2"/>
    <m/>
    <m/>
    <x v="0"/>
    <n v="70807"/>
    <n v="0"/>
    <d v="2016-01-19T12:50:41"/>
    <n v="11.59"/>
    <x v="24"/>
    <n v="1"/>
    <n v="1.7"/>
    <n v="0"/>
    <n v="0"/>
    <n v="1.7"/>
    <x v="0"/>
    <x v="0"/>
    <x v="0"/>
    <x v="0"/>
    <n v="10"/>
    <e v="#N/A"/>
    <e v="#N/A"/>
  </r>
  <r>
    <n v="1823"/>
    <d v="2016-01-19T13:24:28"/>
    <d v="2016-01-19T13:39:28"/>
    <x v="1"/>
    <m/>
    <m/>
    <x v="0"/>
    <n v="70804"/>
    <n v="0"/>
    <d v="2016-01-19T13:42:27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1824"/>
    <d v="2016-01-19T11:10:19"/>
    <d v="2016-01-19T11:25:16"/>
    <x v="0"/>
    <s v="Large"/>
    <m/>
    <x v="0"/>
    <n v="70805"/>
    <n v="0"/>
    <d v="2016-01-19T11:28:16"/>
    <n v="23.34"/>
    <x v="2"/>
    <n v="2"/>
    <n v="1"/>
    <n v="2.2999999999999998"/>
    <n v="0"/>
    <n v="3.3"/>
    <x v="0"/>
    <x v="0"/>
    <x v="0"/>
    <x v="0"/>
    <n v="7"/>
    <n v="14"/>
    <e v="#N/A"/>
  </r>
  <r>
    <n v="1825"/>
    <d v="2016-01-19T11:39:31"/>
    <d v="2016-01-19T11:54:30"/>
    <x v="0"/>
    <s v="Medium"/>
    <m/>
    <x v="1"/>
    <n v="70805"/>
    <n v="3.7692593004455501"/>
    <d v="2016-01-19T12:13:20"/>
    <n v="19.579999999999998"/>
    <x v="743"/>
    <n v="2"/>
    <n v="1"/>
    <n v="1.7"/>
    <n v="0"/>
    <n v="2.7"/>
    <x v="730"/>
    <x v="1"/>
    <x v="911"/>
    <x v="0"/>
    <n v="7"/>
    <n v="10"/>
    <e v="#N/A"/>
  </r>
  <r>
    <n v="1826"/>
    <d v="2016-01-19T11:11:26"/>
    <d v="2016-01-19T11:26:26"/>
    <x v="2"/>
    <m/>
    <m/>
    <x v="1"/>
    <n v="70805"/>
    <n v="2.5423140994686899"/>
    <d v="2016-01-19T11:39:08"/>
    <n v="11.59"/>
    <x v="74"/>
    <n v="1"/>
    <n v="1.7"/>
    <n v="0"/>
    <n v="0"/>
    <n v="1.7"/>
    <x v="65"/>
    <x v="0"/>
    <x v="912"/>
    <x v="516"/>
    <n v="10"/>
    <e v="#N/A"/>
    <e v="#N/A"/>
  </r>
  <r>
    <n v="1827"/>
    <d v="2016-01-19T11:01:21"/>
    <d v="2016-01-19T11:16:20"/>
    <x v="0"/>
    <m/>
    <m/>
    <x v="1"/>
    <n v="70806"/>
    <n v="1.5109539424445599"/>
    <d v="2016-01-19T11:23:53"/>
    <n v="7.99"/>
    <x v="100"/>
    <n v="1"/>
    <n v="1"/>
    <n v="0"/>
    <n v="0"/>
    <n v="1"/>
    <x v="91"/>
    <x v="0"/>
    <x v="913"/>
    <x v="517"/>
    <n v="7"/>
    <e v="#N/A"/>
    <e v="#N/A"/>
  </r>
  <r>
    <n v="1828"/>
    <d v="2016-01-19T10:29:03"/>
    <d v="2016-01-19T10:44:03"/>
    <x v="1"/>
    <m/>
    <m/>
    <x v="0"/>
    <n v="70807"/>
    <n v="0"/>
    <d v="2016-01-19T10:47:03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829"/>
    <d v="2016-01-19T13:55:43"/>
    <d v="2016-01-19T14:10:44"/>
    <x v="0"/>
    <s v="Large"/>
    <m/>
    <x v="1"/>
    <n v="70805"/>
    <n v="2.2322523010157802"/>
    <d v="2016-01-19T14:21:53"/>
    <n v="23.34"/>
    <x v="744"/>
    <n v="2"/>
    <n v="1"/>
    <n v="2.2999999999999998"/>
    <n v="0"/>
    <n v="3.3"/>
    <x v="731"/>
    <x v="0"/>
    <x v="914"/>
    <x v="518"/>
    <n v="7"/>
    <n v="14"/>
    <e v="#N/A"/>
  </r>
  <r>
    <n v="1830"/>
    <d v="2016-01-19T10:08:35"/>
    <d v="2016-01-19T10:23:34"/>
    <x v="1"/>
    <m/>
    <m/>
    <x v="0"/>
    <n v="70805"/>
    <n v="0"/>
    <d v="2016-01-19T10:26:35"/>
    <n v="15.35"/>
    <x v="56"/>
    <n v="1"/>
    <n v="2.2999999999999998"/>
    <n v="0"/>
    <n v="0"/>
    <n v="2.2999999999999998"/>
    <x v="0"/>
    <x v="0"/>
    <x v="0"/>
    <x v="0"/>
    <n v="14"/>
    <e v="#N/A"/>
    <e v="#N/A"/>
  </r>
  <r>
    <n v="1831"/>
    <d v="2016-01-19T13:49:24"/>
    <d v="2016-01-19T14:04:24"/>
    <x v="0"/>
    <s v="Large"/>
    <m/>
    <x v="0"/>
    <n v="70805"/>
    <n v="0"/>
    <d v="2016-01-19T14:07:22"/>
    <n v="23.34"/>
    <x v="0"/>
    <n v="2"/>
    <n v="1"/>
    <n v="2.2999999999999998"/>
    <n v="0"/>
    <n v="3.3"/>
    <x v="0"/>
    <x v="0"/>
    <x v="0"/>
    <x v="0"/>
    <n v="7"/>
    <n v="14"/>
    <e v="#N/A"/>
  </r>
  <r>
    <n v="1832"/>
    <d v="2016-01-19T13:36:04"/>
    <d v="2016-01-19T13:51:04"/>
    <x v="0"/>
    <s v="Medium"/>
    <m/>
    <x v="1"/>
    <n v="70804"/>
    <n v="3.76108548010885"/>
    <d v="2016-01-19T14:09:52"/>
    <n v="19.579999999999998"/>
    <x v="745"/>
    <n v="2"/>
    <n v="1"/>
    <n v="1.7"/>
    <n v="0"/>
    <n v="2.7"/>
    <x v="732"/>
    <x v="1"/>
    <x v="915"/>
    <x v="0"/>
    <n v="7"/>
    <n v="10"/>
    <e v="#N/A"/>
  </r>
  <r>
    <n v="1833"/>
    <d v="2016-01-19T10:31:41"/>
    <d v="2016-01-19T10:46:42"/>
    <x v="1"/>
    <m/>
    <m/>
    <x v="0"/>
    <n v="70804"/>
    <n v="0"/>
    <d v="2016-01-19T10:49:41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1834"/>
    <d v="2016-01-19T11:39:16"/>
    <d v="2016-01-19T11:54:16"/>
    <x v="1"/>
    <m/>
    <m/>
    <x v="0"/>
    <n v="70804"/>
    <n v="0"/>
    <d v="2016-01-19T11:57:15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1835"/>
    <d v="2016-01-19T13:26:36"/>
    <d v="2016-01-19T13:41:35"/>
    <x v="1"/>
    <m/>
    <m/>
    <x v="1"/>
    <n v="70805"/>
    <n v="2.9042787309451299"/>
    <d v="2016-01-19T13:56:06"/>
    <n v="15.35"/>
    <x v="372"/>
    <n v="1"/>
    <n v="2.2999999999999998"/>
    <n v="0"/>
    <n v="0"/>
    <n v="2.2999999999999998"/>
    <x v="359"/>
    <x v="0"/>
    <x v="916"/>
    <x v="519"/>
    <n v="14"/>
    <e v="#N/A"/>
    <e v="#N/A"/>
  </r>
  <r>
    <n v="1836"/>
    <d v="2016-01-19T11:39:29"/>
    <d v="2016-01-19T11:54:28"/>
    <x v="1"/>
    <m/>
    <m/>
    <x v="1"/>
    <n v="70806"/>
    <n v="4.0080151571413101"/>
    <d v="2016-01-19T12:14:30"/>
    <n v="15.35"/>
    <x v="746"/>
    <n v="1"/>
    <n v="2.2999999999999998"/>
    <n v="0"/>
    <n v="0"/>
    <n v="2.2999999999999998"/>
    <x v="733"/>
    <x v="1"/>
    <x v="917"/>
    <x v="0"/>
    <n v="14"/>
    <e v="#N/A"/>
    <e v="#N/A"/>
  </r>
  <r>
    <n v="1837"/>
    <d v="2016-01-19T10:47:03"/>
    <d v="2016-01-19T11:02:01"/>
    <x v="2"/>
    <m/>
    <m/>
    <x v="0"/>
    <n v="70806"/>
    <n v="0"/>
    <d v="2016-01-19T11:05:01"/>
    <n v="11.59"/>
    <x v="2"/>
    <n v="1"/>
    <n v="1.7"/>
    <n v="0"/>
    <n v="0"/>
    <n v="1.7"/>
    <x v="0"/>
    <x v="0"/>
    <x v="0"/>
    <x v="0"/>
    <n v="10"/>
    <e v="#N/A"/>
    <e v="#N/A"/>
  </r>
  <r>
    <n v="1838"/>
    <d v="2016-01-19T13:16:45"/>
    <d v="2016-01-19T13:31:43"/>
    <x v="1"/>
    <m/>
    <m/>
    <x v="0"/>
    <n v="70806"/>
    <n v="0"/>
    <d v="2016-01-19T13:34:42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1839"/>
    <d v="2016-01-19T11:56:11"/>
    <d v="2016-01-19T12:11:11"/>
    <x v="0"/>
    <s v="Medium"/>
    <m/>
    <x v="0"/>
    <n v="70805"/>
    <n v="0"/>
    <d v="2016-01-19T12:14:09"/>
    <n v="19.579999999999998"/>
    <x v="0"/>
    <n v="2"/>
    <n v="1"/>
    <n v="1.7"/>
    <n v="0"/>
    <n v="2.7"/>
    <x v="0"/>
    <x v="0"/>
    <x v="0"/>
    <x v="0"/>
    <n v="7"/>
    <n v="10"/>
    <e v="#N/A"/>
  </r>
  <r>
    <n v="1840"/>
    <d v="2016-01-19T12:24:18"/>
    <d v="2016-01-19T12:39:18"/>
    <x v="0"/>
    <m/>
    <m/>
    <x v="1"/>
    <n v="70803"/>
    <n v="4.4668165418394699"/>
    <d v="2016-01-19T13:01:38"/>
    <n v="7.99"/>
    <x v="261"/>
    <n v="1"/>
    <n v="1"/>
    <n v="0"/>
    <n v="0"/>
    <n v="1"/>
    <x v="248"/>
    <x v="1"/>
    <x v="918"/>
    <x v="0"/>
    <n v="7"/>
    <e v="#N/A"/>
    <e v="#N/A"/>
  </r>
  <r>
    <n v="1841"/>
    <d v="2016-01-19T11:53:28"/>
    <d v="2016-01-19T12:08:28"/>
    <x v="0"/>
    <m/>
    <m/>
    <x v="1"/>
    <n v="70807"/>
    <n v="3.9792358018718299"/>
    <d v="2016-01-19T12:28:21"/>
    <n v="7.99"/>
    <x v="436"/>
    <n v="1"/>
    <n v="1"/>
    <n v="0"/>
    <n v="0"/>
    <n v="1"/>
    <x v="423"/>
    <x v="1"/>
    <x v="919"/>
    <x v="0"/>
    <n v="7"/>
    <e v="#N/A"/>
    <e v="#N/A"/>
  </r>
  <r>
    <n v="1842"/>
    <d v="2016-01-19T12:18:43"/>
    <d v="2016-01-19T12:33:42"/>
    <x v="1"/>
    <m/>
    <m/>
    <x v="0"/>
    <n v="70804"/>
    <n v="0"/>
    <d v="2016-01-19T12:36:41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1843"/>
    <d v="2016-01-19T11:12:18"/>
    <d v="2016-01-19T11:27:17"/>
    <x v="0"/>
    <s v="Medium"/>
    <m/>
    <x v="0"/>
    <n v="70806"/>
    <n v="0"/>
    <d v="2016-01-19T11:30:17"/>
    <n v="19.579999999999998"/>
    <x v="2"/>
    <n v="2"/>
    <n v="1"/>
    <n v="1.7"/>
    <n v="0"/>
    <n v="2.7"/>
    <x v="0"/>
    <x v="0"/>
    <x v="0"/>
    <x v="0"/>
    <n v="7"/>
    <n v="10"/>
    <e v="#N/A"/>
  </r>
  <r>
    <n v="1844"/>
    <d v="2016-01-19T12:56:38"/>
    <d v="2016-01-19T13:11:39"/>
    <x v="0"/>
    <s v="Medium"/>
    <m/>
    <x v="1"/>
    <n v="70808"/>
    <n v="1.8374669272483899"/>
    <d v="2016-01-19T13:20:50"/>
    <n v="19.579999999999998"/>
    <x v="747"/>
    <n v="2"/>
    <n v="1"/>
    <n v="1.7"/>
    <n v="0"/>
    <n v="2.7"/>
    <x v="734"/>
    <x v="0"/>
    <x v="920"/>
    <x v="520"/>
    <n v="7"/>
    <n v="10"/>
    <e v="#N/A"/>
  </r>
  <r>
    <n v="1845"/>
    <d v="2016-01-19T10:32:42"/>
    <d v="2016-01-19T10:47:40"/>
    <x v="2"/>
    <m/>
    <m/>
    <x v="1"/>
    <n v="70805"/>
    <n v="1.40739885719277"/>
    <d v="2016-01-19T10:54:42"/>
    <n v="11.59"/>
    <x v="748"/>
    <n v="1"/>
    <n v="1.7"/>
    <n v="0"/>
    <n v="0"/>
    <n v="1.7"/>
    <x v="735"/>
    <x v="0"/>
    <x v="921"/>
    <x v="521"/>
    <n v="10"/>
    <e v="#N/A"/>
    <e v="#N/A"/>
  </r>
  <r>
    <n v="1846"/>
    <d v="2016-01-19T10:08:37"/>
    <d v="2016-01-19T10:23:36"/>
    <x v="1"/>
    <m/>
    <m/>
    <x v="1"/>
    <n v="70807"/>
    <n v="2.01924230104165"/>
    <d v="2016-01-19T10:33:41"/>
    <n v="15.35"/>
    <x v="358"/>
    <n v="1"/>
    <n v="2.2999999999999998"/>
    <n v="0"/>
    <n v="0"/>
    <n v="2.2999999999999998"/>
    <x v="345"/>
    <x v="0"/>
    <x v="922"/>
    <x v="522"/>
    <n v="14"/>
    <e v="#N/A"/>
    <e v="#N/A"/>
  </r>
  <r>
    <n v="1847"/>
    <d v="2016-01-19T12:02:55"/>
    <d v="2016-01-19T12:17:56"/>
    <x v="0"/>
    <m/>
    <m/>
    <x v="0"/>
    <n v="70805"/>
    <n v="0"/>
    <d v="2016-01-19T12:20:54"/>
    <n v="7.99"/>
    <x v="0"/>
    <n v="1"/>
    <n v="1"/>
    <n v="0"/>
    <n v="0"/>
    <n v="1"/>
    <x v="0"/>
    <x v="0"/>
    <x v="0"/>
    <x v="0"/>
    <n v="7"/>
    <e v="#N/A"/>
    <e v="#N/A"/>
  </r>
  <r>
    <n v="1848"/>
    <d v="2016-01-19T11:28:30"/>
    <d v="2016-01-19T11:43:27"/>
    <x v="1"/>
    <m/>
    <m/>
    <x v="1"/>
    <n v="70807"/>
    <n v="3.15704655102045"/>
    <d v="2016-01-19T11:59:14"/>
    <n v="15.35"/>
    <x v="484"/>
    <n v="1"/>
    <n v="2.2999999999999998"/>
    <n v="0"/>
    <n v="0"/>
    <n v="2.2999999999999998"/>
    <x v="471"/>
    <x v="0"/>
    <x v="923"/>
    <x v="523"/>
    <n v="14"/>
    <e v="#N/A"/>
    <e v="#N/A"/>
  </r>
  <r>
    <n v="1849"/>
    <d v="2016-01-19T11:22:23"/>
    <d v="2016-01-19T11:37:23"/>
    <x v="0"/>
    <m/>
    <m/>
    <x v="1"/>
    <n v="70804"/>
    <n v="1.33980429410742"/>
    <d v="2016-01-19T11:44:04"/>
    <n v="7.99"/>
    <x v="249"/>
    <n v="1"/>
    <n v="1"/>
    <n v="0"/>
    <n v="0"/>
    <n v="1"/>
    <x v="236"/>
    <x v="0"/>
    <x v="924"/>
    <x v="524"/>
    <n v="7"/>
    <e v="#N/A"/>
    <e v="#N/A"/>
  </r>
  <r>
    <n v="1850"/>
    <d v="2016-01-19T10:32:03"/>
    <d v="2016-01-19T10:47:02"/>
    <x v="2"/>
    <m/>
    <m/>
    <x v="1"/>
    <n v="70805"/>
    <n v="3.98910395603821"/>
    <d v="2016-01-19T11:06:58"/>
    <n v="11.59"/>
    <x v="508"/>
    <n v="1"/>
    <n v="1.7"/>
    <n v="0"/>
    <n v="0"/>
    <n v="1.7"/>
    <x v="495"/>
    <x v="1"/>
    <x v="925"/>
    <x v="0"/>
    <n v="10"/>
    <e v="#N/A"/>
    <e v="#N/A"/>
  </r>
  <r>
    <n v="1851"/>
    <d v="2016-01-19T12:20:04"/>
    <d v="2016-01-19T12:35:03"/>
    <x v="0"/>
    <s v="Medium"/>
    <m/>
    <x v="0"/>
    <n v="70805"/>
    <n v="0"/>
    <d v="2016-01-19T12:38:05"/>
    <n v="19.579999999999998"/>
    <x v="67"/>
    <n v="2"/>
    <n v="1"/>
    <n v="1.7"/>
    <n v="0"/>
    <n v="2.7"/>
    <x v="0"/>
    <x v="0"/>
    <x v="0"/>
    <x v="0"/>
    <n v="7"/>
    <n v="10"/>
    <e v="#N/A"/>
  </r>
  <r>
    <n v="1852"/>
    <d v="2016-01-19T11:18:27"/>
    <d v="2016-01-19T11:33:28"/>
    <x v="0"/>
    <m/>
    <m/>
    <x v="0"/>
    <n v="70806"/>
    <n v="0"/>
    <d v="2016-01-19T11:36:29"/>
    <n v="7.99"/>
    <x v="14"/>
    <n v="1"/>
    <n v="1"/>
    <n v="0"/>
    <n v="0"/>
    <n v="1"/>
    <x v="0"/>
    <x v="0"/>
    <x v="0"/>
    <x v="0"/>
    <n v="7"/>
    <e v="#N/A"/>
    <e v="#N/A"/>
  </r>
  <r>
    <n v="1853"/>
    <d v="2016-01-19T12:46:58"/>
    <d v="2016-01-19T13:01:57"/>
    <x v="1"/>
    <m/>
    <m/>
    <x v="1"/>
    <n v="70805"/>
    <n v="4.0777751879218398"/>
    <d v="2016-01-19T13:22:20"/>
    <n v="15.35"/>
    <x v="749"/>
    <n v="1"/>
    <n v="2.2999999999999998"/>
    <n v="0"/>
    <n v="0"/>
    <n v="2.2999999999999998"/>
    <x v="736"/>
    <x v="1"/>
    <x v="926"/>
    <x v="0"/>
    <n v="14"/>
    <e v="#N/A"/>
    <e v="#N/A"/>
  </r>
  <r>
    <n v="1854"/>
    <d v="2016-01-19T10:45:29"/>
    <d v="2016-01-19T11:00:29"/>
    <x v="2"/>
    <m/>
    <m/>
    <x v="1"/>
    <n v="70805"/>
    <n v="4.2819706876944004"/>
    <d v="2016-01-19T11:21:53"/>
    <n v="11.59"/>
    <x v="750"/>
    <n v="1"/>
    <n v="1.7"/>
    <n v="0"/>
    <n v="0"/>
    <n v="1.7"/>
    <x v="737"/>
    <x v="1"/>
    <x v="927"/>
    <x v="0"/>
    <n v="10"/>
    <e v="#N/A"/>
    <e v="#N/A"/>
  </r>
  <r>
    <n v="1855"/>
    <d v="2016-01-19T11:01:23"/>
    <d v="2016-01-19T11:16:23"/>
    <x v="0"/>
    <m/>
    <m/>
    <x v="1"/>
    <n v="70805"/>
    <n v="3.0059915884911801"/>
    <d v="2016-01-19T11:31:24"/>
    <n v="7.99"/>
    <x v="723"/>
    <n v="1"/>
    <n v="1"/>
    <n v="0"/>
    <n v="0"/>
    <n v="1"/>
    <x v="710"/>
    <x v="0"/>
    <x v="928"/>
    <x v="525"/>
    <n v="7"/>
    <e v="#N/A"/>
    <e v="#N/A"/>
  </r>
  <r>
    <n v="1856"/>
    <d v="2016-01-19T12:25:01"/>
    <d v="2016-01-19T12:40:01"/>
    <x v="0"/>
    <m/>
    <m/>
    <x v="0"/>
    <n v="70805"/>
    <n v="0"/>
    <d v="2016-01-19T12:43:01"/>
    <n v="7.99"/>
    <x v="2"/>
    <n v="1"/>
    <n v="1"/>
    <n v="0"/>
    <n v="0"/>
    <n v="1"/>
    <x v="0"/>
    <x v="0"/>
    <x v="0"/>
    <x v="0"/>
    <n v="7"/>
    <e v="#N/A"/>
    <e v="#N/A"/>
  </r>
  <r>
    <n v="1857"/>
    <d v="2016-01-19T12:08:35"/>
    <d v="2016-01-19T12:23:34"/>
    <x v="2"/>
    <m/>
    <m/>
    <x v="1"/>
    <n v="70805"/>
    <n v="3.27038356259632"/>
    <d v="2016-01-19T12:39:55"/>
    <n v="11.59"/>
    <x v="594"/>
    <n v="1"/>
    <n v="1.7"/>
    <n v="0"/>
    <n v="0"/>
    <n v="1.7"/>
    <x v="581"/>
    <x v="1"/>
    <x v="929"/>
    <x v="0"/>
    <n v="10"/>
    <e v="#N/A"/>
    <e v="#N/A"/>
  </r>
  <r>
    <n v="1858"/>
    <d v="2016-01-19T12:25:06"/>
    <d v="2016-01-19T12:40:06"/>
    <x v="2"/>
    <m/>
    <m/>
    <x v="1"/>
    <n v="70805"/>
    <n v="2.9285353803158398"/>
    <d v="2016-01-19T12:54:44"/>
    <n v="11.59"/>
    <x v="751"/>
    <n v="1"/>
    <n v="1.7"/>
    <n v="0"/>
    <n v="0"/>
    <n v="1.7"/>
    <x v="738"/>
    <x v="0"/>
    <x v="930"/>
    <x v="526"/>
    <n v="10"/>
    <e v="#N/A"/>
    <e v="#N/A"/>
  </r>
  <r>
    <n v="1859"/>
    <d v="2016-01-19T14:23:27"/>
    <d v="2016-01-19T14:38:27"/>
    <x v="0"/>
    <m/>
    <m/>
    <x v="1"/>
    <n v="70805"/>
    <n v="2.95740224034772"/>
    <d v="2016-01-19T14:53:14"/>
    <n v="7.99"/>
    <x v="752"/>
    <n v="1"/>
    <n v="1"/>
    <n v="0"/>
    <n v="0"/>
    <n v="1"/>
    <x v="739"/>
    <x v="0"/>
    <x v="931"/>
    <x v="527"/>
    <n v="7"/>
    <e v="#N/A"/>
    <e v="#N/A"/>
  </r>
  <r>
    <n v="1860"/>
    <d v="2016-01-19T11:41:09"/>
    <d v="2016-01-19T11:56:08"/>
    <x v="2"/>
    <m/>
    <m/>
    <x v="1"/>
    <n v="70805"/>
    <n v="3.7914720852040702"/>
    <d v="2016-01-19T12:15:05"/>
    <n v="11.59"/>
    <x v="496"/>
    <n v="1"/>
    <n v="1.7"/>
    <n v="0"/>
    <n v="0"/>
    <n v="1.7"/>
    <x v="483"/>
    <x v="1"/>
    <x v="932"/>
    <x v="0"/>
    <n v="10"/>
    <e v="#N/A"/>
    <e v="#N/A"/>
  </r>
  <r>
    <n v="1861"/>
    <d v="2016-01-19T10:18:22"/>
    <d v="2016-01-19T10:33:20"/>
    <x v="1"/>
    <m/>
    <m/>
    <x v="1"/>
    <n v="70805"/>
    <n v="2.5659614797045101"/>
    <d v="2016-01-19T10:46:09"/>
    <n v="15.35"/>
    <x v="11"/>
    <n v="1"/>
    <n v="2.2999999999999998"/>
    <n v="0"/>
    <n v="0"/>
    <n v="2.2999999999999998"/>
    <x v="9"/>
    <x v="0"/>
    <x v="933"/>
    <x v="528"/>
    <n v="14"/>
    <e v="#N/A"/>
    <e v="#N/A"/>
  </r>
  <r>
    <n v="1862"/>
    <d v="2016-01-19T12:24:32"/>
    <d v="2016-01-19T12:39:33"/>
    <x v="0"/>
    <m/>
    <m/>
    <x v="1"/>
    <n v="70806"/>
    <n v="2.2277343564198802"/>
    <d v="2016-01-19T12:50:41"/>
    <n v="7.99"/>
    <x v="753"/>
    <n v="1"/>
    <n v="1"/>
    <n v="0"/>
    <n v="0"/>
    <n v="1"/>
    <x v="740"/>
    <x v="0"/>
    <x v="934"/>
    <x v="529"/>
    <n v="7"/>
    <e v="#N/A"/>
    <e v="#N/A"/>
  </r>
  <r>
    <n v="1863"/>
    <d v="2016-01-19T11:08:06"/>
    <d v="2016-01-19T11:23:06"/>
    <x v="0"/>
    <s v="Medium"/>
    <m/>
    <x v="1"/>
    <n v="70804"/>
    <n v="2.9297070869661401"/>
    <d v="2016-01-19T11:37:44"/>
    <n v="19.579999999999998"/>
    <x v="751"/>
    <n v="2"/>
    <n v="1"/>
    <n v="1.7"/>
    <n v="0"/>
    <n v="2.7"/>
    <x v="738"/>
    <x v="0"/>
    <x v="935"/>
    <x v="530"/>
    <n v="7"/>
    <n v="10"/>
    <e v="#N/A"/>
  </r>
  <r>
    <n v="1864"/>
    <d v="2016-01-19T12:04:15"/>
    <d v="2016-01-19T12:19:15"/>
    <x v="0"/>
    <s v="Medium"/>
    <m/>
    <x v="0"/>
    <n v="70803"/>
    <n v="0"/>
    <d v="2016-01-19T12:22:16"/>
    <n v="19.579999999999998"/>
    <x v="56"/>
    <n v="2"/>
    <n v="1"/>
    <n v="1.7"/>
    <n v="0"/>
    <n v="2.7"/>
    <x v="0"/>
    <x v="0"/>
    <x v="0"/>
    <x v="0"/>
    <n v="7"/>
    <n v="10"/>
    <e v="#N/A"/>
  </r>
  <r>
    <n v="1865"/>
    <d v="2016-01-19T13:55:19"/>
    <d v="2016-01-19T14:10:18"/>
    <x v="2"/>
    <m/>
    <m/>
    <x v="0"/>
    <n v="70807"/>
    <n v="0"/>
    <d v="2016-01-19T14:13:18"/>
    <n v="11.59"/>
    <x v="2"/>
    <n v="1"/>
    <n v="1.7"/>
    <n v="0"/>
    <n v="0"/>
    <n v="1.7"/>
    <x v="0"/>
    <x v="0"/>
    <x v="0"/>
    <x v="0"/>
    <n v="10"/>
    <e v="#N/A"/>
    <e v="#N/A"/>
  </r>
  <r>
    <n v="1866"/>
    <d v="2016-01-19T12:18:30"/>
    <d v="2016-01-19T12:33:29"/>
    <x v="0"/>
    <s v="Medium"/>
    <m/>
    <x v="0"/>
    <n v="70803"/>
    <n v="0"/>
    <d v="2016-01-19T12:36:30"/>
    <n v="19.579999999999998"/>
    <x v="14"/>
    <n v="2"/>
    <n v="1"/>
    <n v="1.7"/>
    <n v="0"/>
    <n v="2.7"/>
    <x v="0"/>
    <x v="0"/>
    <x v="0"/>
    <x v="0"/>
    <n v="7"/>
    <n v="10"/>
    <e v="#N/A"/>
  </r>
  <r>
    <n v="1867"/>
    <d v="2016-01-19T11:25:25"/>
    <d v="2016-01-19T11:40:23"/>
    <x v="1"/>
    <m/>
    <m/>
    <x v="0"/>
    <n v="70803"/>
    <n v="0"/>
    <d v="2016-01-19T11:43:24"/>
    <n v="15.35"/>
    <x v="56"/>
    <n v="1"/>
    <n v="2.2999999999999998"/>
    <n v="0"/>
    <n v="0"/>
    <n v="2.2999999999999998"/>
    <x v="0"/>
    <x v="0"/>
    <x v="0"/>
    <x v="0"/>
    <n v="14"/>
    <e v="#N/A"/>
    <e v="#N/A"/>
  </r>
  <r>
    <n v="1868"/>
    <d v="2016-01-19T12:28:21"/>
    <d v="2016-01-19T12:43:21"/>
    <x v="2"/>
    <s v="Large"/>
    <m/>
    <x v="1"/>
    <n v="70803"/>
    <n v="0.53487367222252702"/>
    <d v="2016-01-19T12:46:01"/>
    <n v="25.94"/>
    <x v="754"/>
    <n v="2"/>
    <n v="1.7"/>
    <n v="2.2999999999999998"/>
    <n v="0"/>
    <n v="4"/>
    <x v="741"/>
    <x v="0"/>
    <x v="936"/>
    <x v="531"/>
    <n v="10"/>
    <n v="14"/>
    <e v="#N/A"/>
  </r>
  <r>
    <n v="1869"/>
    <d v="2016-01-19T12:38:18"/>
    <d v="2016-01-19T12:53:20"/>
    <x v="1"/>
    <m/>
    <m/>
    <x v="1"/>
    <n v="70805"/>
    <n v="3.6426673516415198"/>
    <d v="2016-01-19T13:11:32"/>
    <n v="15.35"/>
    <x v="648"/>
    <n v="1"/>
    <n v="2.2999999999999998"/>
    <n v="0"/>
    <n v="0"/>
    <n v="2.2999999999999998"/>
    <x v="635"/>
    <x v="1"/>
    <x v="937"/>
    <x v="0"/>
    <n v="14"/>
    <e v="#N/A"/>
    <e v="#N/A"/>
  </r>
  <r>
    <n v="1870"/>
    <d v="2016-01-19T11:16:07"/>
    <d v="2016-01-19T11:31:06"/>
    <x v="0"/>
    <s v="Medium"/>
    <m/>
    <x v="1"/>
    <n v="70804"/>
    <n v="6.6348076515579599"/>
    <d v="2016-01-19T12:04:16"/>
    <n v="19.579999999999998"/>
    <x v="755"/>
    <n v="2"/>
    <n v="1"/>
    <n v="1.7"/>
    <n v="0"/>
    <n v="2.7"/>
    <x v="742"/>
    <x v="1"/>
    <x v="938"/>
    <x v="0"/>
    <n v="7"/>
    <n v="10"/>
    <e v="#N/A"/>
  </r>
  <r>
    <n v="1871"/>
    <d v="2016-01-19T10:44:48"/>
    <d v="2016-01-19T10:59:47"/>
    <x v="1"/>
    <m/>
    <m/>
    <x v="0"/>
    <n v="70808"/>
    <n v="0"/>
    <d v="2016-01-19T11:02:47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872"/>
    <d v="2016-01-19T12:48:13"/>
    <d v="2016-01-19T13:03:13"/>
    <x v="0"/>
    <s v="Large"/>
    <m/>
    <x v="0"/>
    <n v="70805"/>
    <n v="0"/>
    <d v="2016-01-19T13:06:13"/>
    <n v="23.34"/>
    <x v="2"/>
    <n v="2"/>
    <n v="1"/>
    <n v="2.2999999999999998"/>
    <n v="0"/>
    <n v="3.3"/>
    <x v="0"/>
    <x v="0"/>
    <x v="0"/>
    <x v="0"/>
    <n v="7"/>
    <n v="14"/>
    <e v="#N/A"/>
  </r>
  <r>
    <n v="1873"/>
    <d v="2016-01-19T11:49:39"/>
    <d v="2016-01-19T12:04:39"/>
    <x v="1"/>
    <m/>
    <m/>
    <x v="0"/>
    <n v="70805"/>
    <n v="0"/>
    <d v="2016-01-19T12:07:39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874"/>
    <d v="2016-01-19T12:41:31"/>
    <d v="2016-01-19T12:56:30"/>
    <x v="1"/>
    <m/>
    <m/>
    <x v="0"/>
    <n v="70805"/>
    <n v="0"/>
    <d v="2016-01-19T12:59:29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1875"/>
    <d v="2016-01-19T11:23:47"/>
    <d v="2016-01-19T11:38:46"/>
    <x v="1"/>
    <m/>
    <m/>
    <x v="1"/>
    <n v="70803"/>
    <n v="3.9049961217206399"/>
    <d v="2016-01-19T11:58:17"/>
    <n v="15.35"/>
    <x v="756"/>
    <n v="1"/>
    <n v="2.2999999999999998"/>
    <n v="0"/>
    <n v="0"/>
    <n v="2.2999999999999998"/>
    <x v="743"/>
    <x v="1"/>
    <x v="939"/>
    <x v="0"/>
    <n v="14"/>
    <e v="#N/A"/>
    <e v="#N/A"/>
  </r>
  <r>
    <n v="1876"/>
    <d v="2016-01-19T12:07:05"/>
    <d v="2016-01-19T12:22:04"/>
    <x v="0"/>
    <s v="Medium"/>
    <m/>
    <x v="0"/>
    <n v="70804"/>
    <n v="0"/>
    <d v="2016-01-19T12:25:04"/>
    <n v="19.579999999999998"/>
    <x v="2"/>
    <n v="2"/>
    <n v="1"/>
    <n v="1.7"/>
    <n v="0"/>
    <n v="2.7"/>
    <x v="0"/>
    <x v="0"/>
    <x v="0"/>
    <x v="0"/>
    <n v="7"/>
    <n v="10"/>
    <e v="#N/A"/>
  </r>
  <r>
    <n v="1877"/>
    <d v="2016-01-19T12:02:59"/>
    <d v="2016-01-19T12:17:57"/>
    <x v="0"/>
    <s v="Large"/>
    <m/>
    <x v="1"/>
    <n v="70804"/>
    <n v="5.5718589989145704"/>
    <d v="2016-01-19T12:45:48"/>
    <n v="23.34"/>
    <x v="757"/>
    <n v="2"/>
    <n v="1"/>
    <n v="2.2999999999999998"/>
    <n v="0"/>
    <n v="3.3"/>
    <x v="744"/>
    <x v="1"/>
    <x v="940"/>
    <x v="0"/>
    <n v="7"/>
    <n v="14"/>
    <e v="#N/A"/>
  </r>
  <r>
    <n v="1878"/>
    <d v="2016-01-19T11:07:26"/>
    <d v="2016-01-19T11:22:27"/>
    <x v="2"/>
    <m/>
    <m/>
    <x v="1"/>
    <n v="70805"/>
    <n v="1.2338269050869899"/>
    <d v="2016-01-19T11:28:37"/>
    <n v="11.59"/>
    <x v="302"/>
    <n v="1"/>
    <n v="1.7"/>
    <n v="0"/>
    <n v="0"/>
    <n v="1.7"/>
    <x v="289"/>
    <x v="0"/>
    <x v="941"/>
    <x v="532"/>
    <n v="10"/>
    <e v="#N/A"/>
    <e v="#N/A"/>
  </r>
  <r>
    <n v="1879"/>
    <d v="2016-01-19T11:22:30"/>
    <d v="2016-01-19T11:37:30"/>
    <x v="1"/>
    <m/>
    <m/>
    <x v="0"/>
    <n v="70804"/>
    <n v="0"/>
    <d v="2016-01-19T11:40:30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880"/>
    <d v="2016-01-19T11:39:05"/>
    <d v="2016-01-19T11:54:05"/>
    <x v="0"/>
    <m/>
    <m/>
    <x v="0"/>
    <n v="70804"/>
    <n v="0"/>
    <d v="2016-01-19T11:57:05"/>
    <n v="7.99"/>
    <x v="2"/>
    <n v="1"/>
    <n v="1"/>
    <n v="0"/>
    <n v="0"/>
    <n v="1"/>
    <x v="0"/>
    <x v="0"/>
    <x v="0"/>
    <x v="0"/>
    <n v="7"/>
    <e v="#N/A"/>
    <e v="#N/A"/>
  </r>
  <r>
    <n v="1881"/>
    <d v="2016-01-19T11:29:46"/>
    <d v="2016-01-19T11:44:45"/>
    <x v="0"/>
    <s v="Medium"/>
    <s v="Large"/>
    <x v="1"/>
    <n v="70804"/>
    <n v="0.94311539170406"/>
    <d v="2016-01-19T11:49:27"/>
    <n v="33.93"/>
    <x v="758"/>
    <n v="3"/>
    <n v="1"/>
    <n v="1.7"/>
    <n v="2.2999999999999998"/>
    <n v="5"/>
    <x v="745"/>
    <x v="0"/>
    <x v="942"/>
    <x v="533"/>
    <n v="7"/>
    <n v="10"/>
    <n v="14"/>
  </r>
  <r>
    <n v="1882"/>
    <d v="2016-01-19T11:50:36"/>
    <d v="2016-01-19T12:05:37"/>
    <x v="1"/>
    <m/>
    <m/>
    <x v="0"/>
    <n v="70804"/>
    <n v="0"/>
    <d v="2016-01-19T12:08:37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883"/>
    <d v="2016-01-19T12:58:30"/>
    <d v="2016-01-19T13:13:29"/>
    <x v="1"/>
    <m/>
    <m/>
    <x v="0"/>
    <n v="70805"/>
    <n v="0"/>
    <d v="2016-01-19T13:16:29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884"/>
    <d v="2016-01-19T11:22:45"/>
    <d v="2016-01-19T11:37:45"/>
    <x v="0"/>
    <s v="Large"/>
    <m/>
    <x v="0"/>
    <n v="70803"/>
    <n v="0"/>
    <d v="2016-01-19T11:40:45"/>
    <n v="23.34"/>
    <x v="2"/>
    <n v="2"/>
    <n v="1"/>
    <n v="2.2999999999999998"/>
    <n v="0"/>
    <n v="3.3"/>
    <x v="0"/>
    <x v="0"/>
    <x v="0"/>
    <x v="0"/>
    <n v="7"/>
    <n v="14"/>
    <e v="#N/A"/>
  </r>
  <r>
    <n v="1885"/>
    <d v="2016-01-19T12:15:48"/>
    <d v="2016-01-19T12:30:47"/>
    <x v="1"/>
    <m/>
    <m/>
    <x v="1"/>
    <n v="70806"/>
    <n v="1.3002569759865099"/>
    <d v="2016-01-19T12:37:17"/>
    <n v="15.35"/>
    <x v="586"/>
    <n v="1"/>
    <n v="2.2999999999999998"/>
    <n v="0"/>
    <n v="0"/>
    <n v="2.2999999999999998"/>
    <x v="573"/>
    <x v="0"/>
    <x v="943"/>
    <x v="534"/>
    <n v="14"/>
    <e v="#N/A"/>
    <e v="#N/A"/>
  </r>
  <r>
    <n v="1886"/>
    <d v="2016-01-19T12:34:32"/>
    <d v="2016-01-19T12:49:31"/>
    <x v="0"/>
    <s v="Large"/>
    <m/>
    <x v="0"/>
    <n v="70807"/>
    <n v="0"/>
    <d v="2016-01-19T12:52:31"/>
    <n v="23.34"/>
    <x v="2"/>
    <n v="2"/>
    <n v="1"/>
    <n v="2.2999999999999998"/>
    <n v="0"/>
    <n v="3.3"/>
    <x v="0"/>
    <x v="0"/>
    <x v="0"/>
    <x v="0"/>
    <n v="7"/>
    <n v="14"/>
    <e v="#N/A"/>
  </r>
  <r>
    <n v="1887"/>
    <d v="2016-01-19T11:40:40"/>
    <d v="2016-01-19T11:55:40"/>
    <x v="2"/>
    <m/>
    <m/>
    <x v="1"/>
    <n v="70805"/>
    <n v="3.1661555432638302"/>
    <d v="2016-01-19T12:11:29"/>
    <n v="11.59"/>
    <x v="675"/>
    <n v="1"/>
    <n v="1.7"/>
    <n v="0"/>
    <n v="0"/>
    <n v="1.7"/>
    <x v="662"/>
    <x v="0"/>
    <x v="944"/>
    <x v="535"/>
    <n v="10"/>
    <e v="#N/A"/>
    <e v="#N/A"/>
  </r>
  <r>
    <n v="1888"/>
    <d v="2016-01-19T14:45:34"/>
    <d v="2016-01-19T15:00:33"/>
    <x v="0"/>
    <s v="Large"/>
    <m/>
    <x v="1"/>
    <n v="70806"/>
    <n v="3.1394708312428699"/>
    <d v="2016-01-19T15:16:14"/>
    <n v="23.34"/>
    <x v="574"/>
    <n v="2"/>
    <n v="1"/>
    <n v="2.2999999999999998"/>
    <n v="0"/>
    <n v="3.3"/>
    <x v="561"/>
    <x v="0"/>
    <x v="945"/>
    <x v="536"/>
    <n v="7"/>
    <n v="14"/>
    <e v="#N/A"/>
  </r>
  <r>
    <n v="1889"/>
    <d v="2016-01-19T10:48:28"/>
    <d v="2016-01-19T11:03:26"/>
    <x v="0"/>
    <s v="Medium"/>
    <m/>
    <x v="1"/>
    <n v="70807"/>
    <n v="3.1837872405648402"/>
    <d v="2016-01-19T11:19:21"/>
    <n v="19.579999999999998"/>
    <x v="705"/>
    <n v="2"/>
    <n v="1"/>
    <n v="1.7"/>
    <n v="0"/>
    <n v="2.7"/>
    <x v="692"/>
    <x v="0"/>
    <x v="946"/>
    <x v="537"/>
    <n v="7"/>
    <n v="10"/>
    <e v="#N/A"/>
  </r>
  <r>
    <n v="1890"/>
    <d v="2016-01-19T11:32:16"/>
    <d v="2016-01-19T11:47:15"/>
    <x v="0"/>
    <s v="Large"/>
    <m/>
    <x v="1"/>
    <n v="70807"/>
    <n v="2.1210135885864099"/>
    <d v="2016-01-19T11:57:51"/>
    <n v="23.34"/>
    <x v="286"/>
    <n v="2"/>
    <n v="1"/>
    <n v="2.2999999999999998"/>
    <n v="0"/>
    <n v="3.3"/>
    <x v="273"/>
    <x v="0"/>
    <x v="947"/>
    <x v="538"/>
    <n v="7"/>
    <n v="14"/>
    <e v="#N/A"/>
  </r>
  <r>
    <n v="1891"/>
    <d v="2016-01-19T12:40:01"/>
    <d v="2016-01-19T12:55:00"/>
    <x v="2"/>
    <m/>
    <m/>
    <x v="1"/>
    <n v="70805"/>
    <n v="1.15818168210018"/>
    <d v="2016-01-19T13:00:47"/>
    <n v="11.59"/>
    <x v="759"/>
    <n v="1"/>
    <n v="1.7"/>
    <n v="0"/>
    <n v="0"/>
    <n v="1.7"/>
    <x v="746"/>
    <x v="0"/>
    <x v="948"/>
    <x v="539"/>
    <n v="10"/>
    <e v="#N/A"/>
    <e v="#N/A"/>
  </r>
  <r>
    <n v="1892"/>
    <d v="2016-01-19T12:45:30"/>
    <d v="2016-01-19T13:00:30"/>
    <x v="2"/>
    <m/>
    <m/>
    <x v="1"/>
    <n v="70806"/>
    <n v="3.66620187069987"/>
    <d v="2016-01-19T13:18:49"/>
    <n v="11.59"/>
    <x v="724"/>
    <n v="1"/>
    <n v="1.7"/>
    <n v="0"/>
    <n v="0"/>
    <n v="1.7"/>
    <x v="711"/>
    <x v="1"/>
    <x v="949"/>
    <x v="0"/>
    <n v="10"/>
    <e v="#N/A"/>
    <e v="#N/A"/>
  </r>
  <r>
    <n v="1893"/>
    <d v="2016-01-19T13:16:53"/>
    <d v="2016-01-19T13:31:49"/>
    <x v="0"/>
    <s v="Medium"/>
    <m/>
    <x v="0"/>
    <n v="70807"/>
    <n v="0"/>
    <d v="2016-01-19T13:34:49"/>
    <n v="19.579999999999998"/>
    <x v="63"/>
    <n v="2"/>
    <n v="1"/>
    <n v="1.7"/>
    <n v="0"/>
    <n v="2.7"/>
    <x v="0"/>
    <x v="0"/>
    <x v="0"/>
    <x v="0"/>
    <n v="7"/>
    <n v="10"/>
    <e v="#N/A"/>
  </r>
  <r>
    <n v="1894"/>
    <d v="2016-01-19T12:15:19"/>
    <d v="2016-01-19T12:30:18"/>
    <x v="0"/>
    <s v="Medium"/>
    <m/>
    <x v="1"/>
    <n v="70806"/>
    <n v="0.34767424408071601"/>
    <d v="2016-01-19T12:32:02"/>
    <n v="19.579999999999998"/>
    <x v="760"/>
    <n v="2"/>
    <n v="1"/>
    <n v="1.7"/>
    <n v="0"/>
    <n v="2.7"/>
    <x v="747"/>
    <x v="0"/>
    <x v="950"/>
    <x v="540"/>
    <n v="7"/>
    <n v="10"/>
    <e v="#N/A"/>
  </r>
  <r>
    <n v="1895"/>
    <d v="2016-01-19T10:23:16"/>
    <d v="2016-01-19T10:38:15"/>
    <x v="2"/>
    <m/>
    <m/>
    <x v="0"/>
    <n v="70805"/>
    <n v="0"/>
    <d v="2016-01-19T10:41:14"/>
    <n v="11.59"/>
    <x v="24"/>
    <n v="1"/>
    <n v="1.7"/>
    <n v="0"/>
    <n v="0"/>
    <n v="1.7"/>
    <x v="0"/>
    <x v="0"/>
    <x v="0"/>
    <x v="0"/>
    <n v="10"/>
    <e v="#N/A"/>
    <e v="#N/A"/>
  </r>
  <r>
    <n v="1896"/>
    <d v="2016-01-19T10:02:46"/>
    <d v="2016-01-19T10:17:45"/>
    <x v="0"/>
    <s v="Large"/>
    <m/>
    <x v="0"/>
    <n v="70805"/>
    <n v="0"/>
    <d v="2016-01-19T10:20:44"/>
    <n v="23.34"/>
    <x v="1"/>
    <n v="2"/>
    <n v="1"/>
    <n v="2.2999999999999998"/>
    <n v="0"/>
    <n v="3.3"/>
    <x v="0"/>
    <x v="0"/>
    <x v="0"/>
    <x v="0"/>
    <n v="7"/>
    <n v="14"/>
    <e v="#N/A"/>
  </r>
  <r>
    <n v="1897"/>
    <d v="2016-01-19T11:55:37"/>
    <d v="2016-01-19T12:10:37"/>
    <x v="0"/>
    <s v="Medium"/>
    <m/>
    <x v="1"/>
    <n v="70803"/>
    <n v="2.7148293295736998"/>
    <d v="2016-01-19T12:24:11"/>
    <n v="19.579999999999998"/>
    <x v="761"/>
    <n v="2"/>
    <n v="1"/>
    <n v="1.7"/>
    <n v="0"/>
    <n v="2.7"/>
    <x v="748"/>
    <x v="0"/>
    <x v="951"/>
    <x v="541"/>
    <n v="7"/>
    <n v="10"/>
    <e v="#N/A"/>
  </r>
  <r>
    <n v="1898"/>
    <d v="2016-01-19T11:35:30"/>
    <d v="2016-01-19T11:50:30"/>
    <x v="2"/>
    <m/>
    <m/>
    <x v="0"/>
    <n v="70804"/>
    <n v="0"/>
    <d v="2016-01-19T11:53:30"/>
    <n v="11.59"/>
    <x v="2"/>
    <n v="1"/>
    <n v="1.7"/>
    <n v="0"/>
    <n v="0"/>
    <n v="1.7"/>
    <x v="0"/>
    <x v="0"/>
    <x v="0"/>
    <x v="0"/>
    <n v="10"/>
    <e v="#N/A"/>
    <e v="#N/A"/>
  </r>
  <r>
    <n v="1899"/>
    <d v="2016-01-19T11:41:44"/>
    <d v="2016-01-19T11:56:44"/>
    <x v="0"/>
    <m/>
    <m/>
    <x v="1"/>
    <n v="70806"/>
    <n v="2.5028123153259001"/>
    <d v="2016-01-19T12:09:14"/>
    <n v="7.99"/>
    <x v="762"/>
    <n v="1"/>
    <n v="1"/>
    <n v="0"/>
    <n v="0"/>
    <n v="1"/>
    <x v="749"/>
    <x v="0"/>
    <x v="952"/>
    <x v="542"/>
    <n v="7"/>
    <e v="#N/A"/>
    <e v="#N/A"/>
  </r>
  <r>
    <n v="1900"/>
    <d v="2016-01-19T12:03:24"/>
    <d v="2016-01-19T12:18:24"/>
    <x v="0"/>
    <m/>
    <m/>
    <x v="1"/>
    <n v="70804"/>
    <n v="1.7146405567855101"/>
    <d v="2016-01-19T12:26:58"/>
    <n v="7.99"/>
    <x v="763"/>
    <n v="1"/>
    <n v="1"/>
    <n v="0"/>
    <n v="0"/>
    <n v="1"/>
    <x v="750"/>
    <x v="0"/>
    <x v="953"/>
    <x v="543"/>
    <n v="7"/>
    <e v="#N/A"/>
    <e v="#N/A"/>
  </r>
  <r>
    <n v="1901"/>
    <d v="2016-01-19T10:13:44"/>
    <d v="2016-01-19T10:28:44"/>
    <x v="2"/>
    <m/>
    <m/>
    <x v="1"/>
    <n v="70806"/>
    <n v="2.15420139347833"/>
    <d v="2016-01-19T10:39:30"/>
    <n v="11.59"/>
    <x v="764"/>
    <n v="1"/>
    <n v="1.7"/>
    <n v="0"/>
    <n v="0"/>
    <n v="1.7"/>
    <x v="751"/>
    <x v="0"/>
    <x v="954"/>
    <x v="544"/>
    <n v="10"/>
    <e v="#N/A"/>
    <e v="#N/A"/>
  </r>
  <r>
    <n v="1902"/>
    <d v="2016-01-19T11:15:12"/>
    <d v="2016-01-19T11:30:10"/>
    <x v="0"/>
    <s v="Medium"/>
    <m/>
    <x v="0"/>
    <n v="70805"/>
    <n v="0"/>
    <d v="2016-01-19T11:33:08"/>
    <n v="19.579999999999998"/>
    <x v="19"/>
    <n v="2"/>
    <n v="1"/>
    <n v="1.7"/>
    <n v="0"/>
    <n v="2.7"/>
    <x v="0"/>
    <x v="0"/>
    <x v="0"/>
    <x v="0"/>
    <n v="7"/>
    <n v="10"/>
    <e v="#N/A"/>
  </r>
  <r>
    <n v="1903"/>
    <d v="2016-01-20T11:56:51"/>
    <d v="2016-01-20T12:11:51"/>
    <x v="2"/>
    <m/>
    <m/>
    <x v="0"/>
    <n v="70804"/>
    <n v="0"/>
    <d v="2016-01-20T12:14:50"/>
    <n v="11.59"/>
    <x v="24"/>
    <n v="1"/>
    <n v="1.7"/>
    <n v="0"/>
    <n v="0"/>
    <n v="1.7"/>
    <x v="0"/>
    <x v="0"/>
    <x v="0"/>
    <x v="0"/>
    <n v="10"/>
    <e v="#N/A"/>
    <e v="#N/A"/>
  </r>
  <r>
    <n v="1904"/>
    <d v="2016-01-20T10:06:02"/>
    <d v="2016-01-20T10:21:00"/>
    <x v="1"/>
    <m/>
    <m/>
    <x v="1"/>
    <n v="70803"/>
    <n v="1.49621140378511"/>
    <d v="2016-01-20T10:28:28"/>
    <n v="15.35"/>
    <x v="765"/>
    <n v="1"/>
    <n v="2.2999999999999998"/>
    <n v="0"/>
    <n v="0"/>
    <n v="2.2999999999999998"/>
    <x v="752"/>
    <x v="0"/>
    <x v="955"/>
    <x v="545"/>
    <n v="14"/>
    <e v="#N/A"/>
    <e v="#N/A"/>
  </r>
  <r>
    <n v="1905"/>
    <d v="2016-01-20T11:09:11"/>
    <d v="2016-01-20T11:24:12"/>
    <x v="0"/>
    <s v="Medium"/>
    <m/>
    <x v="1"/>
    <n v="70803"/>
    <n v="2.5666022343283301"/>
    <d v="2016-01-20T11:37:01"/>
    <n v="19.579999999999998"/>
    <x v="11"/>
    <n v="2"/>
    <n v="1"/>
    <n v="1.7"/>
    <n v="0"/>
    <n v="2.7"/>
    <x v="9"/>
    <x v="0"/>
    <x v="956"/>
    <x v="546"/>
    <n v="7"/>
    <n v="10"/>
    <e v="#N/A"/>
  </r>
  <r>
    <n v="1906"/>
    <d v="2016-01-20T13:25:25"/>
    <d v="2016-01-20T13:40:23"/>
    <x v="2"/>
    <s v="Large"/>
    <m/>
    <x v="0"/>
    <n v="70805"/>
    <n v="0"/>
    <d v="2016-01-20T13:43:21"/>
    <n v="25.94"/>
    <x v="0"/>
    <n v="2"/>
    <n v="1.7"/>
    <n v="2.2999999999999998"/>
    <n v="0"/>
    <n v="4"/>
    <x v="0"/>
    <x v="0"/>
    <x v="0"/>
    <x v="0"/>
    <n v="10"/>
    <n v="14"/>
    <e v="#N/A"/>
  </r>
  <r>
    <n v="1907"/>
    <d v="2016-01-20T12:08:33"/>
    <d v="2016-01-20T12:23:32"/>
    <x v="0"/>
    <m/>
    <m/>
    <x v="0"/>
    <n v="70803"/>
    <n v="0"/>
    <d v="2016-01-20T12:26:31"/>
    <n v="7.99"/>
    <x v="24"/>
    <n v="1"/>
    <n v="1"/>
    <n v="0"/>
    <n v="0"/>
    <n v="1"/>
    <x v="0"/>
    <x v="0"/>
    <x v="0"/>
    <x v="0"/>
    <n v="7"/>
    <e v="#N/A"/>
    <e v="#N/A"/>
  </r>
  <r>
    <n v="1908"/>
    <d v="2016-01-20T10:20:31"/>
    <d v="2016-01-20T10:35:33"/>
    <x v="0"/>
    <m/>
    <m/>
    <x v="0"/>
    <n v="70806"/>
    <n v="0"/>
    <d v="2016-01-20T10:38:34"/>
    <n v="7.99"/>
    <x v="14"/>
    <n v="1"/>
    <n v="1"/>
    <n v="0"/>
    <n v="0"/>
    <n v="1"/>
    <x v="0"/>
    <x v="0"/>
    <x v="0"/>
    <x v="0"/>
    <n v="7"/>
    <e v="#N/A"/>
    <e v="#N/A"/>
  </r>
  <r>
    <n v="1909"/>
    <d v="2016-01-20T11:25:24"/>
    <d v="2016-01-20T11:40:24"/>
    <x v="2"/>
    <m/>
    <m/>
    <x v="0"/>
    <n v="70806"/>
    <n v="0"/>
    <d v="2016-01-20T11:43:24"/>
    <n v="11.59"/>
    <x v="2"/>
    <n v="1"/>
    <n v="1.7"/>
    <n v="0"/>
    <n v="0"/>
    <n v="1.7"/>
    <x v="0"/>
    <x v="0"/>
    <x v="0"/>
    <x v="0"/>
    <n v="10"/>
    <e v="#N/A"/>
    <e v="#N/A"/>
  </r>
  <r>
    <n v="1910"/>
    <d v="2016-01-20T13:08:01"/>
    <d v="2016-01-20T13:23:02"/>
    <x v="2"/>
    <m/>
    <m/>
    <x v="1"/>
    <n v="70803"/>
    <n v="1.55251356717325"/>
    <d v="2016-01-20T13:30:47"/>
    <n v="11.59"/>
    <x v="766"/>
    <n v="1"/>
    <n v="1.7"/>
    <n v="0"/>
    <n v="0"/>
    <n v="1.7"/>
    <x v="753"/>
    <x v="0"/>
    <x v="957"/>
    <x v="547"/>
    <n v="10"/>
    <e v="#N/A"/>
    <e v="#N/A"/>
  </r>
  <r>
    <n v="1911"/>
    <d v="2016-01-20T11:43:46"/>
    <d v="2016-01-20T11:58:44"/>
    <x v="1"/>
    <m/>
    <m/>
    <x v="1"/>
    <n v="70805"/>
    <n v="3.22517658394833"/>
    <d v="2016-01-20T12:14:51"/>
    <n v="15.35"/>
    <x v="767"/>
    <n v="1"/>
    <n v="2.2999999999999998"/>
    <n v="0"/>
    <n v="0"/>
    <n v="2.2999999999999998"/>
    <x v="754"/>
    <x v="1"/>
    <x v="958"/>
    <x v="0"/>
    <n v="14"/>
    <e v="#N/A"/>
    <e v="#N/A"/>
  </r>
  <r>
    <n v="1912"/>
    <d v="2016-01-20T14:22:38"/>
    <d v="2016-01-20T14:37:37"/>
    <x v="1"/>
    <m/>
    <m/>
    <x v="1"/>
    <n v="70805"/>
    <n v="1.71154466182342"/>
    <d v="2016-01-20T14:46:10"/>
    <n v="15.35"/>
    <x v="697"/>
    <n v="1"/>
    <n v="2.2999999999999998"/>
    <n v="0"/>
    <n v="0"/>
    <n v="2.2999999999999998"/>
    <x v="684"/>
    <x v="0"/>
    <x v="959"/>
    <x v="548"/>
    <n v="14"/>
    <e v="#N/A"/>
    <e v="#N/A"/>
  </r>
  <r>
    <n v="1913"/>
    <d v="2016-01-20T11:09:33"/>
    <d v="2016-01-20T11:24:32"/>
    <x v="1"/>
    <m/>
    <m/>
    <x v="1"/>
    <n v="70804"/>
    <n v="3.58882335477178"/>
    <d v="2016-01-20T11:42:28"/>
    <n v="15.35"/>
    <x v="84"/>
    <n v="1"/>
    <n v="2.2999999999999998"/>
    <n v="0"/>
    <n v="0"/>
    <n v="2.2999999999999998"/>
    <x v="75"/>
    <x v="1"/>
    <x v="960"/>
    <x v="0"/>
    <n v="14"/>
    <e v="#N/A"/>
    <e v="#N/A"/>
  </r>
  <r>
    <n v="1914"/>
    <d v="2016-01-20T11:39:51"/>
    <d v="2016-01-20T11:54:50"/>
    <x v="2"/>
    <m/>
    <m/>
    <x v="0"/>
    <n v="70805"/>
    <n v="0"/>
    <d v="2016-01-20T11:57:50"/>
    <n v="11.59"/>
    <x v="2"/>
    <n v="1"/>
    <n v="1.7"/>
    <n v="0"/>
    <n v="0"/>
    <n v="1.7"/>
    <x v="0"/>
    <x v="0"/>
    <x v="0"/>
    <x v="0"/>
    <n v="10"/>
    <e v="#N/A"/>
    <e v="#N/A"/>
  </r>
  <r>
    <n v="1915"/>
    <d v="2016-01-20T11:23:07"/>
    <d v="2016-01-20T11:38:07"/>
    <x v="1"/>
    <m/>
    <m/>
    <x v="1"/>
    <n v="70805"/>
    <n v="2.7442908964498298"/>
    <d v="2016-01-20T11:51:50"/>
    <n v="15.35"/>
    <x v="630"/>
    <n v="1"/>
    <n v="2.2999999999999998"/>
    <n v="0"/>
    <n v="0"/>
    <n v="2.2999999999999998"/>
    <x v="617"/>
    <x v="0"/>
    <x v="961"/>
    <x v="549"/>
    <n v="14"/>
    <e v="#N/A"/>
    <e v="#N/A"/>
  </r>
  <r>
    <n v="1916"/>
    <d v="2016-01-20T13:15:28"/>
    <d v="2016-01-20T13:30:28"/>
    <x v="0"/>
    <s v="Medium"/>
    <m/>
    <x v="0"/>
    <n v="70807"/>
    <n v="0"/>
    <d v="2016-01-20T13:33:28"/>
    <n v="19.579999999999998"/>
    <x v="2"/>
    <n v="2"/>
    <n v="1"/>
    <n v="1.7"/>
    <n v="0"/>
    <n v="2.7"/>
    <x v="0"/>
    <x v="0"/>
    <x v="0"/>
    <x v="0"/>
    <n v="7"/>
    <n v="10"/>
    <e v="#N/A"/>
  </r>
  <r>
    <n v="1917"/>
    <d v="2016-01-20T12:19:23"/>
    <d v="2016-01-20T12:34:22"/>
    <x v="0"/>
    <m/>
    <m/>
    <x v="0"/>
    <n v="70804"/>
    <n v="0"/>
    <d v="2016-01-20T12:37:21"/>
    <n v="7.99"/>
    <x v="1"/>
    <n v="1"/>
    <n v="1"/>
    <n v="0"/>
    <n v="0"/>
    <n v="1"/>
    <x v="0"/>
    <x v="0"/>
    <x v="0"/>
    <x v="0"/>
    <n v="7"/>
    <e v="#N/A"/>
    <e v="#N/A"/>
  </r>
  <r>
    <n v="1918"/>
    <d v="2016-01-20T11:39:13"/>
    <d v="2016-01-20T11:54:13"/>
    <x v="2"/>
    <m/>
    <m/>
    <x v="1"/>
    <n v="70806"/>
    <n v="5.5086608726058603"/>
    <d v="2016-01-20T12:21:45"/>
    <n v="11.59"/>
    <x v="768"/>
    <n v="1"/>
    <n v="1.7"/>
    <n v="0"/>
    <n v="0"/>
    <n v="1.7"/>
    <x v="755"/>
    <x v="1"/>
    <x v="962"/>
    <x v="0"/>
    <n v="10"/>
    <e v="#N/A"/>
    <e v="#N/A"/>
  </r>
  <r>
    <n v="1919"/>
    <d v="2016-01-20T13:21:01"/>
    <d v="2016-01-20T13:36:01"/>
    <x v="0"/>
    <s v="Large"/>
    <m/>
    <x v="0"/>
    <n v="70805"/>
    <n v="0"/>
    <d v="2016-01-20T13:39:00"/>
    <n v="23.34"/>
    <x v="24"/>
    <n v="2"/>
    <n v="1"/>
    <n v="2.2999999999999998"/>
    <n v="0"/>
    <n v="3.3"/>
    <x v="0"/>
    <x v="0"/>
    <x v="0"/>
    <x v="0"/>
    <n v="7"/>
    <n v="14"/>
    <e v="#N/A"/>
  </r>
  <r>
    <n v="1920"/>
    <d v="2016-01-20T12:37:32"/>
    <d v="2016-01-20T12:52:31"/>
    <x v="2"/>
    <m/>
    <m/>
    <x v="0"/>
    <n v="70803"/>
    <n v="0"/>
    <d v="2016-01-20T12:55:29"/>
    <n v="11.59"/>
    <x v="0"/>
    <n v="1"/>
    <n v="1.7"/>
    <n v="0"/>
    <n v="0"/>
    <n v="1.7"/>
    <x v="0"/>
    <x v="0"/>
    <x v="0"/>
    <x v="0"/>
    <n v="10"/>
    <e v="#N/A"/>
    <e v="#N/A"/>
  </r>
  <r>
    <n v="1921"/>
    <d v="2016-01-20T12:34:22"/>
    <d v="2016-01-20T12:49:21"/>
    <x v="0"/>
    <s v="Large"/>
    <m/>
    <x v="0"/>
    <n v="70803"/>
    <n v="0"/>
    <d v="2016-01-20T12:52:19"/>
    <n v="23.34"/>
    <x v="0"/>
    <n v="2"/>
    <n v="1"/>
    <n v="2.2999999999999998"/>
    <n v="0"/>
    <n v="3.3"/>
    <x v="0"/>
    <x v="0"/>
    <x v="0"/>
    <x v="0"/>
    <n v="7"/>
    <n v="14"/>
    <e v="#N/A"/>
  </r>
  <r>
    <n v="1922"/>
    <d v="2016-01-20T11:32:05"/>
    <d v="2016-01-20T11:47:04"/>
    <x v="0"/>
    <s v="Medium"/>
    <m/>
    <x v="0"/>
    <n v="70805"/>
    <n v="0"/>
    <d v="2016-01-20T11:50:04"/>
    <n v="19.579999999999998"/>
    <x v="2"/>
    <n v="2"/>
    <n v="1"/>
    <n v="1.7"/>
    <n v="0"/>
    <n v="2.7"/>
    <x v="0"/>
    <x v="0"/>
    <x v="0"/>
    <x v="0"/>
    <n v="7"/>
    <n v="10"/>
    <e v="#N/A"/>
  </r>
  <r>
    <n v="1923"/>
    <d v="2016-01-20T11:14:38"/>
    <d v="2016-01-20T11:29:37"/>
    <x v="1"/>
    <m/>
    <m/>
    <x v="1"/>
    <n v="70805"/>
    <n v="2.99922640166591"/>
    <d v="2016-01-20T11:44:36"/>
    <n v="15.35"/>
    <x v="615"/>
    <n v="1"/>
    <n v="2.2999999999999998"/>
    <n v="0"/>
    <n v="0"/>
    <n v="2.2999999999999998"/>
    <x v="602"/>
    <x v="0"/>
    <x v="963"/>
    <x v="550"/>
    <n v="14"/>
    <e v="#N/A"/>
    <e v="#N/A"/>
  </r>
  <r>
    <n v="1924"/>
    <d v="2016-01-20T12:13:56"/>
    <d v="2016-01-20T12:28:56"/>
    <x v="2"/>
    <m/>
    <m/>
    <x v="0"/>
    <n v="70806"/>
    <n v="0"/>
    <d v="2016-01-20T12:31:54"/>
    <n v="11.59"/>
    <x v="0"/>
    <n v="1"/>
    <n v="1.7"/>
    <n v="0"/>
    <n v="0"/>
    <n v="1.7"/>
    <x v="0"/>
    <x v="0"/>
    <x v="0"/>
    <x v="0"/>
    <n v="10"/>
    <e v="#N/A"/>
    <e v="#N/A"/>
  </r>
  <r>
    <n v="1925"/>
    <d v="2016-01-20T11:13:45"/>
    <d v="2016-01-20T11:28:45"/>
    <x v="2"/>
    <s v="Large"/>
    <m/>
    <x v="1"/>
    <n v="70804"/>
    <n v="1.81856812548546"/>
    <d v="2016-01-20T11:37:50"/>
    <n v="25.94"/>
    <x v="382"/>
    <n v="2"/>
    <n v="1.7"/>
    <n v="2.2999999999999998"/>
    <n v="0"/>
    <n v="4"/>
    <x v="369"/>
    <x v="0"/>
    <x v="964"/>
    <x v="551"/>
    <n v="10"/>
    <n v="14"/>
    <e v="#N/A"/>
  </r>
  <r>
    <n v="1926"/>
    <d v="2016-01-20T12:32:06"/>
    <d v="2016-01-20T12:47:05"/>
    <x v="0"/>
    <s v="Large"/>
    <m/>
    <x v="0"/>
    <n v="70805"/>
    <n v="0"/>
    <d v="2016-01-20T12:50:06"/>
    <n v="23.34"/>
    <x v="56"/>
    <n v="2"/>
    <n v="1"/>
    <n v="2.2999999999999998"/>
    <n v="0"/>
    <n v="3.3"/>
    <x v="0"/>
    <x v="0"/>
    <x v="0"/>
    <x v="0"/>
    <n v="7"/>
    <n v="14"/>
    <e v="#N/A"/>
  </r>
  <r>
    <n v="1927"/>
    <d v="2016-01-20T12:22:48"/>
    <d v="2016-01-20T12:37:48"/>
    <x v="0"/>
    <m/>
    <m/>
    <x v="1"/>
    <n v="70807"/>
    <n v="3.08650962661198"/>
    <d v="2016-01-20T12:53:13"/>
    <n v="7.99"/>
    <x v="206"/>
    <n v="1"/>
    <n v="1"/>
    <n v="0"/>
    <n v="0"/>
    <n v="1"/>
    <x v="194"/>
    <x v="0"/>
    <x v="965"/>
    <x v="552"/>
    <n v="7"/>
    <e v="#N/A"/>
    <e v="#N/A"/>
  </r>
  <r>
    <n v="1928"/>
    <d v="2016-01-20T11:45:36"/>
    <d v="2016-01-20T12:00:35"/>
    <x v="1"/>
    <m/>
    <m/>
    <x v="0"/>
    <n v="70804"/>
    <n v="0"/>
    <d v="2016-01-20T12:03:34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1929"/>
    <d v="2016-01-20T12:03:35"/>
    <d v="2016-01-20T12:18:36"/>
    <x v="0"/>
    <s v="Medium"/>
    <m/>
    <x v="0"/>
    <n v="70806"/>
    <n v="0"/>
    <d v="2016-01-20T12:21:38"/>
    <n v="19.579999999999998"/>
    <x v="67"/>
    <n v="2"/>
    <n v="1"/>
    <n v="1.7"/>
    <n v="0"/>
    <n v="2.7"/>
    <x v="0"/>
    <x v="0"/>
    <x v="0"/>
    <x v="0"/>
    <n v="7"/>
    <n v="10"/>
    <e v="#N/A"/>
  </r>
  <r>
    <n v="1930"/>
    <d v="2016-01-20T12:47:36"/>
    <d v="2016-01-20T13:02:36"/>
    <x v="0"/>
    <s v="Medium"/>
    <m/>
    <x v="1"/>
    <n v="70805"/>
    <n v="1.2716896471272301"/>
    <d v="2016-01-20T13:08:57"/>
    <n v="19.579999999999998"/>
    <x v="769"/>
    <n v="2"/>
    <n v="1"/>
    <n v="1.7"/>
    <n v="0"/>
    <n v="2.7"/>
    <x v="756"/>
    <x v="0"/>
    <x v="966"/>
    <x v="553"/>
    <n v="7"/>
    <n v="10"/>
    <e v="#N/A"/>
  </r>
  <r>
    <n v="1931"/>
    <d v="2016-01-20T12:45:23"/>
    <d v="2016-01-20T13:00:22"/>
    <x v="2"/>
    <s v="Large"/>
    <m/>
    <x v="0"/>
    <n v="70805"/>
    <n v="0"/>
    <d v="2016-01-20T13:03:21"/>
    <n v="25.94"/>
    <x v="1"/>
    <n v="2"/>
    <n v="1.7"/>
    <n v="2.2999999999999998"/>
    <n v="0"/>
    <n v="4"/>
    <x v="0"/>
    <x v="0"/>
    <x v="0"/>
    <x v="0"/>
    <n v="10"/>
    <n v="14"/>
    <e v="#N/A"/>
  </r>
  <r>
    <n v="1932"/>
    <d v="2016-01-20T11:37:30"/>
    <d v="2016-01-20T11:52:29"/>
    <x v="2"/>
    <m/>
    <m/>
    <x v="0"/>
    <n v="70807"/>
    <n v="0"/>
    <d v="2016-01-20T11:55:26"/>
    <n v="11.59"/>
    <x v="102"/>
    <n v="1"/>
    <n v="1.7"/>
    <n v="0"/>
    <n v="0"/>
    <n v="1.7"/>
    <x v="0"/>
    <x v="0"/>
    <x v="0"/>
    <x v="0"/>
    <n v="10"/>
    <e v="#N/A"/>
    <e v="#N/A"/>
  </r>
  <r>
    <n v="1933"/>
    <d v="2016-01-20T12:26:45"/>
    <d v="2016-01-20T12:41:44"/>
    <x v="1"/>
    <m/>
    <m/>
    <x v="1"/>
    <n v="70805"/>
    <n v="2.3967692034602299"/>
    <d v="2016-01-20T12:53:43"/>
    <n v="15.35"/>
    <x v="599"/>
    <n v="1"/>
    <n v="2.2999999999999998"/>
    <n v="0"/>
    <n v="0"/>
    <n v="2.2999999999999998"/>
    <x v="586"/>
    <x v="0"/>
    <x v="967"/>
    <x v="554"/>
    <n v="14"/>
    <e v="#N/A"/>
    <e v="#N/A"/>
  </r>
  <r>
    <n v="1934"/>
    <d v="2016-01-20T13:30:09"/>
    <d v="2016-01-20T13:45:10"/>
    <x v="0"/>
    <m/>
    <m/>
    <x v="1"/>
    <n v="70803"/>
    <n v="2.7583175141210399"/>
    <d v="2016-01-20T13:58:57"/>
    <n v="7.99"/>
    <x v="151"/>
    <n v="1"/>
    <n v="1"/>
    <n v="0"/>
    <n v="0"/>
    <n v="1"/>
    <x v="141"/>
    <x v="0"/>
    <x v="968"/>
    <x v="555"/>
    <n v="7"/>
    <e v="#N/A"/>
    <e v="#N/A"/>
  </r>
  <r>
    <n v="1935"/>
    <d v="2016-01-20T12:19:33"/>
    <d v="2016-01-20T12:34:33"/>
    <x v="0"/>
    <s v="Large"/>
    <m/>
    <x v="0"/>
    <n v="70805"/>
    <n v="0"/>
    <d v="2016-01-20T12:37:32"/>
    <n v="23.34"/>
    <x v="1"/>
    <n v="2"/>
    <n v="1"/>
    <n v="2.2999999999999998"/>
    <n v="0"/>
    <n v="3.3"/>
    <x v="0"/>
    <x v="0"/>
    <x v="0"/>
    <x v="0"/>
    <n v="7"/>
    <n v="14"/>
    <e v="#N/A"/>
  </r>
  <r>
    <n v="1936"/>
    <d v="2016-01-20T11:49:40"/>
    <d v="2016-01-20T12:04:41"/>
    <x v="0"/>
    <m/>
    <m/>
    <x v="0"/>
    <n v="70803"/>
    <n v="0"/>
    <d v="2016-01-20T12:07:42"/>
    <n v="7.99"/>
    <x v="56"/>
    <n v="1"/>
    <n v="1"/>
    <n v="0"/>
    <n v="0"/>
    <n v="1"/>
    <x v="0"/>
    <x v="0"/>
    <x v="0"/>
    <x v="0"/>
    <n v="7"/>
    <e v="#N/A"/>
    <e v="#N/A"/>
  </r>
  <r>
    <n v="1937"/>
    <d v="2016-01-20T12:42:29"/>
    <d v="2016-01-20T12:57:28"/>
    <x v="2"/>
    <m/>
    <m/>
    <x v="1"/>
    <n v="70804"/>
    <n v="4.4145805637112003"/>
    <d v="2016-01-20T13:19:32"/>
    <n v="11.59"/>
    <x v="770"/>
    <n v="1"/>
    <n v="1.7"/>
    <n v="0"/>
    <n v="0"/>
    <n v="1.7"/>
    <x v="757"/>
    <x v="1"/>
    <x v="969"/>
    <x v="0"/>
    <n v="10"/>
    <e v="#N/A"/>
    <e v="#N/A"/>
  </r>
  <r>
    <n v="1938"/>
    <d v="2016-01-20T12:43:36"/>
    <d v="2016-01-20T12:58:37"/>
    <x v="1"/>
    <m/>
    <m/>
    <x v="1"/>
    <n v="70803"/>
    <n v="2.42953397498313"/>
    <d v="2016-01-20T13:10:45"/>
    <n v="15.35"/>
    <x v="283"/>
    <n v="1"/>
    <n v="2.2999999999999998"/>
    <n v="0"/>
    <n v="0"/>
    <n v="2.2999999999999998"/>
    <x v="270"/>
    <x v="0"/>
    <x v="970"/>
    <x v="556"/>
    <n v="14"/>
    <e v="#N/A"/>
    <e v="#N/A"/>
  </r>
  <r>
    <n v="1939"/>
    <d v="2016-01-20T12:53:52"/>
    <d v="2016-01-20T13:08:54"/>
    <x v="0"/>
    <m/>
    <m/>
    <x v="1"/>
    <n v="70806"/>
    <n v="3.0085737196140601"/>
    <d v="2016-01-20T13:23:56"/>
    <n v="7.99"/>
    <x v="674"/>
    <n v="1"/>
    <n v="1"/>
    <n v="0"/>
    <n v="0"/>
    <n v="1"/>
    <x v="661"/>
    <x v="0"/>
    <x v="971"/>
    <x v="557"/>
    <n v="7"/>
    <e v="#N/A"/>
    <e v="#N/A"/>
  </r>
  <r>
    <n v="1940"/>
    <d v="2016-01-20T12:31:33"/>
    <d v="2016-01-20T12:46:31"/>
    <x v="0"/>
    <s v="Medium"/>
    <m/>
    <x v="1"/>
    <n v="70805"/>
    <n v="2.31387342697868"/>
    <d v="2016-01-20T12:58:05"/>
    <n v="19.579999999999998"/>
    <x v="551"/>
    <n v="2"/>
    <n v="1"/>
    <n v="1.7"/>
    <n v="0"/>
    <n v="2.7"/>
    <x v="538"/>
    <x v="0"/>
    <x v="972"/>
    <x v="558"/>
    <n v="7"/>
    <n v="10"/>
    <e v="#N/A"/>
  </r>
  <r>
    <n v="1941"/>
    <d v="2016-01-20T11:29:05"/>
    <d v="2016-01-20T11:44:05"/>
    <x v="1"/>
    <m/>
    <m/>
    <x v="0"/>
    <n v="70805"/>
    <n v="0"/>
    <d v="2016-01-20T11:47:04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1942"/>
    <d v="2016-01-20T10:45:02"/>
    <d v="2016-01-20T11:00:01"/>
    <x v="0"/>
    <m/>
    <m/>
    <x v="1"/>
    <n v="70803"/>
    <n v="1.66461382463382"/>
    <d v="2016-01-20T11:08:20"/>
    <n v="7.99"/>
    <x v="771"/>
    <n v="1"/>
    <n v="1"/>
    <n v="0"/>
    <n v="0"/>
    <n v="1"/>
    <x v="758"/>
    <x v="0"/>
    <x v="973"/>
    <x v="559"/>
    <n v="7"/>
    <e v="#N/A"/>
    <e v="#N/A"/>
  </r>
  <r>
    <n v="1943"/>
    <d v="2016-01-20T10:55:33"/>
    <d v="2016-01-20T11:10:34"/>
    <x v="0"/>
    <s v="Medium"/>
    <m/>
    <x v="0"/>
    <n v="70806"/>
    <n v="0"/>
    <d v="2016-01-20T11:13:35"/>
    <n v="19.579999999999998"/>
    <x v="14"/>
    <n v="2"/>
    <n v="1"/>
    <n v="1.7"/>
    <n v="0"/>
    <n v="2.7"/>
    <x v="0"/>
    <x v="0"/>
    <x v="0"/>
    <x v="0"/>
    <n v="7"/>
    <n v="10"/>
    <e v="#N/A"/>
  </r>
  <r>
    <n v="1944"/>
    <d v="2016-01-20T12:34:32"/>
    <d v="2016-01-20T12:49:32"/>
    <x v="1"/>
    <m/>
    <m/>
    <x v="1"/>
    <n v="70805"/>
    <n v="2.6566227784463798"/>
    <d v="2016-01-20T13:02:48"/>
    <n v="15.35"/>
    <x v="526"/>
    <n v="1"/>
    <n v="2.2999999999999998"/>
    <n v="0"/>
    <n v="0"/>
    <n v="2.2999999999999998"/>
    <x v="513"/>
    <x v="0"/>
    <x v="974"/>
    <x v="560"/>
    <n v="14"/>
    <e v="#N/A"/>
    <e v="#N/A"/>
  </r>
  <r>
    <n v="1945"/>
    <d v="2016-01-20T11:10:23"/>
    <d v="2016-01-20T11:25:22"/>
    <x v="2"/>
    <m/>
    <m/>
    <x v="0"/>
    <n v="70804"/>
    <n v="0"/>
    <d v="2016-01-20T11:28:21"/>
    <n v="11.59"/>
    <x v="24"/>
    <n v="1"/>
    <n v="1.7"/>
    <n v="0"/>
    <n v="0"/>
    <n v="1.7"/>
    <x v="0"/>
    <x v="0"/>
    <x v="0"/>
    <x v="0"/>
    <n v="10"/>
    <e v="#N/A"/>
    <e v="#N/A"/>
  </r>
  <r>
    <n v="1946"/>
    <d v="2016-01-20T12:07:15"/>
    <d v="2016-01-20T12:22:15"/>
    <x v="0"/>
    <m/>
    <m/>
    <x v="1"/>
    <n v="70806"/>
    <n v="3.9949282422301802"/>
    <d v="2016-01-20T12:42:13"/>
    <n v="7.99"/>
    <x v="516"/>
    <n v="1"/>
    <n v="1"/>
    <n v="0"/>
    <n v="0"/>
    <n v="1"/>
    <x v="503"/>
    <x v="1"/>
    <x v="975"/>
    <x v="0"/>
    <n v="7"/>
    <e v="#N/A"/>
    <e v="#N/A"/>
  </r>
  <r>
    <n v="1947"/>
    <d v="2016-01-20T11:32:58"/>
    <d v="2016-01-20T11:47:57"/>
    <x v="1"/>
    <m/>
    <m/>
    <x v="1"/>
    <n v="70806"/>
    <n v="2.7785219637530099"/>
    <d v="2016-01-20T12:01:50"/>
    <n v="15.35"/>
    <x v="772"/>
    <n v="1"/>
    <n v="2.2999999999999998"/>
    <n v="0"/>
    <n v="0"/>
    <n v="2.2999999999999998"/>
    <x v="759"/>
    <x v="0"/>
    <x v="976"/>
    <x v="561"/>
    <n v="14"/>
    <e v="#N/A"/>
    <e v="#N/A"/>
  </r>
  <r>
    <n v="1948"/>
    <d v="2016-01-20T11:01:09"/>
    <d v="2016-01-20T11:16:10"/>
    <x v="0"/>
    <m/>
    <m/>
    <x v="0"/>
    <n v="70805"/>
    <n v="0"/>
    <d v="2016-01-20T11:19:09"/>
    <n v="7.99"/>
    <x v="24"/>
    <n v="1"/>
    <n v="1"/>
    <n v="0"/>
    <n v="0"/>
    <n v="1"/>
    <x v="0"/>
    <x v="0"/>
    <x v="0"/>
    <x v="0"/>
    <n v="7"/>
    <e v="#N/A"/>
    <e v="#N/A"/>
  </r>
  <r>
    <n v="1949"/>
    <d v="2016-01-20T11:36:34"/>
    <d v="2016-01-20T11:51:33"/>
    <x v="0"/>
    <s v="Medium"/>
    <m/>
    <x v="0"/>
    <n v="70803"/>
    <n v="0"/>
    <d v="2016-01-20T11:54:32"/>
    <n v="19.579999999999998"/>
    <x v="24"/>
    <n v="2"/>
    <n v="1"/>
    <n v="1.7"/>
    <n v="0"/>
    <n v="2.7"/>
    <x v="0"/>
    <x v="0"/>
    <x v="0"/>
    <x v="0"/>
    <n v="7"/>
    <n v="10"/>
    <e v="#N/A"/>
  </r>
  <r>
    <n v="1950"/>
    <d v="2016-01-20T12:27:32"/>
    <d v="2016-01-20T12:42:31"/>
    <x v="1"/>
    <m/>
    <m/>
    <x v="0"/>
    <n v="70804"/>
    <n v="0"/>
    <d v="2016-01-20T12:45:30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1951"/>
    <d v="2016-01-20T11:19:01"/>
    <d v="2016-01-20T11:34:01"/>
    <x v="1"/>
    <m/>
    <m/>
    <x v="1"/>
    <n v="70806"/>
    <n v="3.19616055242565"/>
    <d v="2016-01-20T11:49:59"/>
    <n v="15.35"/>
    <x v="773"/>
    <n v="1"/>
    <n v="2.2999999999999998"/>
    <n v="0"/>
    <n v="0"/>
    <n v="2.2999999999999998"/>
    <x v="760"/>
    <x v="0"/>
    <x v="977"/>
    <x v="562"/>
    <n v="14"/>
    <e v="#N/A"/>
    <e v="#N/A"/>
  </r>
  <r>
    <n v="1952"/>
    <d v="2016-01-20T12:11:32"/>
    <d v="2016-01-20T12:26:33"/>
    <x v="2"/>
    <m/>
    <m/>
    <x v="1"/>
    <n v="70804"/>
    <n v="2.48338075998852"/>
    <d v="2016-01-20T12:38:58"/>
    <n v="11.59"/>
    <x v="774"/>
    <n v="1"/>
    <n v="1.7"/>
    <n v="0"/>
    <n v="0"/>
    <n v="1.7"/>
    <x v="761"/>
    <x v="0"/>
    <x v="978"/>
    <x v="563"/>
    <n v="10"/>
    <e v="#N/A"/>
    <e v="#N/A"/>
  </r>
  <r>
    <n v="1953"/>
    <d v="2016-01-20T11:44:00"/>
    <d v="2016-01-20T11:58:59"/>
    <x v="0"/>
    <s v="Medium"/>
    <m/>
    <x v="1"/>
    <n v="70805"/>
    <n v="2.4026546471332"/>
    <d v="2016-01-20T12:10:59"/>
    <n v="19.579999999999998"/>
    <x v="775"/>
    <n v="2"/>
    <n v="1"/>
    <n v="1.7"/>
    <n v="0"/>
    <n v="2.7"/>
    <x v="762"/>
    <x v="0"/>
    <x v="979"/>
    <x v="564"/>
    <n v="7"/>
    <n v="10"/>
    <e v="#N/A"/>
  </r>
  <r>
    <n v="1954"/>
    <d v="2016-01-20T11:59:44"/>
    <d v="2016-01-20T12:14:46"/>
    <x v="2"/>
    <m/>
    <m/>
    <x v="0"/>
    <n v="70804"/>
    <n v="0"/>
    <d v="2016-01-20T12:17:45"/>
    <n v="11.59"/>
    <x v="24"/>
    <n v="1"/>
    <n v="1.7"/>
    <n v="0"/>
    <n v="0"/>
    <n v="1.7"/>
    <x v="0"/>
    <x v="0"/>
    <x v="0"/>
    <x v="0"/>
    <n v="10"/>
    <e v="#N/A"/>
    <e v="#N/A"/>
  </r>
  <r>
    <n v="1955"/>
    <d v="2016-01-20T11:29:17"/>
    <d v="2016-01-20T11:44:17"/>
    <x v="2"/>
    <m/>
    <m/>
    <x v="1"/>
    <n v="70804"/>
    <n v="4.1926758921990803"/>
    <d v="2016-01-20T12:05:14"/>
    <n v="11.59"/>
    <x v="197"/>
    <n v="1"/>
    <n v="1.7"/>
    <n v="0"/>
    <n v="0"/>
    <n v="1.7"/>
    <x v="185"/>
    <x v="1"/>
    <x v="980"/>
    <x v="0"/>
    <n v="10"/>
    <e v="#N/A"/>
    <e v="#N/A"/>
  </r>
  <r>
    <n v="1956"/>
    <d v="2016-01-20T12:55:16"/>
    <d v="2016-01-20T13:10:15"/>
    <x v="2"/>
    <m/>
    <m/>
    <x v="0"/>
    <n v="70805"/>
    <n v="0"/>
    <d v="2016-01-20T13:13:13"/>
    <n v="11.59"/>
    <x v="19"/>
    <n v="1"/>
    <n v="1.7"/>
    <n v="0"/>
    <n v="0"/>
    <n v="1.7"/>
    <x v="0"/>
    <x v="0"/>
    <x v="0"/>
    <x v="0"/>
    <n v="10"/>
    <e v="#N/A"/>
    <e v="#N/A"/>
  </r>
  <r>
    <n v="1957"/>
    <d v="2016-01-20T12:34:28"/>
    <d v="2016-01-20T12:49:26"/>
    <x v="2"/>
    <m/>
    <m/>
    <x v="0"/>
    <n v="70805"/>
    <n v="0"/>
    <d v="2016-01-20T12:52:25"/>
    <n v="11.59"/>
    <x v="1"/>
    <n v="1"/>
    <n v="1.7"/>
    <n v="0"/>
    <n v="0"/>
    <n v="1.7"/>
    <x v="0"/>
    <x v="0"/>
    <x v="0"/>
    <x v="0"/>
    <n v="10"/>
    <e v="#N/A"/>
    <e v="#N/A"/>
  </r>
  <r>
    <n v="1958"/>
    <d v="2016-01-20T11:18:17"/>
    <d v="2016-01-20T11:33:16"/>
    <x v="1"/>
    <m/>
    <m/>
    <x v="1"/>
    <n v="70804"/>
    <n v="5.19034829212183"/>
    <d v="2016-01-20T11:59:13"/>
    <n v="15.35"/>
    <x v="776"/>
    <n v="1"/>
    <n v="2.2999999999999998"/>
    <n v="0"/>
    <n v="0"/>
    <n v="2.2999999999999998"/>
    <x v="763"/>
    <x v="1"/>
    <x v="981"/>
    <x v="0"/>
    <n v="14"/>
    <e v="#N/A"/>
    <e v="#N/A"/>
  </r>
  <r>
    <n v="1959"/>
    <d v="2016-01-20T13:24:21"/>
    <d v="2016-01-20T13:39:20"/>
    <x v="0"/>
    <s v="Medium"/>
    <m/>
    <x v="0"/>
    <n v="70805"/>
    <n v="0"/>
    <d v="2016-01-20T13:42:20"/>
    <n v="19.579999999999998"/>
    <x v="2"/>
    <n v="2"/>
    <n v="1"/>
    <n v="1.7"/>
    <n v="0"/>
    <n v="2.7"/>
    <x v="0"/>
    <x v="0"/>
    <x v="0"/>
    <x v="0"/>
    <n v="7"/>
    <n v="10"/>
    <e v="#N/A"/>
  </r>
  <r>
    <n v="1960"/>
    <d v="2016-01-20T11:56:17"/>
    <d v="2016-01-20T12:11:17"/>
    <x v="2"/>
    <m/>
    <m/>
    <x v="1"/>
    <n v="70803"/>
    <n v="4.0609105818172697"/>
    <d v="2016-01-20T12:31:35"/>
    <n v="11.59"/>
    <x v="777"/>
    <n v="1"/>
    <n v="1.7"/>
    <n v="0"/>
    <n v="0"/>
    <n v="1.7"/>
    <x v="764"/>
    <x v="1"/>
    <x v="982"/>
    <x v="0"/>
    <n v="10"/>
    <e v="#N/A"/>
    <e v="#N/A"/>
  </r>
  <r>
    <n v="1961"/>
    <d v="2016-01-20T11:57:55"/>
    <d v="2016-01-20T12:12:54"/>
    <x v="0"/>
    <m/>
    <m/>
    <x v="1"/>
    <n v="70805"/>
    <n v="3.8378488698753999"/>
    <d v="2016-01-20T12:32:05"/>
    <n v="7.99"/>
    <x v="427"/>
    <n v="1"/>
    <n v="1"/>
    <n v="0"/>
    <n v="0"/>
    <n v="1"/>
    <x v="414"/>
    <x v="1"/>
    <x v="983"/>
    <x v="0"/>
    <n v="7"/>
    <e v="#N/A"/>
    <e v="#N/A"/>
  </r>
  <r>
    <n v="1962"/>
    <d v="2016-01-20T11:32:52"/>
    <d v="2016-01-20T11:47:51"/>
    <x v="1"/>
    <m/>
    <m/>
    <x v="1"/>
    <n v="70804"/>
    <n v="1.9429763615525899"/>
    <d v="2016-01-20T11:57:33"/>
    <n v="15.35"/>
    <x v="778"/>
    <n v="1"/>
    <n v="2.2999999999999998"/>
    <n v="0"/>
    <n v="0"/>
    <n v="2.2999999999999998"/>
    <x v="765"/>
    <x v="0"/>
    <x v="984"/>
    <x v="565"/>
    <n v="14"/>
    <e v="#N/A"/>
    <e v="#N/A"/>
  </r>
  <r>
    <n v="1963"/>
    <d v="2016-01-20T13:20:30"/>
    <d v="2016-01-20T13:35:30"/>
    <x v="0"/>
    <s v="Medium"/>
    <m/>
    <x v="1"/>
    <n v="70805"/>
    <n v="2.8988280762688099"/>
    <d v="2016-01-20T13:49:59"/>
    <n v="19.579999999999998"/>
    <x v="779"/>
    <n v="2"/>
    <n v="1"/>
    <n v="1.7"/>
    <n v="0"/>
    <n v="2.7"/>
    <x v="766"/>
    <x v="0"/>
    <x v="985"/>
    <x v="566"/>
    <n v="7"/>
    <n v="10"/>
    <e v="#N/A"/>
  </r>
  <r>
    <n v="1964"/>
    <d v="2016-01-20T12:32:34"/>
    <d v="2016-01-20T12:47:34"/>
    <x v="2"/>
    <m/>
    <m/>
    <x v="1"/>
    <n v="70805"/>
    <n v="3.5923435086751798"/>
    <d v="2016-01-20T13:05:31"/>
    <n v="11.59"/>
    <x v="780"/>
    <n v="1"/>
    <n v="1.7"/>
    <n v="0"/>
    <n v="0"/>
    <n v="1.7"/>
    <x v="767"/>
    <x v="1"/>
    <x v="986"/>
    <x v="0"/>
    <n v="10"/>
    <e v="#N/A"/>
    <e v="#N/A"/>
  </r>
  <r>
    <n v="1965"/>
    <d v="2016-01-20T12:12:54"/>
    <d v="2016-01-20T12:27:55"/>
    <x v="0"/>
    <s v="Medium"/>
    <m/>
    <x v="0"/>
    <n v="70805"/>
    <n v="0"/>
    <d v="2016-01-20T12:30:54"/>
    <n v="19.579999999999998"/>
    <x v="1"/>
    <n v="2"/>
    <n v="1"/>
    <n v="1.7"/>
    <n v="0"/>
    <n v="2.7"/>
    <x v="0"/>
    <x v="0"/>
    <x v="0"/>
    <x v="0"/>
    <n v="7"/>
    <n v="10"/>
    <e v="#N/A"/>
  </r>
  <r>
    <n v="1966"/>
    <d v="2016-01-20T13:48:12"/>
    <d v="2016-01-20T14:03:10"/>
    <x v="0"/>
    <m/>
    <m/>
    <x v="0"/>
    <n v="70804"/>
    <n v="0"/>
    <d v="2016-01-20T14:06:10"/>
    <n v="7.99"/>
    <x v="2"/>
    <n v="1"/>
    <n v="1"/>
    <n v="0"/>
    <n v="0"/>
    <n v="1"/>
    <x v="0"/>
    <x v="0"/>
    <x v="0"/>
    <x v="0"/>
    <n v="7"/>
    <e v="#N/A"/>
    <e v="#N/A"/>
  </r>
  <r>
    <n v="1967"/>
    <d v="2016-01-20T12:17:23"/>
    <d v="2016-01-20T12:32:23"/>
    <x v="0"/>
    <m/>
    <m/>
    <x v="1"/>
    <n v="70807"/>
    <n v="2.4927412884772"/>
    <d v="2016-01-20T12:44:50"/>
    <n v="7.99"/>
    <x v="781"/>
    <n v="1"/>
    <n v="1"/>
    <n v="0"/>
    <n v="0"/>
    <n v="1"/>
    <x v="768"/>
    <x v="0"/>
    <x v="987"/>
    <x v="567"/>
    <n v="7"/>
    <e v="#N/A"/>
    <e v="#N/A"/>
  </r>
  <r>
    <n v="1968"/>
    <d v="2016-01-20T11:41:12"/>
    <d v="2016-01-20T11:56:11"/>
    <x v="1"/>
    <m/>
    <m/>
    <x v="0"/>
    <n v="70803"/>
    <n v="0"/>
    <d v="2016-01-20T11:59:10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1969"/>
    <d v="2016-01-20T11:19:07"/>
    <d v="2016-01-20T11:34:07"/>
    <x v="2"/>
    <m/>
    <m/>
    <x v="1"/>
    <n v="70805"/>
    <n v="2.3682501587750702"/>
    <d v="2016-01-20T11:45:57"/>
    <n v="11.59"/>
    <x v="782"/>
    <n v="1"/>
    <n v="1.7"/>
    <n v="0"/>
    <n v="0"/>
    <n v="1.7"/>
    <x v="769"/>
    <x v="0"/>
    <x v="988"/>
    <x v="568"/>
    <n v="10"/>
    <e v="#N/A"/>
    <e v="#N/A"/>
  </r>
  <r>
    <n v="1970"/>
    <d v="2016-01-20T12:26:28"/>
    <d v="2016-01-20T12:41:28"/>
    <x v="0"/>
    <m/>
    <m/>
    <x v="1"/>
    <n v="70805"/>
    <n v="5.5810514477405899"/>
    <d v="2016-01-20T13:09:22"/>
    <n v="7.99"/>
    <x v="783"/>
    <n v="1"/>
    <n v="1"/>
    <n v="0"/>
    <n v="0"/>
    <n v="1"/>
    <x v="770"/>
    <x v="1"/>
    <x v="989"/>
    <x v="0"/>
    <n v="7"/>
    <e v="#N/A"/>
    <e v="#N/A"/>
  </r>
  <r>
    <n v="1971"/>
    <d v="2016-01-20T12:14:00"/>
    <d v="2016-01-20T12:28:58"/>
    <x v="2"/>
    <m/>
    <m/>
    <x v="0"/>
    <n v="70804"/>
    <n v="0"/>
    <d v="2016-01-20T12:31:58"/>
    <n v="11.59"/>
    <x v="2"/>
    <n v="1"/>
    <n v="1.7"/>
    <n v="0"/>
    <n v="0"/>
    <n v="1.7"/>
    <x v="0"/>
    <x v="0"/>
    <x v="0"/>
    <x v="0"/>
    <n v="10"/>
    <e v="#N/A"/>
    <e v="#N/A"/>
  </r>
  <r>
    <n v="1972"/>
    <d v="2016-01-20T13:38:26"/>
    <d v="2016-01-20T13:53:25"/>
    <x v="2"/>
    <m/>
    <m/>
    <x v="0"/>
    <n v="70806"/>
    <n v="0"/>
    <d v="2016-01-20T13:56:25"/>
    <n v="11.59"/>
    <x v="2"/>
    <n v="1"/>
    <n v="1.7"/>
    <n v="0"/>
    <n v="0"/>
    <n v="1.7"/>
    <x v="0"/>
    <x v="0"/>
    <x v="0"/>
    <x v="0"/>
    <n v="10"/>
    <e v="#N/A"/>
    <e v="#N/A"/>
  </r>
  <r>
    <n v="1973"/>
    <d v="2016-01-20T12:33:21"/>
    <d v="2016-01-20T12:48:20"/>
    <x v="0"/>
    <s v="Medium"/>
    <m/>
    <x v="1"/>
    <n v="70805"/>
    <n v="4.10732131238934"/>
    <d v="2016-01-20T13:08:52"/>
    <n v="19.579999999999998"/>
    <x v="784"/>
    <n v="2"/>
    <n v="1"/>
    <n v="1.7"/>
    <n v="0"/>
    <n v="2.7"/>
    <x v="771"/>
    <x v="1"/>
    <x v="990"/>
    <x v="0"/>
    <n v="7"/>
    <n v="10"/>
    <e v="#N/A"/>
  </r>
  <r>
    <n v="1974"/>
    <d v="2016-01-20T10:14:12"/>
    <d v="2016-01-20T10:29:10"/>
    <x v="0"/>
    <s v="Large"/>
    <m/>
    <x v="0"/>
    <n v="70804"/>
    <n v="0"/>
    <d v="2016-01-20T10:32:08"/>
    <n v="23.34"/>
    <x v="19"/>
    <n v="2"/>
    <n v="1"/>
    <n v="2.2999999999999998"/>
    <n v="0"/>
    <n v="3.3"/>
    <x v="0"/>
    <x v="0"/>
    <x v="0"/>
    <x v="0"/>
    <n v="7"/>
    <n v="14"/>
    <e v="#N/A"/>
  </r>
  <r>
    <n v="1975"/>
    <d v="2016-01-20T12:21:24"/>
    <d v="2016-01-20T12:36:24"/>
    <x v="1"/>
    <m/>
    <m/>
    <x v="0"/>
    <n v="70806"/>
    <n v="0"/>
    <d v="2016-01-20T12:39:24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976"/>
    <d v="2016-01-20T11:49:06"/>
    <d v="2016-01-20T12:04:05"/>
    <x v="2"/>
    <m/>
    <m/>
    <x v="0"/>
    <n v="70804"/>
    <n v="0"/>
    <d v="2016-01-20T12:07:05"/>
    <n v="11.59"/>
    <x v="2"/>
    <n v="1"/>
    <n v="1.7"/>
    <n v="0"/>
    <n v="0"/>
    <n v="1.7"/>
    <x v="0"/>
    <x v="0"/>
    <x v="0"/>
    <x v="0"/>
    <n v="10"/>
    <e v="#N/A"/>
    <e v="#N/A"/>
  </r>
  <r>
    <n v="1977"/>
    <d v="2016-01-20T11:13:07"/>
    <d v="2016-01-20T11:28:06"/>
    <x v="2"/>
    <m/>
    <m/>
    <x v="0"/>
    <n v="70805"/>
    <n v="0"/>
    <d v="2016-01-20T11:31:06"/>
    <n v="11.59"/>
    <x v="2"/>
    <n v="1"/>
    <n v="1.7"/>
    <n v="0"/>
    <n v="0"/>
    <n v="1.7"/>
    <x v="0"/>
    <x v="0"/>
    <x v="0"/>
    <x v="0"/>
    <n v="10"/>
    <e v="#N/A"/>
    <e v="#N/A"/>
  </r>
  <r>
    <n v="1978"/>
    <d v="2016-01-20T12:35:34"/>
    <d v="2016-01-20T12:50:32"/>
    <x v="1"/>
    <m/>
    <m/>
    <x v="0"/>
    <n v="70805"/>
    <n v="0"/>
    <d v="2016-01-20T12:53:32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1979"/>
    <d v="2016-01-20T12:16:37"/>
    <d v="2016-01-20T12:31:36"/>
    <x v="0"/>
    <s v="Medium"/>
    <m/>
    <x v="1"/>
    <n v="70803"/>
    <n v="3.4543843282813498"/>
    <d v="2016-01-20T12:48:52"/>
    <n v="19.579999999999998"/>
    <x v="528"/>
    <n v="2"/>
    <n v="1"/>
    <n v="1.7"/>
    <n v="0"/>
    <n v="2.7"/>
    <x v="515"/>
    <x v="1"/>
    <x v="991"/>
    <x v="0"/>
    <n v="7"/>
    <n v="10"/>
    <e v="#N/A"/>
  </r>
  <r>
    <n v="1980"/>
    <d v="2016-01-20T10:13:43"/>
    <d v="2016-01-20T10:28:43"/>
    <x v="1"/>
    <m/>
    <m/>
    <x v="1"/>
    <n v="70805"/>
    <n v="3.4817792663939402"/>
    <d v="2016-01-20T10:46:07"/>
    <n v="15.35"/>
    <x v="785"/>
    <n v="1"/>
    <n v="2.2999999999999998"/>
    <n v="0"/>
    <n v="0"/>
    <n v="2.2999999999999998"/>
    <x v="772"/>
    <x v="1"/>
    <x v="992"/>
    <x v="0"/>
    <n v="14"/>
    <e v="#N/A"/>
    <e v="#N/A"/>
  </r>
  <r>
    <n v="1981"/>
    <d v="2016-01-20T12:04:29"/>
    <d v="2016-01-20T12:19:29"/>
    <x v="2"/>
    <m/>
    <m/>
    <x v="0"/>
    <n v="70806"/>
    <n v="0"/>
    <d v="2016-01-20T12:22:29"/>
    <n v="11.59"/>
    <x v="2"/>
    <n v="1"/>
    <n v="1.7"/>
    <n v="0"/>
    <n v="0"/>
    <n v="1.7"/>
    <x v="0"/>
    <x v="0"/>
    <x v="0"/>
    <x v="0"/>
    <n v="10"/>
    <e v="#N/A"/>
    <e v="#N/A"/>
  </r>
  <r>
    <n v="1982"/>
    <d v="2016-01-20T11:48:06"/>
    <d v="2016-01-20T12:03:04"/>
    <x v="0"/>
    <m/>
    <m/>
    <x v="1"/>
    <n v="70805"/>
    <n v="5.6733704127158902"/>
    <d v="2016-01-20T12:31:26"/>
    <n v="7.99"/>
    <x v="786"/>
    <n v="1"/>
    <n v="1"/>
    <n v="0"/>
    <n v="0"/>
    <n v="1"/>
    <x v="773"/>
    <x v="1"/>
    <x v="993"/>
    <x v="0"/>
    <n v="7"/>
    <e v="#N/A"/>
    <e v="#N/A"/>
  </r>
  <r>
    <n v="1983"/>
    <d v="2016-01-20T13:59:39"/>
    <d v="2016-01-20T14:14:39"/>
    <x v="0"/>
    <s v="Medium"/>
    <m/>
    <x v="1"/>
    <n v="70805"/>
    <n v="4.5315875135916901"/>
    <d v="2016-01-20T14:37:18"/>
    <n v="19.579999999999998"/>
    <x v="445"/>
    <n v="2"/>
    <n v="1"/>
    <n v="1.7"/>
    <n v="0"/>
    <n v="2.7"/>
    <x v="432"/>
    <x v="1"/>
    <x v="994"/>
    <x v="0"/>
    <n v="7"/>
    <n v="10"/>
    <e v="#N/A"/>
  </r>
  <r>
    <n v="1984"/>
    <d v="2016-01-20T11:38:18"/>
    <d v="2016-01-20T11:53:17"/>
    <x v="2"/>
    <m/>
    <m/>
    <x v="0"/>
    <n v="70803"/>
    <n v="0"/>
    <d v="2016-01-20T11:56:15"/>
    <n v="11.59"/>
    <x v="0"/>
    <n v="1"/>
    <n v="1.7"/>
    <n v="0"/>
    <n v="0"/>
    <n v="1.7"/>
    <x v="0"/>
    <x v="0"/>
    <x v="0"/>
    <x v="0"/>
    <n v="10"/>
    <e v="#N/A"/>
    <e v="#N/A"/>
  </r>
  <r>
    <n v="1985"/>
    <d v="2016-01-20T12:20:33"/>
    <d v="2016-01-20T12:35:34"/>
    <x v="2"/>
    <m/>
    <m/>
    <x v="1"/>
    <n v="70804"/>
    <n v="2.0892165476206102"/>
    <d v="2016-01-20T12:46:00"/>
    <n v="11.59"/>
    <x v="787"/>
    <n v="1"/>
    <n v="1.7"/>
    <n v="0"/>
    <n v="0"/>
    <n v="1.7"/>
    <x v="774"/>
    <x v="0"/>
    <x v="995"/>
    <x v="569"/>
    <n v="10"/>
    <e v="#N/A"/>
    <e v="#N/A"/>
  </r>
  <r>
    <n v="1986"/>
    <d v="2016-01-20T11:31:59"/>
    <d v="2016-01-20T11:46:58"/>
    <x v="1"/>
    <m/>
    <m/>
    <x v="0"/>
    <n v="70805"/>
    <n v="0"/>
    <d v="2016-01-20T11:49:57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1987"/>
    <d v="2016-01-20T10:26:31"/>
    <d v="2016-01-20T10:41:31"/>
    <x v="1"/>
    <m/>
    <m/>
    <x v="0"/>
    <n v="70804"/>
    <n v="0"/>
    <d v="2016-01-20T10:44:29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1988"/>
    <d v="2016-01-20T11:19:13"/>
    <d v="2016-01-20T11:34:13"/>
    <x v="1"/>
    <m/>
    <m/>
    <x v="1"/>
    <n v="70804"/>
    <n v="3.68077011009564"/>
    <d v="2016-01-20T11:52:37"/>
    <n v="15.35"/>
    <x v="178"/>
    <n v="1"/>
    <n v="2.2999999999999998"/>
    <n v="0"/>
    <n v="0"/>
    <n v="2.2999999999999998"/>
    <x v="166"/>
    <x v="1"/>
    <x v="996"/>
    <x v="0"/>
    <n v="14"/>
    <e v="#N/A"/>
    <e v="#N/A"/>
  </r>
  <r>
    <n v="1989"/>
    <d v="2016-01-20T11:25:12"/>
    <d v="2016-01-20T11:40:12"/>
    <x v="0"/>
    <s v="Medium"/>
    <m/>
    <x v="1"/>
    <n v="70805"/>
    <n v="3.62963832053868"/>
    <d v="2016-01-20T11:58:20"/>
    <n v="19.579999999999998"/>
    <x v="788"/>
    <n v="2"/>
    <n v="1"/>
    <n v="1.7"/>
    <n v="0"/>
    <n v="2.7"/>
    <x v="775"/>
    <x v="1"/>
    <x v="997"/>
    <x v="0"/>
    <n v="7"/>
    <n v="10"/>
    <e v="#N/A"/>
  </r>
  <r>
    <n v="1990"/>
    <d v="2016-01-20T11:36:22"/>
    <d v="2016-01-20T11:51:21"/>
    <x v="0"/>
    <s v="Medium"/>
    <m/>
    <x v="0"/>
    <n v="70804"/>
    <n v="0"/>
    <d v="2016-01-20T11:54:21"/>
    <n v="19.579999999999998"/>
    <x v="2"/>
    <n v="2"/>
    <n v="1"/>
    <n v="1.7"/>
    <n v="0"/>
    <n v="2.7"/>
    <x v="0"/>
    <x v="0"/>
    <x v="0"/>
    <x v="0"/>
    <n v="7"/>
    <n v="10"/>
    <e v="#N/A"/>
  </r>
  <r>
    <n v="1991"/>
    <d v="2016-01-20T12:16:00"/>
    <d v="2016-01-20T12:30:59"/>
    <x v="2"/>
    <m/>
    <m/>
    <x v="0"/>
    <n v="70806"/>
    <n v="0"/>
    <d v="2016-01-20T12:33:59"/>
    <n v="11.59"/>
    <x v="2"/>
    <n v="1"/>
    <n v="1.7"/>
    <n v="0"/>
    <n v="0"/>
    <n v="1.7"/>
    <x v="0"/>
    <x v="0"/>
    <x v="0"/>
    <x v="0"/>
    <n v="10"/>
    <e v="#N/A"/>
    <e v="#N/A"/>
  </r>
  <r>
    <n v="1992"/>
    <d v="2016-01-21T12:11:40"/>
    <d v="2016-01-21T12:26:39"/>
    <x v="0"/>
    <s v="Medium"/>
    <m/>
    <x v="0"/>
    <n v="70806"/>
    <n v="0"/>
    <d v="2016-01-21T12:29:37"/>
    <n v="19.579999999999998"/>
    <x v="0"/>
    <n v="2"/>
    <n v="1"/>
    <n v="1.7"/>
    <n v="0"/>
    <n v="2.7"/>
    <x v="0"/>
    <x v="0"/>
    <x v="0"/>
    <x v="0"/>
    <n v="7"/>
    <n v="10"/>
    <e v="#N/A"/>
  </r>
  <r>
    <n v="1993"/>
    <d v="2016-01-21T12:48:09"/>
    <d v="2016-01-21T13:03:08"/>
    <x v="1"/>
    <m/>
    <m/>
    <x v="0"/>
    <n v="70804"/>
    <n v="0"/>
    <d v="2016-01-21T13:06:07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1994"/>
    <d v="2016-01-21T11:31:27"/>
    <d v="2016-01-21T11:46:27"/>
    <x v="2"/>
    <m/>
    <m/>
    <x v="1"/>
    <n v="70806"/>
    <n v="3.1673694595738899"/>
    <d v="2016-01-21T12:02:17"/>
    <n v="11.59"/>
    <x v="318"/>
    <n v="1"/>
    <n v="1.7"/>
    <n v="0"/>
    <n v="0"/>
    <n v="1.7"/>
    <x v="305"/>
    <x v="0"/>
    <x v="998"/>
    <x v="570"/>
    <n v="10"/>
    <e v="#N/A"/>
    <e v="#N/A"/>
  </r>
  <r>
    <n v="1995"/>
    <d v="2016-01-21T11:39:04"/>
    <d v="2016-01-21T11:54:04"/>
    <x v="2"/>
    <m/>
    <m/>
    <x v="0"/>
    <n v="70804"/>
    <n v="0"/>
    <d v="2016-01-21T11:57:03"/>
    <n v="11.59"/>
    <x v="1"/>
    <n v="1"/>
    <n v="1.7"/>
    <n v="0"/>
    <n v="0"/>
    <n v="1.7"/>
    <x v="0"/>
    <x v="0"/>
    <x v="0"/>
    <x v="0"/>
    <n v="10"/>
    <e v="#N/A"/>
    <e v="#N/A"/>
  </r>
  <r>
    <n v="1996"/>
    <d v="2016-01-21T11:10:24"/>
    <d v="2016-01-21T11:25:23"/>
    <x v="1"/>
    <m/>
    <m/>
    <x v="1"/>
    <n v="70804"/>
    <n v="2.7451012160772001"/>
    <d v="2016-01-21T11:39:06"/>
    <n v="15.35"/>
    <x v="630"/>
    <n v="1"/>
    <n v="2.2999999999999998"/>
    <n v="0"/>
    <n v="0"/>
    <n v="2.2999999999999998"/>
    <x v="617"/>
    <x v="0"/>
    <x v="999"/>
    <x v="571"/>
    <n v="14"/>
    <e v="#N/A"/>
    <e v="#N/A"/>
  </r>
  <r>
    <n v="1997"/>
    <d v="2016-01-21T12:12:09"/>
    <d v="2016-01-21T12:27:08"/>
    <x v="0"/>
    <m/>
    <m/>
    <x v="1"/>
    <n v="70805"/>
    <n v="6.21633934027503"/>
    <d v="2016-01-21T12:58:12"/>
    <n v="7.99"/>
    <x v="789"/>
    <n v="1"/>
    <n v="1"/>
    <n v="0"/>
    <n v="0"/>
    <n v="1"/>
    <x v="776"/>
    <x v="1"/>
    <x v="1000"/>
    <x v="0"/>
    <n v="7"/>
    <e v="#N/A"/>
    <e v="#N/A"/>
  </r>
  <r>
    <n v="1998"/>
    <d v="2016-01-21T12:29:19"/>
    <d v="2016-01-21T12:44:18"/>
    <x v="0"/>
    <s v="Medium"/>
    <m/>
    <x v="0"/>
    <n v="70806"/>
    <n v="0"/>
    <d v="2016-01-21T12:47:19"/>
    <n v="19.579999999999998"/>
    <x v="56"/>
    <n v="2"/>
    <n v="1"/>
    <n v="1.7"/>
    <n v="0"/>
    <n v="2.7"/>
    <x v="0"/>
    <x v="0"/>
    <x v="0"/>
    <x v="0"/>
    <n v="7"/>
    <n v="10"/>
    <e v="#N/A"/>
  </r>
  <r>
    <n v="1999"/>
    <d v="2016-01-21T13:54:14"/>
    <d v="2016-01-21T14:09:11"/>
    <x v="2"/>
    <m/>
    <m/>
    <x v="1"/>
    <n v="70804"/>
    <n v="3.71078727340584"/>
    <d v="2016-01-21T14:27:44"/>
    <n v="11.59"/>
    <x v="790"/>
    <n v="1"/>
    <n v="1.7"/>
    <n v="0"/>
    <n v="0"/>
    <n v="1.7"/>
    <x v="777"/>
    <x v="1"/>
    <x v="1001"/>
    <x v="0"/>
    <n v="10"/>
    <e v="#N/A"/>
    <e v="#N/A"/>
  </r>
  <r>
    <n v="2000"/>
    <d v="2016-01-21T11:18:31"/>
    <d v="2016-01-21T11:33:31"/>
    <x v="0"/>
    <s v="Large"/>
    <m/>
    <x v="1"/>
    <n v="70803"/>
    <n v="5.2231688025895799"/>
    <d v="2016-01-21T11:59:37"/>
    <n v="23.34"/>
    <x v="791"/>
    <n v="2"/>
    <n v="1"/>
    <n v="2.2999999999999998"/>
    <n v="0"/>
    <n v="3.3"/>
    <x v="778"/>
    <x v="1"/>
    <x v="1002"/>
    <x v="0"/>
    <n v="7"/>
    <n v="14"/>
    <e v="#N/A"/>
  </r>
  <r>
    <n v="2001"/>
    <d v="2016-01-21T12:46:28"/>
    <d v="2016-01-21T13:01:28"/>
    <x v="0"/>
    <s v="Medium"/>
    <m/>
    <x v="0"/>
    <n v="70804"/>
    <n v="0"/>
    <d v="2016-01-21T13:04:27"/>
    <n v="19.579999999999998"/>
    <x v="24"/>
    <n v="2"/>
    <n v="1"/>
    <n v="1.7"/>
    <n v="0"/>
    <n v="2.7"/>
    <x v="0"/>
    <x v="0"/>
    <x v="0"/>
    <x v="0"/>
    <n v="7"/>
    <n v="10"/>
    <e v="#N/A"/>
  </r>
  <r>
    <n v="2002"/>
    <d v="2016-01-21T10:56:47"/>
    <d v="2016-01-21T11:11:46"/>
    <x v="2"/>
    <m/>
    <m/>
    <x v="1"/>
    <n v="70806"/>
    <n v="2.68700806772654"/>
    <d v="2016-01-21T11:25:12"/>
    <n v="11.59"/>
    <x v="429"/>
    <n v="1"/>
    <n v="1.7"/>
    <n v="0"/>
    <n v="0"/>
    <n v="1.7"/>
    <x v="416"/>
    <x v="0"/>
    <x v="1003"/>
    <x v="572"/>
    <n v="10"/>
    <e v="#N/A"/>
    <e v="#N/A"/>
  </r>
  <r>
    <n v="2003"/>
    <d v="2016-01-21T11:38:08"/>
    <d v="2016-01-21T11:53:08"/>
    <x v="0"/>
    <m/>
    <m/>
    <x v="0"/>
    <n v="70803"/>
    <n v="0"/>
    <d v="2016-01-21T11:56:07"/>
    <n v="7.99"/>
    <x v="1"/>
    <n v="1"/>
    <n v="1"/>
    <n v="0"/>
    <n v="0"/>
    <n v="1"/>
    <x v="0"/>
    <x v="0"/>
    <x v="0"/>
    <x v="0"/>
    <n v="7"/>
    <e v="#N/A"/>
    <e v="#N/A"/>
  </r>
  <r>
    <n v="2004"/>
    <d v="2016-01-21T11:31:43"/>
    <d v="2016-01-21T11:46:43"/>
    <x v="0"/>
    <m/>
    <m/>
    <x v="1"/>
    <n v="70805"/>
    <n v="3.60013357997396"/>
    <d v="2016-01-21T12:04:43"/>
    <n v="7.99"/>
    <x v="792"/>
    <n v="1"/>
    <n v="1"/>
    <n v="0"/>
    <n v="0"/>
    <n v="1"/>
    <x v="779"/>
    <x v="1"/>
    <x v="1004"/>
    <x v="0"/>
    <n v="7"/>
    <e v="#N/A"/>
    <e v="#N/A"/>
  </r>
  <r>
    <n v="2005"/>
    <d v="2016-01-21T10:47:36"/>
    <d v="2016-01-21T11:02:35"/>
    <x v="2"/>
    <m/>
    <m/>
    <x v="0"/>
    <n v="70805"/>
    <n v="0"/>
    <d v="2016-01-21T11:05:35"/>
    <n v="11.59"/>
    <x v="2"/>
    <n v="1"/>
    <n v="1.7"/>
    <n v="0"/>
    <n v="0"/>
    <n v="1.7"/>
    <x v="0"/>
    <x v="0"/>
    <x v="0"/>
    <x v="0"/>
    <n v="10"/>
    <e v="#N/A"/>
    <e v="#N/A"/>
  </r>
  <r>
    <n v="2006"/>
    <d v="2016-01-21T11:40:28"/>
    <d v="2016-01-21T11:55:29"/>
    <x v="0"/>
    <s v="Medium"/>
    <m/>
    <x v="1"/>
    <n v="70805"/>
    <n v="4.7341169020854696"/>
    <d v="2016-01-21T12:19:09"/>
    <n v="19.579999999999998"/>
    <x v="793"/>
    <n v="2"/>
    <n v="1"/>
    <n v="1.7"/>
    <n v="0"/>
    <n v="2.7"/>
    <x v="780"/>
    <x v="1"/>
    <x v="1005"/>
    <x v="0"/>
    <n v="7"/>
    <n v="10"/>
    <e v="#N/A"/>
  </r>
  <r>
    <n v="2007"/>
    <d v="2016-01-21T12:03:27"/>
    <d v="2016-01-21T12:18:28"/>
    <x v="1"/>
    <m/>
    <m/>
    <x v="1"/>
    <n v="70805"/>
    <n v="5.33401108479468"/>
    <d v="2016-01-21T12:45:08"/>
    <n v="15.35"/>
    <x v="794"/>
    <n v="1"/>
    <n v="2.2999999999999998"/>
    <n v="0"/>
    <n v="0"/>
    <n v="2.2999999999999998"/>
    <x v="781"/>
    <x v="1"/>
    <x v="1006"/>
    <x v="0"/>
    <n v="14"/>
    <e v="#N/A"/>
    <e v="#N/A"/>
  </r>
  <r>
    <n v="2008"/>
    <d v="2016-01-21T13:40:02"/>
    <d v="2016-01-21T13:55:02"/>
    <x v="1"/>
    <m/>
    <m/>
    <x v="0"/>
    <n v="70806"/>
    <n v="0"/>
    <d v="2016-01-21T13:58:02"/>
    <n v="15.35"/>
    <x v="63"/>
    <n v="1"/>
    <n v="2.2999999999999998"/>
    <n v="0"/>
    <n v="0"/>
    <n v="2.2999999999999998"/>
    <x v="0"/>
    <x v="0"/>
    <x v="0"/>
    <x v="0"/>
    <n v="14"/>
    <e v="#N/A"/>
    <e v="#N/A"/>
  </r>
  <r>
    <n v="2009"/>
    <d v="2016-01-21T12:53:53"/>
    <d v="2016-01-21T13:08:51"/>
    <x v="2"/>
    <m/>
    <m/>
    <x v="1"/>
    <n v="70803"/>
    <n v="4.0574435962472499"/>
    <d v="2016-01-21T13:29:08"/>
    <n v="11.59"/>
    <x v="795"/>
    <n v="1"/>
    <n v="1.7"/>
    <n v="0"/>
    <n v="0"/>
    <n v="1.7"/>
    <x v="782"/>
    <x v="1"/>
    <x v="1007"/>
    <x v="0"/>
    <n v="10"/>
    <e v="#N/A"/>
    <e v="#N/A"/>
  </r>
  <r>
    <n v="2010"/>
    <d v="2016-01-21T12:48:23"/>
    <d v="2016-01-21T13:03:22"/>
    <x v="2"/>
    <m/>
    <m/>
    <x v="1"/>
    <n v="70806"/>
    <n v="2.0386326638886798"/>
    <d v="2016-01-21T13:13:33"/>
    <n v="11.59"/>
    <x v="549"/>
    <n v="1"/>
    <n v="1.7"/>
    <n v="0"/>
    <n v="0"/>
    <n v="1.7"/>
    <x v="536"/>
    <x v="0"/>
    <x v="1008"/>
    <x v="573"/>
    <n v="10"/>
    <e v="#N/A"/>
    <e v="#N/A"/>
  </r>
  <r>
    <n v="2011"/>
    <d v="2016-01-21T12:02:45"/>
    <d v="2016-01-21T12:17:44"/>
    <x v="0"/>
    <s v="Medium"/>
    <m/>
    <x v="1"/>
    <n v="70804"/>
    <n v="4.5548492370578098"/>
    <d v="2016-01-21T12:40:30"/>
    <n v="19.579999999999998"/>
    <x v="8"/>
    <n v="2"/>
    <n v="1"/>
    <n v="1.7"/>
    <n v="0"/>
    <n v="2.7"/>
    <x v="6"/>
    <x v="1"/>
    <x v="1009"/>
    <x v="0"/>
    <n v="7"/>
    <n v="10"/>
    <e v="#N/A"/>
  </r>
  <r>
    <n v="2012"/>
    <d v="2016-01-21T12:34:05"/>
    <d v="2016-01-21T12:49:05"/>
    <x v="0"/>
    <m/>
    <m/>
    <x v="1"/>
    <n v="70805"/>
    <n v="1.5498748689275901"/>
    <d v="2016-01-21T12:56:49"/>
    <n v="7.99"/>
    <x v="796"/>
    <n v="1"/>
    <n v="1"/>
    <n v="0"/>
    <n v="0"/>
    <n v="1"/>
    <x v="783"/>
    <x v="0"/>
    <x v="1010"/>
    <x v="574"/>
    <n v="7"/>
    <e v="#N/A"/>
    <e v="#N/A"/>
  </r>
  <r>
    <n v="2013"/>
    <d v="2016-01-21T10:52:16"/>
    <d v="2016-01-21T11:07:15"/>
    <x v="1"/>
    <m/>
    <m/>
    <x v="1"/>
    <n v="70804"/>
    <n v="2.93399572504305"/>
    <d v="2016-01-21T11:21:55"/>
    <n v="15.35"/>
    <x v="797"/>
    <n v="1"/>
    <n v="2.2999999999999998"/>
    <n v="0"/>
    <n v="0"/>
    <n v="2.2999999999999998"/>
    <x v="784"/>
    <x v="0"/>
    <x v="1011"/>
    <x v="575"/>
    <n v="14"/>
    <e v="#N/A"/>
    <e v="#N/A"/>
  </r>
  <r>
    <n v="2014"/>
    <d v="2016-01-21T12:13:38"/>
    <d v="2016-01-21T12:28:39"/>
    <x v="2"/>
    <m/>
    <m/>
    <x v="1"/>
    <n v="70804"/>
    <n v="4.0798375713263297"/>
    <d v="2016-01-21T12:49:02"/>
    <n v="11.59"/>
    <x v="749"/>
    <n v="1"/>
    <n v="1.7"/>
    <n v="0"/>
    <n v="0"/>
    <n v="1.7"/>
    <x v="736"/>
    <x v="1"/>
    <x v="1012"/>
    <x v="0"/>
    <n v="10"/>
    <e v="#N/A"/>
    <e v="#N/A"/>
  </r>
  <r>
    <n v="2015"/>
    <d v="2016-01-21T11:11:21"/>
    <d v="2016-01-21T11:26:21"/>
    <x v="2"/>
    <m/>
    <m/>
    <x v="0"/>
    <n v="70803"/>
    <n v="0"/>
    <d v="2016-01-21T11:29:21"/>
    <n v="11.59"/>
    <x v="2"/>
    <n v="1"/>
    <n v="1.7"/>
    <n v="0"/>
    <n v="0"/>
    <n v="1.7"/>
    <x v="0"/>
    <x v="0"/>
    <x v="0"/>
    <x v="0"/>
    <n v="10"/>
    <e v="#N/A"/>
    <e v="#N/A"/>
  </r>
  <r>
    <n v="2016"/>
    <d v="2016-01-21T11:20:39"/>
    <d v="2016-01-21T11:35:37"/>
    <x v="1"/>
    <m/>
    <m/>
    <x v="1"/>
    <n v="70806"/>
    <n v="3.10719510068872"/>
    <d v="2016-01-21T11:51:09"/>
    <n v="15.35"/>
    <x v="9"/>
    <n v="1"/>
    <n v="2.2999999999999998"/>
    <n v="0"/>
    <n v="0"/>
    <n v="2.2999999999999998"/>
    <x v="7"/>
    <x v="0"/>
    <x v="1013"/>
    <x v="576"/>
    <n v="14"/>
    <e v="#N/A"/>
    <e v="#N/A"/>
  </r>
  <r>
    <n v="2017"/>
    <d v="2016-01-21T11:19:21"/>
    <d v="2016-01-21T11:34:21"/>
    <x v="1"/>
    <m/>
    <m/>
    <x v="1"/>
    <n v="70804"/>
    <n v="1.7334239086290999"/>
    <d v="2016-01-21T11:43:01"/>
    <n v="15.35"/>
    <x v="798"/>
    <n v="1"/>
    <n v="2.2999999999999998"/>
    <n v="0"/>
    <n v="0"/>
    <n v="2.2999999999999998"/>
    <x v="785"/>
    <x v="0"/>
    <x v="1014"/>
    <x v="577"/>
    <n v="14"/>
    <e v="#N/A"/>
    <e v="#N/A"/>
  </r>
  <r>
    <n v="2018"/>
    <d v="2016-01-21T11:00:18"/>
    <d v="2016-01-21T11:15:17"/>
    <x v="1"/>
    <m/>
    <m/>
    <x v="1"/>
    <n v="70803"/>
    <n v="5.9527897685454896"/>
    <d v="2016-01-21T11:45:02"/>
    <n v="15.35"/>
    <x v="799"/>
    <n v="1"/>
    <n v="2.2999999999999998"/>
    <n v="0"/>
    <n v="0"/>
    <n v="2.2999999999999998"/>
    <x v="786"/>
    <x v="1"/>
    <x v="1015"/>
    <x v="0"/>
    <n v="14"/>
    <e v="#N/A"/>
    <e v="#N/A"/>
  </r>
  <r>
    <n v="2019"/>
    <d v="2016-01-21T11:44:33"/>
    <d v="2016-01-21T11:59:32"/>
    <x v="2"/>
    <m/>
    <m/>
    <x v="0"/>
    <n v="70804"/>
    <n v="0"/>
    <d v="2016-01-21T12:02:31"/>
    <n v="11.59"/>
    <x v="1"/>
    <n v="1"/>
    <n v="1.7"/>
    <n v="0"/>
    <n v="0"/>
    <n v="1.7"/>
    <x v="0"/>
    <x v="0"/>
    <x v="0"/>
    <x v="0"/>
    <n v="10"/>
    <e v="#N/A"/>
    <e v="#N/A"/>
  </r>
  <r>
    <n v="2020"/>
    <d v="2016-01-21T11:42:07"/>
    <d v="2016-01-21T11:57:06"/>
    <x v="1"/>
    <m/>
    <m/>
    <x v="1"/>
    <n v="70803"/>
    <n v="2.25872962276279"/>
    <d v="2016-01-21T12:08:23"/>
    <n v="15.35"/>
    <x v="800"/>
    <n v="1"/>
    <n v="2.2999999999999998"/>
    <n v="0"/>
    <n v="0"/>
    <n v="2.2999999999999998"/>
    <x v="787"/>
    <x v="0"/>
    <x v="1016"/>
    <x v="578"/>
    <n v="14"/>
    <e v="#N/A"/>
    <e v="#N/A"/>
  </r>
  <r>
    <n v="2021"/>
    <d v="2016-01-21T10:32:55"/>
    <d v="2016-01-21T10:47:55"/>
    <x v="2"/>
    <m/>
    <m/>
    <x v="1"/>
    <n v="70805"/>
    <n v="3.12995866344622"/>
    <d v="2016-01-21T11:03:33"/>
    <n v="11.59"/>
    <x v="126"/>
    <n v="1"/>
    <n v="1.7"/>
    <n v="0"/>
    <n v="0"/>
    <n v="1.7"/>
    <x v="116"/>
    <x v="0"/>
    <x v="1017"/>
    <x v="579"/>
    <n v="10"/>
    <e v="#N/A"/>
    <e v="#N/A"/>
  </r>
  <r>
    <n v="2022"/>
    <d v="2016-01-21T11:30:09"/>
    <d v="2016-01-21T11:45:09"/>
    <x v="0"/>
    <s v="Medium"/>
    <m/>
    <x v="0"/>
    <n v="70805"/>
    <n v="0"/>
    <d v="2016-01-21T11:48:07"/>
    <n v="19.579999999999998"/>
    <x v="0"/>
    <n v="2"/>
    <n v="1"/>
    <n v="1.7"/>
    <n v="0"/>
    <n v="2.7"/>
    <x v="0"/>
    <x v="0"/>
    <x v="0"/>
    <x v="0"/>
    <n v="7"/>
    <n v="10"/>
    <e v="#N/A"/>
  </r>
  <r>
    <n v="2023"/>
    <d v="2016-01-21T11:27:22"/>
    <d v="2016-01-21T11:42:20"/>
    <x v="1"/>
    <m/>
    <m/>
    <x v="0"/>
    <n v="70806"/>
    <n v="0"/>
    <d v="2016-01-21T11:45:21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2024"/>
    <d v="2016-01-21T12:07:26"/>
    <d v="2016-01-21T12:22:25"/>
    <x v="2"/>
    <m/>
    <m/>
    <x v="1"/>
    <n v="70806"/>
    <n v="2.5754296662947702"/>
    <d v="2016-01-21T12:35:17"/>
    <n v="11.59"/>
    <x v="16"/>
    <n v="1"/>
    <n v="1.7"/>
    <n v="0"/>
    <n v="0"/>
    <n v="1.7"/>
    <x v="13"/>
    <x v="0"/>
    <x v="1018"/>
    <x v="580"/>
    <n v="10"/>
    <e v="#N/A"/>
    <e v="#N/A"/>
  </r>
  <r>
    <n v="2025"/>
    <d v="2016-01-21T10:53:46"/>
    <d v="2016-01-21T11:08:46"/>
    <x v="1"/>
    <m/>
    <m/>
    <x v="1"/>
    <n v="70805"/>
    <n v="4.0571650794087901"/>
    <d v="2016-01-21T11:29:03"/>
    <n v="15.35"/>
    <x v="801"/>
    <n v="1"/>
    <n v="2.2999999999999998"/>
    <n v="0"/>
    <n v="0"/>
    <n v="2.2999999999999998"/>
    <x v="788"/>
    <x v="1"/>
    <x v="1019"/>
    <x v="0"/>
    <n v="14"/>
    <e v="#N/A"/>
    <e v="#N/A"/>
  </r>
  <r>
    <n v="2026"/>
    <d v="2016-01-21T10:14:51"/>
    <d v="2016-01-21T10:29:52"/>
    <x v="2"/>
    <m/>
    <m/>
    <x v="0"/>
    <n v="70808"/>
    <n v="0"/>
    <d v="2016-01-21T10:32:54"/>
    <n v="11.59"/>
    <x v="67"/>
    <n v="1"/>
    <n v="1.7"/>
    <n v="0"/>
    <n v="0"/>
    <n v="1.7"/>
    <x v="0"/>
    <x v="0"/>
    <x v="0"/>
    <x v="0"/>
    <n v="10"/>
    <e v="#N/A"/>
    <e v="#N/A"/>
  </r>
  <r>
    <n v="2027"/>
    <d v="2016-01-21T11:45:19"/>
    <d v="2016-01-21T12:00:19"/>
    <x v="0"/>
    <s v="Medium"/>
    <m/>
    <x v="1"/>
    <n v="70804"/>
    <n v="3.1394982652629402"/>
    <d v="2016-01-21T12:16:00"/>
    <n v="19.579999999999998"/>
    <x v="574"/>
    <n v="2"/>
    <n v="1"/>
    <n v="1.7"/>
    <n v="0"/>
    <n v="2.7"/>
    <x v="561"/>
    <x v="0"/>
    <x v="1020"/>
    <x v="581"/>
    <n v="7"/>
    <n v="10"/>
    <e v="#N/A"/>
  </r>
  <r>
    <n v="2028"/>
    <d v="2016-01-21T12:19:17"/>
    <d v="2016-01-21T12:34:18"/>
    <x v="0"/>
    <m/>
    <m/>
    <x v="0"/>
    <n v="70805"/>
    <n v="0"/>
    <d v="2016-01-21T12:37:19"/>
    <n v="7.99"/>
    <x v="56"/>
    <n v="1"/>
    <n v="1"/>
    <n v="0"/>
    <n v="0"/>
    <n v="1"/>
    <x v="0"/>
    <x v="0"/>
    <x v="0"/>
    <x v="0"/>
    <n v="7"/>
    <e v="#N/A"/>
    <e v="#N/A"/>
  </r>
  <r>
    <n v="2029"/>
    <d v="2016-01-21T13:54:13"/>
    <d v="2016-01-21T14:09:13"/>
    <x v="1"/>
    <m/>
    <m/>
    <x v="1"/>
    <n v="70807"/>
    <n v="4.5867279600218902"/>
    <d v="2016-01-21T14:32:09"/>
    <n v="15.35"/>
    <x v="802"/>
    <n v="1"/>
    <n v="2.2999999999999998"/>
    <n v="0"/>
    <n v="0"/>
    <n v="2.2999999999999998"/>
    <x v="789"/>
    <x v="1"/>
    <x v="1021"/>
    <x v="0"/>
    <n v="14"/>
    <e v="#N/A"/>
    <e v="#N/A"/>
  </r>
  <r>
    <n v="2030"/>
    <d v="2016-01-21T11:43:42"/>
    <d v="2016-01-21T11:58:42"/>
    <x v="0"/>
    <s v="Medium"/>
    <m/>
    <x v="0"/>
    <n v="70804"/>
    <n v="0"/>
    <d v="2016-01-21T12:01:41"/>
    <n v="19.579999999999998"/>
    <x v="24"/>
    <n v="2"/>
    <n v="1"/>
    <n v="1.7"/>
    <n v="0"/>
    <n v="2.7"/>
    <x v="0"/>
    <x v="0"/>
    <x v="0"/>
    <x v="0"/>
    <n v="7"/>
    <n v="10"/>
    <e v="#N/A"/>
  </r>
  <r>
    <n v="2031"/>
    <d v="2016-01-21T13:40:07"/>
    <d v="2016-01-21T13:55:07"/>
    <x v="2"/>
    <m/>
    <m/>
    <x v="0"/>
    <n v="70806"/>
    <n v="0"/>
    <d v="2016-01-21T13:58:08"/>
    <n v="11.59"/>
    <x v="56"/>
    <n v="1"/>
    <n v="1.7"/>
    <n v="0"/>
    <n v="0"/>
    <n v="1.7"/>
    <x v="0"/>
    <x v="0"/>
    <x v="0"/>
    <x v="0"/>
    <n v="10"/>
    <e v="#N/A"/>
    <e v="#N/A"/>
  </r>
  <r>
    <n v="2032"/>
    <d v="2016-01-21T11:40:16"/>
    <d v="2016-01-21T11:55:13"/>
    <x v="2"/>
    <m/>
    <m/>
    <x v="0"/>
    <n v="70803"/>
    <n v="0"/>
    <d v="2016-01-21T11:58:12"/>
    <n v="11.59"/>
    <x v="24"/>
    <n v="1"/>
    <n v="1.7"/>
    <n v="0"/>
    <n v="0"/>
    <n v="1.7"/>
    <x v="0"/>
    <x v="0"/>
    <x v="0"/>
    <x v="0"/>
    <n v="10"/>
    <e v="#N/A"/>
    <e v="#N/A"/>
  </r>
  <r>
    <n v="2033"/>
    <d v="2016-01-21T12:06:53"/>
    <d v="2016-01-21T12:21:52"/>
    <x v="0"/>
    <m/>
    <m/>
    <x v="0"/>
    <n v="70806"/>
    <n v="0"/>
    <d v="2016-01-21T12:24:50"/>
    <n v="7.99"/>
    <x v="0"/>
    <n v="1"/>
    <n v="1"/>
    <n v="0"/>
    <n v="0"/>
    <n v="1"/>
    <x v="0"/>
    <x v="0"/>
    <x v="0"/>
    <x v="0"/>
    <n v="7"/>
    <e v="#N/A"/>
    <e v="#N/A"/>
  </r>
  <r>
    <n v="2034"/>
    <d v="2016-01-21T11:36:36"/>
    <d v="2016-01-21T11:51:36"/>
    <x v="1"/>
    <m/>
    <m/>
    <x v="1"/>
    <n v="70803"/>
    <n v="2.0293519491750001"/>
    <d v="2016-01-21T12:01:44"/>
    <n v="15.35"/>
    <x v="663"/>
    <n v="1"/>
    <n v="2.2999999999999998"/>
    <n v="0"/>
    <n v="0"/>
    <n v="2.2999999999999998"/>
    <x v="650"/>
    <x v="0"/>
    <x v="1022"/>
    <x v="582"/>
    <n v="14"/>
    <e v="#N/A"/>
    <e v="#N/A"/>
  </r>
  <r>
    <n v="2035"/>
    <d v="2016-01-21T12:27:01"/>
    <d v="2016-01-21T12:42:00"/>
    <x v="0"/>
    <s v="Large"/>
    <m/>
    <x v="0"/>
    <n v="70804"/>
    <n v="0"/>
    <d v="2016-01-21T12:45:00"/>
    <n v="23.34"/>
    <x v="2"/>
    <n v="2"/>
    <n v="1"/>
    <n v="2.2999999999999998"/>
    <n v="0"/>
    <n v="3.3"/>
    <x v="0"/>
    <x v="0"/>
    <x v="0"/>
    <x v="0"/>
    <n v="7"/>
    <n v="14"/>
    <e v="#N/A"/>
  </r>
  <r>
    <n v="2036"/>
    <d v="2016-01-21T13:25:28"/>
    <d v="2016-01-21T13:40:29"/>
    <x v="0"/>
    <m/>
    <m/>
    <x v="0"/>
    <n v="70804"/>
    <n v="0"/>
    <d v="2016-01-21T13:43:28"/>
    <n v="7.99"/>
    <x v="1"/>
    <n v="1"/>
    <n v="1"/>
    <n v="0"/>
    <n v="0"/>
    <n v="1"/>
    <x v="0"/>
    <x v="0"/>
    <x v="0"/>
    <x v="0"/>
    <n v="7"/>
    <e v="#N/A"/>
    <e v="#N/A"/>
  </r>
  <r>
    <n v="2037"/>
    <d v="2016-01-21T12:05:22"/>
    <d v="2016-01-21T12:20:22"/>
    <x v="2"/>
    <m/>
    <m/>
    <x v="1"/>
    <n v="70805"/>
    <n v="4.2179285585447301"/>
    <d v="2016-01-21T12:41:27"/>
    <n v="11.59"/>
    <x v="803"/>
    <n v="1"/>
    <n v="1.7"/>
    <n v="0"/>
    <n v="0"/>
    <n v="1.7"/>
    <x v="790"/>
    <x v="1"/>
    <x v="1023"/>
    <x v="0"/>
    <n v="10"/>
    <e v="#N/A"/>
    <e v="#N/A"/>
  </r>
  <r>
    <n v="2038"/>
    <d v="2016-01-21T13:47:55"/>
    <d v="2016-01-21T14:02:54"/>
    <x v="2"/>
    <m/>
    <m/>
    <x v="0"/>
    <n v="70804"/>
    <n v="0"/>
    <d v="2016-01-21T14:05:53"/>
    <n v="11.59"/>
    <x v="24"/>
    <n v="1"/>
    <n v="1.7"/>
    <n v="0"/>
    <n v="0"/>
    <n v="1.7"/>
    <x v="0"/>
    <x v="0"/>
    <x v="0"/>
    <x v="0"/>
    <n v="10"/>
    <e v="#N/A"/>
    <e v="#N/A"/>
  </r>
  <r>
    <n v="2039"/>
    <d v="2016-01-21T12:17:15"/>
    <d v="2016-01-21T12:32:14"/>
    <x v="1"/>
    <m/>
    <m/>
    <x v="0"/>
    <n v="70805"/>
    <n v="0"/>
    <d v="2016-01-21T12:35:14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2040"/>
    <d v="2016-01-21T11:27:32"/>
    <d v="2016-01-21T11:42:31"/>
    <x v="0"/>
    <m/>
    <m/>
    <x v="0"/>
    <n v="70804"/>
    <n v="0"/>
    <d v="2016-01-21T11:45:33"/>
    <n v="7.99"/>
    <x v="67"/>
    <n v="1"/>
    <n v="1"/>
    <n v="0"/>
    <n v="0"/>
    <n v="1"/>
    <x v="0"/>
    <x v="0"/>
    <x v="0"/>
    <x v="0"/>
    <n v="7"/>
    <e v="#N/A"/>
    <e v="#N/A"/>
  </r>
  <r>
    <n v="2041"/>
    <d v="2016-01-21T10:48:55"/>
    <d v="2016-01-21T11:03:56"/>
    <x v="0"/>
    <s v="Medium"/>
    <m/>
    <x v="0"/>
    <n v="70805"/>
    <n v="0"/>
    <d v="2016-01-21T11:06:56"/>
    <n v="19.579999999999998"/>
    <x v="2"/>
    <n v="2"/>
    <n v="1"/>
    <n v="1.7"/>
    <n v="0"/>
    <n v="2.7"/>
    <x v="0"/>
    <x v="0"/>
    <x v="0"/>
    <x v="0"/>
    <n v="7"/>
    <n v="10"/>
    <e v="#N/A"/>
  </r>
  <r>
    <n v="2042"/>
    <d v="2016-01-21T11:56:04"/>
    <d v="2016-01-21T12:11:03"/>
    <x v="1"/>
    <m/>
    <m/>
    <x v="1"/>
    <n v="70807"/>
    <n v="1.87188006232114"/>
    <d v="2016-01-21T12:20:24"/>
    <n v="15.35"/>
    <x v="804"/>
    <n v="1"/>
    <n v="2.2999999999999998"/>
    <n v="0"/>
    <n v="0"/>
    <n v="2.2999999999999998"/>
    <x v="791"/>
    <x v="0"/>
    <x v="1024"/>
    <x v="583"/>
    <n v="14"/>
    <e v="#N/A"/>
    <e v="#N/A"/>
  </r>
  <r>
    <n v="2043"/>
    <d v="2016-01-21T11:38:46"/>
    <d v="2016-01-21T11:53:45"/>
    <x v="2"/>
    <m/>
    <m/>
    <x v="0"/>
    <n v="70805"/>
    <n v="0"/>
    <d v="2016-01-21T11:56:46"/>
    <n v="11.59"/>
    <x v="14"/>
    <n v="1"/>
    <n v="1.7"/>
    <n v="0"/>
    <n v="0"/>
    <n v="1.7"/>
    <x v="0"/>
    <x v="0"/>
    <x v="0"/>
    <x v="0"/>
    <n v="10"/>
    <e v="#N/A"/>
    <e v="#N/A"/>
  </r>
  <r>
    <n v="2044"/>
    <d v="2016-01-21T11:16:49"/>
    <d v="2016-01-21T11:31:47"/>
    <x v="0"/>
    <m/>
    <m/>
    <x v="1"/>
    <n v="70804"/>
    <n v="3.9478278452026201"/>
    <d v="2016-01-21T11:51:31"/>
    <n v="7.99"/>
    <x v="26"/>
    <n v="1"/>
    <n v="1"/>
    <n v="0"/>
    <n v="0"/>
    <n v="1"/>
    <x v="20"/>
    <x v="1"/>
    <x v="1025"/>
    <x v="0"/>
    <n v="7"/>
    <e v="#N/A"/>
    <e v="#N/A"/>
  </r>
  <r>
    <n v="2045"/>
    <d v="2016-01-21T12:35:17"/>
    <d v="2016-01-21T12:50:16"/>
    <x v="0"/>
    <s v="Medium"/>
    <m/>
    <x v="1"/>
    <n v="70805"/>
    <n v="3.43770177497123"/>
    <d v="2016-01-21T13:07:27"/>
    <n v="19.579999999999998"/>
    <x v="805"/>
    <n v="2"/>
    <n v="1"/>
    <n v="1.7"/>
    <n v="0"/>
    <n v="2.7"/>
    <x v="792"/>
    <x v="1"/>
    <x v="1026"/>
    <x v="0"/>
    <n v="7"/>
    <n v="10"/>
    <e v="#N/A"/>
  </r>
  <r>
    <n v="2046"/>
    <d v="2016-01-21T11:36:36"/>
    <d v="2016-01-21T11:51:37"/>
    <x v="2"/>
    <m/>
    <m/>
    <x v="1"/>
    <n v="70806"/>
    <n v="2.3195936315727699"/>
    <d v="2016-01-21T12:03:12"/>
    <n v="11.59"/>
    <x v="806"/>
    <n v="1"/>
    <n v="1.7"/>
    <n v="0"/>
    <n v="0"/>
    <n v="1.7"/>
    <x v="793"/>
    <x v="0"/>
    <x v="1027"/>
    <x v="584"/>
    <n v="10"/>
    <e v="#N/A"/>
    <e v="#N/A"/>
  </r>
  <r>
    <n v="2047"/>
    <d v="2016-01-21T12:36:44"/>
    <d v="2016-01-21T12:51:44"/>
    <x v="0"/>
    <m/>
    <m/>
    <x v="0"/>
    <n v="70804"/>
    <n v="0"/>
    <d v="2016-01-21T12:54:45"/>
    <n v="7.99"/>
    <x v="56"/>
    <n v="1"/>
    <n v="1"/>
    <n v="0"/>
    <n v="0"/>
    <n v="1"/>
    <x v="0"/>
    <x v="0"/>
    <x v="0"/>
    <x v="0"/>
    <n v="7"/>
    <e v="#N/A"/>
    <e v="#N/A"/>
  </r>
  <r>
    <n v="2048"/>
    <d v="2016-01-21T12:22:58"/>
    <d v="2016-01-21T12:37:58"/>
    <x v="2"/>
    <m/>
    <m/>
    <x v="1"/>
    <n v="70805"/>
    <n v="4.3707849137213799"/>
    <d v="2016-01-21T12:59:49"/>
    <n v="11.59"/>
    <x v="807"/>
    <n v="1"/>
    <n v="1.7"/>
    <n v="0"/>
    <n v="0"/>
    <n v="1.7"/>
    <x v="794"/>
    <x v="1"/>
    <x v="1028"/>
    <x v="0"/>
    <n v="10"/>
    <e v="#N/A"/>
    <e v="#N/A"/>
  </r>
  <r>
    <n v="2049"/>
    <d v="2016-01-21T15:22:40"/>
    <d v="2016-01-21T15:37:39"/>
    <x v="1"/>
    <m/>
    <m/>
    <x v="0"/>
    <n v="70804"/>
    <n v="0"/>
    <d v="2016-01-21T15:40:38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2050"/>
    <d v="2016-01-21T13:10:23"/>
    <d v="2016-01-21T13:25:21"/>
    <x v="0"/>
    <s v="Medium"/>
    <m/>
    <x v="1"/>
    <n v="70804"/>
    <n v="5.0067128659502798"/>
    <d v="2016-01-21T13:50:23"/>
    <n v="19.579999999999998"/>
    <x v="808"/>
    <n v="2"/>
    <n v="1"/>
    <n v="1.7"/>
    <n v="0"/>
    <n v="2.7"/>
    <x v="795"/>
    <x v="1"/>
    <x v="1029"/>
    <x v="0"/>
    <n v="7"/>
    <n v="10"/>
    <e v="#N/A"/>
  </r>
  <r>
    <n v="2051"/>
    <d v="2016-01-21T11:51:30"/>
    <d v="2016-01-21T12:06:28"/>
    <x v="0"/>
    <m/>
    <m/>
    <x v="1"/>
    <n v="70805"/>
    <n v="4.8668332188969599"/>
    <d v="2016-01-21T12:30:48"/>
    <n v="7.99"/>
    <x v="809"/>
    <n v="1"/>
    <n v="1"/>
    <n v="0"/>
    <n v="0"/>
    <n v="1"/>
    <x v="796"/>
    <x v="1"/>
    <x v="1030"/>
    <x v="0"/>
    <n v="7"/>
    <e v="#N/A"/>
    <e v="#N/A"/>
  </r>
  <r>
    <n v="2052"/>
    <d v="2016-01-21T12:09:17"/>
    <d v="2016-01-21T12:24:17"/>
    <x v="1"/>
    <m/>
    <m/>
    <x v="0"/>
    <n v="70806"/>
    <n v="0"/>
    <d v="2016-01-21T12:27:15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2053"/>
    <d v="2016-01-21T12:35:13"/>
    <d v="2016-01-21T12:50:12"/>
    <x v="2"/>
    <m/>
    <m/>
    <x v="0"/>
    <n v="70805"/>
    <n v="0"/>
    <d v="2016-01-21T12:53:12"/>
    <n v="11.59"/>
    <x v="2"/>
    <n v="1"/>
    <n v="1.7"/>
    <n v="0"/>
    <n v="0"/>
    <n v="1.7"/>
    <x v="0"/>
    <x v="0"/>
    <x v="0"/>
    <x v="0"/>
    <n v="10"/>
    <e v="#N/A"/>
    <e v="#N/A"/>
  </r>
  <r>
    <n v="2054"/>
    <d v="2016-01-21T11:48:36"/>
    <d v="2016-01-21T12:03:36"/>
    <x v="0"/>
    <m/>
    <m/>
    <x v="1"/>
    <n v="70803"/>
    <n v="2.5241530889113299"/>
    <d v="2016-01-21T12:16:13"/>
    <n v="7.99"/>
    <x v="810"/>
    <n v="1"/>
    <n v="1"/>
    <n v="0"/>
    <n v="0"/>
    <n v="1"/>
    <x v="797"/>
    <x v="0"/>
    <x v="1031"/>
    <x v="585"/>
    <n v="7"/>
    <e v="#N/A"/>
    <e v="#N/A"/>
  </r>
  <r>
    <n v="2055"/>
    <d v="2016-01-21T11:34:23"/>
    <d v="2016-01-21T11:49:22"/>
    <x v="2"/>
    <m/>
    <m/>
    <x v="0"/>
    <n v="70804"/>
    <n v="0"/>
    <d v="2016-01-21T11:52:21"/>
    <n v="11.59"/>
    <x v="1"/>
    <n v="1"/>
    <n v="1.7"/>
    <n v="0"/>
    <n v="0"/>
    <n v="1.7"/>
    <x v="0"/>
    <x v="0"/>
    <x v="0"/>
    <x v="0"/>
    <n v="10"/>
    <e v="#N/A"/>
    <e v="#N/A"/>
  </r>
  <r>
    <n v="2056"/>
    <d v="2016-01-21T12:57:35"/>
    <d v="2016-01-21T13:12:35"/>
    <x v="1"/>
    <m/>
    <m/>
    <x v="0"/>
    <n v="70806"/>
    <n v="0"/>
    <d v="2016-01-21T13:15:35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2057"/>
    <d v="2016-01-21T12:11:08"/>
    <d v="2016-01-21T12:26:08"/>
    <x v="0"/>
    <m/>
    <m/>
    <x v="1"/>
    <n v="70805"/>
    <n v="2.6825413353899599"/>
    <d v="2016-01-21T12:39:32"/>
    <n v="7.99"/>
    <x v="811"/>
    <n v="1"/>
    <n v="1"/>
    <n v="0"/>
    <n v="0"/>
    <n v="1"/>
    <x v="798"/>
    <x v="0"/>
    <x v="1032"/>
    <x v="586"/>
    <n v="7"/>
    <e v="#N/A"/>
    <e v="#N/A"/>
  </r>
  <r>
    <n v="2058"/>
    <d v="2016-01-21T10:27:33"/>
    <d v="2016-01-21T10:42:32"/>
    <x v="1"/>
    <m/>
    <m/>
    <x v="1"/>
    <n v="70804"/>
    <n v="2.8275663199738399"/>
    <d v="2016-01-21T10:56:40"/>
    <n v="15.35"/>
    <x v="812"/>
    <n v="1"/>
    <n v="2.2999999999999998"/>
    <n v="0"/>
    <n v="0"/>
    <n v="2.2999999999999998"/>
    <x v="799"/>
    <x v="0"/>
    <x v="1033"/>
    <x v="587"/>
    <n v="14"/>
    <e v="#N/A"/>
    <e v="#N/A"/>
  </r>
  <r>
    <n v="2059"/>
    <d v="2016-01-21T11:15:33"/>
    <d v="2016-01-21T11:30:33"/>
    <x v="1"/>
    <m/>
    <m/>
    <x v="0"/>
    <n v="70806"/>
    <n v="0"/>
    <d v="2016-01-21T11:33:33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2060"/>
    <d v="2016-01-21T11:59:29"/>
    <d v="2016-01-21T12:14:28"/>
    <x v="2"/>
    <m/>
    <m/>
    <x v="0"/>
    <n v="70804"/>
    <n v="0"/>
    <d v="2016-01-21T12:17:27"/>
    <n v="11.59"/>
    <x v="1"/>
    <n v="1"/>
    <n v="1.7"/>
    <n v="0"/>
    <n v="0"/>
    <n v="1.7"/>
    <x v="0"/>
    <x v="0"/>
    <x v="0"/>
    <x v="0"/>
    <n v="10"/>
    <e v="#N/A"/>
    <e v="#N/A"/>
  </r>
  <r>
    <n v="2061"/>
    <d v="2016-01-21T13:34:18"/>
    <d v="2016-01-21T13:49:18"/>
    <x v="1"/>
    <m/>
    <m/>
    <x v="0"/>
    <n v="70805"/>
    <n v="0"/>
    <d v="2016-01-21T13:52:17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2062"/>
    <d v="2016-01-21T11:19:21"/>
    <d v="2016-01-21T11:34:20"/>
    <x v="2"/>
    <m/>
    <m/>
    <x v="1"/>
    <n v="70805"/>
    <n v="2.3307487865939698"/>
    <d v="2016-01-21T11:45:59"/>
    <n v="11.59"/>
    <x v="356"/>
    <n v="1"/>
    <n v="1.7"/>
    <n v="0"/>
    <n v="0"/>
    <n v="1.7"/>
    <x v="343"/>
    <x v="0"/>
    <x v="1034"/>
    <x v="588"/>
    <n v="10"/>
    <e v="#N/A"/>
    <e v="#N/A"/>
  </r>
  <r>
    <n v="2063"/>
    <d v="2016-01-21T11:23:31"/>
    <d v="2016-01-21T11:38:31"/>
    <x v="0"/>
    <m/>
    <m/>
    <x v="1"/>
    <n v="70804"/>
    <n v="5.2658011433759899"/>
    <d v="2016-01-21T12:04:50"/>
    <n v="7.99"/>
    <x v="813"/>
    <n v="1"/>
    <n v="1"/>
    <n v="0"/>
    <n v="0"/>
    <n v="1"/>
    <x v="800"/>
    <x v="1"/>
    <x v="1035"/>
    <x v="0"/>
    <n v="7"/>
    <e v="#N/A"/>
    <e v="#N/A"/>
  </r>
  <r>
    <n v="2064"/>
    <d v="2016-01-21T11:48:17"/>
    <d v="2016-01-21T12:03:18"/>
    <x v="0"/>
    <s v="Medium"/>
    <m/>
    <x v="0"/>
    <n v="70806"/>
    <n v="0"/>
    <d v="2016-01-21T12:06:18"/>
    <n v="19.579999999999998"/>
    <x v="2"/>
    <n v="2"/>
    <n v="1"/>
    <n v="1.7"/>
    <n v="0"/>
    <n v="2.7"/>
    <x v="0"/>
    <x v="0"/>
    <x v="0"/>
    <x v="0"/>
    <n v="7"/>
    <n v="10"/>
    <e v="#N/A"/>
  </r>
  <r>
    <n v="2065"/>
    <d v="2016-01-21T11:10:43"/>
    <d v="2016-01-21T11:25:43"/>
    <x v="0"/>
    <s v="Large"/>
    <m/>
    <x v="1"/>
    <n v="70805"/>
    <n v="3.52416418345739"/>
    <d v="2016-01-21T11:43:20"/>
    <n v="23.34"/>
    <x v="686"/>
    <n v="2"/>
    <n v="1"/>
    <n v="2.2999999999999998"/>
    <n v="0"/>
    <n v="3.3"/>
    <x v="673"/>
    <x v="1"/>
    <x v="1036"/>
    <x v="0"/>
    <n v="7"/>
    <n v="14"/>
    <e v="#N/A"/>
  </r>
  <r>
    <n v="2066"/>
    <d v="2016-01-21T11:18:32"/>
    <d v="2016-01-21T11:33:31"/>
    <x v="0"/>
    <s v="Medium"/>
    <m/>
    <x v="0"/>
    <n v="70804"/>
    <n v="0"/>
    <d v="2016-01-21T11:36:30"/>
    <n v="19.579999999999998"/>
    <x v="24"/>
    <n v="2"/>
    <n v="1"/>
    <n v="1.7"/>
    <n v="0"/>
    <n v="2.7"/>
    <x v="0"/>
    <x v="0"/>
    <x v="0"/>
    <x v="0"/>
    <n v="7"/>
    <n v="10"/>
    <e v="#N/A"/>
  </r>
  <r>
    <n v="2067"/>
    <d v="2016-01-21T13:15:24"/>
    <d v="2016-01-21T13:30:24"/>
    <x v="0"/>
    <m/>
    <m/>
    <x v="1"/>
    <n v="70805"/>
    <n v="2.1248520612310502"/>
    <d v="2016-01-21T13:41:01"/>
    <n v="7.99"/>
    <x v="220"/>
    <n v="1"/>
    <n v="1"/>
    <n v="0"/>
    <n v="0"/>
    <n v="1"/>
    <x v="208"/>
    <x v="0"/>
    <x v="1037"/>
    <x v="589"/>
    <n v="7"/>
    <e v="#N/A"/>
    <e v="#N/A"/>
  </r>
  <r>
    <n v="2068"/>
    <d v="2016-01-21T11:41:18"/>
    <d v="2016-01-21T11:56:17"/>
    <x v="1"/>
    <m/>
    <m/>
    <x v="1"/>
    <n v="70804"/>
    <n v="3.7436517827125799"/>
    <d v="2016-01-21T12:15:00"/>
    <n v="15.35"/>
    <x v="498"/>
    <n v="1"/>
    <n v="2.2999999999999998"/>
    <n v="0"/>
    <n v="0"/>
    <n v="2.2999999999999998"/>
    <x v="485"/>
    <x v="1"/>
    <x v="1038"/>
    <x v="0"/>
    <n v="14"/>
    <e v="#N/A"/>
    <e v="#N/A"/>
  </r>
  <r>
    <n v="2069"/>
    <d v="2016-01-21T13:58:03"/>
    <d v="2016-01-21T14:13:01"/>
    <x v="1"/>
    <m/>
    <m/>
    <x v="0"/>
    <n v="70808"/>
    <n v="0"/>
    <d v="2016-01-21T14:16:01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2070"/>
    <d v="2016-01-21T11:51:34"/>
    <d v="2016-01-21T12:06:35"/>
    <x v="2"/>
    <s v="Large"/>
    <m/>
    <x v="0"/>
    <n v="70805"/>
    <n v="0"/>
    <d v="2016-01-21T12:09:36"/>
    <n v="25.94"/>
    <x v="14"/>
    <n v="2"/>
    <n v="1.7"/>
    <n v="2.2999999999999998"/>
    <n v="0"/>
    <n v="4"/>
    <x v="0"/>
    <x v="0"/>
    <x v="0"/>
    <x v="0"/>
    <n v="10"/>
    <n v="14"/>
    <e v="#N/A"/>
  </r>
  <r>
    <n v="2071"/>
    <d v="2016-01-21T13:27:18"/>
    <d v="2016-01-21T13:42:17"/>
    <x v="0"/>
    <s v="Medium"/>
    <m/>
    <x v="1"/>
    <n v="70804"/>
    <n v="3.0927062976490198"/>
    <d v="2016-01-21T13:57:44"/>
    <n v="19.579999999999998"/>
    <x v="814"/>
    <n v="2"/>
    <n v="1"/>
    <n v="1.7"/>
    <n v="0"/>
    <n v="2.7"/>
    <x v="801"/>
    <x v="0"/>
    <x v="1039"/>
    <x v="590"/>
    <n v="7"/>
    <n v="10"/>
    <e v="#N/A"/>
  </r>
  <r>
    <n v="2072"/>
    <d v="2016-01-21T11:57:07"/>
    <d v="2016-01-21T12:12:06"/>
    <x v="0"/>
    <s v="Large"/>
    <m/>
    <x v="0"/>
    <n v="70805"/>
    <n v="0"/>
    <d v="2016-01-21T12:15:04"/>
    <n v="23.34"/>
    <x v="0"/>
    <n v="2"/>
    <n v="1"/>
    <n v="2.2999999999999998"/>
    <n v="0"/>
    <n v="3.3"/>
    <x v="0"/>
    <x v="0"/>
    <x v="0"/>
    <x v="0"/>
    <n v="7"/>
    <n v="14"/>
    <e v="#N/A"/>
  </r>
  <r>
    <n v="2073"/>
    <d v="2016-01-21T11:31:31"/>
    <d v="2016-01-21T11:46:31"/>
    <x v="2"/>
    <m/>
    <m/>
    <x v="0"/>
    <n v="70807"/>
    <n v="0"/>
    <d v="2016-01-21T11:49:32"/>
    <n v="11.59"/>
    <x v="14"/>
    <n v="1"/>
    <n v="1.7"/>
    <n v="0"/>
    <n v="0"/>
    <n v="1.7"/>
    <x v="0"/>
    <x v="0"/>
    <x v="0"/>
    <x v="0"/>
    <n v="10"/>
    <e v="#N/A"/>
    <e v="#N/A"/>
  </r>
  <r>
    <n v="2074"/>
    <d v="2016-01-21T12:15:10"/>
    <d v="2016-01-21T12:30:10"/>
    <x v="1"/>
    <m/>
    <m/>
    <x v="1"/>
    <n v="70804"/>
    <n v="5.0865604333499697"/>
    <d v="2016-01-21T12:55:35"/>
    <n v="15.35"/>
    <x v="815"/>
    <n v="1"/>
    <n v="2.2999999999999998"/>
    <n v="0"/>
    <n v="0"/>
    <n v="2.2999999999999998"/>
    <x v="802"/>
    <x v="1"/>
    <x v="1040"/>
    <x v="0"/>
    <n v="14"/>
    <e v="#N/A"/>
    <e v="#N/A"/>
  </r>
  <r>
    <n v="2075"/>
    <d v="2016-01-21T13:41:40"/>
    <d v="2016-01-21T13:56:39"/>
    <x v="0"/>
    <s v="Medium"/>
    <m/>
    <x v="0"/>
    <n v="70803"/>
    <n v="0"/>
    <d v="2016-01-21T13:59:38"/>
    <n v="19.579999999999998"/>
    <x v="1"/>
    <n v="2"/>
    <n v="1"/>
    <n v="1.7"/>
    <n v="0"/>
    <n v="2.7"/>
    <x v="0"/>
    <x v="0"/>
    <x v="0"/>
    <x v="0"/>
    <n v="7"/>
    <n v="10"/>
    <e v="#N/A"/>
  </r>
  <r>
    <n v="2076"/>
    <d v="2016-01-21T13:30:58"/>
    <d v="2016-01-21T13:45:58"/>
    <x v="0"/>
    <m/>
    <m/>
    <x v="1"/>
    <n v="70806"/>
    <n v="6.2990768675959403"/>
    <d v="2016-01-21T14:17:27"/>
    <n v="7.99"/>
    <x v="816"/>
    <n v="1"/>
    <n v="1"/>
    <n v="0"/>
    <n v="0"/>
    <n v="1"/>
    <x v="803"/>
    <x v="1"/>
    <x v="1041"/>
    <x v="0"/>
    <n v="7"/>
    <e v="#N/A"/>
    <e v="#N/A"/>
  </r>
  <r>
    <n v="2077"/>
    <d v="2016-01-21T13:40:43"/>
    <d v="2016-01-21T13:55:43"/>
    <x v="0"/>
    <m/>
    <m/>
    <x v="1"/>
    <n v="70806"/>
    <n v="1.5177486339916799"/>
    <d v="2016-01-21T14:03:18"/>
    <n v="7.99"/>
    <x v="637"/>
    <n v="1"/>
    <n v="1"/>
    <n v="0"/>
    <n v="0"/>
    <n v="1"/>
    <x v="624"/>
    <x v="0"/>
    <x v="1042"/>
    <x v="591"/>
    <n v="7"/>
    <e v="#N/A"/>
    <e v="#N/A"/>
  </r>
  <r>
    <n v="2078"/>
    <d v="2016-01-21T13:29:50"/>
    <d v="2016-01-21T13:44:50"/>
    <x v="0"/>
    <m/>
    <m/>
    <x v="1"/>
    <n v="70803"/>
    <n v="2.0417105830198401"/>
    <d v="2016-01-21T13:55:02"/>
    <n v="7.99"/>
    <x v="706"/>
    <n v="1"/>
    <n v="1"/>
    <n v="0"/>
    <n v="0"/>
    <n v="1"/>
    <x v="693"/>
    <x v="0"/>
    <x v="1043"/>
    <x v="592"/>
    <n v="7"/>
    <e v="#N/A"/>
    <e v="#N/A"/>
  </r>
  <r>
    <n v="2079"/>
    <d v="2016-01-21T12:36:50"/>
    <d v="2016-01-21T12:51:50"/>
    <x v="1"/>
    <m/>
    <m/>
    <x v="0"/>
    <n v="70806"/>
    <n v="0"/>
    <d v="2016-01-21T12:54:48"/>
    <n v="15.35"/>
    <x v="19"/>
    <n v="1"/>
    <n v="2.2999999999999998"/>
    <n v="0"/>
    <n v="0"/>
    <n v="2.2999999999999998"/>
    <x v="0"/>
    <x v="0"/>
    <x v="0"/>
    <x v="0"/>
    <n v="14"/>
    <e v="#N/A"/>
    <e v="#N/A"/>
  </r>
  <r>
    <n v="2080"/>
    <d v="2016-01-21T11:40:49"/>
    <d v="2016-01-21T11:55:49"/>
    <x v="2"/>
    <m/>
    <m/>
    <x v="1"/>
    <n v="70805"/>
    <n v="2.8847942332361298"/>
    <d v="2016-01-21T12:10:14"/>
    <n v="11.59"/>
    <x v="817"/>
    <n v="1"/>
    <n v="1.7"/>
    <n v="0"/>
    <n v="0"/>
    <n v="1.7"/>
    <x v="804"/>
    <x v="0"/>
    <x v="1044"/>
    <x v="593"/>
    <n v="10"/>
    <e v="#N/A"/>
    <e v="#N/A"/>
  </r>
  <r>
    <n v="2081"/>
    <d v="2016-01-21T12:31:11"/>
    <d v="2016-01-21T12:46:11"/>
    <x v="0"/>
    <s v="Medium"/>
    <m/>
    <x v="0"/>
    <n v="70804"/>
    <n v="0"/>
    <d v="2016-01-21T12:49:10"/>
    <n v="19.579999999999998"/>
    <x v="24"/>
    <n v="2"/>
    <n v="1"/>
    <n v="1.7"/>
    <n v="0"/>
    <n v="2.7"/>
    <x v="0"/>
    <x v="0"/>
    <x v="0"/>
    <x v="0"/>
    <n v="7"/>
    <n v="10"/>
    <e v="#N/A"/>
  </r>
  <r>
    <n v="2082"/>
    <d v="2016-01-21T11:26:27"/>
    <d v="2016-01-21T11:41:26"/>
    <x v="0"/>
    <s v="Medium"/>
    <m/>
    <x v="0"/>
    <n v="70804"/>
    <n v="0"/>
    <d v="2016-01-21T11:44:25"/>
    <n v="19.579999999999998"/>
    <x v="1"/>
    <n v="2"/>
    <n v="1"/>
    <n v="1.7"/>
    <n v="0"/>
    <n v="2.7"/>
    <x v="0"/>
    <x v="0"/>
    <x v="0"/>
    <x v="0"/>
    <n v="7"/>
    <n v="10"/>
    <e v="#N/A"/>
  </r>
  <r>
    <n v="2083"/>
    <d v="2016-01-21T10:01:00"/>
    <d v="2016-01-21T10:16:00"/>
    <x v="1"/>
    <m/>
    <m/>
    <x v="1"/>
    <n v="70804"/>
    <n v="2.5076394118390302"/>
    <d v="2016-01-21T10:28:32"/>
    <n v="15.35"/>
    <x v="818"/>
    <n v="1"/>
    <n v="2.2999999999999998"/>
    <n v="0"/>
    <n v="0"/>
    <n v="2.2999999999999998"/>
    <x v="805"/>
    <x v="0"/>
    <x v="1045"/>
    <x v="594"/>
    <n v="14"/>
    <e v="#N/A"/>
    <e v="#N/A"/>
  </r>
  <r>
    <n v="2084"/>
    <d v="2016-01-21T12:05:37"/>
    <d v="2016-01-21T12:20:36"/>
    <x v="0"/>
    <s v="Medium"/>
    <m/>
    <x v="1"/>
    <n v="70805"/>
    <n v="2.7204291001177401"/>
    <d v="2016-01-21T12:34:12"/>
    <n v="19.579999999999998"/>
    <x v="624"/>
    <n v="2"/>
    <n v="1"/>
    <n v="1.7"/>
    <n v="0"/>
    <n v="2.7"/>
    <x v="611"/>
    <x v="0"/>
    <x v="1046"/>
    <x v="595"/>
    <n v="7"/>
    <n v="10"/>
    <e v="#N/A"/>
  </r>
  <r>
    <n v="2085"/>
    <d v="2016-01-21T13:19:12"/>
    <d v="2016-01-21T13:34:12"/>
    <x v="1"/>
    <m/>
    <m/>
    <x v="0"/>
    <n v="70803"/>
    <n v="0"/>
    <d v="2016-01-21T13:37:11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2086"/>
    <d v="2016-01-21T12:18:15"/>
    <d v="2016-01-21T12:33:15"/>
    <x v="2"/>
    <m/>
    <m/>
    <x v="0"/>
    <n v="70803"/>
    <n v="0"/>
    <d v="2016-01-21T12:36:16"/>
    <n v="11.59"/>
    <x v="14"/>
    <n v="1"/>
    <n v="1.7"/>
    <n v="0"/>
    <n v="0"/>
    <n v="1.7"/>
    <x v="0"/>
    <x v="0"/>
    <x v="0"/>
    <x v="0"/>
    <n v="10"/>
    <e v="#N/A"/>
    <e v="#N/A"/>
  </r>
  <r>
    <n v="2087"/>
    <d v="2016-01-21T11:02:22"/>
    <d v="2016-01-21T11:17:21"/>
    <x v="0"/>
    <m/>
    <m/>
    <x v="1"/>
    <n v="70803"/>
    <n v="2.6205593501892399"/>
    <d v="2016-01-21T11:30:27"/>
    <n v="7.99"/>
    <x v="819"/>
    <n v="1"/>
    <n v="1"/>
    <n v="0"/>
    <n v="0"/>
    <n v="1"/>
    <x v="806"/>
    <x v="0"/>
    <x v="1047"/>
    <x v="596"/>
    <n v="7"/>
    <e v="#N/A"/>
    <e v="#N/A"/>
  </r>
  <r>
    <n v="2088"/>
    <d v="2016-01-21T12:29:06"/>
    <d v="2016-01-21T12:44:03"/>
    <x v="1"/>
    <m/>
    <m/>
    <x v="1"/>
    <n v="70803"/>
    <n v="2.9156093567352901"/>
    <d v="2016-01-21T12:58:37"/>
    <n v="15.35"/>
    <x v="820"/>
    <n v="1"/>
    <n v="2.2999999999999998"/>
    <n v="0"/>
    <n v="0"/>
    <n v="2.2999999999999998"/>
    <x v="807"/>
    <x v="0"/>
    <x v="1048"/>
    <x v="597"/>
    <n v="14"/>
    <e v="#N/A"/>
    <e v="#N/A"/>
  </r>
  <r>
    <n v="2089"/>
    <d v="2016-01-21T11:33:10"/>
    <d v="2016-01-21T11:48:09"/>
    <x v="2"/>
    <m/>
    <m/>
    <x v="0"/>
    <n v="70806"/>
    <n v="0"/>
    <d v="2016-01-21T11:51:07"/>
    <n v="11.59"/>
    <x v="0"/>
    <n v="1"/>
    <n v="1.7"/>
    <n v="0"/>
    <n v="0"/>
    <n v="1.7"/>
    <x v="0"/>
    <x v="0"/>
    <x v="0"/>
    <x v="0"/>
    <n v="10"/>
    <e v="#N/A"/>
    <e v="#N/A"/>
  </r>
  <r>
    <n v="2090"/>
    <d v="2016-01-21T13:51:44"/>
    <d v="2016-01-21T14:06:44"/>
    <x v="1"/>
    <m/>
    <m/>
    <x v="0"/>
    <n v="70805"/>
    <n v="0"/>
    <d v="2016-01-21T14:09:44"/>
    <n v="15.35"/>
    <x v="63"/>
    <n v="1"/>
    <n v="2.2999999999999998"/>
    <n v="0"/>
    <n v="0"/>
    <n v="2.2999999999999998"/>
    <x v="0"/>
    <x v="0"/>
    <x v="0"/>
    <x v="0"/>
    <n v="14"/>
    <e v="#N/A"/>
    <e v="#N/A"/>
  </r>
  <r>
    <n v="2091"/>
    <d v="2016-01-21T12:55:48"/>
    <d v="2016-01-21T13:10:48"/>
    <x v="1"/>
    <m/>
    <m/>
    <x v="1"/>
    <n v="70808"/>
    <n v="3.77653131703961"/>
    <d v="2016-01-21T13:29:40"/>
    <n v="15.35"/>
    <x v="440"/>
    <n v="1"/>
    <n v="2.2999999999999998"/>
    <n v="0"/>
    <n v="0"/>
    <n v="2.2999999999999998"/>
    <x v="427"/>
    <x v="1"/>
    <x v="1049"/>
    <x v="0"/>
    <n v="14"/>
    <e v="#N/A"/>
    <e v="#N/A"/>
  </r>
  <r>
    <n v="2092"/>
    <d v="2016-01-21T10:31:47"/>
    <d v="2016-01-21T10:46:46"/>
    <x v="2"/>
    <m/>
    <m/>
    <x v="0"/>
    <n v="70804"/>
    <n v="0"/>
    <d v="2016-01-21T10:49:45"/>
    <n v="11.59"/>
    <x v="24"/>
    <n v="1"/>
    <n v="1.7"/>
    <n v="0"/>
    <n v="0"/>
    <n v="1.7"/>
    <x v="0"/>
    <x v="0"/>
    <x v="0"/>
    <x v="0"/>
    <n v="10"/>
    <e v="#N/A"/>
    <e v="#N/A"/>
  </r>
  <r>
    <n v="2093"/>
    <d v="2016-01-21T12:54:21"/>
    <d v="2016-01-21T13:09:21"/>
    <x v="1"/>
    <m/>
    <m/>
    <x v="1"/>
    <n v="70805"/>
    <n v="3.3494030175884402"/>
    <d v="2016-01-21T13:26:05"/>
    <n v="15.35"/>
    <x v="322"/>
    <n v="1"/>
    <n v="2.2999999999999998"/>
    <n v="0"/>
    <n v="0"/>
    <n v="2.2999999999999998"/>
    <x v="309"/>
    <x v="1"/>
    <x v="1050"/>
    <x v="0"/>
    <n v="14"/>
    <e v="#N/A"/>
    <e v="#N/A"/>
  </r>
  <r>
    <n v="2094"/>
    <d v="2016-01-22T11:16:15"/>
    <d v="2016-01-22T11:31:14"/>
    <x v="0"/>
    <s v="Medium"/>
    <m/>
    <x v="1"/>
    <n v="70804"/>
    <n v="2.7896203014833501"/>
    <d v="2016-01-22T11:45:10"/>
    <n v="19.579999999999998"/>
    <x v="379"/>
    <n v="2"/>
    <n v="1"/>
    <n v="1.7"/>
    <n v="0"/>
    <n v="2.7"/>
    <x v="366"/>
    <x v="0"/>
    <x v="1051"/>
    <x v="598"/>
    <n v="7"/>
    <n v="10"/>
    <e v="#N/A"/>
  </r>
  <r>
    <n v="2095"/>
    <d v="2016-01-22T13:33:49"/>
    <d v="2016-01-22T13:48:48"/>
    <x v="2"/>
    <m/>
    <m/>
    <x v="1"/>
    <n v="70803"/>
    <n v="3.4665316625446998"/>
    <d v="2016-01-22T14:06:07"/>
    <n v="11.59"/>
    <x v="821"/>
    <n v="1"/>
    <n v="1.7"/>
    <n v="0"/>
    <n v="0"/>
    <n v="1.7"/>
    <x v="808"/>
    <x v="1"/>
    <x v="1052"/>
    <x v="0"/>
    <n v="10"/>
    <e v="#N/A"/>
    <e v="#N/A"/>
  </r>
  <r>
    <n v="2096"/>
    <d v="2016-01-22T10:22:34"/>
    <d v="2016-01-22T10:37:33"/>
    <x v="0"/>
    <s v="Medium"/>
    <m/>
    <x v="0"/>
    <n v="70805"/>
    <n v="0"/>
    <d v="2016-01-22T10:40:34"/>
    <n v="19.579999999999998"/>
    <x v="56"/>
    <n v="2"/>
    <n v="1"/>
    <n v="1.7"/>
    <n v="0"/>
    <n v="2.7"/>
    <x v="0"/>
    <x v="0"/>
    <x v="0"/>
    <x v="0"/>
    <n v="7"/>
    <n v="10"/>
    <e v="#N/A"/>
  </r>
  <r>
    <n v="2097"/>
    <d v="2016-01-22T11:20:37"/>
    <d v="2016-01-22T11:35:39"/>
    <x v="1"/>
    <m/>
    <m/>
    <x v="0"/>
    <n v="70807"/>
    <n v="0"/>
    <d v="2016-01-22T11:38:40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2098"/>
    <d v="2016-01-22T11:16:09"/>
    <d v="2016-01-22T11:31:10"/>
    <x v="1"/>
    <m/>
    <m/>
    <x v="0"/>
    <n v="70806"/>
    <n v="0"/>
    <d v="2016-01-22T11:34:08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2099"/>
    <d v="2016-01-22T12:10:43"/>
    <d v="2016-01-22T12:25:43"/>
    <x v="0"/>
    <m/>
    <m/>
    <x v="0"/>
    <n v="70803"/>
    <n v="0"/>
    <d v="2016-01-22T12:28:44"/>
    <n v="7.99"/>
    <x v="14"/>
    <n v="1"/>
    <n v="1"/>
    <n v="0"/>
    <n v="0"/>
    <n v="1"/>
    <x v="0"/>
    <x v="0"/>
    <x v="0"/>
    <x v="0"/>
    <n v="7"/>
    <e v="#N/A"/>
    <e v="#N/A"/>
  </r>
  <r>
    <n v="2100"/>
    <d v="2016-01-22T10:53:10"/>
    <d v="2016-01-22T11:08:09"/>
    <x v="0"/>
    <s v="Medium"/>
    <m/>
    <x v="0"/>
    <n v="70807"/>
    <n v="0"/>
    <d v="2016-01-22T11:11:08"/>
    <n v="19.579999999999998"/>
    <x v="24"/>
    <n v="2"/>
    <n v="1"/>
    <n v="1.7"/>
    <n v="0"/>
    <n v="2.7"/>
    <x v="0"/>
    <x v="0"/>
    <x v="0"/>
    <x v="0"/>
    <n v="7"/>
    <n v="10"/>
    <e v="#N/A"/>
  </r>
  <r>
    <n v="2101"/>
    <d v="2016-01-22T11:09:33"/>
    <d v="2016-01-22T11:24:32"/>
    <x v="1"/>
    <m/>
    <m/>
    <x v="0"/>
    <n v="70805"/>
    <n v="0"/>
    <d v="2016-01-22T11:27:32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2102"/>
    <d v="2016-01-22T11:21:44"/>
    <d v="2016-01-22T11:36:43"/>
    <x v="0"/>
    <s v="Medium"/>
    <m/>
    <x v="0"/>
    <n v="70805"/>
    <n v="0"/>
    <d v="2016-01-22T11:39:42"/>
    <n v="19.579999999999998"/>
    <x v="1"/>
    <n v="2"/>
    <n v="1"/>
    <n v="1.7"/>
    <n v="0"/>
    <n v="2.7"/>
    <x v="0"/>
    <x v="0"/>
    <x v="0"/>
    <x v="0"/>
    <n v="7"/>
    <n v="10"/>
    <e v="#N/A"/>
  </r>
  <r>
    <n v="2103"/>
    <d v="2016-01-22T12:29:16"/>
    <d v="2016-01-22T12:44:15"/>
    <x v="0"/>
    <m/>
    <m/>
    <x v="0"/>
    <n v="70806"/>
    <n v="0"/>
    <d v="2016-01-22T12:47:16"/>
    <n v="7.99"/>
    <x v="56"/>
    <n v="1"/>
    <n v="1"/>
    <n v="0"/>
    <n v="0"/>
    <n v="1"/>
    <x v="0"/>
    <x v="0"/>
    <x v="0"/>
    <x v="0"/>
    <n v="7"/>
    <e v="#N/A"/>
    <e v="#N/A"/>
  </r>
  <r>
    <n v="2104"/>
    <d v="2016-01-22T11:29:51"/>
    <d v="2016-01-22T11:44:50"/>
    <x v="0"/>
    <m/>
    <m/>
    <x v="0"/>
    <n v="70803"/>
    <n v="0"/>
    <d v="2016-01-22T11:47:50"/>
    <n v="7.99"/>
    <x v="2"/>
    <n v="1"/>
    <n v="1"/>
    <n v="0"/>
    <n v="0"/>
    <n v="1"/>
    <x v="0"/>
    <x v="0"/>
    <x v="0"/>
    <x v="0"/>
    <n v="7"/>
    <e v="#N/A"/>
    <e v="#N/A"/>
  </r>
  <r>
    <n v="2105"/>
    <d v="2016-01-22T10:49:01"/>
    <d v="2016-01-22T11:04:01"/>
    <x v="2"/>
    <m/>
    <m/>
    <x v="0"/>
    <n v="70804"/>
    <n v="0"/>
    <d v="2016-01-22T11:07:04"/>
    <n v="11.59"/>
    <x v="227"/>
    <n v="1"/>
    <n v="1.7"/>
    <n v="0"/>
    <n v="0"/>
    <n v="1.7"/>
    <x v="0"/>
    <x v="0"/>
    <x v="0"/>
    <x v="0"/>
    <n v="10"/>
    <e v="#N/A"/>
    <e v="#N/A"/>
  </r>
  <r>
    <n v="2106"/>
    <d v="2016-01-22T13:10:37"/>
    <d v="2016-01-22T13:25:35"/>
    <x v="0"/>
    <m/>
    <m/>
    <x v="0"/>
    <n v="70803"/>
    <n v="0"/>
    <d v="2016-01-22T13:28:35"/>
    <n v="7.99"/>
    <x v="2"/>
    <n v="1"/>
    <n v="1"/>
    <n v="0"/>
    <n v="0"/>
    <n v="1"/>
    <x v="0"/>
    <x v="0"/>
    <x v="0"/>
    <x v="0"/>
    <n v="7"/>
    <e v="#N/A"/>
    <e v="#N/A"/>
  </r>
  <r>
    <n v="2107"/>
    <d v="2016-01-22T11:16:40"/>
    <d v="2016-01-22T11:31:40"/>
    <x v="0"/>
    <s v="Medium"/>
    <m/>
    <x v="0"/>
    <n v="70807"/>
    <n v="0"/>
    <d v="2016-01-22T11:34:38"/>
    <n v="19.579999999999998"/>
    <x v="0"/>
    <n v="2"/>
    <n v="1"/>
    <n v="1.7"/>
    <n v="0"/>
    <n v="2.7"/>
    <x v="0"/>
    <x v="0"/>
    <x v="0"/>
    <x v="0"/>
    <n v="7"/>
    <n v="10"/>
    <e v="#N/A"/>
  </r>
  <r>
    <n v="2108"/>
    <d v="2016-01-22T11:00:19"/>
    <d v="2016-01-22T11:15:19"/>
    <x v="2"/>
    <m/>
    <m/>
    <x v="0"/>
    <n v="70804"/>
    <n v="0"/>
    <d v="2016-01-22T11:18:18"/>
    <n v="11.59"/>
    <x v="24"/>
    <n v="1"/>
    <n v="1.7"/>
    <n v="0"/>
    <n v="0"/>
    <n v="1.7"/>
    <x v="0"/>
    <x v="0"/>
    <x v="0"/>
    <x v="0"/>
    <n v="10"/>
    <e v="#N/A"/>
    <e v="#N/A"/>
  </r>
  <r>
    <n v="2109"/>
    <d v="2016-01-22T11:28:21"/>
    <d v="2016-01-22T11:43:20"/>
    <x v="2"/>
    <m/>
    <m/>
    <x v="0"/>
    <n v="70807"/>
    <n v="0"/>
    <d v="2016-01-22T11:46:21"/>
    <n v="11.59"/>
    <x v="14"/>
    <n v="1"/>
    <n v="1.7"/>
    <n v="0"/>
    <n v="0"/>
    <n v="1.7"/>
    <x v="0"/>
    <x v="0"/>
    <x v="0"/>
    <x v="0"/>
    <n v="10"/>
    <e v="#N/A"/>
    <e v="#N/A"/>
  </r>
  <r>
    <n v="2110"/>
    <d v="2016-01-22T10:25:06"/>
    <d v="2016-01-22T10:40:05"/>
    <x v="0"/>
    <s v="Medium"/>
    <m/>
    <x v="0"/>
    <n v="70805"/>
    <n v="0"/>
    <d v="2016-01-22T10:43:04"/>
    <n v="19.579999999999998"/>
    <x v="24"/>
    <n v="2"/>
    <n v="1"/>
    <n v="1.7"/>
    <n v="0"/>
    <n v="2.7"/>
    <x v="0"/>
    <x v="0"/>
    <x v="0"/>
    <x v="0"/>
    <n v="7"/>
    <n v="10"/>
    <e v="#N/A"/>
  </r>
  <r>
    <n v="2111"/>
    <d v="2016-01-22T13:21:44"/>
    <d v="2016-01-22T13:36:44"/>
    <x v="1"/>
    <m/>
    <m/>
    <x v="1"/>
    <n v="70804"/>
    <n v="4.1111912528241001"/>
    <d v="2016-01-22T13:57:17"/>
    <n v="15.35"/>
    <x v="147"/>
    <n v="1"/>
    <n v="2.2999999999999998"/>
    <n v="0"/>
    <n v="0"/>
    <n v="2.2999999999999998"/>
    <x v="137"/>
    <x v="1"/>
    <x v="1053"/>
    <x v="0"/>
    <n v="14"/>
    <e v="#N/A"/>
    <e v="#N/A"/>
  </r>
  <r>
    <n v="2112"/>
    <d v="2016-01-22T11:21:25"/>
    <d v="2016-01-22T11:36:24"/>
    <x v="0"/>
    <s v="Large"/>
    <m/>
    <x v="0"/>
    <n v="70805"/>
    <n v="0"/>
    <d v="2016-01-22T11:39:23"/>
    <n v="23.34"/>
    <x v="24"/>
    <n v="2"/>
    <n v="1"/>
    <n v="2.2999999999999998"/>
    <n v="0"/>
    <n v="3.3"/>
    <x v="0"/>
    <x v="0"/>
    <x v="0"/>
    <x v="0"/>
    <n v="7"/>
    <n v="14"/>
    <e v="#N/A"/>
  </r>
  <r>
    <n v="2113"/>
    <d v="2016-01-22T11:01:51"/>
    <d v="2016-01-22T11:16:50"/>
    <x v="0"/>
    <s v="Medium"/>
    <m/>
    <x v="1"/>
    <n v="70806"/>
    <n v="2.37551063897443"/>
    <d v="2016-01-22T11:28:42"/>
    <n v="19.579999999999998"/>
    <x v="29"/>
    <n v="2"/>
    <n v="1"/>
    <n v="1.7"/>
    <n v="0"/>
    <n v="2.7"/>
    <x v="23"/>
    <x v="0"/>
    <x v="1054"/>
    <x v="599"/>
    <n v="7"/>
    <n v="10"/>
    <e v="#N/A"/>
  </r>
  <r>
    <n v="2114"/>
    <d v="2016-01-22T13:55:52"/>
    <d v="2016-01-22T14:10:54"/>
    <x v="2"/>
    <m/>
    <m/>
    <x v="1"/>
    <n v="70804"/>
    <n v="2.1382063602174202"/>
    <d v="2016-01-22T14:21:35"/>
    <n v="11.59"/>
    <x v="822"/>
    <n v="1"/>
    <n v="1.7"/>
    <n v="0"/>
    <n v="0"/>
    <n v="1.7"/>
    <x v="809"/>
    <x v="0"/>
    <x v="1055"/>
    <x v="600"/>
    <n v="10"/>
    <e v="#N/A"/>
    <e v="#N/A"/>
  </r>
  <r>
    <n v="2115"/>
    <d v="2016-01-22T11:20:47"/>
    <d v="2016-01-22T11:35:45"/>
    <x v="1"/>
    <m/>
    <m/>
    <x v="1"/>
    <n v="70805"/>
    <n v="2.0734237165338998"/>
    <d v="2016-01-22T11:46:07"/>
    <n v="15.35"/>
    <x v="823"/>
    <n v="1"/>
    <n v="2.2999999999999998"/>
    <n v="0"/>
    <n v="0"/>
    <n v="2.2999999999999998"/>
    <x v="810"/>
    <x v="0"/>
    <x v="1056"/>
    <x v="601"/>
    <n v="14"/>
    <e v="#N/A"/>
    <e v="#N/A"/>
  </r>
  <r>
    <n v="2116"/>
    <d v="2016-01-22T12:15:14"/>
    <d v="2016-01-22T12:30:12"/>
    <x v="0"/>
    <s v="Large"/>
    <m/>
    <x v="1"/>
    <n v="70803"/>
    <n v="2.25591453247708"/>
    <d v="2016-01-22T12:41:28"/>
    <n v="23.34"/>
    <x v="633"/>
    <n v="2"/>
    <n v="1"/>
    <n v="2.2999999999999998"/>
    <n v="0"/>
    <n v="3.3"/>
    <x v="620"/>
    <x v="0"/>
    <x v="1057"/>
    <x v="602"/>
    <n v="7"/>
    <n v="14"/>
    <e v="#N/A"/>
  </r>
  <r>
    <n v="2117"/>
    <d v="2016-01-22T12:14:28"/>
    <d v="2016-01-22T12:29:27"/>
    <x v="1"/>
    <m/>
    <m/>
    <x v="1"/>
    <n v="70803"/>
    <n v="2.6317745243487298"/>
    <d v="2016-01-22T12:42:36"/>
    <n v="15.35"/>
    <x v="824"/>
    <n v="1"/>
    <n v="2.2999999999999998"/>
    <n v="0"/>
    <n v="0"/>
    <n v="2.2999999999999998"/>
    <x v="811"/>
    <x v="0"/>
    <x v="1058"/>
    <x v="603"/>
    <n v="14"/>
    <e v="#N/A"/>
    <e v="#N/A"/>
  </r>
  <r>
    <n v="2118"/>
    <d v="2016-01-22T11:23:33"/>
    <d v="2016-01-22T11:38:34"/>
    <x v="0"/>
    <s v="Medium"/>
    <m/>
    <x v="1"/>
    <n v="70807"/>
    <n v="2.9527779767156401"/>
    <d v="2016-01-22T11:53:19"/>
    <n v="19.579999999999998"/>
    <x v="346"/>
    <n v="2"/>
    <n v="1"/>
    <n v="1.7"/>
    <n v="0"/>
    <n v="2.7"/>
    <x v="333"/>
    <x v="0"/>
    <x v="1059"/>
    <x v="604"/>
    <n v="7"/>
    <n v="10"/>
    <e v="#N/A"/>
  </r>
  <r>
    <n v="2119"/>
    <d v="2016-01-22T12:40:44"/>
    <d v="2016-01-22T12:55:43"/>
    <x v="0"/>
    <s v="Medium"/>
    <m/>
    <x v="1"/>
    <n v="70806"/>
    <n v="3.5329841384029401"/>
    <d v="2016-01-22T13:13:22"/>
    <n v="19.579999999999998"/>
    <x v="825"/>
    <n v="2"/>
    <n v="1"/>
    <n v="1.7"/>
    <n v="0"/>
    <n v="2.7"/>
    <x v="812"/>
    <x v="1"/>
    <x v="1060"/>
    <x v="0"/>
    <n v="7"/>
    <n v="10"/>
    <e v="#N/A"/>
  </r>
  <r>
    <n v="2120"/>
    <d v="2016-01-22T11:56:42"/>
    <d v="2016-01-22T12:11:42"/>
    <x v="0"/>
    <m/>
    <m/>
    <x v="1"/>
    <n v="70805"/>
    <n v="3.4249676761704899"/>
    <d v="2016-01-22T12:28:49"/>
    <n v="7.99"/>
    <x v="826"/>
    <n v="1"/>
    <n v="1"/>
    <n v="0"/>
    <n v="0"/>
    <n v="1"/>
    <x v="813"/>
    <x v="1"/>
    <x v="1061"/>
    <x v="0"/>
    <n v="7"/>
    <e v="#N/A"/>
    <e v="#N/A"/>
  </r>
  <r>
    <n v="2121"/>
    <d v="2016-01-22T12:47:58"/>
    <d v="2016-01-22T13:02:59"/>
    <x v="0"/>
    <m/>
    <m/>
    <x v="0"/>
    <n v="70803"/>
    <n v="0"/>
    <d v="2016-01-22T13:05:59"/>
    <n v="7.99"/>
    <x v="2"/>
    <n v="1"/>
    <n v="1"/>
    <n v="0"/>
    <n v="0"/>
    <n v="1"/>
    <x v="0"/>
    <x v="0"/>
    <x v="0"/>
    <x v="0"/>
    <n v="7"/>
    <e v="#N/A"/>
    <e v="#N/A"/>
  </r>
  <r>
    <n v="2122"/>
    <d v="2016-01-22T11:14:10"/>
    <d v="2016-01-22T11:29:10"/>
    <x v="1"/>
    <m/>
    <m/>
    <x v="1"/>
    <n v="70807"/>
    <n v="1.9366721636375499"/>
    <d v="2016-01-22T11:38:51"/>
    <n v="15.35"/>
    <x v="827"/>
    <n v="1"/>
    <n v="2.2999999999999998"/>
    <n v="0"/>
    <n v="0"/>
    <n v="2.2999999999999998"/>
    <x v="814"/>
    <x v="0"/>
    <x v="1062"/>
    <x v="605"/>
    <n v="14"/>
    <e v="#N/A"/>
    <e v="#N/A"/>
  </r>
  <r>
    <n v="2123"/>
    <d v="2016-01-22T12:51:37"/>
    <d v="2016-01-22T13:06:38"/>
    <x v="0"/>
    <s v="Medium"/>
    <m/>
    <x v="1"/>
    <n v="70806"/>
    <n v="2.1714549404269001"/>
    <d v="2016-01-22T13:17:29"/>
    <n v="19.579999999999998"/>
    <x v="828"/>
    <n v="2"/>
    <n v="1"/>
    <n v="1.7"/>
    <n v="0"/>
    <n v="2.7"/>
    <x v="815"/>
    <x v="0"/>
    <x v="1063"/>
    <x v="606"/>
    <n v="7"/>
    <n v="10"/>
    <e v="#N/A"/>
  </r>
  <r>
    <n v="2124"/>
    <d v="2016-01-22T12:46:03"/>
    <d v="2016-01-22T13:01:03"/>
    <x v="0"/>
    <s v="Medium"/>
    <m/>
    <x v="1"/>
    <n v="70806"/>
    <n v="2.3610320478049198"/>
    <d v="2016-01-22T13:12:51"/>
    <n v="19.579999999999998"/>
    <x v="829"/>
    <n v="2"/>
    <n v="1"/>
    <n v="1.7"/>
    <n v="0"/>
    <n v="2.7"/>
    <x v="816"/>
    <x v="0"/>
    <x v="1064"/>
    <x v="607"/>
    <n v="7"/>
    <n v="10"/>
    <e v="#N/A"/>
  </r>
  <r>
    <n v="2125"/>
    <d v="2016-01-22T11:22:45"/>
    <d v="2016-01-22T11:37:45"/>
    <x v="1"/>
    <m/>
    <m/>
    <x v="1"/>
    <n v="70808"/>
    <n v="1.6956153776684"/>
    <d v="2016-01-22T11:46:13"/>
    <n v="15.35"/>
    <x v="830"/>
    <n v="1"/>
    <n v="2.2999999999999998"/>
    <n v="0"/>
    <n v="0"/>
    <n v="2.2999999999999998"/>
    <x v="817"/>
    <x v="0"/>
    <x v="1065"/>
    <x v="608"/>
    <n v="14"/>
    <e v="#N/A"/>
    <e v="#N/A"/>
  </r>
  <r>
    <n v="2126"/>
    <d v="2016-01-22T12:13:11"/>
    <d v="2016-01-22T12:28:09"/>
    <x v="2"/>
    <m/>
    <m/>
    <x v="0"/>
    <n v="70806"/>
    <n v="0"/>
    <d v="2016-01-22T12:31:07"/>
    <n v="11.59"/>
    <x v="0"/>
    <n v="1"/>
    <n v="1.7"/>
    <n v="0"/>
    <n v="0"/>
    <n v="1.7"/>
    <x v="0"/>
    <x v="0"/>
    <x v="0"/>
    <x v="0"/>
    <n v="10"/>
    <e v="#N/A"/>
    <e v="#N/A"/>
  </r>
  <r>
    <n v="2127"/>
    <d v="2016-01-22T10:03:21"/>
    <d v="2016-01-22T10:18:20"/>
    <x v="0"/>
    <m/>
    <m/>
    <x v="1"/>
    <n v="70806"/>
    <n v="4.8353690338991004"/>
    <d v="2016-01-22T10:42:30"/>
    <n v="7.99"/>
    <x v="831"/>
    <n v="1"/>
    <n v="1"/>
    <n v="0"/>
    <n v="0"/>
    <n v="1"/>
    <x v="818"/>
    <x v="1"/>
    <x v="1066"/>
    <x v="0"/>
    <n v="7"/>
    <e v="#N/A"/>
    <e v="#N/A"/>
  </r>
  <r>
    <n v="2128"/>
    <d v="2016-01-22T12:09:23"/>
    <d v="2016-01-22T12:24:24"/>
    <x v="0"/>
    <s v="Medium"/>
    <m/>
    <x v="1"/>
    <n v="70804"/>
    <n v="1.3494761965991799"/>
    <d v="2016-01-22T12:31:08"/>
    <n v="19.579999999999998"/>
    <x v="832"/>
    <n v="2"/>
    <n v="1"/>
    <n v="1.7"/>
    <n v="0"/>
    <n v="2.7"/>
    <x v="819"/>
    <x v="0"/>
    <x v="1067"/>
    <x v="609"/>
    <n v="7"/>
    <n v="10"/>
    <e v="#N/A"/>
  </r>
  <r>
    <n v="2129"/>
    <d v="2016-01-22T13:53:50"/>
    <d v="2016-01-22T14:08:48"/>
    <x v="0"/>
    <s v="Medium"/>
    <m/>
    <x v="0"/>
    <n v="70804"/>
    <n v="0"/>
    <d v="2016-01-22T14:11:49"/>
    <n v="19.579999999999998"/>
    <x v="14"/>
    <n v="2"/>
    <n v="1"/>
    <n v="1.7"/>
    <n v="0"/>
    <n v="2.7"/>
    <x v="0"/>
    <x v="0"/>
    <x v="0"/>
    <x v="0"/>
    <n v="7"/>
    <n v="10"/>
    <e v="#N/A"/>
  </r>
  <r>
    <n v="2130"/>
    <d v="2016-01-22T12:28:05"/>
    <d v="2016-01-22T12:43:05"/>
    <x v="1"/>
    <m/>
    <m/>
    <x v="1"/>
    <n v="70805"/>
    <n v="3.05096816345843"/>
    <d v="2016-01-22T12:58:20"/>
    <n v="15.35"/>
    <x v="244"/>
    <n v="1"/>
    <n v="2.2999999999999998"/>
    <n v="0"/>
    <n v="0"/>
    <n v="2.2999999999999998"/>
    <x v="231"/>
    <x v="0"/>
    <x v="1068"/>
    <x v="610"/>
    <n v="14"/>
    <e v="#N/A"/>
    <e v="#N/A"/>
  </r>
  <r>
    <n v="2131"/>
    <d v="2016-01-22T13:15:41"/>
    <d v="2016-01-22T13:30:39"/>
    <x v="0"/>
    <s v="Medium"/>
    <m/>
    <x v="1"/>
    <n v="70805"/>
    <n v="2.7975845381468201"/>
    <d v="2016-01-22T13:44:38"/>
    <n v="19.579999999999998"/>
    <x v="833"/>
    <n v="2"/>
    <n v="1"/>
    <n v="1.7"/>
    <n v="0"/>
    <n v="2.7"/>
    <x v="820"/>
    <x v="0"/>
    <x v="1069"/>
    <x v="611"/>
    <n v="7"/>
    <n v="10"/>
    <e v="#N/A"/>
  </r>
  <r>
    <n v="2132"/>
    <d v="2016-01-22T12:52:21"/>
    <d v="2016-01-22T13:07:20"/>
    <x v="0"/>
    <s v="Medium"/>
    <m/>
    <x v="0"/>
    <n v="70805"/>
    <n v="0"/>
    <d v="2016-01-22T13:10:19"/>
    <n v="19.579999999999998"/>
    <x v="24"/>
    <n v="2"/>
    <n v="1"/>
    <n v="1.7"/>
    <n v="0"/>
    <n v="2.7"/>
    <x v="0"/>
    <x v="0"/>
    <x v="0"/>
    <x v="0"/>
    <n v="7"/>
    <n v="10"/>
    <e v="#N/A"/>
  </r>
  <r>
    <n v="2133"/>
    <d v="2016-01-22T12:39:44"/>
    <d v="2016-01-22T12:54:43"/>
    <x v="2"/>
    <m/>
    <m/>
    <x v="1"/>
    <n v="70804"/>
    <n v="3.22263105162456"/>
    <d v="2016-01-22T13:10:49"/>
    <n v="11.59"/>
    <x v="834"/>
    <n v="1"/>
    <n v="1.7"/>
    <n v="0"/>
    <n v="0"/>
    <n v="1.7"/>
    <x v="821"/>
    <x v="1"/>
    <x v="1070"/>
    <x v="0"/>
    <n v="10"/>
    <e v="#N/A"/>
    <e v="#N/A"/>
  </r>
  <r>
    <n v="2134"/>
    <d v="2016-01-22T12:12:34"/>
    <d v="2016-01-22T12:27:34"/>
    <x v="0"/>
    <s v="Medium"/>
    <m/>
    <x v="1"/>
    <n v="70807"/>
    <n v="0.87292543578513504"/>
    <d v="2016-01-22T12:31:55"/>
    <n v="19.579999999999998"/>
    <x v="835"/>
    <n v="2"/>
    <n v="1"/>
    <n v="1.7"/>
    <n v="0"/>
    <n v="2.7"/>
    <x v="822"/>
    <x v="0"/>
    <x v="1071"/>
    <x v="612"/>
    <n v="7"/>
    <n v="10"/>
    <e v="#N/A"/>
  </r>
  <r>
    <n v="2135"/>
    <d v="2016-01-22T13:40:39"/>
    <d v="2016-01-22T13:55:37"/>
    <x v="0"/>
    <m/>
    <m/>
    <x v="0"/>
    <n v="70806"/>
    <n v="0"/>
    <d v="2016-01-22T13:58:37"/>
    <n v="7.99"/>
    <x v="63"/>
    <n v="1"/>
    <n v="1"/>
    <n v="0"/>
    <n v="0"/>
    <n v="1"/>
    <x v="0"/>
    <x v="0"/>
    <x v="0"/>
    <x v="0"/>
    <n v="7"/>
    <e v="#N/A"/>
    <e v="#N/A"/>
  </r>
  <r>
    <n v="2136"/>
    <d v="2016-01-22T11:15:20"/>
    <d v="2016-01-22T11:30:20"/>
    <x v="2"/>
    <m/>
    <m/>
    <x v="0"/>
    <n v="70806"/>
    <n v="0"/>
    <d v="2016-01-22T11:33:18"/>
    <n v="11.59"/>
    <x v="0"/>
    <n v="1"/>
    <n v="1.7"/>
    <n v="0"/>
    <n v="0"/>
    <n v="1.7"/>
    <x v="0"/>
    <x v="0"/>
    <x v="0"/>
    <x v="0"/>
    <n v="10"/>
    <e v="#N/A"/>
    <e v="#N/A"/>
  </r>
  <r>
    <n v="2137"/>
    <d v="2016-01-22T12:12:23"/>
    <d v="2016-01-22T12:27:22"/>
    <x v="0"/>
    <s v="Large"/>
    <m/>
    <x v="1"/>
    <n v="70806"/>
    <n v="3.4865182053369699"/>
    <d v="2016-01-22T12:44:47"/>
    <n v="23.34"/>
    <x v="836"/>
    <n v="2"/>
    <n v="1"/>
    <n v="2.2999999999999998"/>
    <n v="0"/>
    <n v="3.3"/>
    <x v="823"/>
    <x v="1"/>
    <x v="1072"/>
    <x v="0"/>
    <n v="7"/>
    <n v="14"/>
    <e v="#N/A"/>
  </r>
  <r>
    <n v="2138"/>
    <d v="2016-01-22T10:55:36"/>
    <d v="2016-01-22T11:10:35"/>
    <x v="0"/>
    <s v="Large"/>
    <m/>
    <x v="0"/>
    <n v="70805"/>
    <n v="0"/>
    <d v="2016-01-22T11:13:35"/>
    <n v="23.34"/>
    <x v="2"/>
    <n v="2"/>
    <n v="1"/>
    <n v="2.2999999999999998"/>
    <n v="0"/>
    <n v="3.3"/>
    <x v="0"/>
    <x v="0"/>
    <x v="0"/>
    <x v="0"/>
    <n v="7"/>
    <n v="14"/>
    <e v="#N/A"/>
  </r>
  <r>
    <n v="2139"/>
    <d v="2016-01-22T13:57:12"/>
    <d v="2016-01-22T14:12:11"/>
    <x v="2"/>
    <m/>
    <m/>
    <x v="0"/>
    <n v="70803"/>
    <n v="0"/>
    <d v="2016-01-22T14:15:10"/>
    <n v="11.59"/>
    <x v="24"/>
    <n v="1"/>
    <n v="1.7"/>
    <n v="0"/>
    <n v="0"/>
    <n v="1.7"/>
    <x v="0"/>
    <x v="0"/>
    <x v="0"/>
    <x v="0"/>
    <n v="10"/>
    <e v="#N/A"/>
    <e v="#N/A"/>
  </r>
  <r>
    <n v="2140"/>
    <d v="2016-01-22T11:36:16"/>
    <d v="2016-01-22T11:51:16"/>
    <x v="0"/>
    <s v="Medium"/>
    <s v="Large"/>
    <x v="1"/>
    <n v="70805"/>
    <n v="4.6775042328498504"/>
    <d v="2016-01-22T12:14:39"/>
    <n v="33.93"/>
    <x v="837"/>
    <n v="3"/>
    <n v="1"/>
    <n v="1.7"/>
    <n v="2.2999999999999998"/>
    <n v="5"/>
    <x v="824"/>
    <x v="1"/>
    <x v="1073"/>
    <x v="0"/>
    <n v="7"/>
    <n v="10"/>
    <n v="14"/>
  </r>
  <r>
    <n v="2141"/>
    <d v="2016-01-22T11:34:15"/>
    <d v="2016-01-22T11:49:16"/>
    <x v="2"/>
    <m/>
    <m/>
    <x v="0"/>
    <n v="70803"/>
    <n v="0"/>
    <d v="2016-01-22T11:52:15"/>
    <n v="11.59"/>
    <x v="1"/>
    <n v="1"/>
    <n v="1.7"/>
    <n v="0"/>
    <n v="0"/>
    <n v="1.7"/>
    <x v="0"/>
    <x v="0"/>
    <x v="0"/>
    <x v="0"/>
    <n v="10"/>
    <e v="#N/A"/>
    <e v="#N/A"/>
  </r>
  <r>
    <n v="2142"/>
    <d v="2016-01-22T12:37:54"/>
    <d v="2016-01-22T12:52:52"/>
    <x v="0"/>
    <s v="Large"/>
    <m/>
    <x v="1"/>
    <n v="70806"/>
    <n v="1.2110637836623901"/>
    <d v="2016-01-22T12:58:55"/>
    <n v="23.34"/>
    <x v="838"/>
    <n v="2"/>
    <n v="1"/>
    <n v="2.2999999999999998"/>
    <n v="0"/>
    <n v="3.3"/>
    <x v="825"/>
    <x v="0"/>
    <x v="1074"/>
    <x v="613"/>
    <n v="7"/>
    <n v="14"/>
    <e v="#N/A"/>
  </r>
  <r>
    <n v="2143"/>
    <d v="2016-01-22T11:35:22"/>
    <d v="2016-01-22T11:50:22"/>
    <x v="0"/>
    <m/>
    <m/>
    <x v="1"/>
    <n v="70808"/>
    <n v="2.5014680819086998"/>
    <d v="2016-01-22T12:02:52"/>
    <n v="7.99"/>
    <x v="762"/>
    <n v="1"/>
    <n v="1"/>
    <n v="0"/>
    <n v="0"/>
    <n v="1"/>
    <x v="749"/>
    <x v="0"/>
    <x v="1075"/>
    <x v="614"/>
    <n v="7"/>
    <e v="#N/A"/>
    <e v="#N/A"/>
  </r>
  <r>
    <n v="2144"/>
    <d v="2016-01-22T12:14:28"/>
    <d v="2016-01-22T12:29:29"/>
    <x v="2"/>
    <m/>
    <m/>
    <x v="1"/>
    <n v="70804"/>
    <n v="2.8625477179099299"/>
    <d v="2016-01-22T12:43:47"/>
    <n v="11.59"/>
    <x v="289"/>
    <n v="1"/>
    <n v="1.7"/>
    <n v="0"/>
    <n v="0"/>
    <n v="1.7"/>
    <x v="276"/>
    <x v="0"/>
    <x v="1076"/>
    <x v="615"/>
    <n v="10"/>
    <e v="#N/A"/>
    <e v="#N/A"/>
  </r>
  <r>
    <n v="2145"/>
    <d v="2016-01-22T11:35:09"/>
    <d v="2016-01-22T11:50:08"/>
    <x v="2"/>
    <m/>
    <m/>
    <x v="0"/>
    <n v="70804"/>
    <n v="0"/>
    <d v="2016-01-22T11:53:09"/>
    <n v="11.59"/>
    <x v="14"/>
    <n v="1"/>
    <n v="1.7"/>
    <n v="0"/>
    <n v="0"/>
    <n v="1.7"/>
    <x v="0"/>
    <x v="0"/>
    <x v="0"/>
    <x v="0"/>
    <n v="10"/>
    <e v="#N/A"/>
    <e v="#N/A"/>
  </r>
  <r>
    <n v="2146"/>
    <d v="2016-01-22T11:34:44"/>
    <d v="2016-01-22T11:49:44"/>
    <x v="1"/>
    <m/>
    <m/>
    <x v="1"/>
    <n v="70805"/>
    <n v="3.2953910323798601"/>
    <d v="2016-01-22T12:06:12"/>
    <n v="15.35"/>
    <x v="213"/>
    <n v="1"/>
    <n v="2.2999999999999998"/>
    <n v="0"/>
    <n v="0"/>
    <n v="2.2999999999999998"/>
    <x v="201"/>
    <x v="1"/>
    <x v="1077"/>
    <x v="0"/>
    <n v="14"/>
    <e v="#N/A"/>
    <e v="#N/A"/>
  </r>
  <r>
    <n v="2147"/>
    <d v="2016-01-22T12:50:55"/>
    <d v="2016-01-22T13:05:57"/>
    <x v="2"/>
    <m/>
    <m/>
    <x v="0"/>
    <n v="70803"/>
    <n v="0"/>
    <d v="2016-01-22T13:08:58"/>
    <n v="11.59"/>
    <x v="56"/>
    <n v="1"/>
    <n v="1.7"/>
    <n v="0"/>
    <n v="0"/>
    <n v="1.7"/>
    <x v="0"/>
    <x v="0"/>
    <x v="0"/>
    <x v="0"/>
    <n v="10"/>
    <e v="#N/A"/>
    <e v="#N/A"/>
  </r>
  <r>
    <n v="2148"/>
    <d v="2016-01-22T11:18:31"/>
    <d v="2016-01-22T11:33:31"/>
    <x v="0"/>
    <m/>
    <m/>
    <x v="1"/>
    <n v="70804"/>
    <n v="1.6420859327783801"/>
    <d v="2016-01-22T11:41:43"/>
    <n v="7.99"/>
    <x v="276"/>
    <n v="1"/>
    <n v="1"/>
    <n v="0"/>
    <n v="0"/>
    <n v="1"/>
    <x v="263"/>
    <x v="0"/>
    <x v="1078"/>
    <x v="616"/>
    <n v="7"/>
    <e v="#N/A"/>
    <e v="#N/A"/>
  </r>
  <r>
    <n v="2149"/>
    <d v="2016-01-22T10:26:37"/>
    <d v="2016-01-22T10:41:38"/>
    <x v="0"/>
    <s v="Medium"/>
    <m/>
    <x v="0"/>
    <n v="70807"/>
    <n v="0"/>
    <d v="2016-01-22T10:44:37"/>
    <n v="19.579999999999998"/>
    <x v="1"/>
    <n v="2"/>
    <n v="1"/>
    <n v="1.7"/>
    <n v="0"/>
    <n v="2.7"/>
    <x v="0"/>
    <x v="0"/>
    <x v="0"/>
    <x v="0"/>
    <n v="7"/>
    <n v="10"/>
    <e v="#N/A"/>
  </r>
  <r>
    <n v="2150"/>
    <d v="2016-01-22T12:13:42"/>
    <d v="2016-01-22T12:28:41"/>
    <x v="2"/>
    <m/>
    <m/>
    <x v="1"/>
    <n v="70805"/>
    <n v="2.8461198983321001"/>
    <d v="2016-01-22T12:42:54"/>
    <n v="11.59"/>
    <x v="839"/>
    <n v="1"/>
    <n v="1.7"/>
    <n v="0"/>
    <n v="0"/>
    <n v="1.7"/>
    <x v="826"/>
    <x v="0"/>
    <x v="1079"/>
    <x v="617"/>
    <n v="10"/>
    <e v="#N/A"/>
    <e v="#N/A"/>
  </r>
  <r>
    <n v="2151"/>
    <d v="2016-01-22T11:16:15"/>
    <d v="2016-01-22T11:31:13"/>
    <x v="0"/>
    <s v="Medium"/>
    <m/>
    <x v="1"/>
    <n v="70803"/>
    <n v="3.8226372417635299"/>
    <d v="2016-01-22T11:50:19"/>
    <n v="19.579999999999998"/>
    <x v="386"/>
    <n v="2"/>
    <n v="1"/>
    <n v="1.7"/>
    <n v="0"/>
    <n v="2.7"/>
    <x v="373"/>
    <x v="1"/>
    <x v="1080"/>
    <x v="0"/>
    <n v="7"/>
    <n v="10"/>
    <e v="#N/A"/>
  </r>
  <r>
    <n v="2152"/>
    <d v="2016-01-22T11:20:05"/>
    <d v="2016-01-22T11:35:05"/>
    <x v="2"/>
    <m/>
    <m/>
    <x v="0"/>
    <n v="70804"/>
    <n v="0"/>
    <d v="2016-01-22T11:38:03"/>
    <n v="11.59"/>
    <x v="0"/>
    <n v="1"/>
    <n v="1.7"/>
    <n v="0"/>
    <n v="0"/>
    <n v="1.7"/>
    <x v="0"/>
    <x v="0"/>
    <x v="0"/>
    <x v="0"/>
    <n v="10"/>
    <e v="#N/A"/>
    <e v="#N/A"/>
  </r>
  <r>
    <n v="2153"/>
    <d v="2016-01-22T10:18:09"/>
    <d v="2016-01-22T10:33:10"/>
    <x v="1"/>
    <m/>
    <m/>
    <x v="0"/>
    <n v="70806"/>
    <n v="0"/>
    <d v="2016-01-22T10:36:09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2154"/>
    <d v="2016-01-22T10:40:50"/>
    <d v="2016-01-22T10:55:49"/>
    <x v="1"/>
    <m/>
    <m/>
    <x v="0"/>
    <n v="70806"/>
    <n v="0"/>
    <d v="2016-01-22T10:58:47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2155"/>
    <d v="2016-01-22T11:29:41"/>
    <d v="2016-01-22T11:44:41"/>
    <x v="1"/>
    <m/>
    <m/>
    <x v="0"/>
    <n v="70805"/>
    <n v="0"/>
    <d v="2016-01-22T11:47:41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2156"/>
    <d v="2016-01-22T10:20:56"/>
    <d v="2016-01-22T10:35:55"/>
    <x v="1"/>
    <m/>
    <m/>
    <x v="0"/>
    <n v="70806"/>
    <n v="0"/>
    <d v="2016-01-22T10:38:55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2157"/>
    <d v="2016-01-22T12:30:53"/>
    <d v="2016-01-22T12:45:51"/>
    <x v="0"/>
    <s v="Medium"/>
    <m/>
    <x v="0"/>
    <n v="70804"/>
    <n v="0"/>
    <d v="2016-01-22T12:48:51"/>
    <n v="19.579999999999998"/>
    <x v="2"/>
    <n v="2"/>
    <n v="1"/>
    <n v="1.7"/>
    <n v="0"/>
    <n v="2.7"/>
    <x v="0"/>
    <x v="0"/>
    <x v="0"/>
    <x v="0"/>
    <n v="7"/>
    <n v="10"/>
    <e v="#N/A"/>
  </r>
  <r>
    <n v="2158"/>
    <d v="2016-01-22T11:53:24"/>
    <d v="2016-01-22T12:08:24"/>
    <x v="0"/>
    <s v="Medium"/>
    <m/>
    <x v="1"/>
    <n v="70805"/>
    <n v="3.7758078297100801"/>
    <d v="2016-01-22T12:27:16"/>
    <n v="19.579999999999998"/>
    <x v="440"/>
    <n v="2"/>
    <n v="1"/>
    <n v="1.7"/>
    <n v="0"/>
    <n v="2.7"/>
    <x v="427"/>
    <x v="1"/>
    <x v="1081"/>
    <x v="0"/>
    <n v="7"/>
    <n v="10"/>
    <e v="#N/A"/>
  </r>
  <r>
    <n v="2159"/>
    <d v="2016-01-22T12:39:34"/>
    <d v="2016-01-22T12:54:34"/>
    <x v="0"/>
    <m/>
    <m/>
    <x v="1"/>
    <n v="70803"/>
    <n v="3.3833568537551399"/>
    <d v="2016-01-22T13:11:29"/>
    <n v="7.99"/>
    <x v="840"/>
    <n v="1"/>
    <n v="1"/>
    <n v="0"/>
    <n v="0"/>
    <n v="1"/>
    <x v="827"/>
    <x v="1"/>
    <x v="1082"/>
    <x v="0"/>
    <n v="7"/>
    <e v="#N/A"/>
    <e v="#N/A"/>
  </r>
  <r>
    <n v="2160"/>
    <d v="2016-01-22T11:53:54"/>
    <d v="2016-01-22T12:08:52"/>
    <x v="1"/>
    <m/>
    <m/>
    <x v="1"/>
    <n v="70803"/>
    <n v="0.94938300119539898"/>
    <d v="2016-01-22T12:13:36"/>
    <n v="15.35"/>
    <x v="841"/>
    <n v="1"/>
    <n v="2.2999999999999998"/>
    <n v="0"/>
    <n v="0"/>
    <n v="2.2999999999999998"/>
    <x v="828"/>
    <x v="0"/>
    <x v="1083"/>
    <x v="618"/>
    <n v="14"/>
    <e v="#N/A"/>
    <e v="#N/A"/>
  </r>
  <r>
    <n v="2161"/>
    <d v="2016-01-22T12:31:31"/>
    <d v="2016-01-22T12:46:31"/>
    <x v="2"/>
    <m/>
    <m/>
    <x v="0"/>
    <n v="70806"/>
    <n v="0"/>
    <d v="2016-01-22T12:49:31"/>
    <n v="11.59"/>
    <x v="2"/>
    <n v="1"/>
    <n v="1.7"/>
    <n v="0"/>
    <n v="0"/>
    <n v="1.7"/>
    <x v="0"/>
    <x v="0"/>
    <x v="0"/>
    <x v="0"/>
    <n v="10"/>
    <e v="#N/A"/>
    <e v="#N/A"/>
  </r>
  <r>
    <n v="2162"/>
    <d v="2016-01-22T11:35:06"/>
    <d v="2016-01-22T11:50:06"/>
    <x v="0"/>
    <s v="Medium"/>
    <m/>
    <x v="1"/>
    <n v="70805"/>
    <n v="2.01121800429314"/>
    <d v="2016-01-22T12:00:09"/>
    <n v="19.579999999999998"/>
    <x v="44"/>
    <n v="2"/>
    <n v="1"/>
    <n v="1.7"/>
    <n v="0"/>
    <n v="2.7"/>
    <x v="38"/>
    <x v="0"/>
    <x v="1084"/>
    <x v="619"/>
    <n v="7"/>
    <n v="10"/>
    <e v="#N/A"/>
  </r>
  <r>
    <n v="2163"/>
    <d v="2016-01-22T12:32:20"/>
    <d v="2016-01-22T12:47:21"/>
    <x v="1"/>
    <m/>
    <m/>
    <x v="0"/>
    <n v="70803"/>
    <n v="0"/>
    <d v="2016-01-22T12:50:22"/>
    <n v="15.35"/>
    <x v="56"/>
    <n v="1"/>
    <n v="2.2999999999999998"/>
    <n v="0"/>
    <n v="0"/>
    <n v="2.2999999999999998"/>
    <x v="0"/>
    <x v="0"/>
    <x v="0"/>
    <x v="0"/>
    <n v="14"/>
    <e v="#N/A"/>
    <e v="#N/A"/>
  </r>
  <r>
    <n v="2164"/>
    <d v="2016-01-22T12:25:40"/>
    <d v="2016-01-22T12:40:40"/>
    <x v="0"/>
    <m/>
    <m/>
    <x v="0"/>
    <n v="70804"/>
    <n v="0"/>
    <d v="2016-01-22T12:43:42"/>
    <n v="7.99"/>
    <x v="67"/>
    <n v="1"/>
    <n v="1"/>
    <n v="0"/>
    <n v="0"/>
    <n v="1"/>
    <x v="0"/>
    <x v="0"/>
    <x v="0"/>
    <x v="0"/>
    <n v="7"/>
    <e v="#N/A"/>
    <e v="#N/A"/>
  </r>
  <r>
    <n v="2165"/>
    <d v="2016-01-22T10:24:05"/>
    <d v="2016-01-22T10:39:04"/>
    <x v="2"/>
    <m/>
    <m/>
    <x v="1"/>
    <n v="70805"/>
    <n v="3.1082862115183101"/>
    <d v="2016-01-22T10:54:36"/>
    <n v="11.59"/>
    <x v="9"/>
    <n v="1"/>
    <n v="1.7"/>
    <n v="0"/>
    <n v="0"/>
    <n v="1.7"/>
    <x v="7"/>
    <x v="0"/>
    <x v="1085"/>
    <x v="620"/>
    <n v="10"/>
    <e v="#N/A"/>
    <e v="#N/A"/>
  </r>
  <r>
    <n v="2166"/>
    <d v="2016-01-22T13:39:27"/>
    <d v="2016-01-22T13:54:28"/>
    <x v="0"/>
    <m/>
    <m/>
    <x v="1"/>
    <n v="70805"/>
    <n v="5.9311561518057996"/>
    <d v="2016-01-22T14:24:07"/>
    <n v="7.99"/>
    <x v="842"/>
    <n v="1"/>
    <n v="1"/>
    <n v="0"/>
    <n v="0"/>
    <n v="1"/>
    <x v="829"/>
    <x v="1"/>
    <x v="1086"/>
    <x v="0"/>
    <n v="7"/>
    <e v="#N/A"/>
    <e v="#N/A"/>
  </r>
  <r>
    <n v="2167"/>
    <d v="2016-01-22T13:17:49"/>
    <d v="2016-01-22T13:32:50"/>
    <x v="0"/>
    <m/>
    <m/>
    <x v="1"/>
    <n v="70803"/>
    <n v="2.7899341806909099"/>
    <d v="2016-01-22T13:46:46"/>
    <n v="7.99"/>
    <x v="379"/>
    <n v="1"/>
    <n v="1"/>
    <n v="0"/>
    <n v="0"/>
    <n v="1"/>
    <x v="366"/>
    <x v="0"/>
    <x v="1087"/>
    <x v="621"/>
    <n v="7"/>
    <e v="#N/A"/>
    <e v="#N/A"/>
  </r>
  <r>
    <n v="2168"/>
    <d v="2016-01-22T10:31:29"/>
    <d v="2016-01-22T10:46:30"/>
    <x v="0"/>
    <s v="Medium"/>
    <m/>
    <x v="1"/>
    <n v="70807"/>
    <n v="2.5953235322452102"/>
    <d v="2016-01-22T10:59:28"/>
    <n v="19.579999999999998"/>
    <x v="650"/>
    <n v="2"/>
    <n v="1"/>
    <n v="1.7"/>
    <n v="0"/>
    <n v="2.7"/>
    <x v="637"/>
    <x v="0"/>
    <x v="1088"/>
    <x v="622"/>
    <n v="7"/>
    <n v="10"/>
    <e v="#N/A"/>
  </r>
  <r>
    <n v="2169"/>
    <d v="2016-01-22T11:54:00"/>
    <d v="2016-01-22T12:09:00"/>
    <x v="1"/>
    <m/>
    <m/>
    <x v="0"/>
    <n v="70804"/>
    <n v="0"/>
    <d v="2016-01-22T12:11:59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2170"/>
    <d v="2016-01-22T11:50:06"/>
    <d v="2016-01-22T12:05:07"/>
    <x v="0"/>
    <s v="Large"/>
    <m/>
    <x v="1"/>
    <n v="70803"/>
    <n v="2.0722751020378798"/>
    <d v="2016-01-22T12:15:28"/>
    <n v="23.34"/>
    <x v="843"/>
    <n v="2"/>
    <n v="1"/>
    <n v="2.2999999999999998"/>
    <n v="0"/>
    <n v="3.3"/>
    <x v="830"/>
    <x v="0"/>
    <x v="1089"/>
    <x v="623"/>
    <n v="7"/>
    <n v="14"/>
    <e v="#N/A"/>
  </r>
  <r>
    <n v="2171"/>
    <d v="2016-01-22T12:01:57"/>
    <d v="2016-01-22T12:16:54"/>
    <x v="0"/>
    <s v="Large"/>
    <m/>
    <x v="1"/>
    <n v="70803"/>
    <n v="3.9801545423528402"/>
    <d v="2016-01-22T12:36:48"/>
    <n v="23.34"/>
    <x v="844"/>
    <n v="2"/>
    <n v="1"/>
    <n v="2.2999999999999998"/>
    <n v="0"/>
    <n v="3.3"/>
    <x v="831"/>
    <x v="1"/>
    <x v="1090"/>
    <x v="0"/>
    <n v="7"/>
    <n v="14"/>
    <e v="#N/A"/>
  </r>
  <r>
    <n v="2172"/>
    <d v="2016-01-22T12:30:21"/>
    <d v="2016-01-22T12:45:23"/>
    <x v="0"/>
    <m/>
    <m/>
    <x v="0"/>
    <n v="70804"/>
    <n v="0"/>
    <d v="2016-01-22T12:48:21"/>
    <n v="7.99"/>
    <x v="0"/>
    <n v="1"/>
    <n v="1"/>
    <n v="0"/>
    <n v="0"/>
    <n v="1"/>
    <x v="0"/>
    <x v="0"/>
    <x v="0"/>
    <x v="0"/>
    <n v="7"/>
    <e v="#N/A"/>
    <e v="#N/A"/>
  </r>
  <r>
    <n v="2173"/>
    <d v="2016-01-22T11:42:35"/>
    <d v="2016-01-22T11:57:34"/>
    <x v="1"/>
    <m/>
    <m/>
    <x v="0"/>
    <n v="70805"/>
    <n v="0"/>
    <d v="2016-01-22T12:00:33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2174"/>
    <d v="2016-01-22T11:27:28"/>
    <d v="2016-01-22T11:42:25"/>
    <x v="0"/>
    <m/>
    <m/>
    <x v="1"/>
    <n v="70804"/>
    <n v="3.3467911928777498"/>
    <d v="2016-01-22T11:59:09"/>
    <n v="7.99"/>
    <x v="845"/>
    <n v="1"/>
    <n v="1"/>
    <n v="0"/>
    <n v="0"/>
    <n v="1"/>
    <x v="832"/>
    <x v="1"/>
    <x v="1091"/>
    <x v="0"/>
    <n v="7"/>
    <e v="#N/A"/>
    <e v="#N/A"/>
  </r>
  <r>
    <n v="2175"/>
    <d v="2016-01-22T13:38:17"/>
    <d v="2016-01-22T13:53:18"/>
    <x v="2"/>
    <m/>
    <m/>
    <x v="0"/>
    <n v="70805"/>
    <n v="0"/>
    <d v="2016-01-22T13:56:16"/>
    <n v="11.59"/>
    <x v="0"/>
    <n v="1"/>
    <n v="1.7"/>
    <n v="0"/>
    <n v="0"/>
    <n v="1.7"/>
    <x v="0"/>
    <x v="0"/>
    <x v="0"/>
    <x v="0"/>
    <n v="10"/>
    <e v="#N/A"/>
    <e v="#N/A"/>
  </r>
  <r>
    <n v="2176"/>
    <d v="2016-01-22T12:48:59"/>
    <d v="2016-01-22T13:03:58"/>
    <x v="1"/>
    <m/>
    <m/>
    <x v="0"/>
    <n v="70806"/>
    <n v="0"/>
    <d v="2016-01-22T13:06:59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2177"/>
    <d v="2016-01-22T14:21:25"/>
    <d v="2016-01-22T14:36:24"/>
    <x v="0"/>
    <s v="Large"/>
    <m/>
    <x v="1"/>
    <n v="70805"/>
    <n v="3.0696204176859099"/>
    <d v="2016-01-22T14:51:44"/>
    <n v="23.34"/>
    <x v="846"/>
    <n v="2"/>
    <n v="1"/>
    <n v="2.2999999999999998"/>
    <n v="0"/>
    <n v="3.3"/>
    <x v="833"/>
    <x v="0"/>
    <x v="1092"/>
    <x v="624"/>
    <n v="7"/>
    <n v="14"/>
    <e v="#N/A"/>
  </r>
  <r>
    <n v="2178"/>
    <d v="2016-01-22T12:22:05"/>
    <d v="2016-01-22T12:37:05"/>
    <x v="2"/>
    <m/>
    <m/>
    <x v="0"/>
    <n v="70803"/>
    <n v="0"/>
    <d v="2016-01-22T12:40:04"/>
    <n v="11.59"/>
    <x v="24"/>
    <n v="1"/>
    <n v="1.7"/>
    <n v="0"/>
    <n v="0"/>
    <n v="1.7"/>
    <x v="0"/>
    <x v="0"/>
    <x v="0"/>
    <x v="0"/>
    <n v="10"/>
    <e v="#N/A"/>
    <e v="#N/A"/>
  </r>
  <r>
    <n v="2179"/>
    <d v="2016-01-22T10:52:39"/>
    <d v="2016-01-22T11:07:40"/>
    <x v="0"/>
    <s v="Medium"/>
    <m/>
    <x v="0"/>
    <n v="70805"/>
    <n v="0"/>
    <d v="2016-01-22T11:10:40"/>
    <n v="19.579999999999998"/>
    <x v="2"/>
    <n v="2"/>
    <n v="1"/>
    <n v="1.7"/>
    <n v="0"/>
    <n v="2.7"/>
    <x v="0"/>
    <x v="0"/>
    <x v="0"/>
    <x v="0"/>
    <n v="7"/>
    <n v="10"/>
    <e v="#N/A"/>
  </r>
  <r>
    <n v="2180"/>
    <d v="2016-01-22T12:48:30"/>
    <d v="2016-01-22T13:03:28"/>
    <x v="2"/>
    <m/>
    <m/>
    <x v="0"/>
    <n v="70805"/>
    <n v="0"/>
    <d v="2016-01-22T13:06:28"/>
    <n v="11.59"/>
    <x v="2"/>
    <n v="1"/>
    <n v="1.7"/>
    <n v="0"/>
    <n v="0"/>
    <n v="1.7"/>
    <x v="0"/>
    <x v="0"/>
    <x v="0"/>
    <x v="0"/>
    <n v="10"/>
    <e v="#N/A"/>
    <e v="#N/A"/>
  </r>
  <r>
    <n v="2181"/>
    <d v="2016-01-22T12:47:22"/>
    <d v="2016-01-22T13:02:21"/>
    <x v="1"/>
    <m/>
    <m/>
    <x v="1"/>
    <n v="70803"/>
    <n v="1.5519453416295399"/>
    <d v="2016-01-22T13:10:06"/>
    <n v="15.35"/>
    <x v="847"/>
    <n v="1"/>
    <n v="2.2999999999999998"/>
    <n v="0"/>
    <n v="0"/>
    <n v="2.2999999999999998"/>
    <x v="834"/>
    <x v="0"/>
    <x v="1093"/>
    <x v="625"/>
    <n v="14"/>
    <e v="#N/A"/>
    <e v="#N/A"/>
  </r>
  <r>
    <n v="2182"/>
    <d v="2016-01-22T12:09:48"/>
    <d v="2016-01-22T12:24:48"/>
    <x v="0"/>
    <s v="Medium"/>
    <m/>
    <x v="0"/>
    <n v="70805"/>
    <n v="0"/>
    <d v="2016-01-22T12:27:47"/>
    <n v="19.579999999999998"/>
    <x v="24"/>
    <n v="2"/>
    <n v="1"/>
    <n v="1.7"/>
    <n v="0"/>
    <n v="2.7"/>
    <x v="0"/>
    <x v="0"/>
    <x v="0"/>
    <x v="0"/>
    <n v="7"/>
    <n v="10"/>
    <e v="#N/A"/>
  </r>
  <r>
    <n v="2183"/>
    <d v="2016-01-22T11:41:43"/>
    <d v="2016-01-22T11:56:43"/>
    <x v="2"/>
    <m/>
    <m/>
    <x v="0"/>
    <n v="70803"/>
    <n v="0"/>
    <d v="2016-01-22T11:59:41"/>
    <n v="11.59"/>
    <x v="0"/>
    <n v="1"/>
    <n v="1.7"/>
    <n v="0"/>
    <n v="0"/>
    <n v="1.7"/>
    <x v="0"/>
    <x v="0"/>
    <x v="0"/>
    <x v="0"/>
    <n v="10"/>
    <e v="#N/A"/>
    <e v="#N/A"/>
  </r>
  <r>
    <n v="2184"/>
    <d v="2016-01-22T13:16:02"/>
    <d v="2016-01-22T13:31:02"/>
    <x v="2"/>
    <m/>
    <m/>
    <x v="1"/>
    <n v="70805"/>
    <n v="2.56331031062158"/>
    <d v="2016-01-22T13:43:50"/>
    <n v="11.59"/>
    <x v="461"/>
    <n v="1"/>
    <n v="1.7"/>
    <n v="0"/>
    <n v="0"/>
    <n v="1.7"/>
    <x v="448"/>
    <x v="0"/>
    <x v="1094"/>
    <x v="626"/>
    <n v="10"/>
    <e v="#N/A"/>
    <e v="#N/A"/>
  </r>
  <r>
    <n v="2185"/>
    <d v="2016-01-22T10:31:33"/>
    <d v="2016-01-22T10:46:32"/>
    <x v="1"/>
    <m/>
    <m/>
    <x v="0"/>
    <n v="70805"/>
    <n v="0"/>
    <d v="2016-01-22T10:49:30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2186"/>
    <d v="2016-01-22T12:55:49"/>
    <d v="2016-01-22T13:10:49"/>
    <x v="0"/>
    <s v="Medium"/>
    <m/>
    <x v="1"/>
    <n v="70804"/>
    <n v="0.797470930545359"/>
    <d v="2016-01-22T13:14:48"/>
    <n v="19.579999999999998"/>
    <x v="848"/>
    <n v="2"/>
    <n v="1"/>
    <n v="1.7"/>
    <n v="0"/>
    <n v="2.7"/>
    <x v="835"/>
    <x v="0"/>
    <x v="1095"/>
    <x v="627"/>
    <n v="7"/>
    <n v="10"/>
    <e v="#N/A"/>
  </r>
  <r>
    <n v="2187"/>
    <d v="2016-01-22T11:12:01"/>
    <d v="2016-01-22T11:26:59"/>
    <x v="2"/>
    <m/>
    <m/>
    <x v="0"/>
    <n v="70804"/>
    <n v="0"/>
    <d v="2016-01-22T11:29:59"/>
    <n v="11.59"/>
    <x v="2"/>
    <n v="1"/>
    <n v="1.7"/>
    <n v="0"/>
    <n v="0"/>
    <n v="1.7"/>
    <x v="0"/>
    <x v="0"/>
    <x v="0"/>
    <x v="0"/>
    <n v="10"/>
    <e v="#N/A"/>
    <e v="#N/A"/>
  </r>
  <r>
    <n v="2188"/>
    <d v="2016-01-22T10:42:33"/>
    <d v="2016-01-22T10:57:33"/>
    <x v="2"/>
    <m/>
    <m/>
    <x v="0"/>
    <n v="70804"/>
    <n v="0"/>
    <d v="2016-01-22T11:00:32"/>
    <n v="11.59"/>
    <x v="1"/>
    <n v="1"/>
    <n v="1.7"/>
    <n v="0"/>
    <n v="0"/>
    <n v="1.7"/>
    <x v="0"/>
    <x v="0"/>
    <x v="0"/>
    <x v="0"/>
    <n v="10"/>
    <e v="#N/A"/>
    <e v="#N/A"/>
  </r>
  <r>
    <n v="2189"/>
    <d v="2016-01-22T11:51:34"/>
    <d v="2016-01-22T12:06:32"/>
    <x v="2"/>
    <m/>
    <m/>
    <x v="1"/>
    <n v="70804"/>
    <n v="4.11345235367763"/>
    <d v="2016-01-22T12:27:06"/>
    <n v="11.59"/>
    <x v="146"/>
    <n v="1"/>
    <n v="1.7"/>
    <n v="0"/>
    <n v="0"/>
    <n v="1.7"/>
    <x v="136"/>
    <x v="1"/>
    <x v="1096"/>
    <x v="0"/>
    <n v="10"/>
    <e v="#N/A"/>
    <e v="#N/A"/>
  </r>
  <r>
    <n v="2190"/>
    <d v="2016-01-22T12:34:48"/>
    <d v="2016-01-22T12:49:48"/>
    <x v="0"/>
    <s v="Large"/>
    <m/>
    <x v="0"/>
    <n v="70805"/>
    <n v="0"/>
    <d v="2016-01-22T12:52:47"/>
    <n v="23.34"/>
    <x v="24"/>
    <n v="2"/>
    <n v="1"/>
    <n v="2.2999999999999998"/>
    <n v="0"/>
    <n v="3.3"/>
    <x v="0"/>
    <x v="0"/>
    <x v="0"/>
    <x v="0"/>
    <n v="7"/>
    <n v="14"/>
    <e v="#N/A"/>
  </r>
  <r>
    <n v="2191"/>
    <d v="2016-01-22T11:04:34"/>
    <d v="2016-01-22T11:19:34"/>
    <x v="0"/>
    <s v="Large"/>
    <m/>
    <x v="1"/>
    <n v="70807"/>
    <n v="0.68585091304649004"/>
    <d v="2016-01-22T11:22:59"/>
    <n v="23.34"/>
    <x v="849"/>
    <n v="2"/>
    <n v="1"/>
    <n v="2.2999999999999998"/>
    <n v="0"/>
    <n v="3.3"/>
    <x v="836"/>
    <x v="0"/>
    <x v="1097"/>
    <x v="628"/>
    <n v="7"/>
    <n v="14"/>
    <e v="#N/A"/>
  </r>
  <r>
    <n v="2192"/>
    <d v="2016-01-22T12:35:48"/>
    <d v="2016-01-22T12:50:46"/>
    <x v="0"/>
    <m/>
    <m/>
    <x v="1"/>
    <n v="70806"/>
    <n v="1.9182027714427701"/>
    <d v="2016-01-22T13:00:21"/>
    <n v="7.99"/>
    <x v="850"/>
    <n v="1"/>
    <n v="1"/>
    <n v="0"/>
    <n v="0"/>
    <n v="1"/>
    <x v="837"/>
    <x v="0"/>
    <x v="1098"/>
    <x v="629"/>
    <n v="7"/>
    <e v="#N/A"/>
    <e v="#N/A"/>
  </r>
  <r>
    <n v="2193"/>
    <d v="2016-01-22T12:33:39"/>
    <d v="2016-01-22T12:48:37"/>
    <x v="1"/>
    <m/>
    <m/>
    <x v="1"/>
    <n v="70804"/>
    <n v="1.4790422060488699"/>
    <d v="2016-01-22T12:56:00"/>
    <n v="15.35"/>
    <x v="851"/>
    <n v="1"/>
    <n v="2.2999999999999998"/>
    <n v="0"/>
    <n v="0"/>
    <n v="2.2999999999999998"/>
    <x v="838"/>
    <x v="0"/>
    <x v="1099"/>
    <x v="630"/>
    <n v="14"/>
    <e v="#N/A"/>
    <e v="#N/A"/>
  </r>
  <r>
    <n v="2194"/>
    <d v="2016-01-22T11:32:13"/>
    <d v="2016-01-22T11:47:13"/>
    <x v="1"/>
    <m/>
    <m/>
    <x v="0"/>
    <n v="70803"/>
    <n v="0"/>
    <d v="2016-01-22T11:50:12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2195"/>
    <d v="2016-01-22T11:23:22"/>
    <d v="2016-01-22T11:38:21"/>
    <x v="1"/>
    <m/>
    <m/>
    <x v="1"/>
    <n v="70805"/>
    <n v="2.0024273753561301"/>
    <d v="2016-01-22T11:48:21"/>
    <n v="15.35"/>
    <x v="852"/>
    <n v="1"/>
    <n v="2.2999999999999998"/>
    <n v="0"/>
    <n v="0"/>
    <n v="2.2999999999999998"/>
    <x v="839"/>
    <x v="0"/>
    <x v="1100"/>
    <x v="631"/>
    <n v="14"/>
    <e v="#N/A"/>
    <e v="#N/A"/>
  </r>
  <r>
    <n v="2196"/>
    <d v="2016-01-22T11:54:13"/>
    <d v="2016-01-22T12:09:12"/>
    <x v="0"/>
    <m/>
    <m/>
    <x v="0"/>
    <n v="70803"/>
    <n v="0"/>
    <d v="2016-01-22T12:12:10"/>
    <n v="7.99"/>
    <x v="0"/>
    <n v="1"/>
    <n v="1"/>
    <n v="0"/>
    <n v="0"/>
    <n v="1"/>
    <x v="0"/>
    <x v="0"/>
    <x v="0"/>
    <x v="0"/>
    <n v="7"/>
    <e v="#N/A"/>
    <e v="#N/A"/>
  </r>
  <r>
    <n v="2197"/>
    <d v="2016-01-22T13:51:46"/>
    <d v="2016-01-22T14:06:44"/>
    <x v="2"/>
    <m/>
    <m/>
    <x v="1"/>
    <n v="70805"/>
    <n v="3.4395404153149101"/>
    <d v="2016-01-22T14:23:55"/>
    <n v="11.59"/>
    <x v="805"/>
    <n v="1"/>
    <n v="1.7"/>
    <n v="0"/>
    <n v="0"/>
    <n v="1.7"/>
    <x v="792"/>
    <x v="1"/>
    <x v="1101"/>
    <x v="0"/>
    <n v="10"/>
    <e v="#N/A"/>
    <e v="#N/A"/>
  </r>
  <r>
    <n v="2198"/>
    <d v="2016-01-22T11:40:28"/>
    <d v="2016-01-22T11:55:26"/>
    <x v="2"/>
    <m/>
    <m/>
    <x v="1"/>
    <n v="70805"/>
    <n v="1.8894682588063401"/>
    <d v="2016-01-22T12:04:52"/>
    <n v="11.59"/>
    <x v="853"/>
    <n v="1"/>
    <n v="1.7"/>
    <n v="0"/>
    <n v="0"/>
    <n v="1.7"/>
    <x v="840"/>
    <x v="0"/>
    <x v="1102"/>
    <x v="632"/>
    <n v="10"/>
    <e v="#N/A"/>
    <e v="#N/A"/>
  </r>
  <r>
    <n v="2199"/>
    <d v="2016-01-22T13:35:19"/>
    <d v="2016-01-22T13:50:18"/>
    <x v="0"/>
    <s v="Medium"/>
    <m/>
    <x v="1"/>
    <n v="70803"/>
    <n v="3.9202354065348999"/>
    <d v="2016-01-22T14:09:54"/>
    <n v="19.579999999999998"/>
    <x v="306"/>
    <n v="2"/>
    <n v="1"/>
    <n v="1.7"/>
    <n v="0"/>
    <n v="2.7"/>
    <x v="293"/>
    <x v="1"/>
    <x v="1103"/>
    <x v="0"/>
    <n v="7"/>
    <n v="10"/>
    <e v="#N/A"/>
  </r>
  <r>
    <n v="2200"/>
    <d v="2016-01-22T10:45:10"/>
    <d v="2016-01-22T11:00:10"/>
    <x v="1"/>
    <m/>
    <m/>
    <x v="0"/>
    <n v="70805"/>
    <n v="0"/>
    <d v="2016-01-22T11:03:09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2201"/>
    <d v="2016-01-22T13:04:53"/>
    <d v="2016-01-22T13:19:54"/>
    <x v="1"/>
    <m/>
    <m/>
    <x v="0"/>
    <n v="70804"/>
    <n v="0"/>
    <d v="2016-01-22T13:22:53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2202"/>
    <d v="2016-01-22T10:47:37"/>
    <d v="2016-01-22T11:02:37"/>
    <x v="0"/>
    <m/>
    <m/>
    <x v="0"/>
    <n v="70805"/>
    <n v="0"/>
    <d v="2016-01-22T11:05:37"/>
    <n v="7.99"/>
    <x v="2"/>
    <n v="1"/>
    <n v="1"/>
    <n v="0"/>
    <n v="0"/>
    <n v="1"/>
    <x v="0"/>
    <x v="0"/>
    <x v="0"/>
    <x v="0"/>
    <n v="7"/>
    <e v="#N/A"/>
    <e v="#N/A"/>
  </r>
  <r>
    <n v="2203"/>
    <d v="2016-01-22T12:44:34"/>
    <d v="2016-01-22T12:59:35"/>
    <x v="0"/>
    <s v="Medium"/>
    <m/>
    <x v="1"/>
    <n v="70805"/>
    <n v="1.9222049702749799"/>
    <d v="2016-01-22T13:09:11"/>
    <n v="19.579999999999998"/>
    <x v="854"/>
    <n v="2"/>
    <n v="1"/>
    <n v="1.7"/>
    <n v="0"/>
    <n v="2.7"/>
    <x v="841"/>
    <x v="0"/>
    <x v="1104"/>
    <x v="633"/>
    <n v="7"/>
    <n v="10"/>
    <e v="#N/A"/>
  </r>
  <r>
    <n v="2204"/>
    <d v="2016-01-22T12:46:57"/>
    <d v="2016-01-22T13:01:57"/>
    <x v="2"/>
    <m/>
    <m/>
    <x v="1"/>
    <n v="70806"/>
    <n v="2.8995687177593998"/>
    <d v="2016-01-22T13:16:26"/>
    <n v="11.59"/>
    <x v="779"/>
    <n v="1"/>
    <n v="1.7"/>
    <n v="0"/>
    <n v="0"/>
    <n v="1.7"/>
    <x v="766"/>
    <x v="0"/>
    <x v="1105"/>
    <x v="634"/>
    <n v="10"/>
    <e v="#N/A"/>
    <e v="#N/A"/>
  </r>
  <r>
    <n v="2205"/>
    <d v="2016-01-22T12:20:48"/>
    <d v="2016-01-22T12:35:48"/>
    <x v="0"/>
    <s v="Medium"/>
    <m/>
    <x v="0"/>
    <n v="70806"/>
    <n v="0"/>
    <d v="2016-01-22T12:38:48"/>
    <n v="19.579999999999998"/>
    <x v="2"/>
    <n v="2"/>
    <n v="1"/>
    <n v="1.7"/>
    <n v="0"/>
    <n v="2.7"/>
    <x v="0"/>
    <x v="0"/>
    <x v="0"/>
    <x v="0"/>
    <n v="7"/>
    <n v="10"/>
    <e v="#N/A"/>
  </r>
  <r>
    <n v="2206"/>
    <d v="2016-01-22T13:52:25"/>
    <d v="2016-01-22T14:07:23"/>
    <x v="1"/>
    <m/>
    <m/>
    <x v="1"/>
    <n v="70805"/>
    <n v="3.3625267319873799"/>
    <d v="2016-01-22T14:24:11"/>
    <n v="15.35"/>
    <x v="233"/>
    <n v="1"/>
    <n v="2.2999999999999998"/>
    <n v="0"/>
    <n v="0"/>
    <n v="2.2999999999999998"/>
    <x v="220"/>
    <x v="1"/>
    <x v="1106"/>
    <x v="0"/>
    <n v="14"/>
    <e v="#N/A"/>
    <e v="#N/A"/>
  </r>
  <r>
    <n v="2207"/>
    <d v="2016-01-22T10:14:03"/>
    <d v="2016-01-22T10:29:03"/>
    <x v="1"/>
    <m/>
    <m/>
    <x v="1"/>
    <n v="70805"/>
    <n v="1.65729303552412"/>
    <d v="2016-01-22T10:37:20"/>
    <n v="15.35"/>
    <x v="536"/>
    <n v="1"/>
    <n v="2.2999999999999998"/>
    <n v="0"/>
    <n v="0"/>
    <n v="2.2999999999999998"/>
    <x v="523"/>
    <x v="0"/>
    <x v="1107"/>
    <x v="635"/>
    <n v="14"/>
    <e v="#N/A"/>
    <e v="#N/A"/>
  </r>
  <r>
    <n v="2208"/>
    <d v="2016-01-22T10:53:29"/>
    <d v="2016-01-22T11:08:29"/>
    <x v="0"/>
    <s v="Medium"/>
    <m/>
    <x v="0"/>
    <n v="70805"/>
    <n v="0"/>
    <d v="2016-01-22T11:11:29"/>
    <n v="19.579999999999998"/>
    <x v="2"/>
    <n v="2"/>
    <n v="1"/>
    <n v="1.7"/>
    <n v="0"/>
    <n v="2.7"/>
    <x v="0"/>
    <x v="0"/>
    <x v="0"/>
    <x v="0"/>
    <n v="7"/>
    <n v="10"/>
    <e v="#N/A"/>
  </r>
  <r>
    <n v="2209"/>
    <d v="2016-01-22T11:20:49"/>
    <d v="2016-01-22T11:35:50"/>
    <x v="1"/>
    <m/>
    <m/>
    <x v="0"/>
    <n v="70805"/>
    <n v="0"/>
    <d v="2016-01-22T11:38:50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2210"/>
    <d v="2016-01-22T11:56:48"/>
    <d v="2016-01-22T12:11:49"/>
    <x v="1"/>
    <m/>
    <m/>
    <x v="0"/>
    <n v="70806"/>
    <n v="0"/>
    <d v="2016-01-22T12:14:48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2211"/>
    <d v="2016-01-22T12:21:42"/>
    <d v="2016-01-22T12:36:42"/>
    <x v="1"/>
    <m/>
    <m/>
    <x v="0"/>
    <n v="70805"/>
    <n v="0"/>
    <d v="2016-01-22T12:39:41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2212"/>
    <d v="2016-01-22T14:19:12"/>
    <d v="2016-01-22T14:34:13"/>
    <x v="1"/>
    <m/>
    <m/>
    <x v="1"/>
    <n v="70805"/>
    <n v="4.7566170632568801"/>
    <d v="2016-01-22T14:57:59"/>
    <n v="15.35"/>
    <x v="855"/>
    <n v="1"/>
    <n v="2.2999999999999998"/>
    <n v="0"/>
    <n v="0"/>
    <n v="2.2999999999999998"/>
    <x v="842"/>
    <x v="1"/>
    <x v="1108"/>
    <x v="0"/>
    <n v="14"/>
    <e v="#N/A"/>
    <e v="#N/A"/>
  </r>
  <r>
    <n v="2213"/>
    <d v="2016-01-23T12:31:13"/>
    <d v="2016-01-23T12:46:12"/>
    <x v="0"/>
    <s v="Medium"/>
    <m/>
    <x v="0"/>
    <n v="70805"/>
    <n v="0"/>
    <d v="2016-01-23T12:49:12"/>
    <n v="19.579999999999998"/>
    <x v="2"/>
    <n v="2"/>
    <n v="1"/>
    <n v="1.7"/>
    <n v="0"/>
    <n v="2.7"/>
    <x v="0"/>
    <x v="0"/>
    <x v="0"/>
    <x v="0"/>
    <n v="7"/>
    <n v="10"/>
    <e v="#N/A"/>
  </r>
  <r>
    <n v="2214"/>
    <d v="2016-01-23T12:01:32"/>
    <d v="2016-01-23T12:16:29"/>
    <x v="1"/>
    <m/>
    <m/>
    <x v="0"/>
    <n v="70804"/>
    <n v="0"/>
    <d v="2016-01-23T12:19:29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2215"/>
    <d v="2016-01-23T10:54:41"/>
    <d v="2016-01-23T11:09:40"/>
    <x v="0"/>
    <s v="Large"/>
    <m/>
    <x v="0"/>
    <n v="70804"/>
    <n v="0"/>
    <d v="2016-01-23T11:12:39"/>
    <n v="23.34"/>
    <x v="24"/>
    <n v="2"/>
    <n v="1"/>
    <n v="2.2999999999999998"/>
    <n v="0"/>
    <n v="3.3"/>
    <x v="0"/>
    <x v="0"/>
    <x v="0"/>
    <x v="0"/>
    <n v="7"/>
    <n v="14"/>
    <e v="#N/A"/>
  </r>
  <r>
    <n v="2216"/>
    <d v="2016-01-23T12:15:17"/>
    <d v="2016-01-23T12:30:15"/>
    <x v="2"/>
    <m/>
    <m/>
    <x v="0"/>
    <n v="70803"/>
    <n v="0"/>
    <d v="2016-01-23T12:33:14"/>
    <n v="11.59"/>
    <x v="1"/>
    <n v="1"/>
    <n v="1.7"/>
    <n v="0"/>
    <n v="0"/>
    <n v="1.7"/>
    <x v="0"/>
    <x v="0"/>
    <x v="0"/>
    <x v="0"/>
    <n v="10"/>
    <e v="#N/A"/>
    <e v="#N/A"/>
  </r>
  <r>
    <n v="2217"/>
    <d v="2016-01-23T13:06:24"/>
    <d v="2016-01-23T13:21:24"/>
    <x v="0"/>
    <s v="Medium"/>
    <m/>
    <x v="1"/>
    <n v="70804"/>
    <n v="3.4855599512825601"/>
    <d v="2016-01-23T13:38:49"/>
    <n v="19.579999999999998"/>
    <x v="360"/>
    <n v="2"/>
    <n v="1"/>
    <n v="1.7"/>
    <n v="0"/>
    <n v="2.7"/>
    <x v="347"/>
    <x v="1"/>
    <x v="1109"/>
    <x v="0"/>
    <n v="7"/>
    <n v="10"/>
    <e v="#N/A"/>
  </r>
  <r>
    <n v="2218"/>
    <d v="2016-01-23T11:41:51"/>
    <d v="2016-01-23T11:56:50"/>
    <x v="2"/>
    <m/>
    <m/>
    <x v="1"/>
    <n v="70803"/>
    <n v="3.0173056078623599"/>
    <d v="2016-01-23T12:11:55"/>
    <n v="11.59"/>
    <x v="856"/>
    <n v="1"/>
    <n v="1.7"/>
    <n v="0"/>
    <n v="0"/>
    <n v="1.7"/>
    <x v="843"/>
    <x v="0"/>
    <x v="1110"/>
    <x v="636"/>
    <n v="10"/>
    <e v="#N/A"/>
    <e v="#N/A"/>
  </r>
  <r>
    <n v="2219"/>
    <d v="2016-01-23T12:34:38"/>
    <d v="2016-01-23T12:49:38"/>
    <x v="1"/>
    <m/>
    <m/>
    <x v="1"/>
    <n v="70805"/>
    <n v="5.2147261130814799"/>
    <d v="2016-01-23T13:15:42"/>
    <n v="15.35"/>
    <x v="857"/>
    <n v="1"/>
    <n v="2.2999999999999998"/>
    <n v="0"/>
    <n v="0"/>
    <n v="2.2999999999999998"/>
    <x v="844"/>
    <x v="1"/>
    <x v="1111"/>
    <x v="0"/>
    <n v="14"/>
    <e v="#N/A"/>
    <e v="#N/A"/>
  </r>
  <r>
    <n v="2220"/>
    <d v="2016-01-23T12:18:56"/>
    <d v="2016-01-23T12:33:57"/>
    <x v="1"/>
    <m/>
    <m/>
    <x v="1"/>
    <n v="70805"/>
    <n v="4.12136912681345"/>
    <d v="2016-01-23T12:54:33"/>
    <n v="15.35"/>
    <x v="858"/>
    <n v="1"/>
    <n v="2.2999999999999998"/>
    <n v="0"/>
    <n v="0"/>
    <n v="2.2999999999999998"/>
    <x v="845"/>
    <x v="1"/>
    <x v="1112"/>
    <x v="0"/>
    <n v="14"/>
    <e v="#N/A"/>
    <e v="#N/A"/>
  </r>
  <r>
    <n v="2221"/>
    <d v="2016-01-23T11:48:13"/>
    <d v="2016-01-23T12:03:12"/>
    <x v="1"/>
    <m/>
    <m/>
    <x v="1"/>
    <n v="70804"/>
    <n v="2.9846488685001402"/>
    <d v="2016-01-23T12:18:07"/>
    <n v="15.35"/>
    <x v="37"/>
    <n v="1"/>
    <n v="2.2999999999999998"/>
    <n v="0"/>
    <n v="0"/>
    <n v="2.2999999999999998"/>
    <x v="31"/>
    <x v="0"/>
    <x v="1113"/>
    <x v="637"/>
    <n v="14"/>
    <e v="#N/A"/>
    <e v="#N/A"/>
  </r>
  <r>
    <n v="2222"/>
    <d v="2016-01-23T11:44:21"/>
    <d v="2016-01-23T11:59:20"/>
    <x v="0"/>
    <m/>
    <m/>
    <x v="0"/>
    <n v="70806"/>
    <n v="0"/>
    <d v="2016-01-23T12:02:20"/>
    <n v="7.99"/>
    <x v="2"/>
    <n v="1"/>
    <n v="1"/>
    <n v="0"/>
    <n v="0"/>
    <n v="1"/>
    <x v="0"/>
    <x v="0"/>
    <x v="0"/>
    <x v="0"/>
    <n v="7"/>
    <e v="#N/A"/>
    <e v="#N/A"/>
  </r>
  <r>
    <n v="2223"/>
    <d v="2016-01-23T13:49:25"/>
    <d v="2016-01-23T14:04:24"/>
    <x v="1"/>
    <m/>
    <m/>
    <x v="1"/>
    <n v="70804"/>
    <n v="3.4860221090294501"/>
    <d v="2016-01-23T14:21:49"/>
    <n v="15.35"/>
    <x v="836"/>
    <n v="1"/>
    <n v="2.2999999999999998"/>
    <n v="0"/>
    <n v="0"/>
    <n v="2.2999999999999998"/>
    <x v="823"/>
    <x v="1"/>
    <x v="1114"/>
    <x v="0"/>
    <n v="14"/>
    <e v="#N/A"/>
    <e v="#N/A"/>
  </r>
  <r>
    <n v="2224"/>
    <d v="2016-01-23T12:38:40"/>
    <d v="2016-01-23T12:53:40"/>
    <x v="1"/>
    <m/>
    <m/>
    <x v="1"/>
    <n v="70805"/>
    <n v="5.2566927710266604"/>
    <d v="2016-01-23T13:19:57"/>
    <n v="15.35"/>
    <x v="859"/>
    <n v="1"/>
    <n v="2.2999999999999998"/>
    <n v="0"/>
    <n v="0"/>
    <n v="2.2999999999999998"/>
    <x v="846"/>
    <x v="1"/>
    <x v="1115"/>
    <x v="0"/>
    <n v="14"/>
    <e v="#N/A"/>
    <e v="#N/A"/>
  </r>
  <r>
    <n v="2225"/>
    <d v="2016-01-23T11:08:49"/>
    <d v="2016-01-23T11:23:49"/>
    <x v="0"/>
    <m/>
    <m/>
    <x v="1"/>
    <n v="70804"/>
    <n v="3.6385358951671698"/>
    <d v="2016-01-23T11:42:00"/>
    <n v="7.99"/>
    <x v="860"/>
    <n v="1"/>
    <n v="1"/>
    <n v="0"/>
    <n v="0"/>
    <n v="1"/>
    <x v="847"/>
    <x v="1"/>
    <x v="1116"/>
    <x v="0"/>
    <n v="7"/>
    <e v="#N/A"/>
    <e v="#N/A"/>
  </r>
  <r>
    <n v="2226"/>
    <d v="2016-01-23T14:53:52"/>
    <d v="2016-01-23T15:08:51"/>
    <x v="0"/>
    <m/>
    <m/>
    <x v="0"/>
    <n v="70805"/>
    <n v="0"/>
    <d v="2016-01-23T15:11:50"/>
    <n v="7.99"/>
    <x v="24"/>
    <n v="1"/>
    <n v="1"/>
    <n v="0"/>
    <n v="0"/>
    <n v="1"/>
    <x v="0"/>
    <x v="0"/>
    <x v="0"/>
    <x v="0"/>
    <n v="7"/>
    <e v="#N/A"/>
    <e v="#N/A"/>
  </r>
  <r>
    <n v="2227"/>
    <d v="2016-01-23T11:48:27"/>
    <d v="2016-01-23T12:03:27"/>
    <x v="1"/>
    <m/>
    <m/>
    <x v="1"/>
    <n v="70804"/>
    <n v="2.4585989939622599"/>
    <d v="2016-01-23T12:15:44"/>
    <n v="15.35"/>
    <x v="235"/>
    <n v="1"/>
    <n v="2.2999999999999998"/>
    <n v="0"/>
    <n v="0"/>
    <n v="2.2999999999999998"/>
    <x v="222"/>
    <x v="0"/>
    <x v="1117"/>
    <x v="638"/>
    <n v="14"/>
    <e v="#N/A"/>
    <e v="#N/A"/>
  </r>
  <r>
    <n v="2228"/>
    <d v="2016-01-23T11:28:50"/>
    <d v="2016-01-23T11:43:49"/>
    <x v="1"/>
    <m/>
    <m/>
    <x v="1"/>
    <n v="70803"/>
    <n v="4.5974203175195303"/>
    <d v="2016-01-23T12:06:48"/>
    <n v="15.35"/>
    <x v="861"/>
    <n v="1"/>
    <n v="2.2999999999999998"/>
    <n v="0"/>
    <n v="0"/>
    <n v="2.2999999999999998"/>
    <x v="848"/>
    <x v="1"/>
    <x v="1118"/>
    <x v="0"/>
    <n v="14"/>
    <e v="#N/A"/>
    <e v="#N/A"/>
  </r>
  <r>
    <n v="2229"/>
    <d v="2016-01-23T11:53:30"/>
    <d v="2016-01-23T12:08:29"/>
    <x v="2"/>
    <m/>
    <m/>
    <x v="1"/>
    <n v="70805"/>
    <n v="2.4349513034715402"/>
    <d v="2016-01-23T12:20:39"/>
    <n v="11.59"/>
    <x v="613"/>
    <n v="1"/>
    <n v="1.7"/>
    <n v="0"/>
    <n v="0"/>
    <n v="1.7"/>
    <x v="600"/>
    <x v="0"/>
    <x v="1119"/>
    <x v="639"/>
    <n v="10"/>
    <e v="#N/A"/>
    <e v="#N/A"/>
  </r>
  <r>
    <n v="2230"/>
    <d v="2016-01-23T11:26:36"/>
    <d v="2016-01-23T11:41:35"/>
    <x v="0"/>
    <m/>
    <m/>
    <x v="1"/>
    <n v="70804"/>
    <n v="2.2640351840092099"/>
    <d v="2016-01-23T11:52:54"/>
    <n v="7.99"/>
    <x v="176"/>
    <n v="1"/>
    <n v="1"/>
    <n v="0"/>
    <n v="0"/>
    <n v="1"/>
    <x v="164"/>
    <x v="0"/>
    <x v="1120"/>
    <x v="640"/>
    <n v="7"/>
    <e v="#N/A"/>
    <e v="#N/A"/>
  </r>
  <r>
    <n v="2231"/>
    <d v="2016-01-23T12:44:55"/>
    <d v="2016-01-23T12:59:56"/>
    <x v="0"/>
    <m/>
    <m/>
    <x v="1"/>
    <n v="70804"/>
    <n v="3.2616569355554201"/>
    <d v="2016-01-23T13:16:14"/>
    <n v="7.99"/>
    <x v="710"/>
    <n v="1"/>
    <n v="1"/>
    <n v="0"/>
    <n v="0"/>
    <n v="1"/>
    <x v="697"/>
    <x v="1"/>
    <x v="1121"/>
    <x v="0"/>
    <n v="7"/>
    <e v="#N/A"/>
    <e v="#N/A"/>
  </r>
  <r>
    <n v="2232"/>
    <d v="2016-01-23T13:49:15"/>
    <d v="2016-01-23T14:04:16"/>
    <x v="0"/>
    <m/>
    <m/>
    <x v="1"/>
    <n v="70803"/>
    <n v="2.2516844198441901"/>
    <d v="2016-01-23T14:15:31"/>
    <n v="7.99"/>
    <x v="862"/>
    <n v="1"/>
    <n v="1"/>
    <n v="0"/>
    <n v="0"/>
    <n v="1"/>
    <x v="849"/>
    <x v="0"/>
    <x v="1122"/>
    <x v="641"/>
    <n v="7"/>
    <e v="#N/A"/>
    <e v="#N/A"/>
  </r>
  <r>
    <n v="2233"/>
    <d v="2016-01-23T10:11:08"/>
    <d v="2016-01-23T10:26:07"/>
    <x v="0"/>
    <s v="Medium"/>
    <m/>
    <x v="0"/>
    <n v="70803"/>
    <n v="0"/>
    <d v="2016-01-23T10:29:05"/>
    <n v="19.579999999999998"/>
    <x v="19"/>
    <n v="2"/>
    <n v="1"/>
    <n v="1.7"/>
    <n v="0"/>
    <n v="2.7"/>
    <x v="0"/>
    <x v="0"/>
    <x v="0"/>
    <x v="0"/>
    <n v="7"/>
    <n v="10"/>
    <e v="#N/A"/>
  </r>
  <r>
    <n v="2234"/>
    <d v="2016-01-23T10:23:05"/>
    <d v="2016-01-23T10:38:06"/>
    <x v="0"/>
    <s v="Large"/>
    <m/>
    <x v="0"/>
    <n v="70805"/>
    <n v="0"/>
    <d v="2016-01-23T10:41:05"/>
    <n v="23.34"/>
    <x v="1"/>
    <n v="2"/>
    <n v="1"/>
    <n v="2.2999999999999998"/>
    <n v="0"/>
    <n v="3.3"/>
    <x v="0"/>
    <x v="0"/>
    <x v="0"/>
    <x v="0"/>
    <n v="7"/>
    <n v="14"/>
    <e v="#N/A"/>
  </r>
  <r>
    <n v="2235"/>
    <d v="2016-01-23T11:39:42"/>
    <d v="2016-01-23T11:54:40"/>
    <x v="0"/>
    <m/>
    <m/>
    <x v="1"/>
    <n v="70807"/>
    <n v="1.4842415502875701"/>
    <d v="2016-01-23T12:02:05"/>
    <n v="7.99"/>
    <x v="863"/>
    <n v="1"/>
    <n v="1"/>
    <n v="0"/>
    <n v="0"/>
    <n v="1"/>
    <x v="850"/>
    <x v="0"/>
    <x v="1123"/>
    <x v="642"/>
    <n v="7"/>
    <e v="#N/A"/>
    <e v="#N/A"/>
  </r>
  <r>
    <n v="2236"/>
    <d v="2016-01-23T12:21:49"/>
    <d v="2016-01-23T12:36:47"/>
    <x v="1"/>
    <m/>
    <m/>
    <x v="1"/>
    <n v="70804"/>
    <n v="3.3440628300675002"/>
    <d v="2016-01-23T12:53:30"/>
    <n v="15.35"/>
    <x v="502"/>
    <n v="1"/>
    <n v="2.2999999999999998"/>
    <n v="0"/>
    <n v="0"/>
    <n v="2.2999999999999998"/>
    <x v="489"/>
    <x v="1"/>
    <x v="1124"/>
    <x v="0"/>
    <n v="14"/>
    <e v="#N/A"/>
    <e v="#N/A"/>
  </r>
  <r>
    <n v="2237"/>
    <d v="2016-01-23T11:30:09"/>
    <d v="2016-01-23T11:45:09"/>
    <x v="0"/>
    <s v="Large"/>
    <m/>
    <x v="1"/>
    <n v="70807"/>
    <n v="2.1236371536699301"/>
    <d v="2016-01-23T11:55:46"/>
    <n v="23.34"/>
    <x v="220"/>
    <n v="2"/>
    <n v="1"/>
    <n v="2.2999999999999998"/>
    <n v="0"/>
    <n v="3.3"/>
    <x v="208"/>
    <x v="0"/>
    <x v="1125"/>
    <x v="643"/>
    <n v="7"/>
    <n v="14"/>
    <e v="#N/A"/>
  </r>
  <r>
    <n v="2238"/>
    <d v="2016-01-23T12:02:52"/>
    <d v="2016-01-23T12:17:52"/>
    <x v="0"/>
    <s v="Large"/>
    <m/>
    <x v="1"/>
    <n v="70804"/>
    <n v="2.2236121912081499"/>
    <d v="2016-01-23T12:28:59"/>
    <n v="23.34"/>
    <x v="290"/>
    <n v="2"/>
    <n v="1"/>
    <n v="2.2999999999999998"/>
    <n v="0"/>
    <n v="3.3"/>
    <x v="277"/>
    <x v="0"/>
    <x v="1126"/>
    <x v="644"/>
    <n v="7"/>
    <n v="14"/>
    <e v="#N/A"/>
  </r>
  <r>
    <n v="2239"/>
    <d v="2016-01-23T10:44:35"/>
    <d v="2016-01-23T10:59:35"/>
    <x v="2"/>
    <m/>
    <m/>
    <x v="1"/>
    <n v="70804"/>
    <n v="0.98396099733703601"/>
    <d v="2016-01-23T11:04:30"/>
    <n v="11.59"/>
    <x v="864"/>
    <n v="1"/>
    <n v="1.7"/>
    <n v="0"/>
    <n v="0"/>
    <n v="1.7"/>
    <x v="851"/>
    <x v="0"/>
    <x v="1127"/>
    <x v="645"/>
    <n v="10"/>
    <e v="#N/A"/>
    <e v="#N/A"/>
  </r>
  <r>
    <n v="2240"/>
    <d v="2016-01-23T11:04:11"/>
    <d v="2016-01-23T11:19:10"/>
    <x v="0"/>
    <s v="Medium"/>
    <m/>
    <x v="1"/>
    <n v="70804"/>
    <n v="3.1066023398249198"/>
    <d v="2016-01-23T11:34:41"/>
    <n v="19.579999999999998"/>
    <x v="120"/>
    <n v="2"/>
    <n v="1"/>
    <n v="1.7"/>
    <n v="0"/>
    <n v="2.7"/>
    <x v="110"/>
    <x v="0"/>
    <x v="1128"/>
    <x v="646"/>
    <n v="7"/>
    <n v="10"/>
    <e v="#N/A"/>
  </r>
  <r>
    <n v="2241"/>
    <d v="2016-01-23T12:45:37"/>
    <d v="2016-01-23T13:00:38"/>
    <x v="0"/>
    <s v="Large"/>
    <m/>
    <x v="1"/>
    <n v="70805"/>
    <n v="2.7300120932762799"/>
    <d v="2016-01-23T13:14:17"/>
    <n v="23.34"/>
    <x v="368"/>
    <n v="2"/>
    <n v="1"/>
    <n v="2.2999999999999998"/>
    <n v="0"/>
    <n v="3.3"/>
    <x v="355"/>
    <x v="0"/>
    <x v="1129"/>
    <x v="647"/>
    <n v="7"/>
    <n v="14"/>
    <e v="#N/A"/>
  </r>
  <r>
    <n v="2242"/>
    <d v="2016-01-23T10:20:19"/>
    <d v="2016-01-23T10:35:19"/>
    <x v="1"/>
    <m/>
    <m/>
    <x v="1"/>
    <n v="70805"/>
    <n v="3.5456442724998301"/>
    <d v="2016-01-23T10:53:02"/>
    <n v="15.35"/>
    <x v="865"/>
    <n v="1"/>
    <n v="2.2999999999999998"/>
    <n v="0"/>
    <n v="0"/>
    <n v="2.2999999999999998"/>
    <x v="852"/>
    <x v="1"/>
    <x v="1130"/>
    <x v="0"/>
    <n v="14"/>
    <e v="#N/A"/>
    <e v="#N/A"/>
  </r>
  <r>
    <n v="2243"/>
    <d v="2016-01-23T13:13:58"/>
    <d v="2016-01-23T13:28:57"/>
    <x v="0"/>
    <s v="Medium"/>
    <m/>
    <x v="1"/>
    <n v="70807"/>
    <n v="4.0693561832613296"/>
    <d v="2016-01-23T13:49:17"/>
    <n v="19.579999999999998"/>
    <x v="866"/>
    <n v="2"/>
    <n v="1"/>
    <n v="1.7"/>
    <n v="0"/>
    <n v="2.7"/>
    <x v="853"/>
    <x v="1"/>
    <x v="1131"/>
    <x v="0"/>
    <n v="7"/>
    <n v="10"/>
    <e v="#N/A"/>
  </r>
  <r>
    <n v="2244"/>
    <d v="2016-01-23T11:50:30"/>
    <d v="2016-01-23T12:05:28"/>
    <x v="0"/>
    <m/>
    <m/>
    <x v="1"/>
    <n v="70807"/>
    <n v="3.2861683942302999"/>
    <d v="2016-01-23T12:21:53"/>
    <n v="7.99"/>
    <x v="215"/>
    <n v="1"/>
    <n v="1"/>
    <n v="0"/>
    <n v="0"/>
    <n v="1"/>
    <x v="203"/>
    <x v="1"/>
    <x v="1132"/>
    <x v="0"/>
    <n v="7"/>
    <e v="#N/A"/>
    <e v="#N/A"/>
  </r>
  <r>
    <n v="2245"/>
    <d v="2016-01-23T13:06:07"/>
    <d v="2016-01-23T13:21:07"/>
    <x v="2"/>
    <m/>
    <m/>
    <x v="0"/>
    <n v="70806"/>
    <n v="0"/>
    <d v="2016-01-23T13:24:05"/>
    <n v="11.59"/>
    <x v="0"/>
    <n v="1"/>
    <n v="1.7"/>
    <n v="0"/>
    <n v="0"/>
    <n v="1.7"/>
    <x v="0"/>
    <x v="0"/>
    <x v="0"/>
    <x v="0"/>
    <n v="10"/>
    <e v="#N/A"/>
    <e v="#N/A"/>
  </r>
  <r>
    <n v="2246"/>
    <d v="2016-01-23T11:35:32"/>
    <d v="2016-01-23T11:50:33"/>
    <x v="1"/>
    <m/>
    <m/>
    <x v="0"/>
    <n v="70805"/>
    <n v="0"/>
    <d v="2016-01-23T11:53:32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2247"/>
    <d v="2016-01-23T12:21:59"/>
    <d v="2016-01-23T12:36:58"/>
    <x v="1"/>
    <m/>
    <m/>
    <x v="1"/>
    <n v="70805"/>
    <n v="4.3453667543189303"/>
    <d v="2016-01-23T12:58:41"/>
    <n v="15.35"/>
    <x v="188"/>
    <n v="1"/>
    <n v="2.2999999999999998"/>
    <n v="0"/>
    <n v="0"/>
    <n v="2.2999999999999998"/>
    <x v="176"/>
    <x v="1"/>
    <x v="1133"/>
    <x v="0"/>
    <n v="14"/>
    <e v="#N/A"/>
    <e v="#N/A"/>
  </r>
  <r>
    <n v="2248"/>
    <d v="2016-01-23T11:33:04"/>
    <d v="2016-01-23T11:48:02"/>
    <x v="0"/>
    <s v="Medium"/>
    <m/>
    <x v="0"/>
    <n v="70804"/>
    <n v="0"/>
    <d v="2016-01-23T11:51:01"/>
    <n v="19.579999999999998"/>
    <x v="24"/>
    <n v="2"/>
    <n v="1"/>
    <n v="1.7"/>
    <n v="0"/>
    <n v="2.7"/>
    <x v="0"/>
    <x v="0"/>
    <x v="0"/>
    <x v="0"/>
    <n v="7"/>
    <n v="10"/>
    <e v="#N/A"/>
  </r>
  <r>
    <n v="2249"/>
    <d v="2016-01-23T12:48:29"/>
    <d v="2016-01-23T13:03:28"/>
    <x v="1"/>
    <m/>
    <m/>
    <x v="0"/>
    <n v="70805"/>
    <n v="0"/>
    <d v="2016-01-23T13:06:27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2250"/>
    <d v="2016-01-23T13:13:24"/>
    <d v="2016-01-23T13:28:23"/>
    <x v="2"/>
    <m/>
    <m/>
    <x v="1"/>
    <n v="70806"/>
    <n v="4.1126038269729204"/>
    <d v="2016-01-23T13:48:56"/>
    <n v="11.59"/>
    <x v="867"/>
    <n v="1"/>
    <n v="1.7"/>
    <n v="0"/>
    <n v="0"/>
    <n v="1.7"/>
    <x v="854"/>
    <x v="1"/>
    <x v="1134"/>
    <x v="0"/>
    <n v="10"/>
    <e v="#N/A"/>
    <e v="#N/A"/>
  </r>
  <r>
    <n v="2251"/>
    <d v="2016-01-23T14:00:39"/>
    <d v="2016-01-23T14:15:38"/>
    <x v="1"/>
    <m/>
    <m/>
    <x v="1"/>
    <n v="70806"/>
    <n v="3.6233313057144501"/>
    <d v="2016-01-23T14:33:44"/>
    <n v="15.35"/>
    <x v="868"/>
    <n v="1"/>
    <n v="2.2999999999999998"/>
    <n v="0"/>
    <n v="0"/>
    <n v="2.2999999999999998"/>
    <x v="855"/>
    <x v="1"/>
    <x v="1135"/>
    <x v="0"/>
    <n v="14"/>
    <e v="#N/A"/>
    <e v="#N/A"/>
  </r>
  <r>
    <n v="2252"/>
    <d v="2016-01-23T10:52:39"/>
    <d v="2016-01-23T11:07:38"/>
    <x v="1"/>
    <m/>
    <m/>
    <x v="1"/>
    <n v="70804"/>
    <n v="1.50054974726561"/>
    <d v="2016-01-23T11:15:08"/>
    <n v="15.35"/>
    <x v="719"/>
    <n v="1"/>
    <n v="2.2999999999999998"/>
    <n v="0"/>
    <n v="0"/>
    <n v="2.2999999999999998"/>
    <x v="706"/>
    <x v="0"/>
    <x v="1136"/>
    <x v="648"/>
    <n v="14"/>
    <e v="#N/A"/>
    <e v="#N/A"/>
  </r>
  <r>
    <n v="2253"/>
    <d v="2016-01-23T11:43:39"/>
    <d v="2016-01-23T11:58:39"/>
    <x v="2"/>
    <s v="Large"/>
    <m/>
    <x v="1"/>
    <n v="70803"/>
    <n v="4.3454427656390404"/>
    <d v="2016-01-23T12:20:22"/>
    <n v="25.94"/>
    <x v="188"/>
    <n v="2"/>
    <n v="1.7"/>
    <n v="2.2999999999999998"/>
    <n v="0"/>
    <n v="4"/>
    <x v="176"/>
    <x v="1"/>
    <x v="1137"/>
    <x v="0"/>
    <n v="10"/>
    <n v="14"/>
    <e v="#N/A"/>
  </r>
  <r>
    <n v="2254"/>
    <d v="2016-01-23T11:44:15"/>
    <d v="2016-01-23T11:59:15"/>
    <x v="0"/>
    <s v="Medium"/>
    <m/>
    <x v="1"/>
    <n v="70806"/>
    <n v="4.84671796524374"/>
    <d v="2016-01-23T12:23:29"/>
    <n v="19.579999999999998"/>
    <x v="869"/>
    <n v="2"/>
    <n v="1"/>
    <n v="1.7"/>
    <n v="0"/>
    <n v="2.7"/>
    <x v="856"/>
    <x v="1"/>
    <x v="1138"/>
    <x v="0"/>
    <n v="7"/>
    <n v="10"/>
    <e v="#N/A"/>
  </r>
  <r>
    <n v="2255"/>
    <d v="2016-01-23T12:23:16"/>
    <d v="2016-01-23T12:38:15"/>
    <x v="1"/>
    <m/>
    <m/>
    <x v="1"/>
    <n v="70804"/>
    <n v="2.1099201723951202"/>
    <d v="2016-01-23T12:48:47"/>
    <n v="15.35"/>
    <x v="339"/>
    <n v="1"/>
    <n v="2.2999999999999998"/>
    <n v="0"/>
    <n v="0"/>
    <n v="2.2999999999999998"/>
    <x v="326"/>
    <x v="0"/>
    <x v="1139"/>
    <x v="649"/>
    <n v="14"/>
    <e v="#N/A"/>
    <e v="#N/A"/>
  </r>
  <r>
    <n v="2256"/>
    <d v="2016-01-23T12:23:25"/>
    <d v="2016-01-23T12:38:25"/>
    <x v="2"/>
    <m/>
    <m/>
    <x v="1"/>
    <n v="70805"/>
    <n v="3.7646525184906001"/>
    <d v="2016-01-23T12:57:14"/>
    <n v="11.59"/>
    <x v="713"/>
    <n v="1"/>
    <n v="1.7"/>
    <n v="0"/>
    <n v="0"/>
    <n v="1.7"/>
    <x v="700"/>
    <x v="1"/>
    <x v="1140"/>
    <x v="0"/>
    <n v="10"/>
    <e v="#N/A"/>
    <e v="#N/A"/>
  </r>
  <r>
    <n v="2257"/>
    <d v="2016-01-23T12:53:36"/>
    <d v="2016-01-23T13:08:38"/>
    <x v="1"/>
    <m/>
    <m/>
    <x v="1"/>
    <n v="70805"/>
    <n v="2.7074610915825201"/>
    <d v="2016-01-23T13:22:10"/>
    <n v="15.35"/>
    <x v="91"/>
    <n v="1"/>
    <n v="2.2999999999999998"/>
    <n v="0"/>
    <n v="0"/>
    <n v="2.2999999999999998"/>
    <x v="82"/>
    <x v="0"/>
    <x v="1141"/>
    <x v="650"/>
    <n v="14"/>
    <e v="#N/A"/>
    <e v="#N/A"/>
  </r>
  <r>
    <n v="2258"/>
    <d v="2016-01-23T11:25:04"/>
    <d v="2016-01-23T11:40:04"/>
    <x v="2"/>
    <m/>
    <m/>
    <x v="0"/>
    <n v="70805"/>
    <n v="0"/>
    <d v="2016-01-23T11:43:02"/>
    <n v="11.59"/>
    <x v="0"/>
    <n v="1"/>
    <n v="1.7"/>
    <n v="0"/>
    <n v="0"/>
    <n v="1.7"/>
    <x v="0"/>
    <x v="0"/>
    <x v="0"/>
    <x v="0"/>
    <n v="10"/>
    <e v="#N/A"/>
    <e v="#N/A"/>
  </r>
  <r>
    <n v="2259"/>
    <d v="2016-01-23T11:27:43"/>
    <d v="2016-01-23T11:42:42"/>
    <x v="1"/>
    <m/>
    <m/>
    <x v="1"/>
    <n v="70805"/>
    <n v="2.8714875421796799"/>
    <d v="2016-01-23T11:57:03"/>
    <n v="15.35"/>
    <x v="870"/>
    <n v="1"/>
    <n v="2.2999999999999998"/>
    <n v="0"/>
    <n v="0"/>
    <n v="2.2999999999999998"/>
    <x v="857"/>
    <x v="0"/>
    <x v="1142"/>
    <x v="651"/>
    <n v="14"/>
    <e v="#N/A"/>
    <e v="#N/A"/>
  </r>
  <r>
    <n v="2260"/>
    <d v="2016-01-23T11:39:04"/>
    <d v="2016-01-23T11:54:04"/>
    <x v="2"/>
    <m/>
    <m/>
    <x v="1"/>
    <n v="70805"/>
    <n v="3.2939255983774101"/>
    <d v="2016-01-23T12:10:32"/>
    <n v="11.59"/>
    <x v="213"/>
    <n v="1"/>
    <n v="1.7"/>
    <n v="0"/>
    <n v="0"/>
    <n v="1.7"/>
    <x v="201"/>
    <x v="1"/>
    <x v="1143"/>
    <x v="0"/>
    <n v="10"/>
    <e v="#N/A"/>
    <e v="#N/A"/>
  </r>
  <r>
    <n v="2261"/>
    <d v="2016-01-23T11:05:31"/>
    <d v="2016-01-23T11:20:30"/>
    <x v="1"/>
    <m/>
    <m/>
    <x v="0"/>
    <n v="70807"/>
    <n v="0"/>
    <d v="2016-01-23T11:23:28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2262"/>
    <d v="2016-01-23T12:07:05"/>
    <d v="2016-01-23T12:22:04"/>
    <x v="2"/>
    <m/>
    <m/>
    <x v="0"/>
    <n v="70804"/>
    <n v="0"/>
    <d v="2016-01-23T12:25:04"/>
    <n v="11.59"/>
    <x v="2"/>
    <n v="1"/>
    <n v="1.7"/>
    <n v="0"/>
    <n v="0"/>
    <n v="1.7"/>
    <x v="0"/>
    <x v="0"/>
    <x v="0"/>
    <x v="0"/>
    <n v="10"/>
    <e v="#N/A"/>
    <e v="#N/A"/>
  </r>
  <r>
    <n v="2263"/>
    <d v="2016-01-23T11:23:02"/>
    <d v="2016-01-23T11:38:01"/>
    <x v="2"/>
    <s v="Large"/>
    <m/>
    <x v="1"/>
    <n v="70806"/>
    <n v="3.3715465749706102"/>
    <d v="2016-01-23T11:54:52"/>
    <n v="25.94"/>
    <x v="871"/>
    <n v="2"/>
    <n v="1.7"/>
    <n v="2.2999999999999998"/>
    <n v="0"/>
    <n v="4"/>
    <x v="858"/>
    <x v="1"/>
    <x v="1144"/>
    <x v="0"/>
    <n v="10"/>
    <n v="14"/>
    <e v="#N/A"/>
  </r>
  <r>
    <n v="2264"/>
    <d v="2016-01-23T11:19:52"/>
    <d v="2016-01-23T11:34:53"/>
    <x v="2"/>
    <s v="Large"/>
    <m/>
    <x v="1"/>
    <n v="70803"/>
    <n v="3.54096263269123"/>
    <d v="2016-01-23T11:52:35"/>
    <n v="25.94"/>
    <x v="89"/>
    <n v="2"/>
    <n v="1.7"/>
    <n v="2.2999999999999998"/>
    <n v="0"/>
    <n v="4"/>
    <x v="80"/>
    <x v="1"/>
    <x v="1145"/>
    <x v="0"/>
    <n v="10"/>
    <n v="14"/>
    <e v="#N/A"/>
  </r>
  <r>
    <n v="2265"/>
    <d v="2016-01-23T12:05:00"/>
    <d v="2016-01-23T12:20:00"/>
    <x v="2"/>
    <m/>
    <m/>
    <x v="1"/>
    <n v="70804"/>
    <n v="2.9022895058014799"/>
    <d v="2016-01-23T12:34:30"/>
    <n v="11.59"/>
    <x v="872"/>
    <n v="1"/>
    <n v="1.7"/>
    <n v="0"/>
    <n v="0"/>
    <n v="1.7"/>
    <x v="859"/>
    <x v="0"/>
    <x v="1146"/>
    <x v="652"/>
    <n v="10"/>
    <e v="#N/A"/>
    <e v="#N/A"/>
  </r>
  <r>
    <n v="2266"/>
    <d v="2016-01-23T10:24:37"/>
    <d v="2016-01-23T10:39:37"/>
    <x v="0"/>
    <s v="Large"/>
    <m/>
    <x v="0"/>
    <n v="70803"/>
    <n v="0"/>
    <d v="2016-01-23T10:42:36"/>
    <n v="23.34"/>
    <x v="1"/>
    <n v="2"/>
    <n v="1"/>
    <n v="2.2999999999999998"/>
    <n v="0"/>
    <n v="3.3"/>
    <x v="0"/>
    <x v="0"/>
    <x v="0"/>
    <x v="0"/>
    <n v="7"/>
    <n v="14"/>
    <e v="#N/A"/>
  </r>
  <r>
    <n v="2267"/>
    <d v="2016-01-23T11:22:17"/>
    <d v="2016-01-23T11:37:17"/>
    <x v="2"/>
    <s v="Large"/>
    <m/>
    <x v="0"/>
    <n v="70803"/>
    <n v="0"/>
    <d v="2016-01-23T11:40:18"/>
    <n v="25.94"/>
    <x v="14"/>
    <n v="2"/>
    <n v="1.7"/>
    <n v="2.2999999999999998"/>
    <n v="0"/>
    <n v="4"/>
    <x v="0"/>
    <x v="0"/>
    <x v="0"/>
    <x v="0"/>
    <n v="10"/>
    <n v="14"/>
    <e v="#N/A"/>
  </r>
  <r>
    <n v="2268"/>
    <d v="2016-01-23T13:21:32"/>
    <d v="2016-01-23T13:36:32"/>
    <x v="1"/>
    <m/>
    <m/>
    <x v="1"/>
    <n v="70806"/>
    <n v="1.9802982919521099"/>
    <d v="2016-01-23T13:46:26"/>
    <n v="15.35"/>
    <x v="123"/>
    <n v="1"/>
    <n v="2.2999999999999998"/>
    <n v="0"/>
    <n v="0"/>
    <n v="2.2999999999999998"/>
    <x v="113"/>
    <x v="0"/>
    <x v="1147"/>
    <x v="653"/>
    <n v="14"/>
    <e v="#N/A"/>
    <e v="#N/A"/>
  </r>
  <r>
    <n v="2269"/>
    <d v="2016-01-23T12:46:03"/>
    <d v="2016-01-23T13:01:03"/>
    <x v="0"/>
    <s v="Medium"/>
    <m/>
    <x v="0"/>
    <n v="70806"/>
    <n v="0"/>
    <d v="2016-01-23T13:04:03"/>
    <n v="19.579999999999998"/>
    <x v="2"/>
    <n v="2"/>
    <n v="1"/>
    <n v="1.7"/>
    <n v="0"/>
    <n v="2.7"/>
    <x v="0"/>
    <x v="0"/>
    <x v="0"/>
    <x v="0"/>
    <n v="7"/>
    <n v="10"/>
    <e v="#N/A"/>
  </r>
  <r>
    <n v="2270"/>
    <d v="2016-01-23T10:47:15"/>
    <d v="2016-01-23T11:02:15"/>
    <x v="2"/>
    <m/>
    <m/>
    <x v="1"/>
    <n v="70806"/>
    <n v="2.2475460803560701"/>
    <d v="2016-01-23T11:13:29"/>
    <n v="11.59"/>
    <x v="873"/>
    <n v="1"/>
    <n v="1.7"/>
    <n v="0"/>
    <n v="0"/>
    <n v="1.7"/>
    <x v="860"/>
    <x v="0"/>
    <x v="1148"/>
    <x v="654"/>
    <n v="10"/>
    <e v="#N/A"/>
    <e v="#N/A"/>
  </r>
  <r>
    <n v="2271"/>
    <d v="2016-01-23T13:26:56"/>
    <d v="2016-01-23T13:41:55"/>
    <x v="2"/>
    <m/>
    <m/>
    <x v="1"/>
    <n v="70805"/>
    <n v="2.1488150480420298"/>
    <d v="2016-01-23T13:52:39"/>
    <n v="11.59"/>
    <x v="874"/>
    <n v="1"/>
    <n v="1.7"/>
    <n v="0"/>
    <n v="0"/>
    <n v="1.7"/>
    <x v="861"/>
    <x v="0"/>
    <x v="1149"/>
    <x v="655"/>
    <n v="10"/>
    <e v="#N/A"/>
    <e v="#N/A"/>
  </r>
  <r>
    <n v="2272"/>
    <d v="2016-01-23T10:57:15"/>
    <d v="2016-01-23T11:12:14"/>
    <x v="2"/>
    <s v="Large"/>
    <m/>
    <x v="1"/>
    <n v="70805"/>
    <n v="4.4306322732790901"/>
    <d v="2016-01-23T11:34:23"/>
    <n v="25.94"/>
    <x v="875"/>
    <n v="2"/>
    <n v="1.7"/>
    <n v="2.2999999999999998"/>
    <n v="0"/>
    <n v="4"/>
    <x v="862"/>
    <x v="1"/>
    <x v="1150"/>
    <x v="0"/>
    <n v="10"/>
    <n v="14"/>
    <e v="#N/A"/>
  </r>
  <r>
    <n v="2273"/>
    <d v="2016-01-23T11:37:05"/>
    <d v="2016-01-23T11:52:07"/>
    <x v="0"/>
    <s v="Medium"/>
    <m/>
    <x v="0"/>
    <n v="70803"/>
    <n v="0"/>
    <d v="2016-01-23T11:55:08"/>
    <n v="19.579999999999998"/>
    <x v="14"/>
    <n v="2"/>
    <n v="1"/>
    <n v="1.7"/>
    <n v="0"/>
    <n v="2.7"/>
    <x v="0"/>
    <x v="0"/>
    <x v="0"/>
    <x v="0"/>
    <n v="7"/>
    <n v="10"/>
    <e v="#N/A"/>
  </r>
  <r>
    <n v="2274"/>
    <d v="2016-01-23T11:32:12"/>
    <d v="2016-01-23T11:47:11"/>
    <x v="0"/>
    <m/>
    <m/>
    <x v="0"/>
    <n v="70803"/>
    <n v="0"/>
    <d v="2016-01-23T11:50:10"/>
    <n v="7.99"/>
    <x v="24"/>
    <n v="1"/>
    <n v="1"/>
    <n v="0"/>
    <n v="0"/>
    <n v="1"/>
    <x v="0"/>
    <x v="0"/>
    <x v="0"/>
    <x v="0"/>
    <n v="7"/>
    <e v="#N/A"/>
    <e v="#N/A"/>
  </r>
  <r>
    <n v="2275"/>
    <d v="2016-01-23T10:31:31"/>
    <d v="2016-01-23T10:46:30"/>
    <x v="1"/>
    <m/>
    <m/>
    <x v="1"/>
    <n v="70804"/>
    <n v="3.9144167479018002"/>
    <d v="2016-01-23T11:06:04"/>
    <n v="15.35"/>
    <x v="876"/>
    <n v="1"/>
    <n v="2.2999999999999998"/>
    <n v="0"/>
    <n v="0"/>
    <n v="2.2999999999999998"/>
    <x v="863"/>
    <x v="1"/>
    <x v="1151"/>
    <x v="0"/>
    <n v="14"/>
    <e v="#N/A"/>
    <e v="#N/A"/>
  </r>
  <r>
    <n v="2276"/>
    <d v="2016-01-23T11:29:40"/>
    <d v="2016-01-23T11:44:38"/>
    <x v="1"/>
    <m/>
    <m/>
    <x v="1"/>
    <n v="70804"/>
    <n v="2.5886055941182802"/>
    <d v="2016-01-23T11:57:34"/>
    <n v="15.35"/>
    <x v="877"/>
    <n v="1"/>
    <n v="2.2999999999999998"/>
    <n v="0"/>
    <n v="0"/>
    <n v="2.2999999999999998"/>
    <x v="864"/>
    <x v="0"/>
    <x v="1152"/>
    <x v="656"/>
    <n v="14"/>
    <e v="#N/A"/>
    <e v="#N/A"/>
  </r>
  <r>
    <n v="2277"/>
    <d v="2016-01-23T12:17:30"/>
    <d v="2016-01-23T12:32:30"/>
    <x v="2"/>
    <m/>
    <m/>
    <x v="1"/>
    <n v="70805"/>
    <n v="2.6705116746122801"/>
    <d v="2016-01-23T12:45:51"/>
    <n v="11.59"/>
    <x v="720"/>
    <n v="1"/>
    <n v="1.7"/>
    <n v="0"/>
    <n v="0"/>
    <n v="1.7"/>
    <x v="707"/>
    <x v="0"/>
    <x v="1153"/>
    <x v="657"/>
    <n v="10"/>
    <e v="#N/A"/>
    <e v="#N/A"/>
  </r>
  <r>
    <n v="2278"/>
    <d v="2016-01-23T12:11:23"/>
    <d v="2016-01-23T12:26:23"/>
    <x v="0"/>
    <s v="Medium"/>
    <m/>
    <x v="0"/>
    <n v="70804"/>
    <n v="0"/>
    <d v="2016-01-23T12:29:21"/>
    <n v="19.579999999999998"/>
    <x v="0"/>
    <n v="2"/>
    <n v="1"/>
    <n v="1.7"/>
    <n v="0"/>
    <n v="2.7"/>
    <x v="0"/>
    <x v="0"/>
    <x v="0"/>
    <x v="0"/>
    <n v="7"/>
    <n v="10"/>
    <e v="#N/A"/>
  </r>
  <r>
    <n v="2279"/>
    <d v="2016-01-23T13:26:41"/>
    <d v="2016-01-23T13:41:41"/>
    <x v="1"/>
    <m/>
    <m/>
    <x v="1"/>
    <n v="70803"/>
    <n v="4.5466982594455301"/>
    <d v="2016-01-23T14:04:25"/>
    <n v="15.35"/>
    <x v="591"/>
    <n v="1"/>
    <n v="2.2999999999999998"/>
    <n v="0"/>
    <n v="0"/>
    <n v="2.2999999999999998"/>
    <x v="578"/>
    <x v="1"/>
    <x v="1154"/>
    <x v="0"/>
    <n v="14"/>
    <e v="#N/A"/>
    <e v="#N/A"/>
  </r>
  <r>
    <n v="2280"/>
    <d v="2016-01-23T12:03:48"/>
    <d v="2016-01-23T12:18:48"/>
    <x v="2"/>
    <m/>
    <m/>
    <x v="1"/>
    <n v="70807"/>
    <n v="2.3131376876191601"/>
    <d v="2016-01-23T12:30:21"/>
    <n v="11.59"/>
    <x v="112"/>
    <n v="1"/>
    <n v="1.7"/>
    <n v="0"/>
    <n v="0"/>
    <n v="1.7"/>
    <x v="102"/>
    <x v="0"/>
    <x v="1155"/>
    <x v="658"/>
    <n v="10"/>
    <e v="#N/A"/>
    <e v="#N/A"/>
  </r>
  <r>
    <n v="2281"/>
    <d v="2016-01-23T11:49:49"/>
    <d v="2016-01-23T12:04:49"/>
    <x v="2"/>
    <m/>
    <m/>
    <x v="1"/>
    <n v="70803"/>
    <n v="3.2408949675590799"/>
    <d v="2016-01-23T12:21:01"/>
    <n v="11.59"/>
    <x v="378"/>
    <n v="1"/>
    <n v="1.7"/>
    <n v="0"/>
    <n v="0"/>
    <n v="1.7"/>
    <x v="365"/>
    <x v="1"/>
    <x v="1156"/>
    <x v="0"/>
    <n v="10"/>
    <e v="#N/A"/>
    <e v="#N/A"/>
  </r>
  <r>
    <n v="2282"/>
    <d v="2016-01-23T11:31:30"/>
    <d v="2016-01-23T11:46:28"/>
    <x v="2"/>
    <m/>
    <m/>
    <x v="0"/>
    <n v="70804"/>
    <n v="0"/>
    <d v="2016-01-23T11:49:29"/>
    <n v="11.59"/>
    <x v="14"/>
    <n v="1"/>
    <n v="1.7"/>
    <n v="0"/>
    <n v="0"/>
    <n v="1.7"/>
    <x v="0"/>
    <x v="0"/>
    <x v="0"/>
    <x v="0"/>
    <n v="10"/>
    <e v="#N/A"/>
    <e v="#N/A"/>
  </r>
  <r>
    <n v="2283"/>
    <d v="2016-01-23T12:12:57"/>
    <d v="2016-01-23T12:27:57"/>
    <x v="1"/>
    <m/>
    <m/>
    <x v="1"/>
    <n v="70805"/>
    <n v="3.8989534217078101"/>
    <d v="2016-01-23T12:47:26"/>
    <n v="15.35"/>
    <x v="694"/>
    <n v="1"/>
    <n v="2.2999999999999998"/>
    <n v="0"/>
    <n v="0"/>
    <n v="2.2999999999999998"/>
    <x v="681"/>
    <x v="1"/>
    <x v="1157"/>
    <x v="0"/>
    <n v="14"/>
    <e v="#N/A"/>
    <e v="#N/A"/>
  </r>
  <r>
    <n v="2284"/>
    <d v="2016-01-23T12:29:55"/>
    <d v="2016-01-23T12:44:54"/>
    <x v="2"/>
    <m/>
    <m/>
    <x v="1"/>
    <n v="70805"/>
    <n v="3.9515983400871599"/>
    <d v="2016-01-23T13:04:39"/>
    <n v="11.59"/>
    <x v="878"/>
    <n v="1"/>
    <n v="1.7"/>
    <n v="0"/>
    <n v="0"/>
    <n v="1.7"/>
    <x v="865"/>
    <x v="1"/>
    <x v="1158"/>
    <x v="0"/>
    <n v="10"/>
    <e v="#N/A"/>
    <e v="#N/A"/>
  </r>
  <r>
    <n v="2285"/>
    <d v="2016-01-23T12:04:16"/>
    <d v="2016-01-23T12:19:15"/>
    <x v="0"/>
    <s v="Medium"/>
    <m/>
    <x v="1"/>
    <n v="70805"/>
    <n v="3.4668922632989401"/>
    <d v="2016-01-23T12:36:35"/>
    <n v="19.579999999999998"/>
    <x v="879"/>
    <n v="2"/>
    <n v="1"/>
    <n v="1.7"/>
    <n v="0"/>
    <n v="2.7"/>
    <x v="866"/>
    <x v="1"/>
    <x v="1159"/>
    <x v="0"/>
    <n v="7"/>
    <n v="10"/>
    <e v="#N/A"/>
  </r>
  <r>
    <n v="2286"/>
    <d v="2016-01-23T12:37:52"/>
    <d v="2016-01-23T12:52:51"/>
    <x v="2"/>
    <m/>
    <m/>
    <x v="0"/>
    <n v="70803"/>
    <n v="0"/>
    <d v="2016-01-23T12:55:50"/>
    <n v="11.59"/>
    <x v="24"/>
    <n v="1"/>
    <n v="1.7"/>
    <n v="0"/>
    <n v="0"/>
    <n v="1.7"/>
    <x v="0"/>
    <x v="0"/>
    <x v="0"/>
    <x v="0"/>
    <n v="10"/>
    <e v="#N/A"/>
    <e v="#N/A"/>
  </r>
  <r>
    <n v="2287"/>
    <d v="2016-01-23T11:23:33"/>
    <d v="2016-01-23T11:38:32"/>
    <x v="0"/>
    <s v="Large"/>
    <m/>
    <x v="0"/>
    <n v="70804"/>
    <n v="0"/>
    <d v="2016-01-23T11:41:32"/>
    <n v="23.34"/>
    <x v="2"/>
    <n v="2"/>
    <n v="1"/>
    <n v="2.2999999999999998"/>
    <n v="0"/>
    <n v="3.3"/>
    <x v="0"/>
    <x v="0"/>
    <x v="0"/>
    <x v="0"/>
    <n v="7"/>
    <n v="14"/>
    <e v="#N/A"/>
  </r>
  <r>
    <n v="2288"/>
    <d v="2016-01-23T11:43:33"/>
    <d v="2016-01-23T11:58:33"/>
    <x v="2"/>
    <m/>
    <m/>
    <x v="1"/>
    <n v="70806"/>
    <n v="1.14565184973213"/>
    <d v="2016-01-23T12:04:16"/>
    <n v="11.59"/>
    <x v="880"/>
    <n v="1"/>
    <n v="1.7"/>
    <n v="0"/>
    <n v="0"/>
    <n v="1.7"/>
    <x v="867"/>
    <x v="0"/>
    <x v="1160"/>
    <x v="659"/>
    <n v="10"/>
    <e v="#N/A"/>
    <e v="#N/A"/>
  </r>
  <r>
    <n v="2289"/>
    <d v="2016-01-23T11:37:12"/>
    <d v="2016-01-23T11:52:11"/>
    <x v="0"/>
    <s v="Large"/>
    <m/>
    <x v="0"/>
    <n v="70803"/>
    <n v="0"/>
    <d v="2016-01-23T11:55:11"/>
    <n v="23.34"/>
    <x v="2"/>
    <n v="2"/>
    <n v="1"/>
    <n v="2.2999999999999998"/>
    <n v="0"/>
    <n v="3.3"/>
    <x v="0"/>
    <x v="0"/>
    <x v="0"/>
    <x v="0"/>
    <n v="7"/>
    <n v="14"/>
    <e v="#N/A"/>
  </r>
  <r>
    <n v="2290"/>
    <d v="2016-01-23T14:31:14"/>
    <d v="2016-01-23T14:46:14"/>
    <x v="1"/>
    <m/>
    <m/>
    <x v="1"/>
    <n v="70804"/>
    <n v="3.7950722728781701"/>
    <d v="2016-01-23T15:05:12"/>
    <n v="15.35"/>
    <x v="881"/>
    <n v="1"/>
    <n v="2.2999999999999998"/>
    <n v="0"/>
    <n v="0"/>
    <n v="2.2999999999999998"/>
    <x v="868"/>
    <x v="1"/>
    <x v="1161"/>
    <x v="0"/>
    <n v="14"/>
    <e v="#N/A"/>
    <e v="#N/A"/>
  </r>
  <r>
    <n v="2291"/>
    <d v="2016-01-23T12:31:42"/>
    <d v="2016-01-23T12:46:41"/>
    <x v="0"/>
    <m/>
    <m/>
    <x v="1"/>
    <n v="70804"/>
    <n v="3.5617805404843801"/>
    <d v="2016-01-23T13:04:29"/>
    <n v="7.99"/>
    <x v="340"/>
    <n v="1"/>
    <n v="1"/>
    <n v="0"/>
    <n v="0"/>
    <n v="1"/>
    <x v="327"/>
    <x v="1"/>
    <x v="1162"/>
    <x v="0"/>
    <n v="7"/>
    <e v="#N/A"/>
    <e v="#N/A"/>
  </r>
  <r>
    <n v="2292"/>
    <d v="2016-01-23T12:49:43"/>
    <d v="2016-01-23T13:04:42"/>
    <x v="0"/>
    <s v="Large"/>
    <m/>
    <x v="1"/>
    <n v="70803"/>
    <n v="2.9101615344732799"/>
    <d v="2016-01-23T13:19:15"/>
    <n v="23.34"/>
    <x v="256"/>
    <n v="2"/>
    <n v="1"/>
    <n v="2.2999999999999998"/>
    <n v="0"/>
    <n v="3.3"/>
    <x v="243"/>
    <x v="0"/>
    <x v="1163"/>
    <x v="660"/>
    <n v="7"/>
    <n v="14"/>
    <e v="#N/A"/>
  </r>
  <r>
    <n v="2293"/>
    <d v="2016-01-23T12:24:17"/>
    <d v="2016-01-23T12:39:16"/>
    <x v="0"/>
    <m/>
    <m/>
    <x v="1"/>
    <n v="70804"/>
    <n v="4.6284216153307103"/>
    <d v="2016-01-23T13:02:24"/>
    <n v="7.99"/>
    <x v="882"/>
    <n v="1"/>
    <n v="1"/>
    <n v="0"/>
    <n v="0"/>
    <n v="1"/>
    <x v="869"/>
    <x v="1"/>
    <x v="1164"/>
    <x v="0"/>
    <n v="7"/>
    <e v="#N/A"/>
    <e v="#N/A"/>
  </r>
  <r>
    <n v="2294"/>
    <d v="2016-01-23T13:23:34"/>
    <d v="2016-01-23T13:38:34"/>
    <x v="0"/>
    <m/>
    <m/>
    <x v="1"/>
    <n v="70803"/>
    <n v="1.30152726097358"/>
    <d v="2016-01-23T13:45:04"/>
    <n v="7.99"/>
    <x v="586"/>
    <n v="1"/>
    <n v="1"/>
    <n v="0"/>
    <n v="0"/>
    <n v="1"/>
    <x v="573"/>
    <x v="0"/>
    <x v="1165"/>
    <x v="661"/>
    <n v="7"/>
    <e v="#N/A"/>
    <e v="#N/A"/>
  </r>
  <r>
    <n v="2295"/>
    <d v="2016-01-23T13:21:53"/>
    <d v="2016-01-23T13:36:53"/>
    <x v="0"/>
    <s v="Large"/>
    <m/>
    <x v="0"/>
    <n v="70803"/>
    <n v="0"/>
    <d v="2016-01-23T13:39:52"/>
    <n v="23.34"/>
    <x v="1"/>
    <n v="2"/>
    <n v="1"/>
    <n v="2.2999999999999998"/>
    <n v="0"/>
    <n v="3.3"/>
    <x v="0"/>
    <x v="0"/>
    <x v="0"/>
    <x v="0"/>
    <n v="7"/>
    <n v="14"/>
    <e v="#N/A"/>
  </r>
  <r>
    <n v="2296"/>
    <d v="2016-01-23T10:12:03"/>
    <d v="2016-01-23T10:27:03"/>
    <x v="1"/>
    <m/>
    <m/>
    <x v="0"/>
    <n v="70808"/>
    <n v="0"/>
    <d v="2016-01-23T10:30:03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2297"/>
    <d v="2016-01-23T12:28:23"/>
    <d v="2016-01-23T12:43:21"/>
    <x v="0"/>
    <m/>
    <m/>
    <x v="0"/>
    <n v="70804"/>
    <n v="0"/>
    <d v="2016-01-23T12:46:20"/>
    <n v="7.99"/>
    <x v="24"/>
    <n v="1"/>
    <n v="1"/>
    <n v="0"/>
    <n v="0"/>
    <n v="1"/>
    <x v="0"/>
    <x v="0"/>
    <x v="0"/>
    <x v="0"/>
    <n v="7"/>
    <e v="#N/A"/>
    <e v="#N/A"/>
  </r>
  <r>
    <n v="2298"/>
    <d v="2016-01-23T12:50:14"/>
    <d v="2016-01-23T13:05:13"/>
    <x v="1"/>
    <m/>
    <m/>
    <x v="0"/>
    <n v="70803"/>
    <n v="0"/>
    <d v="2016-01-23T13:08:12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2299"/>
    <d v="2016-01-23T11:50:21"/>
    <d v="2016-01-23T12:05:21"/>
    <x v="1"/>
    <m/>
    <m/>
    <x v="1"/>
    <n v="70807"/>
    <n v="2.9878322107743598"/>
    <d v="2016-01-23T12:20:17"/>
    <n v="15.35"/>
    <x v="101"/>
    <n v="1"/>
    <n v="2.2999999999999998"/>
    <n v="0"/>
    <n v="0"/>
    <n v="2.2999999999999998"/>
    <x v="92"/>
    <x v="0"/>
    <x v="1166"/>
    <x v="662"/>
    <n v="14"/>
    <e v="#N/A"/>
    <e v="#N/A"/>
  </r>
  <r>
    <n v="2300"/>
    <d v="2016-01-23T11:57:09"/>
    <d v="2016-01-23T12:12:08"/>
    <x v="0"/>
    <m/>
    <m/>
    <x v="1"/>
    <n v="70804"/>
    <n v="3.42642962518658"/>
    <d v="2016-01-23T12:29:15"/>
    <n v="7.99"/>
    <x v="826"/>
    <n v="1"/>
    <n v="1"/>
    <n v="0"/>
    <n v="0"/>
    <n v="1"/>
    <x v="813"/>
    <x v="1"/>
    <x v="1167"/>
    <x v="0"/>
    <n v="7"/>
    <e v="#N/A"/>
    <e v="#N/A"/>
  </r>
  <r>
    <n v="2301"/>
    <d v="2016-01-23T12:21:41"/>
    <d v="2016-01-23T12:36:42"/>
    <x v="1"/>
    <m/>
    <m/>
    <x v="0"/>
    <n v="70804"/>
    <n v="0"/>
    <d v="2016-01-23T12:39:41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2302"/>
    <d v="2016-01-23T10:23:09"/>
    <d v="2016-01-23T10:38:07"/>
    <x v="1"/>
    <m/>
    <m/>
    <x v="1"/>
    <n v="70803"/>
    <n v="1.8874173656222999"/>
    <d v="2016-01-23T10:47:33"/>
    <n v="15.35"/>
    <x v="853"/>
    <n v="1"/>
    <n v="2.2999999999999998"/>
    <n v="0"/>
    <n v="0"/>
    <n v="2.2999999999999998"/>
    <x v="840"/>
    <x v="0"/>
    <x v="1168"/>
    <x v="663"/>
    <n v="14"/>
    <e v="#N/A"/>
    <e v="#N/A"/>
  </r>
  <r>
    <n v="2303"/>
    <d v="2016-01-23T11:18:08"/>
    <d v="2016-01-23T11:33:09"/>
    <x v="1"/>
    <m/>
    <m/>
    <x v="0"/>
    <n v="70805"/>
    <n v="0"/>
    <d v="2016-01-23T11:36:07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2304"/>
    <d v="2016-01-23T13:30:44"/>
    <d v="2016-01-23T13:45:42"/>
    <x v="0"/>
    <s v="Large"/>
    <m/>
    <x v="1"/>
    <n v="70805"/>
    <n v="3.8071308565687501"/>
    <d v="2016-01-23T14:04:44"/>
    <n v="23.34"/>
    <x v="883"/>
    <n v="2"/>
    <n v="1"/>
    <n v="2.2999999999999998"/>
    <n v="0"/>
    <n v="3.3"/>
    <x v="870"/>
    <x v="1"/>
    <x v="1169"/>
    <x v="0"/>
    <n v="7"/>
    <n v="14"/>
    <e v="#N/A"/>
  </r>
  <r>
    <n v="2305"/>
    <d v="2016-01-23T11:19:22"/>
    <d v="2016-01-23T11:34:20"/>
    <x v="2"/>
    <m/>
    <m/>
    <x v="0"/>
    <n v="70806"/>
    <n v="0"/>
    <d v="2016-01-23T11:37:19"/>
    <n v="11.59"/>
    <x v="24"/>
    <n v="1"/>
    <n v="1.7"/>
    <n v="0"/>
    <n v="0"/>
    <n v="1.7"/>
    <x v="0"/>
    <x v="0"/>
    <x v="0"/>
    <x v="0"/>
    <n v="10"/>
    <e v="#N/A"/>
    <e v="#N/A"/>
  </r>
  <r>
    <n v="2306"/>
    <d v="2016-01-23T10:28:36"/>
    <d v="2016-01-23T10:43:36"/>
    <x v="0"/>
    <m/>
    <m/>
    <x v="0"/>
    <n v="70808"/>
    <n v="0"/>
    <d v="2016-01-23T10:46:36"/>
    <n v="7.99"/>
    <x v="2"/>
    <n v="1"/>
    <n v="1"/>
    <n v="0"/>
    <n v="0"/>
    <n v="1"/>
    <x v="0"/>
    <x v="0"/>
    <x v="0"/>
    <x v="0"/>
    <n v="7"/>
    <e v="#N/A"/>
    <e v="#N/A"/>
  </r>
  <r>
    <n v="2307"/>
    <d v="2016-01-23T12:49:54"/>
    <d v="2016-01-23T13:04:53"/>
    <x v="1"/>
    <m/>
    <m/>
    <x v="1"/>
    <n v="70803"/>
    <n v="2.9286994623253801"/>
    <d v="2016-01-23T13:19:31"/>
    <n v="15.35"/>
    <x v="751"/>
    <n v="1"/>
    <n v="2.2999999999999998"/>
    <n v="0"/>
    <n v="0"/>
    <n v="2.2999999999999998"/>
    <x v="738"/>
    <x v="0"/>
    <x v="1170"/>
    <x v="664"/>
    <n v="14"/>
    <e v="#N/A"/>
    <e v="#N/A"/>
  </r>
  <r>
    <n v="2308"/>
    <d v="2016-01-24T12:05:45"/>
    <d v="2016-01-24T12:20:45"/>
    <x v="0"/>
    <s v="Large"/>
    <m/>
    <x v="1"/>
    <n v="70803"/>
    <n v="3.4959683245780599"/>
    <d v="2016-01-24T12:38:13"/>
    <n v="23.34"/>
    <x v="344"/>
    <n v="2"/>
    <n v="1"/>
    <n v="2.2999999999999998"/>
    <n v="0"/>
    <n v="3.3"/>
    <x v="331"/>
    <x v="1"/>
    <x v="1171"/>
    <x v="0"/>
    <n v="7"/>
    <n v="14"/>
    <e v="#N/A"/>
  </r>
  <r>
    <n v="2309"/>
    <d v="2016-01-24T12:04:04"/>
    <d v="2016-01-24T12:19:04"/>
    <x v="2"/>
    <m/>
    <m/>
    <x v="1"/>
    <n v="70805"/>
    <n v="3.1832558920515299"/>
    <d v="2016-01-24T12:34:58"/>
    <n v="11.59"/>
    <x v="884"/>
    <n v="1"/>
    <n v="1.7"/>
    <n v="0"/>
    <n v="0"/>
    <n v="1.7"/>
    <x v="871"/>
    <x v="0"/>
    <x v="1172"/>
    <x v="665"/>
    <n v="10"/>
    <e v="#N/A"/>
    <e v="#N/A"/>
  </r>
  <r>
    <n v="2310"/>
    <d v="2016-01-24T12:44:21"/>
    <d v="2016-01-24T12:59:21"/>
    <x v="0"/>
    <s v="Medium"/>
    <m/>
    <x v="0"/>
    <n v="70805"/>
    <n v="0"/>
    <d v="2016-01-24T13:02:20"/>
    <n v="19.579999999999998"/>
    <x v="24"/>
    <n v="2"/>
    <n v="1"/>
    <n v="1.7"/>
    <n v="0"/>
    <n v="2.7"/>
    <x v="0"/>
    <x v="0"/>
    <x v="0"/>
    <x v="0"/>
    <n v="7"/>
    <n v="10"/>
    <e v="#N/A"/>
  </r>
  <r>
    <n v="2311"/>
    <d v="2016-01-24T12:15:11"/>
    <d v="2016-01-24T12:30:10"/>
    <x v="0"/>
    <m/>
    <m/>
    <x v="1"/>
    <n v="70804"/>
    <n v="3.6579938936574901"/>
    <d v="2016-01-24T12:48:27"/>
    <n v="7.99"/>
    <x v="80"/>
    <n v="1"/>
    <n v="1"/>
    <n v="0"/>
    <n v="0"/>
    <n v="1"/>
    <x v="71"/>
    <x v="1"/>
    <x v="1173"/>
    <x v="0"/>
    <n v="7"/>
    <e v="#N/A"/>
    <e v="#N/A"/>
  </r>
  <r>
    <n v="2312"/>
    <d v="2016-01-24T11:29:44"/>
    <d v="2016-01-24T11:44:43"/>
    <x v="0"/>
    <m/>
    <m/>
    <x v="1"/>
    <n v="70803"/>
    <n v="3.8840465537100299"/>
    <d v="2016-01-24T12:04:08"/>
    <n v="7.99"/>
    <x v="885"/>
    <n v="1"/>
    <n v="1"/>
    <n v="0"/>
    <n v="0"/>
    <n v="1"/>
    <x v="872"/>
    <x v="1"/>
    <x v="1174"/>
    <x v="0"/>
    <n v="7"/>
    <e v="#N/A"/>
    <e v="#N/A"/>
  </r>
  <r>
    <n v="2313"/>
    <d v="2016-01-24T12:15:04"/>
    <d v="2016-01-24T12:30:02"/>
    <x v="0"/>
    <m/>
    <m/>
    <x v="0"/>
    <n v="70804"/>
    <n v="0"/>
    <d v="2016-01-24T12:33:01"/>
    <n v="7.99"/>
    <x v="24"/>
    <n v="1"/>
    <n v="1"/>
    <n v="0"/>
    <n v="0"/>
    <n v="1"/>
    <x v="0"/>
    <x v="0"/>
    <x v="0"/>
    <x v="0"/>
    <n v="7"/>
    <e v="#N/A"/>
    <e v="#N/A"/>
  </r>
  <r>
    <n v="2314"/>
    <d v="2016-01-24T11:29:24"/>
    <d v="2016-01-24T11:44:24"/>
    <x v="0"/>
    <s v="Large"/>
    <m/>
    <x v="1"/>
    <n v="70805"/>
    <n v="0.52230039947984697"/>
    <d v="2016-01-24T11:47:00"/>
    <n v="23.34"/>
    <x v="886"/>
    <n v="2"/>
    <n v="1"/>
    <n v="2.2999999999999998"/>
    <n v="0"/>
    <n v="3.3"/>
    <x v="873"/>
    <x v="0"/>
    <x v="1175"/>
    <x v="666"/>
    <n v="7"/>
    <n v="14"/>
    <e v="#N/A"/>
  </r>
  <r>
    <n v="2315"/>
    <d v="2016-01-24T12:34:33"/>
    <d v="2016-01-24T12:49:33"/>
    <x v="1"/>
    <m/>
    <m/>
    <x v="1"/>
    <n v="70805"/>
    <n v="2.48716650353958"/>
    <d v="2016-01-24T13:01:59"/>
    <n v="15.35"/>
    <x v="887"/>
    <n v="1"/>
    <n v="2.2999999999999998"/>
    <n v="0"/>
    <n v="0"/>
    <n v="2.2999999999999998"/>
    <x v="874"/>
    <x v="0"/>
    <x v="1176"/>
    <x v="667"/>
    <n v="14"/>
    <e v="#N/A"/>
    <e v="#N/A"/>
  </r>
  <r>
    <n v="2316"/>
    <d v="2016-01-24T11:19:14"/>
    <d v="2016-01-24T11:34:12"/>
    <x v="1"/>
    <m/>
    <m/>
    <x v="0"/>
    <n v="70804"/>
    <n v="0"/>
    <d v="2016-01-24T11:37:11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2317"/>
    <d v="2016-01-24T12:11:23"/>
    <d v="2016-01-24T12:26:21"/>
    <x v="2"/>
    <m/>
    <m/>
    <x v="0"/>
    <n v="70807"/>
    <n v="0"/>
    <d v="2016-01-24T12:29:20"/>
    <n v="11.59"/>
    <x v="1"/>
    <n v="1"/>
    <n v="1.7"/>
    <n v="0"/>
    <n v="0"/>
    <n v="1.7"/>
    <x v="0"/>
    <x v="0"/>
    <x v="0"/>
    <x v="0"/>
    <n v="10"/>
    <e v="#N/A"/>
    <e v="#N/A"/>
  </r>
  <r>
    <n v="2318"/>
    <d v="2016-01-24T10:42:34"/>
    <d v="2016-01-24T10:57:32"/>
    <x v="2"/>
    <m/>
    <m/>
    <x v="1"/>
    <n v="70807"/>
    <n v="3.2701642205387702"/>
    <d v="2016-01-24T11:13:53"/>
    <n v="11.59"/>
    <x v="594"/>
    <n v="1"/>
    <n v="1.7"/>
    <n v="0"/>
    <n v="0"/>
    <n v="1.7"/>
    <x v="581"/>
    <x v="1"/>
    <x v="1177"/>
    <x v="0"/>
    <n v="10"/>
    <e v="#N/A"/>
    <e v="#N/A"/>
  </r>
  <r>
    <n v="2319"/>
    <d v="2016-01-24T13:29:22"/>
    <d v="2016-01-24T13:44:21"/>
    <x v="0"/>
    <m/>
    <m/>
    <x v="1"/>
    <n v="70805"/>
    <n v="0.79245760127384501"/>
    <d v="2016-01-24T13:48:18"/>
    <n v="7.99"/>
    <x v="888"/>
    <n v="1"/>
    <n v="1"/>
    <n v="0"/>
    <n v="0"/>
    <n v="1"/>
    <x v="875"/>
    <x v="0"/>
    <x v="1178"/>
    <x v="668"/>
    <n v="7"/>
    <e v="#N/A"/>
    <e v="#N/A"/>
  </r>
  <r>
    <n v="2320"/>
    <d v="2016-01-24T10:02:23"/>
    <d v="2016-01-24T10:17:23"/>
    <x v="0"/>
    <s v="Large"/>
    <m/>
    <x v="0"/>
    <n v="70804"/>
    <n v="0"/>
    <d v="2016-01-24T10:20:22"/>
    <n v="23.34"/>
    <x v="1"/>
    <n v="2"/>
    <n v="1"/>
    <n v="2.2999999999999998"/>
    <n v="0"/>
    <n v="3.3"/>
    <x v="0"/>
    <x v="0"/>
    <x v="0"/>
    <x v="0"/>
    <n v="7"/>
    <n v="14"/>
    <e v="#N/A"/>
  </r>
  <r>
    <n v="2321"/>
    <d v="2016-01-24T12:28:55"/>
    <d v="2016-01-24T12:43:54"/>
    <x v="0"/>
    <m/>
    <m/>
    <x v="0"/>
    <n v="70807"/>
    <n v="0"/>
    <d v="2016-01-24T12:46:52"/>
    <n v="7.99"/>
    <x v="19"/>
    <n v="1"/>
    <n v="1"/>
    <n v="0"/>
    <n v="0"/>
    <n v="1"/>
    <x v="0"/>
    <x v="0"/>
    <x v="0"/>
    <x v="0"/>
    <n v="7"/>
    <e v="#N/A"/>
    <e v="#N/A"/>
  </r>
  <r>
    <n v="2322"/>
    <d v="2016-01-24T13:40:13"/>
    <d v="2016-01-24T13:55:13"/>
    <x v="0"/>
    <m/>
    <m/>
    <x v="1"/>
    <n v="70804"/>
    <n v="2.25409693164428"/>
    <d v="2016-01-24T14:06:29"/>
    <n v="7.99"/>
    <x v="633"/>
    <n v="1"/>
    <n v="1"/>
    <n v="0"/>
    <n v="0"/>
    <n v="1"/>
    <x v="620"/>
    <x v="0"/>
    <x v="1179"/>
    <x v="669"/>
    <n v="7"/>
    <e v="#N/A"/>
    <e v="#N/A"/>
  </r>
  <r>
    <n v="2323"/>
    <d v="2016-01-24T10:06:43"/>
    <d v="2016-01-24T10:21:44"/>
    <x v="2"/>
    <m/>
    <m/>
    <x v="0"/>
    <n v="70803"/>
    <n v="0"/>
    <d v="2016-01-24T10:24:42"/>
    <n v="11.59"/>
    <x v="0"/>
    <n v="1"/>
    <n v="1.7"/>
    <n v="0"/>
    <n v="0"/>
    <n v="1.7"/>
    <x v="0"/>
    <x v="0"/>
    <x v="0"/>
    <x v="0"/>
    <n v="10"/>
    <e v="#N/A"/>
    <e v="#N/A"/>
  </r>
  <r>
    <n v="2324"/>
    <d v="2016-01-24T12:43:37"/>
    <d v="2016-01-24T12:58:38"/>
    <x v="1"/>
    <m/>
    <m/>
    <x v="0"/>
    <n v="70805"/>
    <n v="0"/>
    <d v="2016-01-24T13:01:38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2325"/>
    <d v="2016-01-24T11:47:48"/>
    <d v="2016-01-24T12:02:49"/>
    <x v="0"/>
    <m/>
    <m/>
    <x v="1"/>
    <n v="70803"/>
    <n v="2.72147475611703"/>
    <d v="2016-01-24T12:16:25"/>
    <n v="7.99"/>
    <x v="624"/>
    <n v="1"/>
    <n v="1"/>
    <n v="0"/>
    <n v="0"/>
    <n v="1"/>
    <x v="611"/>
    <x v="0"/>
    <x v="1180"/>
    <x v="670"/>
    <n v="7"/>
    <e v="#N/A"/>
    <e v="#N/A"/>
  </r>
  <r>
    <n v="2326"/>
    <d v="2016-01-24T10:48:48"/>
    <d v="2016-01-24T11:03:49"/>
    <x v="1"/>
    <m/>
    <m/>
    <x v="1"/>
    <n v="70803"/>
    <n v="3.8420448074512001"/>
    <d v="2016-01-24T11:23:01"/>
    <n v="15.35"/>
    <x v="412"/>
    <n v="1"/>
    <n v="2.2999999999999998"/>
    <n v="0"/>
    <n v="0"/>
    <n v="2.2999999999999998"/>
    <x v="399"/>
    <x v="1"/>
    <x v="1181"/>
    <x v="0"/>
    <n v="14"/>
    <e v="#N/A"/>
    <e v="#N/A"/>
  </r>
  <r>
    <n v="2327"/>
    <d v="2016-01-24T10:00:30"/>
    <d v="2016-01-24T10:15:31"/>
    <x v="2"/>
    <m/>
    <m/>
    <x v="1"/>
    <n v="70803"/>
    <n v="2.3597254915980201"/>
    <d v="2016-01-24T10:27:18"/>
    <n v="11.59"/>
    <x v="4"/>
    <n v="1"/>
    <n v="1.7"/>
    <n v="0"/>
    <n v="0"/>
    <n v="1.7"/>
    <x v="2"/>
    <x v="0"/>
    <x v="1182"/>
    <x v="671"/>
    <n v="10"/>
    <e v="#N/A"/>
    <e v="#N/A"/>
  </r>
  <r>
    <n v="2328"/>
    <d v="2016-01-24T12:37:09"/>
    <d v="2016-01-24T12:52:07"/>
    <x v="0"/>
    <m/>
    <m/>
    <x v="1"/>
    <n v="70807"/>
    <n v="3.90113629428431"/>
    <d v="2016-01-24T13:11:37"/>
    <n v="7.99"/>
    <x v="132"/>
    <n v="1"/>
    <n v="1"/>
    <n v="0"/>
    <n v="0"/>
    <n v="1"/>
    <x v="122"/>
    <x v="1"/>
    <x v="1183"/>
    <x v="0"/>
    <n v="7"/>
    <e v="#N/A"/>
    <e v="#N/A"/>
  </r>
  <r>
    <n v="2329"/>
    <d v="2016-01-24T13:12:46"/>
    <d v="2016-01-24T13:27:45"/>
    <x v="0"/>
    <s v="Large"/>
    <m/>
    <x v="0"/>
    <n v="70804"/>
    <n v="0"/>
    <d v="2016-01-24T13:30:45"/>
    <n v="23.34"/>
    <x v="2"/>
    <n v="2"/>
    <n v="1"/>
    <n v="2.2999999999999998"/>
    <n v="0"/>
    <n v="3.3"/>
    <x v="0"/>
    <x v="0"/>
    <x v="0"/>
    <x v="0"/>
    <n v="7"/>
    <n v="14"/>
    <e v="#N/A"/>
  </r>
  <r>
    <n v="2330"/>
    <d v="2016-01-24T12:31:40"/>
    <d v="2016-01-24T12:46:39"/>
    <x v="2"/>
    <m/>
    <m/>
    <x v="1"/>
    <n v="70803"/>
    <n v="3.9201811330931702"/>
    <d v="2016-01-24T13:06:15"/>
    <n v="11.59"/>
    <x v="306"/>
    <n v="1"/>
    <n v="1.7"/>
    <n v="0"/>
    <n v="0"/>
    <n v="1.7"/>
    <x v="293"/>
    <x v="1"/>
    <x v="1184"/>
    <x v="0"/>
    <n v="10"/>
    <e v="#N/A"/>
    <e v="#N/A"/>
  </r>
  <r>
    <n v="2331"/>
    <d v="2016-01-24T12:24:16"/>
    <d v="2016-01-24T12:39:14"/>
    <x v="0"/>
    <s v="Medium"/>
    <m/>
    <x v="1"/>
    <n v="70806"/>
    <n v="3.79469297221923"/>
    <d v="2016-01-24T12:58:12"/>
    <n v="19.579999999999998"/>
    <x v="889"/>
    <n v="2"/>
    <n v="1"/>
    <n v="1.7"/>
    <n v="0"/>
    <n v="2.7"/>
    <x v="876"/>
    <x v="1"/>
    <x v="1185"/>
    <x v="0"/>
    <n v="7"/>
    <n v="10"/>
    <e v="#N/A"/>
  </r>
  <r>
    <n v="2332"/>
    <d v="2016-01-24T12:34:31"/>
    <d v="2016-01-24T12:49:31"/>
    <x v="2"/>
    <m/>
    <m/>
    <x v="0"/>
    <n v="70805"/>
    <n v="0"/>
    <d v="2016-01-24T12:52:30"/>
    <n v="11.59"/>
    <x v="1"/>
    <n v="1"/>
    <n v="1.7"/>
    <n v="0"/>
    <n v="0"/>
    <n v="1.7"/>
    <x v="0"/>
    <x v="0"/>
    <x v="0"/>
    <x v="0"/>
    <n v="10"/>
    <e v="#N/A"/>
    <e v="#N/A"/>
  </r>
  <r>
    <n v="2333"/>
    <d v="2016-01-24T11:45:39"/>
    <d v="2016-01-24T12:00:37"/>
    <x v="0"/>
    <s v="Medium"/>
    <m/>
    <x v="0"/>
    <n v="70804"/>
    <n v="0"/>
    <d v="2016-01-24T12:03:36"/>
    <n v="19.579999999999998"/>
    <x v="1"/>
    <n v="2"/>
    <n v="1"/>
    <n v="1.7"/>
    <n v="0"/>
    <n v="2.7"/>
    <x v="0"/>
    <x v="0"/>
    <x v="0"/>
    <x v="0"/>
    <n v="7"/>
    <n v="10"/>
    <e v="#N/A"/>
  </r>
  <r>
    <n v="2334"/>
    <d v="2016-01-24T11:10:15"/>
    <d v="2016-01-24T11:25:15"/>
    <x v="0"/>
    <m/>
    <m/>
    <x v="1"/>
    <n v="70804"/>
    <n v="4.0228269957229497"/>
    <d v="2016-01-24T11:45:21"/>
    <n v="7.99"/>
    <x v="510"/>
    <n v="1"/>
    <n v="1"/>
    <n v="0"/>
    <n v="0"/>
    <n v="1"/>
    <x v="497"/>
    <x v="1"/>
    <x v="1186"/>
    <x v="0"/>
    <n v="7"/>
    <e v="#N/A"/>
    <e v="#N/A"/>
  </r>
  <r>
    <n v="2335"/>
    <d v="2016-01-24T13:59:52"/>
    <d v="2016-01-24T14:14:52"/>
    <x v="0"/>
    <s v="Large"/>
    <m/>
    <x v="0"/>
    <n v="70804"/>
    <n v="0"/>
    <d v="2016-01-24T14:17:51"/>
    <n v="23.34"/>
    <x v="24"/>
    <n v="2"/>
    <n v="1"/>
    <n v="2.2999999999999998"/>
    <n v="0"/>
    <n v="3.3"/>
    <x v="0"/>
    <x v="0"/>
    <x v="0"/>
    <x v="0"/>
    <n v="7"/>
    <n v="14"/>
    <e v="#N/A"/>
  </r>
  <r>
    <n v="2336"/>
    <d v="2016-01-24T11:29:37"/>
    <d v="2016-01-24T11:44:37"/>
    <x v="2"/>
    <m/>
    <m/>
    <x v="1"/>
    <n v="70805"/>
    <n v="4.5454812275125898"/>
    <d v="2016-01-24T12:07:20"/>
    <n v="11.59"/>
    <x v="890"/>
    <n v="1"/>
    <n v="1.7"/>
    <n v="0"/>
    <n v="0"/>
    <n v="1.7"/>
    <x v="877"/>
    <x v="1"/>
    <x v="1187"/>
    <x v="0"/>
    <n v="10"/>
    <e v="#N/A"/>
    <e v="#N/A"/>
  </r>
  <r>
    <n v="2337"/>
    <d v="2016-01-24T13:33:29"/>
    <d v="2016-01-24T13:48:29"/>
    <x v="2"/>
    <m/>
    <m/>
    <x v="0"/>
    <n v="70805"/>
    <n v="0"/>
    <d v="2016-01-24T13:51:29"/>
    <n v="11.59"/>
    <x v="2"/>
    <n v="1"/>
    <n v="1.7"/>
    <n v="0"/>
    <n v="0"/>
    <n v="1.7"/>
    <x v="0"/>
    <x v="0"/>
    <x v="0"/>
    <x v="0"/>
    <n v="10"/>
    <e v="#N/A"/>
    <e v="#N/A"/>
  </r>
  <r>
    <n v="2338"/>
    <d v="2016-01-24T11:47:06"/>
    <d v="2016-01-24T12:02:06"/>
    <x v="0"/>
    <m/>
    <m/>
    <x v="1"/>
    <n v="70805"/>
    <n v="3.8090468023192599"/>
    <d v="2016-01-24T12:21:08"/>
    <n v="7.99"/>
    <x v="883"/>
    <n v="1"/>
    <n v="1"/>
    <n v="0"/>
    <n v="0"/>
    <n v="1"/>
    <x v="870"/>
    <x v="1"/>
    <x v="1188"/>
    <x v="0"/>
    <n v="7"/>
    <e v="#N/A"/>
    <e v="#N/A"/>
  </r>
  <r>
    <n v="2339"/>
    <d v="2016-01-24T12:12:51"/>
    <d v="2016-01-24T12:27:50"/>
    <x v="0"/>
    <s v="Medium"/>
    <m/>
    <x v="1"/>
    <n v="70804"/>
    <n v="2.97973523621308"/>
    <d v="2016-01-24T12:42:43"/>
    <n v="19.579999999999998"/>
    <x v="635"/>
    <n v="2"/>
    <n v="1"/>
    <n v="1.7"/>
    <n v="0"/>
    <n v="2.7"/>
    <x v="622"/>
    <x v="0"/>
    <x v="1189"/>
    <x v="672"/>
    <n v="7"/>
    <n v="10"/>
    <e v="#N/A"/>
  </r>
  <r>
    <n v="2340"/>
    <d v="2016-01-24T10:30:45"/>
    <d v="2016-01-24T10:45:45"/>
    <x v="0"/>
    <s v="Medium"/>
    <m/>
    <x v="1"/>
    <n v="70806"/>
    <n v="2.70030373253595"/>
    <d v="2016-01-24T10:59:15"/>
    <n v="19.579999999999998"/>
    <x v="891"/>
    <n v="2"/>
    <n v="1"/>
    <n v="1.7"/>
    <n v="0"/>
    <n v="2.7"/>
    <x v="878"/>
    <x v="0"/>
    <x v="1190"/>
    <x v="673"/>
    <n v="7"/>
    <n v="10"/>
    <e v="#N/A"/>
  </r>
  <r>
    <n v="2341"/>
    <d v="2016-01-24T13:54:36"/>
    <d v="2016-01-24T14:09:35"/>
    <x v="0"/>
    <s v="Medium"/>
    <m/>
    <x v="0"/>
    <n v="70804"/>
    <n v="0"/>
    <d v="2016-01-24T14:12:34"/>
    <n v="19.579999999999998"/>
    <x v="24"/>
    <n v="2"/>
    <n v="1"/>
    <n v="1.7"/>
    <n v="0"/>
    <n v="2.7"/>
    <x v="0"/>
    <x v="0"/>
    <x v="0"/>
    <x v="0"/>
    <n v="7"/>
    <n v="10"/>
    <e v="#N/A"/>
  </r>
  <r>
    <n v="2342"/>
    <d v="2016-01-24T12:47:23"/>
    <d v="2016-01-24T13:02:23"/>
    <x v="2"/>
    <m/>
    <m/>
    <x v="0"/>
    <n v="70803"/>
    <n v="0"/>
    <d v="2016-01-24T13:05:24"/>
    <n v="11.59"/>
    <x v="14"/>
    <n v="1"/>
    <n v="1.7"/>
    <n v="0"/>
    <n v="0"/>
    <n v="1.7"/>
    <x v="0"/>
    <x v="0"/>
    <x v="0"/>
    <x v="0"/>
    <n v="10"/>
    <e v="#N/A"/>
    <e v="#N/A"/>
  </r>
  <r>
    <n v="2343"/>
    <d v="2016-01-24T12:54:50"/>
    <d v="2016-01-24T13:09:50"/>
    <x v="1"/>
    <m/>
    <m/>
    <x v="1"/>
    <n v="70803"/>
    <n v="5.43520830300369"/>
    <d v="2016-01-24T13:37:00"/>
    <n v="15.35"/>
    <x v="892"/>
    <n v="1"/>
    <n v="2.2999999999999998"/>
    <n v="0"/>
    <n v="0"/>
    <n v="2.2999999999999998"/>
    <x v="879"/>
    <x v="1"/>
    <x v="1191"/>
    <x v="0"/>
    <n v="14"/>
    <e v="#N/A"/>
    <e v="#N/A"/>
  </r>
  <r>
    <n v="2344"/>
    <d v="2016-01-24T14:44:40"/>
    <d v="2016-01-24T14:59:39"/>
    <x v="2"/>
    <m/>
    <m/>
    <x v="1"/>
    <n v="70806"/>
    <n v="4.4790040602868997"/>
    <d v="2016-01-24T15:22:02"/>
    <n v="11.59"/>
    <x v="893"/>
    <n v="1"/>
    <n v="1.7"/>
    <n v="0"/>
    <n v="0"/>
    <n v="1.7"/>
    <x v="880"/>
    <x v="1"/>
    <x v="1192"/>
    <x v="0"/>
    <n v="10"/>
    <e v="#N/A"/>
    <e v="#N/A"/>
  </r>
  <r>
    <n v="2345"/>
    <d v="2016-01-24T12:18:27"/>
    <d v="2016-01-24T12:33:26"/>
    <x v="1"/>
    <m/>
    <m/>
    <x v="0"/>
    <n v="70807"/>
    <n v="0"/>
    <d v="2016-01-24T12:36:24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2346"/>
    <d v="2016-01-24T11:41:23"/>
    <d v="2016-01-24T11:56:21"/>
    <x v="1"/>
    <m/>
    <m/>
    <x v="0"/>
    <n v="70804"/>
    <n v="0"/>
    <d v="2016-01-24T11:59:20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2347"/>
    <d v="2016-01-24T12:30:29"/>
    <d v="2016-01-24T12:45:28"/>
    <x v="0"/>
    <s v="Medium"/>
    <m/>
    <x v="0"/>
    <n v="70805"/>
    <n v="0"/>
    <d v="2016-01-24T12:48:28"/>
    <n v="19.579999999999998"/>
    <x v="2"/>
    <n v="2"/>
    <n v="1"/>
    <n v="1.7"/>
    <n v="0"/>
    <n v="2.7"/>
    <x v="0"/>
    <x v="0"/>
    <x v="0"/>
    <x v="0"/>
    <n v="7"/>
    <n v="10"/>
    <e v="#N/A"/>
  </r>
  <r>
    <n v="2348"/>
    <d v="2016-01-24T12:57:52"/>
    <d v="2016-01-24T13:12:53"/>
    <x v="0"/>
    <m/>
    <m/>
    <x v="0"/>
    <n v="70803"/>
    <n v="0"/>
    <d v="2016-01-24T13:15:53"/>
    <n v="7.99"/>
    <x v="2"/>
    <n v="1"/>
    <n v="1"/>
    <n v="0"/>
    <n v="0"/>
    <n v="1"/>
    <x v="0"/>
    <x v="0"/>
    <x v="0"/>
    <x v="0"/>
    <n v="7"/>
    <e v="#N/A"/>
    <e v="#N/A"/>
  </r>
  <r>
    <n v="2349"/>
    <d v="2016-01-24T11:31:42"/>
    <d v="2016-01-24T11:46:42"/>
    <x v="0"/>
    <s v="Medium"/>
    <m/>
    <x v="1"/>
    <n v="70807"/>
    <n v="3.9014382414687598"/>
    <d v="2016-01-24T12:06:12"/>
    <n v="19.579999999999998"/>
    <x v="132"/>
    <n v="2"/>
    <n v="1"/>
    <n v="1.7"/>
    <n v="0"/>
    <n v="2.7"/>
    <x v="122"/>
    <x v="1"/>
    <x v="1193"/>
    <x v="0"/>
    <n v="7"/>
    <n v="10"/>
    <e v="#N/A"/>
  </r>
  <r>
    <n v="2350"/>
    <d v="2016-01-24T13:28:16"/>
    <d v="2016-01-24T13:43:15"/>
    <x v="0"/>
    <s v="Medium"/>
    <m/>
    <x v="1"/>
    <n v="70805"/>
    <n v="2.0036864461325101"/>
    <d v="2016-01-24T13:53:16"/>
    <n v="19.579999999999998"/>
    <x v="894"/>
    <n v="2"/>
    <n v="1"/>
    <n v="1.7"/>
    <n v="0"/>
    <n v="2.7"/>
    <x v="881"/>
    <x v="0"/>
    <x v="1194"/>
    <x v="674"/>
    <n v="7"/>
    <n v="10"/>
    <e v="#N/A"/>
  </r>
  <r>
    <n v="2351"/>
    <d v="2016-01-24T11:46:51"/>
    <d v="2016-01-24T12:01:50"/>
    <x v="0"/>
    <s v="Medium"/>
    <m/>
    <x v="1"/>
    <n v="70803"/>
    <n v="2.7378709717680598"/>
    <d v="2016-01-24T12:15:31"/>
    <n v="19.579999999999998"/>
    <x v="664"/>
    <n v="2"/>
    <n v="1"/>
    <n v="1.7"/>
    <n v="0"/>
    <n v="2.7"/>
    <x v="651"/>
    <x v="0"/>
    <x v="1195"/>
    <x v="675"/>
    <n v="7"/>
    <n v="10"/>
    <e v="#N/A"/>
  </r>
  <r>
    <n v="2352"/>
    <d v="2016-01-24T12:51:25"/>
    <d v="2016-01-24T13:06:24"/>
    <x v="2"/>
    <m/>
    <m/>
    <x v="0"/>
    <n v="70804"/>
    <n v="0"/>
    <d v="2016-01-24T13:09:24"/>
    <n v="11.59"/>
    <x v="2"/>
    <n v="1"/>
    <n v="1.7"/>
    <n v="0"/>
    <n v="0"/>
    <n v="1.7"/>
    <x v="0"/>
    <x v="0"/>
    <x v="0"/>
    <x v="0"/>
    <n v="10"/>
    <e v="#N/A"/>
    <e v="#N/A"/>
  </r>
  <r>
    <n v="2353"/>
    <d v="2016-01-24T11:21:32"/>
    <d v="2016-01-24T11:36:31"/>
    <x v="2"/>
    <m/>
    <m/>
    <x v="0"/>
    <n v="70803"/>
    <n v="0"/>
    <d v="2016-01-24T11:39:30"/>
    <n v="11.59"/>
    <x v="24"/>
    <n v="1"/>
    <n v="1.7"/>
    <n v="0"/>
    <n v="0"/>
    <n v="1.7"/>
    <x v="0"/>
    <x v="0"/>
    <x v="0"/>
    <x v="0"/>
    <n v="10"/>
    <e v="#N/A"/>
    <e v="#N/A"/>
  </r>
  <r>
    <n v="2354"/>
    <d v="2016-01-24T12:30:07"/>
    <d v="2016-01-24T12:45:06"/>
    <x v="2"/>
    <m/>
    <m/>
    <x v="1"/>
    <n v="70804"/>
    <n v="0.91515351586054805"/>
    <d v="2016-01-24T12:49:40"/>
    <n v="11.59"/>
    <x v="158"/>
    <n v="1"/>
    <n v="1.7"/>
    <n v="0"/>
    <n v="0"/>
    <n v="1.7"/>
    <x v="148"/>
    <x v="0"/>
    <x v="1196"/>
    <x v="676"/>
    <n v="10"/>
    <e v="#N/A"/>
    <e v="#N/A"/>
  </r>
  <r>
    <n v="2355"/>
    <d v="2016-01-24T12:18:43"/>
    <d v="2016-01-24T12:33:43"/>
    <x v="1"/>
    <m/>
    <m/>
    <x v="1"/>
    <n v="70807"/>
    <n v="2.5256360016347701"/>
    <d v="2016-01-24T12:46:20"/>
    <n v="15.35"/>
    <x v="810"/>
    <n v="1"/>
    <n v="2.2999999999999998"/>
    <n v="0"/>
    <n v="0"/>
    <n v="2.2999999999999998"/>
    <x v="797"/>
    <x v="0"/>
    <x v="1197"/>
    <x v="677"/>
    <n v="14"/>
    <e v="#N/A"/>
    <e v="#N/A"/>
  </r>
  <r>
    <n v="2356"/>
    <d v="2016-01-24T11:51:40"/>
    <d v="2016-01-24T12:06:38"/>
    <x v="1"/>
    <m/>
    <m/>
    <x v="0"/>
    <n v="70803"/>
    <n v="0"/>
    <d v="2016-01-24T12:09:37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2357"/>
    <d v="2016-01-24T10:35:05"/>
    <d v="2016-01-24T10:50:05"/>
    <x v="0"/>
    <s v="Large"/>
    <m/>
    <x v="1"/>
    <n v="70803"/>
    <n v="1.0275279905636501"/>
    <d v="2016-01-24T10:55:13"/>
    <n v="23.34"/>
    <x v="895"/>
    <n v="2"/>
    <n v="1"/>
    <n v="2.2999999999999998"/>
    <n v="0"/>
    <n v="3.3"/>
    <x v="882"/>
    <x v="0"/>
    <x v="1198"/>
    <x v="678"/>
    <n v="7"/>
    <n v="14"/>
    <e v="#N/A"/>
  </r>
  <r>
    <n v="2358"/>
    <d v="2016-01-24T12:57:56"/>
    <d v="2016-01-24T13:12:57"/>
    <x v="0"/>
    <m/>
    <m/>
    <x v="0"/>
    <n v="70803"/>
    <n v="0"/>
    <d v="2016-01-24T13:15:58"/>
    <n v="7.99"/>
    <x v="14"/>
    <n v="1"/>
    <n v="1"/>
    <n v="0"/>
    <n v="0"/>
    <n v="1"/>
    <x v="0"/>
    <x v="0"/>
    <x v="0"/>
    <x v="0"/>
    <n v="7"/>
    <e v="#N/A"/>
    <e v="#N/A"/>
  </r>
  <r>
    <n v="2359"/>
    <d v="2016-01-24T12:02:18"/>
    <d v="2016-01-24T12:17:17"/>
    <x v="1"/>
    <m/>
    <m/>
    <x v="1"/>
    <n v="70808"/>
    <n v="3.9641082418131202"/>
    <d v="2016-01-24T12:37:06"/>
    <n v="15.35"/>
    <x v="48"/>
    <n v="1"/>
    <n v="2.2999999999999998"/>
    <n v="0"/>
    <n v="0"/>
    <n v="2.2999999999999998"/>
    <x v="42"/>
    <x v="1"/>
    <x v="1199"/>
    <x v="0"/>
    <n v="14"/>
    <e v="#N/A"/>
    <e v="#N/A"/>
  </r>
  <r>
    <n v="2360"/>
    <d v="2016-01-24T12:51:55"/>
    <d v="2016-01-24T13:06:54"/>
    <x v="0"/>
    <s v="Large"/>
    <m/>
    <x v="1"/>
    <n v="70806"/>
    <n v="1.5286101994752199"/>
    <d v="2016-01-24T13:14:32"/>
    <n v="23.34"/>
    <x v="896"/>
    <n v="2"/>
    <n v="1"/>
    <n v="2.2999999999999998"/>
    <n v="0"/>
    <n v="3.3"/>
    <x v="883"/>
    <x v="0"/>
    <x v="1200"/>
    <x v="679"/>
    <n v="7"/>
    <n v="14"/>
    <e v="#N/A"/>
  </r>
  <r>
    <n v="2361"/>
    <d v="2016-01-24T12:30:15"/>
    <d v="2016-01-24T12:45:16"/>
    <x v="2"/>
    <m/>
    <m/>
    <x v="1"/>
    <n v="70804"/>
    <n v="2.0165953101860898"/>
    <d v="2016-01-24T12:55:20"/>
    <n v="11.59"/>
    <x v="524"/>
    <n v="1"/>
    <n v="1.7"/>
    <n v="0"/>
    <n v="0"/>
    <n v="1.7"/>
    <x v="511"/>
    <x v="0"/>
    <x v="1201"/>
    <x v="680"/>
    <n v="10"/>
    <e v="#N/A"/>
    <e v="#N/A"/>
  </r>
  <r>
    <n v="2362"/>
    <d v="2016-01-24T13:34:08"/>
    <d v="2016-01-24T13:49:09"/>
    <x v="0"/>
    <m/>
    <m/>
    <x v="1"/>
    <n v="70804"/>
    <n v="2.86144540506923"/>
    <d v="2016-01-24T14:03:27"/>
    <n v="7.99"/>
    <x v="289"/>
    <n v="1"/>
    <n v="1"/>
    <n v="0"/>
    <n v="0"/>
    <n v="1"/>
    <x v="276"/>
    <x v="0"/>
    <x v="1202"/>
    <x v="681"/>
    <n v="7"/>
    <e v="#N/A"/>
    <e v="#N/A"/>
  </r>
  <r>
    <n v="2363"/>
    <d v="2016-01-24T12:55:00"/>
    <d v="2016-01-24T13:10:01"/>
    <x v="1"/>
    <m/>
    <m/>
    <x v="0"/>
    <n v="70804"/>
    <n v="0"/>
    <d v="2016-01-24T13:13:01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2364"/>
    <d v="2016-01-24T12:31:20"/>
    <d v="2016-01-24T12:46:20"/>
    <x v="1"/>
    <m/>
    <m/>
    <x v="1"/>
    <n v="70804"/>
    <n v="4.5204089392986297"/>
    <d v="2016-01-24T13:08:56"/>
    <n v="15.35"/>
    <x v="897"/>
    <n v="1"/>
    <n v="2.2999999999999998"/>
    <n v="0"/>
    <n v="0"/>
    <n v="2.2999999999999998"/>
    <x v="884"/>
    <x v="1"/>
    <x v="1203"/>
    <x v="0"/>
    <n v="14"/>
    <e v="#N/A"/>
    <e v="#N/A"/>
  </r>
  <r>
    <n v="2365"/>
    <d v="2016-01-24T11:12:33"/>
    <d v="2016-01-24T11:27:31"/>
    <x v="1"/>
    <m/>
    <m/>
    <x v="0"/>
    <n v="70805"/>
    <n v="0"/>
    <d v="2016-01-24T11:30:30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2366"/>
    <d v="2016-01-24T11:31:22"/>
    <d v="2016-01-24T11:46:23"/>
    <x v="1"/>
    <m/>
    <m/>
    <x v="0"/>
    <n v="70807"/>
    <n v="0"/>
    <d v="2016-01-24T11:49:23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2367"/>
    <d v="2016-01-24T10:56:11"/>
    <d v="2016-01-24T11:11:10"/>
    <x v="1"/>
    <m/>
    <m/>
    <x v="0"/>
    <n v="70806"/>
    <n v="0"/>
    <d v="2016-01-24T11:14:07"/>
    <n v="15.35"/>
    <x v="102"/>
    <n v="1"/>
    <n v="2.2999999999999998"/>
    <n v="0"/>
    <n v="0"/>
    <n v="2.2999999999999998"/>
    <x v="0"/>
    <x v="0"/>
    <x v="0"/>
    <x v="0"/>
    <n v="14"/>
    <e v="#N/A"/>
    <e v="#N/A"/>
  </r>
  <r>
    <n v="2368"/>
    <d v="2016-01-24T12:09:33"/>
    <d v="2016-01-24T12:24:32"/>
    <x v="2"/>
    <m/>
    <m/>
    <x v="0"/>
    <n v="70804"/>
    <n v="0"/>
    <d v="2016-01-24T12:27:31"/>
    <n v="11.59"/>
    <x v="24"/>
    <n v="1"/>
    <n v="1.7"/>
    <n v="0"/>
    <n v="0"/>
    <n v="1.7"/>
    <x v="0"/>
    <x v="0"/>
    <x v="0"/>
    <x v="0"/>
    <n v="10"/>
    <e v="#N/A"/>
    <e v="#N/A"/>
  </r>
  <r>
    <n v="2369"/>
    <d v="2016-01-24T12:46:16"/>
    <d v="2016-01-24T13:01:14"/>
    <x v="1"/>
    <m/>
    <m/>
    <x v="1"/>
    <n v="70804"/>
    <n v="0.511800087124332"/>
    <d v="2016-01-24T13:03:47"/>
    <n v="15.35"/>
    <x v="898"/>
    <n v="1"/>
    <n v="2.2999999999999998"/>
    <n v="0"/>
    <n v="0"/>
    <n v="2.2999999999999998"/>
    <x v="885"/>
    <x v="0"/>
    <x v="1204"/>
    <x v="682"/>
    <n v="14"/>
    <e v="#N/A"/>
    <e v="#N/A"/>
  </r>
  <r>
    <n v="2370"/>
    <d v="2016-01-24T11:57:12"/>
    <d v="2016-01-24T12:12:11"/>
    <x v="1"/>
    <m/>
    <m/>
    <x v="0"/>
    <n v="70806"/>
    <n v="0"/>
    <d v="2016-01-24T12:15:11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2371"/>
    <d v="2016-01-24T13:07:34"/>
    <d v="2016-01-24T13:22:35"/>
    <x v="0"/>
    <s v="Medium"/>
    <m/>
    <x v="0"/>
    <n v="70804"/>
    <n v="0"/>
    <d v="2016-01-24T13:25:33"/>
    <n v="19.579999999999998"/>
    <x v="0"/>
    <n v="2"/>
    <n v="1"/>
    <n v="1.7"/>
    <n v="0"/>
    <n v="2.7"/>
    <x v="0"/>
    <x v="0"/>
    <x v="0"/>
    <x v="0"/>
    <n v="7"/>
    <n v="10"/>
    <e v="#N/A"/>
  </r>
  <r>
    <n v="2372"/>
    <d v="2016-01-24T12:08:05"/>
    <d v="2016-01-24T12:23:05"/>
    <x v="0"/>
    <s v="Large"/>
    <m/>
    <x v="0"/>
    <n v="70804"/>
    <n v="0"/>
    <d v="2016-01-24T12:26:04"/>
    <n v="23.34"/>
    <x v="24"/>
    <n v="2"/>
    <n v="1"/>
    <n v="2.2999999999999998"/>
    <n v="0"/>
    <n v="3.3"/>
    <x v="0"/>
    <x v="0"/>
    <x v="0"/>
    <x v="0"/>
    <n v="7"/>
    <n v="14"/>
    <e v="#N/A"/>
  </r>
  <r>
    <n v="2373"/>
    <d v="2016-01-24T12:54:26"/>
    <d v="2016-01-24T13:09:23"/>
    <x v="2"/>
    <m/>
    <m/>
    <x v="0"/>
    <n v="70804"/>
    <n v="0"/>
    <d v="2016-01-24T13:12:24"/>
    <n v="11.59"/>
    <x v="14"/>
    <n v="1"/>
    <n v="1.7"/>
    <n v="0"/>
    <n v="0"/>
    <n v="1.7"/>
    <x v="0"/>
    <x v="0"/>
    <x v="0"/>
    <x v="0"/>
    <n v="10"/>
    <e v="#N/A"/>
    <e v="#N/A"/>
  </r>
  <r>
    <n v="2374"/>
    <d v="2016-01-24T12:02:00"/>
    <d v="2016-01-24T12:17:00"/>
    <x v="0"/>
    <m/>
    <m/>
    <x v="0"/>
    <n v="70806"/>
    <n v="0"/>
    <d v="2016-01-24T12:20:00"/>
    <n v="7.99"/>
    <x v="2"/>
    <n v="1"/>
    <n v="1"/>
    <n v="0"/>
    <n v="0"/>
    <n v="1"/>
    <x v="0"/>
    <x v="0"/>
    <x v="0"/>
    <x v="0"/>
    <n v="7"/>
    <e v="#N/A"/>
    <e v="#N/A"/>
  </r>
  <r>
    <n v="2375"/>
    <d v="2016-01-24T12:55:15"/>
    <d v="2016-01-24T13:10:12"/>
    <x v="1"/>
    <m/>
    <m/>
    <x v="0"/>
    <n v="70803"/>
    <n v="0"/>
    <d v="2016-01-24T13:13:11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2376"/>
    <d v="2016-01-24T12:25:00"/>
    <d v="2016-01-24T12:39:59"/>
    <x v="0"/>
    <s v="Medium"/>
    <m/>
    <x v="0"/>
    <n v="70805"/>
    <n v="0"/>
    <d v="2016-01-24T12:42:58"/>
    <n v="19.579999999999998"/>
    <x v="24"/>
    <n v="2"/>
    <n v="1"/>
    <n v="1.7"/>
    <n v="0"/>
    <n v="2.7"/>
    <x v="0"/>
    <x v="0"/>
    <x v="0"/>
    <x v="0"/>
    <n v="7"/>
    <n v="10"/>
    <e v="#N/A"/>
  </r>
  <r>
    <n v="2377"/>
    <d v="2016-01-24T12:29:53"/>
    <d v="2016-01-24T12:44:53"/>
    <x v="1"/>
    <m/>
    <m/>
    <x v="0"/>
    <n v="70805"/>
    <n v="0"/>
    <d v="2016-01-24T12:47:53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2378"/>
    <d v="2016-01-24T12:33:07"/>
    <d v="2016-01-24T12:48:08"/>
    <x v="2"/>
    <m/>
    <m/>
    <x v="1"/>
    <n v="70803"/>
    <n v="1.1611506683175401"/>
    <d v="2016-01-24T12:53:56"/>
    <n v="11.59"/>
    <x v="899"/>
    <n v="1"/>
    <n v="1.7"/>
    <n v="0"/>
    <n v="0"/>
    <n v="1.7"/>
    <x v="886"/>
    <x v="0"/>
    <x v="1205"/>
    <x v="683"/>
    <n v="10"/>
    <e v="#N/A"/>
    <e v="#N/A"/>
  </r>
  <r>
    <n v="2379"/>
    <d v="2016-01-24T13:39:42"/>
    <d v="2016-01-24T13:54:43"/>
    <x v="0"/>
    <s v="Medium"/>
    <m/>
    <x v="1"/>
    <n v="70803"/>
    <n v="2.7461654341821902"/>
    <d v="2016-01-24T14:08:26"/>
    <n v="19.579999999999998"/>
    <x v="630"/>
    <n v="2"/>
    <n v="1"/>
    <n v="1.7"/>
    <n v="0"/>
    <n v="2.7"/>
    <x v="617"/>
    <x v="0"/>
    <x v="1206"/>
    <x v="684"/>
    <n v="7"/>
    <n v="10"/>
    <e v="#N/A"/>
  </r>
  <r>
    <n v="2380"/>
    <d v="2016-01-24T11:25:28"/>
    <d v="2016-01-24T11:40:29"/>
    <x v="0"/>
    <m/>
    <m/>
    <x v="0"/>
    <n v="70804"/>
    <n v="0"/>
    <d v="2016-01-24T11:43:28"/>
    <n v="7.99"/>
    <x v="1"/>
    <n v="1"/>
    <n v="1"/>
    <n v="0"/>
    <n v="0"/>
    <n v="1"/>
    <x v="0"/>
    <x v="0"/>
    <x v="0"/>
    <x v="0"/>
    <n v="7"/>
    <e v="#N/A"/>
    <e v="#N/A"/>
  </r>
  <r>
    <n v="2381"/>
    <d v="2016-01-24T11:36:05"/>
    <d v="2016-01-24T11:51:05"/>
    <x v="0"/>
    <m/>
    <m/>
    <x v="0"/>
    <n v="70805"/>
    <n v="0"/>
    <d v="2016-01-24T11:54:05"/>
    <n v="7.99"/>
    <x v="2"/>
    <n v="1"/>
    <n v="1"/>
    <n v="0"/>
    <n v="0"/>
    <n v="1"/>
    <x v="0"/>
    <x v="0"/>
    <x v="0"/>
    <x v="0"/>
    <n v="7"/>
    <e v="#N/A"/>
    <e v="#N/A"/>
  </r>
  <r>
    <n v="2382"/>
    <d v="2016-01-24T11:37:31"/>
    <d v="2016-01-24T11:52:29"/>
    <x v="0"/>
    <s v="Medium"/>
    <m/>
    <x v="1"/>
    <n v="70806"/>
    <n v="1.8504369042956501"/>
    <d v="2016-01-24T12:01:44"/>
    <n v="19.579999999999998"/>
    <x v="900"/>
    <n v="2"/>
    <n v="1"/>
    <n v="1.7"/>
    <n v="0"/>
    <n v="2.7"/>
    <x v="887"/>
    <x v="0"/>
    <x v="1207"/>
    <x v="685"/>
    <n v="7"/>
    <n v="10"/>
    <e v="#N/A"/>
  </r>
  <r>
    <n v="2383"/>
    <d v="2016-01-24T11:12:12"/>
    <d v="2016-01-24T11:27:11"/>
    <x v="0"/>
    <s v="Large"/>
    <m/>
    <x v="0"/>
    <n v="70805"/>
    <n v="0"/>
    <d v="2016-01-24T11:30:10"/>
    <n v="23.34"/>
    <x v="1"/>
    <n v="2"/>
    <n v="1"/>
    <n v="2.2999999999999998"/>
    <n v="0"/>
    <n v="3.3"/>
    <x v="0"/>
    <x v="0"/>
    <x v="0"/>
    <x v="0"/>
    <n v="7"/>
    <n v="14"/>
    <e v="#N/A"/>
  </r>
  <r>
    <n v="2384"/>
    <d v="2016-01-24T12:49:10"/>
    <d v="2016-01-24T13:04:12"/>
    <x v="2"/>
    <m/>
    <m/>
    <x v="1"/>
    <n v="70804"/>
    <n v="3.6793307649626299"/>
    <d v="2016-01-24T13:22:35"/>
    <n v="11.59"/>
    <x v="901"/>
    <n v="1"/>
    <n v="1.7"/>
    <n v="0"/>
    <n v="0"/>
    <n v="1.7"/>
    <x v="888"/>
    <x v="1"/>
    <x v="1208"/>
    <x v="0"/>
    <n v="10"/>
    <e v="#N/A"/>
    <e v="#N/A"/>
  </r>
  <r>
    <n v="2385"/>
    <d v="2016-01-24T11:09:46"/>
    <d v="2016-01-24T11:24:47"/>
    <x v="2"/>
    <s v="Large"/>
    <m/>
    <x v="0"/>
    <n v="70806"/>
    <n v="0"/>
    <d v="2016-01-24T11:27:46"/>
    <n v="25.94"/>
    <x v="24"/>
    <n v="2"/>
    <n v="1.7"/>
    <n v="2.2999999999999998"/>
    <n v="0"/>
    <n v="4"/>
    <x v="0"/>
    <x v="0"/>
    <x v="0"/>
    <x v="0"/>
    <n v="10"/>
    <n v="14"/>
    <e v="#N/A"/>
  </r>
  <r>
    <n v="2386"/>
    <d v="2016-01-24T10:32:35"/>
    <d v="2016-01-24T10:47:35"/>
    <x v="0"/>
    <m/>
    <m/>
    <x v="1"/>
    <n v="70803"/>
    <n v="3.85045434270917"/>
    <d v="2016-01-24T11:06:50"/>
    <n v="7.99"/>
    <x v="902"/>
    <n v="1"/>
    <n v="1"/>
    <n v="0"/>
    <n v="0"/>
    <n v="1"/>
    <x v="889"/>
    <x v="1"/>
    <x v="1209"/>
    <x v="0"/>
    <n v="7"/>
    <e v="#N/A"/>
    <e v="#N/A"/>
  </r>
  <r>
    <n v="2387"/>
    <d v="2016-01-24T13:10:12"/>
    <d v="2016-01-24T13:25:12"/>
    <x v="2"/>
    <m/>
    <m/>
    <x v="1"/>
    <n v="70805"/>
    <n v="3.4735268143540501"/>
    <d v="2016-01-24T13:42:34"/>
    <n v="11.59"/>
    <x v="632"/>
    <n v="1"/>
    <n v="1.7"/>
    <n v="0"/>
    <n v="0"/>
    <n v="1.7"/>
    <x v="619"/>
    <x v="1"/>
    <x v="1210"/>
    <x v="0"/>
    <n v="10"/>
    <e v="#N/A"/>
    <e v="#N/A"/>
  </r>
  <r>
    <n v="2388"/>
    <d v="2016-01-24T12:21:00"/>
    <d v="2016-01-24T12:36:00"/>
    <x v="0"/>
    <s v="Large"/>
    <m/>
    <x v="0"/>
    <n v="70807"/>
    <n v="0"/>
    <d v="2016-01-24T12:39:00"/>
    <n v="23.34"/>
    <x v="2"/>
    <n v="2"/>
    <n v="1"/>
    <n v="2.2999999999999998"/>
    <n v="0"/>
    <n v="3.3"/>
    <x v="0"/>
    <x v="0"/>
    <x v="0"/>
    <x v="0"/>
    <n v="7"/>
    <n v="14"/>
    <e v="#N/A"/>
  </r>
  <r>
    <n v="2389"/>
    <d v="2016-01-24T13:42:06"/>
    <d v="2016-01-24T13:57:08"/>
    <x v="0"/>
    <s v="Large"/>
    <m/>
    <x v="0"/>
    <n v="70806"/>
    <n v="0"/>
    <d v="2016-01-24T14:00:07"/>
    <n v="23.34"/>
    <x v="24"/>
    <n v="2"/>
    <n v="1"/>
    <n v="2.2999999999999998"/>
    <n v="0"/>
    <n v="3.3"/>
    <x v="0"/>
    <x v="0"/>
    <x v="0"/>
    <x v="0"/>
    <n v="7"/>
    <n v="14"/>
    <e v="#N/A"/>
  </r>
  <r>
    <n v="2390"/>
    <d v="2016-01-24T12:11:35"/>
    <d v="2016-01-24T12:26:34"/>
    <x v="0"/>
    <s v="Large"/>
    <m/>
    <x v="1"/>
    <n v="70804"/>
    <n v="3.51529907158453"/>
    <d v="2016-01-24T12:44:08"/>
    <n v="23.34"/>
    <x v="903"/>
    <n v="2"/>
    <n v="1"/>
    <n v="2.2999999999999998"/>
    <n v="0"/>
    <n v="3.3"/>
    <x v="890"/>
    <x v="1"/>
    <x v="1211"/>
    <x v="0"/>
    <n v="7"/>
    <n v="14"/>
    <e v="#N/A"/>
  </r>
  <r>
    <n v="2391"/>
    <d v="2016-01-24T11:22:06"/>
    <d v="2016-01-24T11:37:06"/>
    <x v="1"/>
    <m/>
    <m/>
    <x v="1"/>
    <n v="70804"/>
    <n v="3.8970440477642301"/>
    <d v="2016-01-24T11:56:35"/>
    <n v="15.35"/>
    <x v="904"/>
    <n v="1"/>
    <n v="2.2999999999999998"/>
    <n v="0"/>
    <n v="0"/>
    <n v="2.2999999999999998"/>
    <x v="891"/>
    <x v="1"/>
    <x v="1212"/>
    <x v="0"/>
    <n v="14"/>
    <e v="#N/A"/>
    <e v="#N/A"/>
  </r>
  <r>
    <n v="2392"/>
    <d v="2016-01-24T13:46:34"/>
    <d v="2016-01-24T14:01:33"/>
    <x v="0"/>
    <m/>
    <m/>
    <x v="0"/>
    <n v="70806"/>
    <n v="0"/>
    <d v="2016-01-24T14:04:34"/>
    <n v="7.99"/>
    <x v="14"/>
    <n v="1"/>
    <n v="1"/>
    <n v="0"/>
    <n v="0"/>
    <n v="1"/>
    <x v="0"/>
    <x v="0"/>
    <x v="0"/>
    <x v="0"/>
    <n v="7"/>
    <e v="#N/A"/>
    <e v="#N/A"/>
  </r>
  <r>
    <n v="2393"/>
    <d v="2016-01-24T13:32:30"/>
    <d v="2016-01-24T13:47:31"/>
    <x v="1"/>
    <m/>
    <m/>
    <x v="1"/>
    <n v="70803"/>
    <n v="1.80002779323019"/>
    <d v="2016-01-24T13:56:31"/>
    <n v="15.35"/>
    <x v="113"/>
    <n v="1"/>
    <n v="2.2999999999999998"/>
    <n v="0"/>
    <n v="0"/>
    <n v="2.2999999999999998"/>
    <x v="103"/>
    <x v="0"/>
    <x v="1213"/>
    <x v="686"/>
    <n v="14"/>
    <e v="#N/A"/>
    <e v="#N/A"/>
  </r>
  <r>
    <n v="2394"/>
    <d v="2016-01-24T11:04:58"/>
    <d v="2016-01-24T11:19:57"/>
    <x v="0"/>
    <s v="Medium"/>
    <m/>
    <x v="0"/>
    <n v="70804"/>
    <n v="0"/>
    <d v="2016-01-24T11:22:58"/>
    <n v="19.579999999999998"/>
    <x v="56"/>
    <n v="2"/>
    <n v="1"/>
    <n v="1.7"/>
    <n v="0"/>
    <n v="2.7"/>
    <x v="0"/>
    <x v="0"/>
    <x v="0"/>
    <x v="0"/>
    <n v="7"/>
    <n v="10"/>
    <e v="#N/A"/>
  </r>
  <r>
    <n v="2395"/>
    <d v="2016-01-24T11:16:55"/>
    <d v="2016-01-24T11:31:54"/>
    <x v="2"/>
    <m/>
    <m/>
    <x v="1"/>
    <n v="70805"/>
    <n v="3.4707771857621199"/>
    <d v="2016-01-24T11:49:15"/>
    <n v="11.59"/>
    <x v="170"/>
    <n v="1"/>
    <n v="1.7"/>
    <n v="0"/>
    <n v="0"/>
    <n v="1.7"/>
    <x v="160"/>
    <x v="1"/>
    <x v="1214"/>
    <x v="0"/>
    <n v="10"/>
    <e v="#N/A"/>
    <e v="#N/A"/>
  </r>
  <r>
    <n v="2396"/>
    <d v="2016-01-24T10:18:34"/>
    <d v="2016-01-24T10:33:33"/>
    <x v="2"/>
    <m/>
    <m/>
    <x v="0"/>
    <n v="70805"/>
    <n v="0"/>
    <d v="2016-01-24T10:36:31"/>
    <n v="11.59"/>
    <x v="0"/>
    <n v="1"/>
    <n v="1.7"/>
    <n v="0"/>
    <n v="0"/>
    <n v="1.7"/>
    <x v="0"/>
    <x v="0"/>
    <x v="0"/>
    <x v="0"/>
    <n v="10"/>
    <e v="#N/A"/>
    <e v="#N/A"/>
  </r>
  <r>
    <n v="2397"/>
    <d v="2016-01-24T11:25:37"/>
    <d v="2016-01-24T11:40:36"/>
    <x v="2"/>
    <m/>
    <m/>
    <x v="0"/>
    <n v="70808"/>
    <n v="0"/>
    <d v="2016-01-24T11:43:35"/>
    <n v="11.59"/>
    <x v="24"/>
    <n v="1"/>
    <n v="1.7"/>
    <n v="0"/>
    <n v="0"/>
    <n v="1.7"/>
    <x v="0"/>
    <x v="0"/>
    <x v="0"/>
    <x v="0"/>
    <n v="10"/>
    <e v="#N/A"/>
    <e v="#N/A"/>
  </r>
  <r>
    <n v="2398"/>
    <d v="2016-01-24T11:43:18"/>
    <d v="2016-01-24T11:58:18"/>
    <x v="2"/>
    <m/>
    <m/>
    <x v="0"/>
    <n v="70804"/>
    <n v="0"/>
    <d v="2016-01-24T12:01:16"/>
    <n v="11.59"/>
    <x v="0"/>
    <n v="1"/>
    <n v="1.7"/>
    <n v="0"/>
    <n v="0"/>
    <n v="1.7"/>
    <x v="0"/>
    <x v="0"/>
    <x v="0"/>
    <x v="0"/>
    <n v="10"/>
    <e v="#N/A"/>
    <e v="#N/A"/>
  </r>
  <r>
    <n v="2399"/>
    <d v="2016-01-24T12:26:01"/>
    <d v="2016-01-24T12:41:02"/>
    <x v="0"/>
    <s v="Large"/>
    <m/>
    <x v="0"/>
    <n v="70803"/>
    <n v="0"/>
    <d v="2016-01-24T12:44:02"/>
    <n v="23.34"/>
    <x v="2"/>
    <n v="2"/>
    <n v="1"/>
    <n v="2.2999999999999998"/>
    <n v="0"/>
    <n v="3.3"/>
    <x v="0"/>
    <x v="0"/>
    <x v="0"/>
    <x v="0"/>
    <n v="7"/>
    <n v="14"/>
    <e v="#N/A"/>
  </r>
  <r>
    <n v="2400"/>
    <d v="2016-01-24T10:47:18"/>
    <d v="2016-01-24T11:02:18"/>
    <x v="0"/>
    <m/>
    <m/>
    <x v="0"/>
    <n v="70805"/>
    <n v="0"/>
    <d v="2016-01-24T11:05:17"/>
    <n v="7.99"/>
    <x v="1"/>
    <n v="1"/>
    <n v="1"/>
    <n v="0"/>
    <n v="0"/>
    <n v="1"/>
    <x v="0"/>
    <x v="0"/>
    <x v="0"/>
    <x v="0"/>
    <n v="7"/>
    <e v="#N/A"/>
    <e v="#N/A"/>
  </r>
  <r>
    <n v="2401"/>
    <d v="2016-01-24T11:12:54"/>
    <d v="2016-01-24T11:27:53"/>
    <x v="2"/>
    <m/>
    <m/>
    <x v="1"/>
    <n v="70804"/>
    <n v="3.7416595353349398"/>
    <d v="2016-01-24T11:46:35"/>
    <n v="11.59"/>
    <x v="329"/>
    <n v="1"/>
    <n v="1.7"/>
    <n v="0"/>
    <n v="0"/>
    <n v="1.7"/>
    <x v="316"/>
    <x v="1"/>
    <x v="1215"/>
    <x v="0"/>
    <n v="10"/>
    <e v="#N/A"/>
    <e v="#N/A"/>
  </r>
  <r>
    <n v="2402"/>
    <d v="2016-01-24T12:35:09"/>
    <d v="2016-01-24T12:50:07"/>
    <x v="2"/>
    <m/>
    <m/>
    <x v="1"/>
    <n v="70804"/>
    <n v="1.1340263059973501"/>
    <d v="2016-01-24T12:55:47"/>
    <n v="11.59"/>
    <x v="905"/>
    <n v="1"/>
    <n v="1.7"/>
    <n v="0"/>
    <n v="0"/>
    <n v="1.7"/>
    <x v="892"/>
    <x v="0"/>
    <x v="1216"/>
    <x v="687"/>
    <n v="10"/>
    <e v="#N/A"/>
    <e v="#N/A"/>
  </r>
  <r>
    <n v="2403"/>
    <d v="2016-01-24T11:47:53"/>
    <d v="2016-01-24T12:02:53"/>
    <x v="1"/>
    <m/>
    <m/>
    <x v="1"/>
    <n v="70804"/>
    <n v="4.1645750625707496"/>
    <d v="2016-01-24T12:23:42"/>
    <n v="15.35"/>
    <x v="906"/>
    <n v="1"/>
    <n v="2.2999999999999998"/>
    <n v="0"/>
    <n v="0"/>
    <n v="2.2999999999999998"/>
    <x v="893"/>
    <x v="1"/>
    <x v="1217"/>
    <x v="0"/>
    <n v="14"/>
    <e v="#N/A"/>
    <e v="#N/A"/>
  </r>
  <r>
    <n v="2404"/>
    <d v="2016-01-24T13:27:57"/>
    <d v="2016-01-24T13:42:57"/>
    <x v="2"/>
    <m/>
    <m/>
    <x v="0"/>
    <n v="70805"/>
    <n v="0"/>
    <d v="2016-01-24T13:45:58"/>
    <n v="11.59"/>
    <x v="14"/>
    <n v="1"/>
    <n v="1.7"/>
    <n v="0"/>
    <n v="0"/>
    <n v="1.7"/>
    <x v="0"/>
    <x v="0"/>
    <x v="0"/>
    <x v="0"/>
    <n v="10"/>
    <e v="#N/A"/>
    <e v="#N/A"/>
  </r>
  <r>
    <n v="2405"/>
    <d v="2016-01-24T10:55:02"/>
    <d v="2016-01-24T11:10:01"/>
    <x v="0"/>
    <s v="Medium"/>
    <m/>
    <x v="1"/>
    <n v="70806"/>
    <n v="1.88426318711111"/>
    <d v="2016-01-24T11:19:26"/>
    <n v="19.579999999999998"/>
    <x v="169"/>
    <n v="2"/>
    <n v="1"/>
    <n v="1.7"/>
    <n v="0"/>
    <n v="2.7"/>
    <x v="159"/>
    <x v="0"/>
    <x v="1218"/>
    <x v="688"/>
    <n v="7"/>
    <n v="10"/>
    <e v="#N/A"/>
  </r>
  <r>
    <n v="2406"/>
    <d v="2016-01-24T11:18:10"/>
    <d v="2016-01-24T11:33:11"/>
    <x v="2"/>
    <m/>
    <m/>
    <x v="1"/>
    <n v="70805"/>
    <n v="1.87102773902397"/>
    <d v="2016-01-24T11:42:32"/>
    <n v="11.59"/>
    <x v="804"/>
    <n v="1"/>
    <n v="1.7"/>
    <n v="0"/>
    <n v="0"/>
    <n v="1.7"/>
    <x v="791"/>
    <x v="0"/>
    <x v="1219"/>
    <x v="689"/>
    <n v="10"/>
    <e v="#N/A"/>
    <e v="#N/A"/>
  </r>
  <r>
    <n v="2407"/>
    <d v="2016-01-24T12:49:39"/>
    <d v="2016-01-24T13:04:41"/>
    <x v="0"/>
    <s v="Medium"/>
    <m/>
    <x v="1"/>
    <n v="70806"/>
    <n v="2.14534238223527"/>
    <d v="2016-01-24T13:15:24"/>
    <n v="19.579999999999998"/>
    <x v="341"/>
    <n v="2"/>
    <n v="1"/>
    <n v="1.7"/>
    <n v="0"/>
    <n v="2.7"/>
    <x v="328"/>
    <x v="0"/>
    <x v="1220"/>
    <x v="690"/>
    <n v="7"/>
    <n v="10"/>
    <e v="#N/A"/>
  </r>
  <r>
    <n v="2408"/>
    <d v="2016-01-24T12:34:32"/>
    <d v="2016-01-24T12:49:31"/>
    <x v="1"/>
    <m/>
    <m/>
    <x v="1"/>
    <n v="70807"/>
    <n v="0.33140171707315302"/>
    <d v="2016-01-24T12:51:10"/>
    <n v="15.35"/>
    <x v="907"/>
    <n v="1"/>
    <n v="2.2999999999999998"/>
    <n v="0"/>
    <n v="0"/>
    <n v="2.2999999999999998"/>
    <x v="894"/>
    <x v="0"/>
    <x v="1221"/>
    <x v="691"/>
    <n v="14"/>
    <e v="#N/A"/>
    <e v="#N/A"/>
  </r>
  <r>
    <n v="2409"/>
    <d v="2016-01-24T12:11:04"/>
    <d v="2016-01-24T12:26:04"/>
    <x v="2"/>
    <m/>
    <m/>
    <x v="1"/>
    <n v="70805"/>
    <n v="3.3568888802536998"/>
    <d v="2016-01-24T12:42:51"/>
    <n v="11.59"/>
    <x v="363"/>
    <n v="1"/>
    <n v="1.7"/>
    <n v="0"/>
    <n v="0"/>
    <n v="1.7"/>
    <x v="350"/>
    <x v="1"/>
    <x v="1222"/>
    <x v="0"/>
    <n v="10"/>
    <e v="#N/A"/>
    <e v="#N/A"/>
  </r>
  <r>
    <n v="2410"/>
    <d v="2016-01-24T11:42:26"/>
    <d v="2016-01-24T11:57:25"/>
    <x v="0"/>
    <s v="Medium"/>
    <m/>
    <x v="1"/>
    <n v="70806"/>
    <n v="1.8597796733274401"/>
    <d v="2016-01-24T12:06:42"/>
    <n v="19.579999999999998"/>
    <x v="908"/>
    <n v="2"/>
    <n v="1"/>
    <n v="1.7"/>
    <n v="0"/>
    <n v="2.7"/>
    <x v="895"/>
    <x v="0"/>
    <x v="1223"/>
    <x v="692"/>
    <n v="7"/>
    <n v="10"/>
    <e v="#N/A"/>
  </r>
  <r>
    <n v="2411"/>
    <d v="2016-01-24T12:31:43"/>
    <d v="2016-01-24T12:46:42"/>
    <x v="0"/>
    <m/>
    <m/>
    <x v="0"/>
    <n v="70804"/>
    <n v="0"/>
    <d v="2016-01-24T12:49:41"/>
    <n v="7.99"/>
    <x v="1"/>
    <n v="1"/>
    <n v="1"/>
    <n v="0"/>
    <n v="0"/>
    <n v="1"/>
    <x v="0"/>
    <x v="0"/>
    <x v="0"/>
    <x v="0"/>
    <n v="7"/>
    <e v="#N/A"/>
    <e v="#N/A"/>
  </r>
  <r>
    <n v="2412"/>
    <d v="2016-01-24T11:46:26"/>
    <d v="2016-01-24T12:01:24"/>
    <x v="0"/>
    <s v="Large"/>
    <m/>
    <x v="0"/>
    <n v="70807"/>
    <n v="0"/>
    <d v="2016-01-24T12:04:22"/>
    <n v="23.34"/>
    <x v="0"/>
    <n v="2"/>
    <n v="1"/>
    <n v="2.2999999999999998"/>
    <n v="0"/>
    <n v="3.3"/>
    <x v="0"/>
    <x v="0"/>
    <x v="0"/>
    <x v="0"/>
    <n v="7"/>
    <n v="14"/>
    <e v="#N/A"/>
  </r>
  <r>
    <n v="2413"/>
    <d v="2016-01-25T13:50:38"/>
    <d v="2016-01-25T14:05:37"/>
    <x v="2"/>
    <s v="Large"/>
    <m/>
    <x v="0"/>
    <n v="70803"/>
    <n v="0"/>
    <d v="2016-01-25T14:08:36"/>
    <n v="25.94"/>
    <x v="1"/>
    <n v="2"/>
    <n v="1.7"/>
    <n v="2.2999999999999998"/>
    <n v="0"/>
    <n v="4"/>
    <x v="0"/>
    <x v="0"/>
    <x v="0"/>
    <x v="0"/>
    <n v="10"/>
    <n v="14"/>
    <e v="#N/A"/>
  </r>
  <r>
    <n v="2414"/>
    <d v="2016-01-25T12:41:31"/>
    <d v="2016-01-25T12:56:32"/>
    <x v="2"/>
    <m/>
    <m/>
    <x v="1"/>
    <n v="70807"/>
    <n v="3.5597054422602401"/>
    <d v="2016-01-25T13:14:19"/>
    <n v="11.59"/>
    <x v="909"/>
    <n v="1"/>
    <n v="1.7"/>
    <n v="0"/>
    <n v="0"/>
    <n v="1.7"/>
    <x v="896"/>
    <x v="1"/>
    <x v="1224"/>
    <x v="0"/>
    <n v="10"/>
    <e v="#N/A"/>
    <e v="#N/A"/>
  </r>
  <r>
    <n v="2415"/>
    <d v="2016-01-25T12:09:40"/>
    <d v="2016-01-25T12:24:38"/>
    <x v="0"/>
    <m/>
    <m/>
    <x v="0"/>
    <n v="70804"/>
    <n v="0"/>
    <d v="2016-01-25T12:27:38"/>
    <n v="7.99"/>
    <x v="2"/>
    <n v="1"/>
    <n v="1"/>
    <n v="0"/>
    <n v="0"/>
    <n v="1"/>
    <x v="0"/>
    <x v="0"/>
    <x v="0"/>
    <x v="0"/>
    <n v="7"/>
    <e v="#N/A"/>
    <e v="#N/A"/>
  </r>
  <r>
    <n v="2416"/>
    <d v="2016-01-25T13:54:16"/>
    <d v="2016-01-25T14:09:16"/>
    <x v="2"/>
    <m/>
    <m/>
    <x v="1"/>
    <n v="70804"/>
    <n v="0.99503309333895595"/>
    <d v="2016-01-25T14:14:14"/>
    <n v="11.59"/>
    <x v="331"/>
    <n v="1"/>
    <n v="1.7"/>
    <n v="0"/>
    <n v="0"/>
    <n v="1.7"/>
    <x v="318"/>
    <x v="0"/>
    <x v="1225"/>
    <x v="693"/>
    <n v="10"/>
    <e v="#N/A"/>
    <e v="#N/A"/>
  </r>
  <r>
    <n v="2417"/>
    <d v="2016-01-25T11:19:33"/>
    <d v="2016-01-25T11:34:32"/>
    <x v="1"/>
    <m/>
    <m/>
    <x v="0"/>
    <n v="70805"/>
    <n v="0"/>
    <d v="2016-01-25T11:37:30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2418"/>
    <d v="2016-01-25T12:47:08"/>
    <d v="2016-01-25T13:02:06"/>
    <x v="0"/>
    <m/>
    <m/>
    <x v="1"/>
    <n v="70804"/>
    <n v="3.6566573499946902"/>
    <d v="2016-01-25T13:20:22"/>
    <n v="7.99"/>
    <x v="910"/>
    <n v="1"/>
    <n v="1"/>
    <n v="0"/>
    <n v="0"/>
    <n v="1"/>
    <x v="897"/>
    <x v="1"/>
    <x v="1226"/>
    <x v="0"/>
    <n v="7"/>
    <e v="#N/A"/>
    <e v="#N/A"/>
  </r>
  <r>
    <n v="2419"/>
    <d v="2016-01-25T13:35:23"/>
    <d v="2016-01-25T13:50:22"/>
    <x v="2"/>
    <m/>
    <m/>
    <x v="0"/>
    <n v="70804"/>
    <n v="0"/>
    <d v="2016-01-25T13:53:20"/>
    <n v="11.59"/>
    <x v="19"/>
    <n v="1"/>
    <n v="1.7"/>
    <n v="0"/>
    <n v="0"/>
    <n v="1.7"/>
    <x v="0"/>
    <x v="0"/>
    <x v="0"/>
    <x v="0"/>
    <n v="10"/>
    <e v="#N/A"/>
    <e v="#N/A"/>
  </r>
  <r>
    <n v="2420"/>
    <d v="2016-01-25T11:34:20"/>
    <d v="2016-01-25T11:49:21"/>
    <x v="2"/>
    <m/>
    <m/>
    <x v="1"/>
    <n v="70804"/>
    <n v="3.98204765530717"/>
    <d v="2016-01-25T12:09:15"/>
    <n v="11.59"/>
    <x v="844"/>
    <n v="1"/>
    <n v="1.7"/>
    <n v="0"/>
    <n v="0"/>
    <n v="1.7"/>
    <x v="831"/>
    <x v="1"/>
    <x v="1227"/>
    <x v="0"/>
    <n v="10"/>
    <e v="#N/A"/>
    <e v="#N/A"/>
  </r>
  <r>
    <n v="2421"/>
    <d v="2016-01-25T12:14:18"/>
    <d v="2016-01-25T12:29:18"/>
    <x v="1"/>
    <m/>
    <m/>
    <x v="0"/>
    <n v="70806"/>
    <n v="0"/>
    <d v="2016-01-25T12:32:18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2422"/>
    <d v="2016-01-25T10:35:18"/>
    <d v="2016-01-25T10:50:16"/>
    <x v="1"/>
    <m/>
    <m/>
    <x v="1"/>
    <n v="70803"/>
    <n v="3.8525608977959198"/>
    <d v="2016-01-25T11:09:31"/>
    <n v="15.35"/>
    <x v="902"/>
    <n v="1"/>
    <n v="2.2999999999999998"/>
    <n v="0"/>
    <n v="0"/>
    <n v="2.2999999999999998"/>
    <x v="889"/>
    <x v="1"/>
    <x v="1228"/>
    <x v="0"/>
    <n v="14"/>
    <e v="#N/A"/>
    <e v="#N/A"/>
  </r>
  <r>
    <n v="2423"/>
    <d v="2016-01-25T11:53:19"/>
    <d v="2016-01-25T12:08:17"/>
    <x v="1"/>
    <m/>
    <m/>
    <x v="1"/>
    <n v="70804"/>
    <n v="2.86003910071212"/>
    <d v="2016-01-25T12:22:35"/>
    <n v="15.35"/>
    <x v="289"/>
    <n v="1"/>
    <n v="2.2999999999999998"/>
    <n v="0"/>
    <n v="0"/>
    <n v="2.2999999999999998"/>
    <x v="276"/>
    <x v="0"/>
    <x v="1229"/>
    <x v="694"/>
    <n v="14"/>
    <e v="#N/A"/>
    <e v="#N/A"/>
  </r>
  <r>
    <n v="2424"/>
    <d v="2016-01-25T13:34:49"/>
    <d v="2016-01-25T13:49:48"/>
    <x v="2"/>
    <m/>
    <m/>
    <x v="1"/>
    <n v="70806"/>
    <n v="4.0760811629627201"/>
    <d v="2016-01-25T14:10:10"/>
    <n v="11.59"/>
    <x v="911"/>
    <n v="1"/>
    <n v="1.7"/>
    <n v="0"/>
    <n v="0"/>
    <n v="1.7"/>
    <x v="898"/>
    <x v="1"/>
    <x v="1230"/>
    <x v="0"/>
    <n v="10"/>
    <e v="#N/A"/>
    <e v="#N/A"/>
  </r>
  <r>
    <n v="2425"/>
    <d v="2016-01-25T12:50:31"/>
    <d v="2016-01-25T13:05:31"/>
    <x v="0"/>
    <m/>
    <m/>
    <x v="0"/>
    <n v="70805"/>
    <n v="0"/>
    <d v="2016-01-25T13:08:32"/>
    <n v="7.99"/>
    <x v="14"/>
    <n v="1"/>
    <n v="1"/>
    <n v="0"/>
    <n v="0"/>
    <n v="1"/>
    <x v="0"/>
    <x v="0"/>
    <x v="0"/>
    <x v="0"/>
    <n v="7"/>
    <e v="#N/A"/>
    <e v="#N/A"/>
  </r>
  <r>
    <n v="2426"/>
    <d v="2016-01-25T11:18:18"/>
    <d v="2016-01-25T11:33:19"/>
    <x v="0"/>
    <m/>
    <m/>
    <x v="0"/>
    <n v="70806"/>
    <n v="0"/>
    <d v="2016-01-25T11:36:19"/>
    <n v="7.99"/>
    <x v="2"/>
    <n v="1"/>
    <n v="1"/>
    <n v="0"/>
    <n v="0"/>
    <n v="1"/>
    <x v="0"/>
    <x v="0"/>
    <x v="0"/>
    <x v="0"/>
    <n v="7"/>
    <e v="#N/A"/>
    <e v="#N/A"/>
  </r>
  <r>
    <n v="2427"/>
    <d v="2016-01-25T12:28:24"/>
    <d v="2016-01-25T12:43:24"/>
    <x v="2"/>
    <m/>
    <m/>
    <x v="1"/>
    <n v="70805"/>
    <n v="2.3369380215157798"/>
    <d v="2016-01-25T12:55:05"/>
    <n v="11.59"/>
    <x v="546"/>
    <n v="1"/>
    <n v="1.7"/>
    <n v="0"/>
    <n v="0"/>
    <n v="1.7"/>
    <x v="533"/>
    <x v="0"/>
    <x v="1231"/>
    <x v="695"/>
    <n v="10"/>
    <e v="#N/A"/>
    <e v="#N/A"/>
  </r>
  <r>
    <n v="2428"/>
    <d v="2016-01-25T11:21:23"/>
    <d v="2016-01-25T11:36:22"/>
    <x v="0"/>
    <s v="Medium"/>
    <m/>
    <x v="0"/>
    <n v="70805"/>
    <n v="0"/>
    <d v="2016-01-25T11:39:23"/>
    <n v="19.579999999999998"/>
    <x v="14"/>
    <n v="2"/>
    <n v="1"/>
    <n v="1.7"/>
    <n v="0"/>
    <n v="2.7"/>
    <x v="0"/>
    <x v="0"/>
    <x v="0"/>
    <x v="0"/>
    <n v="7"/>
    <n v="10"/>
    <e v="#N/A"/>
  </r>
  <r>
    <n v="2429"/>
    <d v="2016-01-25T11:49:56"/>
    <d v="2016-01-25T12:04:54"/>
    <x v="1"/>
    <m/>
    <m/>
    <x v="1"/>
    <n v="70806"/>
    <n v="1.49884694392117"/>
    <d v="2016-01-25T12:12:23"/>
    <n v="15.35"/>
    <x v="473"/>
    <n v="1"/>
    <n v="2.2999999999999998"/>
    <n v="0"/>
    <n v="0"/>
    <n v="2.2999999999999998"/>
    <x v="460"/>
    <x v="0"/>
    <x v="1232"/>
    <x v="696"/>
    <n v="14"/>
    <e v="#N/A"/>
    <e v="#N/A"/>
  </r>
  <r>
    <n v="2430"/>
    <d v="2016-01-25T13:30:08"/>
    <d v="2016-01-25T13:45:08"/>
    <x v="0"/>
    <s v="Medium"/>
    <m/>
    <x v="0"/>
    <n v="70805"/>
    <n v="0"/>
    <d v="2016-01-25T13:48:08"/>
    <n v="19.579999999999998"/>
    <x v="2"/>
    <n v="2"/>
    <n v="1"/>
    <n v="1.7"/>
    <n v="0"/>
    <n v="2.7"/>
    <x v="0"/>
    <x v="0"/>
    <x v="0"/>
    <x v="0"/>
    <n v="7"/>
    <n v="10"/>
    <e v="#N/A"/>
  </r>
  <r>
    <n v="2431"/>
    <d v="2016-01-25T13:23:50"/>
    <d v="2016-01-25T13:38:50"/>
    <x v="2"/>
    <m/>
    <m/>
    <x v="1"/>
    <n v="70803"/>
    <n v="4.46223473384073"/>
    <d v="2016-01-25T14:01:08"/>
    <n v="11.59"/>
    <x v="912"/>
    <n v="1"/>
    <n v="1.7"/>
    <n v="0"/>
    <n v="0"/>
    <n v="1.7"/>
    <x v="899"/>
    <x v="1"/>
    <x v="1233"/>
    <x v="0"/>
    <n v="10"/>
    <e v="#N/A"/>
    <e v="#N/A"/>
  </r>
  <r>
    <n v="2432"/>
    <d v="2016-01-25T11:56:14"/>
    <d v="2016-01-25T12:11:14"/>
    <x v="2"/>
    <m/>
    <m/>
    <x v="0"/>
    <n v="70804"/>
    <n v="0"/>
    <d v="2016-01-25T12:14:14"/>
    <n v="11.59"/>
    <x v="2"/>
    <n v="1"/>
    <n v="1.7"/>
    <n v="0"/>
    <n v="0"/>
    <n v="1.7"/>
    <x v="0"/>
    <x v="0"/>
    <x v="0"/>
    <x v="0"/>
    <n v="10"/>
    <e v="#N/A"/>
    <e v="#N/A"/>
  </r>
  <r>
    <n v="2433"/>
    <d v="2016-01-25T10:40:56"/>
    <d v="2016-01-25T10:55:56"/>
    <x v="2"/>
    <m/>
    <m/>
    <x v="1"/>
    <n v="70805"/>
    <n v="1.9252568519900299"/>
    <d v="2016-01-25T11:05:33"/>
    <n v="11.59"/>
    <x v="913"/>
    <n v="1"/>
    <n v="1.7"/>
    <n v="0"/>
    <n v="0"/>
    <n v="1.7"/>
    <x v="900"/>
    <x v="0"/>
    <x v="1234"/>
    <x v="697"/>
    <n v="10"/>
    <e v="#N/A"/>
    <e v="#N/A"/>
  </r>
  <r>
    <n v="2434"/>
    <d v="2016-01-25T10:47:27"/>
    <d v="2016-01-25T11:02:28"/>
    <x v="1"/>
    <m/>
    <m/>
    <x v="0"/>
    <n v="70803"/>
    <n v="0"/>
    <d v="2016-01-25T11:05:26"/>
    <n v="15.35"/>
    <x v="19"/>
    <n v="1"/>
    <n v="2.2999999999999998"/>
    <n v="0"/>
    <n v="0"/>
    <n v="2.2999999999999998"/>
    <x v="0"/>
    <x v="0"/>
    <x v="0"/>
    <x v="0"/>
    <n v="14"/>
    <e v="#N/A"/>
    <e v="#N/A"/>
  </r>
  <r>
    <n v="2435"/>
    <d v="2016-01-25T11:21:46"/>
    <d v="2016-01-25T11:36:45"/>
    <x v="1"/>
    <m/>
    <m/>
    <x v="1"/>
    <n v="70803"/>
    <n v="1.7757018047304001"/>
    <d v="2016-01-25T11:45:37"/>
    <n v="15.35"/>
    <x v="914"/>
    <n v="1"/>
    <n v="2.2999999999999998"/>
    <n v="0"/>
    <n v="0"/>
    <n v="2.2999999999999998"/>
    <x v="901"/>
    <x v="0"/>
    <x v="1235"/>
    <x v="698"/>
    <n v="14"/>
    <e v="#N/A"/>
    <e v="#N/A"/>
  </r>
  <r>
    <n v="2436"/>
    <d v="2016-01-25T10:38:16"/>
    <d v="2016-01-25T10:53:15"/>
    <x v="2"/>
    <m/>
    <m/>
    <x v="0"/>
    <n v="70806"/>
    <n v="0"/>
    <d v="2016-01-25T10:56:14"/>
    <n v="11.59"/>
    <x v="1"/>
    <n v="1"/>
    <n v="1.7"/>
    <n v="0"/>
    <n v="0"/>
    <n v="1.7"/>
    <x v="0"/>
    <x v="0"/>
    <x v="0"/>
    <x v="0"/>
    <n v="10"/>
    <e v="#N/A"/>
    <e v="#N/A"/>
  </r>
  <r>
    <n v="2437"/>
    <d v="2016-01-25T10:43:36"/>
    <d v="2016-01-25T10:58:35"/>
    <x v="0"/>
    <m/>
    <m/>
    <x v="0"/>
    <n v="70805"/>
    <n v="0"/>
    <d v="2016-01-25T11:01:33"/>
    <n v="7.99"/>
    <x v="0"/>
    <n v="1"/>
    <n v="1"/>
    <n v="0"/>
    <n v="0"/>
    <n v="1"/>
    <x v="0"/>
    <x v="0"/>
    <x v="0"/>
    <x v="0"/>
    <n v="7"/>
    <e v="#N/A"/>
    <e v="#N/A"/>
  </r>
  <r>
    <n v="2438"/>
    <d v="2016-01-25T11:50:26"/>
    <d v="2016-01-25T12:05:27"/>
    <x v="2"/>
    <m/>
    <m/>
    <x v="0"/>
    <n v="70805"/>
    <n v="0"/>
    <d v="2016-01-25T12:08:25"/>
    <n v="11.59"/>
    <x v="0"/>
    <n v="1"/>
    <n v="1.7"/>
    <n v="0"/>
    <n v="0"/>
    <n v="1.7"/>
    <x v="0"/>
    <x v="0"/>
    <x v="0"/>
    <x v="0"/>
    <n v="10"/>
    <e v="#N/A"/>
    <e v="#N/A"/>
  </r>
  <r>
    <n v="2439"/>
    <d v="2016-01-25T11:19:30"/>
    <d v="2016-01-25T11:34:29"/>
    <x v="2"/>
    <m/>
    <m/>
    <x v="0"/>
    <n v="70806"/>
    <n v="0"/>
    <d v="2016-01-25T11:37:29"/>
    <n v="11.59"/>
    <x v="2"/>
    <n v="1"/>
    <n v="1.7"/>
    <n v="0"/>
    <n v="0"/>
    <n v="1.7"/>
    <x v="0"/>
    <x v="0"/>
    <x v="0"/>
    <x v="0"/>
    <n v="10"/>
    <e v="#N/A"/>
    <e v="#N/A"/>
  </r>
  <r>
    <n v="2440"/>
    <d v="2016-01-25T12:54:57"/>
    <d v="2016-01-25T13:09:58"/>
    <x v="0"/>
    <s v="Medium"/>
    <m/>
    <x v="0"/>
    <n v="70805"/>
    <n v="0"/>
    <d v="2016-01-25T13:12:55"/>
    <n v="19.579999999999998"/>
    <x v="102"/>
    <n v="2"/>
    <n v="1"/>
    <n v="1.7"/>
    <n v="0"/>
    <n v="2.7"/>
    <x v="0"/>
    <x v="0"/>
    <x v="0"/>
    <x v="0"/>
    <n v="7"/>
    <n v="10"/>
    <e v="#N/A"/>
  </r>
  <r>
    <n v="2441"/>
    <d v="2016-01-25T10:28:12"/>
    <d v="2016-01-25T10:43:11"/>
    <x v="2"/>
    <m/>
    <m/>
    <x v="1"/>
    <n v="70806"/>
    <n v="2.3344251586661899"/>
    <d v="2016-01-25T10:54:51"/>
    <n v="11.59"/>
    <x v="431"/>
    <n v="1"/>
    <n v="1.7"/>
    <n v="0"/>
    <n v="0"/>
    <n v="1.7"/>
    <x v="418"/>
    <x v="0"/>
    <x v="1236"/>
    <x v="699"/>
    <n v="10"/>
    <e v="#N/A"/>
    <e v="#N/A"/>
  </r>
  <r>
    <n v="2442"/>
    <d v="2016-01-25T12:21:30"/>
    <d v="2016-01-25T12:36:29"/>
    <x v="1"/>
    <m/>
    <m/>
    <x v="0"/>
    <n v="70804"/>
    <n v="0"/>
    <d v="2016-01-25T12:39:29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2443"/>
    <d v="2016-01-25T11:05:35"/>
    <d v="2016-01-25T11:20:35"/>
    <x v="0"/>
    <s v="Medium"/>
    <m/>
    <x v="1"/>
    <n v="70804"/>
    <n v="3.5336818606945801"/>
    <d v="2016-01-25T11:38:15"/>
    <n v="19.579999999999998"/>
    <x v="314"/>
    <n v="2"/>
    <n v="1"/>
    <n v="1.7"/>
    <n v="0"/>
    <n v="2.7"/>
    <x v="301"/>
    <x v="1"/>
    <x v="1237"/>
    <x v="0"/>
    <n v="7"/>
    <n v="10"/>
    <e v="#N/A"/>
  </r>
  <r>
    <n v="2444"/>
    <d v="2016-01-25T11:38:41"/>
    <d v="2016-01-25T11:53:43"/>
    <x v="0"/>
    <m/>
    <m/>
    <x v="1"/>
    <n v="70805"/>
    <n v="3.9060681762491098"/>
    <d v="2016-01-25T12:13:14"/>
    <n v="7.99"/>
    <x v="915"/>
    <n v="1"/>
    <n v="1"/>
    <n v="0"/>
    <n v="0"/>
    <n v="1"/>
    <x v="902"/>
    <x v="1"/>
    <x v="1238"/>
    <x v="0"/>
    <n v="7"/>
    <e v="#N/A"/>
    <e v="#N/A"/>
  </r>
  <r>
    <n v="2445"/>
    <d v="2016-01-25T13:32:41"/>
    <d v="2016-01-25T13:47:40"/>
    <x v="2"/>
    <m/>
    <m/>
    <x v="1"/>
    <n v="70803"/>
    <n v="3.2730657721611802"/>
    <d v="2016-01-25T14:04:01"/>
    <n v="11.59"/>
    <x v="594"/>
    <n v="1"/>
    <n v="1.7"/>
    <n v="0"/>
    <n v="0"/>
    <n v="1.7"/>
    <x v="581"/>
    <x v="1"/>
    <x v="1239"/>
    <x v="0"/>
    <n v="10"/>
    <e v="#N/A"/>
    <e v="#N/A"/>
  </r>
  <r>
    <n v="2446"/>
    <d v="2016-01-25T13:05:23"/>
    <d v="2016-01-25T13:20:23"/>
    <x v="0"/>
    <s v="Large"/>
    <m/>
    <x v="0"/>
    <n v="70805"/>
    <n v="0"/>
    <d v="2016-01-25T13:23:21"/>
    <n v="23.34"/>
    <x v="19"/>
    <n v="2"/>
    <n v="1"/>
    <n v="2.2999999999999998"/>
    <n v="0"/>
    <n v="3.3"/>
    <x v="0"/>
    <x v="0"/>
    <x v="0"/>
    <x v="0"/>
    <n v="7"/>
    <n v="14"/>
    <e v="#N/A"/>
  </r>
  <r>
    <n v="2447"/>
    <d v="2016-01-25T11:32:30"/>
    <d v="2016-01-25T11:47:30"/>
    <x v="1"/>
    <m/>
    <m/>
    <x v="0"/>
    <n v="70806"/>
    <n v="0"/>
    <d v="2016-01-25T11:50:31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2448"/>
    <d v="2016-01-25T11:30:28"/>
    <d v="2016-01-25T11:45:27"/>
    <x v="0"/>
    <s v="Large"/>
    <m/>
    <x v="0"/>
    <n v="70804"/>
    <n v="0"/>
    <d v="2016-01-25T11:48:28"/>
    <n v="23.34"/>
    <x v="56"/>
    <n v="2"/>
    <n v="1"/>
    <n v="2.2999999999999998"/>
    <n v="0"/>
    <n v="3.3"/>
    <x v="0"/>
    <x v="0"/>
    <x v="0"/>
    <x v="0"/>
    <n v="7"/>
    <n v="14"/>
    <e v="#N/A"/>
  </r>
  <r>
    <n v="2449"/>
    <d v="2016-01-25T11:10:21"/>
    <d v="2016-01-25T11:25:23"/>
    <x v="1"/>
    <m/>
    <m/>
    <x v="0"/>
    <n v="70805"/>
    <n v="0"/>
    <d v="2016-01-25T11:28:23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2450"/>
    <d v="2016-01-25T11:42:10"/>
    <d v="2016-01-25T11:57:10"/>
    <x v="2"/>
    <m/>
    <m/>
    <x v="0"/>
    <n v="70804"/>
    <n v="0"/>
    <d v="2016-01-25T12:00:10"/>
    <n v="11.59"/>
    <x v="2"/>
    <n v="1"/>
    <n v="1.7"/>
    <n v="0"/>
    <n v="0"/>
    <n v="1.7"/>
    <x v="0"/>
    <x v="0"/>
    <x v="0"/>
    <x v="0"/>
    <n v="10"/>
    <e v="#N/A"/>
    <e v="#N/A"/>
  </r>
  <r>
    <n v="2451"/>
    <d v="2016-01-25T11:14:47"/>
    <d v="2016-01-25T11:29:46"/>
    <x v="0"/>
    <m/>
    <m/>
    <x v="1"/>
    <n v="70805"/>
    <n v="2.93792577706028"/>
    <d v="2016-01-25T11:44:27"/>
    <n v="7.99"/>
    <x v="404"/>
    <n v="1"/>
    <n v="1"/>
    <n v="0"/>
    <n v="0"/>
    <n v="1"/>
    <x v="391"/>
    <x v="0"/>
    <x v="1240"/>
    <x v="700"/>
    <n v="7"/>
    <e v="#N/A"/>
    <e v="#N/A"/>
  </r>
  <r>
    <n v="2452"/>
    <d v="2016-01-25T11:49:13"/>
    <d v="2016-01-25T12:04:11"/>
    <x v="0"/>
    <s v="Medium"/>
    <m/>
    <x v="0"/>
    <n v="70806"/>
    <n v="0"/>
    <d v="2016-01-25T12:07:10"/>
    <n v="19.579999999999998"/>
    <x v="24"/>
    <n v="2"/>
    <n v="1"/>
    <n v="1.7"/>
    <n v="0"/>
    <n v="2.7"/>
    <x v="0"/>
    <x v="0"/>
    <x v="0"/>
    <x v="0"/>
    <n v="7"/>
    <n v="10"/>
    <e v="#N/A"/>
  </r>
  <r>
    <n v="2453"/>
    <d v="2016-01-25T10:57:08"/>
    <d v="2016-01-25T11:12:07"/>
    <x v="0"/>
    <m/>
    <m/>
    <x v="0"/>
    <n v="70808"/>
    <n v="0"/>
    <d v="2016-01-25T11:15:05"/>
    <n v="7.99"/>
    <x v="0"/>
    <n v="1"/>
    <n v="1"/>
    <n v="0"/>
    <n v="0"/>
    <n v="1"/>
    <x v="0"/>
    <x v="0"/>
    <x v="0"/>
    <x v="0"/>
    <n v="7"/>
    <e v="#N/A"/>
    <e v="#N/A"/>
  </r>
  <r>
    <n v="2454"/>
    <d v="2016-01-25T10:10:25"/>
    <d v="2016-01-25T10:25:25"/>
    <x v="2"/>
    <m/>
    <m/>
    <x v="1"/>
    <n v="70807"/>
    <n v="4.2171029193599203"/>
    <d v="2016-01-25T10:46:30"/>
    <n v="11.59"/>
    <x v="916"/>
    <n v="1"/>
    <n v="1.7"/>
    <n v="0"/>
    <n v="0"/>
    <n v="1.7"/>
    <x v="903"/>
    <x v="1"/>
    <x v="1241"/>
    <x v="0"/>
    <n v="10"/>
    <e v="#N/A"/>
    <e v="#N/A"/>
  </r>
  <r>
    <n v="2455"/>
    <d v="2016-01-25T13:27:44"/>
    <d v="2016-01-25T13:42:43"/>
    <x v="2"/>
    <m/>
    <m/>
    <x v="0"/>
    <n v="70803"/>
    <n v="0"/>
    <d v="2016-01-25T13:45:42"/>
    <n v="11.59"/>
    <x v="1"/>
    <n v="1"/>
    <n v="1.7"/>
    <n v="0"/>
    <n v="0"/>
    <n v="1.7"/>
    <x v="0"/>
    <x v="0"/>
    <x v="0"/>
    <x v="0"/>
    <n v="10"/>
    <e v="#N/A"/>
    <e v="#N/A"/>
  </r>
  <r>
    <n v="2456"/>
    <d v="2016-01-25T11:54:11"/>
    <d v="2016-01-25T12:09:09"/>
    <x v="0"/>
    <m/>
    <m/>
    <x v="0"/>
    <n v="70803"/>
    <n v="0"/>
    <d v="2016-01-25T12:12:08"/>
    <n v="7.99"/>
    <x v="24"/>
    <n v="1"/>
    <n v="1"/>
    <n v="0"/>
    <n v="0"/>
    <n v="1"/>
    <x v="0"/>
    <x v="0"/>
    <x v="0"/>
    <x v="0"/>
    <n v="7"/>
    <e v="#N/A"/>
    <e v="#N/A"/>
  </r>
  <r>
    <n v="2457"/>
    <d v="2016-01-25T11:08:48"/>
    <d v="2016-01-25T11:23:48"/>
    <x v="0"/>
    <s v="Large"/>
    <m/>
    <x v="0"/>
    <n v="70806"/>
    <n v="0"/>
    <d v="2016-01-25T11:26:48"/>
    <n v="23.34"/>
    <x v="2"/>
    <n v="2"/>
    <n v="1"/>
    <n v="2.2999999999999998"/>
    <n v="0"/>
    <n v="3.3"/>
    <x v="0"/>
    <x v="0"/>
    <x v="0"/>
    <x v="0"/>
    <n v="7"/>
    <n v="14"/>
    <e v="#N/A"/>
  </r>
  <r>
    <n v="2458"/>
    <d v="2016-01-25T13:15:35"/>
    <d v="2016-01-25T13:30:35"/>
    <x v="1"/>
    <m/>
    <m/>
    <x v="1"/>
    <n v="70804"/>
    <n v="3.3740475824388998"/>
    <d v="2016-01-25T13:47:27"/>
    <n v="15.35"/>
    <x v="678"/>
    <n v="1"/>
    <n v="2.2999999999999998"/>
    <n v="0"/>
    <n v="0"/>
    <n v="2.2999999999999998"/>
    <x v="665"/>
    <x v="1"/>
    <x v="1242"/>
    <x v="0"/>
    <n v="14"/>
    <e v="#N/A"/>
    <e v="#N/A"/>
  </r>
  <r>
    <n v="2459"/>
    <d v="2016-01-25T12:24:34"/>
    <d v="2016-01-25T12:39:34"/>
    <x v="0"/>
    <s v="Large"/>
    <m/>
    <x v="0"/>
    <n v="70805"/>
    <n v="0"/>
    <d v="2016-01-25T12:42:32"/>
    <n v="23.34"/>
    <x v="0"/>
    <n v="2"/>
    <n v="1"/>
    <n v="2.2999999999999998"/>
    <n v="0"/>
    <n v="3.3"/>
    <x v="0"/>
    <x v="0"/>
    <x v="0"/>
    <x v="0"/>
    <n v="7"/>
    <n v="14"/>
    <e v="#N/A"/>
  </r>
  <r>
    <n v="2460"/>
    <d v="2016-01-25T15:27:20"/>
    <d v="2016-01-25T15:42:20"/>
    <x v="0"/>
    <s v="Medium"/>
    <m/>
    <x v="0"/>
    <n v="70805"/>
    <n v="0"/>
    <d v="2016-01-25T15:45:20"/>
    <n v="19.579999999999998"/>
    <x v="63"/>
    <n v="2"/>
    <n v="1"/>
    <n v="1.7"/>
    <n v="0"/>
    <n v="2.7"/>
    <x v="0"/>
    <x v="0"/>
    <x v="0"/>
    <x v="0"/>
    <n v="7"/>
    <n v="10"/>
    <e v="#N/A"/>
  </r>
  <r>
    <n v="2461"/>
    <d v="2016-01-25T12:05:51"/>
    <d v="2016-01-25T12:20:49"/>
    <x v="2"/>
    <m/>
    <m/>
    <x v="1"/>
    <n v="70805"/>
    <n v="3.9646126013626199"/>
    <d v="2016-01-25T12:40:38"/>
    <n v="11.59"/>
    <x v="917"/>
    <n v="1"/>
    <n v="1.7"/>
    <n v="0"/>
    <n v="0"/>
    <n v="1.7"/>
    <x v="904"/>
    <x v="1"/>
    <x v="1243"/>
    <x v="0"/>
    <n v="10"/>
    <e v="#N/A"/>
    <e v="#N/A"/>
  </r>
  <r>
    <n v="2462"/>
    <d v="2016-01-25T14:43:14"/>
    <d v="2016-01-25T14:58:14"/>
    <x v="0"/>
    <s v="Medium"/>
    <m/>
    <x v="1"/>
    <n v="70803"/>
    <n v="2.1967704280165199"/>
    <d v="2016-01-25T15:09:13"/>
    <n v="19.579999999999998"/>
    <x v="918"/>
    <n v="2"/>
    <n v="1"/>
    <n v="1.7"/>
    <n v="0"/>
    <n v="2.7"/>
    <x v="905"/>
    <x v="0"/>
    <x v="1244"/>
    <x v="701"/>
    <n v="7"/>
    <n v="10"/>
    <e v="#N/A"/>
  </r>
  <r>
    <n v="2463"/>
    <d v="2016-01-25T11:23:17"/>
    <d v="2016-01-25T11:38:16"/>
    <x v="0"/>
    <s v="Medium"/>
    <m/>
    <x v="0"/>
    <n v="70806"/>
    <n v="0"/>
    <d v="2016-01-25T11:41:15"/>
    <n v="19.579999999999998"/>
    <x v="24"/>
    <n v="2"/>
    <n v="1"/>
    <n v="1.7"/>
    <n v="0"/>
    <n v="2.7"/>
    <x v="0"/>
    <x v="0"/>
    <x v="0"/>
    <x v="0"/>
    <n v="7"/>
    <n v="10"/>
    <e v="#N/A"/>
  </r>
  <r>
    <n v="2464"/>
    <d v="2016-01-25T11:16:33"/>
    <d v="2016-01-25T11:31:33"/>
    <x v="2"/>
    <m/>
    <m/>
    <x v="0"/>
    <n v="70805"/>
    <n v="0"/>
    <d v="2016-01-25T11:34:31"/>
    <n v="11.59"/>
    <x v="0"/>
    <n v="1"/>
    <n v="1.7"/>
    <n v="0"/>
    <n v="0"/>
    <n v="1.7"/>
    <x v="0"/>
    <x v="0"/>
    <x v="0"/>
    <x v="0"/>
    <n v="10"/>
    <e v="#N/A"/>
    <e v="#N/A"/>
  </r>
  <r>
    <n v="2465"/>
    <d v="2016-01-25T12:22:46"/>
    <d v="2016-01-25T12:37:47"/>
    <x v="1"/>
    <m/>
    <m/>
    <x v="1"/>
    <n v="70803"/>
    <n v="1.93705766795782"/>
    <d v="2016-01-25T12:47:28"/>
    <n v="15.35"/>
    <x v="827"/>
    <n v="1"/>
    <n v="2.2999999999999998"/>
    <n v="0"/>
    <n v="0"/>
    <n v="2.2999999999999998"/>
    <x v="814"/>
    <x v="0"/>
    <x v="1245"/>
    <x v="702"/>
    <n v="14"/>
    <e v="#N/A"/>
    <e v="#N/A"/>
  </r>
  <r>
    <n v="2466"/>
    <d v="2016-01-25T12:17:09"/>
    <d v="2016-01-25T12:32:09"/>
    <x v="0"/>
    <m/>
    <m/>
    <x v="1"/>
    <n v="70804"/>
    <n v="3.9715682620427302"/>
    <d v="2016-01-25T12:52:00"/>
    <n v="7.99"/>
    <x v="645"/>
    <n v="1"/>
    <n v="1"/>
    <n v="0"/>
    <n v="0"/>
    <n v="1"/>
    <x v="632"/>
    <x v="1"/>
    <x v="1246"/>
    <x v="0"/>
    <n v="7"/>
    <e v="#N/A"/>
    <e v="#N/A"/>
  </r>
  <r>
    <n v="2467"/>
    <d v="2016-01-25T11:46:29"/>
    <d v="2016-01-25T12:01:26"/>
    <x v="2"/>
    <m/>
    <m/>
    <x v="0"/>
    <n v="70803"/>
    <n v="0"/>
    <d v="2016-01-25T12:04:27"/>
    <n v="11.59"/>
    <x v="14"/>
    <n v="1"/>
    <n v="1.7"/>
    <n v="0"/>
    <n v="0"/>
    <n v="1.7"/>
    <x v="0"/>
    <x v="0"/>
    <x v="0"/>
    <x v="0"/>
    <n v="10"/>
    <e v="#N/A"/>
    <e v="#N/A"/>
  </r>
  <r>
    <n v="2468"/>
    <d v="2016-01-25T12:16:40"/>
    <d v="2016-01-25T12:31:39"/>
    <x v="1"/>
    <m/>
    <m/>
    <x v="1"/>
    <n v="70807"/>
    <n v="4.1584066029581397"/>
    <d v="2016-01-25T12:52:26"/>
    <n v="15.35"/>
    <x v="919"/>
    <n v="1"/>
    <n v="2.2999999999999998"/>
    <n v="0"/>
    <n v="0"/>
    <n v="2.2999999999999998"/>
    <x v="906"/>
    <x v="1"/>
    <x v="1247"/>
    <x v="0"/>
    <n v="14"/>
    <e v="#N/A"/>
    <e v="#N/A"/>
  </r>
  <r>
    <n v="2469"/>
    <d v="2016-01-25T10:12:32"/>
    <d v="2016-01-25T10:27:30"/>
    <x v="1"/>
    <m/>
    <m/>
    <x v="0"/>
    <n v="70804"/>
    <n v="0"/>
    <d v="2016-01-25T10:30:31"/>
    <n v="15.35"/>
    <x v="56"/>
    <n v="1"/>
    <n v="2.2999999999999998"/>
    <n v="0"/>
    <n v="0"/>
    <n v="2.2999999999999998"/>
    <x v="0"/>
    <x v="0"/>
    <x v="0"/>
    <x v="0"/>
    <n v="14"/>
    <e v="#N/A"/>
    <e v="#N/A"/>
  </r>
  <r>
    <n v="2470"/>
    <d v="2016-01-25T12:10:51"/>
    <d v="2016-01-25T12:25:51"/>
    <x v="1"/>
    <m/>
    <m/>
    <x v="0"/>
    <n v="70804"/>
    <n v="0"/>
    <d v="2016-01-25T12:28:50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2471"/>
    <d v="2016-01-25T11:30:18"/>
    <d v="2016-01-25T11:45:19"/>
    <x v="0"/>
    <m/>
    <m/>
    <x v="0"/>
    <n v="70806"/>
    <n v="0"/>
    <d v="2016-01-25T11:48:19"/>
    <n v="7.99"/>
    <x v="2"/>
    <n v="1"/>
    <n v="1"/>
    <n v="0"/>
    <n v="0"/>
    <n v="1"/>
    <x v="0"/>
    <x v="0"/>
    <x v="0"/>
    <x v="0"/>
    <n v="7"/>
    <e v="#N/A"/>
    <e v="#N/A"/>
  </r>
  <r>
    <n v="2472"/>
    <d v="2016-01-25T12:14:52"/>
    <d v="2016-01-25T12:29:52"/>
    <x v="1"/>
    <m/>
    <m/>
    <x v="1"/>
    <n v="70806"/>
    <n v="1.79986115362994"/>
    <d v="2016-01-25T12:38:51"/>
    <n v="15.35"/>
    <x v="920"/>
    <n v="1"/>
    <n v="2.2999999999999998"/>
    <n v="0"/>
    <n v="0"/>
    <n v="2.2999999999999998"/>
    <x v="907"/>
    <x v="0"/>
    <x v="1248"/>
    <x v="703"/>
    <n v="14"/>
    <e v="#N/A"/>
    <e v="#N/A"/>
  </r>
  <r>
    <n v="2473"/>
    <d v="2016-01-25T12:53:28"/>
    <d v="2016-01-25T13:08:29"/>
    <x v="1"/>
    <m/>
    <m/>
    <x v="1"/>
    <n v="70804"/>
    <n v="5.0766178162900699"/>
    <d v="2016-01-25T13:33:51"/>
    <n v="15.35"/>
    <x v="921"/>
    <n v="1"/>
    <n v="2.2999999999999998"/>
    <n v="0"/>
    <n v="0"/>
    <n v="2.2999999999999998"/>
    <x v="908"/>
    <x v="1"/>
    <x v="1249"/>
    <x v="0"/>
    <n v="14"/>
    <e v="#N/A"/>
    <e v="#N/A"/>
  </r>
  <r>
    <n v="2474"/>
    <d v="2016-01-25T12:45:25"/>
    <d v="2016-01-25T13:00:25"/>
    <x v="0"/>
    <s v="Medium"/>
    <m/>
    <x v="1"/>
    <n v="70804"/>
    <n v="0.53276912708998703"/>
    <d v="2016-01-25T13:03:04"/>
    <n v="19.579999999999998"/>
    <x v="653"/>
    <n v="2"/>
    <n v="1"/>
    <n v="1.7"/>
    <n v="0"/>
    <n v="2.7"/>
    <x v="640"/>
    <x v="0"/>
    <x v="1250"/>
    <x v="704"/>
    <n v="7"/>
    <n v="10"/>
    <e v="#N/A"/>
  </r>
  <r>
    <n v="2475"/>
    <d v="2016-01-25T12:50:03"/>
    <d v="2016-01-25T13:05:01"/>
    <x v="0"/>
    <s v="Large"/>
    <m/>
    <x v="0"/>
    <n v="70806"/>
    <n v="0"/>
    <d v="2016-01-25T13:08:00"/>
    <n v="23.34"/>
    <x v="1"/>
    <n v="2"/>
    <n v="1"/>
    <n v="2.2999999999999998"/>
    <n v="0"/>
    <n v="3.3"/>
    <x v="0"/>
    <x v="0"/>
    <x v="0"/>
    <x v="0"/>
    <n v="7"/>
    <n v="14"/>
    <e v="#N/A"/>
  </r>
  <r>
    <n v="2476"/>
    <d v="2016-01-25T10:59:26"/>
    <d v="2016-01-25T11:14:26"/>
    <x v="1"/>
    <m/>
    <m/>
    <x v="0"/>
    <n v="70804"/>
    <n v="0"/>
    <d v="2016-01-25T11:17:26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2477"/>
    <d v="2016-01-25T11:26:11"/>
    <d v="2016-01-25T11:41:12"/>
    <x v="1"/>
    <m/>
    <m/>
    <x v="1"/>
    <n v="70805"/>
    <n v="2.0873765983283601"/>
    <d v="2016-01-25T11:51:38"/>
    <n v="15.35"/>
    <x v="787"/>
    <n v="1"/>
    <n v="2.2999999999999998"/>
    <n v="0"/>
    <n v="0"/>
    <n v="2.2999999999999998"/>
    <x v="774"/>
    <x v="0"/>
    <x v="1251"/>
    <x v="705"/>
    <n v="14"/>
    <e v="#N/A"/>
    <e v="#N/A"/>
  </r>
  <r>
    <n v="2478"/>
    <d v="2016-01-25T11:56:15"/>
    <d v="2016-01-25T12:11:14"/>
    <x v="0"/>
    <m/>
    <m/>
    <x v="1"/>
    <n v="70805"/>
    <n v="2.1076377628371001"/>
    <d v="2016-01-25T12:21:46"/>
    <n v="7.99"/>
    <x v="339"/>
    <n v="1"/>
    <n v="1"/>
    <n v="0"/>
    <n v="0"/>
    <n v="1"/>
    <x v="326"/>
    <x v="0"/>
    <x v="1252"/>
    <x v="706"/>
    <n v="7"/>
    <e v="#N/A"/>
    <e v="#N/A"/>
  </r>
  <r>
    <n v="2479"/>
    <d v="2016-01-25T10:13:55"/>
    <d v="2016-01-25T10:28:56"/>
    <x v="0"/>
    <m/>
    <m/>
    <x v="0"/>
    <n v="70807"/>
    <n v="0"/>
    <d v="2016-01-25T10:31:56"/>
    <n v="7.99"/>
    <x v="2"/>
    <n v="1"/>
    <n v="1"/>
    <n v="0"/>
    <n v="0"/>
    <n v="1"/>
    <x v="0"/>
    <x v="0"/>
    <x v="0"/>
    <x v="0"/>
    <n v="7"/>
    <e v="#N/A"/>
    <e v="#N/A"/>
  </r>
  <r>
    <n v="2480"/>
    <d v="2016-01-25T14:19:46"/>
    <d v="2016-01-25T14:34:45"/>
    <x v="0"/>
    <m/>
    <m/>
    <x v="0"/>
    <n v="70805"/>
    <n v="0"/>
    <d v="2016-01-25T14:37:44"/>
    <n v="7.99"/>
    <x v="1"/>
    <n v="1"/>
    <n v="1"/>
    <n v="0"/>
    <n v="0"/>
    <n v="1"/>
    <x v="0"/>
    <x v="0"/>
    <x v="0"/>
    <x v="0"/>
    <n v="7"/>
    <e v="#N/A"/>
    <e v="#N/A"/>
  </r>
  <r>
    <n v="2481"/>
    <d v="2016-01-25T11:20:32"/>
    <d v="2016-01-25T11:35:30"/>
    <x v="2"/>
    <m/>
    <m/>
    <x v="1"/>
    <n v="70804"/>
    <n v="2.8496809497470301"/>
    <d v="2016-01-25T11:49:44"/>
    <n v="11.59"/>
    <x v="558"/>
    <n v="1"/>
    <n v="1.7"/>
    <n v="0"/>
    <n v="0"/>
    <n v="1.7"/>
    <x v="545"/>
    <x v="0"/>
    <x v="1253"/>
    <x v="707"/>
    <n v="10"/>
    <e v="#N/A"/>
    <e v="#N/A"/>
  </r>
  <r>
    <n v="2482"/>
    <d v="2016-01-25T12:17:38"/>
    <d v="2016-01-25T12:32:36"/>
    <x v="2"/>
    <m/>
    <m/>
    <x v="1"/>
    <n v="70804"/>
    <n v="2.1553281088566099"/>
    <d v="2016-01-25T12:43:22"/>
    <n v="11.59"/>
    <x v="922"/>
    <n v="1"/>
    <n v="1.7"/>
    <n v="0"/>
    <n v="0"/>
    <n v="1.7"/>
    <x v="909"/>
    <x v="0"/>
    <x v="1254"/>
    <x v="708"/>
    <n v="10"/>
    <e v="#N/A"/>
    <e v="#N/A"/>
  </r>
  <r>
    <n v="2483"/>
    <d v="2016-01-25T12:33:22"/>
    <d v="2016-01-25T12:48:21"/>
    <x v="0"/>
    <m/>
    <m/>
    <x v="0"/>
    <n v="70805"/>
    <n v="0"/>
    <d v="2016-01-25T12:51:20"/>
    <n v="7.99"/>
    <x v="1"/>
    <n v="1"/>
    <n v="1"/>
    <n v="0"/>
    <n v="0"/>
    <n v="1"/>
    <x v="0"/>
    <x v="0"/>
    <x v="0"/>
    <x v="0"/>
    <n v="7"/>
    <e v="#N/A"/>
    <e v="#N/A"/>
  </r>
  <r>
    <n v="2484"/>
    <d v="2016-01-25T12:21:16"/>
    <d v="2016-01-25T12:36:16"/>
    <x v="2"/>
    <m/>
    <m/>
    <x v="1"/>
    <n v="70807"/>
    <n v="4.6221831915818399"/>
    <d v="2016-01-25T12:59:22"/>
    <n v="11.59"/>
    <x v="923"/>
    <n v="1"/>
    <n v="1.7"/>
    <n v="0"/>
    <n v="0"/>
    <n v="1.7"/>
    <x v="910"/>
    <x v="1"/>
    <x v="1255"/>
    <x v="0"/>
    <n v="10"/>
    <e v="#N/A"/>
    <e v="#N/A"/>
  </r>
  <r>
    <n v="2485"/>
    <d v="2016-01-25T11:20:21"/>
    <d v="2016-01-25T11:35:21"/>
    <x v="0"/>
    <m/>
    <m/>
    <x v="0"/>
    <n v="70804"/>
    <n v="0"/>
    <d v="2016-01-25T11:38:21"/>
    <n v="7.99"/>
    <x v="2"/>
    <n v="1"/>
    <n v="1"/>
    <n v="0"/>
    <n v="0"/>
    <n v="1"/>
    <x v="0"/>
    <x v="0"/>
    <x v="0"/>
    <x v="0"/>
    <n v="7"/>
    <e v="#N/A"/>
    <e v="#N/A"/>
  </r>
  <r>
    <n v="2486"/>
    <d v="2016-01-25T11:44:51"/>
    <d v="2016-01-25T11:59:50"/>
    <x v="2"/>
    <m/>
    <m/>
    <x v="0"/>
    <n v="70803"/>
    <n v="0"/>
    <d v="2016-01-25T12:02:51"/>
    <n v="11.59"/>
    <x v="56"/>
    <n v="1"/>
    <n v="1.7"/>
    <n v="0"/>
    <n v="0"/>
    <n v="1.7"/>
    <x v="0"/>
    <x v="0"/>
    <x v="0"/>
    <x v="0"/>
    <n v="10"/>
    <e v="#N/A"/>
    <e v="#N/A"/>
  </r>
  <r>
    <n v="2487"/>
    <d v="2016-01-25T11:18:18"/>
    <d v="2016-01-25T11:33:18"/>
    <x v="0"/>
    <m/>
    <m/>
    <x v="0"/>
    <n v="70805"/>
    <n v="0"/>
    <d v="2016-01-25T11:36:17"/>
    <n v="7.99"/>
    <x v="24"/>
    <n v="1"/>
    <n v="1"/>
    <n v="0"/>
    <n v="0"/>
    <n v="1"/>
    <x v="0"/>
    <x v="0"/>
    <x v="0"/>
    <x v="0"/>
    <n v="7"/>
    <e v="#N/A"/>
    <e v="#N/A"/>
  </r>
  <r>
    <n v="2488"/>
    <d v="2016-01-25T12:36:43"/>
    <d v="2016-01-25T12:51:41"/>
    <x v="1"/>
    <m/>
    <m/>
    <x v="0"/>
    <n v="70806"/>
    <n v="0"/>
    <d v="2016-01-25T12:54:41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2489"/>
    <d v="2016-01-25T11:42:23"/>
    <d v="2016-01-25T11:57:22"/>
    <x v="2"/>
    <m/>
    <m/>
    <x v="0"/>
    <n v="70804"/>
    <n v="0"/>
    <d v="2016-01-25T12:00:22"/>
    <n v="11.59"/>
    <x v="2"/>
    <n v="1"/>
    <n v="1.7"/>
    <n v="0"/>
    <n v="0"/>
    <n v="1.7"/>
    <x v="0"/>
    <x v="0"/>
    <x v="0"/>
    <x v="0"/>
    <n v="10"/>
    <e v="#N/A"/>
    <e v="#N/A"/>
  </r>
  <r>
    <n v="2490"/>
    <d v="2016-01-25T11:21:25"/>
    <d v="2016-01-25T11:36:24"/>
    <x v="0"/>
    <s v="Medium"/>
    <m/>
    <x v="0"/>
    <n v="70803"/>
    <n v="0"/>
    <d v="2016-01-25T11:39:24"/>
    <n v="19.579999999999998"/>
    <x v="2"/>
    <n v="2"/>
    <n v="1"/>
    <n v="1.7"/>
    <n v="0"/>
    <n v="2.7"/>
    <x v="0"/>
    <x v="0"/>
    <x v="0"/>
    <x v="0"/>
    <n v="7"/>
    <n v="10"/>
    <e v="#N/A"/>
  </r>
  <r>
    <n v="2491"/>
    <d v="2016-01-25T12:17:27"/>
    <d v="2016-01-25T12:32:27"/>
    <x v="0"/>
    <s v="Large"/>
    <m/>
    <x v="0"/>
    <n v="70807"/>
    <n v="0"/>
    <d v="2016-01-25T12:35:27"/>
    <n v="23.34"/>
    <x v="2"/>
    <n v="2"/>
    <n v="1"/>
    <n v="2.2999999999999998"/>
    <n v="0"/>
    <n v="3.3"/>
    <x v="0"/>
    <x v="0"/>
    <x v="0"/>
    <x v="0"/>
    <n v="7"/>
    <n v="14"/>
    <e v="#N/A"/>
  </r>
  <r>
    <n v="2492"/>
    <d v="2016-01-25T12:37:21"/>
    <d v="2016-01-25T12:52:21"/>
    <x v="1"/>
    <m/>
    <m/>
    <x v="0"/>
    <n v="70804"/>
    <n v="0"/>
    <d v="2016-01-25T12:55:19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2493"/>
    <d v="2016-01-25T10:18:20"/>
    <d v="2016-01-25T10:33:19"/>
    <x v="0"/>
    <s v="Medium"/>
    <m/>
    <x v="0"/>
    <n v="70806"/>
    <n v="0"/>
    <d v="2016-01-25T10:36:20"/>
    <n v="19.579999999999998"/>
    <x v="14"/>
    <n v="2"/>
    <n v="1"/>
    <n v="1.7"/>
    <n v="0"/>
    <n v="2.7"/>
    <x v="0"/>
    <x v="0"/>
    <x v="0"/>
    <x v="0"/>
    <n v="7"/>
    <n v="10"/>
    <e v="#N/A"/>
  </r>
  <r>
    <n v="2494"/>
    <d v="2016-01-25T11:43:40"/>
    <d v="2016-01-25T11:58:38"/>
    <x v="2"/>
    <m/>
    <m/>
    <x v="0"/>
    <n v="70805"/>
    <n v="0"/>
    <d v="2016-01-25T12:01:37"/>
    <n v="11.59"/>
    <x v="1"/>
    <n v="1"/>
    <n v="1.7"/>
    <n v="0"/>
    <n v="0"/>
    <n v="1.7"/>
    <x v="0"/>
    <x v="0"/>
    <x v="0"/>
    <x v="0"/>
    <n v="10"/>
    <e v="#N/A"/>
    <e v="#N/A"/>
  </r>
  <r>
    <n v="2495"/>
    <d v="2016-01-25T12:54:09"/>
    <d v="2016-01-25T13:09:09"/>
    <x v="0"/>
    <m/>
    <m/>
    <x v="1"/>
    <n v="70805"/>
    <n v="3.59928324164976"/>
    <d v="2016-01-25T13:27:08"/>
    <n v="7.99"/>
    <x v="272"/>
    <n v="1"/>
    <n v="1"/>
    <n v="0"/>
    <n v="0"/>
    <n v="1"/>
    <x v="259"/>
    <x v="1"/>
    <x v="1256"/>
    <x v="0"/>
    <n v="7"/>
    <e v="#N/A"/>
    <e v="#N/A"/>
  </r>
  <r>
    <n v="2496"/>
    <d v="2016-01-25T11:30:42"/>
    <d v="2016-01-25T11:45:41"/>
    <x v="0"/>
    <s v="Medium"/>
    <m/>
    <x v="1"/>
    <n v="70803"/>
    <n v="5.8081229973664596"/>
    <d v="2016-01-25T12:14:43"/>
    <n v="19.579999999999998"/>
    <x v="924"/>
    <n v="2"/>
    <n v="1"/>
    <n v="1.7"/>
    <n v="0"/>
    <n v="2.7"/>
    <x v="911"/>
    <x v="1"/>
    <x v="1257"/>
    <x v="0"/>
    <n v="7"/>
    <n v="10"/>
    <e v="#N/A"/>
  </r>
  <r>
    <n v="2497"/>
    <d v="2016-01-25T10:39:45"/>
    <d v="2016-01-25T10:54:44"/>
    <x v="0"/>
    <m/>
    <m/>
    <x v="1"/>
    <n v="70805"/>
    <n v="3.7924275228611899"/>
    <d v="2016-01-25T11:13:41"/>
    <n v="7.99"/>
    <x v="496"/>
    <n v="1"/>
    <n v="1"/>
    <n v="0"/>
    <n v="0"/>
    <n v="1"/>
    <x v="483"/>
    <x v="1"/>
    <x v="1258"/>
    <x v="0"/>
    <n v="7"/>
    <e v="#N/A"/>
    <e v="#N/A"/>
  </r>
  <r>
    <n v="2498"/>
    <d v="2016-01-25T11:16:40"/>
    <d v="2016-01-25T11:31:39"/>
    <x v="1"/>
    <m/>
    <m/>
    <x v="1"/>
    <n v="70805"/>
    <n v="2.1296401123223498"/>
    <d v="2016-01-25T11:42:17"/>
    <n v="15.35"/>
    <x v="925"/>
    <n v="1"/>
    <n v="2.2999999999999998"/>
    <n v="0"/>
    <n v="0"/>
    <n v="2.2999999999999998"/>
    <x v="912"/>
    <x v="0"/>
    <x v="1259"/>
    <x v="709"/>
    <n v="14"/>
    <e v="#N/A"/>
    <e v="#N/A"/>
  </r>
  <r>
    <n v="2499"/>
    <d v="2016-01-25T11:20:27"/>
    <d v="2016-01-25T11:35:28"/>
    <x v="2"/>
    <m/>
    <m/>
    <x v="1"/>
    <n v="70805"/>
    <n v="3.71538310019108"/>
    <d v="2016-01-25T11:54:02"/>
    <n v="11.59"/>
    <x v="926"/>
    <n v="1"/>
    <n v="1.7"/>
    <n v="0"/>
    <n v="0"/>
    <n v="1.7"/>
    <x v="913"/>
    <x v="1"/>
    <x v="1260"/>
    <x v="0"/>
    <n v="10"/>
    <e v="#N/A"/>
    <e v="#N/A"/>
  </r>
  <r>
    <n v="2500"/>
    <d v="2016-01-25T12:12:15"/>
    <d v="2016-01-25T12:27:15"/>
    <x v="0"/>
    <s v="Medium"/>
    <m/>
    <x v="1"/>
    <n v="70804"/>
    <n v="2.6662394588962202"/>
    <d v="2016-01-25T12:40:34"/>
    <n v="19.579999999999998"/>
    <x v="180"/>
    <n v="2"/>
    <n v="1"/>
    <n v="1.7"/>
    <n v="0"/>
    <n v="2.7"/>
    <x v="168"/>
    <x v="0"/>
    <x v="1261"/>
    <x v="710"/>
    <n v="7"/>
    <n v="10"/>
    <e v="#N/A"/>
  </r>
  <r>
    <n v="2501"/>
    <d v="2016-01-25T12:35:34"/>
    <d v="2016-01-25T12:50:35"/>
    <x v="1"/>
    <m/>
    <m/>
    <x v="0"/>
    <n v="70804"/>
    <n v="0"/>
    <d v="2016-01-25T12:53:34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2502"/>
    <d v="2016-01-25T12:17:13"/>
    <d v="2016-01-25T12:32:14"/>
    <x v="1"/>
    <m/>
    <m/>
    <x v="1"/>
    <n v="70804"/>
    <n v="2.0627173672625601"/>
    <d v="2016-01-25T12:42:32"/>
    <n v="15.35"/>
    <x v="681"/>
    <n v="1"/>
    <n v="2.2999999999999998"/>
    <n v="0"/>
    <n v="0"/>
    <n v="2.2999999999999998"/>
    <x v="668"/>
    <x v="0"/>
    <x v="1262"/>
    <x v="711"/>
    <n v="14"/>
    <e v="#N/A"/>
    <e v="#N/A"/>
  </r>
  <r>
    <n v="2503"/>
    <d v="2016-01-25T11:08:14"/>
    <d v="2016-01-25T11:23:15"/>
    <x v="1"/>
    <m/>
    <m/>
    <x v="1"/>
    <n v="70805"/>
    <n v="2.5998637171701402"/>
    <d v="2016-01-25T11:36:14"/>
    <n v="15.35"/>
    <x v="927"/>
    <n v="1"/>
    <n v="2.2999999999999998"/>
    <n v="0"/>
    <n v="0"/>
    <n v="2.2999999999999998"/>
    <x v="914"/>
    <x v="0"/>
    <x v="1263"/>
    <x v="712"/>
    <n v="14"/>
    <e v="#N/A"/>
    <e v="#N/A"/>
  </r>
  <r>
    <n v="2504"/>
    <d v="2016-01-25T12:23:00"/>
    <d v="2016-01-25T12:37:59"/>
    <x v="0"/>
    <s v="Large"/>
    <m/>
    <x v="0"/>
    <n v="70807"/>
    <n v="0"/>
    <d v="2016-01-25T12:40:57"/>
    <n v="23.34"/>
    <x v="19"/>
    <n v="2"/>
    <n v="1"/>
    <n v="2.2999999999999998"/>
    <n v="0"/>
    <n v="3.3"/>
    <x v="0"/>
    <x v="0"/>
    <x v="0"/>
    <x v="0"/>
    <n v="7"/>
    <n v="14"/>
    <e v="#N/A"/>
  </r>
  <r>
    <n v="2505"/>
    <d v="2016-01-25T13:33:11"/>
    <d v="2016-01-25T13:48:11"/>
    <x v="2"/>
    <s v="Large"/>
    <m/>
    <x v="1"/>
    <n v="70805"/>
    <n v="4.0786050261073701"/>
    <d v="2016-01-25T14:08:34"/>
    <n v="25.94"/>
    <x v="928"/>
    <n v="2"/>
    <n v="1.7"/>
    <n v="2.2999999999999998"/>
    <n v="0"/>
    <n v="4"/>
    <x v="915"/>
    <x v="1"/>
    <x v="1264"/>
    <x v="0"/>
    <n v="10"/>
    <n v="14"/>
    <e v="#N/A"/>
  </r>
  <r>
    <n v="2506"/>
    <d v="2016-01-25T11:19:27"/>
    <d v="2016-01-25T11:34:26"/>
    <x v="0"/>
    <m/>
    <m/>
    <x v="1"/>
    <n v="70803"/>
    <n v="3.9302462008371299"/>
    <d v="2016-01-25T11:54:05"/>
    <n v="7.99"/>
    <x v="588"/>
    <n v="1"/>
    <n v="1"/>
    <n v="0"/>
    <n v="0"/>
    <n v="1"/>
    <x v="575"/>
    <x v="1"/>
    <x v="1265"/>
    <x v="0"/>
    <n v="7"/>
    <e v="#N/A"/>
    <e v="#N/A"/>
  </r>
  <r>
    <n v="2507"/>
    <d v="2016-01-25T11:50:19"/>
    <d v="2016-01-25T12:05:18"/>
    <x v="1"/>
    <m/>
    <m/>
    <x v="1"/>
    <n v="70805"/>
    <n v="2.0004962103058701"/>
    <d v="2016-01-25T12:15:18"/>
    <n v="15.35"/>
    <x v="852"/>
    <n v="1"/>
    <n v="2.2999999999999998"/>
    <n v="0"/>
    <n v="0"/>
    <n v="2.2999999999999998"/>
    <x v="839"/>
    <x v="0"/>
    <x v="1266"/>
    <x v="713"/>
    <n v="14"/>
    <e v="#N/A"/>
    <e v="#N/A"/>
  </r>
  <r>
    <n v="2508"/>
    <d v="2016-01-25T13:33:01"/>
    <d v="2016-01-25T13:48:01"/>
    <x v="1"/>
    <m/>
    <m/>
    <x v="1"/>
    <n v="70803"/>
    <n v="3.1420310518846302"/>
    <d v="2016-01-25T14:03:43"/>
    <n v="15.35"/>
    <x v="394"/>
    <n v="1"/>
    <n v="2.2999999999999998"/>
    <n v="0"/>
    <n v="0"/>
    <n v="2.2999999999999998"/>
    <x v="381"/>
    <x v="0"/>
    <x v="1267"/>
    <x v="714"/>
    <n v="14"/>
    <e v="#N/A"/>
    <e v="#N/A"/>
  </r>
  <r>
    <n v="2509"/>
    <d v="2016-01-25T11:19:39"/>
    <d v="2016-01-25T11:34:38"/>
    <x v="0"/>
    <s v="Medium"/>
    <m/>
    <x v="1"/>
    <n v="70804"/>
    <n v="2.3234299597113899"/>
    <d v="2016-01-25T11:46:15"/>
    <n v="19.579999999999998"/>
    <x v="929"/>
    <n v="2"/>
    <n v="1"/>
    <n v="1.7"/>
    <n v="0"/>
    <n v="2.7"/>
    <x v="916"/>
    <x v="0"/>
    <x v="1268"/>
    <x v="715"/>
    <n v="7"/>
    <n v="10"/>
    <e v="#N/A"/>
  </r>
  <r>
    <n v="2510"/>
    <d v="2016-01-25T13:57:46"/>
    <d v="2016-01-25T14:12:45"/>
    <x v="0"/>
    <s v="Medium"/>
    <m/>
    <x v="0"/>
    <n v="70803"/>
    <n v="0"/>
    <d v="2016-01-25T14:15:45"/>
    <n v="19.579999999999998"/>
    <x v="2"/>
    <n v="2"/>
    <n v="1"/>
    <n v="1.7"/>
    <n v="0"/>
    <n v="2.7"/>
    <x v="0"/>
    <x v="0"/>
    <x v="0"/>
    <x v="0"/>
    <n v="7"/>
    <n v="10"/>
    <e v="#N/A"/>
  </r>
  <r>
    <n v="2511"/>
    <d v="2016-01-25T13:36:46"/>
    <d v="2016-01-25T13:51:45"/>
    <x v="2"/>
    <m/>
    <m/>
    <x v="0"/>
    <n v="70805"/>
    <n v="0"/>
    <d v="2016-01-25T13:54:45"/>
    <n v="11.59"/>
    <x v="2"/>
    <n v="1"/>
    <n v="1.7"/>
    <n v="0"/>
    <n v="0"/>
    <n v="1.7"/>
    <x v="0"/>
    <x v="0"/>
    <x v="0"/>
    <x v="0"/>
    <n v="10"/>
    <e v="#N/A"/>
    <e v="#N/A"/>
  </r>
  <r>
    <n v="2512"/>
    <d v="2016-01-25T10:23:28"/>
    <d v="2016-01-25T10:38:28"/>
    <x v="2"/>
    <m/>
    <m/>
    <x v="1"/>
    <n v="70807"/>
    <n v="5.9283614712399704"/>
    <d v="2016-01-25T11:08:06"/>
    <n v="11.59"/>
    <x v="930"/>
    <n v="1"/>
    <n v="1.7"/>
    <n v="0"/>
    <n v="0"/>
    <n v="1.7"/>
    <x v="917"/>
    <x v="1"/>
    <x v="1269"/>
    <x v="0"/>
    <n v="10"/>
    <e v="#N/A"/>
    <e v="#N/A"/>
  </r>
  <r>
    <n v="2513"/>
    <d v="2016-01-25T11:27:39"/>
    <d v="2016-01-25T11:42:38"/>
    <x v="0"/>
    <s v="Large"/>
    <m/>
    <x v="1"/>
    <n v="70804"/>
    <n v="3.8038514053831798"/>
    <d v="2016-01-25T12:01:39"/>
    <n v="23.34"/>
    <x v="683"/>
    <n v="2"/>
    <n v="1"/>
    <n v="2.2999999999999998"/>
    <n v="0"/>
    <n v="3.3"/>
    <x v="670"/>
    <x v="1"/>
    <x v="1270"/>
    <x v="0"/>
    <n v="7"/>
    <n v="14"/>
    <e v="#N/A"/>
  </r>
  <r>
    <n v="2514"/>
    <d v="2016-01-25T12:46:39"/>
    <d v="2016-01-25T13:01:38"/>
    <x v="0"/>
    <s v="Medium"/>
    <m/>
    <x v="1"/>
    <n v="70806"/>
    <n v="3.9157029785153501"/>
    <d v="2016-01-25T13:21:12"/>
    <n v="19.579999999999998"/>
    <x v="876"/>
    <n v="2"/>
    <n v="1"/>
    <n v="1.7"/>
    <n v="0"/>
    <n v="2.7"/>
    <x v="863"/>
    <x v="1"/>
    <x v="1271"/>
    <x v="0"/>
    <n v="7"/>
    <n v="10"/>
    <e v="#N/A"/>
  </r>
  <r>
    <n v="2515"/>
    <d v="2016-01-25T11:23:21"/>
    <d v="2016-01-25T11:38:21"/>
    <x v="2"/>
    <m/>
    <m/>
    <x v="1"/>
    <n v="70803"/>
    <n v="2.4742808293004299"/>
    <d v="2016-01-25T11:50:43"/>
    <n v="11.59"/>
    <x v="931"/>
    <n v="1"/>
    <n v="1.7"/>
    <n v="0"/>
    <n v="0"/>
    <n v="1.7"/>
    <x v="918"/>
    <x v="0"/>
    <x v="1272"/>
    <x v="716"/>
    <n v="10"/>
    <e v="#N/A"/>
    <e v="#N/A"/>
  </r>
  <r>
    <n v="2516"/>
    <d v="2016-01-25T12:52:39"/>
    <d v="2016-01-25T13:07:38"/>
    <x v="1"/>
    <m/>
    <m/>
    <x v="1"/>
    <n v="70804"/>
    <n v="2.90524904332558"/>
    <d v="2016-01-25T13:22:09"/>
    <n v="15.35"/>
    <x v="372"/>
    <n v="1"/>
    <n v="2.2999999999999998"/>
    <n v="0"/>
    <n v="0"/>
    <n v="2.2999999999999998"/>
    <x v="359"/>
    <x v="0"/>
    <x v="1273"/>
    <x v="717"/>
    <n v="14"/>
    <e v="#N/A"/>
    <e v="#N/A"/>
  </r>
  <r>
    <n v="2517"/>
    <d v="2016-01-25T10:00:06"/>
    <d v="2016-01-25T10:15:04"/>
    <x v="1"/>
    <m/>
    <m/>
    <x v="1"/>
    <n v="70805"/>
    <n v="1.9817730270155101"/>
    <d v="2016-01-25T10:24:58"/>
    <n v="15.35"/>
    <x v="123"/>
    <n v="1"/>
    <n v="2.2999999999999998"/>
    <n v="0"/>
    <n v="0"/>
    <n v="2.2999999999999998"/>
    <x v="113"/>
    <x v="0"/>
    <x v="1274"/>
    <x v="718"/>
    <n v="14"/>
    <e v="#N/A"/>
    <e v="#N/A"/>
  </r>
  <r>
    <n v="2518"/>
    <d v="2016-01-25T13:03:39"/>
    <d v="2016-01-25T13:18:38"/>
    <x v="0"/>
    <s v="Medium"/>
    <m/>
    <x v="1"/>
    <n v="70804"/>
    <n v="3.6156800502868101"/>
    <d v="2016-01-25T13:36:42"/>
    <n v="19.579999999999998"/>
    <x v="55"/>
    <n v="2"/>
    <n v="1"/>
    <n v="1.7"/>
    <n v="0"/>
    <n v="2.7"/>
    <x v="49"/>
    <x v="1"/>
    <x v="1275"/>
    <x v="0"/>
    <n v="7"/>
    <n v="10"/>
    <e v="#N/A"/>
  </r>
  <r>
    <n v="2519"/>
    <d v="2016-01-25T13:20:04"/>
    <d v="2016-01-25T13:35:03"/>
    <x v="2"/>
    <m/>
    <m/>
    <x v="1"/>
    <n v="70804"/>
    <n v="4.81402782130397"/>
    <d v="2016-01-25T13:59:07"/>
    <n v="11.59"/>
    <x v="932"/>
    <n v="1"/>
    <n v="1.7"/>
    <n v="0"/>
    <n v="0"/>
    <n v="1.7"/>
    <x v="919"/>
    <x v="1"/>
    <x v="1276"/>
    <x v="0"/>
    <n v="10"/>
    <e v="#N/A"/>
    <e v="#N/A"/>
  </r>
  <r>
    <n v="2520"/>
    <d v="2016-01-25T12:30:50"/>
    <d v="2016-01-25T12:45:49"/>
    <x v="0"/>
    <m/>
    <m/>
    <x v="0"/>
    <n v="70803"/>
    <n v="0"/>
    <d v="2016-01-25T12:48:50"/>
    <n v="7.99"/>
    <x v="56"/>
    <n v="1"/>
    <n v="1"/>
    <n v="0"/>
    <n v="0"/>
    <n v="1"/>
    <x v="0"/>
    <x v="0"/>
    <x v="0"/>
    <x v="0"/>
    <n v="7"/>
    <e v="#N/A"/>
    <e v="#N/A"/>
  </r>
  <r>
    <n v="2521"/>
    <d v="2016-01-25T12:38:02"/>
    <d v="2016-01-25T12:53:04"/>
    <x v="1"/>
    <m/>
    <m/>
    <x v="0"/>
    <n v="70805"/>
    <n v="0"/>
    <d v="2016-01-25T12:56:05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2522"/>
    <d v="2016-01-25T10:13:09"/>
    <d v="2016-01-25T10:28:09"/>
    <x v="0"/>
    <m/>
    <m/>
    <x v="1"/>
    <n v="70807"/>
    <n v="5.1634242007370901"/>
    <d v="2016-01-25T10:53:58"/>
    <n v="7.99"/>
    <x v="933"/>
    <n v="1"/>
    <n v="1"/>
    <n v="0"/>
    <n v="0"/>
    <n v="1"/>
    <x v="920"/>
    <x v="1"/>
    <x v="1277"/>
    <x v="0"/>
    <n v="7"/>
    <e v="#N/A"/>
    <e v="#N/A"/>
  </r>
  <r>
    <n v="2523"/>
    <d v="2016-01-25T12:29:05"/>
    <d v="2016-01-25T12:44:05"/>
    <x v="0"/>
    <s v="Medium"/>
    <m/>
    <x v="0"/>
    <n v="70805"/>
    <n v="0"/>
    <d v="2016-01-25T12:47:05"/>
    <n v="19.579999999999998"/>
    <x v="63"/>
    <n v="2"/>
    <n v="1"/>
    <n v="1.7"/>
    <n v="0"/>
    <n v="2.7"/>
    <x v="0"/>
    <x v="0"/>
    <x v="0"/>
    <x v="0"/>
    <n v="7"/>
    <n v="10"/>
    <e v="#N/A"/>
  </r>
  <r>
    <n v="2524"/>
    <d v="2016-01-26T11:47:21"/>
    <d v="2016-01-26T12:02:21"/>
    <x v="1"/>
    <m/>
    <m/>
    <x v="0"/>
    <n v="70804"/>
    <n v="0"/>
    <d v="2016-01-26T12:05:19"/>
    <n v="15.35"/>
    <x v="19"/>
    <n v="1"/>
    <n v="2.2999999999999998"/>
    <n v="0"/>
    <n v="0"/>
    <n v="2.2999999999999998"/>
    <x v="0"/>
    <x v="0"/>
    <x v="0"/>
    <x v="0"/>
    <n v="14"/>
    <e v="#N/A"/>
    <e v="#N/A"/>
  </r>
  <r>
    <n v="2525"/>
    <d v="2016-01-26T14:26:08"/>
    <d v="2016-01-26T14:41:07"/>
    <x v="2"/>
    <m/>
    <m/>
    <x v="1"/>
    <n v="70804"/>
    <n v="3.76228671561323"/>
    <d v="2016-01-26T14:59:55"/>
    <n v="11.59"/>
    <x v="745"/>
    <n v="1"/>
    <n v="1.7"/>
    <n v="0"/>
    <n v="0"/>
    <n v="1.7"/>
    <x v="732"/>
    <x v="1"/>
    <x v="1278"/>
    <x v="0"/>
    <n v="10"/>
    <e v="#N/A"/>
    <e v="#N/A"/>
  </r>
  <r>
    <n v="2526"/>
    <d v="2016-01-26T12:03:03"/>
    <d v="2016-01-26T12:18:02"/>
    <x v="1"/>
    <m/>
    <m/>
    <x v="1"/>
    <n v="70805"/>
    <n v="3.9653044504033499"/>
    <d v="2016-01-26T12:37:51"/>
    <n v="15.35"/>
    <x v="48"/>
    <n v="1"/>
    <n v="2.2999999999999998"/>
    <n v="0"/>
    <n v="0"/>
    <n v="2.2999999999999998"/>
    <x v="42"/>
    <x v="1"/>
    <x v="1279"/>
    <x v="0"/>
    <n v="14"/>
    <e v="#N/A"/>
    <e v="#N/A"/>
  </r>
  <r>
    <n v="2527"/>
    <d v="2016-01-26T12:57:09"/>
    <d v="2016-01-26T13:12:06"/>
    <x v="2"/>
    <m/>
    <m/>
    <x v="0"/>
    <n v="70804"/>
    <n v="0"/>
    <d v="2016-01-26T13:15:05"/>
    <n v="11.59"/>
    <x v="1"/>
    <n v="1"/>
    <n v="1.7"/>
    <n v="0"/>
    <n v="0"/>
    <n v="1.7"/>
    <x v="0"/>
    <x v="0"/>
    <x v="0"/>
    <x v="0"/>
    <n v="10"/>
    <e v="#N/A"/>
    <e v="#N/A"/>
  </r>
  <r>
    <n v="2528"/>
    <d v="2016-01-26T13:39:26"/>
    <d v="2016-01-26T13:54:25"/>
    <x v="1"/>
    <m/>
    <m/>
    <x v="0"/>
    <n v="70803"/>
    <n v="0"/>
    <d v="2016-01-26T13:57:23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2529"/>
    <d v="2016-01-26T11:27:32"/>
    <d v="2016-01-26T11:42:32"/>
    <x v="2"/>
    <m/>
    <m/>
    <x v="1"/>
    <n v="70804"/>
    <n v="4.2379566280484902"/>
    <d v="2016-01-26T12:03:43"/>
    <n v="11.59"/>
    <x v="196"/>
    <n v="1"/>
    <n v="1.7"/>
    <n v="0"/>
    <n v="0"/>
    <n v="1.7"/>
    <x v="184"/>
    <x v="1"/>
    <x v="1280"/>
    <x v="0"/>
    <n v="10"/>
    <e v="#N/A"/>
    <e v="#N/A"/>
  </r>
  <r>
    <n v="2530"/>
    <d v="2016-01-26T12:48:27"/>
    <d v="2016-01-26T13:03:26"/>
    <x v="0"/>
    <s v="Medium"/>
    <m/>
    <x v="1"/>
    <n v="70805"/>
    <n v="3.4014048641889998"/>
    <d v="2016-01-26T13:20:26"/>
    <n v="19.579999999999998"/>
    <x v="934"/>
    <n v="2"/>
    <n v="1"/>
    <n v="1.7"/>
    <n v="0"/>
    <n v="2.7"/>
    <x v="921"/>
    <x v="1"/>
    <x v="1281"/>
    <x v="0"/>
    <n v="7"/>
    <n v="10"/>
    <e v="#N/A"/>
  </r>
  <r>
    <n v="2531"/>
    <d v="2016-01-26T13:36:39"/>
    <d v="2016-01-26T13:51:39"/>
    <x v="0"/>
    <s v="Large"/>
    <m/>
    <x v="0"/>
    <n v="70805"/>
    <n v="0"/>
    <d v="2016-01-26T13:54:39"/>
    <n v="23.34"/>
    <x v="2"/>
    <n v="2"/>
    <n v="1"/>
    <n v="2.2999999999999998"/>
    <n v="0"/>
    <n v="3.3"/>
    <x v="0"/>
    <x v="0"/>
    <x v="0"/>
    <x v="0"/>
    <n v="7"/>
    <n v="14"/>
    <e v="#N/A"/>
  </r>
  <r>
    <n v="2532"/>
    <d v="2016-01-26T13:16:19"/>
    <d v="2016-01-26T13:31:18"/>
    <x v="0"/>
    <s v="Large"/>
    <m/>
    <x v="0"/>
    <n v="70804"/>
    <n v="0"/>
    <d v="2016-01-26T13:34:17"/>
    <n v="23.34"/>
    <x v="24"/>
    <n v="2"/>
    <n v="1"/>
    <n v="2.2999999999999998"/>
    <n v="0"/>
    <n v="3.3"/>
    <x v="0"/>
    <x v="0"/>
    <x v="0"/>
    <x v="0"/>
    <n v="7"/>
    <n v="14"/>
    <e v="#N/A"/>
  </r>
  <r>
    <n v="2533"/>
    <d v="2016-01-26T12:41:38"/>
    <d v="2016-01-26T12:56:38"/>
    <x v="0"/>
    <m/>
    <m/>
    <x v="0"/>
    <n v="70805"/>
    <n v="0"/>
    <d v="2016-01-26T12:59:38"/>
    <n v="7.99"/>
    <x v="63"/>
    <n v="1"/>
    <n v="1"/>
    <n v="0"/>
    <n v="0"/>
    <n v="1"/>
    <x v="0"/>
    <x v="0"/>
    <x v="0"/>
    <x v="0"/>
    <n v="7"/>
    <e v="#N/A"/>
    <e v="#N/A"/>
  </r>
  <r>
    <n v="2534"/>
    <d v="2016-01-26T12:25:11"/>
    <d v="2016-01-26T12:40:10"/>
    <x v="2"/>
    <m/>
    <m/>
    <x v="0"/>
    <n v="70804"/>
    <n v="0"/>
    <d v="2016-01-26T12:43:09"/>
    <n v="11.59"/>
    <x v="24"/>
    <n v="1"/>
    <n v="1.7"/>
    <n v="0"/>
    <n v="0"/>
    <n v="1.7"/>
    <x v="0"/>
    <x v="0"/>
    <x v="0"/>
    <x v="0"/>
    <n v="10"/>
    <e v="#N/A"/>
    <e v="#N/A"/>
  </r>
  <r>
    <n v="2535"/>
    <d v="2016-01-26T12:28:21"/>
    <d v="2016-01-26T12:43:22"/>
    <x v="2"/>
    <m/>
    <m/>
    <x v="1"/>
    <n v="70807"/>
    <n v="4.55417919239905"/>
    <d v="2016-01-26T13:06:08"/>
    <n v="11.59"/>
    <x v="8"/>
    <n v="1"/>
    <n v="1.7"/>
    <n v="0"/>
    <n v="0"/>
    <n v="1.7"/>
    <x v="6"/>
    <x v="1"/>
    <x v="1282"/>
    <x v="0"/>
    <n v="10"/>
    <e v="#N/A"/>
    <e v="#N/A"/>
  </r>
  <r>
    <n v="2536"/>
    <d v="2016-01-26T12:46:35"/>
    <d v="2016-01-26T13:01:35"/>
    <x v="1"/>
    <m/>
    <m/>
    <x v="0"/>
    <n v="70804"/>
    <n v="0"/>
    <d v="2016-01-26T13:04:34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2537"/>
    <d v="2016-01-26T11:29:08"/>
    <d v="2016-01-26T11:44:06"/>
    <x v="1"/>
    <m/>
    <m/>
    <x v="0"/>
    <n v="70807"/>
    <n v="0"/>
    <d v="2016-01-26T11:47:06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2538"/>
    <d v="2016-01-26T13:25:07"/>
    <d v="2016-01-26T13:40:07"/>
    <x v="0"/>
    <m/>
    <m/>
    <x v="1"/>
    <n v="70803"/>
    <n v="2.9977735098143001"/>
    <d v="2016-01-26T13:55:06"/>
    <n v="7.99"/>
    <x v="615"/>
    <n v="1"/>
    <n v="1"/>
    <n v="0"/>
    <n v="0"/>
    <n v="1"/>
    <x v="602"/>
    <x v="0"/>
    <x v="1283"/>
    <x v="719"/>
    <n v="7"/>
    <e v="#N/A"/>
    <e v="#N/A"/>
  </r>
  <r>
    <n v="2539"/>
    <d v="2016-01-26T11:37:41"/>
    <d v="2016-01-26T11:52:40"/>
    <x v="1"/>
    <m/>
    <m/>
    <x v="0"/>
    <n v="70804"/>
    <n v="0"/>
    <d v="2016-01-26T11:55:40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2540"/>
    <d v="2016-01-26T12:29:30"/>
    <d v="2016-01-26T12:44:31"/>
    <x v="1"/>
    <m/>
    <m/>
    <x v="0"/>
    <n v="70805"/>
    <n v="0"/>
    <d v="2016-01-26T12:47:32"/>
    <n v="15.35"/>
    <x v="56"/>
    <n v="1"/>
    <n v="2.2999999999999998"/>
    <n v="0"/>
    <n v="0"/>
    <n v="2.2999999999999998"/>
    <x v="0"/>
    <x v="0"/>
    <x v="0"/>
    <x v="0"/>
    <n v="14"/>
    <e v="#N/A"/>
    <e v="#N/A"/>
  </r>
  <r>
    <n v="2541"/>
    <d v="2016-01-26T11:51:16"/>
    <d v="2016-01-26T12:06:15"/>
    <x v="0"/>
    <s v="Medium"/>
    <m/>
    <x v="0"/>
    <n v="70808"/>
    <n v="0"/>
    <d v="2016-01-26T12:09:15"/>
    <n v="19.579999999999998"/>
    <x v="2"/>
    <n v="2"/>
    <n v="1"/>
    <n v="1.7"/>
    <n v="0"/>
    <n v="2.7"/>
    <x v="0"/>
    <x v="0"/>
    <x v="0"/>
    <x v="0"/>
    <n v="7"/>
    <n v="10"/>
    <e v="#N/A"/>
  </r>
  <r>
    <n v="2542"/>
    <d v="2016-01-26T13:42:31"/>
    <d v="2016-01-26T13:57:31"/>
    <x v="0"/>
    <m/>
    <m/>
    <x v="1"/>
    <n v="70805"/>
    <n v="2.4166060786543202"/>
    <d v="2016-01-26T14:09:35"/>
    <n v="7.99"/>
    <x v="611"/>
    <n v="1"/>
    <n v="1"/>
    <n v="0"/>
    <n v="0"/>
    <n v="1"/>
    <x v="598"/>
    <x v="0"/>
    <x v="1284"/>
    <x v="720"/>
    <n v="7"/>
    <e v="#N/A"/>
    <e v="#N/A"/>
  </r>
  <r>
    <n v="2543"/>
    <d v="2016-01-26T12:01:49"/>
    <d v="2016-01-26T12:16:49"/>
    <x v="1"/>
    <m/>
    <m/>
    <x v="1"/>
    <n v="70805"/>
    <n v="4.1331932123597399"/>
    <d v="2016-01-26T12:37:28"/>
    <n v="15.35"/>
    <x v="449"/>
    <n v="1"/>
    <n v="2.2999999999999998"/>
    <n v="0"/>
    <n v="0"/>
    <n v="2.2999999999999998"/>
    <x v="436"/>
    <x v="1"/>
    <x v="1285"/>
    <x v="0"/>
    <n v="14"/>
    <e v="#N/A"/>
    <e v="#N/A"/>
  </r>
  <r>
    <n v="2544"/>
    <d v="2016-01-26T10:40:44"/>
    <d v="2016-01-26T10:55:44"/>
    <x v="0"/>
    <m/>
    <m/>
    <x v="1"/>
    <n v="70805"/>
    <n v="4.3784317701622903"/>
    <d v="2016-01-26T11:17:37"/>
    <n v="7.99"/>
    <x v="667"/>
    <n v="1"/>
    <n v="1"/>
    <n v="0"/>
    <n v="0"/>
    <n v="1"/>
    <x v="654"/>
    <x v="1"/>
    <x v="1286"/>
    <x v="0"/>
    <n v="7"/>
    <e v="#N/A"/>
    <e v="#N/A"/>
  </r>
  <r>
    <n v="2545"/>
    <d v="2016-01-26T10:25:31"/>
    <d v="2016-01-26T10:40:30"/>
    <x v="2"/>
    <m/>
    <m/>
    <x v="1"/>
    <n v="70806"/>
    <n v="3.4563508084209"/>
    <d v="2016-01-26T10:57:46"/>
    <n v="11.59"/>
    <x v="364"/>
    <n v="1"/>
    <n v="1.7"/>
    <n v="0"/>
    <n v="0"/>
    <n v="1.7"/>
    <x v="351"/>
    <x v="1"/>
    <x v="1287"/>
    <x v="0"/>
    <n v="10"/>
    <e v="#N/A"/>
    <e v="#N/A"/>
  </r>
  <r>
    <n v="2546"/>
    <d v="2016-01-26T11:36:14"/>
    <d v="2016-01-26T11:51:14"/>
    <x v="0"/>
    <s v="Medium"/>
    <m/>
    <x v="0"/>
    <n v="70803"/>
    <n v="0"/>
    <d v="2016-01-26T11:54:14"/>
    <n v="19.579999999999998"/>
    <x v="2"/>
    <n v="2"/>
    <n v="1"/>
    <n v="1.7"/>
    <n v="0"/>
    <n v="2.7"/>
    <x v="0"/>
    <x v="0"/>
    <x v="0"/>
    <x v="0"/>
    <n v="7"/>
    <n v="10"/>
    <e v="#N/A"/>
  </r>
  <r>
    <n v="2547"/>
    <d v="2016-01-26T12:14:05"/>
    <d v="2016-01-26T12:29:04"/>
    <x v="0"/>
    <s v="Large"/>
    <m/>
    <x v="0"/>
    <n v="70806"/>
    <n v="0"/>
    <d v="2016-01-26T12:32:03"/>
    <n v="23.34"/>
    <x v="1"/>
    <n v="2"/>
    <n v="1"/>
    <n v="2.2999999999999998"/>
    <n v="0"/>
    <n v="3.3"/>
    <x v="0"/>
    <x v="0"/>
    <x v="0"/>
    <x v="0"/>
    <n v="7"/>
    <n v="14"/>
    <e v="#N/A"/>
  </r>
  <r>
    <n v="2548"/>
    <d v="2016-01-26T13:54:02"/>
    <d v="2016-01-26T14:09:02"/>
    <x v="2"/>
    <m/>
    <m/>
    <x v="1"/>
    <n v="70807"/>
    <n v="3.4161869105061302"/>
    <d v="2016-01-26T14:26:06"/>
    <n v="11.59"/>
    <x v="10"/>
    <n v="1"/>
    <n v="1.7"/>
    <n v="0"/>
    <n v="0"/>
    <n v="1.7"/>
    <x v="8"/>
    <x v="1"/>
    <x v="1288"/>
    <x v="0"/>
    <n v="10"/>
    <e v="#N/A"/>
    <e v="#N/A"/>
  </r>
  <r>
    <n v="2549"/>
    <d v="2016-01-26T12:30:04"/>
    <d v="2016-01-26T12:45:04"/>
    <x v="0"/>
    <s v="Medium"/>
    <m/>
    <x v="1"/>
    <n v="70804"/>
    <n v="2.2342322791698499"/>
    <d v="2016-01-26T12:56:14"/>
    <n v="19.579999999999998"/>
    <x v="935"/>
    <n v="2"/>
    <n v="1"/>
    <n v="1.7"/>
    <n v="0"/>
    <n v="2.7"/>
    <x v="922"/>
    <x v="0"/>
    <x v="1289"/>
    <x v="721"/>
    <n v="7"/>
    <n v="10"/>
    <e v="#N/A"/>
  </r>
  <r>
    <n v="2550"/>
    <d v="2016-01-26T10:53:48"/>
    <d v="2016-01-26T11:08:47"/>
    <x v="0"/>
    <m/>
    <m/>
    <x v="1"/>
    <n v="70805"/>
    <n v="4.51631604479656"/>
    <d v="2016-01-26T11:31:21"/>
    <n v="7.99"/>
    <x v="936"/>
    <n v="1"/>
    <n v="1"/>
    <n v="0"/>
    <n v="0"/>
    <n v="1"/>
    <x v="923"/>
    <x v="1"/>
    <x v="1290"/>
    <x v="0"/>
    <n v="7"/>
    <e v="#N/A"/>
    <e v="#N/A"/>
  </r>
  <r>
    <n v="2551"/>
    <d v="2016-01-26T10:18:45"/>
    <d v="2016-01-26T10:33:45"/>
    <x v="2"/>
    <m/>
    <m/>
    <x v="1"/>
    <n v="70804"/>
    <n v="4.27887194187847"/>
    <d v="2016-01-26T10:55:08"/>
    <n v="11.59"/>
    <x v="371"/>
    <n v="1"/>
    <n v="1.7"/>
    <n v="0"/>
    <n v="0"/>
    <n v="1.7"/>
    <x v="358"/>
    <x v="1"/>
    <x v="1291"/>
    <x v="0"/>
    <n v="10"/>
    <e v="#N/A"/>
    <e v="#N/A"/>
  </r>
  <r>
    <n v="2552"/>
    <d v="2016-01-26T11:27:09"/>
    <d v="2016-01-26T11:42:09"/>
    <x v="0"/>
    <s v="Medium"/>
    <m/>
    <x v="1"/>
    <n v="70807"/>
    <n v="1.9150289422312401"/>
    <d v="2016-01-26T11:51:43"/>
    <n v="19.579999999999998"/>
    <x v="409"/>
    <n v="2"/>
    <n v="1"/>
    <n v="1.7"/>
    <n v="0"/>
    <n v="2.7"/>
    <x v="396"/>
    <x v="0"/>
    <x v="1292"/>
    <x v="722"/>
    <n v="7"/>
    <n v="10"/>
    <e v="#N/A"/>
  </r>
  <r>
    <n v="2553"/>
    <d v="2016-01-26T12:16:03"/>
    <d v="2016-01-26T12:31:03"/>
    <x v="0"/>
    <s v="Medium"/>
    <m/>
    <x v="0"/>
    <n v="70803"/>
    <n v="0"/>
    <d v="2016-01-26T12:34:03"/>
    <n v="19.579999999999998"/>
    <x v="2"/>
    <n v="2"/>
    <n v="1"/>
    <n v="1.7"/>
    <n v="0"/>
    <n v="2.7"/>
    <x v="0"/>
    <x v="0"/>
    <x v="0"/>
    <x v="0"/>
    <n v="7"/>
    <n v="10"/>
    <e v="#N/A"/>
  </r>
  <r>
    <n v="2554"/>
    <d v="2016-01-26T11:24:21"/>
    <d v="2016-01-26T11:39:21"/>
    <x v="2"/>
    <m/>
    <m/>
    <x v="1"/>
    <n v="70807"/>
    <n v="3.7272500747953599"/>
    <d v="2016-01-26T11:57:59"/>
    <n v="11.59"/>
    <x v="937"/>
    <n v="1"/>
    <n v="1.7"/>
    <n v="0"/>
    <n v="0"/>
    <n v="1.7"/>
    <x v="924"/>
    <x v="1"/>
    <x v="1293"/>
    <x v="0"/>
    <n v="10"/>
    <e v="#N/A"/>
    <e v="#N/A"/>
  </r>
  <r>
    <n v="2555"/>
    <d v="2016-01-26T11:41:38"/>
    <d v="2016-01-26T11:56:37"/>
    <x v="0"/>
    <m/>
    <m/>
    <x v="1"/>
    <n v="70807"/>
    <n v="2.8080282975180602"/>
    <d v="2016-01-26T12:10:39"/>
    <n v="7.99"/>
    <x v="400"/>
    <n v="1"/>
    <n v="1"/>
    <n v="0"/>
    <n v="0"/>
    <n v="1"/>
    <x v="387"/>
    <x v="0"/>
    <x v="1294"/>
    <x v="723"/>
    <n v="7"/>
    <e v="#N/A"/>
    <e v="#N/A"/>
  </r>
  <r>
    <n v="2556"/>
    <d v="2016-01-26T11:05:22"/>
    <d v="2016-01-26T11:20:20"/>
    <x v="0"/>
    <s v="Large"/>
    <m/>
    <x v="0"/>
    <n v="70803"/>
    <n v="0"/>
    <d v="2016-01-26T11:23:20"/>
    <n v="23.34"/>
    <x v="2"/>
    <n v="2"/>
    <n v="1"/>
    <n v="2.2999999999999998"/>
    <n v="0"/>
    <n v="3.3"/>
    <x v="0"/>
    <x v="0"/>
    <x v="0"/>
    <x v="0"/>
    <n v="7"/>
    <n v="14"/>
    <e v="#N/A"/>
  </r>
  <r>
    <n v="2557"/>
    <d v="2016-01-26T13:26:54"/>
    <d v="2016-01-26T13:41:54"/>
    <x v="0"/>
    <m/>
    <m/>
    <x v="1"/>
    <n v="70804"/>
    <n v="1.87801341150974"/>
    <d v="2016-01-26T13:51:17"/>
    <n v="7.99"/>
    <x v="938"/>
    <n v="1"/>
    <n v="1"/>
    <n v="0"/>
    <n v="0"/>
    <n v="1"/>
    <x v="925"/>
    <x v="0"/>
    <x v="1295"/>
    <x v="724"/>
    <n v="7"/>
    <e v="#N/A"/>
    <e v="#N/A"/>
  </r>
  <r>
    <n v="2558"/>
    <d v="2016-01-26T12:02:36"/>
    <d v="2016-01-26T12:17:35"/>
    <x v="0"/>
    <s v="Large"/>
    <m/>
    <x v="0"/>
    <n v="70804"/>
    <n v="0"/>
    <d v="2016-01-26T12:20:35"/>
    <n v="23.34"/>
    <x v="2"/>
    <n v="2"/>
    <n v="1"/>
    <n v="2.2999999999999998"/>
    <n v="0"/>
    <n v="3.3"/>
    <x v="0"/>
    <x v="0"/>
    <x v="0"/>
    <x v="0"/>
    <n v="7"/>
    <n v="14"/>
    <e v="#N/A"/>
  </r>
  <r>
    <n v="2559"/>
    <d v="2016-01-26T11:20:53"/>
    <d v="2016-01-26T11:35:53"/>
    <x v="2"/>
    <m/>
    <m/>
    <x v="1"/>
    <n v="70804"/>
    <n v="2.1420174295347398"/>
    <d v="2016-01-26T11:46:35"/>
    <n v="11.59"/>
    <x v="939"/>
    <n v="1"/>
    <n v="1.7"/>
    <n v="0"/>
    <n v="0"/>
    <n v="1.7"/>
    <x v="926"/>
    <x v="0"/>
    <x v="1296"/>
    <x v="725"/>
    <n v="10"/>
    <e v="#N/A"/>
    <e v="#N/A"/>
  </r>
  <r>
    <n v="2560"/>
    <d v="2016-01-26T10:57:20"/>
    <d v="2016-01-26T11:12:18"/>
    <x v="0"/>
    <s v="Large"/>
    <m/>
    <x v="1"/>
    <n v="70804"/>
    <n v="3.7531399784112098"/>
    <d v="2016-01-26T11:31:03"/>
    <n v="23.34"/>
    <x v="940"/>
    <n v="2"/>
    <n v="1"/>
    <n v="2.2999999999999998"/>
    <n v="0"/>
    <n v="3.3"/>
    <x v="927"/>
    <x v="1"/>
    <x v="1297"/>
    <x v="0"/>
    <n v="7"/>
    <n v="14"/>
    <e v="#N/A"/>
  </r>
  <r>
    <n v="2561"/>
    <d v="2016-01-26T11:04:01"/>
    <d v="2016-01-26T11:19:01"/>
    <x v="1"/>
    <m/>
    <m/>
    <x v="0"/>
    <n v="70804"/>
    <n v="0"/>
    <d v="2016-01-26T11:22:01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2562"/>
    <d v="2016-01-26T12:34:26"/>
    <d v="2016-01-26T12:49:26"/>
    <x v="2"/>
    <m/>
    <m/>
    <x v="0"/>
    <n v="70804"/>
    <n v="0"/>
    <d v="2016-01-26T12:52:26"/>
    <n v="11.59"/>
    <x v="2"/>
    <n v="1"/>
    <n v="1.7"/>
    <n v="0"/>
    <n v="0"/>
    <n v="1.7"/>
    <x v="0"/>
    <x v="0"/>
    <x v="0"/>
    <x v="0"/>
    <n v="10"/>
    <e v="#N/A"/>
    <e v="#N/A"/>
  </r>
  <r>
    <n v="2563"/>
    <d v="2016-01-26T11:54:38"/>
    <d v="2016-01-26T12:09:39"/>
    <x v="2"/>
    <m/>
    <m/>
    <x v="1"/>
    <n v="70805"/>
    <n v="3.92955142953006"/>
    <d v="2016-01-26T12:29:17"/>
    <n v="11.59"/>
    <x v="485"/>
    <n v="1"/>
    <n v="1.7"/>
    <n v="0"/>
    <n v="0"/>
    <n v="1.7"/>
    <x v="472"/>
    <x v="1"/>
    <x v="1298"/>
    <x v="0"/>
    <n v="10"/>
    <e v="#N/A"/>
    <e v="#N/A"/>
  </r>
  <r>
    <n v="2564"/>
    <d v="2016-01-26T12:16:25"/>
    <d v="2016-01-26T12:31:24"/>
    <x v="0"/>
    <m/>
    <m/>
    <x v="1"/>
    <n v="70804"/>
    <n v="3.3432249146437099"/>
    <d v="2016-01-26T12:48:06"/>
    <n v="7.99"/>
    <x v="284"/>
    <n v="1"/>
    <n v="1"/>
    <n v="0"/>
    <n v="0"/>
    <n v="1"/>
    <x v="271"/>
    <x v="1"/>
    <x v="1299"/>
    <x v="0"/>
    <n v="7"/>
    <e v="#N/A"/>
    <e v="#N/A"/>
  </r>
  <r>
    <n v="2565"/>
    <d v="2016-01-26T12:38:24"/>
    <d v="2016-01-26T12:53:24"/>
    <x v="0"/>
    <m/>
    <m/>
    <x v="1"/>
    <n v="70805"/>
    <n v="3.1160402198623798"/>
    <d v="2016-01-26T13:08:58"/>
    <n v="7.99"/>
    <x v="941"/>
    <n v="1"/>
    <n v="1"/>
    <n v="0"/>
    <n v="0"/>
    <n v="1"/>
    <x v="928"/>
    <x v="0"/>
    <x v="1300"/>
    <x v="726"/>
    <n v="7"/>
    <e v="#N/A"/>
    <e v="#N/A"/>
  </r>
  <r>
    <n v="2566"/>
    <d v="2016-01-26T10:34:46"/>
    <d v="2016-01-26T10:49:46"/>
    <x v="1"/>
    <m/>
    <m/>
    <x v="1"/>
    <n v="70803"/>
    <n v="3.4042381111992701"/>
    <d v="2016-01-26T11:06:47"/>
    <n v="15.35"/>
    <x v="942"/>
    <n v="1"/>
    <n v="2.2999999999999998"/>
    <n v="0"/>
    <n v="0"/>
    <n v="2.2999999999999998"/>
    <x v="929"/>
    <x v="1"/>
    <x v="1301"/>
    <x v="0"/>
    <n v="14"/>
    <e v="#N/A"/>
    <e v="#N/A"/>
  </r>
  <r>
    <n v="2567"/>
    <d v="2016-01-26T11:19:57"/>
    <d v="2016-01-26T11:34:58"/>
    <x v="2"/>
    <m/>
    <m/>
    <x v="1"/>
    <n v="70805"/>
    <n v="1.7191607190465199"/>
    <d v="2016-01-26T11:43:33"/>
    <n v="11.59"/>
    <x v="477"/>
    <n v="1"/>
    <n v="1.7"/>
    <n v="0"/>
    <n v="0"/>
    <n v="1.7"/>
    <x v="464"/>
    <x v="0"/>
    <x v="1302"/>
    <x v="727"/>
    <n v="10"/>
    <e v="#N/A"/>
    <e v="#N/A"/>
  </r>
  <r>
    <n v="2568"/>
    <d v="2016-01-26T10:07:14"/>
    <d v="2016-01-26T10:22:11"/>
    <x v="2"/>
    <m/>
    <m/>
    <x v="1"/>
    <n v="70804"/>
    <n v="1.05651738632985"/>
    <d v="2016-01-26T10:27:27"/>
    <n v="11.59"/>
    <x v="943"/>
    <n v="1"/>
    <n v="1.7"/>
    <n v="0"/>
    <n v="0"/>
    <n v="1.7"/>
    <x v="930"/>
    <x v="0"/>
    <x v="1303"/>
    <x v="728"/>
    <n v="10"/>
    <e v="#N/A"/>
    <e v="#N/A"/>
  </r>
  <r>
    <n v="2569"/>
    <d v="2016-01-26T11:16:31"/>
    <d v="2016-01-26T11:31:30"/>
    <x v="1"/>
    <m/>
    <m/>
    <x v="1"/>
    <n v="70804"/>
    <n v="4.59178156864348"/>
    <d v="2016-01-26T11:54:27"/>
    <n v="15.35"/>
    <x v="944"/>
    <n v="1"/>
    <n v="2.2999999999999998"/>
    <n v="0"/>
    <n v="0"/>
    <n v="2.2999999999999998"/>
    <x v="931"/>
    <x v="1"/>
    <x v="1304"/>
    <x v="0"/>
    <n v="14"/>
    <e v="#N/A"/>
    <e v="#N/A"/>
  </r>
  <r>
    <n v="2570"/>
    <d v="2016-01-26T11:36:11"/>
    <d v="2016-01-26T11:51:10"/>
    <x v="0"/>
    <m/>
    <m/>
    <x v="1"/>
    <n v="70805"/>
    <n v="5.5655419300888402"/>
    <d v="2016-01-26T12:18:59"/>
    <n v="7.99"/>
    <x v="945"/>
    <n v="1"/>
    <n v="1"/>
    <n v="0"/>
    <n v="0"/>
    <n v="1"/>
    <x v="932"/>
    <x v="1"/>
    <x v="1305"/>
    <x v="0"/>
    <n v="7"/>
    <e v="#N/A"/>
    <e v="#N/A"/>
  </r>
  <r>
    <n v="2571"/>
    <d v="2016-01-26T12:27:46"/>
    <d v="2016-01-26T12:42:45"/>
    <x v="2"/>
    <m/>
    <m/>
    <x v="1"/>
    <n v="70804"/>
    <n v="2.4548084662729202"/>
    <d v="2016-01-26T12:55:01"/>
    <n v="11.59"/>
    <x v="563"/>
    <n v="1"/>
    <n v="1.7"/>
    <n v="0"/>
    <n v="0"/>
    <n v="1.7"/>
    <x v="550"/>
    <x v="0"/>
    <x v="1306"/>
    <x v="729"/>
    <n v="10"/>
    <e v="#N/A"/>
    <e v="#N/A"/>
  </r>
  <r>
    <n v="2572"/>
    <d v="2016-01-26T11:18:50"/>
    <d v="2016-01-26T11:33:47"/>
    <x v="0"/>
    <s v="Medium"/>
    <m/>
    <x v="0"/>
    <n v="70805"/>
    <n v="0"/>
    <d v="2016-01-26T11:36:47"/>
    <n v="19.579999999999998"/>
    <x v="2"/>
    <n v="2"/>
    <n v="1"/>
    <n v="1.7"/>
    <n v="0"/>
    <n v="2.7"/>
    <x v="0"/>
    <x v="0"/>
    <x v="0"/>
    <x v="0"/>
    <n v="7"/>
    <n v="10"/>
    <e v="#N/A"/>
  </r>
  <r>
    <n v="2573"/>
    <d v="2016-01-26T11:06:11"/>
    <d v="2016-01-26T11:21:12"/>
    <x v="1"/>
    <m/>
    <m/>
    <x v="0"/>
    <n v="70804"/>
    <n v="0"/>
    <d v="2016-01-26T11:24:12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2574"/>
    <d v="2016-01-26T13:48:47"/>
    <d v="2016-01-26T14:03:47"/>
    <x v="0"/>
    <s v="Medium"/>
    <m/>
    <x v="0"/>
    <n v="70804"/>
    <n v="0"/>
    <d v="2016-01-26T14:06:46"/>
    <n v="19.579999999999998"/>
    <x v="1"/>
    <n v="2"/>
    <n v="1"/>
    <n v="1.7"/>
    <n v="0"/>
    <n v="2.7"/>
    <x v="0"/>
    <x v="0"/>
    <x v="0"/>
    <x v="0"/>
    <n v="7"/>
    <n v="10"/>
    <e v="#N/A"/>
  </r>
  <r>
    <n v="2575"/>
    <d v="2016-01-26T10:31:05"/>
    <d v="2016-01-26T10:46:04"/>
    <x v="1"/>
    <m/>
    <m/>
    <x v="0"/>
    <n v="70805"/>
    <n v="0"/>
    <d v="2016-01-26T10:49:02"/>
    <n v="15.35"/>
    <x v="19"/>
    <n v="1"/>
    <n v="2.2999999999999998"/>
    <n v="0"/>
    <n v="0"/>
    <n v="2.2999999999999998"/>
    <x v="0"/>
    <x v="0"/>
    <x v="0"/>
    <x v="0"/>
    <n v="14"/>
    <e v="#N/A"/>
    <e v="#N/A"/>
  </r>
  <r>
    <n v="2576"/>
    <d v="2016-01-26T12:34:11"/>
    <d v="2016-01-26T12:49:09"/>
    <x v="1"/>
    <m/>
    <m/>
    <x v="1"/>
    <n v="70806"/>
    <n v="3.4318070669000802"/>
    <d v="2016-01-26T13:06:18"/>
    <n v="15.35"/>
    <x v="946"/>
    <n v="1"/>
    <n v="2.2999999999999998"/>
    <n v="0"/>
    <n v="0"/>
    <n v="2.2999999999999998"/>
    <x v="933"/>
    <x v="1"/>
    <x v="1307"/>
    <x v="0"/>
    <n v="14"/>
    <e v="#N/A"/>
    <e v="#N/A"/>
  </r>
  <r>
    <n v="2577"/>
    <d v="2016-01-26T13:18:21"/>
    <d v="2016-01-26T13:33:20"/>
    <x v="2"/>
    <m/>
    <m/>
    <x v="1"/>
    <n v="70804"/>
    <n v="3.9384522844481999"/>
    <d v="2016-01-26T13:53:01"/>
    <n v="11.59"/>
    <x v="947"/>
    <n v="1"/>
    <n v="1.7"/>
    <n v="0"/>
    <n v="0"/>
    <n v="1.7"/>
    <x v="934"/>
    <x v="1"/>
    <x v="1308"/>
    <x v="0"/>
    <n v="10"/>
    <e v="#N/A"/>
    <e v="#N/A"/>
  </r>
  <r>
    <n v="2578"/>
    <d v="2016-01-26T11:54:38"/>
    <d v="2016-01-26T12:09:37"/>
    <x v="2"/>
    <m/>
    <m/>
    <x v="0"/>
    <n v="70807"/>
    <n v="0"/>
    <d v="2016-01-26T12:12:36"/>
    <n v="11.59"/>
    <x v="1"/>
    <n v="1"/>
    <n v="1.7"/>
    <n v="0"/>
    <n v="0"/>
    <n v="1.7"/>
    <x v="0"/>
    <x v="0"/>
    <x v="0"/>
    <x v="0"/>
    <n v="10"/>
    <e v="#N/A"/>
    <e v="#N/A"/>
  </r>
  <r>
    <n v="2579"/>
    <d v="2016-01-26T12:56:59"/>
    <d v="2016-01-26T13:11:58"/>
    <x v="1"/>
    <m/>
    <m/>
    <x v="1"/>
    <n v="70803"/>
    <n v="4.2249908125615203"/>
    <d v="2016-01-26T13:33:05"/>
    <n v="15.35"/>
    <x v="459"/>
    <n v="1"/>
    <n v="2.2999999999999998"/>
    <n v="0"/>
    <n v="0"/>
    <n v="2.2999999999999998"/>
    <x v="446"/>
    <x v="1"/>
    <x v="1309"/>
    <x v="0"/>
    <n v="14"/>
    <e v="#N/A"/>
    <e v="#N/A"/>
  </r>
  <r>
    <n v="2580"/>
    <d v="2016-01-26T12:46:07"/>
    <d v="2016-01-26T13:01:06"/>
    <x v="1"/>
    <m/>
    <m/>
    <x v="1"/>
    <n v="70803"/>
    <n v="4.2630039828741797"/>
    <d v="2016-01-26T13:22:24"/>
    <n v="15.35"/>
    <x v="948"/>
    <n v="1"/>
    <n v="2.2999999999999998"/>
    <n v="0"/>
    <n v="0"/>
    <n v="2.2999999999999998"/>
    <x v="935"/>
    <x v="1"/>
    <x v="1310"/>
    <x v="0"/>
    <n v="14"/>
    <e v="#N/A"/>
    <e v="#N/A"/>
  </r>
  <r>
    <n v="2581"/>
    <d v="2016-01-26T12:06:52"/>
    <d v="2016-01-26T12:21:53"/>
    <x v="2"/>
    <m/>
    <m/>
    <x v="1"/>
    <n v="70805"/>
    <n v="3.7263860876871702"/>
    <d v="2016-01-26T12:40:30"/>
    <n v="11.59"/>
    <x v="500"/>
    <n v="1"/>
    <n v="1.7"/>
    <n v="0"/>
    <n v="0"/>
    <n v="1.7"/>
    <x v="487"/>
    <x v="1"/>
    <x v="1311"/>
    <x v="0"/>
    <n v="10"/>
    <e v="#N/A"/>
    <e v="#N/A"/>
  </r>
  <r>
    <n v="2582"/>
    <d v="2016-01-26T11:50:21"/>
    <d v="2016-01-26T12:05:21"/>
    <x v="1"/>
    <m/>
    <m/>
    <x v="1"/>
    <n v="70804"/>
    <n v="2.52060529834222"/>
    <d v="2016-01-26T12:17:57"/>
    <n v="15.35"/>
    <x v="590"/>
    <n v="1"/>
    <n v="2.2999999999999998"/>
    <n v="0"/>
    <n v="0"/>
    <n v="2.2999999999999998"/>
    <x v="577"/>
    <x v="0"/>
    <x v="1312"/>
    <x v="730"/>
    <n v="14"/>
    <e v="#N/A"/>
    <e v="#N/A"/>
  </r>
  <r>
    <n v="2583"/>
    <d v="2016-01-26T11:32:35"/>
    <d v="2016-01-26T11:47:34"/>
    <x v="1"/>
    <m/>
    <m/>
    <x v="0"/>
    <n v="70803"/>
    <n v="0"/>
    <d v="2016-01-26T11:50:33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2584"/>
    <d v="2016-01-26T10:19:57"/>
    <d v="2016-01-26T10:34:57"/>
    <x v="0"/>
    <s v="Medium"/>
    <m/>
    <x v="0"/>
    <n v="70803"/>
    <n v="0"/>
    <d v="2016-01-26T10:37:57"/>
    <n v="19.579999999999998"/>
    <x v="2"/>
    <n v="2"/>
    <n v="1"/>
    <n v="1.7"/>
    <n v="0"/>
    <n v="2.7"/>
    <x v="0"/>
    <x v="0"/>
    <x v="0"/>
    <x v="0"/>
    <n v="7"/>
    <n v="10"/>
    <e v="#N/A"/>
  </r>
  <r>
    <n v="2585"/>
    <d v="2016-01-26T12:58:52"/>
    <d v="2016-01-26T13:13:51"/>
    <x v="2"/>
    <m/>
    <m/>
    <x v="1"/>
    <n v="70803"/>
    <n v="4.1650889699024702"/>
    <d v="2016-01-26T13:34:40"/>
    <n v="11.59"/>
    <x v="266"/>
    <n v="1"/>
    <n v="1.7"/>
    <n v="0"/>
    <n v="0"/>
    <n v="1.7"/>
    <x v="253"/>
    <x v="1"/>
    <x v="1313"/>
    <x v="0"/>
    <n v="10"/>
    <e v="#N/A"/>
    <e v="#N/A"/>
  </r>
  <r>
    <n v="2586"/>
    <d v="2016-01-26T12:22:12"/>
    <d v="2016-01-26T12:37:11"/>
    <x v="0"/>
    <s v="Medium"/>
    <m/>
    <x v="0"/>
    <n v="70806"/>
    <n v="0"/>
    <d v="2016-01-26T12:40:10"/>
    <n v="19.579999999999998"/>
    <x v="1"/>
    <n v="2"/>
    <n v="1"/>
    <n v="1.7"/>
    <n v="0"/>
    <n v="2.7"/>
    <x v="0"/>
    <x v="0"/>
    <x v="0"/>
    <x v="0"/>
    <n v="7"/>
    <n v="10"/>
    <e v="#N/A"/>
  </r>
  <r>
    <n v="2587"/>
    <d v="2016-01-26T12:50:07"/>
    <d v="2016-01-26T13:05:06"/>
    <x v="0"/>
    <m/>
    <m/>
    <x v="1"/>
    <n v="70806"/>
    <n v="3.7678704414459498"/>
    <d v="2016-01-26T13:23:56"/>
    <n v="7.99"/>
    <x v="949"/>
    <n v="1"/>
    <n v="1"/>
    <n v="0"/>
    <n v="0"/>
    <n v="1"/>
    <x v="936"/>
    <x v="1"/>
    <x v="1314"/>
    <x v="0"/>
    <n v="7"/>
    <e v="#N/A"/>
    <e v="#N/A"/>
  </r>
  <r>
    <n v="2588"/>
    <d v="2016-01-26T11:39:28"/>
    <d v="2016-01-26T11:54:28"/>
    <x v="2"/>
    <m/>
    <m/>
    <x v="1"/>
    <n v="70805"/>
    <n v="2.0604159007751699"/>
    <d v="2016-01-26T12:04:46"/>
    <n v="11.59"/>
    <x v="950"/>
    <n v="1"/>
    <n v="1.7"/>
    <n v="0"/>
    <n v="0"/>
    <n v="1.7"/>
    <x v="937"/>
    <x v="0"/>
    <x v="1315"/>
    <x v="731"/>
    <n v="10"/>
    <e v="#N/A"/>
    <e v="#N/A"/>
  </r>
  <r>
    <n v="2589"/>
    <d v="2016-01-26T12:48:51"/>
    <d v="2016-01-26T13:03:52"/>
    <x v="2"/>
    <s v="Large"/>
    <m/>
    <x v="1"/>
    <n v="70805"/>
    <n v="3.7960585510921998"/>
    <d v="2016-01-26T13:22:50"/>
    <n v="25.94"/>
    <x v="881"/>
    <n v="2"/>
    <n v="1.7"/>
    <n v="2.2999999999999998"/>
    <n v="0"/>
    <n v="4"/>
    <x v="868"/>
    <x v="1"/>
    <x v="1316"/>
    <x v="0"/>
    <n v="10"/>
    <n v="14"/>
    <e v="#N/A"/>
  </r>
  <r>
    <n v="2590"/>
    <d v="2016-01-26T11:28:31"/>
    <d v="2016-01-26T11:43:30"/>
    <x v="1"/>
    <m/>
    <m/>
    <x v="1"/>
    <n v="70805"/>
    <n v="3.3441106683352699"/>
    <d v="2016-01-26T12:00:13"/>
    <n v="15.35"/>
    <x v="502"/>
    <n v="1"/>
    <n v="2.2999999999999998"/>
    <n v="0"/>
    <n v="0"/>
    <n v="2.2999999999999998"/>
    <x v="489"/>
    <x v="1"/>
    <x v="1317"/>
    <x v="0"/>
    <n v="14"/>
    <e v="#N/A"/>
    <e v="#N/A"/>
  </r>
  <r>
    <n v="2591"/>
    <d v="2016-01-26T13:41:46"/>
    <d v="2016-01-26T13:56:46"/>
    <x v="0"/>
    <m/>
    <m/>
    <x v="1"/>
    <n v="70804"/>
    <n v="4.2996917517193003"/>
    <d v="2016-01-26T14:18:15"/>
    <n v="7.99"/>
    <x v="951"/>
    <n v="1"/>
    <n v="1"/>
    <n v="0"/>
    <n v="0"/>
    <n v="1"/>
    <x v="938"/>
    <x v="1"/>
    <x v="1318"/>
    <x v="0"/>
    <n v="7"/>
    <e v="#N/A"/>
    <e v="#N/A"/>
  </r>
  <r>
    <n v="2592"/>
    <d v="2016-01-26T12:51:46"/>
    <d v="2016-01-26T13:06:46"/>
    <x v="1"/>
    <m/>
    <m/>
    <x v="0"/>
    <n v="70807"/>
    <n v="0"/>
    <d v="2016-01-26T13:09:44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2593"/>
    <d v="2016-01-26T12:01:21"/>
    <d v="2016-01-26T12:16:21"/>
    <x v="0"/>
    <s v="Large"/>
    <m/>
    <x v="1"/>
    <n v="70803"/>
    <n v="2.3018747020851502"/>
    <d v="2016-01-26T12:27:51"/>
    <n v="23.34"/>
    <x v="952"/>
    <n v="2"/>
    <n v="1"/>
    <n v="2.2999999999999998"/>
    <n v="0"/>
    <n v="3.3"/>
    <x v="939"/>
    <x v="0"/>
    <x v="1319"/>
    <x v="732"/>
    <n v="7"/>
    <n v="14"/>
    <e v="#N/A"/>
  </r>
  <r>
    <n v="2594"/>
    <d v="2016-01-26T11:29:19"/>
    <d v="2016-01-26T11:44:18"/>
    <x v="0"/>
    <m/>
    <m/>
    <x v="0"/>
    <n v="70804"/>
    <n v="0"/>
    <d v="2016-01-26T11:47:18"/>
    <n v="7.99"/>
    <x v="2"/>
    <n v="1"/>
    <n v="1"/>
    <n v="0"/>
    <n v="0"/>
    <n v="1"/>
    <x v="0"/>
    <x v="0"/>
    <x v="0"/>
    <x v="0"/>
    <n v="7"/>
    <e v="#N/A"/>
    <e v="#N/A"/>
  </r>
  <r>
    <n v="2595"/>
    <d v="2016-01-26T11:17:36"/>
    <d v="2016-01-26T11:32:35"/>
    <x v="0"/>
    <m/>
    <m/>
    <x v="0"/>
    <n v="70805"/>
    <n v="0"/>
    <d v="2016-01-26T11:35:36"/>
    <n v="7.99"/>
    <x v="56"/>
    <n v="1"/>
    <n v="1"/>
    <n v="0"/>
    <n v="0"/>
    <n v="1"/>
    <x v="0"/>
    <x v="0"/>
    <x v="0"/>
    <x v="0"/>
    <n v="7"/>
    <e v="#N/A"/>
    <e v="#N/A"/>
  </r>
  <r>
    <n v="2596"/>
    <d v="2016-01-26T11:37:31"/>
    <d v="2016-01-26T11:52:30"/>
    <x v="2"/>
    <s v="Large"/>
    <m/>
    <x v="1"/>
    <n v="70805"/>
    <n v="2.6671763117484502"/>
    <d v="2016-01-26T12:05:50"/>
    <n v="25.94"/>
    <x v="25"/>
    <n v="2"/>
    <n v="1.7"/>
    <n v="2.2999999999999998"/>
    <n v="0"/>
    <n v="4"/>
    <x v="19"/>
    <x v="0"/>
    <x v="1320"/>
    <x v="733"/>
    <n v="10"/>
    <n v="14"/>
    <e v="#N/A"/>
  </r>
  <r>
    <n v="2597"/>
    <d v="2016-01-26T11:09:25"/>
    <d v="2016-01-26T11:24:24"/>
    <x v="1"/>
    <m/>
    <m/>
    <x v="0"/>
    <n v="70807"/>
    <n v="0"/>
    <d v="2016-01-26T11:27:24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2598"/>
    <d v="2016-01-26T14:41:05"/>
    <d v="2016-01-26T14:56:04"/>
    <x v="1"/>
    <m/>
    <m/>
    <x v="1"/>
    <n v="70804"/>
    <n v="3.05927535497892"/>
    <d v="2016-01-26T15:11:21"/>
    <n v="15.35"/>
    <x v="614"/>
    <n v="1"/>
    <n v="2.2999999999999998"/>
    <n v="0"/>
    <n v="0"/>
    <n v="2.2999999999999998"/>
    <x v="601"/>
    <x v="0"/>
    <x v="1321"/>
    <x v="734"/>
    <n v="14"/>
    <e v="#N/A"/>
    <e v="#N/A"/>
  </r>
  <r>
    <n v="2599"/>
    <d v="2016-01-26T12:38:20"/>
    <d v="2016-01-26T12:53:19"/>
    <x v="0"/>
    <s v="Medium"/>
    <m/>
    <x v="0"/>
    <n v="70806"/>
    <n v="0"/>
    <d v="2016-01-26T12:56:18"/>
    <n v="19.579999999999998"/>
    <x v="1"/>
    <n v="2"/>
    <n v="1"/>
    <n v="1.7"/>
    <n v="0"/>
    <n v="2.7"/>
    <x v="0"/>
    <x v="0"/>
    <x v="0"/>
    <x v="0"/>
    <n v="7"/>
    <n v="10"/>
    <e v="#N/A"/>
  </r>
  <r>
    <n v="2600"/>
    <d v="2016-01-26T11:35:25"/>
    <d v="2016-01-26T11:50:24"/>
    <x v="2"/>
    <m/>
    <m/>
    <x v="0"/>
    <n v="70803"/>
    <n v="0"/>
    <d v="2016-01-26T11:53:25"/>
    <n v="11.59"/>
    <x v="14"/>
    <n v="1"/>
    <n v="1.7"/>
    <n v="0"/>
    <n v="0"/>
    <n v="1.7"/>
    <x v="0"/>
    <x v="0"/>
    <x v="0"/>
    <x v="0"/>
    <n v="10"/>
    <e v="#N/A"/>
    <e v="#N/A"/>
  </r>
  <r>
    <n v="2601"/>
    <d v="2016-01-26T13:28:46"/>
    <d v="2016-01-26T13:43:45"/>
    <x v="2"/>
    <m/>
    <m/>
    <x v="1"/>
    <n v="70805"/>
    <n v="3.8584072246352501"/>
    <d v="2016-01-26T14:03:02"/>
    <n v="11.59"/>
    <x v="953"/>
    <n v="1"/>
    <n v="1.7"/>
    <n v="0"/>
    <n v="0"/>
    <n v="1.7"/>
    <x v="940"/>
    <x v="1"/>
    <x v="1322"/>
    <x v="0"/>
    <n v="10"/>
    <e v="#N/A"/>
    <e v="#N/A"/>
  </r>
  <r>
    <n v="2602"/>
    <d v="2016-01-26T12:49:41"/>
    <d v="2016-01-26T13:04:41"/>
    <x v="0"/>
    <m/>
    <m/>
    <x v="1"/>
    <n v="70804"/>
    <n v="3.1355798266916901"/>
    <d v="2016-01-26T13:20:21"/>
    <n v="7.99"/>
    <x v="380"/>
    <n v="1"/>
    <n v="1"/>
    <n v="0"/>
    <n v="0"/>
    <n v="1"/>
    <x v="367"/>
    <x v="0"/>
    <x v="1323"/>
    <x v="735"/>
    <n v="7"/>
    <e v="#N/A"/>
    <e v="#N/A"/>
  </r>
  <r>
    <n v="2603"/>
    <d v="2016-01-26T13:08:43"/>
    <d v="2016-01-26T13:23:43"/>
    <x v="1"/>
    <m/>
    <m/>
    <x v="1"/>
    <n v="70803"/>
    <n v="1.10051899909799"/>
    <d v="2016-01-26T13:29:13"/>
    <n v="15.35"/>
    <x v="954"/>
    <n v="1"/>
    <n v="2.2999999999999998"/>
    <n v="0"/>
    <n v="0"/>
    <n v="2.2999999999999998"/>
    <x v="941"/>
    <x v="0"/>
    <x v="1324"/>
    <x v="736"/>
    <n v="14"/>
    <e v="#N/A"/>
    <e v="#N/A"/>
  </r>
  <r>
    <n v="2604"/>
    <d v="2016-01-26T12:07:25"/>
    <d v="2016-01-26T12:22:24"/>
    <x v="2"/>
    <m/>
    <m/>
    <x v="1"/>
    <n v="70804"/>
    <n v="2.7931109485855901"/>
    <d v="2016-01-26T12:36:21"/>
    <n v="11.59"/>
    <x v="522"/>
    <n v="1"/>
    <n v="1.7"/>
    <n v="0"/>
    <n v="0"/>
    <n v="1.7"/>
    <x v="509"/>
    <x v="0"/>
    <x v="1325"/>
    <x v="737"/>
    <n v="10"/>
    <e v="#N/A"/>
    <e v="#N/A"/>
  </r>
  <r>
    <n v="2605"/>
    <d v="2016-01-26T13:13:54"/>
    <d v="2016-01-26T13:28:54"/>
    <x v="2"/>
    <m/>
    <m/>
    <x v="1"/>
    <n v="70805"/>
    <n v="2.83348346859789"/>
    <d v="2016-01-26T13:43:04"/>
    <n v="11.59"/>
    <x v="955"/>
    <n v="1"/>
    <n v="1.7"/>
    <n v="0"/>
    <n v="0"/>
    <n v="1.7"/>
    <x v="942"/>
    <x v="0"/>
    <x v="1326"/>
    <x v="738"/>
    <n v="10"/>
    <e v="#N/A"/>
    <e v="#N/A"/>
  </r>
  <r>
    <n v="2606"/>
    <d v="2016-01-26T11:17:37"/>
    <d v="2016-01-26T11:32:37"/>
    <x v="0"/>
    <s v="Medium"/>
    <m/>
    <x v="0"/>
    <n v="70804"/>
    <n v="0"/>
    <d v="2016-01-26T11:35:36"/>
    <n v="19.579999999999998"/>
    <x v="24"/>
    <n v="2"/>
    <n v="1"/>
    <n v="1.7"/>
    <n v="0"/>
    <n v="2.7"/>
    <x v="0"/>
    <x v="0"/>
    <x v="0"/>
    <x v="0"/>
    <n v="7"/>
    <n v="10"/>
    <e v="#N/A"/>
  </r>
  <r>
    <n v="2607"/>
    <d v="2016-01-26T11:33:43"/>
    <d v="2016-01-26T11:48:40"/>
    <x v="0"/>
    <m/>
    <m/>
    <x v="1"/>
    <n v="70806"/>
    <n v="4.6349936109272702"/>
    <d v="2016-01-26T12:11:50"/>
    <n v="7.99"/>
    <x v="578"/>
    <n v="1"/>
    <n v="1"/>
    <n v="0"/>
    <n v="0"/>
    <n v="1"/>
    <x v="565"/>
    <x v="1"/>
    <x v="1327"/>
    <x v="0"/>
    <n v="7"/>
    <e v="#N/A"/>
    <e v="#N/A"/>
  </r>
  <r>
    <n v="2608"/>
    <d v="2016-01-26T11:18:04"/>
    <d v="2016-01-26T11:33:03"/>
    <x v="0"/>
    <s v="Large"/>
    <m/>
    <x v="1"/>
    <n v="70805"/>
    <n v="3.0024957303205801"/>
    <d v="2016-01-26T11:48:03"/>
    <n v="23.34"/>
    <x v="287"/>
    <n v="2"/>
    <n v="1"/>
    <n v="2.2999999999999998"/>
    <n v="0"/>
    <n v="3.3"/>
    <x v="274"/>
    <x v="0"/>
    <x v="1328"/>
    <x v="739"/>
    <n v="7"/>
    <n v="14"/>
    <e v="#N/A"/>
  </r>
  <r>
    <n v="2609"/>
    <d v="2016-01-26T11:08:03"/>
    <d v="2016-01-26T11:23:03"/>
    <x v="2"/>
    <m/>
    <m/>
    <x v="0"/>
    <n v="70804"/>
    <n v="0"/>
    <d v="2016-01-26T11:26:03"/>
    <n v="11.59"/>
    <x v="2"/>
    <n v="1"/>
    <n v="1.7"/>
    <n v="0"/>
    <n v="0"/>
    <n v="1.7"/>
    <x v="0"/>
    <x v="0"/>
    <x v="0"/>
    <x v="0"/>
    <n v="10"/>
    <e v="#N/A"/>
    <e v="#N/A"/>
  </r>
  <r>
    <n v="2610"/>
    <d v="2016-01-26T11:35:54"/>
    <d v="2016-01-26T11:50:53"/>
    <x v="2"/>
    <m/>
    <m/>
    <x v="1"/>
    <n v="70806"/>
    <n v="3.4753486721868501"/>
    <d v="2016-01-26T12:08:15"/>
    <n v="11.59"/>
    <x v="632"/>
    <n v="1"/>
    <n v="1.7"/>
    <n v="0"/>
    <n v="0"/>
    <n v="1.7"/>
    <x v="619"/>
    <x v="1"/>
    <x v="1329"/>
    <x v="0"/>
    <n v="10"/>
    <e v="#N/A"/>
    <e v="#N/A"/>
  </r>
  <r>
    <n v="2611"/>
    <d v="2016-01-26T12:16:42"/>
    <d v="2016-01-26T12:31:42"/>
    <x v="1"/>
    <m/>
    <m/>
    <x v="1"/>
    <n v="70804"/>
    <n v="1.49796942677851"/>
    <d v="2016-01-26T12:39:11"/>
    <n v="15.35"/>
    <x v="473"/>
    <n v="1"/>
    <n v="2.2999999999999998"/>
    <n v="0"/>
    <n v="0"/>
    <n v="2.2999999999999998"/>
    <x v="460"/>
    <x v="0"/>
    <x v="1330"/>
    <x v="740"/>
    <n v="14"/>
    <e v="#N/A"/>
    <e v="#N/A"/>
  </r>
  <r>
    <n v="2612"/>
    <d v="2016-01-26T12:22:37"/>
    <d v="2016-01-26T12:37:38"/>
    <x v="0"/>
    <s v="Medium"/>
    <m/>
    <x v="0"/>
    <n v="70804"/>
    <n v="0"/>
    <d v="2016-01-26T12:40:37"/>
    <n v="19.579999999999998"/>
    <x v="1"/>
    <n v="2"/>
    <n v="1"/>
    <n v="1.7"/>
    <n v="0"/>
    <n v="2.7"/>
    <x v="0"/>
    <x v="0"/>
    <x v="0"/>
    <x v="0"/>
    <n v="7"/>
    <n v="10"/>
    <e v="#N/A"/>
  </r>
  <r>
    <n v="2613"/>
    <d v="2016-01-26T11:19:14"/>
    <d v="2016-01-26T11:34:15"/>
    <x v="0"/>
    <m/>
    <m/>
    <x v="0"/>
    <n v="70808"/>
    <n v="0"/>
    <d v="2016-01-26T11:37:16"/>
    <n v="7.99"/>
    <x v="56"/>
    <n v="1"/>
    <n v="1"/>
    <n v="0"/>
    <n v="0"/>
    <n v="1"/>
    <x v="0"/>
    <x v="0"/>
    <x v="0"/>
    <x v="0"/>
    <n v="7"/>
    <e v="#N/A"/>
    <e v="#N/A"/>
  </r>
  <r>
    <n v="2614"/>
    <d v="2016-01-26T12:24:24"/>
    <d v="2016-01-26T12:39:25"/>
    <x v="2"/>
    <m/>
    <m/>
    <x v="1"/>
    <n v="70805"/>
    <n v="3.72425533177364"/>
    <d v="2016-01-26T12:58:02"/>
    <n v="11.59"/>
    <x v="500"/>
    <n v="1"/>
    <n v="1.7"/>
    <n v="0"/>
    <n v="0"/>
    <n v="1.7"/>
    <x v="487"/>
    <x v="1"/>
    <x v="1331"/>
    <x v="0"/>
    <n v="10"/>
    <e v="#N/A"/>
    <e v="#N/A"/>
  </r>
  <r>
    <n v="2615"/>
    <d v="2016-01-26T12:52:34"/>
    <d v="2016-01-26T13:07:32"/>
    <x v="1"/>
    <m/>
    <m/>
    <x v="1"/>
    <n v="70805"/>
    <n v="4.2900643539499503"/>
    <d v="2016-01-26T13:28:59"/>
    <n v="15.35"/>
    <x v="956"/>
    <n v="1"/>
    <n v="2.2999999999999998"/>
    <n v="0"/>
    <n v="0"/>
    <n v="2.2999999999999998"/>
    <x v="943"/>
    <x v="1"/>
    <x v="1332"/>
    <x v="0"/>
    <n v="14"/>
    <e v="#N/A"/>
    <e v="#N/A"/>
  </r>
  <r>
    <n v="2616"/>
    <d v="2016-01-26T11:51:10"/>
    <d v="2016-01-26T12:06:10"/>
    <x v="0"/>
    <s v="Medium"/>
    <m/>
    <x v="0"/>
    <n v="70805"/>
    <n v="0"/>
    <d v="2016-01-26T12:09:11"/>
    <n v="19.579999999999998"/>
    <x v="14"/>
    <n v="2"/>
    <n v="1"/>
    <n v="1.7"/>
    <n v="0"/>
    <n v="2.7"/>
    <x v="0"/>
    <x v="0"/>
    <x v="0"/>
    <x v="0"/>
    <n v="7"/>
    <n v="10"/>
    <e v="#N/A"/>
  </r>
  <r>
    <n v="2617"/>
    <d v="2016-01-27T10:30:41"/>
    <d v="2016-01-27T10:45:41"/>
    <x v="0"/>
    <s v="Medium"/>
    <m/>
    <x v="1"/>
    <n v="70804"/>
    <n v="1.1708434196535999"/>
    <d v="2016-01-27T10:51:32"/>
    <n v="19.579999999999998"/>
    <x v="957"/>
    <n v="2"/>
    <n v="1"/>
    <n v="1.7"/>
    <n v="0"/>
    <n v="2.7"/>
    <x v="944"/>
    <x v="0"/>
    <x v="1333"/>
    <x v="741"/>
    <n v="7"/>
    <n v="10"/>
    <e v="#N/A"/>
  </r>
  <r>
    <n v="2618"/>
    <d v="2016-01-27T11:47:20"/>
    <d v="2016-01-27T12:02:20"/>
    <x v="2"/>
    <m/>
    <m/>
    <x v="1"/>
    <n v="70804"/>
    <n v="3.1738446666098801"/>
    <d v="2016-01-27T12:18:12"/>
    <n v="11.59"/>
    <x v="259"/>
    <n v="1"/>
    <n v="1.7"/>
    <n v="0"/>
    <n v="0"/>
    <n v="1.7"/>
    <x v="246"/>
    <x v="0"/>
    <x v="1334"/>
    <x v="742"/>
    <n v="10"/>
    <e v="#N/A"/>
    <e v="#N/A"/>
  </r>
  <r>
    <n v="2619"/>
    <d v="2016-01-27T13:09:48"/>
    <d v="2016-01-27T13:24:47"/>
    <x v="1"/>
    <m/>
    <m/>
    <x v="1"/>
    <n v="70803"/>
    <n v="2.6774840828813802"/>
    <d v="2016-01-27T13:38:10"/>
    <n v="15.35"/>
    <x v="654"/>
    <n v="1"/>
    <n v="2.2999999999999998"/>
    <n v="0"/>
    <n v="0"/>
    <n v="2.2999999999999998"/>
    <x v="641"/>
    <x v="0"/>
    <x v="1335"/>
    <x v="743"/>
    <n v="14"/>
    <e v="#N/A"/>
    <e v="#N/A"/>
  </r>
  <r>
    <n v="2620"/>
    <d v="2016-01-27T12:27:11"/>
    <d v="2016-01-27T12:42:10"/>
    <x v="0"/>
    <s v="Medium"/>
    <m/>
    <x v="1"/>
    <n v="70804"/>
    <n v="3.1320994747976001"/>
    <d v="2016-01-27T12:57:49"/>
    <n v="19.579999999999998"/>
    <x v="204"/>
    <n v="2"/>
    <n v="1"/>
    <n v="1.7"/>
    <n v="0"/>
    <n v="2.7"/>
    <x v="192"/>
    <x v="0"/>
    <x v="1336"/>
    <x v="744"/>
    <n v="7"/>
    <n v="10"/>
    <e v="#N/A"/>
  </r>
  <r>
    <n v="2621"/>
    <d v="2016-01-27T11:48:21"/>
    <d v="2016-01-27T12:03:21"/>
    <x v="0"/>
    <s v="Medium"/>
    <m/>
    <x v="1"/>
    <n v="70807"/>
    <n v="1.06427508050678"/>
    <d v="2016-01-27T12:08:40"/>
    <n v="19.579999999999998"/>
    <x v="359"/>
    <n v="2"/>
    <n v="1"/>
    <n v="1.7"/>
    <n v="0"/>
    <n v="2.7"/>
    <x v="346"/>
    <x v="0"/>
    <x v="1337"/>
    <x v="745"/>
    <n v="7"/>
    <n v="10"/>
    <e v="#N/A"/>
  </r>
  <r>
    <n v="2622"/>
    <d v="2016-01-27T12:42:40"/>
    <d v="2016-01-27T12:57:39"/>
    <x v="2"/>
    <m/>
    <m/>
    <x v="0"/>
    <n v="70804"/>
    <n v="0"/>
    <d v="2016-01-27T13:00:37"/>
    <n v="11.59"/>
    <x v="0"/>
    <n v="1"/>
    <n v="1.7"/>
    <n v="0"/>
    <n v="0"/>
    <n v="1.7"/>
    <x v="0"/>
    <x v="0"/>
    <x v="0"/>
    <x v="0"/>
    <n v="10"/>
    <e v="#N/A"/>
    <e v="#N/A"/>
  </r>
  <r>
    <n v="2623"/>
    <d v="2016-01-27T11:55:21"/>
    <d v="2016-01-27T12:10:21"/>
    <x v="1"/>
    <m/>
    <m/>
    <x v="0"/>
    <n v="70805"/>
    <n v="0"/>
    <d v="2016-01-27T12:13:20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2624"/>
    <d v="2016-01-27T12:49:43"/>
    <d v="2016-01-27T13:04:43"/>
    <x v="1"/>
    <m/>
    <m/>
    <x v="1"/>
    <n v="70806"/>
    <n v="1.0497828237873299"/>
    <d v="2016-01-27T13:09:57"/>
    <n v="15.35"/>
    <x v="958"/>
    <n v="1"/>
    <n v="2.2999999999999998"/>
    <n v="0"/>
    <n v="0"/>
    <n v="2.2999999999999998"/>
    <x v="945"/>
    <x v="0"/>
    <x v="1338"/>
    <x v="746"/>
    <n v="14"/>
    <e v="#N/A"/>
    <e v="#N/A"/>
  </r>
  <r>
    <n v="2625"/>
    <d v="2016-01-27T13:43:20"/>
    <d v="2016-01-27T13:58:21"/>
    <x v="0"/>
    <m/>
    <m/>
    <x v="1"/>
    <n v="70807"/>
    <n v="2.5529445761820599"/>
    <d v="2016-01-27T14:11:06"/>
    <n v="7.99"/>
    <x v="571"/>
    <n v="1"/>
    <n v="1"/>
    <n v="0"/>
    <n v="0"/>
    <n v="1"/>
    <x v="558"/>
    <x v="0"/>
    <x v="1339"/>
    <x v="747"/>
    <n v="7"/>
    <e v="#N/A"/>
    <e v="#N/A"/>
  </r>
  <r>
    <n v="2626"/>
    <d v="2016-01-27T11:34:13"/>
    <d v="2016-01-27T11:49:12"/>
    <x v="1"/>
    <m/>
    <m/>
    <x v="1"/>
    <n v="70804"/>
    <n v="1.7827946462709501"/>
    <d v="2016-01-27T11:58:06"/>
    <n v="15.35"/>
    <x v="137"/>
    <n v="1"/>
    <n v="2.2999999999999998"/>
    <n v="0"/>
    <n v="0"/>
    <n v="2.2999999999999998"/>
    <x v="127"/>
    <x v="0"/>
    <x v="1340"/>
    <x v="748"/>
    <n v="14"/>
    <e v="#N/A"/>
    <e v="#N/A"/>
  </r>
  <r>
    <n v="2627"/>
    <d v="2016-01-27T12:46:39"/>
    <d v="2016-01-27T13:01:38"/>
    <x v="1"/>
    <m/>
    <m/>
    <x v="0"/>
    <n v="70806"/>
    <n v="0"/>
    <d v="2016-01-27T13:04:37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2628"/>
    <d v="2016-01-27T13:04:34"/>
    <d v="2016-01-27T13:19:33"/>
    <x v="1"/>
    <m/>
    <m/>
    <x v="0"/>
    <n v="70805"/>
    <n v="0"/>
    <d v="2016-01-27T13:22:31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2629"/>
    <d v="2016-01-27T12:19:39"/>
    <d v="2016-01-27T12:34:38"/>
    <x v="0"/>
    <m/>
    <m/>
    <x v="0"/>
    <n v="70803"/>
    <n v="0"/>
    <d v="2016-01-27T12:37:39"/>
    <n v="7.99"/>
    <x v="14"/>
    <n v="1"/>
    <n v="1"/>
    <n v="0"/>
    <n v="0"/>
    <n v="1"/>
    <x v="0"/>
    <x v="0"/>
    <x v="0"/>
    <x v="0"/>
    <n v="7"/>
    <e v="#N/A"/>
    <e v="#N/A"/>
  </r>
  <r>
    <n v="2630"/>
    <d v="2016-01-27T11:18:33"/>
    <d v="2016-01-27T11:33:32"/>
    <x v="1"/>
    <m/>
    <m/>
    <x v="0"/>
    <n v="70804"/>
    <n v="0"/>
    <d v="2016-01-27T11:36:31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2631"/>
    <d v="2016-01-27T12:30:00"/>
    <d v="2016-01-27T12:44:58"/>
    <x v="0"/>
    <m/>
    <m/>
    <x v="1"/>
    <n v="70806"/>
    <n v="3.6111595533504701"/>
    <d v="2016-01-27T13:03:01"/>
    <n v="7.99"/>
    <x v="959"/>
    <n v="1"/>
    <n v="1"/>
    <n v="0"/>
    <n v="0"/>
    <n v="1"/>
    <x v="946"/>
    <x v="1"/>
    <x v="1341"/>
    <x v="0"/>
    <n v="7"/>
    <e v="#N/A"/>
    <e v="#N/A"/>
  </r>
  <r>
    <n v="2632"/>
    <d v="2016-01-27T11:05:41"/>
    <d v="2016-01-27T11:20:41"/>
    <x v="0"/>
    <s v="Medium"/>
    <m/>
    <x v="0"/>
    <n v="70804"/>
    <n v="0"/>
    <d v="2016-01-27T11:23:40"/>
    <n v="19.579999999999998"/>
    <x v="1"/>
    <n v="2"/>
    <n v="1"/>
    <n v="1.7"/>
    <n v="0"/>
    <n v="2.7"/>
    <x v="0"/>
    <x v="0"/>
    <x v="0"/>
    <x v="0"/>
    <n v="7"/>
    <n v="10"/>
    <e v="#N/A"/>
  </r>
  <r>
    <n v="2633"/>
    <d v="2016-01-27T12:20:04"/>
    <d v="2016-01-27T12:35:04"/>
    <x v="1"/>
    <m/>
    <m/>
    <x v="0"/>
    <n v="70804"/>
    <n v="0"/>
    <d v="2016-01-27T12:38:04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2634"/>
    <d v="2016-01-27T11:23:08"/>
    <d v="2016-01-27T11:38:08"/>
    <x v="2"/>
    <m/>
    <m/>
    <x v="1"/>
    <n v="70805"/>
    <n v="3.1116850545866899"/>
    <d v="2016-01-27T11:53:41"/>
    <n v="11.59"/>
    <x v="258"/>
    <n v="1"/>
    <n v="1.7"/>
    <n v="0"/>
    <n v="0"/>
    <n v="1.7"/>
    <x v="245"/>
    <x v="0"/>
    <x v="1342"/>
    <x v="749"/>
    <n v="10"/>
    <e v="#N/A"/>
    <e v="#N/A"/>
  </r>
  <r>
    <n v="2635"/>
    <d v="2016-01-27T12:40:38"/>
    <d v="2016-01-27T12:55:37"/>
    <x v="0"/>
    <m/>
    <m/>
    <x v="0"/>
    <n v="70807"/>
    <n v="0"/>
    <d v="2016-01-27T12:58:36"/>
    <n v="7.99"/>
    <x v="1"/>
    <n v="1"/>
    <n v="1"/>
    <n v="0"/>
    <n v="0"/>
    <n v="1"/>
    <x v="0"/>
    <x v="0"/>
    <x v="0"/>
    <x v="0"/>
    <n v="7"/>
    <e v="#N/A"/>
    <e v="#N/A"/>
  </r>
  <r>
    <n v="2636"/>
    <d v="2016-01-27T11:10:18"/>
    <d v="2016-01-27T11:25:19"/>
    <x v="0"/>
    <s v="Medium"/>
    <m/>
    <x v="0"/>
    <n v="70807"/>
    <n v="0"/>
    <d v="2016-01-27T11:28:19"/>
    <n v="19.579999999999998"/>
    <x v="2"/>
    <n v="2"/>
    <n v="1"/>
    <n v="1.7"/>
    <n v="0"/>
    <n v="2.7"/>
    <x v="0"/>
    <x v="0"/>
    <x v="0"/>
    <x v="0"/>
    <n v="7"/>
    <n v="10"/>
    <e v="#N/A"/>
  </r>
  <r>
    <n v="2637"/>
    <d v="2016-01-27T12:27:53"/>
    <d v="2016-01-27T12:42:52"/>
    <x v="2"/>
    <m/>
    <m/>
    <x v="1"/>
    <n v="70804"/>
    <n v="3.2159727682199599"/>
    <d v="2016-01-27T12:58:56"/>
    <n v="11.59"/>
    <x v="627"/>
    <n v="1"/>
    <n v="1.7"/>
    <n v="0"/>
    <n v="0"/>
    <n v="1.7"/>
    <x v="614"/>
    <x v="1"/>
    <x v="1343"/>
    <x v="0"/>
    <n v="10"/>
    <e v="#N/A"/>
    <e v="#N/A"/>
  </r>
  <r>
    <n v="2638"/>
    <d v="2016-01-27T13:29:10"/>
    <d v="2016-01-27T13:44:09"/>
    <x v="0"/>
    <s v="Medium"/>
    <m/>
    <x v="0"/>
    <n v="70804"/>
    <n v="0"/>
    <d v="2016-01-27T13:47:08"/>
    <n v="19.579999999999998"/>
    <x v="1"/>
    <n v="2"/>
    <n v="1"/>
    <n v="1.7"/>
    <n v="0"/>
    <n v="2.7"/>
    <x v="0"/>
    <x v="0"/>
    <x v="0"/>
    <x v="0"/>
    <n v="7"/>
    <n v="10"/>
    <e v="#N/A"/>
  </r>
  <r>
    <n v="2639"/>
    <d v="2016-01-27T10:42:45"/>
    <d v="2016-01-27T10:57:45"/>
    <x v="1"/>
    <m/>
    <m/>
    <x v="1"/>
    <n v="70803"/>
    <n v="1.5958467766058899"/>
    <d v="2016-01-27T11:05:43"/>
    <n v="15.35"/>
    <x v="960"/>
    <n v="1"/>
    <n v="2.2999999999999998"/>
    <n v="0"/>
    <n v="0"/>
    <n v="2.2999999999999998"/>
    <x v="947"/>
    <x v="0"/>
    <x v="1344"/>
    <x v="750"/>
    <n v="14"/>
    <e v="#N/A"/>
    <e v="#N/A"/>
  </r>
  <r>
    <n v="2640"/>
    <d v="2016-01-27T11:18:23"/>
    <d v="2016-01-27T11:33:22"/>
    <x v="0"/>
    <s v="Medium"/>
    <m/>
    <x v="1"/>
    <n v="70804"/>
    <n v="1.7194359790136999"/>
    <d v="2016-01-27T11:41:57"/>
    <n v="19.579999999999998"/>
    <x v="961"/>
    <n v="2"/>
    <n v="1"/>
    <n v="1.7"/>
    <n v="0"/>
    <n v="2.7"/>
    <x v="948"/>
    <x v="0"/>
    <x v="1345"/>
    <x v="751"/>
    <n v="7"/>
    <n v="10"/>
    <e v="#N/A"/>
  </r>
  <r>
    <n v="2641"/>
    <d v="2016-01-27T11:19:48"/>
    <d v="2016-01-27T11:34:49"/>
    <x v="0"/>
    <s v="Medium"/>
    <m/>
    <x v="0"/>
    <n v="70803"/>
    <n v="0"/>
    <d v="2016-01-27T11:37:50"/>
    <n v="19.579999999999998"/>
    <x v="14"/>
    <n v="2"/>
    <n v="1"/>
    <n v="1.7"/>
    <n v="0"/>
    <n v="2.7"/>
    <x v="0"/>
    <x v="0"/>
    <x v="0"/>
    <x v="0"/>
    <n v="7"/>
    <n v="10"/>
    <e v="#N/A"/>
  </r>
  <r>
    <n v="2642"/>
    <d v="2016-01-27T12:56:24"/>
    <d v="2016-01-27T13:11:23"/>
    <x v="2"/>
    <m/>
    <m/>
    <x v="0"/>
    <n v="70803"/>
    <n v="0"/>
    <d v="2016-01-27T13:14:23"/>
    <n v="11.59"/>
    <x v="2"/>
    <n v="1"/>
    <n v="1.7"/>
    <n v="0"/>
    <n v="0"/>
    <n v="1.7"/>
    <x v="0"/>
    <x v="0"/>
    <x v="0"/>
    <x v="0"/>
    <n v="10"/>
    <e v="#N/A"/>
    <e v="#N/A"/>
  </r>
  <r>
    <n v="2643"/>
    <d v="2016-01-27T10:44:36"/>
    <d v="2016-01-27T10:59:36"/>
    <x v="1"/>
    <m/>
    <m/>
    <x v="0"/>
    <n v="70804"/>
    <n v="0"/>
    <d v="2016-01-27T11:02:34"/>
    <n v="15.35"/>
    <x v="19"/>
    <n v="1"/>
    <n v="2.2999999999999998"/>
    <n v="0"/>
    <n v="0"/>
    <n v="2.2999999999999998"/>
    <x v="0"/>
    <x v="0"/>
    <x v="0"/>
    <x v="0"/>
    <n v="14"/>
    <e v="#N/A"/>
    <e v="#N/A"/>
  </r>
  <r>
    <n v="2644"/>
    <d v="2016-01-27T11:33:03"/>
    <d v="2016-01-27T11:48:03"/>
    <x v="1"/>
    <m/>
    <m/>
    <x v="0"/>
    <n v="70805"/>
    <n v="0"/>
    <d v="2016-01-27T11:51:02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2645"/>
    <d v="2016-01-27T11:06:13"/>
    <d v="2016-01-27T11:21:12"/>
    <x v="0"/>
    <s v="Medium"/>
    <m/>
    <x v="1"/>
    <n v="70803"/>
    <n v="0.68706348455820898"/>
    <d v="2016-01-27T11:24:38"/>
    <n v="19.579999999999998"/>
    <x v="962"/>
    <n v="2"/>
    <n v="1"/>
    <n v="1.7"/>
    <n v="0"/>
    <n v="2.7"/>
    <x v="949"/>
    <x v="0"/>
    <x v="1346"/>
    <x v="752"/>
    <n v="7"/>
    <n v="10"/>
    <e v="#N/A"/>
  </r>
  <r>
    <n v="2646"/>
    <d v="2016-01-27T12:41:56"/>
    <d v="2016-01-27T12:56:55"/>
    <x v="0"/>
    <m/>
    <m/>
    <x v="0"/>
    <n v="70804"/>
    <n v="0"/>
    <d v="2016-01-27T12:59:54"/>
    <n v="7.99"/>
    <x v="1"/>
    <n v="1"/>
    <n v="1"/>
    <n v="0"/>
    <n v="0"/>
    <n v="1"/>
    <x v="0"/>
    <x v="0"/>
    <x v="0"/>
    <x v="0"/>
    <n v="7"/>
    <e v="#N/A"/>
    <e v="#N/A"/>
  </r>
  <r>
    <n v="2647"/>
    <d v="2016-01-27T11:51:30"/>
    <d v="2016-01-27T12:06:29"/>
    <x v="2"/>
    <s v="Large"/>
    <m/>
    <x v="1"/>
    <n v="70806"/>
    <n v="2.2849574818788398"/>
    <d v="2016-01-27T12:17:54"/>
    <n v="25.94"/>
    <x v="963"/>
    <n v="2"/>
    <n v="1.7"/>
    <n v="2.2999999999999998"/>
    <n v="0"/>
    <n v="4"/>
    <x v="950"/>
    <x v="0"/>
    <x v="1347"/>
    <x v="753"/>
    <n v="10"/>
    <n v="14"/>
    <e v="#N/A"/>
  </r>
  <r>
    <n v="2648"/>
    <d v="2016-01-27T12:35:07"/>
    <d v="2016-01-27T12:50:07"/>
    <x v="0"/>
    <m/>
    <m/>
    <x v="0"/>
    <n v="70805"/>
    <n v="0"/>
    <d v="2016-01-27T12:53:05"/>
    <n v="7.99"/>
    <x v="0"/>
    <n v="1"/>
    <n v="1"/>
    <n v="0"/>
    <n v="0"/>
    <n v="1"/>
    <x v="0"/>
    <x v="0"/>
    <x v="0"/>
    <x v="0"/>
    <n v="7"/>
    <e v="#N/A"/>
    <e v="#N/A"/>
  </r>
  <r>
    <n v="2649"/>
    <d v="2016-01-27T12:28:55"/>
    <d v="2016-01-27T12:43:54"/>
    <x v="0"/>
    <m/>
    <m/>
    <x v="1"/>
    <n v="70804"/>
    <n v="2.1819203747498301"/>
    <d v="2016-01-27T12:54:48"/>
    <n v="7.99"/>
    <x v="71"/>
    <n v="1"/>
    <n v="1"/>
    <n v="0"/>
    <n v="0"/>
    <n v="1"/>
    <x v="62"/>
    <x v="0"/>
    <x v="1348"/>
    <x v="754"/>
    <n v="7"/>
    <e v="#N/A"/>
    <e v="#N/A"/>
  </r>
  <r>
    <n v="2650"/>
    <d v="2016-01-27T10:15:03"/>
    <d v="2016-01-27T10:30:04"/>
    <x v="2"/>
    <m/>
    <m/>
    <x v="0"/>
    <n v="70805"/>
    <n v="0"/>
    <d v="2016-01-27T10:33:03"/>
    <n v="11.59"/>
    <x v="24"/>
    <n v="1"/>
    <n v="1.7"/>
    <n v="0"/>
    <n v="0"/>
    <n v="1.7"/>
    <x v="0"/>
    <x v="0"/>
    <x v="0"/>
    <x v="0"/>
    <n v="10"/>
    <e v="#N/A"/>
    <e v="#N/A"/>
  </r>
  <r>
    <n v="2651"/>
    <d v="2016-01-27T11:49:00"/>
    <d v="2016-01-27T12:03:59"/>
    <x v="2"/>
    <m/>
    <m/>
    <x v="1"/>
    <n v="70806"/>
    <n v="2.8218274321377699"/>
    <d v="2016-01-27T12:18:05"/>
    <n v="11.59"/>
    <x v="964"/>
    <n v="1"/>
    <n v="1.7"/>
    <n v="0"/>
    <n v="0"/>
    <n v="1.7"/>
    <x v="951"/>
    <x v="0"/>
    <x v="1349"/>
    <x v="755"/>
    <n v="10"/>
    <e v="#N/A"/>
    <e v="#N/A"/>
  </r>
  <r>
    <n v="2652"/>
    <d v="2016-01-27T11:13:15"/>
    <d v="2016-01-27T11:28:16"/>
    <x v="0"/>
    <m/>
    <m/>
    <x v="0"/>
    <n v="70804"/>
    <n v="0"/>
    <d v="2016-01-27T11:31:17"/>
    <n v="7.99"/>
    <x v="14"/>
    <n v="1"/>
    <n v="1"/>
    <n v="0"/>
    <n v="0"/>
    <n v="1"/>
    <x v="0"/>
    <x v="0"/>
    <x v="0"/>
    <x v="0"/>
    <n v="7"/>
    <e v="#N/A"/>
    <e v="#N/A"/>
  </r>
  <r>
    <n v="2653"/>
    <d v="2016-01-27T13:58:34"/>
    <d v="2016-01-27T14:13:35"/>
    <x v="0"/>
    <m/>
    <m/>
    <x v="1"/>
    <n v="70803"/>
    <n v="1.34806597263998"/>
    <d v="2016-01-27T14:20:19"/>
    <n v="7.99"/>
    <x v="832"/>
    <n v="1"/>
    <n v="1"/>
    <n v="0"/>
    <n v="0"/>
    <n v="1"/>
    <x v="819"/>
    <x v="0"/>
    <x v="1350"/>
    <x v="756"/>
    <n v="7"/>
    <e v="#N/A"/>
    <e v="#N/A"/>
  </r>
  <r>
    <n v="2654"/>
    <d v="2016-01-27T11:27:30"/>
    <d v="2016-01-27T11:42:30"/>
    <x v="0"/>
    <s v="Medium"/>
    <m/>
    <x v="1"/>
    <n v="70805"/>
    <n v="2.7810464927488399"/>
    <d v="2016-01-27T11:56:24"/>
    <n v="19.579999999999998"/>
    <x v="604"/>
    <n v="2"/>
    <n v="1"/>
    <n v="1.7"/>
    <n v="0"/>
    <n v="2.7"/>
    <x v="591"/>
    <x v="0"/>
    <x v="1351"/>
    <x v="757"/>
    <n v="7"/>
    <n v="10"/>
    <e v="#N/A"/>
  </r>
  <r>
    <n v="2655"/>
    <d v="2016-01-27T12:19:19"/>
    <d v="2016-01-27T12:34:17"/>
    <x v="0"/>
    <s v="Medium"/>
    <m/>
    <x v="1"/>
    <n v="70804"/>
    <n v="4.4950266813659798"/>
    <d v="2016-01-27T12:56:45"/>
    <n v="19.579999999999998"/>
    <x v="965"/>
    <n v="2"/>
    <n v="1"/>
    <n v="1.7"/>
    <n v="0"/>
    <n v="2.7"/>
    <x v="952"/>
    <x v="1"/>
    <x v="1352"/>
    <x v="0"/>
    <n v="7"/>
    <n v="10"/>
    <e v="#N/A"/>
  </r>
  <r>
    <n v="2656"/>
    <d v="2016-01-27T11:09:09"/>
    <d v="2016-01-27T11:24:08"/>
    <x v="0"/>
    <s v="Medium"/>
    <m/>
    <x v="0"/>
    <n v="70803"/>
    <n v="0"/>
    <d v="2016-01-27T11:27:10"/>
    <n v="19.579999999999998"/>
    <x v="171"/>
    <n v="2"/>
    <n v="1"/>
    <n v="1.7"/>
    <n v="0"/>
    <n v="2.7"/>
    <x v="0"/>
    <x v="0"/>
    <x v="0"/>
    <x v="0"/>
    <n v="7"/>
    <n v="10"/>
    <e v="#N/A"/>
  </r>
  <r>
    <n v="2657"/>
    <d v="2016-01-27T12:07:36"/>
    <d v="2016-01-27T12:22:35"/>
    <x v="0"/>
    <s v="Medium"/>
    <m/>
    <x v="0"/>
    <n v="70806"/>
    <n v="0"/>
    <d v="2016-01-27T12:25:35"/>
    <n v="19.579999999999998"/>
    <x v="2"/>
    <n v="2"/>
    <n v="1"/>
    <n v="1.7"/>
    <n v="0"/>
    <n v="2.7"/>
    <x v="0"/>
    <x v="0"/>
    <x v="0"/>
    <x v="0"/>
    <n v="7"/>
    <n v="10"/>
    <e v="#N/A"/>
  </r>
  <r>
    <n v="2658"/>
    <d v="2016-01-27T12:09:11"/>
    <d v="2016-01-27T12:24:10"/>
    <x v="2"/>
    <m/>
    <m/>
    <x v="0"/>
    <n v="70804"/>
    <n v="0"/>
    <d v="2016-01-27T12:27:11"/>
    <n v="11.59"/>
    <x v="14"/>
    <n v="1"/>
    <n v="1.7"/>
    <n v="0"/>
    <n v="0"/>
    <n v="1.7"/>
    <x v="0"/>
    <x v="0"/>
    <x v="0"/>
    <x v="0"/>
    <n v="10"/>
    <e v="#N/A"/>
    <e v="#N/A"/>
  </r>
  <r>
    <n v="2659"/>
    <d v="2016-01-27T12:05:30"/>
    <d v="2016-01-27T12:20:30"/>
    <x v="0"/>
    <s v="Large"/>
    <m/>
    <x v="0"/>
    <n v="70803"/>
    <n v="0"/>
    <d v="2016-01-27T12:23:29"/>
    <n v="23.34"/>
    <x v="24"/>
    <n v="2"/>
    <n v="1"/>
    <n v="2.2999999999999998"/>
    <n v="0"/>
    <n v="3.3"/>
    <x v="0"/>
    <x v="0"/>
    <x v="0"/>
    <x v="0"/>
    <n v="7"/>
    <n v="14"/>
    <e v="#N/A"/>
  </r>
  <r>
    <n v="2660"/>
    <d v="2016-01-27T11:42:16"/>
    <d v="2016-01-27T11:57:16"/>
    <x v="2"/>
    <m/>
    <m/>
    <x v="1"/>
    <n v="70803"/>
    <n v="1.93202234089937"/>
    <d v="2016-01-27T12:06:55"/>
    <n v="11.59"/>
    <x v="407"/>
    <n v="1"/>
    <n v="1.7"/>
    <n v="0"/>
    <n v="0"/>
    <n v="1.7"/>
    <x v="394"/>
    <x v="0"/>
    <x v="1353"/>
    <x v="758"/>
    <n v="10"/>
    <e v="#N/A"/>
    <e v="#N/A"/>
  </r>
  <r>
    <n v="2661"/>
    <d v="2016-01-27T11:08:44"/>
    <d v="2016-01-27T11:23:43"/>
    <x v="1"/>
    <m/>
    <m/>
    <x v="1"/>
    <n v="70803"/>
    <n v="1.28776694464192"/>
    <d v="2016-01-27T11:30:09"/>
    <n v="15.35"/>
    <x v="966"/>
    <n v="1"/>
    <n v="2.2999999999999998"/>
    <n v="0"/>
    <n v="0"/>
    <n v="2.2999999999999998"/>
    <x v="953"/>
    <x v="0"/>
    <x v="1354"/>
    <x v="759"/>
    <n v="14"/>
    <e v="#N/A"/>
    <e v="#N/A"/>
  </r>
  <r>
    <n v="2662"/>
    <d v="2016-01-27T12:44:12"/>
    <d v="2016-01-27T12:59:11"/>
    <x v="0"/>
    <m/>
    <m/>
    <x v="1"/>
    <n v="70805"/>
    <n v="0.90893118902307002"/>
    <d v="2016-01-27T13:03:43"/>
    <n v="7.99"/>
    <x v="967"/>
    <n v="1"/>
    <n v="1"/>
    <n v="0"/>
    <n v="0"/>
    <n v="1"/>
    <x v="954"/>
    <x v="0"/>
    <x v="1355"/>
    <x v="760"/>
    <n v="7"/>
    <e v="#N/A"/>
    <e v="#N/A"/>
  </r>
  <r>
    <n v="2663"/>
    <d v="2016-01-27T11:35:57"/>
    <d v="2016-01-27T11:50:56"/>
    <x v="2"/>
    <s v="Large"/>
    <m/>
    <x v="1"/>
    <n v="70804"/>
    <n v="2.38665180109717"/>
    <d v="2016-01-27T12:02:51"/>
    <n v="25.94"/>
    <x v="666"/>
    <n v="2"/>
    <n v="1.7"/>
    <n v="2.2999999999999998"/>
    <n v="0"/>
    <n v="4"/>
    <x v="653"/>
    <x v="0"/>
    <x v="1356"/>
    <x v="761"/>
    <n v="10"/>
    <n v="14"/>
    <e v="#N/A"/>
  </r>
  <r>
    <n v="2664"/>
    <d v="2016-01-27T13:37:47"/>
    <d v="2016-01-27T13:52:46"/>
    <x v="1"/>
    <m/>
    <m/>
    <x v="1"/>
    <n v="70805"/>
    <n v="3.02883184906801"/>
    <d v="2016-01-27T14:07:54"/>
    <n v="15.35"/>
    <x v="968"/>
    <n v="1"/>
    <n v="2.2999999999999998"/>
    <n v="0"/>
    <n v="0"/>
    <n v="2.2999999999999998"/>
    <x v="955"/>
    <x v="0"/>
    <x v="1357"/>
    <x v="762"/>
    <n v="14"/>
    <e v="#N/A"/>
    <e v="#N/A"/>
  </r>
  <r>
    <n v="2665"/>
    <d v="2016-01-27T10:34:40"/>
    <d v="2016-01-27T10:49:38"/>
    <x v="1"/>
    <m/>
    <m/>
    <x v="1"/>
    <n v="70806"/>
    <n v="3.7284336920034802"/>
    <d v="2016-01-27T11:08:16"/>
    <n v="15.35"/>
    <x v="937"/>
    <n v="1"/>
    <n v="2.2999999999999998"/>
    <n v="0"/>
    <n v="0"/>
    <n v="2.2999999999999998"/>
    <x v="924"/>
    <x v="1"/>
    <x v="1358"/>
    <x v="0"/>
    <n v="14"/>
    <e v="#N/A"/>
    <e v="#N/A"/>
  </r>
  <r>
    <n v="2666"/>
    <d v="2016-01-27T11:47:02"/>
    <d v="2016-01-27T12:02:02"/>
    <x v="0"/>
    <m/>
    <m/>
    <x v="0"/>
    <n v="70804"/>
    <n v="0"/>
    <d v="2016-01-27T12:05:00"/>
    <n v="7.99"/>
    <x v="19"/>
    <n v="1"/>
    <n v="1"/>
    <n v="0"/>
    <n v="0"/>
    <n v="1"/>
    <x v="0"/>
    <x v="0"/>
    <x v="0"/>
    <x v="0"/>
    <n v="7"/>
    <e v="#N/A"/>
    <e v="#N/A"/>
  </r>
  <r>
    <n v="2667"/>
    <d v="2016-01-27T11:55:10"/>
    <d v="2016-01-27T12:10:08"/>
    <x v="1"/>
    <m/>
    <m/>
    <x v="0"/>
    <n v="70804"/>
    <n v="0"/>
    <d v="2016-01-27T12:13:08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2668"/>
    <d v="2016-01-27T10:55:12"/>
    <d v="2016-01-27T11:10:12"/>
    <x v="1"/>
    <m/>
    <m/>
    <x v="1"/>
    <n v="70805"/>
    <n v="1.83404558204984"/>
    <d v="2016-01-27T11:19:22"/>
    <n v="15.35"/>
    <x v="969"/>
    <n v="1"/>
    <n v="2.2999999999999998"/>
    <n v="0"/>
    <n v="0"/>
    <n v="2.2999999999999998"/>
    <x v="956"/>
    <x v="0"/>
    <x v="1359"/>
    <x v="763"/>
    <n v="14"/>
    <e v="#N/A"/>
    <e v="#N/A"/>
  </r>
  <r>
    <n v="2669"/>
    <d v="2016-01-27T12:27:47"/>
    <d v="2016-01-27T12:42:46"/>
    <x v="0"/>
    <s v="Medium"/>
    <m/>
    <x v="0"/>
    <n v="70804"/>
    <n v="0"/>
    <d v="2016-01-27T12:45:46"/>
    <n v="19.579999999999998"/>
    <x v="2"/>
    <n v="2"/>
    <n v="1"/>
    <n v="1.7"/>
    <n v="0"/>
    <n v="2.7"/>
    <x v="0"/>
    <x v="0"/>
    <x v="0"/>
    <x v="0"/>
    <n v="7"/>
    <n v="10"/>
    <e v="#N/A"/>
  </r>
  <r>
    <n v="2670"/>
    <d v="2016-01-27T12:43:41"/>
    <d v="2016-01-27T12:58:44"/>
    <x v="0"/>
    <m/>
    <m/>
    <x v="1"/>
    <n v="70803"/>
    <n v="2.2590194860887798"/>
    <d v="2016-01-27T13:10:01"/>
    <n v="7.99"/>
    <x v="800"/>
    <n v="1"/>
    <n v="1"/>
    <n v="0"/>
    <n v="0"/>
    <n v="1"/>
    <x v="787"/>
    <x v="0"/>
    <x v="1360"/>
    <x v="764"/>
    <n v="7"/>
    <e v="#N/A"/>
    <e v="#N/A"/>
  </r>
  <r>
    <n v="2671"/>
    <d v="2016-01-27T11:15:19"/>
    <d v="2016-01-27T11:30:21"/>
    <x v="1"/>
    <m/>
    <m/>
    <x v="1"/>
    <n v="70805"/>
    <n v="1.4564021589316101"/>
    <d v="2016-01-27T11:37:37"/>
    <n v="15.35"/>
    <x v="970"/>
    <n v="1"/>
    <n v="2.2999999999999998"/>
    <n v="0"/>
    <n v="0"/>
    <n v="2.2999999999999998"/>
    <x v="957"/>
    <x v="0"/>
    <x v="1361"/>
    <x v="765"/>
    <n v="14"/>
    <e v="#N/A"/>
    <e v="#N/A"/>
  </r>
  <r>
    <n v="2672"/>
    <d v="2016-01-27T11:25:55"/>
    <d v="2016-01-27T11:40:55"/>
    <x v="1"/>
    <m/>
    <m/>
    <x v="0"/>
    <n v="70804"/>
    <n v="0"/>
    <d v="2016-01-27T11:43:54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2673"/>
    <d v="2016-01-27T12:25:25"/>
    <d v="2016-01-27T12:40:25"/>
    <x v="0"/>
    <s v="Large"/>
    <m/>
    <x v="0"/>
    <n v="70806"/>
    <n v="0"/>
    <d v="2016-01-27T12:43:26"/>
    <n v="23.34"/>
    <x v="14"/>
    <n v="2"/>
    <n v="1"/>
    <n v="2.2999999999999998"/>
    <n v="0"/>
    <n v="3.3"/>
    <x v="0"/>
    <x v="0"/>
    <x v="0"/>
    <x v="0"/>
    <n v="7"/>
    <n v="14"/>
    <e v="#N/A"/>
  </r>
  <r>
    <n v="2674"/>
    <d v="2016-01-27T11:55:53"/>
    <d v="2016-01-27T12:10:53"/>
    <x v="0"/>
    <m/>
    <m/>
    <x v="1"/>
    <n v="70803"/>
    <n v="5.2766641364684403"/>
    <d v="2016-01-27T12:37:15"/>
    <n v="7.99"/>
    <x v="971"/>
    <n v="1"/>
    <n v="1"/>
    <n v="0"/>
    <n v="0"/>
    <n v="1"/>
    <x v="958"/>
    <x v="1"/>
    <x v="1362"/>
    <x v="0"/>
    <n v="7"/>
    <e v="#N/A"/>
    <e v="#N/A"/>
  </r>
  <r>
    <n v="2675"/>
    <d v="2016-01-27T13:16:33"/>
    <d v="2016-01-27T13:31:33"/>
    <x v="1"/>
    <m/>
    <m/>
    <x v="0"/>
    <n v="70807"/>
    <n v="0"/>
    <d v="2016-01-27T13:34:31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2676"/>
    <d v="2016-01-27T13:09:30"/>
    <d v="2016-01-27T13:24:28"/>
    <x v="2"/>
    <m/>
    <m/>
    <x v="1"/>
    <n v="70803"/>
    <n v="2.08357329766568"/>
    <d v="2016-01-27T13:34:53"/>
    <n v="11.59"/>
    <x v="320"/>
    <n v="1"/>
    <n v="1.7"/>
    <n v="0"/>
    <n v="0"/>
    <n v="1.7"/>
    <x v="307"/>
    <x v="0"/>
    <x v="1363"/>
    <x v="766"/>
    <n v="10"/>
    <e v="#N/A"/>
    <e v="#N/A"/>
  </r>
  <r>
    <n v="2677"/>
    <d v="2016-01-27T13:59:38"/>
    <d v="2016-01-27T14:14:37"/>
    <x v="2"/>
    <m/>
    <m/>
    <x v="0"/>
    <n v="70803"/>
    <n v="0"/>
    <d v="2016-01-27T14:17:37"/>
    <n v="11.59"/>
    <x v="2"/>
    <n v="1"/>
    <n v="1.7"/>
    <n v="0"/>
    <n v="0"/>
    <n v="1.7"/>
    <x v="0"/>
    <x v="0"/>
    <x v="0"/>
    <x v="0"/>
    <n v="10"/>
    <e v="#N/A"/>
    <e v="#N/A"/>
  </r>
  <r>
    <n v="2678"/>
    <d v="2016-01-27T11:55:19"/>
    <d v="2016-01-27T12:10:18"/>
    <x v="0"/>
    <m/>
    <m/>
    <x v="0"/>
    <n v="70804"/>
    <n v="0"/>
    <d v="2016-01-27T12:13:18"/>
    <n v="7.99"/>
    <x v="2"/>
    <n v="1"/>
    <n v="1"/>
    <n v="0"/>
    <n v="0"/>
    <n v="1"/>
    <x v="0"/>
    <x v="0"/>
    <x v="0"/>
    <x v="0"/>
    <n v="7"/>
    <e v="#N/A"/>
    <e v="#N/A"/>
  </r>
  <r>
    <n v="2679"/>
    <d v="2016-01-27T12:14:37"/>
    <d v="2016-01-27T12:29:37"/>
    <x v="1"/>
    <m/>
    <m/>
    <x v="1"/>
    <n v="70803"/>
    <n v="4.4124069175211202"/>
    <d v="2016-01-27T12:51:40"/>
    <n v="15.35"/>
    <x v="972"/>
    <n v="1"/>
    <n v="2.2999999999999998"/>
    <n v="0"/>
    <n v="0"/>
    <n v="2.2999999999999998"/>
    <x v="959"/>
    <x v="1"/>
    <x v="1364"/>
    <x v="0"/>
    <n v="14"/>
    <e v="#N/A"/>
    <e v="#N/A"/>
  </r>
  <r>
    <n v="2680"/>
    <d v="2016-01-27T11:44:15"/>
    <d v="2016-01-27T11:59:15"/>
    <x v="2"/>
    <m/>
    <m/>
    <x v="1"/>
    <n v="70805"/>
    <n v="4.0788083942477096"/>
    <d v="2016-01-27T12:19:38"/>
    <n v="11.59"/>
    <x v="749"/>
    <n v="1"/>
    <n v="1.7"/>
    <n v="0"/>
    <n v="0"/>
    <n v="1.7"/>
    <x v="736"/>
    <x v="1"/>
    <x v="1365"/>
    <x v="0"/>
    <n v="10"/>
    <e v="#N/A"/>
    <e v="#N/A"/>
  </r>
  <r>
    <n v="2681"/>
    <d v="2016-01-27T12:54:11"/>
    <d v="2016-01-27T13:09:12"/>
    <x v="0"/>
    <m/>
    <m/>
    <x v="1"/>
    <n v="70806"/>
    <n v="2.8690578913678899"/>
    <d v="2016-01-27T13:23:32"/>
    <n v="7.99"/>
    <x v="95"/>
    <n v="1"/>
    <n v="1"/>
    <n v="0"/>
    <n v="0"/>
    <n v="1"/>
    <x v="86"/>
    <x v="0"/>
    <x v="1366"/>
    <x v="767"/>
    <n v="7"/>
    <e v="#N/A"/>
    <e v="#N/A"/>
  </r>
  <r>
    <n v="2682"/>
    <d v="2016-01-27T12:49:53"/>
    <d v="2016-01-27T13:04:53"/>
    <x v="0"/>
    <s v="Large"/>
    <m/>
    <x v="0"/>
    <n v="70804"/>
    <n v="0"/>
    <d v="2016-01-27T13:07:51"/>
    <n v="23.34"/>
    <x v="0"/>
    <n v="2"/>
    <n v="1"/>
    <n v="2.2999999999999998"/>
    <n v="0"/>
    <n v="3.3"/>
    <x v="0"/>
    <x v="0"/>
    <x v="0"/>
    <x v="0"/>
    <n v="7"/>
    <n v="14"/>
    <e v="#N/A"/>
  </r>
  <r>
    <n v="2683"/>
    <d v="2016-01-27T13:11:10"/>
    <d v="2016-01-27T13:26:08"/>
    <x v="2"/>
    <m/>
    <m/>
    <x v="0"/>
    <n v="70805"/>
    <n v="0"/>
    <d v="2016-01-27T13:29:04"/>
    <n v="11.59"/>
    <x v="172"/>
    <n v="1"/>
    <n v="1.7"/>
    <n v="0"/>
    <n v="0"/>
    <n v="1.7"/>
    <x v="0"/>
    <x v="0"/>
    <x v="0"/>
    <x v="0"/>
    <n v="10"/>
    <e v="#N/A"/>
    <e v="#N/A"/>
  </r>
  <r>
    <n v="2684"/>
    <d v="2016-01-27T10:48:46"/>
    <d v="2016-01-27T11:03:44"/>
    <x v="2"/>
    <m/>
    <m/>
    <x v="0"/>
    <n v="70804"/>
    <n v="0"/>
    <d v="2016-01-27T11:06:42"/>
    <n v="11.59"/>
    <x v="0"/>
    <n v="1"/>
    <n v="1.7"/>
    <n v="0"/>
    <n v="0"/>
    <n v="1.7"/>
    <x v="0"/>
    <x v="0"/>
    <x v="0"/>
    <x v="0"/>
    <n v="10"/>
    <e v="#N/A"/>
    <e v="#N/A"/>
  </r>
  <r>
    <n v="2685"/>
    <d v="2016-01-27T11:19:25"/>
    <d v="2016-01-27T11:34:24"/>
    <x v="2"/>
    <m/>
    <m/>
    <x v="1"/>
    <n v="70803"/>
    <n v="3.5274085439612"/>
    <d v="2016-01-27T11:52:02"/>
    <n v="11.59"/>
    <x v="973"/>
    <n v="1"/>
    <n v="1.7"/>
    <n v="0"/>
    <n v="0"/>
    <n v="1.7"/>
    <x v="960"/>
    <x v="1"/>
    <x v="1367"/>
    <x v="0"/>
    <n v="10"/>
    <e v="#N/A"/>
    <e v="#N/A"/>
  </r>
  <r>
    <n v="2686"/>
    <d v="2016-01-27T12:30:03"/>
    <d v="2016-01-27T12:45:04"/>
    <x v="0"/>
    <s v="Medium"/>
    <m/>
    <x v="0"/>
    <n v="70804"/>
    <n v="0"/>
    <d v="2016-01-27T12:48:04"/>
    <n v="19.579999999999998"/>
    <x v="2"/>
    <n v="2"/>
    <n v="1"/>
    <n v="1.7"/>
    <n v="0"/>
    <n v="2.7"/>
    <x v="0"/>
    <x v="0"/>
    <x v="0"/>
    <x v="0"/>
    <n v="7"/>
    <n v="10"/>
    <e v="#N/A"/>
  </r>
  <r>
    <n v="2687"/>
    <d v="2016-01-27T12:47:53"/>
    <d v="2016-01-27T13:02:51"/>
    <x v="0"/>
    <s v="Medium"/>
    <m/>
    <x v="0"/>
    <n v="70804"/>
    <n v="0"/>
    <d v="2016-01-27T13:05:51"/>
    <n v="19.579999999999998"/>
    <x v="2"/>
    <n v="2"/>
    <n v="1"/>
    <n v="1.7"/>
    <n v="0"/>
    <n v="2.7"/>
    <x v="0"/>
    <x v="0"/>
    <x v="0"/>
    <x v="0"/>
    <n v="7"/>
    <n v="10"/>
    <e v="#N/A"/>
  </r>
  <r>
    <n v="2688"/>
    <d v="2016-01-27T12:33:47"/>
    <d v="2016-01-27T12:48:46"/>
    <x v="0"/>
    <s v="Medium"/>
    <m/>
    <x v="1"/>
    <n v="70804"/>
    <n v="2.85033686033958"/>
    <d v="2016-01-27T13:03:01"/>
    <n v="19.579999999999998"/>
    <x v="974"/>
    <n v="2"/>
    <n v="1"/>
    <n v="1.7"/>
    <n v="0"/>
    <n v="2.7"/>
    <x v="961"/>
    <x v="0"/>
    <x v="1368"/>
    <x v="768"/>
    <n v="7"/>
    <n v="10"/>
    <e v="#N/A"/>
  </r>
  <r>
    <n v="2689"/>
    <d v="2016-01-27T12:26:06"/>
    <d v="2016-01-27T12:41:05"/>
    <x v="0"/>
    <m/>
    <m/>
    <x v="1"/>
    <n v="70804"/>
    <n v="2.9305412782034601"/>
    <d v="2016-01-27T12:55:44"/>
    <n v="7.99"/>
    <x v="975"/>
    <n v="1"/>
    <n v="1"/>
    <n v="0"/>
    <n v="0"/>
    <n v="1"/>
    <x v="962"/>
    <x v="0"/>
    <x v="1369"/>
    <x v="769"/>
    <n v="7"/>
    <e v="#N/A"/>
    <e v="#N/A"/>
  </r>
  <r>
    <n v="2690"/>
    <d v="2016-01-27T11:24:59"/>
    <d v="2016-01-27T11:39:59"/>
    <x v="1"/>
    <m/>
    <m/>
    <x v="0"/>
    <n v="70805"/>
    <n v="0"/>
    <d v="2016-01-27T11:42:57"/>
    <n v="15.35"/>
    <x v="19"/>
    <n v="1"/>
    <n v="2.2999999999999998"/>
    <n v="0"/>
    <n v="0"/>
    <n v="2.2999999999999998"/>
    <x v="0"/>
    <x v="0"/>
    <x v="0"/>
    <x v="0"/>
    <n v="14"/>
    <e v="#N/A"/>
    <e v="#N/A"/>
  </r>
  <r>
    <n v="2691"/>
    <d v="2016-01-27T11:19:48"/>
    <d v="2016-01-27T11:34:49"/>
    <x v="1"/>
    <m/>
    <m/>
    <x v="1"/>
    <n v="70806"/>
    <n v="2.39341350305425"/>
    <d v="2016-01-27T11:46:47"/>
    <n v="15.35"/>
    <x v="267"/>
    <n v="1"/>
    <n v="2.2999999999999998"/>
    <n v="0"/>
    <n v="0"/>
    <n v="2.2999999999999998"/>
    <x v="254"/>
    <x v="0"/>
    <x v="1370"/>
    <x v="770"/>
    <n v="14"/>
    <e v="#N/A"/>
    <e v="#N/A"/>
  </r>
  <r>
    <n v="2692"/>
    <d v="2016-01-27T12:47:25"/>
    <d v="2016-01-27T13:02:23"/>
    <x v="2"/>
    <m/>
    <m/>
    <x v="1"/>
    <n v="70803"/>
    <n v="1.8520102805624401"/>
    <d v="2016-01-27T13:11:38"/>
    <n v="11.59"/>
    <x v="248"/>
    <n v="1"/>
    <n v="1.7"/>
    <n v="0"/>
    <n v="0"/>
    <n v="1.7"/>
    <x v="235"/>
    <x v="0"/>
    <x v="1371"/>
    <x v="771"/>
    <n v="10"/>
    <e v="#N/A"/>
    <e v="#N/A"/>
  </r>
  <r>
    <n v="2693"/>
    <d v="2016-01-27T11:49:19"/>
    <d v="2016-01-27T12:04:19"/>
    <x v="1"/>
    <m/>
    <m/>
    <x v="1"/>
    <n v="70803"/>
    <n v="3.6933682552698399"/>
    <d v="2016-01-27T12:22:47"/>
    <n v="15.35"/>
    <x v="976"/>
    <n v="1"/>
    <n v="2.2999999999999998"/>
    <n v="0"/>
    <n v="0"/>
    <n v="2.2999999999999998"/>
    <x v="963"/>
    <x v="1"/>
    <x v="1372"/>
    <x v="0"/>
    <n v="14"/>
    <e v="#N/A"/>
    <e v="#N/A"/>
  </r>
  <r>
    <n v="2694"/>
    <d v="2016-01-27T10:39:32"/>
    <d v="2016-01-27T10:54:30"/>
    <x v="1"/>
    <m/>
    <m/>
    <x v="1"/>
    <n v="70805"/>
    <n v="2.5639818137400199"/>
    <d v="2016-01-27T11:07:19"/>
    <n v="15.35"/>
    <x v="11"/>
    <n v="1"/>
    <n v="2.2999999999999998"/>
    <n v="0"/>
    <n v="0"/>
    <n v="2.2999999999999998"/>
    <x v="9"/>
    <x v="0"/>
    <x v="1373"/>
    <x v="772"/>
    <n v="14"/>
    <e v="#N/A"/>
    <e v="#N/A"/>
  </r>
  <r>
    <n v="2695"/>
    <d v="2016-01-27T12:50:13"/>
    <d v="2016-01-27T13:05:12"/>
    <x v="2"/>
    <m/>
    <m/>
    <x v="1"/>
    <n v="70805"/>
    <n v="1.7753585612474601"/>
    <d v="2016-01-27T13:14:04"/>
    <n v="11.59"/>
    <x v="914"/>
    <n v="1"/>
    <n v="1.7"/>
    <n v="0"/>
    <n v="0"/>
    <n v="1.7"/>
    <x v="901"/>
    <x v="0"/>
    <x v="1374"/>
    <x v="773"/>
    <n v="10"/>
    <e v="#N/A"/>
    <e v="#N/A"/>
  </r>
  <r>
    <n v="2696"/>
    <d v="2016-01-27T11:24:36"/>
    <d v="2016-01-27T11:39:35"/>
    <x v="0"/>
    <m/>
    <m/>
    <x v="1"/>
    <n v="70807"/>
    <n v="1.9874378435383"/>
    <d v="2016-01-27T11:49:31"/>
    <n v="7.99"/>
    <x v="977"/>
    <n v="1"/>
    <n v="1"/>
    <n v="0"/>
    <n v="0"/>
    <n v="1"/>
    <x v="964"/>
    <x v="0"/>
    <x v="1375"/>
    <x v="774"/>
    <n v="7"/>
    <e v="#N/A"/>
    <e v="#N/A"/>
  </r>
  <r>
    <n v="2697"/>
    <d v="2016-01-27T12:45:54"/>
    <d v="2016-01-27T13:00:52"/>
    <x v="1"/>
    <m/>
    <m/>
    <x v="0"/>
    <n v="70807"/>
    <n v="0"/>
    <d v="2016-01-27T13:03:51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2698"/>
    <d v="2016-01-27T13:51:33"/>
    <d v="2016-01-27T14:06:33"/>
    <x v="0"/>
    <s v="Medium"/>
    <m/>
    <x v="1"/>
    <n v="70803"/>
    <n v="3.8979876667603102"/>
    <d v="2016-01-27T14:26:02"/>
    <n v="19.579999999999998"/>
    <x v="904"/>
    <n v="2"/>
    <n v="1"/>
    <n v="1.7"/>
    <n v="0"/>
    <n v="2.7"/>
    <x v="891"/>
    <x v="1"/>
    <x v="1376"/>
    <x v="0"/>
    <n v="7"/>
    <n v="10"/>
    <e v="#N/A"/>
  </r>
  <r>
    <n v="2699"/>
    <d v="2016-01-28T12:38:08"/>
    <d v="2016-01-28T12:53:07"/>
    <x v="1"/>
    <m/>
    <m/>
    <x v="0"/>
    <n v="70804"/>
    <n v="0"/>
    <d v="2016-01-28T12:56:07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2700"/>
    <d v="2016-01-28T12:36:33"/>
    <d v="2016-01-28T12:51:33"/>
    <x v="0"/>
    <s v="Medium"/>
    <m/>
    <x v="1"/>
    <n v="70805"/>
    <n v="0.83066262724498896"/>
    <d v="2016-01-28T12:55:42"/>
    <n v="19.579999999999998"/>
    <x v="978"/>
    <n v="2"/>
    <n v="1"/>
    <n v="1.7"/>
    <n v="0"/>
    <n v="2.7"/>
    <x v="965"/>
    <x v="0"/>
    <x v="1377"/>
    <x v="775"/>
    <n v="7"/>
    <n v="10"/>
    <e v="#N/A"/>
  </r>
  <r>
    <n v="2701"/>
    <d v="2016-01-28T13:26:18"/>
    <d v="2016-01-28T13:41:18"/>
    <x v="1"/>
    <m/>
    <m/>
    <x v="0"/>
    <n v="70806"/>
    <n v="0"/>
    <d v="2016-01-28T13:44:19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2702"/>
    <d v="2016-01-28T11:30:27"/>
    <d v="2016-01-28T11:45:28"/>
    <x v="2"/>
    <m/>
    <m/>
    <x v="1"/>
    <n v="70803"/>
    <n v="3.0932474365490998"/>
    <d v="2016-01-28T12:00:55"/>
    <n v="11.59"/>
    <x v="979"/>
    <n v="1"/>
    <n v="1.7"/>
    <n v="0"/>
    <n v="0"/>
    <n v="1.7"/>
    <x v="966"/>
    <x v="0"/>
    <x v="1378"/>
    <x v="776"/>
    <n v="10"/>
    <e v="#N/A"/>
    <e v="#N/A"/>
  </r>
  <r>
    <n v="2703"/>
    <d v="2016-01-28T12:35:01"/>
    <d v="2016-01-28T12:49:58"/>
    <x v="0"/>
    <m/>
    <m/>
    <x v="0"/>
    <n v="70803"/>
    <n v="0"/>
    <d v="2016-01-28T12:52:58"/>
    <n v="7.99"/>
    <x v="2"/>
    <n v="1"/>
    <n v="1"/>
    <n v="0"/>
    <n v="0"/>
    <n v="1"/>
    <x v="0"/>
    <x v="0"/>
    <x v="0"/>
    <x v="0"/>
    <n v="7"/>
    <e v="#N/A"/>
    <e v="#N/A"/>
  </r>
  <r>
    <n v="2704"/>
    <d v="2016-01-28T11:47:00"/>
    <d v="2016-01-28T12:02:01"/>
    <x v="1"/>
    <m/>
    <m/>
    <x v="1"/>
    <n v="70803"/>
    <n v="3.7720323489757499"/>
    <d v="2016-01-28T12:20:52"/>
    <n v="15.35"/>
    <x v="304"/>
    <n v="1"/>
    <n v="2.2999999999999998"/>
    <n v="0"/>
    <n v="0"/>
    <n v="2.2999999999999998"/>
    <x v="291"/>
    <x v="1"/>
    <x v="1379"/>
    <x v="0"/>
    <n v="14"/>
    <e v="#N/A"/>
    <e v="#N/A"/>
  </r>
  <r>
    <n v="2705"/>
    <d v="2016-01-28T11:31:25"/>
    <d v="2016-01-28T11:46:24"/>
    <x v="1"/>
    <m/>
    <m/>
    <x v="0"/>
    <n v="70805"/>
    <n v="0"/>
    <d v="2016-01-28T11:49:25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2706"/>
    <d v="2016-01-28T12:59:48"/>
    <d v="2016-01-28T13:14:46"/>
    <x v="2"/>
    <m/>
    <m/>
    <x v="1"/>
    <n v="70805"/>
    <n v="2.2751053611822498"/>
    <d v="2016-01-28T13:26:08"/>
    <n v="11.59"/>
    <x v="980"/>
    <n v="1"/>
    <n v="1.7"/>
    <n v="0"/>
    <n v="0"/>
    <n v="1.7"/>
    <x v="967"/>
    <x v="0"/>
    <x v="1380"/>
    <x v="777"/>
    <n v="10"/>
    <e v="#N/A"/>
    <e v="#N/A"/>
  </r>
  <r>
    <n v="2707"/>
    <d v="2016-01-28T11:16:10"/>
    <d v="2016-01-28T11:31:10"/>
    <x v="2"/>
    <m/>
    <m/>
    <x v="0"/>
    <n v="70807"/>
    <n v="0"/>
    <d v="2016-01-28T11:34:10"/>
    <n v="11.59"/>
    <x v="2"/>
    <n v="1"/>
    <n v="1.7"/>
    <n v="0"/>
    <n v="0"/>
    <n v="1.7"/>
    <x v="0"/>
    <x v="0"/>
    <x v="0"/>
    <x v="0"/>
    <n v="10"/>
    <e v="#N/A"/>
    <e v="#N/A"/>
  </r>
  <r>
    <n v="2708"/>
    <d v="2016-01-28T12:39:30"/>
    <d v="2016-01-28T12:54:30"/>
    <x v="0"/>
    <s v="Medium"/>
    <m/>
    <x v="0"/>
    <n v="70805"/>
    <n v="0"/>
    <d v="2016-01-28T12:57:30"/>
    <n v="19.579999999999998"/>
    <x v="2"/>
    <n v="2"/>
    <n v="1"/>
    <n v="1.7"/>
    <n v="0"/>
    <n v="2.7"/>
    <x v="0"/>
    <x v="0"/>
    <x v="0"/>
    <x v="0"/>
    <n v="7"/>
    <n v="10"/>
    <e v="#N/A"/>
  </r>
  <r>
    <n v="2709"/>
    <d v="2016-01-28T10:14:09"/>
    <d v="2016-01-28T10:29:07"/>
    <x v="2"/>
    <m/>
    <m/>
    <x v="1"/>
    <n v="70805"/>
    <n v="2.8391886146815302"/>
    <d v="2016-01-28T10:43:18"/>
    <n v="11.59"/>
    <x v="291"/>
    <n v="1"/>
    <n v="1.7"/>
    <n v="0"/>
    <n v="0"/>
    <n v="1.7"/>
    <x v="278"/>
    <x v="0"/>
    <x v="1381"/>
    <x v="778"/>
    <n v="10"/>
    <e v="#N/A"/>
    <e v="#N/A"/>
  </r>
  <r>
    <n v="2710"/>
    <d v="2016-01-28T10:26:33"/>
    <d v="2016-01-28T10:41:34"/>
    <x v="0"/>
    <s v="Medium"/>
    <m/>
    <x v="0"/>
    <n v="70804"/>
    <n v="0"/>
    <d v="2016-01-28T10:44:33"/>
    <n v="19.579999999999998"/>
    <x v="24"/>
    <n v="2"/>
    <n v="1"/>
    <n v="1.7"/>
    <n v="0"/>
    <n v="2.7"/>
    <x v="0"/>
    <x v="0"/>
    <x v="0"/>
    <x v="0"/>
    <n v="7"/>
    <n v="10"/>
    <e v="#N/A"/>
  </r>
  <r>
    <n v="2711"/>
    <d v="2016-01-28T11:33:21"/>
    <d v="2016-01-28T11:48:18"/>
    <x v="1"/>
    <m/>
    <m/>
    <x v="1"/>
    <n v="70805"/>
    <n v="1.1724256712402299"/>
    <d v="2016-01-28T11:54:09"/>
    <n v="15.35"/>
    <x v="957"/>
    <n v="1"/>
    <n v="2.2999999999999998"/>
    <n v="0"/>
    <n v="0"/>
    <n v="2.2999999999999998"/>
    <x v="944"/>
    <x v="0"/>
    <x v="1382"/>
    <x v="779"/>
    <n v="14"/>
    <e v="#N/A"/>
    <e v="#N/A"/>
  </r>
  <r>
    <n v="2712"/>
    <d v="2016-01-28T10:27:38"/>
    <d v="2016-01-28T10:42:36"/>
    <x v="1"/>
    <m/>
    <m/>
    <x v="0"/>
    <n v="70805"/>
    <n v="0"/>
    <d v="2016-01-28T10:45:36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2713"/>
    <d v="2016-01-28T10:11:20"/>
    <d v="2016-01-28T10:26:19"/>
    <x v="1"/>
    <m/>
    <m/>
    <x v="0"/>
    <n v="70804"/>
    <n v="0"/>
    <d v="2016-01-28T10:29:18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2714"/>
    <d v="2016-01-28T11:48:55"/>
    <d v="2016-01-28T12:03:54"/>
    <x v="1"/>
    <m/>
    <m/>
    <x v="0"/>
    <n v="70804"/>
    <n v="0"/>
    <d v="2016-01-28T12:06:54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2715"/>
    <d v="2016-01-28T11:51:28"/>
    <d v="2016-01-28T12:06:29"/>
    <x v="1"/>
    <m/>
    <m/>
    <x v="1"/>
    <n v="70806"/>
    <n v="3.4050490450150499"/>
    <d v="2016-01-28T12:23:30"/>
    <n v="15.35"/>
    <x v="517"/>
    <n v="1"/>
    <n v="2.2999999999999998"/>
    <n v="0"/>
    <n v="0"/>
    <n v="2.2999999999999998"/>
    <x v="504"/>
    <x v="1"/>
    <x v="1383"/>
    <x v="0"/>
    <n v="14"/>
    <e v="#N/A"/>
    <e v="#N/A"/>
  </r>
  <r>
    <n v="2716"/>
    <d v="2016-01-28T11:12:16"/>
    <d v="2016-01-28T11:27:15"/>
    <x v="0"/>
    <s v="Medium"/>
    <m/>
    <x v="1"/>
    <n v="70806"/>
    <n v="3.86457263162078"/>
    <d v="2016-01-28T11:46:34"/>
    <n v="19.579999999999998"/>
    <x v="411"/>
    <n v="2"/>
    <n v="1"/>
    <n v="1.7"/>
    <n v="0"/>
    <n v="2.7"/>
    <x v="398"/>
    <x v="1"/>
    <x v="1384"/>
    <x v="0"/>
    <n v="7"/>
    <n v="10"/>
    <e v="#N/A"/>
  </r>
  <r>
    <n v="2717"/>
    <d v="2016-01-28T13:24:14"/>
    <d v="2016-01-28T13:39:14"/>
    <x v="0"/>
    <s v="Large"/>
    <m/>
    <x v="1"/>
    <n v="70805"/>
    <n v="2.8758934638107898"/>
    <d v="2016-01-28T13:53:36"/>
    <n v="23.34"/>
    <x v="981"/>
    <n v="2"/>
    <n v="1"/>
    <n v="2.2999999999999998"/>
    <n v="0"/>
    <n v="3.3"/>
    <x v="968"/>
    <x v="0"/>
    <x v="1385"/>
    <x v="780"/>
    <n v="7"/>
    <n v="14"/>
    <e v="#N/A"/>
  </r>
  <r>
    <n v="2718"/>
    <d v="2016-01-28T11:24:13"/>
    <d v="2016-01-28T11:39:13"/>
    <x v="0"/>
    <s v="Medium"/>
    <m/>
    <x v="0"/>
    <n v="70805"/>
    <n v="0"/>
    <d v="2016-01-28T11:42:12"/>
    <n v="19.579999999999998"/>
    <x v="24"/>
    <n v="2"/>
    <n v="1"/>
    <n v="1.7"/>
    <n v="0"/>
    <n v="2.7"/>
    <x v="0"/>
    <x v="0"/>
    <x v="0"/>
    <x v="0"/>
    <n v="7"/>
    <n v="10"/>
    <e v="#N/A"/>
  </r>
  <r>
    <n v="2719"/>
    <d v="2016-01-28T12:24:33"/>
    <d v="2016-01-28T12:39:33"/>
    <x v="2"/>
    <m/>
    <m/>
    <x v="1"/>
    <n v="70806"/>
    <n v="4.3915522976277996"/>
    <d v="2016-01-28T13:01:30"/>
    <n v="11.59"/>
    <x v="982"/>
    <n v="1"/>
    <n v="1.7"/>
    <n v="0"/>
    <n v="0"/>
    <n v="1.7"/>
    <x v="969"/>
    <x v="1"/>
    <x v="1386"/>
    <x v="0"/>
    <n v="10"/>
    <e v="#N/A"/>
    <e v="#N/A"/>
  </r>
  <r>
    <n v="2720"/>
    <d v="2016-01-28T12:29:09"/>
    <d v="2016-01-28T12:44:10"/>
    <x v="0"/>
    <m/>
    <m/>
    <x v="1"/>
    <n v="70807"/>
    <n v="4.6781462163186802"/>
    <d v="2016-01-28T13:07:33"/>
    <n v="7.99"/>
    <x v="837"/>
    <n v="1"/>
    <n v="1"/>
    <n v="0"/>
    <n v="0"/>
    <n v="1"/>
    <x v="824"/>
    <x v="1"/>
    <x v="1387"/>
    <x v="0"/>
    <n v="7"/>
    <e v="#N/A"/>
    <e v="#N/A"/>
  </r>
  <r>
    <n v="2721"/>
    <d v="2016-01-28T10:46:35"/>
    <d v="2016-01-28T11:01:36"/>
    <x v="1"/>
    <m/>
    <m/>
    <x v="1"/>
    <n v="70804"/>
    <n v="2.2463363500825402"/>
    <d v="2016-01-28T11:12:49"/>
    <n v="15.35"/>
    <x v="983"/>
    <n v="1"/>
    <n v="2.2999999999999998"/>
    <n v="0"/>
    <n v="0"/>
    <n v="2.2999999999999998"/>
    <x v="970"/>
    <x v="0"/>
    <x v="1388"/>
    <x v="781"/>
    <n v="14"/>
    <e v="#N/A"/>
    <e v="#N/A"/>
  </r>
  <r>
    <n v="2722"/>
    <d v="2016-01-28T14:17:29"/>
    <d v="2016-01-28T14:32:30"/>
    <x v="1"/>
    <m/>
    <m/>
    <x v="1"/>
    <n v="70806"/>
    <n v="2.5912389972700298"/>
    <d v="2016-01-28T14:45:27"/>
    <n v="15.35"/>
    <x v="447"/>
    <n v="1"/>
    <n v="2.2999999999999998"/>
    <n v="0"/>
    <n v="0"/>
    <n v="2.2999999999999998"/>
    <x v="434"/>
    <x v="0"/>
    <x v="1389"/>
    <x v="782"/>
    <n v="14"/>
    <e v="#N/A"/>
    <e v="#N/A"/>
  </r>
  <r>
    <n v="2723"/>
    <d v="2016-01-28T11:25:47"/>
    <d v="2016-01-28T11:40:47"/>
    <x v="0"/>
    <s v="Large"/>
    <m/>
    <x v="1"/>
    <n v="70804"/>
    <n v="1.83519348345985"/>
    <d v="2016-01-28T11:49:57"/>
    <n v="23.34"/>
    <x v="32"/>
    <n v="2"/>
    <n v="1"/>
    <n v="2.2999999999999998"/>
    <n v="0"/>
    <n v="3.3"/>
    <x v="26"/>
    <x v="0"/>
    <x v="1390"/>
    <x v="783"/>
    <n v="7"/>
    <n v="14"/>
    <e v="#N/A"/>
  </r>
  <r>
    <n v="2724"/>
    <d v="2016-01-28T12:39:13"/>
    <d v="2016-01-28T12:54:13"/>
    <x v="1"/>
    <m/>
    <m/>
    <x v="1"/>
    <n v="70803"/>
    <n v="3.0872907825817499"/>
    <d v="2016-01-28T13:09:39"/>
    <n v="15.35"/>
    <x v="309"/>
    <n v="1"/>
    <n v="2.2999999999999998"/>
    <n v="0"/>
    <n v="0"/>
    <n v="2.2999999999999998"/>
    <x v="296"/>
    <x v="0"/>
    <x v="1391"/>
    <x v="784"/>
    <n v="14"/>
    <e v="#N/A"/>
    <e v="#N/A"/>
  </r>
  <r>
    <n v="2725"/>
    <d v="2016-01-28T10:29:36"/>
    <d v="2016-01-28T10:44:35"/>
    <x v="0"/>
    <s v="Large"/>
    <m/>
    <x v="0"/>
    <n v="70804"/>
    <n v="0"/>
    <d v="2016-01-28T10:47:34"/>
    <n v="23.34"/>
    <x v="24"/>
    <n v="2"/>
    <n v="1"/>
    <n v="2.2999999999999998"/>
    <n v="0"/>
    <n v="3.3"/>
    <x v="0"/>
    <x v="0"/>
    <x v="0"/>
    <x v="0"/>
    <n v="7"/>
    <n v="14"/>
    <e v="#N/A"/>
  </r>
  <r>
    <n v="2726"/>
    <d v="2016-01-28T11:11:33"/>
    <d v="2016-01-28T11:26:31"/>
    <x v="1"/>
    <m/>
    <m/>
    <x v="1"/>
    <n v="70805"/>
    <n v="3.0496459270586702"/>
    <d v="2016-01-28T11:41:45"/>
    <n v="15.35"/>
    <x v="77"/>
    <n v="1"/>
    <n v="2.2999999999999998"/>
    <n v="0"/>
    <n v="0"/>
    <n v="2.2999999999999998"/>
    <x v="68"/>
    <x v="0"/>
    <x v="1392"/>
    <x v="785"/>
    <n v="14"/>
    <e v="#N/A"/>
    <e v="#N/A"/>
  </r>
  <r>
    <n v="2727"/>
    <d v="2016-01-28T12:36:41"/>
    <d v="2016-01-28T12:51:42"/>
    <x v="1"/>
    <m/>
    <m/>
    <x v="1"/>
    <n v="70806"/>
    <n v="5.9652576059756299"/>
    <d v="2016-01-28T13:21:31"/>
    <n v="15.35"/>
    <x v="984"/>
    <n v="1"/>
    <n v="2.2999999999999998"/>
    <n v="0"/>
    <n v="0"/>
    <n v="2.2999999999999998"/>
    <x v="971"/>
    <x v="1"/>
    <x v="1393"/>
    <x v="0"/>
    <n v="14"/>
    <e v="#N/A"/>
    <e v="#N/A"/>
  </r>
  <r>
    <n v="2728"/>
    <d v="2016-01-28T11:29:21"/>
    <d v="2016-01-28T11:44:21"/>
    <x v="0"/>
    <s v="Large"/>
    <m/>
    <x v="0"/>
    <n v="70804"/>
    <n v="0"/>
    <d v="2016-01-28T11:47:20"/>
    <n v="23.34"/>
    <x v="1"/>
    <n v="2"/>
    <n v="1"/>
    <n v="2.2999999999999998"/>
    <n v="0"/>
    <n v="3.3"/>
    <x v="0"/>
    <x v="0"/>
    <x v="0"/>
    <x v="0"/>
    <n v="7"/>
    <n v="14"/>
    <e v="#N/A"/>
  </r>
  <r>
    <n v="2729"/>
    <d v="2016-01-28T12:35:15"/>
    <d v="2016-01-28T12:50:13"/>
    <x v="0"/>
    <m/>
    <m/>
    <x v="1"/>
    <n v="70805"/>
    <n v="2.0742627596305399"/>
    <d v="2016-01-28T13:00:35"/>
    <n v="7.99"/>
    <x v="985"/>
    <n v="1"/>
    <n v="1"/>
    <n v="0"/>
    <n v="0"/>
    <n v="1"/>
    <x v="972"/>
    <x v="0"/>
    <x v="1394"/>
    <x v="786"/>
    <n v="7"/>
    <e v="#N/A"/>
    <e v="#N/A"/>
  </r>
  <r>
    <n v="2730"/>
    <d v="2016-01-28T13:14:59"/>
    <d v="2016-01-28T13:29:58"/>
    <x v="2"/>
    <m/>
    <m/>
    <x v="0"/>
    <n v="70803"/>
    <n v="0"/>
    <d v="2016-01-28T13:32:58"/>
    <n v="11.59"/>
    <x v="2"/>
    <n v="1"/>
    <n v="1.7"/>
    <n v="0"/>
    <n v="0"/>
    <n v="1.7"/>
    <x v="0"/>
    <x v="0"/>
    <x v="0"/>
    <x v="0"/>
    <n v="10"/>
    <e v="#N/A"/>
    <e v="#N/A"/>
  </r>
  <r>
    <n v="2731"/>
    <d v="2016-01-28T12:37:41"/>
    <d v="2016-01-28T12:52:41"/>
    <x v="1"/>
    <m/>
    <m/>
    <x v="0"/>
    <n v="70803"/>
    <n v="0"/>
    <d v="2016-01-28T12:55:41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2732"/>
    <d v="2016-01-28T11:24:06"/>
    <d v="2016-01-28T11:39:05"/>
    <x v="1"/>
    <m/>
    <m/>
    <x v="0"/>
    <n v="70803"/>
    <n v="0"/>
    <d v="2016-01-28T11:42:04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2733"/>
    <d v="2016-01-28T11:27:10"/>
    <d v="2016-01-28T11:42:09"/>
    <x v="2"/>
    <m/>
    <m/>
    <x v="1"/>
    <n v="70805"/>
    <n v="1.7323393122572699"/>
    <d v="2016-01-28T11:50:48"/>
    <n v="11.59"/>
    <x v="330"/>
    <n v="1"/>
    <n v="1.7"/>
    <n v="0"/>
    <n v="0"/>
    <n v="1.7"/>
    <x v="317"/>
    <x v="0"/>
    <x v="1395"/>
    <x v="787"/>
    <n v="10"/>
    <e v="#N/A"/>
    <e v="#N/A"/>
  </r>
  <r>
    <n v="2734"/>
    <d v="2016-01-28T11:19:16"/>
    <d v="2016-01-28T11:34:17"/>
    <x v="1"/>
    <m/>
    <m/>
    <x v="1"/>
    <n v="70805"/>
    <n v="1.6679224839703299"/>
    <d v="2016-01-28T11:42:37"/>
    <n v="15.35"/>
    <x v="493"/>
    <n v="1"/>
    <n v="2.2999999999999998"/>
    <n v="0"/>
    <n v="0"/>
    <n v="2.2999999999999998"/>
    <x v="480"/>
    <x v="0"/>
    <x v="1396"/>
    <x v="788"/>
    <n v="14"/>
    <e v="#N/A"/>
    <e v="#N/A"/>
  </r>
  <r>
    <n v="2735"/>
    <d v="2016-01-28T12:44:37"/>
    <d v="2016-01-28T12:59:37"/>
    <x v="0"/>
    <s v="Large"/>
    <m/>
    <x v="1"/>
    <n v="70806"/>
    <n v="2.0023696568412999"/>
    <d v="2016-01-28T13:09:37"/>
    <n v="23.34"/>
    <x v="852"/>
    <n v="2"/>
    <n v="1"/>
    <n v="2.2999999999999998"/>
    <n v="0"/>
    <n v="3.3"/>
    <x v="839"/>
    <x v="0"/>
    <x v="1397"/>
    <x v="789"/>
    <n v="7"/>
    <n v="14"/>
    <e v="#N/A"/>
  </r>
  <r>
    <n v="2736"/>
    <d v="2016-01-28T10:02:53"/>
    <d v="2016-01-28T10:17:52"/>
    <x v="2"/>
    <m/>
    <m/>
    <x v="0"/>
    <n v="70805"/>
    <n v="0"/>
    <d v="2016-01-28T10:20:53"/>
    <n v="11.59"/>
    <x v="56"/>
    <n v="1"/>
    <n v="1.7"/>
    <n v="0"/>
    <n v="0"/>
    <n v="1.7"/>
    <x v="0"/>
    <x v="0"/>
    <x v="0"/>
    <x v="0"/>
    <n v="10"/>
    <e v="#N/A"/>
    <e v="#N/A"/>
  </r>
  <r>
    <n v="2737"/>
    <d v="2016-01-28T13:47:33"/>
    <d v="2016-01-28T14:02:32"/>
    <x v="1"/>
    <m/>
    <m/>
    <x v="1"/>
    <n v="70803"/>
    <n v="1.5371619302524899"/>
    <d v="2016-01-28T14:10:13"/>
    <n v="15.35"/>
    <x v="986"/>
    <n v="1"/>
    <n v="2.2999999999999998"/>
    <n v="0"/>
    <n v="0"/>
    <n v="2.2999999999999998"/>
    <x v="973"/>
    <x v="0"/>
    <x v="1398"/>
    <x v="790"/>
    <n v="14"/>
    <e v="#N/A"/>
    <e v="#N/A"/>
  </r>
  <r>
    <n v="2738"/>
    <d v="2016-01-28T11:36:56"/>
    <d v="2016-01-28T11:51:54"/>
    <x v="2"/>
    <m/>
    <m/>
    <x v="0"/>
    <n v="70804"/>
    <n v="0"/>
    <d v="2016-01-28T11:54:54"/>
    <n v="11.59"/>
    <x v="2"/>
    <n v="1"/>
    <n v="1.7"/>
    <n v="0"/>
    <n v="0"/>
    <n v="1.7"/>
    <x v="0"/>
    <x v="0"/>
    <x v="0"/>
    <x v="0"/>
    <n v="10"/>
    <e v="#N/A"/>
    <e v="#N/A"/>
  </r>
  <r>
    <n v="2739"/>
    <d v="2016-01-28T12:56:10"/>
    <d v="2016-01-28T13:11:09"/>
    <x v="0"/>
    <m/>
    <m/>
    <x v="0"/>
    <n v="70803"/>
    <n v="0"/>
    <d v="2016-01-28T13:14:08"/>
    <n v="7.99"/>
    <x v="24"/>
    <n v="1"/>
    <n v="1"/>
    <n v="0"/>
    <n v="0"/>
    <n v="1"/>
    <x v="0"/>
    <x v="0"/>
    <x v="0"/>
    <x v="0"/>
    <n v="7"/>
    <e v="#N/A"/>
    <e v="#N/A"/>
  </r>
  <r>
    <n v="2740"/>
    <d v="2016-01-28T11:14:57"/>
    <d v="2016-01-28T11:29:56"/>
    <x v="0"/>
    <s v="Medium"/>
    <m/>
    <x v="1"/>
    <n v="70804"/>
    <n v="2.8734671073109999"/>
    <d v="2016-01-28T11:44:18"/>
    <n v="19.579999999999998"/>
    <x v="981"/>
    <n v="2"/>
    <n v="1"/>
    <n v="1.7"/>
    <n v="0"/>
    <n v="2.7"/>
    <x v="968"/>
    <x v="0"/>
    <x v="1399"/>
    <x v="791"/>
    <n v="7"/>
    <n v="10"/>
    <e v="#N/A"/>
  </r>
  <r>
    <n v="2741"/>
    <d v="2016-01-28T10:24:08"/>
    <d v="2016-01-28T10:39:08"/>
    <x v="2"/>
    <m/>
    <m/>
    <x v="1"/>
    <n v="70803"/>
    <n v="1.8152133996556299"/>
    <d v="2016-01-28T10:48:12"/>
    <n v="11.59"/>
    <x v="279"/>
    <n v="1"/>
    <n v="1.7"/>
    <n v="0"/>
    <n v="0"/>
    <n v="1.7"/>
    <x v="266"/>
    <x v="0"/>
    <x v="1400"/>
    <x v="792"/>
    <n v="10"/>
    <e v="#N/A"/>
    <e v="#N/A"/>
  </r>
  <r>
    <n v="2742"/>
    <d v="2016-01-28T12:23:51"/>
    <d v="2016-01-28T12:38:51"/>
    <x v="2"/>
    <m/>
    <m/>
    <x v="1"/>
    <n v="70805"/>
    <n v="3.2325320282585399"/>
    <d v="2016-01-28T12:55:00"/>
    <n v="11.59"/>
    <x v="987"/>
    <n v="1"/>
    <n v="1.7"/>
    <n v="0"/>
    <n v="0"/>
    <n v="1.7"/>
    <x v="974"/>
    <x v="1"/>
    <x v="1401"/>
    <x v="0"/>
    <n v="10"/>
    <e v="#N/A"/>
    <e v="#N/A"/>
  </r>
  <r>
    <n v="2743"/>
    <d v="2016-01-28T12:56:30"/>
    <d v="2016-01-28T13:11:32"/>
    <x v="0"/>
    <s v="Medium"/>
    <m/>
    <x v="1"/>
    <n v="70804"/>
    <n v="2.8255859388399398"/>
    <d v="2016-01-28T13:25:39"/>
    <n v="19.579999999999998"/>
    <x v="83"/>
    <n v="2"/>
    <n v="1"/>
    <n v="1.7"/>
    <n v="0"/>
    <n v="2.7"/>
    <x v="74"/>
    <x v="0"/>
    <x v="1402"/>
    <x v="793"/>
    <n v="7"/>
    <n v="10"/>
    <e v="#N/A"/>
  </r>
  <r>
    <n v="2744"/>
    <d v="2016-01-28T12:03:31"/>
    <d v="2016-01-28T12:18:30"/>
    <x v="0"/>
    <s v="Medium"/>
    <m/>
    <x v="1"/>
    <n v="70803"/>
    <n v="2.54592942638121"/>
    <d v="2016-01-28T12:31:13"/>
    <n v="19.579999999999998"/>
    <x v="988"/>
    <n v="2"/>
    <n v="1"/>
    <n v="1.7"/>
    <n v="0"/>
    <n v="2.7"/>
    <x v="975"/>
    <x v="0"/>
    <x v="1403"/>
    <x v="794"/>
    <n v="7"/>
    <n v="10"/>
    <e v="#N/A"/>
  </r>
  <r>
    <n v="2745"/>
    <d v="2016-01-28T12:24:52"/>
    <d v="2016-01-28T12:39:51"/>
    <x v="1"/>
    <m/>
    <m/>
    <x v="0"/>
    <n v="70804"/>
    <n v="0"/>
    <d v="2016-01-28T12:42:52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2746"/>
    <d v="2016-01-28T10:58:38"/>
    <d v="2016-01-28T11:13:37"/>
    <x v="0"/>
    <s v="Large"/>
    <m/>
    <x v="1"/>
    <n v="70806"/>
    <n v="4.20258182154432"/>
    <d v="2016-01-28T11:34:37"/>
    <n v="23.34"/>
    <x v="88"/>
    <n v="2"/>
    <n v="1"/>
    <n v="2.2999999999999998"/>
    <n v="0"/>
    <n v="3.3"/>
    <x v="79"/>
    <x v="1"/>
    <x v="1404"/>
    <x v="0"/>
    <n v="7"/>
    <n v="14"/>
    <e v="#N/A"/>
  </r>
  <r>
    <n v="2747"/>
    <d v="2016-01-28T12:50:44"/>
    <d v="2016-01-28T13:05:44"/>
    <x v="1"/>
    <m/>
    <m/>
    <x v="1"/>
    <n v="70806"/>
    <n v="2.40366166801644"/>
    <d v="2016-01-28T13:17:45"/>
    <n v="15.35"/>
    <x v="425"/>
    <n v="1"/>
    <n v="2.2999999999999998"/>
    <n v="0"/>
    <n v="0"/>
    <n v="2.2999999999999998"/>
    <x v="412"/>
    <x v="0"/>
    <x v="1405"/>
    <x v="795"/>
    <n v="14"/>
    <e v="#N/A"/>
    <e v="#N/A"/>
  </r>
  <r>
    <n v="2748"/>
    <d v="2016-01-28T11:27:26"/>
    <d v="2016-01-28T11:42:25"/>
    <x v="2"/>
    <m/>
    <m/>
    <x v="0"/>
    <n v="70804"/>
    <n v="0"/>
    <d v="2016-01-28T11:45:24"/>
    <n v="11.59"/>
    <x v="1"/>
    <n v="1"/>
    <n v="1.7"/>
    <n v="0"/>
    <n v="0"/>
    <n v="1.7"/>
    <x v="0"/>
    <x v="0"/>
    <x v="0"/>
    <x v="0"/>
    <n v="10"/>
    <e v="#N/A"/>
    <e v="#N/A"/>
  </r>
  <r>
    <n v="2749"/>
    <d v="2016-01-28T10:29:11"/>
    <d v="2016-01-28T10:44:12"/>
    <x v="2"/>
    <m/>
    <m/>
    <x v="1"/>
    <n v="70804"/>
    <n v="1.2236016430497301"/>
    <d v="2016-01-28T10:50:19"/>
    <n v="11.59"/>
    <x v="560"/>
    <n v="1"/>
    <n v="1.7"/>
    <n v="0"/>
    <n v="0"/>
    <n v="1.7"/>
    <x v="547"/>
    <x v="0"/>
    <x v="1406"/>
    <x v="796"/>
    <n v="10"/>
    <e v="#N/A"/>
    <e v="#N/A"/>
  </r>
  <r>
    <n v="2750"/>
    <d v="2016-01-28T11:57:24"/>
    <d v="2016-01-28T12:12:24"/>
    <x v="2"/>
    <m/>
    <m/>
    <x v="0"/>
    <n v="70807"/>
    <n v="0"/>
    <d v="2016-01-28T12:15:24"/>
    <n v="11.59"/>
    <x v="2"/>
    <n v="1"/>
    <n v="1.7"/>
    <n v="0"/>
    <n v="0"/>
    <n v="1.7"/>
    <x v="0"/>
    <x v="0"/>
    <x v="0"/>
    <x v="0"/>
    <n v="10"/>
    <e v="#N/A"/>
    <e v="#N/A"/>
  </r>
  <r>
    <n v="2751"/>
    <d v="2016-01-28T12:47:03"/>
    <d v="2016-01-28T13:02:01"/>
    <x v="1"/>
    <m/>
    <m/>
    <x v="1"/>
    <n v="70807"/>
    <n v="1.7129930634442601"/>
    <d v="2016-01-28T13:10:34"/>
    <n v="15.35"/>
    <x v="697"/>
    <n v="1"/>
    <n v="2.2999999999999998"/>
    <n v="0"/>
    <n v="0"/>
    <n v="2.2999999999999998"/>
    <x v="684"/>
    <x v="0"/>
    <x v="1407"/>
    <x v="797"/>
    <n v="14"/>
    <e v="#N/A"/>
    <e v="#N/A"/>
  </r>
  <r>
    <n v="2752"/>
    <d v="2016-01-28T12:15:19"/>
    <d v="2016-01-28T12:30:18"/>
    <x v="0"/>
    <s v="Large"/>
    <m/>
    <x v="1"/>
    <n v="70807"/>
    <n v="4.1449381602892403"/>
    <d v="2016-01-28T12:51:01"/>
    <n v="23.34"/>
    <x v="92"/>
    <n v="2"/>
    <n v="1"/>
    <n v="2.2999999999999998"/>
    <n v="0"/>
    <n v="3.3"/>
    <x v="83"/>
    <x v="1"/>
    <x v="1408"/>
    <x v="0"/>
    <n v="7"/>
    <n v="14"/>
    <e v="#N/A"/>
  </r>
  <r>
    <n v="2753"/>
    <d v="2016-01-28T13:32:40"/>
    <d v="2016-01-28T13:47:40"/>
    <x v="0"/>
    <m/>
    <m/>
    <x v="0"/>
    <n v="70805"/>
    <n v="0"/>
    <d v="2016-01-28T13:50:39"/>
    <n v="7.99"/>
    <x v="24"/>
    <n v="1"/>
    <n v="1"/>
    <n v="0"/>
    <n v="0"/>
    <n v="1"/>
    <x v="0"/>
    <x v="0"/>
    <x v="0"/>
    <x v="0"/>
    <n v="7"/>
    <e v="#N/A"/>
    <e v="#N/A"/>
  </r>
  <r>
    <n v="2754"/>
    <d v="2016-01-28T10:22:16"/>
    <d v="2016-01-28T10:37:16"/>
    <x v="0"/>
    <m/>
    <m/>
    <x v="1"/>
    <n v="70803"/>
    <n v="2.7540944801021499"/>
    <d v="2016-01-28T10:51:02"/>
    <n v="7.99"/>
    <x v="682"/>
    <n v="1"/>
    <n v="1"/>
    <n v="0"/>
    <n v="0"/>
    <n v="1"/>
    <x v="669"/>
    <x v="0"/>
    <x v="1409"/>
    <x v="798"/>
    <n v="7"/>
    <e v="#N/A"/>
    <e v="#N/A"/>
  </r>
  <r>
    <n v="2755"/>
    <d v="2016-01-28T10:30:18"/>
    <d v="2016-01-28T10:45:18"/>
    <x v="0"/>
    <s v="Large"/>
    <m/>
    <x v="0"/>
    <n v="70806"/>
    <n v="0"/>
    <d v="2016-01-28T10:48:18"/>
    <n v="23.34"/>
    <x v="2"/>
    <n v="2"/>
    <n v="1"/>
    <n v="2.2999999999999998"/>
    <n v="0"/>
    <n v="3.3"/>
    <x v="0"/>
    <x v="0"/>
    <x v="0"/>
    <x v="0"/>
    <n v="7"/>
    <n v="14"/>
    <e v="#N/A"/>
  </r>
  <r>
    <n v="2756"/>
    <d v="2016-01-28T10:29:18"/>
    <d v="2016-01-28T10:44:17"/>
    <x v="0"/>
    <m/>
    <m/>
    <x v="0"/>
    <n v="70804"/>
    <n v="0"/>
    <d v="2016-01-28T10:47:15"/>
    <n v="7.99"/>
    <x v="0"/>
    <n v="1"/>
    <n v="1"/>
    <n v="0"/>
    <n v="0"/>
    <n v="1"/>
    <x v="0"/>
    <x v="0"/>
    <x v="0"/>
    <x v="0"/>
    <n v="7"/>
    <e v="#N/A"/>
    <e v="#N/A"/>
  </r>
  <r>
    <n v="2757"/>
    <d v="2016-01-28T11:33:14"/>
    <d v="2016-01-28T11:48:12"/>
    <x v="1"/>
    <m/>
    <m/>
    <x v="1"/>
    <n v="70805"/>
    <n v="1.7354973954922099"/>
    <d v="2016-01-28T11:56:52"/>
    <n v="15.35"/>
    <x v="798"/>
    <n v="1"/>
    <n v="2.2999999999999998"/>
    <n v="0"/>
    <n v="0"/>
    <n v="2.2999999999999998"/>
    <x v="785"/>
    <x v="0"/>
    <x v="1410"/>
    <x v="799"/>
    <n v="14"/>
    <e v="#N/A"/>
    <e v="#N/A"/>
  </r>
  <r>
    <n v="2758"/>
    <d v="2016-01-28T13:17:11"/>
    <d v="2016-01-28T13:32:10"/>
    <x v="2"/>
    <m/>
    <m/>
    <x v="1"/>
    <n v="70806"/>
    <n v="3.8818538063422099"/>
    <d v="2016-01-28T13:51:34"/>
    <n v="11.59"/>
    <x v="989"/>
    <n v="1"/>
    <n v="1.7"/>
    <n v="0"/>
    <n v="0"/>
    <n v="1.7"/>
    <x v="976"/>
    <x v="1"/>
    <x v="1411"/>
    <x v="0"/>
    <n v="10"/>
    <e v="#N/A"/>
    <e v="#N/A"/>
  </r>
  <r>
    <n v="2759"/>
    <d v="2016-01-28T12:15:26"/>
    <d v="2016-01-28T12:30:26"/>
    <x v="2"/>
    <m/>
    <m/>
    <x v="1"/>
    <n v="70804"/>
    <n v="4.0354731972781304"/>
    <d v="2016-01-28T12:50:36"/>
    <n v="11.59"/>
    <x v="990"/>
    <n v="1"/>
    <n v="1.7"/>
    <n v="0"/>
    <n v="0"/>
    <n v="1.7"/>
    <x v="977"/>
    <x v="1"/>
    <x v="1412"/>
    <x v="0"/>
    <n v="10"/>
    <e v="#N/A"/>
    <e v="#N/A"/>
  </r>
  <r>
    <n v="2760"/>
    <d v="2016-01-28T13:03:08"/>
    <d v="2016-01-28T13:18:08"/>
    <x v="2"/>
    <m/>
    <m/>
    <x v="1"/>
    <n v="70807"/>
    <n v="3.1633063437408699"/>
    <d v="2016-01-28T13:33:56"/>
    <n v="11.59"/>
    <x v="991"/>
    <n v="1"/>
    <n v="1.7"/>
    <n v="0"/>
    <n v="0"/>
    <n v="1.7"/>
    <x v="978"/>
    <x v="0"/>
    <x v="1413"/>
    <x v="800"/>
    <n v="10"/>
    <e v="#N/A"/>
    <e v="#N/A"/>
  </r>
  <r>
    <n v="2761"/>
    <d v="2016-01-28T11:29:25"/>
    <d v="2016-01-28T11:44:23"/>
    <x v="0"/>
    <m/>
    <m/>
    <x v="0"/>
    <n v="70806"/>
    <n v="0"/>
    <d v="2016-01-28T11:47:22"/>
    <n v="7.99"/>
    <x v="1"/>
    <n v="1"/>
    <n v="1"/>
    <n v="0"/>
    <n v="0"/>
    <n v="1"/>
    <x v="0"/>
    <x v="0"/>
    <x v="0"/>
    <x v="0"/>
    <n v="7"/>
    <e v="#N/A"/>
    <e v="#N/A"/>
  </r>
  <r>
    <n v="2762"/>
    <d v="2016-01-28T12:54:24"/>
    <d v="2016-01-28T13:09:26"/>
    <x v="1"/>
    <m/>
    <m/>
    <x v="1"/>
    <n v="70805"/>
    <n v="3.7990643927733898"/>
    <d v="2016-01-28T13:28:25"/>
    <n v="15.35"/>
    <x v="992"/>
    <n v="1"/>
    <n v="2.2999999999999998"/>
    <n v="0"/>
    <n v="0"/>
    <n v="2.2999999999999998"/>
    <x v="979"/>
    <x v="1"/>
    <x v="1414"/>
    <x v="0"/>
    <n v="14"/>
    <e v="#N/A"/>
    <e v="#N/A"/>
  </r>
  <r>
    <n v="2763"/>
    <d v="2016-01-28T12:08:04"/>
    <d v="2016-01-28T12:23:04"/>
    <x v="1"/>
    <m/>
    <m/>
    <x v="0"/>
    <n v="70806"/>
    <n v="0"/>
    <d v="2016-01-28T12:26:04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2764"/>
    <d v="2016-01-28T12:53:05"/>
    <d v="2016-01-28T13:08:03"/>
    <x v="0"/>
    <s v="Large"/>
    <m/>
    <x v="1"/>
    <n v="70804"/>
    <n v="2.9475806340254902"/>
    <d v="2016-01-28T13:22:47"/>
    <n v="23.34"/>
    <x v="993"/>
    <n v="2"/>
    <n v="1"/>
    <n v="2.2999999999999998"/>
    <n v="0"/>
    <n v="3.3"/>
    <x v="980"/>
    <x v="0"/>
    <x v="1415"/>
    <x v="801"/>
    <n v="7"/>
    <n v="14"/>
    <e v="#N/A"/>
  </r>
  <r>
    <n v="2765"/>
    <d v="2016-01-28T10:12:18"/>
    <d v="2016-01-28T10:27:17"/>
    <x v="1"/>
    <m/>
    <m/>
    <x v="0"/>
    <n v="70807"/>
    <n v="0"/>
    <d v="2016-01-28T10:30:15"/>
    <n v="15.35"/>
    <x v="19"/>
    <n v="1"/>
    <n v="2.2999999999999998"/>
    <n v="0"/>
    <n v="0"/>
    <n v="2.2999999999999998"/>
    <x v="0"/>
    <x v="0"/>
    <x v="0"/>
    <x v="0"/>
    <n v="14"/>
    <e v="#N/A"/>
    <e v="#N/A"/>
  </r>
  <r>
    <n v="2766"/>
    <d v="2016-01-28T13:32:38"/>
    <d v="2016-01-28T13:47:37"/>
    <x v="0"/>
    <s v="Medium"/>
    <m/>
    <x v="0"/>
    <n v="70805"/>
    <n v="0"/>
    <d v="2016-01-28T13:50:35"/>
    <n v="19.579999999999998"/>
    <x v="0"/>
    <n v="2"/>
    <n v="1"/>
    <n v="1.7"/>
    <n v="0"/>
    <n v="2.7"/>
    <x v="0"/>
    <x v="0"/>
    <x v="0"/>
    <x v="0"/>
    <n v="7"/>
    <n v="10"/>
    <e v="#N/A"/>
  </r>
  <r>
    <n v="2767"/>
    <d v="2016-01-28T13:37:49"/>
    <d v="2016-01-28T13:52:49"/>
    <x v="0"/>
    <s v="Large"/>
    <m/>
    <x v="0"/>
    <n v="70803"/>
    <n v="0"/>
    <d v="2016-01-28T13:55:49"/>
    <n v="23.34"/>
    <x v="2"/>
    <n v="2"/>
    <n v="1"/>
    <n v="2.2999999999999998"/>
    <n v="0"/>
    <n v="3.3"/>
    <x v="0"/>
    <x v="0"/>
    <x v="0"/>
    <x v="0"/>
    <n v="7"/>
    <n v="14"/>
    <e v="#N/A"/>
  </r>
  <r>
    <n v="2768"/>
    <d v="2016-01-28T12:17:23"/>
    <d v="2016-01-28T12:32:22"/>
    <x v="0"/>
    <m/>
    <m/>
    <x v="1"/>
    <n v="70805"/>
    <n v="2.9512750913024099"/>
    <d v="2016-01-28T12:47:07"/>
    <n v="7.99"/>
    <x v="346"/>
    <n v="1"/>
    <n v="1"/>
    <n v="0"/>
    <n v="0"/>
    <n v="1"/>
    <x v="333"/>
    <x v="0"/>
    <x v="1416"/>
    <x v="802"/>
    <n v="7"/>
    <e v="#N/A"/>
    <e v="#N/A"/>
  </r>
  <r>
    <n v="2769"/>
    <d v="2016-01-28T10:35:22"/>
    <d v="2016-01-28T10:50:22"/>
    <x v="0"/>
    <s v="Medium"/>
    <m/>
    <x v="1"/>
    <n v="70806"/>
    <n v="2.7045699507664098"/>
    <d v="2016-01-28T11:03:53"/>
    <n v="19.579999999999998"/>
    <x v="452"/>
    <n v="2"/>
    <n v="1"/>
    <n v="1.7"/>
    <n v="0"/>
    <n v="2.7"/>
    <x v="439"/>
    <x v="0"/>
    <x v="1417"/>
    <x v="803"/>
    <n v="7"/>
    <n v="10"/>
    <e v="#N/A"/>
  </r>
  <r>
    <n v="2770"/>
    <d v="2016-01-28T12:13:35"/>
    <d v="2016-01-28T12:28:35"/>
    <x v="0"/>
    <s v="Medium"/>
    <m/>
    <x v="0"/>
    <n v="70805"/>
    <n v="0"/>
    <d v="2016-01-28T12:31:35"/>
    <n v="19.579999999999998"/>
    <x v="2"/>
    <n v="2"/>
    <n v="1"/>
    <n v="1.7"/>
    <n v="0"/>
    <n v="2.7"/>
    <x v="0"/>
    <x v="0"/>
    <x v="0"/>
    <x v="0"/>
    <n v="7"/>
    <n v="10"/>
    <e v="#N/A"/>
  </r>
  <r>
    <n v="2771"/>
    <d v="2016-01-28T11:31:23"/>
    <d v="2016-01-28T11:46:23"/>
    <x v="0"/>
    <m/>
    <m/>
    <x v="0"/>
    <n v="70806"/>
    <n v="0"/>
    <d v="2016-01-28T11:49:24"/>
    <n v="7.99"/>
    <x v="56"/>
    <n v="1"/>
    <n v="1"/>
    <n v="0"/>
    <n v="0"/>
    <n v="1"/>
    <x v="0"/>
    <x v="0"/>
    <x v="0"/>
    <x v="0"/>
    <n v="7"/>
    <e v="#N/A"/>
    <e v="#N/A"/>
  </r>
  <r>
    <n v="2772"/>
    <d v="2016-01-28T12:22:51"/>
    <d v="2016-01-28T12:37:50"/>
    <x v="1"/>
    <m/>
    <m/>
    <x v="1"/>
    <n v="70805"/>
    <n v="2.1413006793343499"/>
    <d v="2016-01-28T12:48:32"/>
    <n v="15.35"/>
    <x v="939"/>
    <n v="1"/>
    <n v="2.2999999999999998"/>
    <n v="0"/>
    <n v="0"/>
    <n v="2.2999999999999998"/>
    <x v="926"/>
    <x v="0"/>
    <x v="1418"/>
    <x v="804"/>
    <n v="14"/>
    <e v="#N/A"/>
    <e v="#N/A"/>
  </r>
  <r>
    <n v="2773"/>
    <d v="2016-01-28T12:39:10"/>
    <d v="2016-01-28T12:54:10"/>
    <x v="1"/>
    <m/>
    <m/>
    <x v="0"/>
    <n v="70808"/>
    <n v="0"/>
    <d v="2016-01-28T12:57:09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2774"/>
    <d v="2016-01-28T12:46:08"/>
    <d v="2016-01-28T13:01:08"/>
    <x v="0"/>
    <s v="Medium"/>
    <m/>
    <x v="0"/>
    <n v="70804"/>
    <n v="0"/>
    <d v="2016-01-28T13:04:07"/>
    <n v="19.579999999999998"/>
    <x v="24"/>
    <n v="2"/>
    <n v="1"/>
    <n v="1.7"/>
    <n v="0"/>
    <n v="2.7"/>
    <x v="0"/>
    <x v="0"/>
    <x v="0"/>
    <x v="0"/>
    <n v="7"/>
    <n v="10"/>
    <e v="#N/A"/>
  </r>
  <r>
    <n v="2775"/>
    <d v="2016-01-28T10:19:52"/>
    <d v="2016-01-28T10:34:52"/>
    <x v="1"/>
    <m/>
    <m/>
    <x v="1"/>
    <n v="70804"/>
    <n v="1.6209442742253699"/>
    <d v="2016-01-28T10:42:58"/>
    <n v="15.35"/>
    <x v="994"/>
    <n v="1"/>
    <n v="2.2999999999999998"/>
    <n v="0"/>
    <n v="0"/>
    <n v="2.2999999999999998"/>
    <x v="981"/>
    <x v="0"/>
    <x v="1419"/>
    <x v="805"/>
    <n v="14"/>
    <e v="#N/A"/>
    <e v="#N/A"/>
  </r>
  <r>
    <n v="2776"/>
    <d v="2016-01-28T11:43:36"/>
    <d v="2016-01-28T11:58:35"/>
    <x v="0"/>
    <s v="Large"/>
    <m/>
    <x v="0"/>
    <n v="70804"/>
    <n v="0"/>
    <d v="2016-01-28T12:01:34"/>
    <n v="23.34"/>
    <x v="24"/>
    <n v="2"/>
    <n v="1"/>
    <n v="2.2999999999999998"/>
    <n v="0"/>
    <n v="3.3"/>
    <x v="0"/>
    <x v="0"/>
    <x v="0"/>
    <x v="0"/>
    <n v="7"/>
    <n v="14"/>
    <e v="#N/A"/>
  </r>
  <r>
    <n v="2777"/>
    <d v="2016-01-28T11:37:36"/>
    <d v="2016-01-28T11:52:35"/>
    <x v="0"/>
    <s v="Large"/>
    <m/>
    <x v="1"/>
    <n v="70805"/>
    <n v="2.6971221360794302"/>
    <d v="2016-01-28T12:06:04"/>
    <n v="23.34"/>
    <x v="995"/>
    <n v="2"/>
    <n v="1"/>
    <n v="2.2999999999999998"/>
    <n v="0"/>
    <n v="3.3"/>
    <x v="982"/>
    <x v="0"/>
    <x v="1420"/>
    <x v="806"/>
    <n v="7"/>
    <n v="14"/>
    <e v="#N/A"/>
  </r>
  <r>
    <n v="2778"/>
    <d v="2016-01-28T10:09:22"/>
    <d v="2016-01-28T10:24:22"/>
    <x v="0"/>
    <m/>
    <m/>
    <x v="0"/>
    <n v="70804"/>
    <n v="0"/>
    <d v="2016-01-28T10:27:20"/>
    <n v="7.99"/>
    <x v="19"/>
    <n v="1"/>
    <n v="1"/>
    <n v="0"/>
    <n v="0"/>
    <n v="1"/>
    <x v="0"/>
    <x v="0"/>
    <x v="0"/>
    <x v="0"/>
    <n v="7"/>
    <e v="#N/A"/>
    <e v="#N/A"/>
  </r>
  <r>
    <n v="2779"/>
    <d v="2016-01-28T10:14:56"/>
    <d v="2016-01-28T10:29:55"/>
    <x v="0"/>
    <s v="Large"/>
    <m/>
    <x v="0"/>
    <n v="70806"/>
    <n v="0"/>
    <d v="2016-01-28T10:32:55"/>
    <n v="23.34"/>
    <x v="2"/>
    <n v="2"/>
    <n v="1"/>
    <n v="2.2999999999999998"/>
    <n v="0"/>
    <n v="3.3"/>
    <x v="0"/>
    <x v="0"/>
    <x v="0"/>
    <x v="0"/>
    <n v="7"/>
    <n v="14"/>
    <e v="#N/A"/>
  </r>
  <r>
    <n v="2780"/>
    <d v="2016-01-28T12:40:48"/>
    <d v="2016-01-28T12:55:49"/>
    <x v="2"/>
    <m/>
    <m/>
    <x v="0"/>
    <n v="70804"/>
    <n v="0"/>
    <d v="2016-01-28T12:58:50"/>
    <n v="11.59"/>
    <x v="56"/>
    <n v="1"/>
    <n v="1.7"/>
    <n v="0"/>
    <n v="0"/>
    <n v="1.7"/>
    <x v="0"/>
    <x v="0"/>
    <x v="0"/>
    <x v="0"/>
    <n v="10"/>
    <e v="#N/A"/>
    <e v="#N/A"/>
  </r>
  <r>
    <n v="2781"/>
    <d v="2016-01-28T13:33:54"/>
    <d v="2016-01-28T13:48:54"/>
    <x v="0"/>
    <s v="Medium"/>
    <m/>
    <x v="0"/>
    <n v="70803"/>
    <n v="0"/>
    <d v="2016-01-28T13:51:55"/>
    <n v="19.579999999999998"/>
    <x v="14"/>
    <n v="2"/>
    <n v="1"/>
    <n v="1.7"/>
    <n v="0"/>
    <n v="2.7"/>
    <x v="0"/>
    <x v="0"/>
    <x v="0"/>
    <x v="0"/>
    <n v="7"/>
    <n v="10"/>
    <e v="#N/A"/>
  </r>
  <r>
    <n v="2782"/>
    <d v="2016-01-28T11:23:41"/>
    <d v="2016-01-28T11:38:40"/>
    <x v="0"/>
    <m/>
    <m/>
    <x v="1"/>
    <n v="70805"/>
    <n v="3.2916909132853398"/>
    <d v="2016-01-28T11:55:07"/>
    <n v="7.99"/>
    <x v="352"/>
    <n v="1"/>
    <n v="1"/>
    <n v="0"/>
    <n v="0"/>
    <n v="1"/>
    <x v="339"/>
    <x v="1"/>
    <x v="1421"/>
    <x v="0"/>
    <n v="7"/>
    <e v="#N/A"/>
    <e v="#N/A"/>
  </r>
  <r>
    <n v="2783"/>
    <d v="2016-01-28T13:03:17"/>
    <d v="2016-01-28T13:18:17"/>
    <x v="2"/>
    <m/>
    <m/>
    <x v="0"/>
    <n v="70806"/>
    <n v="0"/>
    <d v="2016-01-28T13:21:15"/>
    <n v="11.59"/>
    <x v="0"/>
    <n v="1"/>
    <n v="1.7"/>
    <n v="0"/>
    <n v="0"/>
    <n v="1.7"/>
    <x v="0"/>
    <x v="0"/>
    <x v="0"/>
    <x v="0"/>
    <n v="10"/>
    <e v="#N/A"/>
    <e v="#N/A"/>
  </r>
  <r>
    <n v="2784"/>
    <d v="2016-01-28T12:15:27"/>
    <d v="2016-01-28T12:30:26"/>
    <x v="0"/>
    <s v="Medium"/>
    <m/>
    <x v="0"/>
    <n v="70806"/>
    <n v="0"/>
    <d v="2016-01-28T12:33:26"/>
    <n v="19.579999999999998"/>
    <x v="2"/>
    <n v="2"/>
    <n v="1"/>
    <n v="1.7"/>
    <n v="0"/>
    <n v="2.7"/>
    <x v="0"/>
    <x v="0"/>
    <x v="0"/>
    <x v="0"/>
    <n v="7"/>
    <n v="10"/>
    <e v="#N/A"/>
  </r>
  <r>
    <n v="2785"/>
    <d v="2016-01-28T11:08:24"/>
    <d v="2016-01-28T11:23:22"/>
    <x v="0"/>
    <m/>
    <m/>
    <x v="1"/>
    <n v="70803"/>
    <n v="3.8905615440388002"/>
    <d v="2016-01-28T11:42:49"/>
    <n v="7.99"/>
    <x v="225"/>
    <n v="1"/>
    <n v="1"/>
    <n v="0"/>
    <n v="0"/>
    <n v="1"/>
    <x v="213"/>
    <x v="1"/>
    <x v="1422"/>
    <x v="0"/>
    <n v="7"/>
    <e v="#N/A"/>
    <e v="#N/A"/>
  </r>
  <r>
    <n v="2786"/>
    <d v="2016-01-28T13:28:46"/>
    <d v="2016-01-28T13:43:46"/>
    <x v="0"/>
    <s v="Large"/>
    <m/>
    <x v="0"/>
    <n v="70804"/>
    <n v="0"/>
    <d v="2016-01-28T13:46:44"/>
    <n v="23.34"/>
    <x v="0"/>
    <n v="2"/>
    <n v="1"/>
    <n v="2.2999999999999998"/>
    <n v="0"/>
    <n v="3.3"/>
    <x v="0"/>
    <x v="0"/>
    <x v="0"/>
    <x v="0"/>
    <n v="7"/>
    <n v="14"/>
    <e v="#N/A"/>
  </r>
  <r>
    <n v="2787"/>
    <d v="2016-01-29T12:08:28"/>
    <d v="2016-01-29T12:23:28"/>
    <x v="0"/>
    <s v="Medium"/>
    <m/>
    <x v="1"/>
    <n v="70806"/>
    <n v="1.9551399655433499"/>
    <d v="2016-01-29T12:33:14"/>
    <n v="19.579999999999998"/>
    <x v="692"/>
    <n v="2"/>
    <n v="1"/>
    <n v="1.7"/>
    <n v="0"/>
    <n v="2.7"/>
    <x v="679"/>
    <x v="0"/>
    <x v="1423"/>
    <x v="807"/>
    <n v="7"/>
    <n v="10"/>
    <e v="#N/A"/>
  </r>
  <r>
    <n v="2788"/>
    <d v="2016-01-29T13:33:36"/>
    <d v="2016-01-29T13:48:35"/>
    <x v="0"/>
    <s v="Large"/>
    <m/>
    <x v="0"/>
    <n v="70805"/>
    <n v="0"/>
    <d v="2016-01-29T13:51:34"/>
    <n v="23.34"/>
    <x v="1"/>
    <n v="2"/>
    <n v="1"/>
    <n v="2.2999999999999998"/>
    <n v="0"/>
    <n v="3.3"/>
    <x v="0"/>
    <x v="0"/>
    <x v="0"/>
    <x v="0"/>
    <n v="7"/>
    <n v="14"/>
    <e v="#N/A"/>
  </r>
  <r>
    <n v="2789"/>
    <d v="2016-01-29T11:17:19"/>
    <d v="2016-01-29T11:32:18"/>
    <x v="0"/>
    <s v="Medium"/>
    <m/>
    <x v="0"/>
    <n v="70805"/>
    <n v="0"/>
    <d v="2016-01-29T11:35:17"/>
    <n v="19.579999999999998"/>
    <x v="24"/>
    <n v="2"/>
    <n v="1"/>
    <n v="1.7"/>
    <n v="0"/>
    <n v="2.7"/>
    <x v="0"/>
    <x v="0"/>
    <x v="0"/>
    <x v="0"/>
    <n v="7"/>
    <n v="10"/>
    <e v="#N/A"/>
  </r>
  <r>
    <n v="2790"/>
    <d v="2016-01-29T11:00:47"/>
    <d v="2016-01-29T11:15:46"/>
    <x v="2"/>
    <m/>
    <m/>
    <x v="0"/>
    <n v="70803"/>
    <n v="0"/>
    <d v="2016-01-29T11:18:46"/>
    <n v="11.59"/>
    <x v="2"/>
    <n v="1"/>
    <n v="1.7"/>
    <n v="0"/>
    <n v="0"/>
    <n v="1.7"/>
    <x v="0"/>
    <x v="0"/>
    <x v="0"/>
    <x v="0"/>
    <n v="10"/>
    <e v="#N/A"/>
    <e v="#N/A"/>
  </r>
  <r>
    <n v="2791"/>
    <d v="2016-01-29T11:24:44"/>
    <d v="2016-01-29T11:39:44"/>
    <x v="1"/>
    <m/>
    <m/>
    <x v="1"/>
    <n v="70806"/>
    <n v="1.8721084615458199"/>
    <d v="2016-01-29T11:49:05"/>
    <n v="15.35"/>
    <x v="804"/>
    <n v="1"/>
    <n v="2.2999999999999998"/>
    <n v="0"/>
    <n v="0"/>
    <n v="2.2999999999999998"/>
    <x v="791"/>
    <x v="0"/>
    <x v="1424"/>
    <x v="808"/>
    <n v="14"/>
    <e v="#N/A"/>
    <e v="#N/A"/>
  </r>
  <r>
    <n v="2792"/>
    <d v="2016-01-29T12:09:26"/>
    <d v="2016-01-29T12:24:26"/>
    <x v="0"/>
    <s v="Medium"/>
    <m/>
    <x v="0"/>
    <n v="70804"/>
    <n v="0"/>
    <d v="2016-01-29T12:27:26"/>
    <n v="19.579999999999998"/>
    <x v="2"/>
    <n v="2"/>
    <n v="1"/>
    <n v="1.7"/>
    <n v="0"/>
    <n v="2.7"/>
    <x v="0"/>
    <x v="0"/>
    <x v="0"/>
    <x v="0"/>
    <n v="7"/>
    <n v="10"/>
    <e v="#N/A"/>
  </r>
  <r>
    <n v="2793"/>
    <d v="2016-01-29T12:45:15"/>
    <d v="2016-01-29T13:00:14"/>
    <x v="0"/>
    <m/>
    <m/>
    <x v="0"/>
    <n v="70806"/>
    <n v="0"/>
    <d v="2016-01-29T13:03:14"/>
    <n v="7.99"/>
    <x v="2"/>
    <n v="1"/>
    <n v="1"/>
    <n v="0"/>
    <n v="0"/>
    <n v="1"/>
    <x v="0"/>
    <x v="0"/>
    <x v="0"/>
    <x v="0"/>
    <n v="7"/>
    <e v="#N/A"/>
    <e v="#N/A"/>
  </r>
  <r>
    <n v="2794"/>
    <d v="2016-01-29T11:42:16"/>
    <d v="2016-01-29T11:57:15"/>
    <x v="2"/>
    <m/>
    <m/>
    <x v="0"/>
    <n v="70803"/>
    <n v="0"/>
    <d v="2016-01-29T12:00:14"/>
    <n v="11.59"/>
    <x v="1"/>
    <n v="1"/>
    <n v="1.7"/>
    <n v="0"/>
    <n v="0"/>
    <n v="1.7"/>
    <x v="0"/>
    <x v="0"/>
    <x v="0"/>
    <x v="0"/>
    <n v="10"/>
    <e v="#N/A"/>
    <e v="#N/A"/>
  </r>
  <r>
    <n v="2795"/>
    <d v="2016-01-29T13:10:47"/>
    <d v="2016-01-29T13:25:47"/>
    <x v="1"/>
    <m/>
    <m/>
    <x v="0"/>
    <n v="70804"/>
    <n v="0"/>
    <d v="2016-01-29T13:28:48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2796"/>
    <d v="2016-01-29T11:20:33"/>
    <d v="2016-01-29T11:35:32"/>
    <x v="1"/>
    <m/>
    <m/>
    <x v="1"/>
    <n v="70803"/>
    <n v="2.49648790907785"/>
    <d v="2016-01-29T11:48:00"/>
    <n v="15.35"/>
    <x v="191"/>
    <n v="1"/>
    <n v="2.2999999999999998"/>
    <n v="0"/>
    <n v="0"/>
    <n v="2.2999999999999998"/>
    <x v="179"/>
    <x v="0"/>
    <x v="1425"/>
    <x v="809"/>
    <n v="14"/>
    <e v="#N/A"/>
    <e v="#N/A"/>
  </r>
  <r>
    <n v="2797"/>
    <d v="2016-01-29T11:38:38"/>
    <d v="2016-01-29T11:53:37"/>
    <x v="2"/>
    <m/>
    <m/>
    <x v="1"/>
    <n v="70804"/>
    <n v="2.0269264450299298"/>
    <d v="2016-01-29T12:03:45"/>
    <n v="11.59"/>
    <x v="663"/>
    <n v="1"/>
    <n v="1.7"/>
    <n v="0"/>
    <n v="0"/>
    <n v="1.7"/>
    <x v="650"/>
    <x v="0"/>
    <x v="1426"/>
    <x v="810"/>
    <n v="10"/>
    <e v="#N/A"/>
    <e v="#N/A"/>
  </r>
  <r>
    <n v="2798"/>
    <d v="2016-01-29T12:41:43"/>
    <d v="2016-01-29T12:56:41"/>
    <x v="2"/>
    <m/>
    <m/>
    <x v="1"/>
    <n v="70803"/>
    <n v="2.7470200431039"/>
    <d v="2016-01-29T13:10:25"/>
    <n v="11.59"/>
    <x v="996"/>
    <n v="1"/>
    <n v="1.7"/>
    <n v="0"/>
    <n v="0"/>
    <n v="1.7"/>
    <x v="983"/>
    <x v="0"/>
    <x v="1427"/>
    <x v="811"/>
    <n v="10"/>
    <e v="#N/A"/>
    <e v="#N/A"/>
  </r>
  <r>
    <n v="2799"/>
    <d v="2016-01-29T14:36:48"/>
    <d v="2016-01-29T14:51:47"/>
    <x v="0"/>
    <s v="Medium"/>
    <m/>
    <x v="1"/>
    <n v="70804"/>
    <n v="4.1591798422924899"/>
    <d v="2016-01-29T15:12:34"/>
    <n v="19.579999999999998"/>
    <x v="997"/>
    <n v="2"/>
    <n v="1"/>
    <n v="1.7"/>
    <n v="0"/>
    <n v="2.7"/>
    <x v="984"/>
    <x v="1"/>
    <x v="1428"/>
    <x v="0"/>
    <n v="7"/>
    <n v="10"/>
    <e v="#N/A"/>
  </r>
  <r>
    <n v="2800"/>
    <d v="2016-01-29T11:56:18"/>
    <d v="2016-01-29T12:11:17"/>
    <x v="2"/>
    <m/>
    <m/>
    <x v="0"/>
    <n v="70807"/>
    <n v="0"/>
    <d v="2016-01-29T12:14:16"/>
    <n v="11.59"/>
    <x v="1"/>
    <n v="1"/>
    <n v="1.7"/>
    <n v="0"/>
    <n v="0"/>
    <n v="1.7"/>
    <x v="0"/>
    <x v="0"/>
    <x v="0"/>
    <x v="0"/>
    <n v="10"/>
    <e v="#N/A"/>
    <e v="#N/A"/>
  </r>
  <r>
    <n v="2801"/>
    <d v="2016-01-29T13:17:09"/>
    <d v="2016-01-29T13:32:09"/>
    <x v="1"/>
    <m/>
    <m/>
    <x v="0"/>
    <n v="70804"/>
    <n v="0"/>
    <d v="2016-01-29T13:35:09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2802"/>
    <d v="2016-01-29T12:36:16"/>
    <d v="2016-01-29T12:51:15"/>
    <x v="1"/>
    <m/>
    <m/>
    <x v="0"/>
    <n v="70804"/>
    <n v="0"/>
    <d v="2016-01-29T12:54:13"/>
    <n v="15.35"/>
    <x v="19"/>
    <n v="1"/>
    <n v="2.2999999999999998"/>
    <n v="0"/>
    <n v="0"/>
    <n v="2.2999999999999998"/>
    <x v="0"/>
    <x v="0"/>
    <x v="0"/>
    <x v="0"/>
    <n v="14"/>
    <e v="#N/A"/>
    <e v="#N/A"/>
  </r>
  <r>
    <n v="2803"/>
    <d v="2016-01-29T11:45:08"/>
    <d v="2016-01-29T12:00:08"/>
    <x v="1"/>
    <m/>
    <m/>
    <x v="1"/>
    <n v="70804"/>
    <n v="3.29093702066378"/>
    <d v="2016-01-29T12:16:35"/>
    <n v="15.35"/>
    <x v="352"/>
    <n v="1"/>
    <n v="2.2999999999999998"/>
    <n v="0"/>
    <n v="0"/>
    <n v="2.2999999999999998"/>
    <x v="339"/>
    <x v="1"/>
    <x v="1429"/>
    <x v="0"/>
    <n v="14"/>
    <e v="#N/A"/>
    <e v="#N/A"/>
  </r>
  <r>
    <n v="2804"/>
    <d v="2016-01-29T13:38:57"/>
    <d v="2016-01-29T13:53:56"/>
    <x v="2"/>
    <s v="Large"/>
    <m/>
    <x v="1"/>
    <n v="70805"/>
    <n v="3.9712037307153798"/>
    <d v="2016-01-29T14:13:47"/>
    <n v="25.94"/>
    <x v="645"/>
    <n v="2"/>
    <n v="1.7"/>
    <n v="2.2999999999999998"/>
    <n v="0"/>
    <n v="4"/>
    <x v="632"/>
    <x v="1"/>
    <x v="1430"/>
    <x v="0"/>
    <n v="10"/>
    <n v="14"/>
    <e v="#N/A"/>
  </r>
  <r>
    <n v="2805"/>
    <d v="2016-01-29T10:48:24"/>
    <d v="2016-01-29T11:03:25"/>
    <x v="0"/>
    <s v="Medium"/>
    <m/>
    <x v="0"/>
    <n v="70807"/>
    <n v="0"/>
    <d v="2016-01-29T11:06:22"/>
    <n v="19.579999999999998"/>
    <x v="22"/>
    <n v="2"/>
    <n v="1"/>
    <n v="1.7"/>
    <n v="0"/>
    <n v="2.7"/>
    <x v="0"/>
    <x v="0"/>
    <x v="0"/>
    <x v="0"/>
    <n v="7"/>
    <n v="10"/>
    <e v="#N/A"/>
  </r>
  <r>
    <n v="2806"/>
    <d v="2016-01-29T10:25:49"/>
    <d v="2016-01-29T10:40:48"/>
    <x v="1"/>
    <m/>
    <m/>
    <x v="1"/>
    <n v="70804"/>
    <n v="3.6617913904164499"/>
    <d v="2016-01-29T10:59:06"/>
    <n v="15.35"/>
    <x v="72"/>
    <n v="1"/>
    <n v="2.2999999999999998"/>
    <n v="0"/>
    <n v="0"/>
    <n v="2.2999999999999998"/>
    <x v="63"/>
    <x v="1"/>
    <x v="1431"/>
    <x v="0"/>
    <n v="14"/>
    <e v="#N/A"/>
    <e v="#N/A"/>
  </r>
  <r>
    <n v="2807"/>
    <d v="2016-01-29T12:25:42"/>
    <d v="2016-01-29T12:40:42"/>
    <x v="0"/>
    <s v="Medium"/>
    <m/>
    <x v="1"/>
    <n v="70804"/>
    <n v="2.22315069217108"/>
    <d v="2016-01-29T12:51:48"/>
    <n v="19.579999999999998"/>
    <x v="998"/>
    <n v="2"/>
    <n v="1"/>
    <n v="1.7"/>
    <n v="0"/>
    <n v="2.7"/>
    <x v="985"/>
    <x v="0"/>
    <x v="1432"/>
    <x v="812"/>
    <n v="7"/>
    <n v="10"/>
    <e v="#N/A"/>
  </r>
  <r>
    <n v="2808"/>
    <d v="2016-01-29T11:20:22"/>
    <d v="2016-01-29T11:35:23"/>
    <x v="2"/>
    <m/>
    <m/>
    <x v="0"/>
    <n v="70805"/>
    <n v="0"/>
    <d v="2016-01-29T11:38:23"/>
    <n v="11.59"/>
    <x v="2"/>
    <n v="1"/>
    <n v="1.7"/>
    <n v="0"/>
    <n v="0"/>
    <n v="1.7"/>
    <x v="0"/>
    <x v="0"/>
    <x v="0"/>
    <x v="0"/>
    <n v="10"/>
    <e v="#N/A"/>
    <e v="#N/A"/>
  </r>
  <r>
    <n v="2809"/>
    <d v="2016-01-29T13:43:42"/>
    <d v="2016-01-29T13:58:42"/>
    <x v="0"/>
    <s v="Large"/>
    <m/>
    <x v="0"/>
    <n v="70803"/>
    <n v="0"/>
    <d v="2016-01-29T14:01:42"/>
    <n v="23.34"/>
    <x v="2"/>
    <n v="2"/>
    <n v="1"/>
    <n v="2.2999999999999998"/>
    <n v="0"/>
    <n v="3.3"/>
    <x v="0"/>
    <x v="0"/>
    <x v="0"/>
    <x v="0"/>
    <n v="7"/>
    <n v="14"/>
    <e v="#N/A"/>
  </r>
  <r>
    <n v="2810"/>
    <d v="2016-01-29T11:43:47"/>
    <d v="2016-01-29T11:58:44"/>
    <x v="2"/>
    <m/>
    <m/>
    <x v="0"/>
    <n v="70808"/>
    <n v="0"/>
    <d v="2016-01-29T12:01:42"/>
    <n v="11.59"/>
    <x v="0"/>
    <n v="1"/>
    <n v="1.7"/>
    <n v="0"/>
    <n v="0"/>
    <n v="1.7"/>
    <x v="0"/>
    <x v="0"/>
    <x v="0"/>
    <x v="0"/>
    <n v="10"/>
    <e v="#N/A"/>
    <e v="#N/A"/>
  </r>
  <r>
    <n v="2811"/>
    <d v="2016-01-29T11:24:25"/>
    <d v="2016-01-29T11:39:24"/>
    <x v="0"/>
    <s v="Medium"/>
    <m/>
    <x v="0"/>
    <n v="70804"/>
    <n v="0"/>
    <d v="2016-01-29T11:42:23"/>
    <n v="19.579999999999998"/>
    <x v="24"/>
    <n v="2"/>
    <n v="1"/>
    <n v="1.7"/>
    <n v="0"/>
    <n v="2.7"/>
    <x v="0"/>
    <x v="0"/>
    <x v="0"/>
    <x v="0"/>
    <n v="7"/>
    <n v="10"/>
    <e v="#N/A"/>
  </r>
  <r>
    <n v="2812"/>
    <d v="2016-01-29T13:59:51"/>
    <d v="2016-01-29T14:14:51"/>
    <x v="0"/>
    <s v="Medium"/>
    <m/>
    <x v="0"/>
    <n v="70803"/>
    <n v="0"/>
    <d v="2016-01-29T14:17:51"/>
    <n v="19.579999999999998"/>
    <x v="2"/>
    <n v="2"/>
    <n v="1"/>
    <n v="1.7"/>
    <n v="0"/>
    <n v="2.7"/>
    <x v="0"/>
    <x v="0"/>
    <x v="0"/>
    <x v="0"/>
    <n v="7"/>
    <n v="10"/>
    <e v="#N/A"/>
  </r>
  <r>
    <n v="2813"/>
    <d v="2016-01-29T13:17:17"/>
    <d v="2016-01-29T13:32:16"/>
    <x v="1"/>
    <m/>
    <m/>
    <x v="1"/>
    <n v="70805"/>
    <n v="5.5099600843257504"/>
    <d v="2016-01-29T13:59:48"/>
    <n v="15.35"/>
    <x v="768"/>
    <n v="1"/>
    <n v="2.2999999999999998"/>
    <n v="0"/>
    <n v="0"/>
    <n v="2.2999999999999998"/>
    <x v="755"/>
    <x v="1"/>
    <x v="1433"/>
    <x v="0"/>
    <n v="14"/>
    <e v="#N/A"/>
    <e v="#N/A"/>
  </r>
  <r>
    <n v="2814"/>
    <d v="2016-01-29T11:44:13"/>
    <d v="2016-01-29T11:59:12"/>
    <x v="1"/>
    <m/>
    <m/>
    <x v="0"/>
    <n v="70805"/>
    <n v="0"/>
    <d v="2016-01-29T12:02:11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2815"/>
    <d v="2016-01-29T10:09:35"/>
    <d v="2016-01-29T10:24:34"/>
    <x v="0"/>
    <s v="Medium"/>
    <m/>
    <x v="0"/>
    <n v="70803"/>
    <n v="0"/>
    <d v="2016-01-29T10:27:33"/>
    <n v="19.579999999999998"/>
    <x v="1"/>
    <n v="2"/>
    <n v="1"/>
    <n v="1.7"/>
    <n v="0"/>
    <n v="2.7"/>
    <x v="0"/>
    <x v="0"/>
    <x v="0"/>
    <x v="0"/>
    <n v="7"/>
    <n v="10"/>
    <e v="#N/A"/>
  </r>
  <r>
    <n v="2816"/>
    <d v="2016-01-29T11:40:32"/>
    <d v="2016-01-29T11:55:31"/>
    <x v="0"/>
    <m/>
    <m/>
    <x v="0"/>
    <n v="70805"/>
    <n v="0"/>
    <d v="2016-01-29T11:58:31"/>
    <n v="7.99"/>
    <x v="2"/>
    <n v="1"/>
    <n v="1"/>
    <n v="0"/>
    <n v="0"/>
    <n v="1"/>
    <x v="0"/>
    <x v="0"/>
    <x v="0"/>
    <x v="0"/>
    <n v="7"/>
    <e v="#N/A"/>
    <e v="#N/A"/>
  </r>
  <r>
    <n v="2817"/>
    <d v="2016-01-29T12:31:19"/>
    <d v="2016-01-29T12:46:18"/>
    <x v="2"/>
    <m/>
    <m/>
    <x v="0"/>
    <n v="70803"/>
    <n v="0"/>
    <d v="2016-01-29T12:49:16"/>
    <n v="11.59"/>
    <x v="0"/>
    <n v="1"/>
    <n v="1.7"/>
    <n v="0"/>
    <n v="0"/>
    <n v="1.7"/>
    <x v="0"/>
    <x v="0"/>
    <x v="0"/>
    <x v="0"/>
    <n v="10"/>
    <e v="#N/A"/>
    <e v="#N/A"/>
  </r>
  <r>
    <n v="2818"/>
    <d v="2016-01-29T13:19:36"/>
    <d v="2016-01-29T13:34:35"/>
    <x v="0"/>
    <s v="Medium"/>
    <m/>
    <x v="1"/>
    <n v="70805"/>
    <n v="1.81684035538128"/>
    <d v="2016-01-29T13:43:40"/>
    <n v="19.579999999999998"/>
    <x v="999"/>
    <n v="2"/>
    <n v="1"/>
    <n v="1.7"/>
    <n v="0"/>
    <n v="2.7"/>
    <x v="986"/>
    <x v="0"/>
    <x v="1434"/>
    <x v="813"/>
    <n v="7"/>
    <n v="10"/>
    <e v="#N/A"/>
  </r>
  <r>
    <n v="2819"/>
    <d v="2016-01-29T12:24:21"/>
    <d v="2016-01-29T12:39:22"/>
    <x v="2"/>
    <m/>
    <m/>
    <x v="0"/>
    <n v="70803"/>
    <n v="0"/>
    <d v="2016-01-29T12:42:22"/>
    <n v="11.59"/>
    <x v="2"/>
    <n v="1"/>
    <n v="1.7"/>
    <n v="0"/>
    <n v="0"/>
    <n v="1.7"/>
    <x v="0"/>
    <x v="0"/>
    <x v="0"/>
    <x v="0"/>
    <n v="10"/>
    <e v="#N/A"/>
    <e v="#N/A"/>
  </r>
  <r>
    <n v="2820"/>
    <d v="2016-01-29T12:45:17"/>
    <d v="2016-01-29T13:00:17"/>
    <x v="2"/>
    <m/>
    <m/>
    <x v="0"/>
    <n v="70804"/>
    <n v="0"/>
    <d v="2016-01-29T13:03:16"/>
    <n v="11.59"/>
    <x v="24"/>
    <n v="1"/>
    <n v="1.7"/>
    <n v="0"/>
    <n v="0"/>
    <n v="1.7"/>
    <x v="0"/>
    <x v="0"/>
    <x v="0"/>
    <x v="0"/>
    <n v="10"/>
    <e v="#N/A"/>
    <e v="#N/A"/>
  </r>
  <r>
    <n v="2821"/>
    <d v="2016-01-29T12:33:45"/>
    <d v="2016-01-29T12:48:46"/>
    <x v="1"/>
    <m/>
    <m/>
    <x v="0"/>
    <n v="70803"/>
    <n v="0"/>
    <d v="2016-01-29T12:51:45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2822"/>
    <d v="2016-01-29T12:30:25"/>
    <d v="2016-01-29T12:45:25"/>
    <x v="0"/>
    <s v="Medium"/>
    <m/>
    <x v="1"/>
    <n v="70804"/>
    <n v="4.8208488396388001"/>
    <d v="2016-01-29T13:09:31"/>
    <n v="19.579999999999998"/>
    <x v="1000"/>
    <n v="2"/>
    <n v="1"/>
    <n v="1.7"/>
    <n v="0"/>
    <n v="2.7"/>
    <x v="987"/>
    <x v="1"/>
    <x v="1435"/>
    <x v="0"/>
    <n v="7"/>
    <n v="10"/>
    <e v="#N/A"/>
  </r>
  <r>
    <n v="2823"/>
    <d v="2016-01-29T14:16:15"/>
    <d v="2016-01-29T14:31:14"/>
    <x v="0"/>
    <m/>
    <m/>
    <x v="1"/>
    <n v="70803"/>
    <n v="2.49202874898043"/>
    <d v="2016-01-29T14:43:41"/>
    <n v="7.99"/>
    <x v="1001"/>
    <n v="1"/>
    <n v="1"/>
    <n v="0"/>
    <n v="0"/>
    <n v="1"/>
    <x v="988"/>
    <x v="0"/>
    <x v="1436"/>
    <x v="814"/>
    <n v="7"/>
    <e v="#N/A"/>
    <e v="#N/A"/>
  </r>
  <r>
    <n v="2824"/>
    <d v="2016-01-29T11:39:59"/>
    <d v="2016-01-29T11:54:59"/>
    <x v="2"/>
    <m/>
    <m/>
    <x v="1"/>
    <n v="70808"/>
    <n v="3.5592575443255301"/>
    <d v="2016-01-29T12:12:46"/>
    <n v="11.59"/>
    <x v="909"/>
    <n v="1"/>
    <n v="1.7"/>
    <n v="0"/>
    <n v="0"/>
    <n v="1.7"/>
    <x v="896"/>
    <x v="1"/>
    <x v="1437"/>
    <x v="0"/>
    <n v="10"/>
    <e v="#N/A"/>
    <e v="#N/A"/>
  </r>
  <r>
    <n v="2825"/>
    <d v="2016-01-29T12:51:31"/>
    <d v="2016-01-29T13:06:29"/>
    <x v="0"/>
    <m/>
    <m/>
    <x v="1"/>
    <n v="70807"/>
    <n v="2.5459541708029998"/>
    <d v="2016-01-29T13:19:12"/>
    <n v="7.99"/>
    <x v="529"/>
    <n v="1"/>
    <n v="1"/>
    <n v="0"/>
    <n v="0"/>
    <n v="1"/>
    <x v="516"/>
    <x v="0"/>
    <x v="1438"/>
    <x v="815"/>
    <n v="7"/>
    <e v="#N/A"/>
    <e v="#N/A"/>
  </r>
  <r>
    <n v="2826"/>
    <d v="2016-01-29T12:56:41"/>
    <d v="2016-01-29T13:11:41"/>
    <x v="2"/>
    <m/>
    <m/>
    <x v="0"/>
    <n v="70806"/>
    <n v="0"/>
    <d v="2016-01-29T13:14:42"/>
    <n v="11.59"/>
    <x v="56"/>
    <n v="1"/>
    <n v="1.7"/>
    <n v="0"/>
    <n v="0"/>
    <n v="1.7"/>
    <x v="0"/>
    <x v="0"/>
    <x v="0"/>
    <x v="0"/>
    <n v="10"/>
    <e v="#N/A"/>
    <e v="#N/A"/>
  </r>
  <r>
    <n v="2827"/>
    <d v="2016-01-29T12:49:53"/>
    <d v="2016-01-29T13:04:51"/>
    <x v="1"/>
    <m/>
    <m/>
    <x v="1"/>
    <n v="70804"/>
    <n v="3.9765684211826602"/>
    <d v="2016-01-29T13:24:43"/>
    <n v="15.35"/>
    <x v="1002"/>
    <n v="1"/>
    <n v="2.2999999999999998"/>
    <n v="0"/>
    <n v="0"/>
    <n v="2.2999999999999998"/>
    <x v="989"/>
    <x v="1"/>
    <x v="1439"/>
    <x v="0"/>
    <n v="14"/>
    <e v="#N/A"/>
    <e v="#N/A"/>
  </r>
  <r>
    <n v="2828"/>
    <d v="2016-01-29T13:31:54"/>
    <d v="2016-01-29T13:46:54"/>
    <x v="0"/>
    <m/>
    <m/>
    <x v="1"/>
    <n v="70805"/>
    <n v="2.8941619454108398"/>
    <d v="2016-01-29T14:01:22"/>
    <n v="7.99"/>
    <x v="1003"/>
    <n v="1"/>
    <n v="1"/>
    <n v="0"/>
    <n v="0"/>
    <n v="1"/>
    <x v="990"/>
    <x v="0"/>
    <x v="1440"/>
    <x v="816"/>
    <n v="7"/>
    <e v="#N/A"/>
    <e v="#N/A"/>
  </r>
  <r>
    <n v="2829"/>
    <d v="2016-01-29T11:21:25"/>
    <d v="2016-01-29T11:36:26"/>
    <x v="1"/>
    <m/>
    <m/>
    <x v="0"/>
    <n v="70806"/>
    <n v="0"/>
    <d v="2016-01-29T11:39:25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2830"/>
    <d v="2016-01-29T10:26:42"/>
    <d v="2016-01-29T10:41:42"/>
    <x v="1"/>
    <m/>
    <m/>
    <x v="0"/>
    <n v="70804"/>
    <n v="0"/>
    <d v="2016-01-29T10:44:42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2831"/>
    <d v="2016-01-29T11:29:11"/>
    <d v="2016-01-29T11:44:10"/>
    <x v="0"/>
    <m/>
    <m/>
    <x v="1"/>
    <n v="70807"/>
    <n v="0.88347682754590895"/>
    <d v="2016-01-29T11:48:35"/>
    <n v="7.99"/>
    <x v="1004"/>
    <n v="1"/>
    <n v="1"/>
    <n v="0"/>
    <n v="0"/>
    <n v="1"/>
    <x v="991"/>
    <x v="0"/>
    <x v="1441"/>
    <x v="817"/>
    <n v="7"/>
    <e v="#N/A"/>
    <e v="#N/A"/>
  </r>
  <r>
    <n v="2832"/>
    <d v="2016-01-29T12:59:05"/>
    <d v="2016-01-29T13:14:06"/>
    <x v="0"/>
    <m/>
    <m/>
    <x v="1"/>
    <n v="70805"/>
    <n v="3.8475912240369801"/>
    <d v="2016-01-29T13:33:20"/>
    <n v="7.99"/>
    <x v="1005"/>
    <n v="1"/>
    <n v="1"/>
    <n v="0"/>
    <n v="0"/>
    <n v="1"/>
    <x v="992"/>
    <x v="1"/>
    <x v="1442"/>
    <x v="0"/>
    <n v="7"/>
    <e v="#N/A"/>
    <e v="#N/A"/>
  </r>
  <r>
    <n v="2833"/>
    <d v="2016-01-29T10:23:00"/>
    <d v="2016-01-29T10:38:02"/>
    <x v="1"/>
    <m/>
    <m/>
    <x v="1"/>
    <n v="70805"/>
    <n v="3.0435019385886601"/>
    <d v="2016-01-29T10:53:15"/>
    <n v="15.35"/>
    <x v="240"/>
    <n v="1"/>
    <n v="2.2999999999999998"/>
    <n v="0"/>
    <n v="0"/>
    <n v="2.2999999999999998"/>
    <x v="227"/>
    <x v="0"/>
    <x v="1443"/>
    <x v="818"/>
    <n v="14"/>
    <e v="#N/A"/>
    <e v="#N/A"/>
  </r>
  <r>
    <n v="2834"/>
    <d v="2016-01-29T10:41:14"/>
    <d v="2016-01-29T10:56:12"/>
    <x v="1"/>
    <m/>
    <m/>
    <x v="0"/>
    <n v="70806"/>
    <n v="0"/>
    <d v="2016-01-29T10:59:12"/>
    <n v="15.35"/>
    <x v="63"/>
    <n v="1"/>
    <n v="2.2999999999999998"/>
    <n v="0"/>
    <n v="0"/>
    <n v="2.2999999999999998"/>
    <x v="0"/>
    <x v="0"/>
    <x v="0"/>
    <x v="0"/>
    <n v="14"/>
    <e v="#N/A"/>
    <e v="#N/A"/>
  </r>
  <r>
    <n v="2835"/>
    <d v="2016-01-29T11:36:14"/>
    <d v="2016-01-29T11:51:16"/>
    <x v="2"/>
    <m/>
    <m/>
    <x v="0"/>
    <n v="70807"/>
    <n v="0"/>
    <d v="2016-01-29T11:54:15"/>
    <n v="11.59"/>
    <x v="24"/>
    <n v="1"/>
    <n v="1.7"/>
    <n v="0"/>
    <n v="0"/>
    <n v="1.7"/>
    <x v="0"/>
    <x v="0"/>
    <x v="0"/>
    <x v="0"/>
    <n v="10"/>
    <e v="#N/A"/>
    <e v="#N/A"/>
  </r>
  <r>
    <n v="2836"/>
    <d v="2016-01-29T10:13:55"/>
    <d v="2016-01-29T10:28:56"/>
    <x v="2"/>
    <m/>
    <m/>
    <x v="0"/>
    <n v="70807"/>
    <n v="0"/>
    <d v="2016-01-29T10:31:55"/>
    <n v="11.59"/>
    <x v="24"/>
    <n v="1"/>
    <n v="1.7"/>
    <n v="0"/>
    <n v="0"/>
    <n v="1.7"/>
    <x v="0"/>
    <x v="0"/>
    <x v="0"/>
    <x v="0"/>
    <n v="10"/>
    <e v="#N/A"/>
    <e v="#N/A"/>
  </r>
  <r>
    <n v="2837"/>
    <d v="2016-01-29T13:44:34"/>
    <d v="2016-01-29T13:59:33"/>
    <x v="0"/>
    <s v="Large"/>
    <m/>
    <x v="0"/>
    <n v="70804"/>
    <n v="0"/>
    <d v="2016-01-29T14:02:34"/>
    <n v="23.34"/>
    <x v="56"/>
    <n v="2"/>
    <n v="1"/>
    <n v="2.2999999999999998"/>
    <n v="0"/>
    <n v="3.3"/>
    <x v="0"/>
    <x v="0"/>
    <x v="0"/>
    <x v="0"/>
    <n v="7"/>
    <n v="14"/>
    <e v="#N/A"/>
  </r>
  <r>
    <n v="2838"/>
    <d v="2016-01-29T11:47:58"/>
    <d v="2016-01-29T12:02:56"/>
    <x v="2"/>
    <m/>
    <m/>
    <x v="1"/>
    <n v="70807"/>
    <n v="2.2154784664474798"/>
    <d v="2016-01-29T12:14:00"/>
    <n v="11.59"/>
    <x v="1006"/>
    <n v="1"/>
    <n v="1.7"/>
    <n v="0"/>
    <n v="0"/>
    <n v="1.7"/>
    <x v="993"/>
    <x v="0"/>
    <x v="1444"/>
    <x v="819"/>
    <n v="10"/>
    <e v="#N/A"/>
    <e v="#N/A"/>
  </r>
  <r>
    <n v="2839"/>
    <d v="2016-01-29T11:14:36"/>
    <d v="2016-01-29T11:29:37"/>
    <x v="0"/>
    <m/>
    <m/>
    <x v="0"/>
    <n v="70803"/>
    <n v="0"/>
    <d v="2016-01-29T11:32:36"/>
    <n v="7.99"/>
    <x v="24"/>
    <n v="1"/>
    <n v="1"/>
    <n v="0"/>
    <n v="0"/>
    <n v="1"/>
    <x v="0"/>
    <x v="0"/>
    <x v="0"/>
    <x v="0"/>
    <n v="7"/>
    <e v="#N/A"/>
    <e v="#N/A"/>
  </r>
  <r>
    <n v="2840"/>
    <d v="2016-01-29T11:55:18"/>
    <d v="2016-01-29T12:10:18"/>
    <x v="2"/>
    <m/>
    <m/>
    <x v="0"/>
    <n v="70806"/>
    <n v="0"/>
    <d v="2016-01-29T12:13:17"/>
    <n v="11.59"/>
    <x v="1"/>
    <n v="1"/>
    <n v="1.7"/>
    <n v="0"/>
    <n v="0"/>
    <n v="1.7"/>
    <x v="0"/>
    <x v="0"/>
    <x v="0"/>
    <x v="0"/>
    <n v="10"/>
    <e v="#N/A"/>
    <e v="#N/A"/>
  </r>
  <r>
    <n v="2841"/>
    <d v="2016-01-29T11:40:21"/>
    <d v="2016-01-29T11:55:20"/>
    <x v="0"/>
    <s v="Medium"/>
    <m/>
    <x v="0"/>
    <n v="70804"/>
    <n v="0"/>
    <d v="2016-01-29T11:58:19"/>
    <n v="19.579999999999998"/>
    <x v="1"/>
    <n v="2"/>
    <n v="1"/>
    <n v="1.7"/>
    <n v="0"/>
    <n v="2.7"/>
    <x v="0"/>
    <x v="0"/>
    <x v="0"/>
    <x v="0"/>
    <n v="7"/>
    <n v="10"/>
    <e v="#N/A"/>
  </r>
  <r>
    <n v="2842"/>
    <d v="2016-01-29T10:28:01"/>
    <d v="2016-01-29T10:42:59"/>
    <x v="2"/>
    <m/>
    <m/>
    <x v="1"/>
    <n v="70804"/>
    <n v="2.52641989875517"/>
    <d v="2016-01-29T10:55:36"/>
    <n v="11.59"/>
    <x v="1007"/>
    <n v="1"/>
    <n v="1.7"/>
    <n v="0"/>
    <n v="0"/>
    <n v="1.7"/>
    <x v="994"/>
    <x v="0"/>
    <x v="1445"/>
    <x v="820"/>
    <n v="10"/>
    <e v="#N/A"/>
    <e v="#N/A"/>
  </r>
  <r>
    <n v="2843"/>
    <d v="2016-01-29T11:21:16"/>
    <d v="2016-01-29T11:36:15"/>
    <x v="2"/>
    <m/>
    <m/>
    <x v="1"/>
    <n v="70807"/>
    <n v="2.73896858002899"/>
    <d v="2016-01-29T11:49:56"/>
    <n v="11.59"/>
    <x v="664"/>
    <n v="1"/>
    <n v="1.7"/>
    <n v="0"/>
    <n v="0"/>
    <n v="1.7"/>
    <x v="651"/>
    <x v="0"/>
    <x v="1446"/>
    <x v="821"/>
    <n v="10"/>
    <e v="#N/A"/>
    <e v="#N/A"/>
  </r>
  <r>
    <n v="2844"/>
    <d v="2016-01-29T12:38:08"/>
    <d v="2016-01-29T12:53:08"/>
    <x v="0"/>
    <s v="Medium"/>
    <m/>
    <x v="1"/>
    <n v="70807"/>
    <n v="4.1847847385003902"/>
    <d v="2016-01-29T13:14:03"/>
    <n v="19.579999999999998"/>
    <x v="414"/>
    <n v="2"/>
    <n v="1"/>
    <n v="1.7"/>
    <n v="0"/>
    <n v="2.7"/>
    <x v="401"/>
    <x v="1"/>
    <x v="1447"/>
    <x v="0"/>
    <n v="7"/>
    <n v="10"/>
    <e v="#N/A"/>
  </r>
  <r>
    <n v="2845"/>
    <d v="2016-01-29T13:38:27"/>
    <d v="2016-01-29T13:53:26"/>
    <x v="0"/>
    <s v="Large"/>
    <m/>
    <x v="1"/>
    <n v="70807"/>
    <n v="2.7455910114058799"/>
    <d v="2016-01-29T14:07:09"/>
    <n v="23.34"/>
    <x v="630"/>
    <n v="2"/>
    <n v="1"/>
    <n v="2.2999999999999998"/>
    <n v="0"/>
    <n v="3.3"/>
    <x v="617"/>
    <x v="0"/>
    <x v="1448"/>
    <x v="822"/>
    <n v="7"/>
    <n v="14"/>
    <e v="#N/A"/>
  </r>
  <r>
    <n v="2846"/>
    <d v="2016-01-29T12:20:12"/>
    <d v="2016-01-29T12:35:12"/>
    <x v="2"/>
    <m/>
    <m/>
    <x v="1"/>
    <n v="70805"/>
    <n v="3.9875327897686001"/>
    <d v="2016-01-29T12:55:08"/>
    <n v="11.59"/>
    <x v="508"/>
    <n v="1"/>
    <n v="1.7"/>
    <n v="0"/>
    <n v="0"/>
    <n v="1.7"/>
    <x v="495"/>
    <x v="1"/>
    <x v="1449"/>
    <x v="0"/>
    <n v="10"/>
    <e v="#N/A"/>
    <e v="#N/A"/>
  </r>
  <r>
    <n v="2847"/>
    <d v="2016-01-29T11:51:43"/>
    <d v="2016-01-29T12:06:43"/>
    <x v="2"/>
    <m/>
    <m/>
    <x v="1"/>
    <n v="70803"/>
    <n v="2.4843768429945001"/>
    <d v="2016-01-29T12:19:08"/>
    <n v="11.59"/>
    <x v="774"/>
    <n v="1"/>
    <n v="1.7"/>
    <n v="0"/>
    <n v="0"/>
    <n v="1.7"/>
    <x v="761"/>
    <x v="0"/>
    <x v="1450"/>
    <x v="823"/>
    <n v="10"/>
    <e v="#N/A"/>
    <e v="#N/A"/>
  </r>
  <r>
    <n v="2848"/>
    <d v="2016-01-29T10:17:51"/>
    <d v="2016-01-29T10:32:51"/>
    <x v="0"/>
    <s v="Large"/>
    <m/>
    <x v="0"/>
    <n v="70803"/>
    <n v="0"/>
    <d v="2016-01-29T10:35:51"/>
    <n v="23.34"/>
    <x v="2"/>
    <n v="2"/>
    <n v="1"/>
    <n v="2.2999999999999998"/>
    <n v="0"/>
    <n v="3.3"/>
    <x v="0"/>
    <x v="0"/>
    <x v="0"/>
    <x v="0"/>
    <n v="7"/>
    <n v="14"/>
    <e v="#N/A"/>
  </r>
  <r>
    <n v="2849"/>
    <d v="2016-01-29T10:07:13"/>
    <d v="2016-01-29T10:22:14"/>
    <x v="1"/>
    <m/>
    <m/>
    <x v="0"/>
    <n v="70807"/>
    <n v="0"/>
    <d v="2016-01-29T10:25:13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2850"/>
    <d v="2016-01-29T13:54:53"/>
    <d v="2016-01-29T14:09:52"/>
    <x v="1"/>
    <m/>
    <m/>
    <x v="0"/>
    <n v="70806"/>
    <n v="0"/>
    <d v="2016-01-29T14:12:52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2851"/>
    <d v="2016-01-29T12:39:46"/>
    <d v="2016-01-29T12:54:45"/>
    <x v="0"/>
    <s v="Large"/>
    <m/>
    <x v="0"/>
    <n v="70805"/>
    <n v="0"/>
    <d v="2016-01-29T12:57:43"/>
    <n v="23.34"/>
    <x v="0"/>
    <n v="2"/>
    <n v="1"/>
    <n v="2.2999999999999998"/>
    <n v="0"/>
    <n v="3.3"/>
    <x v="0"/>
    <x v="0"/>
    <x v="0"/>
    <x v="0"/>
    <n v="7"/>
    <n v="14"/>
    <e v="#N/A"/>
  </r>
  <r>
    <n v="2852"/>
    <d v="2016-01-29T12:11:05"/>
    <d v="2016-01-29T12:26:06"/>
    <x v="1"/>
    <m/>
    <m/>
    <x v="0"/>
    <n v="70805"/>
    <n v="0"/>
    <d v="2016-01-29T12:29:05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2853"/>
    <d v="2016-01-29T12:44:42"/>
    <d v="2016-01-29T12:59:40"/>
    <x v="2"/>
    <m/>
    <m/>
    <x v="0"/>
    <n v="70804"/>
    <n v="0"/>
    <d v="2016-01-29T13:02:38"/>
    <n v="11.59"/>
    <x v="0"/>
    <n v="1"/>
    <n v="1.7"/>
    <n v="0"/>
    <n v="0"/>
    <n v="1.7"/>
    <x v="0"/>
    <x v="0"/>
    <x v="0"/>
    <x v="0"/>
    <n v="10"/>
    <e v="#N/A"/>
    <e v="#N/A"/>
  </r>
  <r>
    <n v="2854"/>
    <d v="2016-01-29T12:04:13"/>
    <d v="2016-01-29T12:19:13"/>
    <x v="1"/>
    <m/>
    <m/>
    <x v="1"/>
    <n v="70803"/>
    <n v="3.5151381884201101"/>
    <d v="2016-01-29T12:36:47"/>
    <n v="15.35"/>
    <x v="903"/>
    <n v="1"/>
    <n v="2.2999999999999998"/>
    <n v="0"/>
    <n v="0"/>
    <n v="2.2999999999999998"/>
    <x v="890"/>
    <x v="1"/>
    <x v="1451"/>
    <x v="0"/>
    <n v="14"/>
    <e v="#N/A"/>
    <e v="#N/A"/>
  </r>
  <r>
    <n v="2855"/>
    <d v="2016-01-29T11:10:25"/>
    <d v="2016-01-29T11:25:25"/>
    <x v="1"/>
    <m/>
    <m/>
    <x v="1"/>
    <n v="70805"/>
    <n v="4.2418562267455702"/>
    <d v="2016-01-29T11:46:37"/>
    <n v="15.35"/>
    <x v="1008"/>
    <n v="1"/>
    <n v="2.2999999999999998"/>
    <n v="0"/>
    <n v="0"/>
    <n v="2.2999999999999998"/>
    <x v="995"/>
    <x v="1"/>
    <x v="1452"/>
    <x v="0"/>
    <n v="14"/>
    <e v="#N/A"/>
    <e v="#N/A"/>
  </r>
  <r>
    <n v="2856"/>
    <d v="2016-01-29T10:33:56"/>
    <d v="2016-01-29T10:48:56"/>
    <x v="0"/>
    <m/>
    <m/>
    <x v="0"/>
    <n v="70806"/>
    <n v="0"/>
    <d v="2016-01-29T10:51:55"/>
    <n v="7.99"/>
    <x v="24"/>
    <n v="1"/>
    <n v="1"/>
    <n v="0"/>
    <n v="0"/>
    <n v="1"/>
    <x v="0"/>
    <x v="0"/>
    <x v="0"/>
    <x v="0"/>
    <n v="7"/>
    <e v="#N/A"/>
    <e v="#N/A"/>
  </r>
  <r>
    <n v="2857"/>
    <d v="2016-01-29T13:10:35"/>
    <d v="2016-01-29T13:25:33"/>
    <x v="1"/>
    <m/>
    <m/>
    <x v="0"/>
    <n v="70804"/>
    <n v="0"/>
    <d v="2016-01-29T13:28:33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2858"/>
    <d v="2016-01-29T10:13:25"/>
    <d v="2016-01-29T10:28:25"/>
    <x v="2"/>
    <m/>
    <m/>
    <x v="1"/>
    <n v="70803"/>
    <n v="3.27589387495606"/>
    <d v="2016-01-29T10:44:47"/>
    <n v="11.59"/>
    <x v="1009"/>
    <n v="1"/>
    <n v="1.7"/>
    <n v="0"/>
    <n v="0"/>
    <n v="1.7"/>
    <x v="996"/>
    <x v="1"/>
    <x v="1453"/>
    <x v="0"/>
    <n v="10"/>
    <e v="#N/A"/>
    <e v="#N/A"/>
  </r>
  <r>
    <n v="2859"/>
    <d v="2016-01-29T13:40:55"/>
    <d v="2016-01-29T13:55:54"/>
    <x v="1"/>
    <m/>
    <m/>
    <x v="0"/>
    <n v="70804"/>
    <n v="0"/>
    <d v="2016-01-29T13:58:53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2860"/>
    <d v="2016-01-29T11:38:12"/>
    <d v="2016-01-29T11:53:12"/>
    <x v="2"/>
    <m/>
    <m/>
    <x v="0"/>
    <n v="70805"/>
    <n v="0"/>
    <d v="2016-01-29T11:56:10"/>
    <n v="11.59"/>
    <x v="0"/>
    <n v="1"/>
    <n v="1.7"/>
    <n v="0"/>
    <n v="0"/>
    <n v="1.7"/>
    <x v="0"/>
    <x v="0"/>
    <x v="0"/>
    <x v="0"/>
    <n v="10"/>
    <e v="#N/A"/>
    <e v="#N/A"/>
  </r>
  <r>
    <n v="2861"/>
    <d v="2016-01-29T11:48:41"/>
    <d v="2016-01-29T12:03:41"/>
    <x v="2"/>
    <m/>
    <m/>
    <x v="0"/>
    <n v="70806"/>
    <n v="0"/>
    <d v="2016-01-29T12:06:40"/>
    <n v="11.59"/>
    <x v="24"/>
    <n v="1"/>
    <n v="1.7"/>
    <n v="0"/>
    <n v="0"/>
    <n v="1.7"/>
    <x v="0"/>
    <x v="0"/>
    <x v="0"/>
    <x v="0"/>
    <n v="10"/>
    <e v="#N/A"/>
    <e v="#N/A"/>
  </r>
  <r>
    <n v="2862"/>
    <d v="2016-01-29T12:04:42"/>
    <d v="2016-01-29T12:19:41"/>
    <x v="2"/>
    <s v="Large"/>
    <m/>
    <x v="0"/>
    <n v="70803"/>
    <n v="0"/>
    <d v="2016-01-29T12:22:42"/>
    <n v="25.94"/>
    <x v="14"/>
    <n v="2"/>
    <n v="1.7"/>
    <n v="2.2999999999999998"/>
    <n v="0"/>
    <n v="4"/>
    <x v="0"/>
    <x v="0"/>
    <x v="0"/>
    <x v="0"/>
    <n v="10"/>
    <n v="14"/>
    <e v="#N/A"/>
  </r>
  <r>
    <n v="2863"/>
    <d v="2016-01-29T11:43:36"/>
    <d v="2016-01-29T11:58:35"/>
    <x v="2"/>
    <m/>
    <m/>
    <x v="0"/>
    <n v="70803"/>
    <n v="0"/>
    <d v="2016-01-29T12:01:37"/>
    <n v="11.59"/>
    <x v="67"/>
    <n v="1"/>
    <n v="1.7"/>
    <n v="0"/>
    <n v="0"/>
    <n v="1.7"/>
    <x v="0"/>
    <x v="0"/>
    <x v="0"/>
    <x v="0"/>
    <n v="10"/>
    <e v="#N/A"/>
    <e v="#N/A"/>
  </r>
  <r>
    <n v="2864"/>
    <d v="2016-01-29T12:40:28"/>
    <d v="2016-01-29T12:55:26"/>
    <x v="0"/>
    <m/>
    <m/>
    <x v="1"/>
    <n v="70804"/>
    <n v="3.0741420484285702"/>
    <d v="2016-01-29T13:10:48"/>
    <n v="7.99"/>
    <x v="275"/>
    <n v="1"/>
    <n v="1"/>
    <n v="0"/>
    <n v="0"/>
    <n v="1"/>
    <x v="262"/>
    <x v="0"/>
    <x v="1454"/>
    <x v="824"/>
    <n v="7"/>
    <e v="#N/A"/>
    <e v="#N/A"/>
  </r>
  <r>
    <n v="2865"/>
    <d v="2016-01-29T12:40:12"/>
    <d v="2016-01-29T12:55:13"/>
    <x v="1"/>
    <m/>
    <m/>
    <x v="1"/>
    <n v="70803"/>
    <n v="1.54985786967705"/>
    <d v="2016-01-29T13:02:57"/>
    <n v="15.35"/>
    <x v="1010"/>
    <n v="1"/>
    <n v="2.2999999999999998"/>
    <n v="0"/>
    <n v="0"/>
    <n v="2.2999999999999998"/>
    <x v="997"/>
    <x v="0"/>
    <x v="1455"/>
    <x v="825"/>
    <n v="14"/>
    <e v="#N/A"/>
    <e v="#N/A"/>
  </r>
  <r>
    <n v="2866"/>
    <d v="2016-01-29T13:27:51"/>
    <d v="2016-01-29T13:42:50"/>
    <x v="0"/>
    <s v="Large"/>
    <m/>
    <x v="0"/>
    <n v="70803"/>
    <n v="0"/>
    <d v="2016-01-29T13:45:49"/>
    <n v="23.34"/>
    <x v="24"/>
    <n v="2"/>
    <n v="1"/>
    <n v="2.2999999999999998"/>
    <n v="0"/>
    <n v="3.3"/>
    <x v="0"/>
    <x v="0"/>
    <x v="0"/>
    <x v="0"/>
    <n v="7"/>
    <n v="14"/>
    <e v="#N/A"/>
  </r>
  <r>
    <n v="2867"/>
    <d v="2016-01-29T12:47:38"/>
    <d v="2016-01-29T13:02:39"/>
    <x v="1"/>
    <m/>
    <m/>
    <x v="0"/>
    <n v="70804"/>
    <n v="0"/>
    <d v="2016-01-29T13:05:38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2868"/>
    <d v="2016-01-29T11:28:59"/>
    <d v="2016-01-29T11:43:59"/>
    <x v="0"/>
    <s v="Large"/>
    <m/>
    <x v="0"/>
    <n v="70805"/>
    <n v="0"/>
    <d v="2016-01-29T11:46:58"/>
    <n v="23.34"/>
    <x v="1"/>
    <n v="2"/>
    <n v="1"/>
    <n v="2.2999999999999998"/>
    <n v="0"/>
    <n v="3.3"/>
    <x v="0"/>
    <x v="0"/>
    <x v="0"/>
    <x v="0"/>
    <n v="7"/>
    <n v="14"/>
    <e v="#N/A"/>
  </r>
  <r>
    <n v="2869"/>
    <d v="2016-01-29T11:43:33"/>
    <d v="2016-01-29T11:58:32"/>
    <x v="2"/>
    <s v="Large"/>
    <m/>
    <x v="1"/>
    <n v="70803"/>
    <n v="2.5865936978327602"/>
    <d v="2016-01-29T12:11:27"/>
    <n v="25.94"/>
    <x v="1011"/>
    <n v="2"/>
    <n v="1.7"/>
    <n v="2.2999999999999998"/>
    <n v="0"/>
    <n v="4"/>
    <x v="998"/>
    <x v="0"/>
    <x v="1456"/>
    <x v="826"/>
    <n v="10"/>
    <n v="14"/>
    <e v="#N/A"/>
  </r>
  <r>
    <n v="2870"/>
    <d v="2016-01-29T12:17:37"/>
    <d v="2016-01-29T12:32:38"/>
    <x v="0"/>
    <s v="Medium"/>
    <m/>
    <x v="1"/>
    <n v="70805"/>
    <n v="3.8839294160362199"/>
    <d v="2016-01-29T12:52:03"/>
    <n v="19.579999999999998"/>
    <x v="885"/>
    <n v="2"/>
    <n v="1"/>
    <n v="1.7"/>
    <n v="0"/>
    <n v="2.7"/>
    <x v="872"/>
    <x v="1"/>
    <x v="1457"/>
    <x v="0"/>
    <n v="7"/>
    <n v="10"/>
    <e v="#N/A"/>
  </r>
  <r>
    <n v="2871"/>
    <d v="2016-01-29T11:39:34"/>
    <d v="2016-01-29T11:54:33"/>
    <x v="1"/>
    <m/>
    <m/>
    <x v="1"/>
    <n v="70805"/>
    <n v="2.3266718291982702"/>
    <d v="2016-01-29T12:06:11"/>
    <n v="15.35"/>
    <x v="1012"/>
    <n v="1"/>
    <n v="2.2999999999999998"/>
    <n v="0"/>
    <n v="0"/>
    <n v="2.2999999999999998"/>
    <x v="999"/>
    <x v="0"/>
    <x v="1458"/>
    <x v="827"/>
    <n v="14"/>
    <e v="#N/A"/>
    <e v="#N/A"/>
  </r>
  <r>
    <n v="2872"/>
    <d v="2016-01-29T11:26:23"/>
    <d v="2016-01-29T11:41:24"/>
    <x v="2"/>
    <s v="Large"/>
    <m/>
    <x v="0"/>
    <n v="70807"/>
    <n v="0"/>
    <d v="2016-01-29T11:44:25"/>
    <n v="25.94"/>
    <x v="14"/>
    <n v="2"/>
    <n v="1.7"/>
    <n v="2.2999999999999998"/>
    <n v="0"/>
    <n v="4"/>
    <x v="0"/>
    <x v="0"/>
    <x v="0"/>
    <x v="0"/>
    <n v="10"/>
    <n v="14"/>
    <e v="#N/A"/>
  </r>
  <r>
    <n v="2873"/>
    <d v="2016-01-29T12:22:14"/>
    <d v="2016-01-29T12:37:14"/>
    <x v="2"/>
    <s v="Large"/>
    <m/>
    <x v="1"/>
    <n v="70805"/>
    <n v="3.3277790392801401"/>
    <d v="2016-01-29T12:53:52"/>
    <n v="25.94"/>
    <x v="702"/>
    <n v="2"/>
    <n v="1.7"/>
    <n v="2.2999999999999998"/>
    <n v="0"/>
    <n v="4"/>
    <x v="689"/>
    <x v="1"/>
    <x v="1459"/>
    <x v="0"/>
    <n v="10"/>
    <n v="14"/>
    <e v="#N/A"/>
  </r>
  <r>
    <n v="2874"/>
    <d v="2016-01-29T13:59:59"/>
    <d v="2016-01-29T14:14:57"/>
    <x v="2"/>
    <m/>
    <m/>
    <x v="1"/>
    <n v="70804"/>
    <n v="1.6644894724303201"/>
    <d v="2016-01-29T14:23:16"/>
    <n v="11.59"/>
    <x v="771"/>
    <n v="1"/>
    <n v="1.7"/>
    <n v="0"/>
    <n v="0"/>
    <n v="1.7"/>
    <x v="758"/>
    <x v="0"/>
    <x v="1460"/>
    <x v="828"/>
    <n v="10"/>
    <e v="#N/A"/>
    <e v="#N/A"/>
  </r>
  <r>
    <n v="2875"/>
    <d v="2016-01-29T11:19:51"/>
    <d v="2016-01-29T11:34:53"/>
    <x v="2"/>
    <m/>
    <m/>
    <x v="1"/>
    <n v="70805"/>
    <n v="3.3655230435970198"/>
    <d v="2016-01-29T11:51:42"/>
    <n v="11.59"/>
    <x v="1013"/>
    <n v="1"/>
    <n v="1.7"/>
    <n v="0"/>
    <n v="0"/>
    <n v="1.7"/>
    <x v="1000"/>
    <x v="1"/>
    <x v="1461"/>
    <x v="0"/>
    <n v="10"/>
    <e v="#N/A"/>
    <e v="#N/A"/>
  </r>
  <r>
    <n v="2876"/>
    <d v="2016-01-29T12:33:03"/>
    <d v="2016-01-29T12:48:02"/>
    <x v="0"/>
    <s v="Large"/>
    <m/>
    <x v="1"/>
    <n v="70807"/>
    <n v="2.8988615041523098"/>
    <d v="2016-01-29T13:02:31"/>
    <n v="23.34"/>
    <x v="779"/>
    <n v="2"/>
    <n v="1"/>
    <n v="2.2999999999999998"/>
    <n v="0"/>
    <n v="3.3"/>
    <x v="766"/>
    <x v="0"/>
    <x v="1462"/>
    <x v="829"/>
    <n v="7"/>
    <n v="14"/>
    <e v="#N/A"/>
  </r>
  <r>
    <n v="2877"/>
    <d v="2016-01-29T12:29:22"/>
    <d v="2016-01-29T12:44:21"/>
    <x v="0"/>
    <s v="Medium"/>
    <m/>
    <x v="1"/>
    <n v="70804"/>
    <n v="2.42058198838685"/>
    <d v="2016-01-29T12:56:27"/>
    <n v="19.579999999999998"/>
    <x v="644"/>
    <n v="2"/>
    <n v="1"/>
    <n v="1.7"/>
    <n v="0"/>
    <n v="2.7"/>
    <x v="631"/>
    <x v="0"/>
    <x v="1463"/>
    <x v="830"/>
    <n v="7"/>
    <n v="10"/>
    <e v="#N/A"/>
  </r>
  <r>
    <n v="2878"/>
    <d v="2016-01-29T11:25:09"/>
    <d v="2016-01-29T11:40:08"/>
    <x v="2"/>
    <m/>
    <m/>
    <x v="0"/>
    <n v="70804"/>
    <n v="0"/>
    <d v="2016-01-29T11:43:07"/>
    <n v="11.59"/>
    <x v="1"/>
    <n v="1"/>
    <n v="1.7"/>
    <n v="0"/>
    <n v="0"/>
    <n v="1.7"/>
    <x v="0"/>
    <x v="0"/>
    <x v="0"/>
    <x v="0"/>
    <n v="10"/>
    <e v="#N/A"/>
    <e v="#N/A"/>
  </r>
  <r>
    <n v="2879"/>
    <d v="2016-01-29T13:13:22"/>
    <d v="2016-01-29T13:28:22"/>
    <x v="2"/>
    <m/>
    <m/>
    <x v="1"/>
    <n v="70804"/>
    <n v="2.7630826963218298"/>
    <d v="2016-01-29T13:42:10"/>
    <n v="11.59"/>
    <x v="1014"/>
    <n v="1"/>
    <n v="1.7"/>
    <n v="0"/>
    <n v="0"/>
    <n v="1.7"/>
    <x v="1001"/>
    <x v="0"/>
    <x v="1464"/>
    <x v="831"/>
    <n v="10"/>
    <e v="#N/A"/>
    <e v="#N/A"/>
  </r>
  <r>
    <n v="2880"/>
    <d v="2016-01-29T11:53:08"/>
    <d v="2016-01-29T12:08:07"/>
    <x v="0"/>
    <m/>
    <m/>
    <x v="1"/>
    <n v="70805"/>
    <n v="4.6121892941410598"/>
    <d v="2016-01-29T12:31:10"/>
    <n v="7.99"/>
    <x v="704"/>
    <n v="1"/>
    <n v="1"/>
    <n v="0"/>
    <n v="0"/>
    <n v="1"/>
    <x v="691"/>
    <x v="1"/>
    <x v="1465"/>
    <x v="0"/>
    <n v="7"/>
    <e v="#N/A"/>
    <e v="#N/A"/>
  </r>
  <r>
    <n v="2881"/>
    <d v="2016-01-29T11:24:16"/>
    <d v="2016-01-29T11:39:16"/>
    <x v="0"/>
    <s v="Medium"/>
    <m/>
    <x v="1"/>
    <n v="70805"/>
    <n v="0.50326189939723998"/>
    <d v="2016-01-29T11:41:46"/>
    <n v="19.579999999999998"/>
    <x v="1015"/>
    <n v="2"/>
    <n v="1"/>
    <n v="1.7"/>
    <n v="0"/>
    <n v="2.7"/>
    <x v="1002"/>
    <x v="0"/>
    <x v="1466"/>
    <x v="832"/>
    <n v="7"/>
    <n v="10"/>
    <e v="#N/A"/>
  </r>
  <r>
    <n v="2882"/>
    <d v="2016-01-29T11:42:42"/>
    <d v="2016-01-29T11:57:42"/>
    <x v="2"/>
    <m/>
    <m/>
    <x v="0"/>
    <n v="70808"/>
    <n v="0"/>
    <d v="2016-01-29T12:00:42"/>
    <n v="11.59"/>
    <x v="2"/>
    <n v="1"/>
    <n v="1.7"/>
    <n v="0"/>
    <n v="0"/>
    <n v="1.7"/>
    <x v="0"/>
    <x v="0"/>
    <x v="0"/>
    <x v="0"/>
    <n v="10"/>
    <e v="#N/A"/>
    <e v="#N/A"/>
  </r>
  <r>
    <n v="2883"/>
    <d v="2016-01-30T12:34:51"/>
    <d v="2016-01-30T12:49:50"/>
    <x v="0"/>
    <m/>
    <m/>
    <x v="0"/>
    <n v="70806"/>
    <n v="0"/>
    <d v="2016-01-30T12:52:50"/>
    <n v="7.99"/>
    <x v="2"/>
    <n v="1"/>
    <n v="1"/>
    <n v="0"/>
    <n v="0"/>
    <n v="1"/>
    <x v="0"/>
    <x v="0"/>
    <x v="0"/>
    <x v="0"/>
    <n v="7"/>
    <e v="#N/A"/>
    <e v="#N/A"/>
  </r>
  <r>
    <n v="2884"/>
    <d v="2016-01-30T13:13:32"/>
    <d v="2016-01-30T13:28:31"/>
    <x v="2"/>
    <m/>
    <m/>
    <x v="0"/>
    <n v="70807"/>
    <n v="0"/>
    <d v="2016-01-30T13:31:32"/>
    <n v="11.59"/>
    <x v="14"/>
    <n v="1"/>
    <n v="1.7"/>
    <n v="0"/>
    <n v="0"/>
    <n v="1.7"/>
    <x v="0"/>
    <x v="0"/>
    <x v="0"/>
    <x v="0"/>
    <n v="10"/>
    <e v="#N/A"/>
    <e v="#N/A"/>
  </r>
  <r>
    <n v="2885"/>
    <d v="2016-01-30T12:33:45"/>
    <d v="2016-01-30T12:48:45"/>
    <x v="1"/>
    <m/>
    <m/>
    <x v="1"/>
    <n v="70805"/>
    <n v="2.8849223816437299"/>
    <d v="2016-01-30T13:03:10"/>
    <n v="15.35"/>
    <x v="817"/>
    <n v="1"/>
    <n v="2.2999999999999998"/>
    <n v="0"/>
    <n v="0"/>
    <n v="2.2999999999999998"/>
    <x v="804"/>
    <x v="0"/>
    <x v="1467"/>
    <x v="833"/>
    <n v="14"/>
    <e v="#N/A"/>
    <e v="#N/A"/>
  </r>
  <r>
    <n v="2886"/>
    <d v="2016-01-30T11:50:43"/>
    <d v="2016-01-30T12:05:41"/>
    <x v="0"/>
    <m/>
    <m/>
    <x v="1"/>
    <n v="70805"/>
    <n v="3.8846573016875898"/>
    <d v="2016-01-30T12:25:06"/>
    <n v="7.99"/>
    <x v="885"/>
    <n v="1"/>
    <n v="1"/>
    <n v="0"/>
    <n v="0"/>
    <n v="1"/>
    <x v="872"/>
    <x v="1"/>
    <x v="1468"/>
    <x v="0"/>
    <n v="7"/>
    <e v="#N/A"/>
    <e v="#N/A"/>
  </r>
  <r>
    <n v="2887"/>
    <d v="2016-01-30T12:44:46"/>
    <d v="2016-01-30T12:59:46"/>
    <x v="2"/>
    <m/>
    <m/>
    <x v="0"/>
    <n v="70806"/>
    <n v="0"/>
    <d v="2016-01-30T13:02:45"/>
    <n v="11.59"/>
    <x v="24"/>
    <n v="1"/>
    <n v="1.7"/>
    <n v="0"/>
    <n v="0"/>
    <n v="1.7"/>
    <x v="0"/>
    <x v="0"/>
    <x v="0"/>
    <x v="0"/>
    <n v="10"/>
    <e v="#N/A"/>
    <e v="#N/A"/>
  </r>
  <r>
    <n v="2888"/>
    <d v="2016-01-30T10:44:51"/>
    <d v="2016-01-30T10:59:50"/>
    <x v="1"/>
    <m/>
    <m/>
    <x v="1"/>
    <n v="70805"/>
    <n v="3.0463327275649301"/>
    <d v="2016-01-30T11:15:03"/>
    <n v="15.35"/>
    <x v="1016"/>
    <n v="1"/>
    <n v="2.2999999999999998"/>
    <n v="0"/>
    <n v="0"/>
    <n v="2.2999999999999998"/>
    <x v="1003"/>
    <x v="0"/>
    <x v="1469"/>
    <x v="834"/>
    <n v="14"/>
    <e v="#N/A"/>
    <e v="#N/A"/>
  </r>
  <r>
    <n v="2889"/>
    <d v="2016-01-30T10:30:48"/>
    <d v="2016-01-30T10:45:50"/>
    <x v="0"/>
    <s v="Medium"/>
    <m/>
    <x v="0"/>
    <n v="70804"/>
    <n v="0"/>
    <d v="2016-01-30T10:48:49"/>
    <n v="19.579999999999998"/>
    <x v="24"/>
    <n v="2"/>
    <n v="1"/>
    <n v="1.7"/>
    <n v="0"/>
    <n v="2.7"/>
    <x v="0"/>
    <x v="0"/>
    <x v="0"/>
    <x v="0"/>
    <n v="7"/>
    <n v="10"/>
    <e v="#N/A"/>
  </r>
  <r>
    <n v="2890"/>
    <d v="2016-01-30T12:18:14"/>
    <d v="2016-01-30T12:33:13"/>
    <x v="1"/>
    <m/>
    <m/>
    <x v="1"/>
    <n v="70803"/>
    <n v="2.3625299923288101"/>
    <d v="2016-01-30T12:45:01"/>
    <n v="15.35"/>
    <x v="829"/>
    <n v="1"/>
    <n v="2.2999999999999998"/>
    <n v="0"/>
    <n v="0"/>
    <n v="2.2999999999999998"/>
    <x v="816"/>
    <x v="0"/>
    <x v="1470"/>
    <x v="835"/>
    <n v="14"/>
    <e v="#N/A"/>
    <e v="#N/A"/>
  </r>
  <r>
    <n v="2891"/>
    <d v="2016-01-30T11:43:23"/>
    <d v="2016-01-30T11:58:22"/>
    <x v="0"/>
    <s v="Medium"/>
    <m/>
    <x v="0"/>
    <n v="70804"/>
    <n v="0"/>
    <d v="2016-01-30T12:01:20"/>
    <n v="19.579999999999998"/>
    <x v="0"/>
    <n v="2"/>
    <n v="1"/>
    <n v="1.7"/>
    <n v="0"/>
    <n v="2.7"/>
    <x v="0"/>
    <x v="0"/>
    <x v="0"/>
    <x v="0"/>
    <n v="7"/>
    <n v="10"/>
    <e v="#N/A"/>
  </r>
  <r>
    <n v="2892"/>
    <d v="2016-01-30T12:10:44"/>
    <d v="2016-01-30T12:25:45"/>
    <x v="1"/>
    <m/>
    <m/>
    <x v="1"/>
    <n v="70806"/>
    <n v="4.0470128759541701"/>
    <d v="2016-01-30T12:45:59"/>
    <n v="15.35"/>
    <x v="1017"/>
    <n v="1"/>
    <n v="2.2999999999999998"/>
    <n v="0"/>
    <n v="0"/>
    <n v="2.2999999999999998"/>
    <x v="1004"/>
    <x v="1"/>
    <x v="1471"/>
    <x v="0"/>
    <n v="14"/>
    <e v="#N/A"/>
    <e v="#N/A"/>
  </r>
  <r>
    <n v="2893"/>
    <d v="2016-01-30T11:13:16"/>
    <d v="2016-01-30T11:28:15"/>
    <x v="1"/>
    <m/>
    <m/>
    <x v="1"/>
    <n v="70803"/>
    <n v="3.31166054971755"/>
    <d v="2016-01-30T11:44:48"/>
    <n v="15.35"/>
    <x v="487"/>
    <n v="1"/>
    <n v="2.2999999999999998"/>
    <n v="0"/>
    <n v="0"/>
    <n v="2.2999999999999998"/>
    <x v="474"/>
    <x v="1"/>
    <x v="1472"/>
    <x v="0"/>
    <n v="14"/>
    <e v="#N/A"/>
    <e v="#N/A"/>
  </r>
  <r>
    <n v="2894"/>
    <d v="2016-01-30T13:26:43"/>
    <d v="2016-01-30T13:41:41"/>
    <x v="0"/>
    <s v="Large"/>
    <m/>
    <x v="1"/>
    <n v="70805"/>
    <n v="3.6671066936983401"/>
    <d v="2016-01-30T14:00:01"/>
    <n v="23.34"/>
    <x v="155"/>
    <n v="2"/>
    <n v="1"/>
    <n v="2.2999999999999998"/>
    <n v="0"/>
    <n v="3.3"/>
    <x v="145"/>
    <x v="1"/>
    <x v="1473"/>
    <x v="0"/>
    <n v="7"/>
    <n v="14"/>
    <e v="#N/A"/>
  </r>
  <r>
    <n v="2895"/>
    <d v="2016-01-30T10:01:54"/>
    <d v="2016-01-30T10:16:53"/>
    <x v="1"/>
    <m/>
    <m/>
    <x v="0"/>
    <n v="70804"/>
    <n v="0"/>
    <d v="2016-01-30T10:19:52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2896"/>
    <d v="2016-01-30T12:45:28"/>
    <d v="2016-01-30T13:00:27"/>
    <x v="1"/>
    <m/>
    <m/>
    <x v="1"/>
    <n v="70804"/>
    <n v="4.7615929312179901"/>
    <d v="2016-01-30T13:24:15"/>
    <n v="15.35"/>
    <x v="300"/>
    <n v="1"/>
    <n v="2.2999999999999998"/>
    <n v="0"/>
    <n v="0"/>
    <n v="2.2999999999999998"/>
    <x v="287"/>
    <x v="1"/>
    <x v="1474"/>
    <x v="0"/>
    <n v="14"/>
    <e v="#N/A"/>
    <e v="#N/A"/>
  </r>
  <r>
    <n v="2897"/>
    <d v="2016-01-30T13:11:22"/>
    <d v="2016-01-30T13:26:21"/>
    <x v="1"/>
    <m/>
    <m/>
    <x v="1"/>
    <n v="70805"/>
    <n v="1.66929689025675"/>
    <d v="2016-01-30T13:34:41"/>
    <n v="15.35"/>
    <x v="1018"/>
    <n v="1"/>
    <n v="2.2999999999999998"/>
    <n v="0"/>
    <n v="0"/>
    <n v="2.2999999999999998"/>
    <x v="1005"/>
    <x v="0"/>
    <x v="1475"/>
    <x v="836"/>
    <n v="14"/>
    <e v="#N/A"/>
    <e v="#N/A"/>
  </r>
  <r>
    <n v="2898"/>
    <d v="2016-01-30T11:56:54"/>
    <d v="2016-01-30T12:11:52"/>
    <x v="1"/>
    <m/>
    <m/>
    <x v="1"/>
    <n v="70803"/>
    <n v="1.8300957695956099"/>
    <d v="2016-01-30T12:21:01"/>
    <n v="15.35"/>
    <x v="658"/>
    <n v="1"/>
    <n v="2.2999999999999998"/>
    <n v="0"/>
    <n v="0"/>
    <n v="2.2999999999999998"/>
    <x v="645"/>
    <x v="0"/>
    <x v="1476"/>
    <x v="837"/>
    <n v="14"/>
    <e v="#N/A"/>
    <e v="#N/A"/>
  </r>
  <r>
    <n v="2899"/>
    <d v="2016-01-30T12:23:27"/>
    <d v="2016-01-30T12:38:26"/>
    <x v="0"/>
    <s v="Medium"/>
    <m/>
    <x v="0"/>
    <n v="70805"/>
    <n v="0"/>
    <d v="2016-01-30T12:41:24"/>
    <n v="19.579999999999998"/>
    <x v="19"/>
    <n v="2"/>
    <n v="1"/>
    <n v="1.7"/>
    <n v="0"/>
    <n v="2.7"/>
    <x v="0"/>
    <x v="0"/>
    <x v="0"/>
    <x v="0"/>
    <n v="7"/>
    <n v="10"/>
    <e v="#N/A"/>
  </r>
  <r>
    <n v="2900"/>
    <d v="2016-01-30T10:02:40"/>
    <d v="2016-01-30T10:17:39"/>
    <x v="1"/>
    <m/>
    <m/>
    <x v="0"/>
    <n v="70805"/>
    <n v="0"/>
    <d v="2016-01-30T10:20:38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2901"/>
    <d v="2016-01-30T12:17:28"/>
    <d v="2016-01-30T12:32:27"/>
    <x v="0"/>
    <m/>
    <m/>
    <x v="0"/>
    <n v="70805"/>
    <n v="0"/>
    <d v="2016-01-30T12:35:25"/>
    <n v="7.99"/>
    <x v="0"/>
    <n v="1"/>
    <n v="1"/>
    <n v="0"/>
    <n v="0"/>
    <n v="1"/>
    <x v="0"/>
    <x v="0"/>
    <x v="0"/>
    <x v="0"/>
    <n v="7"/>
    <e v="#N/A"/>
    <e v="#N/A"/>
  </r>
  <r>
    <n v="2902"/>
    <d v="2016-01-30T13:51:32"/>
    <d v="2016-01-30T14:06:31"/>
    <x v="0"/>
    <s v="Medium"/>
    <m/>
    <x v="0"/>
    <n v="70805"/>
    <n v="0"/>
    <d v="2016-01-30T14:09:31"/>
    <n v="19.579999999999998"/>
    <x v="2"/>
    <n v="2"/>
    <n v="1"/>
    <n v="1.7"/>
    <n v="0"/>
    <n v="2.7"/>
    <x v="0"/>
    <x v="0"/>
    <x v="0"/>
    <x v="0"/>
    <n v="7"/>
    <n v="10"/>
    <e v="#N/A"/>
  </r>
  <r>
    <n v="2903"/>
    <d v="2016-01-30T12:51:55"/>
    <d v="2016-01-30T13:06:56"/>
    <x v="0"/>
    <s v="Medium"/>
    <m/>
    <x v="1"/>
    <n v="70805"/>
    <n v="2.3438587820672598"/>
    <d v="2016-01-30T13:18:39"/>
    <n v="19.579999999999998"/>
    <x v="1019"/>
    <n v="2"/>
    <n v="1"/>
    <n v="1.7"/>
    <n v="0"/>
    <n v="2.7"/>
    <x v="1006"/>
    <x v="0"/>
    <x v="1477"/>
    <x v="838"/>
    <n v="7"/>
    <n v="10"/>
    <e v="#N/A"/>
  </r>
  <r>
    <n v="2904"/>
    <d v="2016-01-30T12:19:26"/>
    <d v="2016-01-30T12:34:26"/>
    <x v="0"/>
    <s v="Medium"/>
    <s v="Large"/>
    <x v="1"/>
    <n v="70803"/>
    <n v="4.9789376002596999"/>
    <d v="2016-01-30T12:59:19"/>
    <n v="33.93"/>
    <x v="45"/>
    <n v="3"/>
    <n v="1"/>
    <n v="1.7"/>
    <n v="2.2999999999999998"/>
    <n v="5"/>
    <x v="39"/>
    <x v="1"/>
    <x v="1478"/>
    <x v="0"/>
    <n v="7"/>
    <n v="10"/>
    <n v="14"/>
  </r>
  <r>
    <n v="2905"/>
    <d v="2016-01-30T12:49:12"/>
    <d v="2016-01-30T13:04:13"/>
    <x v="0"/>
    <s v="Medium"/>
    <m/>
    <x v="0"/>
    <n v="70803"/>
    <n v="0"/>
    <d v="2016-01-30T13:07:12"/>
    <n v="19.579999999999998"/>
    <x v="1"/>
    <n v="2"/>
    <n v="1"/>
    <n v="1.7"/>
    <n v="0"/>
    <n v="2.7"/>
    <x v="0"/>
    <x v="0"/>
    <x v="0"/>
    <x v="0"/>
    <n v="7"/>
    <n v="10"/>
    <e v="#N/A"/>
  </r>
  <r>
    <n v="2906"/>
    <d v="2016-01-30T12:20:27"/>
    <d v="2016-01-30T12:35:28"/>
    <x v="1"/>
    <m/>
    <m/>
    <x v="0"/>
    <n v="70804"/>
    <n v="0"/>
    <d v="2016-01-30T12:38:30"/>
    <n v="15.35"/>
    <x v="67"/>
    <n v="1"/>
    <n v="2.2999999999999998"/>
    <n v="0"/>
    <n v="0"/>
    <n v="2.2999999999999998"/>
    <x v="0"/>
    <x v="0"/>
    <x v="0"/>
    <x v="0"/>
    <n v="14"/>
    <e v="#N/A"/>
    <e v="#N/A"/>
  </r>
  <r>
    <n v="2907"/>
    <d v="2016-01-30T11:10:54"/>
    <d v="2016-01-30T11:25:54"/>
    <x v="1"/>
    <m/>
    <m/>
    <x v="0"/>
    <n v="70806"/>
    <n v="0"/>
    <d v="2016-01-30T11:28:54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2908"/>
    <d v="2016-01-30T11:00:27"/>
    <d v="2016-01-30T11:15:28"/>
    <x v="1"/>
    <m/>
    <m/>
    <x v="1"/>
    <n v="70806"/>
    <n v="3.9780758947525401"/>
    <d v="2016-01-30T11:35:21"/>
    <n v="15.35"/>
    <x v="436"/>
    <n v="1"/>
    <n v="2.2999999999999998"/>
    <n v="0"/>
    <n v="0"/>
    <n v="2.2999999999999998"/>
    <x v="423"/>
    <x v="1"/>
    <x v="1479"/>
    <x v="0"/>
    <n v="14"/>
    <e v="#N/A"/>
    <e v="#N/A"/>
  </r>
  <r>
    <n v="2909"/>
    <d v="2016-01-30T10:15:28"/>
    <d v="2016-01-30T10:30:27"/>
    <x v="0"/>
    <m/>
    <m/>
    <x v="1"/>
    <n v="70806"/>
    <n v="4.4832070664565196"/>
    <d v="2016-01-30T10:52:51"/>
    <n v="7.99"/>
    <x v="1020"/>
    <n v="1"/>
    <n v="1"/>
    <n v="0"/>
    <n v="0"/>
    <n v="1"/>
    <x v="1007"/>
    <x v="1"/>
    <x v="1480"/>
    <x v="0"/>
    <n v="7"/>
    <e v="#N/A"/>
    <e v="#N/A"/>
  </r>
  <r>
    <n v="2910"/>
    <d v="2016-01-30T12:17:48"/>
    <d v="2016-01-30T12:32:49"/>
    <x v="0"/>
    <s v="Medium"/>
    <m/>
    <x v="0"/>
    <n v="70806"/>
    <n v="0"/>
    <d v="2016-01-30T12:35:48"/>
    <n v="19.579999999999998"/>
    <x v="24"/>
    <n v="2"/>
    <n v="1"/>
    <n v="1.7"/>
    <n v="0"/>
    <n v="2.7"/>
    <x v="0"/>
    <x v="0"/>
    <x v="0"/>
    <x v="0"/>
    <n v="7"/>
    <n v="10"/>
    <e v="#N/A"/>
  </r>
  <r>
    <n v="2911"/>
    <d v="2016-01-30T12:13:40"/>
    <d v="2016-01-30T12:28:41"/>
    <x v="0"/>
    <m/>
    <m/>
    <x v="1"/>
    <n v="70804"/>
    <n v="2.7783533533526299"/>
    <d v="2016-01-30T12:42:34"/>
    <n v="7.99"/>
    <x v="772"/>
    <n v="1"/>
    <n v="1"/>
    <n v="0"/>
    <n v="0"/>
    <n v="1"/>
    <x v="759"/>
    <x v="0"/>
    <x v="1481"/>
    <x v="839"/>
    <n v="7"/>
    <e v="#N/A"/>
    <e v="#N/A"/>
  </r>
  <r>
    <n v="2912"/>
    <d v="2016-01-30T11:38:37"/>
    <d v="2016-01-30T11:53:36"/>
    <x v="0"/>
    <m/>
    <m/>
    <x v="1"/>
    <n v="70804"/>
    <n v="4.0570673609717298"/>
    <d v="2016-01-30T12:13:53"/>
    <n v="7.99"/>
    <x v="795"/>
    <n v="1"/>
    <n v="1"/>
    <n v="0"/>
    <n v="0"/>
    <n v="1"/>
    <x v="782"/>
    <x v="1"/>
    <x v="1482"/>
    <x v="0"/>
    <n v="7"/>
    <e v="#N/A"/>
    <e v="#N/A"/>
  </r>
  <r>
    <n v="2913"/>
    <d v="2016-01-30T12:38:07"/>
    <d v="2016-01-30T12:53:05"/>
    <x v="0"/>
    <s v="Large"/>
    <m/>
    <x v="1"/>
    <n v="70804"/>
    <n v="1.15818573486889"/>
    <d v="2016-01-30T12:58:52"/>
    <n v="23.34"/>
    <x v="759"/>
    <n v="2"/>
    <n v="1"/>
    <n v="2.2999999999999998"/>
    <n v="0"/>
    <n v="3.3"/>
    <x v="746"/>
    <x v="0"/>
    <x v="1483"/>
    <x v="840"/>
    <n v="7"/>
    <n v="14"/>
    <e v="#N/A"/>
  </r>
  <r>
    <n v="2914"/>
    <d v="2016-01-30T11:14:43"/>
    <d v="2016-01-30T11:29:41"/>
    <x v="1"/>
    <m/>
    <m/>
    <x v="0"/>
    <n v="70806"/>
    <n v="0"/>
    <d v="2016-01-30T11:32:39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2915"/>
    <d v="2016-01-30T12:45:40"/>
    <d v="2016-01-30T13:00:39"/>
    <x v="2"/>
    <m/>
    <m/>
    <x v="1"/>
    <n v="70806"/>
    <n v="2.34745923167949"/>
    <d v="2016-01-30T13:12:23"/>
    <n v="11.59"/>
    <x v="1021"/>
    <n v="1"/>
    <n v="1.7"/>
    <n v="0"/>
    <n v="0"/>
    <n v="1.7"/>
    <x v="1008"/>
    <x v="0"/>
    <x v="1484"/>
    <x v="841"/>
    <n v="10"/>
    <e v="#N/A"/>
    <e v="#N/A"/>
  </r>
  <r>
    <n v="2916"/>
    <d v="2016-01-30T11:20:44"/>
    <d v="2016-01-30T11:35:45"/>
    <x v="1"/>
    <m/>
    <m/>
    <x v="1"/>
    <n v="70804"/>
    <n v="3.9807085748453499"/>
    <d v="2016-01-30T11:55:39"/>
    <n v="15.35"/>
    <x v="844"/>
    <n v="1"/>
    <n v="2.2999999999999998"/>
    <n v="0"/>
    <n v="0"/>
    <n v="2.2999999999999998"/>
    <x v="831"/>
    <x v="1"/>
    <x v="1485"/>
    <x v="0"/>
    <n v="14"/>
    <e v="#N/A"/>
    <e v="#N/A"/>
  </r>
  <r>
    <n v="2917"/>
    <d v="2016-01-30T12:31:36"/>
    <d v="2016-01-30T12:46:35"/>
    <x v="0"/>
    <s v="Medium"/>
    <m/>
    <x v="1"/>
    <n v="70807"/>
    <n v="1.78604469068788"/>
    <d v="2016-01-30T12:55:30"/>
    <n v="19.579999999999998"/>
    <x v="376"/>
    <n v="2"/>
    <n v="1"/>
    <n v="1.7"/>
    <n v="0"/>
    <n v="2.7"/>
    <x v="363"/>
    <x v="0"/>
    <x v="1486"/>
    <x v="842"/>
    <n v="7"/>
    <n v="10"/>
    <e v="#N/A"/>
  </r>
  <r>
    <n v="2918"/>
    <d v="2016-01-30T11:28:15"/>
    <d v="2016-01-30T11:43:16"/>
    <x v="2"/>
    <m/>
    <m/>
    <x v="1"/>
    <n v="70804"/>
    <n v="3.97245451247408"/>
    <d v="2016-01-30T12:03:07"/>
    <n v="11.59"/>
    <x v="645"/>
    <n v="1"/>
    <n v="1.7"/>
    <n v="0"/>
    <n v="0"/>
    <n v="1.7"/>
    <x v="632"/>
    <x v="1"/>
    <x v="1487"/>
    <x v="0"/>
    <n v="10"/>
    <e v="#N/A"/>
    <e v="#N/A"/>
  </r>
  <r>
    <n v="2919"/>
    <d v="2016-01-30T12:54:24"/>
    <d v="2016-01-30T13:09:23"/>
    <x v="1"/>
    <m/>
    <m/>
    <x v="1"/>
    <n v="70805"/>
    <n v="1.41698705215841"/>
    <d v="2016-01-30T13:16:28"/>
    <n v="15.35"/>
    <x v="1022"/>
    <n v="1"/>
    <n v="2.2999999999999998"/>
    <n v="0"/>
    <n v="0"/>
    <n v="2.2999999999999998"/>
    <x v="1009"/>
    <x v="0"/>
    <x v="1488"/>
    <x v="843"/>
    <n v="14"/>
    <e v="#N/A"/>
    <e v="#N/A"/>
  </r>
  <r>
    <n v="2920"/>
    <d v="2016-01-30T12:38:46"/>
    <d v="2016-01-30T12:53:47"/>
    <x v="0"/>
    <s v="Medium"/>
    <m/>
    <x v="0"/>
    <n v="70806"/>
    <n v="0"/>
    <d v="2016-01-30T12:56:48"/>
    <n v="19.579999999999998"/>
    <x v="14"/>
    <n v="2"/>
    <n v="1"/>
    <n v="1.7"/>
    <n v="0"/>
    <n v="2.7"/>
    <x v="0"/>
    <x v="0"/>
    <x v="0"/>
    <x v="0"/>
    <n v="7"/>
    <n v="10"/>
    <e v="#N/A"/>
  </r>
  <r>
    <n v="2921"/>
    <d v="2016-01-30T12:31:34"/>
    <d v="2016-01-30T12:46:34"/>
    <x v="2"/>
    <m/>
    <m/>
    <x v="0"/>
    <n v="70806"/>
    <n v="0"/>
    <d v="2016-01-30T12:49:35"/>
    <n v="11.59"/>
    <x v="14"/>
    <n v="1"/>
    <n v="1.7"/>
    <n v="0"/>
    <n v="0"/>
    <n v="1.7"/>
    <x v="0"/>
    <x v="0"/>
    <x v="0"/>
    <x v="0"/>
    <n v="10"/>
    <e v="#N/A"/>
    <e v="#N/A"/>
  </r>
  <r>
    <n v="2922"/>
    <d v="2016-01-30T10:26:13"/>
    <d v="2016-01-30T10:41:14"/>
    <x v="0"/>
    <s v="Medium"/>
    <m/>
    <x v="1"/>
    <n v="70806"/>
    <n v="1.08610781881055"/>
    <d v="2016-01-30T10:46:39"/>
    <n v="19.579999999999998"/>
    <x v="1023"/>
    <n v="2"/>
    <n v="1"/>
    <n v="1.7"/>
    <n v="0"/>
    <n v="2.7"/>
    <x v="1010"/>
    <x v="0"/>
    <x v="1489"/>
    <x v="844"/>
    <n v="7"/>
    <n v="10"/>
    <e v="#N/A"/>
  </r>
  <r>
    <n v="2923"/>
    <d v="2016-01-30T11:33:47"/>
    <d v="2016-01-30T11:48:47"/>
    <x v="1"/>
    <m/>
    <m/>
    <x v="0"/>
    <n v="70804"/>
    <n v="0"/>
    <d v="2016-01-30T11:51:47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2924"/>
    <d v="2016-01-30T12:17:12"/>
    <d v="2016-01-30T12:32:12"/>
    <x v="1"/>
    <m/>
    <m/>
    <x v="0"/>
    <n v="70805"/>
    <n v="0"/>
    <d v="2016-01-30T12:35:12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2925"/>
    <d v="2016-01-30T10:35:29"/>
    <d v="2016-01-30T10:50:29"/>
    <x v="2"/>
    <m/>
    <m/>
    <x v="1"/>
    <n v="70803"/>
    <n v="1.9506022742646301"/>
    <d v="2016-01-30T11:00:14"/>
    <n v="11.59"/>
    <x v="64"/>
    <n v="1"/>
    <n v="1.7"/>
    <n v="0"/>
    <n v="0"/>
    <n v="1.7"/>
    <x v="56"/>
    <x v="0"/>
    <x v="1490"/>
    <x v="845"/>
    <n v="10"/>
    <e v="#N/A"/>
    <e v="#N/A"/>
  </r>
  <r>
    <n v="2926"/>
    <d v="2016-01-30T13:04:05"/>
    <d v="2016-01-30T13:19:06"/>
    <x v="2"/>
    <m/>
    <m/>
    <x v="0"/>
    <n v="70804"/>
    <n v="0"/>
    <d v="2016-01-30T13:22:04"/>
    <n v="11.59"/>
    <x v="0"/>
    <n v="1"/>
    <n v="1.7"/>
    <n v="0"/>
    <n v="0"/>
    <n v="1.7"/>
    <x v="0"/>
    <x v="0"/>
    <x v="0"/>
    <x v="0"/>
    <n v="10"/>
    <e v="#N/A"/>
    <e v="#N/A"/>
  </r>
  <r>
    <n v="2927"/>
    <d v="2016-01-30T11:41:19"/>
    <d v="2016-01-30T11:56:17"/>
    <x v="0"/>
    <m/>
    <m/>
    <x v="0"/>
    <n v="70803"/>
    <n v="0"/>
    <d v="2016-01-30T11:59:18"/>
    <n v="7.99"/>
    <x v="14"/>
    <n v="1"/>
    <n v="1"/>
    <n v="0"/>
    <n v="0"/>
    <n v="1"/>
    <x v="0"/>
    <x v="0"/>
    <x v="0"/>
    <x v="0"/>
    <n v="7"/>
    <e v="#N/A"/>
    <e v="#N/A"/>
  </r>
  <r>
    <n v="2928"/>
    <d v="2016-01-30T10:18:08"/>
    <d v="2016-01-30T10:33:09"/>
    <x v="0"/>
    <s v="Medium"/>
    <m/>
    <x v="0"/>
    <n v="70804"/>
    <n v="0"/>
    <d v="2016-01-30T10:36:10"/>
    <n v="19.579999999999998"/>
    <x v="56"/>
    <n v="2"/>
    <n v="1"/>
    <n v="1.7"/>
    <n v="0"/>
    <n v="2.7"/>
    <x v="0"/>
    <x v="0"/>
    <x v="0"/>
    <x v="0"/>
    <n v="7"/>
    <n v="10"/>
    <e v="#N/A"/>
  </r>
  <r>
    <n v="2929"/>
    <d v="2016-01-30T10:18:30"/>
    <d v="2016-01-30T10:33:30"/>
    <x v="0"/>
    <s v="Medium"/>
    <m/>
    <x v="0"/>
    <n v="70804"/>
    <n v="0"/>
    <d v="2016-01-30T10:36:30"/>
    <n v="19.579999999999998"/>
    <x v="2"/>
    <n v="2"/>
    <n v="1"/>
    <n v="1.7"/>
    <n v="0"/>
    <n v="2.7"/>
    <x v="0"/>
    <x v="0"/>
    <x v="0"/>
    <x v="0"/>
    <n v="7"/>
    <n v="10"/>
    <e v="#N/A"/>
  </r>
  <r>
    <n v="2930"/>
    <d v="2016-01-30T10:05:39"/>
    <d v="2016-01-30T10:20:39"/>
    <x v="0"/>
    <m/>
    <m/>
    <x v="0"/>
    <n v="70806"/>
    <n v="0"/>
    <d v="2016-01-30T10:23:38"/>
    <n v="7.99"/>
    <x v="24"/>
    <n v="1"/>
    <n v="1"/>
    <n v="0"/>
    <n v="0"/>
    <n v="1"/>
    <x v="0"/>
    <x v="0"/>
    <x v="0"/>
    <x v="0"/>
    <n v="7"/>
    <e v="#N/A"/>
    <e v="#N/A"/>
  </r>
  <r>
    <n v="2931"/>
    <d v="2016-01-30T11:23:40"/>
    <d v="2016-01-30T11:38:42"/>
    <x v="1"/>
    <m/>
    <m/>
    <x v="1"/>
    <n v="70803"/>
    <n v="2.7173353459632401"/>
    <d v="2016-01-30T11:52:17"/>
    <n v="15.35"/>
    <x v="1024"/>
    <n v="1"/>
    <n v="2.2999999999999998"/>
    <n v="0"/>
    <n v="0"/>
    <n v="2.2999999999999998"/>
    <x v="1011"/>
    <x v="0"/>
    <x v="1491"/>
    <x v="846"/>
    <n v="14"/>
    <e v="#N/A"/>
    <e v="#N/A"/>
  </r>
  <r>
    <n v="2932"/>
    <d v="2016-01-30T12:57:35"/>
    <d v="2016-01-30T13:12:33"/>
    <x v="0"/>
    <s v="Large"/>
    <m/>
    <x v="0"/>
    <n v="70804"/>
    <n v="0"/>
    <d v="2016-01-30T13:15:32"/>
    <n v="23.34"/>
    <x v="1"/>
    <n v="2"/>
    <n v="1"/>
    <n v="2.2999999999999998"/>
    <n v="0"/>
    <n v="3.3"/>
    <x v="0"/>
    <x v="0"/>
    <x v="0"/>
    <x v="0"/>
    <n v="7"/>
    <n v="14"/>
    <e v="#N/A"/>
  </r>
  <r>
    <n v="2933"/>
    <d v="2016-01-30T10:12:11"/>
    <d v="2016-01-30T10:27:09"/>
    <x v="1"/>
    <m/>
    <m/>
    <x v="1"/>
    <n v="70805"/>
    <n v="2.6412047343671001"/>
    <d v="2016-01-30T10:40:21"/>
    <n v="15.35"/>
    <x v="690"/>
    <n v="1"/>
    <n v="2.2999999999999998"/>
    <n v="0"/>
    <n v="0"/>
    <n v="2.2999999999999998"/>
    <x v="677"/>
    <x v="0"/>
    <x v="1492"/>
    <x v="847"/>
    <n v="14"/>
    <e v="#N/A"/>
    <e v="#N/A"/>
  </r>
  <r>
    <n v="2934"/>
    <d v="2016-01-30T11:40:24"/>
    <d v="2016-01-30T11:55:24"/>
    <x v="2"/>
    <m/>
    <m/>
    <x v="0"/>
    <n v="70805"/>
    <n v="0"/>
    <d v="2016-01-30T11:58:24"/>
    <n v="11.59"/>
    <x v="2"/>
    <n v="1"/>
    <n v="1.7"/>
    <n v="0"/>
    <n v="0"/>
    <n v="1.7"/>
    <x v="0"/>
    <x v="0"/>
    <x v="0"/>
    <x v="0"/>
    <n v="10"/>
    <e v="#N/A"/>
    <e v="#N/A"/>
  </r>
  <r>
    <n v="2935"/>
    <d v="2016-01-30T13:47:46"/>
    <d v="2016-01-30T14:02:46"/>
    <x v="2"/>
    <m/>
    <m/>
    <x v="0"/>
    <n v="70804"/>
    <n v="0"/>
    <d v="2016-01-30T14:05:44"/>
    <n v="11.59"/>
    <x v="0"/>
    <n v="1"/>
    <n v="1.7"/>
    <n v="0"/>
    <n v="0"/>
    <n v="1.7"/>
    <x v="0"/>
    <x v="0"/>
    <x v="0"/>
    <x v="0"/>
    <n v="10"/>
    <e v="#N/A"/>
    <e v="#N/A"/>
  </r>
  <r>
    <n v="2936"/>
    <d v="2016-01-30T12:46:29"/>
    <d v="2016-01-30T13:01:27"/>
    <x v="1"/>
    <m/>
    <m/>
    <x v="1"/>
    <n v="70805"/>
    <n v="2.7763522237740301"/>
    <d v="2016-01-30T13:15:19"/>
    <n v="15.35"/>
    <x v="700"/>
    <n v="1"/>
    <n v="2.2999999999999998"/>
    <n v="0"/>
    <n v="0"/>
    <n v="2.2999999999999998"/>
    <x v="687"/>
    <x v="0"/>
    <x v="1493"/>
    <x v="848"/>
    <n v="14"/>
    <e v="#N/A"/>
    <e v="#N/A"/>
  </r>
  <r>
    <n v="2937"/>
    <d v="2016-01-30T14:38:45"/>
    <d v="2016-01-30T14:53:45"/>
    <x v="2"/>
    <m/>
    <m/>
    <x v="1"/>
    <n v="70805"/>
    <n v="1.4899277917487199"/>
    <d v="2016-01-30T15:01:11"/>
    <n v="11.59"/>
    <x v="1025"/>
    <n v="1"/>
    <n v="1.7"/>
    <n v="0"/>
    <n v="0"/>
    <n v="1.7"/>
    <x v="1012"/>
    <x v="0"/>
    <x v="1494"/>
    <x v="849"/>
    <n v="10"/>
    <e v="#N/A"/>
    <e v="#N/A"/>
  </r>
  <r>
    <n v="2938"/>
    <d v="2016-01-30T10:39:46"/>
    <d v="2016-01-30T10:54:44"/>
    <x v="1"/>
    <m/>
    <m/>
    <x v="1"/>
    <n v="70806"/>
    <n v="1.3757927211648999"/>
    <d v="2016-01-30T11:01:36"/>
    <n v="15.35"/>
    <x v="1026"/>
    <n v="1"/>
    <n v="2.2999999999999998"/>
    <n v="0"/>
    <n v="0"/>
    <n v="2.2999999999999998"/>
    <x v="1013"/>
    <x v="0"/>
    <x v="1495"/>
    <x v="850"/>
    <n v="14"/>
    <e v="#N/A"/>
    <e v="#N/A"/>
  </r>
  <r>
    <n v="2939"/>
    <d v="2016-01-30T10:13:25"/>
    <d v="2016-01-30T10:28:25"/>
    <x v="0"/>
    <m/>
    <m/>
    <x v="1"/>
    <n v="70805"/>
    <n v="1.74589543808423"/>
    <d v="2016-01-30T10:37:08"/>
    <n v="7.99"/>
    <x v="1027"/>
    <n v="1"/>
    <n v="1"/>
    <n v="0"/>
    <n v="0"/>
    <n v="1"/>
    <x v="1014"/>
    <x v="0"/>
    <x v="1496"/>
    <x v="851"/>
    <n v="7"/>
    <e v="#N/A"/>
    <e v="#N/A"/>
  </r>
  <r>
    <n v="2940"/>
    <d v="2016-01-30T11:11:20"/>
    <d v="2016-01-30T11:26:19"/>
    <x v="0"/>
    <m/>
    <m/>
    <x v="0"/>
    <n v="70803"/>
    <n v="0"/>
    <d v="2016-01-30T11:29:20"/>
    <n v="7.99"/>
    <x v="56"/>
    <n v="1"/>
    <n v="1"/>
    <n v="0"/>
    <n v="0"/>
    <n v="1"/>
    <x v="0"/>
    <x v="0"/>
    <x v="0"/>
    <x v="0"/>
    <n v="7"/>
    <e v="#N/A"/>
    <e v="#N/A"/>
  </r>
  <r>
    <n v="2941"/>
    <d v="2016-01-30T10:31:09"/>
    <d v="2016-01-30T10:46:07"/>
    <x v="0"/>
    <m/>
    <m/>
    <x v="1"/>
    <n v="70806"/>
    <n v="4.1811229046982303"/>
    <d v="2016-01-30T11:07:01"/>
    <n v="7.99"/>
    <x v="1028"/>
    <n v="1"/>
    <n v="1"/>
    <n v="0"/>
    <n v="0"/>
    <n v="1"/>
    <x v="1015"/>
    <x v="1"/>
    <x v="1497"/>
    <x v="0"/>
    <n v="7"/>
    <e v="#N/A"/>
    <e v="#N/A"/>
  </r>
  <r>
    <n v="2942"/>
    <d v="2016-01-30T12:32:15"/>
    <d v="2016-01-30T12:47:15"/>
    <x v="0"/>
    <s v="Large"/>
    <m/>
    <x v="0"/>
    <n v="70806"/>
    <n v="0"/>
    <d v="2016-01-30T12:50:16"/>
    <n v="23.34"/>
    <x v="56"/>
    <n v="2"/>
    <n v="1"/>
    <n v="2.2999999999999998"/>
    <n v="0"/>
    <n v="3.3"/>
    <x v="0"/>
    <x v="0"/>
    <x v="0"/>
    <x v="0"/>
    <n v="7"/>
    <n v="14"/>
    <e v="#N/A"/>
  </r>
  <r>
    <n v="2943"/>
    <d v="2016-01-30T11:52:34"/>
    <d v="2016-01-30T12:07:34"/>
    <x v="2"/>
    <m/>
    <m/>
    <x v="0"/>
    <n v="70804"/>
    <n v="0"/>
    <d v="2016-01-30T12:10:33"/>
    <n v="11.59"/>
    <x v="1"/>
    <n v="1"/>
    <n v="1.7"/>
    <n v="0"/>
    <n v="0"/>
    <n v="1.7"/>
    <x v="0"/>
    <x v="0"/>
    <x v="0"/>
    <x v="0"/>
    <n v="10"/>
    <e v="#N/A"/>
    <e v="#N/A"/>
  </r>
  <r>
    <n v="2944"/>
    <d v="2016-01-30T12:54:43"/>
    <d v="2016-01-30T13:09:42"/>
    <x v="1"/>
    <m/>
    <m/>
    <x v="0"/>
    <n v="70805"/>
    <n v="0"/>
    <d v="2016-01-30T13:12:41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2945"/>
    <d v="2016-01-30T13:52:35"/>
    <d v="2016-01-30T14:07:33"/>
    <x v="2"/>
    <m/>
    <m/>
    <x v="1"/>
    <n v="70803"/>
    <n v="3.14637585781225"/>
    <d v="2016-01-30T14:23:16"/>
    <n v="11.59"/>
    <x v="42"/>
    <n v="1"/>
    <n v="1.7"/>
    <n v="0"/>
    <n v="0"/>
    <n v="1.7"/>
    <x v="36"/>
    <x v="0"/>
    <x v="1498"/>
    <x v="852"/>
    <n v="10"/>
    <e v="#N/A"/>
    <e v="#N/A"/>
  </r>
  <r>
    <n v="2946"/>
    <d v="2016-01-30T12:39:21"/>
    <d v="2016-01-30T12:54:19"/>
    <x v="0"/>
    <m/>
    <m/>
    <x v="1"/>
    <n v="70805"/>
    <n v="4.0152233514831703"/>
    <d v="2016-01-30T13:14:23"/>
    <n v="7.99"/>
    <x v="621"/>
    <n v="1"/>
    <n v="1"/>
    <n v="0"/>
    <n v="0"/>
    <n v="1"/>
    <x v="608"/>
    <x v="1"/>
    <x v="1499"/>
    <x v="0"/>
    <n v="7"/>
    <e v="#N/A"/>
    <e v="#N/A"/>
  </r>
  <r>
    <n v="2947"/>
    <d v="2016-01-30T12:55:39"/>
    <d v="2016-01-30T13:10:40"/>
    <x v="0"/>
    <m/>
    <m/>
    <x v="0"/>
    <n v="70803"/>
    <n v="0"/>
    <d v="2016-01-30T13:13:39"/>
    <n v="7.99"/>
    <x v="1"/>
    <n v="1"/>
    <n v="1"/>
    <n v="0"/>
    <n v="0"/>
    <n v="1"/>
    <x v="0"/>
    <x v="0"/>
    <x v="0"/>
    <x v="0"/>
    <n v="7"/>
    <e v="#N/A"/>
    <e v="#N/A"/>
  </r>
  <r>
    <n v="2948"/>
    <d v="2016-01-30T10:04:37"/>
    <d v="2016-01-30T10:19:38"/>
    <x v="0"/>
    <s v="Medium"/>
    <m/>
    <x v="1"/>
    <n v="70805"/>
    <n v="1.7325380883743799"/>
    <d v="2016-01-30T10:28:17"/>
    <n v="19.579999999999998"/>
    <x v="330"/>
    <n v="2"/>
    <n v="1"/>
    <n v="1.7"/>
    <n v="0"/>
    <n v="2.7"/>
    <x v="317"/>
    <x v="0"/>
    <x v="1500"/>
    <x v="853"/>
    <n v="7"/>
    <n v="10"/>
    <e v="#N/A"/>
  </r>
  <r>
    <n v="2949"/>
    <d v="2016-01-30T11:33:11"/>
    <d v="2016-01-30T11:48:10"/>
    <x v="1"/>
    <m/>
    <m/>
    <x v="0"/>
    <n v="70805"/>
    <n v="0"/>
    <d v="2016-01-30T11:51:10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2950"/>
    <d v="2016-01-30T12:02:54"/>
    <d v="2016-01-30T12:17:54"/>
    <x v="2"/>
    <m/>
    <m/>
    <x v="1"/>
    <n v="70807"/>
    <n v="4.7154154439909401"/>
    <d v="2016-01-30T12:41:28"/>
    <n v="11.59"/>
    <x v="1029"/>
    <n v="1"/>
    <n v="1.7"/>
    <n v="0"/>
    <n v="0"/>
    <n v="1.7"/>
    <x v="1016"/>
    <x v="1"/>
    <x v="1501"/>
    <x v="0"/>
    <n v="10"/>
    <e v="#N/A"/>
    <e v="#N/A"/>
  </r>
  <r>
    <n v="2951"/>
    <d v="2016-01-30T12:47:48"/>
    <d v="2016-01-30T13:02:47"/>
    <x v="0"/>
    <s v="Large"/>
    <m/>
    <x v="0"/>
    <n v="70805"/>
    <n v="0"/>
    <d v="2016-01-30T13:05:46"/>
    <n v="23.34"/>
    <x v="1"/>
    <n v="2"/>
    <n v="1"/>
    <n v="2.2999999999999998"/>
    <n v="0"/>
    <n v="3.3"/>
    <x v="0"/>
    <x v="0"/>
    <x v="0"/>
    <x v="0"/>
    <n v="7"/>
    <n v="14"/>
    <e v="#N/A"/>
  </r>
  <r>
    <n v="2952"/>
    <d v="2016-01-30T10:38:35"/>
    <d v="2016-01-30T10:53:35"/>
    <x v="1"/>
    <m/>
    <m/>
    <x v="1"/>
    <n v="70806"/>
    <n v="3.2797115447694898"/>
    <d v="2016-01-30T11:09:58"/>
    <n v="15.35"/>
    <x v="1030"/>
    <n v="1"/>
    <n v="2.2999999999999998"/>
    <n v="0"/>
    <n v="0"/>
    <n v="2.2999999999999998"/>
    <x v="1017"/>
    <x v="1"/>
    <x v="1502"/>
    <x v="0"/>
    <n v="14"/>
    <e v="#N/A"/>
    <e v="#N/A"/>
  </r>
  <r>
    <n v="2953"/>
    <d v="2016-01-30T12:05:53"/>
    <d v="2016-01-30T12:20:53"/>
    <x v="0"/>
    <m/>
    <m/>
    <x v="0"/>
    <n v="70806"/>
    <n v="0"/>
    <d v="2016-01-30T12:23:54"/>
    <n v="7.99"/>
    <x v="14"/>
    <n v="1"/>
    <n v="1"/>
    <n v="0"/>
    <n v="0"/>
    <n v="1"/>
    <x v="0"/>
    <x v="0"/>
    <x v="0"/>
    <x v="0"/>
    <n v="7"/>
    <e v="#N/A"/>
    <e v="#N/A"/>
  </r>
  <r>
    <n v="2954"/>
    <d v="2016-01-30T11:34:08"/>
    <d v="2016-01-30T11:49:08"/>
    <x v="2"/>
    <m/>
    <m/>
    <x v="1"/>
    <n v="70805"/>
    <n v="2.3123504734943801"/>
    <d v="2016-01-30T12:00:41"/>
    <n v="11.59"/>
    <x v="1031"/>
    <n v="1"/>
    <n v="1.7"/>
    <n v="0"/>
    <n v="0"/>
    <n v="1.7"/>
    <x v="1018"/>
    <x v="0"/>
    <x v="1503"/>
    <x v="854"/>
    <n v="10"/>
    <e v="#N/A"/>
    <e v="#N/A"/>
  </r>
  <r>
    <n v="2955"/>
    <d v="2016-01-30T12:09:03"/>
    <d v="2016-01-30T12:24:03"/>
    <x v="0"/>
    <s v="Medium"/>
    <m/>
    <x v="1"/>
    <n v="70804"/>
    <n v="1.39151539423091"/>
    <d v="2016-01-30T12:31:00"/>
    <n v="19.579999999999998"/>
    <x v="1032"/>
    <n v="2"/>
    <n v="1"/>
    <n v="1.7"/>
    <n v="0"/>
    <n v="2.7"/>
    <x v="1019"/>
    <x v="0"/>
    <x v="1504"/>
    <x v="855"/>
    <n v="7"/>
    <n v="10"/>
    <e v="#N/A"/>
  </r>
  <r>
    <n v="2956"/>
    <d v="2016-01-30T13:52:27"/>
    <d v="2016-01-30T14:07:26"/>
    <x v="1"/>
    <m/>
    <m/>
    <x v="1"/>
    <n v="70805"/>
    <n v="4.3678275894310703"/>
    <d v="2016-01-30T14:29:16"/>
    <n v="15.35"/>
    <x v="1033"/>
    <n v="1"/>
    <n v="2.2999999999999998"/>
    <n v="0"/>
    <n v="0"/>
    <n v="2.2999999999999998"/>
    <x v="1020"/>
    <x v="1"/>
    <x v="1505"/>
    <x v="0"/>
    <n v="14"/>
    <e v="#N/A"/>
    <e v="#N/A"/>
  </r>
  <r>
    <n v="2957"/>
    <d v="2016-01-30T10:37:55"/>
    <d v="2016-01-30T10:52:54"/>
    <x v="0"/>
    <s v="Medium"/>
    <m/>
    <x v="0"/>
    <n v="70804"/>
    <n v="0"/>
    <d v="2016-01-30T10:55:54"/>
    <n v="19.579999999999998"/>
    <x v="2"/>
    <n v="2"/>
    <n v="1"/>
    <n v="1.7"/>
    <n v="0"/>
    <n v="2.7"/>
    <x v="0"/>
    <x v="0"/>
    <x v="0"/>
    <x v="0"/>
    <n v="7"/>
    <n v="10"/>
    <e v="#N/A"/>
  </r>
  <r>
    <n v="2958"/>
    <d v="2016-01-30T12:23:21"/>
    <d v="2016-01-30T12:38:20"/>
    <x v="2"/>
    <m/>
    <m/>
    <x v="0"/>
    <n v="70805"/>
    <n v="0"/>
    <d v="2016-01-30T12:41:18"/>
    <n v="11.59"/>
    <x v="0"/>
    <n v="1"/>
    <n v="1.7"/>
    <n v="0"/>
    <n v="0"/>
    <n v="1.7"/>
    <x v="0"/>
    <x v="0"/>
    <x v="0"/>
    <x v="0"/>
    <n v="10"/>
    <e v="#N/A"/>
    <e v="#N/A"/>
  </r>
  <r>
    <n v="2959"/>
    <d v="2016-01-30T13:38:51"/>
    <d v="2016-01-30T13:53:51"/>
    <x v="1"/>
    <m/>
    <m/>
    <x v="1"/>
    <n v="70803"/>
    <n v="2.8302122754040302"/>
    <d v="2016-01-30T14:08:00"/>
    <n v="15.35"/>
    <x v="1034"/>
    <n v="1"/>
    <n v="2.2999999999999998"/>
    <n v="0"/>
    <n v="0"/>
    <n v="2.2999999999999998"/>
    <x v="1021"/>
    <x v="0"/>
    <x v="1506"/>
    <x v="856"/>
    <n v="14"/>
    <e v="#N/A"/>
    <e v="#N/A"/>
  </r>
  <r>
    <n v="2960"/>
    <d v="2016-01-30T11:59:46"/>
    <d v="2016-01-30T12:14:45"/>
    <x v="0"/>
    <s v="Medium"/>
    <m/>
    <x v="1"/>
    <n v="70806"/>
    <n v="3.77466574211727"/>
    <d v="2016-01-30T12:33:37"/>
    <n v="19.579999999999998"/>
    <x v="440"/>
    <n v="2"/>
    <n v="1"/>
    <n v="1.7"/>
    <n v="0"/>
    <n v="2.7"/>
    <x v="427"/>
    <x v="1"/>
    <x v="1507"/>
    <x v="0"/>
    <n v="7"/>
    <n v="10"/>
    <e v="#N/A"/>
  </r>
  <r>
    <n v="2961"/>
    <d v="2016-01-30T13:21:16"/>
    <d v="2016-01-30T13:36:16"/>
    <x v="1"/>
    <m/>
    <m/>
    <x v="0"/>
    <n v="70807"/>
    <n v="0"/>
    <d v="2016-01-30T13:39:14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2962"/>
    <d v="2016-01-30T11:30:20"/>
    <d v="2016-01-30T11:45:20"/>
    <x v="0"/>
    <s v="Medium"/>
    <m/>
    <x v="0"/>
    <n v="70805"/>
    <n v="0"/>
    <d v="2016-01-30T11:48:19"/>
    <n v="19.579999999999998"/>
    <x v="1"/>
    <n v="2"/>
    <n v="1"/>
    <n v="1.7"/>
    <n v="0"/>
    <n v="2.7"/>
    <x v="0"/>
    <x v="0"/>
    <x v="0"/>
    <x v="0"/>
    <n v="7"/>
    <n v="10"/>
    <e v="#N/A"/>
  </r>
  <r>
    <n v="2963"/>
    <d v="2016-01-30T10:43:02"/>
    <d v="2016-01-30T10:58:02"/>
    <x v="2"/>
    <m/>
    <m/>
    <x v="1"/>
    <n v="70805"/>
    <n v="3.6365217534324401"/>
    <d v="2016-01-30T11:16:12"/>
    <n v="11.59"/>
    <x v="1035"/>
    <n v="1"/>
    <n v="1.7"/>
    <n v="0"/>
    <n v="0"/>
    <n v="1.7"/>
    <x v="1022"/>
    <x v="1"/>
    <x v="1508"/>
    <x v="0"/>
    <n v="10"/>
    <e v="#N/A"/>
    <e v="#N/A"/>
  </r>
  <r>
    <n v="2964"/>
    <d v="2016-01-30T11:25:05"/>
    <d v="2016-01-30T11:40:04"/>
    <x v="0"/>
    <s v="Medium"/>
    <m/>
    <x v="0"/>
    <n v="70803"/>
    <n v="0"/>
    <d v="2016-01-30T11:43:02"/>
    <n v="19.579999999999998"/>
    <x v="0"/>
    <n v="2"/>
    <n v="1"/>
    <n v="1.7"/>
    <n v="0"/>
    <n v="2.7"/>
    <x v="0"/>
    <x v="0"/>
    <x v="0"/>
    <x v="0"/>
    <n v="7"/>
    <n v="10"/>
    <e v="#N/A"/>
  </r>
  <r>
    <n v="2965"/>
    <d v="2016-01-30T12:04:54"/>
    <d v="2016-01-30T12:19:53"/>
    <x v="0"/>
    <s v="Large"/>
    <m/>
    <x v="0"/>
    <n v="70804"/>
    <n v="0"/>
    <d v="2016-01-30T12:22:54"/>
    <n v="23.34"/>
    <x v="14"/>
    <n v="2"/>
    <n v="1"/>
    <n v="2.2999999999999998"/>
    <n v="0"/>
    <n v="3.3"/>
    <x v="0"/>
    <x v="0"/>
    <x v="0"/>
    <x v="0"/>
    <n v="7"/>
    <n v="14"/>
    <e v="#N/A"/>
  </r>
  <r>
    <n v="2966"/>
    <d v="2016-01-30T11:55:41"/>
    <d v="2016-01-30T12:10:40"/>
    <x v="0"/>
    <s v="Large"/>
    <m/>
    <x v="1"/>
    <n v="70804"/>
    <n v="2.6867478566251002"/>
    <d v="2016-01-30T12:24:06"/>
    <n v="23.34"/>
    <x v="429"/>
    <n v="2"/>
    <n v="1"/>
    <n v="2.2999999999999998"/>
    <n v="0"/>
    <n v="3.3"/>
    <x v="416"/>
    <x v="0"/>
    <x v="1509"/>
    <x v="857"/>
    <n v="7"/>
    <n v="14"/>
    <e v="#N/A"/>
  </r>
  <r>
    <n v="2967"/>
    <d v="2016-01-30T12:51:01"/>
    <d v="2016-01-30T13:06:00"/>
    <x v="2"/>
    <s v="Large"/>
    <m/>
    <x v="0"/>
    <n v="70806"/>
    <n v="0"/>
    <d v="2016-01-30T13:08:59"/>
    <n v="25.94"/>
    <x v="1"/>
    <n v="2"/>
    <n v="1.7"/>
    <n v="2.2999999999999998"/>
    <n v="0"/>
    <n v="4"/>
    <x v="0"/>
    <x v="0"/>
    <x v="0"/>
    <x v="0"/>
    <n v="10"/>
    <n v="14"/>
    <e v="#N/A"/>
  </r>
  <r>
    <n v="2968"/>
    <d v="2016-01-30T11:35:14"/>
    <d v="2016-01-30T11:50:13"/>
    <x v="2"/>
    <m/>
    <m/>
    <x v="1"/>
    <n v="70804"/>
    <n v="4.3342367672014301"/>
    <d v="2016-01-30T12:11:53"/>
    <n v="11.59"/>
    <x v="1036"/>
    <n v="1"/>
    <n v="1.7"/>
    <n v="0"/>
    <n v="0"/>
    <n v="1.7"/>
    <x v="1023"/>
    <x v="1"/>
    <x v="1510"/>
    <x v="0"/>
    <n v="10"/>
    <e v="#N/A"/>
    <e v="#N/A"/>
  </r>
  <r>
    <n v="2969"/>
    <d v="2016-01-30T12:44:43"/>
    <d v="2016-01-30T12:59:43"/>
    <x v="2"/>
    <m/>
    <m/>
    <x v="0"/>
    <n v="70805"/>
    <n v="0"/>
    <d v="2016-01-30T13:02:43"/>
    <n v="11.59"/>
    <x v="2"/>
    <n v="1"/>
    <n v="1.7"/>
    <n v="0"/>
    <n v="0"/>
    <n v="1.7"/>
    <x v="0"/>
    <x v="0"/>
    <x v="0"/>
    <x v="0"/>
    <n v="10"/>
    <e v="#N/A"/>
    <e v="#N/A"/>
  </r>
  <r>
    <n v="2970"/>
    <d v="2016-01-30T11:58:10"/>
    <d v="2016-01-30T12:13:10"/>
    <x v="0"/>
    <s v="Medium"/>
    <m/>
    <x v="0"/>
    <n v="70804"/>
    <n v="0"/>
    <d v="2016-01-30T12:16:11"/>
    <n v="19.579999999999998"/>
    <x v="14"/>
    <n v="2"/>
    <n v="1"/>
    <n v="1.7"/>
    <n v="0"/>
    <n v="2.7"/>
    <x v="0"/>
    <x v="0"/>
    <x v="0"/>
    <x v="0"/>
    <n v="7"/>
    <n v="10"/>
    <e v="#N/A"/>
  </r>
  <r>
    <n v="2971"/>
    <d v="2016-01-30T12:35:47"/>
    <d v="2016-01-30T12:50:45"/>
    <x v="1"/>
    <m/>
    <m/>
    <x v="0"/>
    <n v="70806"/>
    <n v="0"/>
    <d v="2016-01-30T12:53:46"/>
    <n v="15.35"/>
    <x v="56"/>
    <n v="1"/>
    <n v="2.2999999999999998"/>
    <n v="0"/>
    <n v="0"/>
    <n v="2.2999999999999998"/>
    <x v="0"/>
    <x v="0"/>
    <x v="0"/>
    <x v="0"/>
    <n v="14"/>
    <e v="#N/A"/>
    <e v="#N/A"/>
  </r>
  <r>
    <n v="2972"/>
    <d v="2016-01-30T14:39:26"/>
    <d v="2016-01-30T14:54:25"/>
    <x v="1"/>
    <m/>
    <m/>
    <x v="0"/>
    <n v="70804"/>
    <n v="0"/>
    <d v="2016-01-30T14:57:25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2973"/>
    <d v="2016-01-30T11:40:31"/>
    <d v="2016-01-30T11:55:31"/>
    <x v="2"/>
    <m/>
    <m/>
    <x v="1"/>
    <n v="70803"/>
    <n v="3.75906950805506"/>
    <d v="2016-01-30T12:14:18"/>
    <n v="11.59"/>
    <x v="117"/>
    <n v="1"/>
    <n v="1.7"/>
    <n v="0"/>
    <n v="0"/>
    <n v="1.7"/>
    <x v="107"/>
    <x v="1"/>
    <x v="1511"/>
    <x v="0"/>
    <n v="10"/>
    <e v="#N/A"/>
    <e v="#N/A"/>
  </r>
  <r>
    <n v="2974"/>
    <d v="2016-01-30T11:01:56"/>
    <d v="2016-01-30T11:16:55"/>
    <x v="2"/>
    <m/>
    <m/>
    <x v="1"/>
    <n v="70803"/>
    <n v="2.1805201781179302"/>
    <d v="2016-01-30T11:27:49"/>
    <n v="11.59"/>
    <x v="323"/>
    <n v="1"/>
    <n v="1.7"/>
    <n v="0"/>
    <n v="0"/>
    <n v="1.7"/>
    <x v="310"/>
    <x v="0"/>
    <x v="1512"/>
    <x v="858"/>
    <n v="10"/>
    <e v="#N/A"/>
    <e v="#N/A"/>
  </r>
  <r>
    <n v="2975"/>
    <d v="2016-01-30T13:20:25"/>
    <d v="2016-01-30T13:35:23"/>
    <x v="1"/>
    <m/>
    <m/>
    <x v="1"/>
    <n v="70805"/>
    <n v="3.1598670953856298"/>
    <d v="2016-01-30T13:51:10"/>
    <n v="15.35"/>
    <x v="484"/>
    <n v="1"/>
    <n v="2.2999999999999998"/>
    <n v="0"/>
    <n v="0"/>
    <n v="2.2999999999999998"/>
    <x v="471"/>
    <x v="0"/>
    <x v="1513"/>
    <x v="859"/>
    <n v="14"/>
    <e v="#N/A"/>
    <e v="#N/A"/>
  </r>
  <r>
    <n v="2976"/>
    <d v="2016-01-30T12:18:15"/>
    <d v="2016-01-30T12:33:13"/>
    <x v="0"/>
    <m/>
    <m/>
    <x v="0"/>
    <n v="70803"/>
    <n v="0"/>
    <d v="2016-01-30T12:36:11"/>
    <n v="7.99"/>
    <x v="0"/>
    <n v="1"/>
    <n v="1"/>
    <n v="0"/>
    <n v="0"/>
    <n v="1"/>
    <x v="0"/>
    <x v="0"/>
    <x v="0"/>
    <x v="0"/>
    <n v="7"/>
    <e v="#N/A"/>
    <e v="#N/A"/>
  </r>
  <r>
    <n v="2977"/>
    <d v="2016-01-30T11:04:10"/>
    <d v="2016-01-30T11:19:11"/>
    <x v="0"/>
    <s v="Medium"/>
    <m/>
    <x v="1"/>
    <n v="70804"/>
    <n v="1.38033139787148"/>
    <d v="2016-01-30T11:26:05"/>
    <n v="19.579999999999998"/>
    <x v="1037"/>
    <n v="2"/>
    <n v="1"/>
    <n v="1.7"/>
    <n v="0"/>
    <n v="2.7"/>
    <x v="1024"/>
    <x v="0"/>
    <x v="1514"/>
    <x v="860"/>
    <n v="7"/>
    <n v="10"/>
    <e v="#N/A"/>
  </r>
  <r>
    <n v="2978"/>
    <d v="2016-01-30T12:31:36"/>
    <d v="2016-01-30T12:46:36"/>
    <x v="0"/>
    <s v="Medium"/>
    <m/>
    <x v="1"/>
    <n v="70807"/>
    <n v="1.8937474876582701"/>
    <d v="2016-01-30T12:56:04"/>
    <n v="19.579999999999998"/>
    <x v="1038"/>
    <n v="2"/>
    <n v="1"/>
    <n v="1.7"/>
    <n v="0"/>
    <n v="2.7"/>
    <x v="1025"/>
    <x v="0"/>
    <x v="1515"/>
    <x v="861"/>
    <n v="7"/>
    <n v="10"/>
    <e v="#N/A"/>
  </r>
  <r>
    <n v="2979"/>
    <d v="2016-01-30T11:19:21"/>
    <d v="2016-01-30T11:34:21"/>
    <x v="1"/>
    <m/>
    <m/>
    <x v="0"/>
    <n v="70804"/>
    <n v="0"/>
    <d v="2016-01-30T11:37:21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2980"/>
    <d v="2016-01-30T11:43:36"/>
    <d v="2016-01-30T11:58:34"/>
    <x v="2"/>
    <m/>
    <m/>
    <x v="0"/>
    <n v="70808"/>
    <n v="0"/>
    <d v="2016-01-30T12:01:34"/>
    <n v="11.59"/>
    <x v="2"/>
    <n v="1"/>
    <n v="1.7"/>
    <n v="0"/>
    <n v="0"/>
    <n v="1.7"/>
    <x v="0"/>
    <x v="0"/>
    <x v="0"/>
    <x v="0"/>
    <n v="10"/>
    <e v="#N/A"/>
    <e v="#N/A"/>
  </r>
  <r>
    <n v="2981"/>
    <d v="2016-01-30T12:54:21"/>
    <d v="2016-01-30T13:09:20"/>
    <x v="0"/>
    <m/>
    <m/>
    <x v="1"/>
    <n v="70804"/>
    <n v="2.3805196349581399"/>
    <d v="2016-01-30T13:21:14"/>
    <n v="7.99"/>
    <x v="73"/>
    <n v="1"/>
    <n v="1"/>
    <n v="0"/>
    <n v="0"/>
    <n v="1"/>
    <x v="64"/>
    <x v="0"/>
    <x v="1516"/>
    <x v="862"/>
    <n v="7"/>
    <e v="#N/A"/>
    <e v="#N/A"/>
  </r>
  <r>
    <n v="2982"/>
    <d v="2016-01-30T12:13:27"/>
    <d v="2016-01-30T12:28:26"/>
    <x v="1"/>
    <m/>
    <m/>
    <x v="1"/>
    <n v="70806"/>
    <n v="5.4422837164715796"/>
    <d v="2016-01-30T12:55:38"/>
    <n v="15.35"/>
    <x v="152"/>
    <n v="1"/>
    <n v="2.2999999999999998"/>
    <n v="0"/>
    <n v="0"/>
    <n v="2.2999999999999998"/>
    <x v="142"/>
    <x v="1"/>
    <x v="1517"/>
    <x v="0"/>
    <n v="14"/>
    <e v="#N/A"/>
    <e v="#N/A"/>
  </r>
  <r>
    <n v="2983"/>
    <d v="2016-01-30T11:19:24"/>
    <d v="2016-01-30T11:34:24"/>
    <x v="2"/>
    <m/>
    <m/>
    <x v="0"/>
    <n v="70804"/>
    <n v="0"/>
    <d v="2016-01-30T11:37:23"/>
    <n v="11.59"/>
    <x v="1"/>
    <n v="1"/>
    <n v="1.7"/>
    <n v="0"/>
    <n v="0"/>
    <n v="1.7"/>
    <x v="0"/>
    <x v="0"/>
    <x v="0"/>
    <x v="0"/>
    <n v="10"/>
    <e v="#N/A"/>
    <e v="#N/A"/>
  </r>
  <r>
    <n v="2984"/>
    <d v="2016-01-30T12:01:13"/>
    <d v="2016-01-30T12:16:13"/>
    <x v="1"/>
    <m/>
    <m/>
    <x v="0"/>
    <n v="70804"/>
    <n v="0"/>
    <d v="2016-01-30T12:19:13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2985"/>
    <d v="2016-01-30T14:23:15"/>
    <d v="2016-01-30T14:38:16"/>
    <x v="0"/>
    <m/>
    <m/>
    <x v="1"/>
    <n v="70806"/>
    <n v="1.02827561850768"/>
    <d v="2016-01-30T14:43:24"/>
    <n v="7.99"/>
    <x v="895"/>
    <n v="1"/>
    <n v="1"/>
    <n v="0"/>
    <n v="0"/>
    <n v="1"/>
    <x v="882"/>
    <x v="0"/>
    <x v="1518"/>
    <x v="863"/>
    <n v="7"/>
    <e v="#N/A"/>
    <e v="#N/A"/>
  </r>
  <r>
    <n v="2986"/>
    <d v="2016-01-30T10:18:24"/>
    <d v="2016-01-30T10:33:22"/>
    <x v="1"/>
    <m/>
    <m/>
    <x v="0"/>
    <n v="70804"/>
    <n v="0"/>
    <d v="2016-01-30T10:36:20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2987"/>
    <d v="2016-01-30T11:48:34"/>
    <d v="2016-01-30T12:03:33"/>
    <x v="0"/>
    <m/>
    <m/>
    <x v="0"/>
    <n v="70805"/>
    <n v="0"/>
    <d v="2016-01-30T12:06:31"/>
    <n v="7.99"/>
    <x v="0"/>
    <n v="1"/>
    <n v="1"/>
    <n v="0"/>
    <n v="0"/>
    <n v="1"/>
    <x v="0"/>
    <x v="0"/>
    <x v="0"/>
    <x v="0"/>
    <n v="7"/>
    <e v="#N/A"/>
    <e v="#N/A"/>
  </r>
  <r>
    <n v="2988"/>
    <d v="2016-01-30T12:43:24"/>
    <d v="2016-01-30T12:58:23"/>
    <x v="2"/>
    <m/>
    <m/>
    <x v="0"/>
    <n v="70803"/>
    <n v="0"/>
    <d v="2016-01-30T13:01:23"/>
    <n v="11.59"/>
    <x v="2"/>
    <n v="1"/>
    <n v="1.7"/>
    <n v="0"/>
    <n v="0"/>
    <n v="1.7"/>
    <x v="0"/>
    <x v="0"/>
    <x v="0"/>
    <x v="0"/>
    <n v="10"/>
    <e v="#N/A"/>
    <e v="#N/A"/>
  </r>
  <r>
    <n v="2989"/>
    <d v="2016-01-30T11:18:08"/>
    <d v="2016-01-30T11:33:07"/>
    <x v="2"/>
    <m/>
    <m/>
    <x v="1"/>
    <n v="70806"/>
    <n v="2.6315838459394101"/>
    <d v="2016-01-30T11:46:16"/>
    <n v="11.59"/>
    <x v="1039"/>
    <n v="1"/>
    <n v="1.7"/>
    <n v="0"/>
    <n v="0"/>
    <n v="1.7"/>
    <x v="1026"/>
    <x v="0"/>
    <x v="1519"/>
    <x v="864"/>
    <n v="10"/>
    <e v="#N/A"/>
    <e v="#N/A"/>
  </r>
  <r>
    <n v="2990"/>
    <d v="2016-01-31T10:14:25"/>
    <d v="2016-01-31T10:29:25"/>
    <x v="2"/>
    <s v="Large"/>
    <m/>
    <x v="1"/>
    <n v="70804"/>
    <n v="3.0373468661039902"/>
    <d v="2016-01-31T10:44:36"/>
    <n v="25.94"/>
    <x v="1040"/>
    <n v="2"/>
    <n v="1.7"/>
    <n v="2.2999999999999998"/>
    <n v="0"/>
    <n v="4"/>
    <x v="1027"/>
    <x v="0"/>
    <x v="1520"/>
    <x v="865"/>
    <n v="10"/>
    <n v="14"/>
    <e v="#N/A"/>
  </r>
  <r>
    <n v="2991"/>
    <d v="2016-01-31T10:49:14"/>
    <d v="2016-01-31T11:04:14"/>
    <x v="0"/>
    <m/>
    <m/>
    <x v="1"/>
    <n v="70805"/>
    <n v="4.4598372534986401"/>
    <d v="2016-01-31T11:26:31"/>
    <n v="7.99"/>
    <x v="1041"/>
    <n v="1"/>
    <n v="1"/>
    <n v="0"/>
    <n v="0"/>
    <n v="1"/>
    <x v="1028"/>
    <x v="1"/>
    <x v="1521"/>
    <x v="0"/>
    <n v="7"/>
    <e v="#N/A"/>
    <e v="#N/A"/>
  </r>
  <r>
    <n v="2992"/>
    <d v="2016-01-31T13:35:18"/>
    <d v="2016-01-31T13:50:17"/>
    <x v="1"/>
    <m/>
    <m/>
    <x v="1"/>
    <n v="70804"/>
    <n v="2.4528030857125702"/>
    <d v="2016-01-31T14:02:32"/>
    <n v="15.35"/>
    <x v="593"/>
    <n v="1"/>
    <n v="2.2999999999999998"/>
    <n v="0"/>
    <n v="0"/>
    <n v="2.2999999999999998"/>
    <x v="580"/>
    <x v="0"/>
    <x v="1522"/>
    <x v="866"/>
    <n v="14"/>
    <e v="#N/A"/>
    <e v="#N/A"/>
  </r>
  <r>
    <n v="2993"/>
    <d v="2016-01-31T11:53:00"/>
    <d v="2016-01-31T12:08:00"/>
    <x v="0"/>
    <s v="Medium"/>
    <m/>
    <x v="0"/>
    <n v="70805"/>
    <n v="0"/>
    <d v="2016-01-31T12:10:58"/>
    <n v="19.579999999999998"/>
    <x v="19"/>
    <n v="2"/>
    <n v="1"/>
    <n v="1.7"/>
    <n v="0"/>
    <n v="2.7"/>
    <x v="0"/>
    <x v="0"/>
    <x v="0"/>
    <x v="0"/>
    <n v="7"/>
    <n v="10"/>
    <e v="#N/A"/>
  </r>
  <r>
    <n v="2994"/>
    <d v="2016-01-31T10:22:41"/>
    <d v="2016-01-31T10:37:41"/>
    <x v="0"/>
    <m/>
    <m/>
    <x v="0"/>
    <n v="70804"/>
    <n v="0"/>
    <d v="2016-01-31T10:40:42"/>
    <n v="7.99"/>
    <x v="56"/>
    <n v="1"/>
    <n v="1"/>
    <n v="0"/>
    <n v="0"/>
    <n v="1"/>
    <x v="0"/>
    <x v="0"/>
    <x v="0"/>
    <x v="0"/>
    <n v="7"/>
    <e v="#N/A"/>
    <e v="#N/A"/>
  </r>
  <r>
    <n v="2995"/>
    <d v="2016-01-31T11:24:23"/>
    <d v="2016-01-31T11:39:21"/>
    <x v="1"/>
    <m/>
    <m/>
    <x v="1"/>
    <n v="70806"/>
    <n v="3.3974804720923801"/>
    <d v="2016-01-31T11:56:20"/>
    <n v="15.35"/>
    <x v="580"/>
    <n v="1"/>
    <n v="2.2999999999999998"/>
    <n v="0"/>
    <n v="0"/>
    <n v="2.2999999999999998"/>
    <x v="567"/>
    <x v="1"/>
    <x v="1523"/>
    <x v="0"/>
    <n v="14"/>
    <e v="#N/A"/>
    <e v="#N/A"/>
  </r>
  <r>
    <n v="2996"/>
    <d v="2016-01-31T10:29:56"/>
    <d v="2016-01-31T10:44:56"/>
    <x v="2"/>
    <m/>
    <m/>
    <x v="0"/>
    <n v="70803"/>
    <n v="0"/>
    <d v="2016-01-31T10:47:55"/>
    <n v="11.59"/>
    <x v="24"/>
    <n v="1"/>
    <n v="1.7"/>
    <n v="0"/>
    <n v="0"/>
    <n v="1.7"/>
    <x v="0"/>
    <x v="0"/>
    <x v="0"/>
    <x v="0"/>
    <n v="10"/>
    <e v="#N/A"/>
    <e v="#N/A"/>
  </r>
  <r>
    <n v="2997"/>
    <d v="2016-01-31T12:20:37"/>
    <d v="2016-01-31T12:35:37"/>
    <x v="0"/>
    <m/>
    <m/>
    <x v="0"/>
    <n v="70803"/>
    <n v="0"/>
    <d v="2016-01-31T12:38:36"/>
    <n v="7.99"/>
    <x v="1"/>
    <n v="1"/>
    <n v="1"/>
    <n v="0"/>
    <n v="0"/>
    <n v="1"/>
    <x v="0"/>
    <x v="0"/>
    <x v="0"/>
    <x v="0"/>
    <n v="7"/>
    <e v="#N/A"/>
    <e v="#N/A"/>
  </r>
  <r>
    <n v="2998"/>
    <d v="2016-01-31T12:19:59"/>
    <d v="2016-01-31T12:34:58"/>
    <x v="0"/>
    <m/>
    <m/>
    <x v="1"/>
    <n v="70805"/>
    <n v="2.8557526152537802"/>
    <d v="2016-01-31T12:49:14"/>
    <n v="7.99"/>
    <x v="1042"/>
    <n v="1"/>
    <n v="1"/>
    <n v="0"/>
    <n v="0"/>
    <n v="1"/>
    <x v="1029"/>
    <x v="0"/>
    <x v="1524"/>
    <x v="867"/>
    <n v="7"/>
    <e v="#N/A"/>
    <e v="#N/A"/>
  </r>
  <r>
    <n v="2999"/>
    <d v="2016-01-31T11:14:55"/>
    <d v="2016-01-31T11:29:54"/>
    <x v="2"/>
    <m/>
    <m/>
    <x v="1"/>
    <n v="70805"/>
    <n v="3.35885481970102"/>
    <d v="2016-01-31T11:46:41"/>
    <n v="11.59"/>
    <x v="504"/>
    <n v="1"/>
    <n v="1.7"/>
    <n v="0"/>
    <n v="0"/>
    <n v="1.7"/>
    <x v="491"/>
    <x v="1"/>
    <x v="1525"/>
    <x v="0"/>
    <n v="10"/>
    <e v="#N/A"/>
    <e v="#N/A"/>
  </r>
  <r>
    <n v="3000"/>
    <d v="2016-01-31T11:29:44"/>
    <d v="2016-01-31T11:44:43"/>
    <x v="0"/>
    <s v="Medium"/>
    <m/>
    <x v="1"/>
    <n v="70805"/>
    <n v="3.0052661773560501"/>
    <d v="2016-01-31T11:59:44"/>
    <n v="19.579999999999998"/>
    <x v="723"/>
    <n v="2"/>
    <n v="1"/>
    <n v="1.7"/>
    <n v="0"/>
    <n v="2.7"/>
    <x v="710"/>
    <x v="0"/>
    <x v="1526"/>
    <x v="868"/>
    <n v="7"/>
    <n v="10"/>
    <e v="#N/A"/>
  </r>
  <r>
    <n v="3001"/>
    <d v="2016-01-31T12:09:05"/>
    <d v="2016-01-31T12:24:05"/>
    <x v="0"/>
    <m/>
    <m/>
    <x v="0"/>
    <n v="70803"/>
    <n v="0"/>
    <d v="2016-01-31T12:27:05"/>
    <n v="7.99"/>
    <x v="2"/>
    <n v="1"/>
    <n v="1"/>
    <n v="0"/>
    <n v="0"/>
    <n v="1"/>
    <x v="0"/>
    <x v="0"/>
    <x v="0"/>
    <x v="0"/>
    <n v="7"/>
    <e v="#N/A"/>
    <e v="#N/A"/>
  </r>
  <r>
    <n v="3002"/>
    <d v="2016-01-31T13:05:42"/>
    <d v="2016-01-31T13:20:42"/>
    <x v="0"/>
    <s v="Medium"/>
    <m/>
    <x v="0"/>
    <n v="70807"/>
    <n v="0"/>
    <d v="2016-01-31T13:23:41"/>
    <n v="19.579999999999998"/>
    <x v="1"/>
    <n v="2"/>
    <n v="1"/>
    <n v="1.7"/>
    <n v="0"/>
    <n v="2.7"/>
    <x v="0"/>
    <x v="0"/>
    <x v="0"/>
    <x v="0"/>
    <n v="7"/>
    <n v="10"/>
    <e v="#N/A"/>
  </r>
  <r>
    <n v="3003"/>
    <d v="2016-01-31T14:35:32"/>
    <d v="2016-01-31T14:50:31"/>
    <x v="0"/>
    <m/>
    <m/>
    <x v="0"/>
    <n v="70804"/>
    <n v="0"/>
    <d v="2016-01-31T14:53:31"/>
    <n v="7.99"/>
    <x v="2"/>
    <n v="1"/>
    <n v="1"/>
    <n v="0"/>
    <n v="0"/>
    <n v="1"/>
    <x v="0"/>
    <x v="0"/>
    <x v="0"/>
    <x v="0"/>
    <n v="7"/>
    <e v="#N/A"/>
    <e v="#N/A"/>
  </r>
  <r>
    <n v="3004"/>
    <d v="2016-01-31T11:17:55"/>
    <d v="2016-01-31T11:32:53"/>
    <x v="2"/>
    <m/>
    <m/>
    <x v="0"/>
    <n v="70804"/>
    <n v="0"/>
    <d v="2016-01-31T11:35:52"/>
    <n v="11.59"/>
    <x v="24"/>
    <n v="1"/>
    <n v="1.7"/>
    <n v="0"/>
    <n v="0"/>
    <n v="1.7"/>
    <x v="0"/>
    <x v="0"/>
    <x v="0"/>
    <x v="0"/>
    <n v="10"/>
    <e v="#N/A"/>
    <e v="#N/A"/>
  </r>
  <r>
    <n v="3005"/>
    <d v="2016-01-31T11:06:10"/>
    <d v="2016-01-31T11:21:09"/>
    <x v="2"/>
    <m/>
    <m/>
    <x v="1"/>
    <n v="70803"/>
    <n v="3.58164806019006"/>
    <d v="2016-01-31T11:39:03"/>
    <n v="11.59"/>
    <x v="384"/>
    <n v="1"/>
    <n v="1.7"/>
    <n v="0"/>
    <n v="0"/>
    <n v="1.7"/>
    <x v="371"/>
    <x v="1"/>
    <x v="1527"/>
    <x v="0"/>
    <n v="10"/>
    <e v="#N/A"/>
    <e v="#N/A"/>
  </r>
  <r>
    <n v="3006"/>
    <d v="2016-01-31T10:28:38"/>
    <d v="2016-01-31T10:43:38"/>
    <x v="2"/>
    <m/>
    <m/>
    <x v="1"/>
    <n v="70803"/>
    <n v="2.4987299528523899"/>
    <d v="2016-01-31T10:56:07"/>
    <n v="11.59"/>
    <x v="210"/>
    <n v="1"/>
    <n v="1.7"/>
    <n v="0"/>
    <n v="0"/>
    <n v="1.7"/>
    <x v="198"/>
    <x v="0"/>
    <x v="1528"/>
    <x v="869"/>
    <n v="10"/>
    <e v="#N/A"/>
    <e v="#N/A"/>
  </r>
  <r>
    <n v="3007"/>
    <d v="2016-01-31T10:38:26"/>
    <d v="2016-01-31T10:53:26"/>
    <x v="0"/>
    <m/>
    <m/>
    <x v="1"/>
    <n v="70805"/>
    <n v="3.1616140260417498"/>
    <d v="2016-01-31T11:09:14"/>
    <n v="7.99"/>
    <x v="43"/>
    <n v="1"/>
    <n v="1"/>
    <n v="0"/>
    <n v="0"/>
    <n v="1"/>
    <x v="37"/>
    <x v="0"/>
    <x v="1529"/>
    <x v="870"/>
    <n v="7"/>
    <e v="#N/A"/>
    <e v="#N/A"/>
  </r>
  <r>
    <n v="3008"/>
    <d v="2016-01-31T13:30:02"/>
    <d v="2016-01-31T13:45:02"/>
    <x v="1"/>
    <m/>
    <m/>
    <x v="0"/>
    <n v="70805"/>
    <n v="0"/>
    <d v="2016-01-31T13:48:02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3009"/>
    <d v="2016-01-31T13:40:50"/>
    <d v="2016-01-31T13:55:48"/>
    <x v="2"/>
    <m/>
    <m/>
    <x v="1"/>
    <n v="70806"/>
    <n v="5.0968473882693397"/>
    <d v="2016-01-31T14:21:17"/>
    <n v="11.59"/>
    <x v="1043"/>
    <n v="1"/>
    <n v="1.7"/>
    <n v="0"/>
    <n v="0"/>
    <n v="1.7"/>
    <x v="1030"/>
    <x v="1"/>
    <x v="1530"/>
    <x v="0"/>
    <n v="10"/>
    <e v="#N/A"/>
    <e v="#N/A"/>
  </r>
  <r>
    <n v="3010"/>
    <d v="2016-01-31T13:59:44"/>
    <d v="2016-01-31T14:14:45"/>
    <x v="2"/>
    <s v="Large"/>
    <m/>
    <x v="1"/>
    <n v="70805"/>
    <n v="2.0422869416962799"/>
    <d v="2016-01-31T14:24:57"/>
    <n v="25.94"/>
    <x v="706"/>
    <n v="2"/>
    <n v="1.7"/>
    <n v="2.2999999999999998"/>
    <n v="0"/>
    <n v="4"/>
    <x v="693"/>
    <x v="0"/>
    <x v="1531"/>
    <x v="871"/>
    <n v="10"/>
    <n v="14"/>
    <e v="#N/A"/>
  </r>
  <r>
    <n v="3011"/>
    <d v="2016-01-31T12:48:34"/>
    <d v="2016-01-31T13:03:33"/>
    <x v="0"/>
    <s v="Large"/>
    <m/>
    <x v="0"/>
    <n v="70807"/>
    <n v="0"/>
    <d v="2016-01-31T13:06:33"/>
    <n v="23.34"/>
    <x v="2"/>
    <n v="2"/>
    <n v="1"/>
    <n v="2.2999999999999998"/>
    <n v="0"/>
    <n v="3.3"/>
    <x v="0"/>
    <x v="0"/>
    <x v="0"/>
    <x v="0"/>
    <n v="7"/>
    <n v="14"/>
    <e v="#N/A"/>
  </r>
  <r>
    <n v="3012"/>
    <d v="2016-01-31T10:22:20"/>
    <d v="2016-01-31T10:37:18"/>
    <x v="1"/>
    <m/>
    <m/>
    <x v="1"/>
    <n v="70803"/>
    <n v="3.1806747406618499"/>
    <d v="2016-01-31T10:53:12"/>
    <n v="15.35"/>
    <x v="884"/>
    <n v="1"/>
    <n v="2.2999999999999998"/>
    <n v="0"/>
    <n v="0"/>
    <n v="2.2999999999999998"/>
    <x v="871"/>
    <x v="0"/>
    <x v="1532"/>
    <x v="872"/>
    <n v="14"/>
    <e v="#N/A"/>
    <e v="#N/A"/>
  </r>
  <r>
    <n v="3013"/>
    <d v="2016-01-31T12:38:36"/>
    <d v="2016-01-31T12:53:33"/>
    <x v="0"/>
    <m/>
    <m/>
    <x v="1"/>
    <n v="70804"/>
    <n v="4.5019687278390803"/>
    <d v="2016-01-31T13:16:03"/>
    <n v="7.99"/>
    <x v="448"/>
    <n v="1"/>
    <n v="1"/>
    <n v="0"/>
    <n v="0"/>
    <n v="1"/>
    <x v="435"/>
    <x v="1"/>
    <x v="1533"/>
    <x v="0"/>
    <n v="7"/>
    <e v="#N/A"/>
    <e v="#N/A"/>
  </r>
  <r>
    <n v="3014"/>
    <d v="2016-01-31T12:56:37"/>
    <d v="2016-01-31T13:11:36"/>
    <x v="0"/>
    <m/>
    <m/>
    <x v="1"/>
    <n v="70804"/>
    <n v="4.7390976722102902"/>
    <d v="2016-01-31T13:35:17"/>
    <n v="7.99"/>
    <x v="1044"/>
    <n v="1"/>
    <n v="1"/>
    <n v="0"/>
    <n v="0"/>
    <n v="1"/>
    <x v="1031"/>
    <x v="1"/>
    <x v="1534"/>
    <x v="0"/>
    <n v="7"/>
    <e v="#N/A"/>
    <e v="#N/A"/>
  </r>
  <r>
    <n v="3015"/>
    <d v="2016-01-31T12:32:18"/>
    <d v="2016-01-31T12:47:19"/>
    <x v="2"/>
    <m/>
    <m/>
    <x v="1"/>
    <n v="70805"/>
    <n v="4.3106863023399598"/>
    <d v="2016-01-31T13:08:52"/>
    <n v="11.59"/>
    <x v="1045"/>
    <n v="1"/>
    <n v="1.7"/>
    <n v="0"/>
    <n v="0"/>
    <n v="1.7"/>
    <x v="1032"/>
    <x v="1"/>
    <x v="1535"/>
    <x v="0"/>
    <n v="10"/>
    <e v="#N/A"/>
    <e v="#N/A"/>
  </r>
  <r>
    <n v="3016"/>
    <d v="2016-01-31T13:21:33"/>
    <d v="2016-01-31T13:36:30"/>
    <x v="0"/>
    <s v="Medium"/>
    <m/>
    <x v="1"/>
    <n v="70805"/>
    <n v="5.4130497774456199"/>
    <d v="2016-01-31T14:03:33"/>
    <n v="19.579999999999998"/>
    <x v="1046"/>
    <n v="2"/>
    <n v="1"/>
    <n v="1.7"/>
    <n v="0"/>
    <n v="2.7"/>
    <x v="1033"/>
    <x v="1"/>
    <x v="1536"/>
    <x v="0"/>
    <n v="7"/>
    <n v="10"/>
    <e v="#N/A"/>
  </r>
  <r>
    <n v="3017"/>
    <d v="2016-01-31T13:36:37"/>
    <d v="2016-01-31T13:51:36"/>
    <x v="0"/>
    <m/>
    <m/>
    <x v="0"/>
    <n v="70806"/>
    <n v="0"/>
    <d v="2016-01-31T13:54:36"/>
    <n v="7.99"/>
    <x v="2"/>
    <n v="1"/>
    <n v="1"/>
    <n v="0"/>
    <n v="0"/>
    <n v="1"/>
    <x v="0"/>
    <x v="0"/>
    <x v="0"/>
    <x v="0"/>
    <n v="7"/>
    <e v="#N/A"/>
    <e v="#N/A"/>
  </r>
  <r>
    <n v="3018"/>
    <d v="2016-01-31T11:26:09"/>
    <d v="2016-01-31T11:41:08"/>
    <x v="0"/>
    <m/>
    <m/>
    <x v="1"/>
    <n v="70804"/>
    <n v="3.1358726456649602"/>
    <d v="2016-01-31T11:56:48"/>
    <n v="7.99"/>
    <x v="380"/>
    <n v="1"/>
    <n v="1"/>
    <n v="0"/>
    <n v="0"/>
    <n v="1"/>
    <x v="367"/>
    <x v="0"/>
    <x v="1537"/>
    <x v="873"/>
    <n v="7"/>
    <e v="#N/A"/>
    <e v="#N/A"/>
  </r>
  <r>
    <n v="3019"/>
    <d v="2016-01-31T10:07:50"/>
    <d v="2016-01-31T10:22:51"/>
    <x v="2"/>
    <m/>
    <m/>
    <x v="0"/>
    <n v="70805"/>
    <n v="0"/>
    <d v="2016-01-31T10:25:50"/>
    <n v="11.59"/>
    <x v="24"/>
    <n v="1"/>
    <n v="1.7"/>
    <n v="0"/>
    <n v="0"/>
    <n v="1.7"/>
    <x v="0"/>
    <x v="0"/>
    <x v="0"/>
    <x v="0"/>
    <n v="10"/>
    <e v="#N/A"/>
    <e v="#N/A"/>
  </r>
  <r>
    <n v="3020"/>
    <d v="2016-01-31T12:30:00"/>
    <d v="2016-01-31T12:45:00"/>
    <x v="2"/>
    <m/>
    <m/>
    <x v="1"/>
    <n v="70806"/>
    <n v="2.6056354052698398"/>
    <d v="2016-01-31T12:58:01"/>
    <n v="11.59"/>
    <x v="1047"/>
    <n v="1"/>
    <n v="1.7"/>
    <n v="0"/>
    <n v="0"/>
    <n v="1.7"/>
    <x v="1034"/>
    <x v="0"/>
    <x v="1538"/>
    <x v="874"/>
    <n v="10"/>
    <e v="#N/A"/>
    <e v="#N/A"/>
  </r>
  <r>
    <n v="3021"/>
    <d v="2016-01-31T12:41:37"/>
    <d v="2016-01-31T12:56:36"/>
    <x v="1"/>
    <m/>
    <m/>
    <x v="0"/>
    <n v="70807"/>
    <n v="0"/>
    <d v="2016-01-31T12:59:35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3022"/>
    <d v="2016-01-31T12:43:55"/>
    <d v="2016-01-31T12:58:55"/>
    <x v="0"/>
    <s v="Medium"/>
    <m/>
    <x v="1"/>
    <n v="70806"/>
    <n v="2.09309718592371"/>
    <d v="2016-01-31T13:09:22"/>
    <n v="19.579999999999998"/>
    <x v="1048"/>
    <n v="2"/>
    <n v="1"/>
    <n v="1.7"/>
    <n v="0"/>
    <n v="2.7"/>
    <x v="1035"/>
    <x v="0"/>
    <x v="1539"/>
    <x v="875"/>
    <n v="7"/>
    <n v="10"/>
    <e v="#N/A"/>
  </r>
  <r>
    <n v="3023"/>
    <d v="2016-01-31T12:39:12"/>
    <d v="2016-01-31T12:54:12"/>
    <x v="2"/>
    <m/>
    <m/>
    <x v="0"/>
    <n v="70804"/>
    <n v="0"/>
    <d v="2016-01-31T12:57:12"/>
    <n v="11.59"/>
    <x v="2"/>
    <n v="1"/>
    <n v="1.7"/>
    <n v="0"/>
    <n v="0"/>
    <n v="1.7"/>
    <x v="0"/>
    <x v="0"/>
    <x v="0"/>
    <x v="0"/>
    <n v="10"/>
    <e v="#N/A"/>
    <e v="#N/A"/>
  </r>
  <r>
    <n v="3024"/>
    <d v="2016-01-31T11:32:15"/>
    <d v="2016-01-31T11:47:14"/>
    <x v="2"/>
    <m/>
    <m/>
    <x v="1"/>
    <n v="70805"/>
    <n v="1.6691392553478701"/>
    <d v="2016-01-31T11:55:34"/>
    <n v="11.59"/>
    <x v="493"/>
    <n v="1"/>
    <n v="1.7"/>
    <n v="0"/>
    <n v="0"/>
    <n v="1.7"/>
    <x v="480"/>
    <x v="0"/>
    <x v="1540"/>
    <x v="876"/>
    <n v="10"/>
    <e v="#N/A"/>
    <e v="#N/A"/>
  </r>
  <r>
    <n v="3025"/>
    <d v="2016-01-31T12:32:50"/>
    <d v="2016-01-31T12:47:48"/>
    <x v="2"/>
    <m/>
    <m/>
    <x v="1"/>
    <n v="70804"/>
    <n v="1.6835635462704699"/>
    <d v="2016-01-31T12:56:13"/>
    <n v="11.59"/>
    <x v="1049"/>
    <n v="1"/>
    <n v="1.7"/>
    <n v="0"/>
    <n v="0"/>
    <n v="1.7"/>
    <x v="1036"/>
    <x v="0"/>
    <x v="1541"/>
    <x v="877"/>
    <n v="10"/>
    <e v="#N/A"/>
    <e v="#N/A"/>
  </r>
  <r>
    <n v="3026"/>
    <d v="2016-01-31T11:30:16"/>
    <d v="2016-01-31T11:45:14"/>
    <x v="0"/>
    <s v="Large"/>
    <m/>
    <x v="1"/>
    <n v="70806"/>
    <n v="2.6099075580315998"/>
    <d v="2016-01-31T11:58:16"/>
    <n v="23.34"/>
    <x v="1050"/>
    <n v="2"/>
    <n v="1"/>
    <n v="2.2999999999999998"/>
    <n v="0"/>
    <n v="3.3"/>
    <x v="1037"/>
    <x v="0"/>
    <x v="1542"/>
    <x v="878"/>
    <n v="7"/>
    <n v="14"/>
    <e v="#N/A"/>
  </r>
  <r>
    <n v="3027"/>
    <d v="2016-01-31T11:50:05"/>
    <d v="2016-01-31T12:05:03"/>
    <x v="0"/>
    <s v="Medium"/>
    <m/>
    <x v="1"/>
    <n v="70806"/>
    <n v="2.5076018722413398"/>
    <d v="2016-01-31T12:17:35"/>
    <n v="19.579999999999998"/>
    <x v="818"/>
    <n v="2"/>
    <n v="1"/>
    <n v="1.7"/>
    <n v="0"/>
    <n v="2.7"/>
    <x v="805"/>
    <x v="0"/>
    <x v="1543"/>
    <x v="879"/>
    <n v="7"/>
    <n v="10"/>
    <e v="#N/A"/>
  </r>
  <r>
    <n v="3028"/>
    <d v="2016-01-31T12:47:14"/>
    <d v="2016-01-31T13:02:14"/>
    <x v="2"/>
    <m/>
    <m/>
    <x v="0"/>
    <n v="70804"/>
    <n v="0"/>
    <d v="2016-01-31T13:05:15"/>
    <n v="11.59"/>
    <x v="56"/>
    <n v="1"/>
    <n v="1.7"/>
    <n v="0"/>
    <n v="0"/>
    <n v="1.7"/>
    <x v="0"/>
    <x v="0"/>
    <x v="0"/>
    <x v="0"/>
    <n v="10"/>
    <e v="#N/A"/>
    <e v="#N/A"/>
  </r>
  <r>
    <n v="3029"/>
    <d v="2016-01-31T12:12:48"/>
    <d v="2016-01-31T12:27:48"/>
    <x v="0"/>
    <m/>
    <m/>
    <x v="0"/>
    <n v="70803"/>
    <n v="0"/>
    <d v="2016-01-31T12:30:48"/>
    <n v="7.99"/>
    <x v="2"/>
    <n v="1"/>
    <n v="1"/>
    <n v="0"/>
    <n v="0"/>
    <n v="1"/>
    <x v="0"/>
    <x v="0"/>
    <x v="0"/>
    <x v="0"/>
    <n v="7"/>
    <e v="#N/A"/>
    <e v="#N/A"/>
  </r>
  <r>
    <n v="3030"/>
    <d v="2016-01-31T12:40:11"/>
    <d v="2016-01-31T12:55:12"/>
    <x v="0"/>
    <s v="Medium"/>
    <m/>
    <x v="1"/>
    <n v="70804"/>
    <n v="2.12295255634668"/>
    <d v="2016-01-31T13:05:48"/>
    <n v="19.579999999999998"/>
    <x v="286"/>
    <n v="2"/>
    <n v="1"/>
    <n v="1.7"/>
    <n v="0"/>
    <n v="2.7"/>
    <x v="273"/>
    <x v="0"/>
    <x v="1544"/>
    <x v="880"/>
    <n v="7"/>
    <n v="10"/>
    <e v="#N/A"/>
  </r>
  <r>
    <n v="3031"/>
    <d v="2016-01-31T12:32:08"/>
    <d v="2016-01-31T12:47:07"/>
    <x v="0"/>
    <m/>
    <m/>
    <x v="1"/>
    <n v="70804"/>
    <n v="2.1557641391948201"/>
    <d v="2016-01-31T12:57:53"/>
    <n v="7.99"/>
    <x v="764"/>
    <n v="1"/>
    <n v="1"/>
    <n v="0"/>
    <n v="0"/>
    <n v="1"/>
    <x v="751"/>
    <x v="0"/>
    <x v="1545"/>
    <x v="881"/>
    <n v="7"/>
    <e v="#N/A"/>
    <e v="#N/A"/>
  </r>
  <r>
    <n v="3032"/>
    <d v="2016-01-31T11:55:05"/>
    <d v="2016-01-31T12:10:04"/>
    <x v="0"/>
    <m/>
    <m/>
    <x v="0"/>
    <n v="70806"/>
    <n v="0"/>
    <d v="2016-01-31T12:13:04"/>
    <n v="7.99"/>
    <x v="2"/>
    <n v="1"/>
    <n v="1"/>
    <n v="0"/>
    <n v="0"/>
    <n v="1"/>
    <x v="0"/>
    <x v="0"/>
    <x v="0"/>
    <x v="0"/>
    <n v="7"/>
    <e v="#N/A"/>
    <e v="#N/A"/>
  </r>
  <r>
    <n v="3033"/>
    <d v="2016-01-31T12:06:39"/>
    <d v="2016-01-31T12:21:37"/>
    <x v="0"/>
    <s v="Medium"/>
    <m/>
    <x v="1"/>
    <n v="70805"/>
    <n v="3.5097303089831202"/>
    <d v="2016-01-31T12:39:09"/>
    <n v="19.579999999999998"/>
    <x v="1051"/>
    <n v="2"/>
    <n v="1"/>
    <n v="1.7"/>
    <n v="0"/>
    <n v="2.7"/>
    <x v="1038"/>
    <x v="1"/>
    <x v="1546"/>
    <x v="0"/>
    <n v="7"/>
    <n v="10"/>
    <e v="#N/A"/>
  </r>
  <r>
    <n v="3034"/>
    <d v="2016-01-31T10:10:05"/>
    <d v="2016-01-31T10:25:05"/>
    <x v="0"/>
    <s v="Medium"/>
    <m/>
    <x v="0"/>
    <n v="70803"/>
    <n v="0"/>
    <d v="2016-01-31T10:28:06"/>
    <n v="19.579999999999998"/>
    <x v="56"/>
    <n v="2"/>
    <n v="1"/>
    <n v="1.7"/>
    <n v="0"/>
    <n v="2.7"/>
    <x v="0"/>
    <x v="0"/>
    <x v="0"/>
    <x v="0"/>
    <n v="7"/>
    <n v="10"/>
    <e v="#N/A"/>
  </r>
  <r>
    <n v="3035"/>
    <d v="2016-01-31T12:23:22"/>
    <d v="2016-01-31T12:38:22"/>
    <x v="0"/>
    <s v="Medium"/>
    <m/>
    <x v="0"/>
    <n v="70803"/>
    <n v="0"/>
    <d v="2016-01-31T12:41:22"/>
    <n v="19.579999999999998"/>
    <x v="2"/>
    <n v="2"/>
    <n v="1"/>
    <n v="1.7"/>
    <n v="0"/>
    <n v="2.7"/>
    <x v="0"/>
    <x v="0"/>
    <x v="0"/>
    <x v="0"/>
    <n v="7"/>
    <n v="10"/>
    <e v="#N/A"/>
  </r>
  <r>
    <n v="3036"/>
    <d v="2016-01-31T11:13:00"/>
    <d v="2016-01-31T11:27:59"/>
    <x v="0"/>
    <s v="Medium"/>
    <m/>
    <x v="0"/>
    <n v="70806"/>
    <n v="0"/>
    <d v="2016-01-31T11:30:57"/>
    <n v="19.579999999999998"/>
    <x v="0"/>
    <n v="2"/>
    <n v="1"/>
    <n v="1.7"/>
    <n v="0"/>
    <n v="2.7"/>
    <x v="0"/>
    <x v="0"/>
    <x v="0"/>
    <x v="0"/>
    <n v="7"/>
    <n v="10"/>
    <e v="#N/A"/>
  </r>
  <r>
    <n v="3037"/>
    <d v="2016-01-31T11:02:11"/>
    <d v="2016-01-31T11:17:11"/>
    <x v="0"/>
    <s v="Large"/>
    <m/>
    <x v="1"/>
    <n v="70804"/>
    <n v="4.0286428750494396"/>
    <d v="2016-01-31T11:37:19"/>
    <n v="23.34"/>
    <x v="390"/>
    <n v="2"/>
    <n v="1"/>
    <n v="2.2999999999999998"/>
    <n v="0"/>
    <n v="3.3"/>
    <x v="377"/>
    <x v="1"/>
    <x v="1547"/>
    <x v="0"/>
    <n v="7"/>
    <n v="14"/>
    <e v="#N/A"/>
  </r>
  <r>
    <n v="3038"/>
    <d v="2016-01-31T10:31:26"/>
    <d v="2016-01-31T10:46:25"/>
    <x v="1"/>
    <m/>
    <m/>
    <x v="1"/>
    <n v="70804"/>
    <n v="3.6576800107083001"/>
    <d v="2016-01-31T11:04:42"/>
    <n v="15.35"/>
    <x v="80"/>
    <n v="1"/>
    <n v="2.2999999999999998"/>
    <n v="0"/>
    <n v="0"/>
    <n v="2.2999999999999998"/>
    <x v="71"/>
    <x v="1"/>
    <x v="1548"/>
    <x v="0"/>
    <n v="14"/>
    <e v="#N/A"/>
    <e v="#N/A"/>
  </r>
  <r>
    <n v="3039"/>
    <d v="2016-01-31T10:40:31"/>
    <d v="2016-01-31T10:55:30"/>
    <x v="0"/>
    <m/>
    <m/>
    <x v="1"/>
    <n v="70805"/>
    <n v="4.1024853907406396"/>
    <d v="2016-01-31T11:16:00"/>
    <n v="7.99"/>
    <x v="1052"/>
    <n v="1"/>
    <n v="1"/>
    <n v="0"/>
    <n v="0"/>
    <n v="1"/>
    <x v="1039"/>
    <x v="1"/>
    <x v="1549"/>
    <x v="0"/>
    <n v="7"/>
    <e v="#N/A"/>
    <e v="#N/A"/>
  </r>
  <r>
    <n v="3040"/>
    <d v="2016-01-31T11:29:59"/>
    <d v="2016-01-31T11:44:56"/>
    <x v="2"/>
    <m/>
    <m/>
    <x v="0"/>
    <n v="70804"/>
    <n v="0"/>
    <d v="2016-01-31T11:47:56"/>
    <n v="11.59"/>
    <x v="2"/>
    <n v="1"/>
    <n v="1.7"/>
    <n v="0"/>
    <n v="0"/>
    <n v="1.7"/>
    <x v="0"/>
    <x v="0"/>
    <x v="0"/>
    <x v="0"/>
    <n v="10"/>
    <e v="#N/A"/>
    <e v="#N/A"/>
  </r>
  <r>
    <n v="3041"/>
    <d v="2016-01-31T12:27:56"/>
    <d v="2016-01-31T12:42:57"/>
    <x v="2"/>
    <m/>
    <m/>
    <x v="0"/>
    <n v="70805"/>
    <n v="0"/>
    <d v="2016-01-31T12:45:57"/>
    <n v="11.59"/>
    <x v="2"/>
    <n v="1"/>
    <n v="1.7"/>
    <n v="0"/>
    <n v="0"/>
    <n v="1.7"/>
    <x v="0"/>
    <x v="0"/>
    <x v="0"/>
    <x v="0"/>
    <n v="10"/>
    <e v="#N/A"/>
    <e v="#N/A"/>
  </r>
  <r>
    <n v="3042"/>
    <d v="2016-01-31T13:11:13"/>
    <d v="2016-01-31T13:26:11"/>
    <x v="0"/>
    <s v="Medium"/>
    <m/>
    <x v="0"/>
    <n v="70803"/>
    <n v="0"/>
    <d v="2016-01-31T13:29:11"/>
    <n v="19.579999999999998"/>
    <x v="2"/>
    <n v="2"/>
    <n v="1"/>
    <n v="1.7"/>
    <n v="0"/>
    <n v="2.7"/>
    <x v="0"/>
    <x v="0"/>
    <x v="0"/>
    <x v="0"/>
    <n v="7"/>
    <n v="10"/>
    <e v="#N/A"/>
  </r>
  <r>
    <n v="3043"/>
    <d v="2016-01-31T11:37:25"/>
    <d v="2016-01-31T11:52:24"/>
    <x v="1"/>
    <m/>
    <m/>
    <x v="1"/>
    <n v="70805"/>
    <n v="2.7106773446360202"/>
    <d v="2016-01-31T12:05:57"/>
    <n v="15.35"/>
    <x v="1053"/>
    <n v="1"/>
    <n v="2.2999999999999998"/>
    <n v="0"/>
    <n v="0"/>
    <n v="2.2999999999999998"/>
    <x v="1040"/>
    <x v="0"/>
    <x v="1550"/>
    <x v="882"/>
    <n v="14"/>
    <e v="#N/A"/>
    <e v="#N/A"/>
  </r>
  <r>
    <n v="3044"/>
    <d v="2016-01-31T13:00:08"/>
    <d v="2016-01-31T13:15:08"/>
    <x v="0"/>
    <s v="Large"/>
    <m/>
    <x v="1"/>
    <n v="70804"/>
    <n v="3.15801260737459"/>
    <d v="2016-01-31T13:30:55"/>
    <n v="23.34"/>
    <x v="484"/>
    <n v="2"/>
    <n v="1"/>
    <n v="2.2999999999999998"/>
    <n v="0"/>
    <n v="3.3"/>
    <x v="471"/>
    <x v="0"/>
    <x v="1551"/>
    <x v="883"/>
    <n v="7"/>
    <n v="14"/>
    <e v="#N/A"/>
  </r>
  <r>
    <n v="3045"/>
    <d v="2016-01-31T11:51:20"/>
    <d v="2016-01-31T12:06:18"/>
    <x v="2"/>
    <m/>
    <m/>
    <x v="0"/>
    <n v="70803"/>
    <n v="0"/>
    <d v="2016-01-31T12:09:20"/>
    <n v="11.59"/>
    <x v="171"/>
    <n v="1"/>
    <n v="1.7"/>
    <n v="0"/>
    <n v="0"/>
    <n v="1.7"/>
    <x v="0"/>
    <x v="0"/>
    <x v="0"/>
    <x v="0"/>
    <n v="10"/>
    <e v="#N/A"/>
    <e v="#N/A"/>
  </r>
  <r>
    <n v="3046"/>
    <d v="2016-01-31T11:27:12"/>
    <d v="2016-01-31T11:42:14"/>
    <x v="0"/>
    <s v="Large"/>
    <m/>
    <x v="0"/>
    <n v="70804"/>
    <n v="0"/>
    <d v="2016-01-31T11:45:13"/>
    <n v="23.34"/>
    <x v="1"/>
    <n v="2"/>
    <n v="1"/>
    <n v="2.2999999999999998"/>
    <n v="0"/>
    <n v="3.3"/>
    <x v="0"/>
    <x v="0"/>
    <x v="0"/>
    <x v="0"/>
    <n v="7"/>
    <n v="14"/>
    <e v="#N/A"/>
  </r>
  <r>
    <n v="3047"/>
    <d v="2016-01-31T12:46:42"/>
    <d v="2016-01-31T13:01:41"/>
    <x v="1"/>
    <m/>
    <m/>
    <x v="0"/>
    <n v="70805"/>
    <n v="0"/>
    <d v="2016-01-31T13:04:39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3048"/>
    <d v="2016-01-31T12:35:59"/>
    <d v="2016-01-31T12:50:59"/>
    <x v="2"/>
    <m/>
    <m/>
    <x v="0"/>
    <n v="70807"/>
    <n v="0"/>
    <d v="2016-01-31T12:53:59"/>
    <n v="11.59"/>
    <x v="2"/>
    <n v="1"/>
    <n v="1.7"/>
    <n v="0"/>
    <n v="0"/>
    <n v="1.7"/>
    <x v="0"/>
    <x v="0"/>
    <x v="0"/>
    <x v="0"/>
    <n v="10"/>
    <e v="#N/A"/>
    <e v="#N/A"/>
  </r>
  <r>
    <n v="3049"/>
    <d v="2016-01-31T11:28:25"/>
    <d v="2016-01-31T11:43:24"/>
    <x v="2"/>
    <m/>
    <m/>
    <x v="1"/>
    <n v="70805"/>
    <n v="5.7661150279078202"/>
    <d v="2016-01-31T12:12:13"/>
    <n v="11.59"/>
    <x v="1054"/>
    <n v="1"/>
    <n v="1.7"/>
    <n v="0"/>
    <n v="0"/>
    <n v="1.7"/>
    <x v="1041"/>
    <x v="1"/>
    <x v="1552"/>
    <x v="0"/>
    <n v="10"/>
    <e v="#N/A"/>
    <e v="#N/A"/>
  </r>
  <r>
    <n v="3050"/>
    <d v="2016-01-31T11:41:05"/>
    <d v="2016-01-31T11:56:05"/>
    <x v="0"/>
    <m/>
    <m/>
    <x v="0"/>
    <n v="70806"/>
    <n v="0"/>
    <d v="2016-01-31T11:59:03"/>
    <n v="7.99"/>
    <x v="0"/>
    <n v="1"/>
    <n v="1"/>
    <n v="0"/>
    <n v="0"/>
    <n v="1"/>
    <x v="0"/>
    <x v="0"/>
    <x v="0"/>
    <x v="0"/>
    <n v="7"/>
    <e v="#N/A"/>
    <e v="#N/A"/>
  </r>
  <r>
    <n v="3051"/>
    <d v="2016-01-31T11:19:01"/>
    <d v="2016-01-31T11:34:01"/>
    <x v="2"/>
    <m/>
    <m/>
    <x v="0"/>
    <n v="70805"/>
    <n v="0"/>
    <d v="2016-01-31T11:37:01"/>
    <n v="11.59"/>
    <x v="2"/>
    <n v="1"/>
    <n v="1.7"/>
    <n v="0"/>
    <n v="0"/>
    <n v="1.7"/>
    <x v="0"/>
    <x v="0"/>
    <x v="0"/>
    <x v="0"/>
    <n v="10"/>
    <e v="#N/A"/>
    <e v="#N/A"/>
  </r>
  <r>
    <n v="3052"/>
    <d v="2016-01-31T13:20:50"/>
    <d v="2016-01-31T13:35:50"/>
    <x v="0"/>
    <s v="Large"/>
    <m/>
    <x v="0"/>
    <n v="70805"/>
    <n v="0"/>
    <d v="2016-01-31T13:38:50"/>
    <n v="23.34"/>
    <x v="2"/>
    <n v="2"/>
    <n v="1"/>
    <n v="2.2999999999999998"/>
    <n v="0"/>
    <n v="3.3"/>
    <x v="0"/>
    <x v="0"/>
    <x v="0"/>
    <x v="0"/>
    <n v="7"/>
    <n v="14"/>
    <e v="#N/A"/>
  </r>
  <r>
    <n v="3053"/>
    <d v="2016-01-31T12:18:54"/>
    <d v="2016-01-31T12:33:53"/>
    <x v="1"/>
    <m/>
    <m/>
    <x v="1"/>
    <n v="70805"/>
    <n v="3.51947670559926"/>
    <d v="2016-01-31T12:51:28"/>
    <n v="15.35"/>
    <x v="90"/>
    <n v="1"/>
    <n v="2.2999999999999998"/>
    <n v="0"/>
    <n v="0"/>
    <n v="2.2999999999999998"/>
    <x v="81"/>
    <x v="1"/>
    <x v="1553"/>
    <x v="0"/>
    <n v="14"/>
    <e v="#N/A"/>
    <e v="#N/A"/>
  </r>
  <r>
    <n v="3054"/>
    <d v="2016-01-31T11:38:29"/>
    <d v="2016-01-31T11:53:29"/>
    <x v="0"/>
    <s v="Large"/>
    <m/>
    <x v="0"/>
    <n v="70804"/>
    <n v="0"/>
    <d v="2016-01-31T11:56:28"/>
    <n v="23.34"/>
    <x v="1"/>
    <n v="2"/>
    <n v="1"/>
    <n v="2.2999999999999998"/>
    <n v="0"/>
    <n v="3.3"/>
    <x v="0"/>
    <x v="0"/>
    <x v="0"/>
    <x v="0"/>
    <n v="7"/>
    <n v="14"/>
    <e v="#N/A"/>
  </r>
  <r>
    <n v="3055"/>
    <d v="2016-01-31T10:24:46"/>
    <d v="2016-01-31T10:39:46"/>
    <x v="0"/>
    <s v="Medium"/>
    <m/>
    <x v="0"/>
    <n v="70806"/>
    <n v="0"/>
    <d v="2016-01-31T10:42:46"/>
    <n v="19.579999999999998"/>
    <x v="2"/>
    <n v="2"/>
    <n v="1"/>
    <n v="1.7"/>
    <n v="0"/>
    <n v="2.7"/>
    <x v="0"/>
    <x v="0"/>
    <x v="0"/>
    <x v="0"/>
    <n v="7"/>
    <n v="10"/>
    <e v="#N/A"/>
  </r>
  <r>
    <n v="3056"/>
    <d v="2016-01-31T11:53:22"/>
    <d v="2016-01-31T12:08:22"/>
    <x v="1"/>
    <m/>
    <m/>
    <x v="0"/>
    <n v="70805"/>
    <n v="0"/>
    <d v="2016-01-31T12:11:20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3057"/>
    <d v="2016-01-31T12:49:49"/>
    <d v="2016-01-31T13:04:49"/>
    <x v="2"/>
    <m/>
    <m/>
    <x v="1"/>
    <n v="70806"/>
    <n v="1.9466793332564001"/>
    <d v="2016-01-31T13:14:33"/>
    <n v="11.59"/>
    <x v="1055"/>
    <n v="1"/>
    <n v="1.7"/>
    <n v="0"/>
    <n v="0"/>
    <n v="1.7"/>
    <x v="1042"/>
    <x v="0"/>
    <x v="1554"/>
    <x v="884"/>
    <n v="10"/>
    <e v="#N/A"/>
    <e v="#N/A"/>
  </r>
  <r>
    <n v="3058"/>
    <d v="2016-01-31T10:37:34"/>
    <d v="2016-01-31T10:52:34"/>
    <x v="1"/>
    <m/>
    <m/>
    <x v="1"/>
    <n v="70803"/>
    <n v="2.02085299448279"/>
    <d v="2016-01-31T11:02:40"/>
    <n v="15.35"/>
    <x v="1056"/>
    <n v="1"/>
    <n v="2.2999999999999998"/>
    <n v="0"/>
    <n v="0"/>
    <n v="2.2999999999999998"/>
    <x v="1043"/>
    <x v="0"/>
    <x v="1555"/>
    <x v="885"/>
    <n v="14"/>
    <e v="#N/A"/>
    <e v="#N/A"/>
  </r>
  <r>
    <n v="3059"/>
    <d v="2016-01-31T11:04:57"/>
    <d v="2016-01-31T11:19:58"/>
    <x v="0"/>
    <s v="Medium"/>
    <m/>
    <x v="0"/>
    <n v="70805"/>
    <n v="0"/>
    <d v="2016-01-31T11:22:58"/>
    <n v="19.579999999999998"/>
    <x v="2"/>
    <n v="2"/>
    <n v="1"/>
    <n v="1.7"/>
    <n v="0"/>
    <n v="2.7"/>
    <x v="0"/>
    <x v="0"/>
    <x v="0"/>
    <x v="0"/>
    <n v="7"/>
    <n v="10"/>
    <e v="#N/A"/>
  </r>
  <r>
    <n v="3060"/>
    <d v="2016-01-31T12:22:31"/>
    <d v="2016-01-31T12:37:29"/>
    <x v="0"/>
    <s v="Medium"/>
    <m/>
    <x v="1"/>
    <n v="70806"/>
    <n v="1.9165713253527801"/>
    <d v="2016-01-31T12:47:03"/>
    <n v="19.579999999999998"/>
    <x v="243"/>
    <n v="2"/>
    <n v="1"/>
    <n v="1.7"/>
    <n v="0"/>
    <n v="2.7"/>
    <x v="230"/>
    <x v="0"/>
    <x v="1556"/>
    <x v="886"/>
    <n v="7"/>
    <n v="10"/>
    <e v="#N/A"/>
  </r>
  <r>
    <n v="3061"/>
    <d v="2016-01-31T11:14:31"/>
    <d v="2016-01-31T11:29:31"/>
    <x v="2"/>
    <m/>
    <m/>
    <x v="0"/>
    <n v="70803"/>
    <n v="0"/>
    <d v="2016-01-31T11:32:32"/>
    <n v="11.59"/>
    <x v="14"/>
    <n v="1"/>
    <n v="1.7"/>
    <n v="0"/>
    <n v="0"/>
    <n v="1.7"/>
    <x v="0"/>
    <x v="0"/>
    <x v="0"/>
    <x v="0"/>
    <n v="10"/>
    <e v="#N/A"/>
    <e v="#N/A"/>
  </r>
  <r>
    <n v="3062"/>
    <d v="2016-01-31T12:54:53"/>
    <d v="2016-01-31T13:09:52"/>
    <x v="0"/>
    <s v="Medium"/>
    <m/>
    <x v="0"/>
    <n v="70805"/>
    <n v="0"/>
    <d v="2016-01-31T13:12:53"/>
    <n v="19.579999999999998"/>
    <x v="14"/>
    <n v="2"/>
    <n v="1"/>
    <n v="1.7"/>
    <n v="0"/>
    <n v="2.7"/>
    <x v="0"/>
    <x v="0"/>
    <x v="0"/>
    <x v="0"/>
    <n v="7"/>
    <n v="10"/>
    <e v="#N/A"/>
  </r>
  <r>
    <n v="3063"/>
    <d v="2016-01-31T11:08:22"/>
    <d v="2016-01-31T11:23:20"/>
    <x v="1"/>
    <m/>
    <m/>
    <x v="0"/>
    <n v="70805"/>
    <n v="0"/>
    <d v="2016-01-31T11:26:19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3064"/>
    <d v="2016-01-31T10:06:10"/>
    <d v="2016-01-31T10:21:10"/>
    <x v="2"/>
    <m/>
    <m/>
    <x v="1"/>
    <n v="70806"/>
    <n v="1.8241846718980601"/>
    <d v="2016-01-31T10:30:17"/>
    <n v="11.59"/>
    <x v="1057"/>
    <n v="1"/>
    <n v="1.7"/>
    <n v="0"/>
    <n v="0"/>
    <n v="1.7"/>
    <x v="1044"/>
    <x v="0"/>
    <x v="1557"/>
    <x v="887"/>
    <n v="10"/>
    <e v="#N/A"/>
    <e v="#N/A"/>
  </r>
  <r>
    <n v="3065"/>
    <d v="2016-01-31T12:21:25"/>
    <d v="2016-01-31T12:36:24"/>
    <x v="0"/>
    <m/>
    <m/>
    <x v="1"/>
    <n v="70805"/>
    <n v="2.0883666649928201"/>
    <d v="2016-01-31T12:46:50"/>
    <n v="7.99"/>
    <x v="1058"/>
    <n v="1"/>
    <n v="1"/>
    <n v="0"/>
    <n v="0"/>
    <n v="1"/>
    <x v="1045"/>
    <x v="0"/>
    <x v="1558"/>
    <x v="888"/>
    <n v="7"/>
    <e v="#N/A"/>
    <e v="#N/A"/>
  </r>
  <r>
    <n v="3066"/>
    <d v="2016-01-31T12:03:07"/>
    <d v="2016-01-31T12:18:09"/>
    <x v="0"/>
    <m/>
    <m/>
    <x v="0"/>
    <n v="70807"/>
    <n v="0"/>
    <d v="2016-01-31T12:21:08"/>
    <n v="7.99"/>
    <x v="24"/>
    <n v="1"/>
    <n v="1"/>
    <n v="0"/>
    <n v="0"/>
    <n v="1"/>
    <x v="0"/>
    <x v="0"/>
    <x v="0"/>
    <x v="0"/>
    <n v="7"/>
    <e v="#N/A"/>
    <e v="#N/A"/>
  </r>
  <r>
    <n v="3067"/>
    <d v="2016-01-31T12:02:25"/>
    <d v="2016-01-31T12:17:24"/>
    <x v="2"/>
    <m/>
    <m/>
    <x v="0"/>
    <n v="70807"/>
    <n v="0"/>
    <d v="2016-01-31T12:20:22"/>
    <n v="11.59"/>
    <x v="0"/>
    <n v="1"/>
    <n v="1.7"/>
    <n v="0"/>
    <n v="0"/>
    <n v="1.7"/>
    <x v="0"/>
    <x v="0"/>
    <x v="0"/>
    <x v="0"/>
    <n v="10"/>
    <e v="#N/A"/>
    <e v="#N/A"/>
  </r>
  <r>
    <n v="3068"/>
    <d v="2016-01-31T13:23:42"/>
    <d v="2016-01-31T13:38:42"/>
    <x v="0"/>
    <s v="Medium"/>
    <m/>
    <x v="0"/>
    <n v="70803"/>
    <n v="0"/>
    <d v="2016-01-31T13:41:42"/>
    <n v="19.579999999999998"/>
    <x v="2"/>
    <n v="2"/>
    <n v="1"/>
    <n v="1.7"/>
    <n v="0"/>
    <n v="2.7"/>
    <x v="0"/>
    <x v="0"/>
    <x v="0"/>
    <x v="0"/>
    <n v="7"/>
    <n v="10"/>
    <e v="#N/A"/>
  </r>
  <r>
    <n v="3069"/>
    <d v="2016-01-31T14:02:15"/>
    <d v="2016-01-31T14:17:15"/>
    <x v="1"/>
    <m/>
    <m/>
    <x v="1"/>
    <n v="70805"/>
    <n v="2.8335773116903802"/>
    <d v="2016-01-31T14:31:25"/>
    <n v="15.35"/>
    <x v="542"/>
    <n v="1"/>
    <n v="2.2999999999999998"/>
    <n v="0"/>
    <n v="0"/>
    <n v="2.2999999999999998"/>
    <x v="529"/>
    <x v="0"/>
    <x v="1559"/>
    <x v="889"/>
    <n v="14"/>
    <e v="#N/A"/>
    <e v="#N/A"/>
  </r>
  <r>
    <n v="3070"/>
    <d v="2016-01-31T11:43:33"/>
    <d v="2016-01-31T11:58:32"/>
    <x v="0"/>
    <s v="Large"/>
    <m/>
    <x v="0"/>
    <n v="70805"/>
    <n v="0"/>
    <d v="2016-01-31T12:01:32"/>
    <n v="23.34"/>
    <x v="2"/>
    <n v="2"/>
    <n v="1"/>
    <n v="2.2999999999999998"/>
    <n v="0"/>
    <n v="3.3"/>
    <x v="0"/>
    <x v="0"/>
    <x v="0"/>
    <x v="0"/>
    <n v="7"/>
    <n v="14"/>
    <e v="#N/A"/>
  </r>
  <r>
    <n v="3071"/>
    <d v="2016-01-31T11:08:42"/>
    <d v="2016-01-31T11:23:42"/>
    <x v="1"/>
    <m/>
    <m/>
    <x v="0"/>
    <n v="70805"/>
    <n v="0"/>
    <d v="2016-01-31T11:26:41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3072"/>
    <d v="2016-01-31T11:22:25"/>
    <d v="2016-01-31T11:37:22"/>
    <x v="0"/>
    <s v="Medium"/>
    <m/>
    <x v="0"/>
    <n v="70807"/>
    <n v="0"/>
    <d v="2016-01-31T11:40:22"/>
    <n v="19.579999999999998"/>
    <x v="2"/>
    <n v="2"/>
    <n v="1"/>
    <n v="1.7"/>
    <n v="0"/>
    <n v="2.7"/>
    <x v="0"/>
    <x v="0"/>
    <x v="0"/>
    <x v="0"/>
    <n v="7"/>
    <n v="10"/>
    <e v="#N/A"/>
  </r>
  <r>
    <n v="3073"/>
    <d v="2016-01-31T13:09:26"/>
    <d v="2016-01-31T13:24:23"/>
    <x v="1"/>
    <m/>
    <m/>
    <x v="1"/>
    <n v="70804"/>
    <n v="2.8595004251131302"/>
    <d v="2016-01-31T13:38:40"/>
    <n v="15.35"/>
    <x v="1059"/>
    <n v="1"/>
    <n v="2.2999999999999998"/>
    <n v="0"/>
    <n v="0"/>
    <n v="2.2999999999999998"/>
    <x v="1046"/>
    <x v="0"/>
    <x v="1560"/>
    <x v="890"/>
    <n v="14"/>
    <e v="#N/A"/>
    <e v="#N/A"/>
  </r>
  <r>
    <n v="3074"/>
    <d v="2016-01-31T12:24:48"/>
    <d v="2016-01-31T12:39:49"/>
    <x v="0"/>
    <s v="Medium"/>
    <m/>
    <x v="0"/>
    <n v="70804"/>
    <n v="0"/>
    <d v="2016-01-31T12:42:49"/>
    <n v="19.579999999999998"/>
    <x v="2"/>
    <n v="2"/>
    <n v="1"/>
    <n v="1.7"/>
    <n v="0"/>
    <n v="2.7"/>
    <x v="0"/>
    <x v="0"/>
    <x v="0"/>
    <x v="0"/>
    <n v="7"/>
    <n v="10"/>
    <e v="#N/A"/>
  </r>
  <r>
    <n v="3075"/>
    <d v="2016-01-31T12:45:03"/>
    <d v="2016-01-31T13:00:02"/>
    <x v="0"/>
    <m/>
    <m/>
    <x v="1"/>
    <n v="70804"/>
    <n v="4.2134083468154699"/>
    <d v="2016-01-31T13:21:06"/>
    <n v="7.99"/>
    <x v="1060"/>
    <n v="1"/>
    <n v="1"/>
    <n v="0"/>
    <n v="0"/>
    <n v="1"/>
    <x v="1047"/>
    <x v="1"/>
    <x v="1561"/>
    <x v="0"/>
    <n v="7"/>
    <e v="#N/A"/>
    <e v="#N/A"/>
  </r>
  <r>
    <n v="3076"/>
    <d v="2016-01-31T11:54:35"/>
    <d v="2016-01-31T12:09:35"/>
    <x v="0"/>
    <m/>
    <m/>
    <x v="1"/>
    <n v="70804"/>
    <n v="3.49046247453099"/>
    <d v="2016-01-31T12:27:02"/>
    <n v="7.99"/>
    <x v="1061"/>
    <n v="1"/>
    <n v="1"/>
    <n v="0"/>
    <n v="0"/>
    <n v="1"/>
    <x v="1048"/>
    <x v="1"/>
    <x v="1562"/>
    <x v="0"/>
    <n v="7"/>
    <e v="#N/A"/>
    <e v="#N/A"/>
  </r>
  <r>
    <n v="3077"/>
    <d v="2016-01-31T11:23:26"/>
    <d v="2016-01-31T11:38:26"/>
    <x v="1"/>
    <m/>
    <m/>
    <x v="1"/>
    <n v="70805"/>
    <n v="3.21653980630682"/>
    <d v="2016-01-31T11:54:30"/>
    <n v="15.35"/>
    <x v="1062"/>
    <n v="1"/>
    <n v="2.2999999999999998"/>
    <n v="0"/>
    <n v="0"/>
    <n v="2.2999999999999998"/>
    <x v="1049"/>
    <x v="1"/>
    <x v="1563"/>
    <x v="0"/>
    <n v="14"/>
    <e v="#N/A"/>
    <e v="#N/A"/>
  </r>
  <r>
    <n v="3078"/>
    <d v="2016-01-31T12:15:07"/>
    <d v="2016-01-31T12:30:05"/>
    <x v="1"/>
    <m/>
    <m/>
    <x v="1"/>
    <n v="70803"/>
    <n v="4.5853787465929301"/>
    <d v="2016-01-31T12:53:00"/>
    <n v="15.35"/>
    <x v="1063"/>
    <n v="1"/>
    <n v="2.2999999999999998"/>
    <n v="0"/>
    <n v="0"/>
    <n v="2.2999999999999998"/>
    <x v="1050"/>
    <x v="1"/>
    <x v="1564"/>
    <x v="0"/>
    <n v="14"/>
    <e v="#N/A"/>
    <e v="#N/A"/>
  </r>
  <r>
    <n v="3079"/>
    <d v="2016-01-31T13:51:18"/>
    <d v="2016-01-31T14:06:19"/>
    <x v="2"/>
    <m/>
    <m/>
    <x v="1"/>
    <n v="70805"/>
    <n v="2.8131539164284498"/>
    <d v="2016-01-31T14:20:22"/>
    <n v="11.59"/>
    <x v="1064"/>
    <n v="1"/>
    <n v="1.7"/>
    <n v="0"/>
    <n v="0"/>
    <n v="1.7"/>
    <x v="1051"/>
    <x v="0"/>
    <x v="1565"/>
    <x v="891"/>
    <n v="10"/>
    <e v="#N/A"/>
    <e v="#N/A"/>
  </r>
  <r>
    <n v="3080"/>
    <d v="2016-01-31T12:51:04"/>
    <d v="2016-01-31T13:06:02"/>
    <x v="1"/>
    <m/>
    <m/>
    <x v="0"/>
    <n v="70803"/>
    <n v="0"/>
    <d v="2016-01-31T13:09:02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3081"/>
    <d v="2016-01-31T10:19:24"/>
    <d v="2016-01-31T10:34:24"/>
    <x v="0"/>
    <m/>
    <m/>
    <x v="0"/>
    <n v="70804"/>
    <n v="0"/>
    <d v="2016-01-31T10:37:23"/>
    <n v="7.99"/>
    <x v="24"/>
    <n v="1"/>
    <n v="1"/>
    <n v="0"/>
    <n v="0"/>
    <n v="1"/>
    <x v="0"/>
    <x v="0"/>
    <x v="0"/>
    <x v="0"/>
    <n v="7"/>
    <e v="#N/A"/>
    <e v="#N/A"/>
  </r>
  <r>
    <n v="3082"/>
    <d v="2016-01-31T12:14:46"/>
    <d v="2016-01-31T12:29:46"/>
    <x v="0"/>
    <s v="Large"/>
    <m/>
    <x v="0"/>
    <n v="70803"/>
    <n v="0"/>
    <d v="2016-01-31T12:32:45"/>
    <n v="23.34"/>
    <x v="24"/>
    <n v="2"/>
    <n v="1"/>
    <n v="2.2999999999999998"/>
    <n v="0"/>
    <n v="3.3"/>
    <x v="0"/>
    <x v="0"/>
    <x v="0"/>
    <x v="0"/>
    <n v="7"/>
    <n v="14"/>
    <e v="#N/A"/>
  </r>
  <r>
    <n v="3083"/>
    <d v="2016-01-31T10:20:35"/>
    <d v="2016-01-31T10:35:35"/>
    <x v="1"/>
    <m/>
    <m/>
    <x v="0"/>
    <n v="70803"/>
    <n v="0"/>
    <d v="2016-01-31T10:38:36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3084"/>
    <d v="2016-01-31T11:49:56"/>
    <d v="2016-01-31T12:04:56"/>
    <x v="2"/>
    <m/>
    <m/>
    <x v="0"/>
    <n v="70803"/>
    <n v="0"/>
    <d v="2016-01-31T12:07:57"/>
    <n v="11.59"/>
    <x v="14"/>
    <n v="1"/>
    <n v="1.7"/>
    <n v="0"/>
    <n v="0"/>
    <n v="1.7"/>
    <x v="0"/>
    <x v="0"/>
    <x v="0"/>
    <x v="0"/>
    <n v="10"/>
    <e v="#N/A"/>
    <e v="#N/A"/>
  </r>
  <r>
    <n v="3085"/>
    <d v="2016-01-31T10:30:00"/>
    <d v="2016-01-31T10:44:59"/>
    <x v="0"/>
    <m/>
    <m/>
    <x v="1"/>
    <n v="70804"/>
    <n v="3.3529728555243499"/>
    <d v="2016-01-31T11:01:44"/>
    <n v="7.99"/>
    <x v="458"/>
    <n v="1"/>
    <n v="1"/>
    <n v="0"/>
    <n v="0"/>
    <n v="1"/>
    <x v="445"/>
    <x v="1"/>
    <x v="1566"/>
    <x v="0"/>
    <n v="7"/>
    <e v="#N/A"/>
    <e v="#N/A"/>
  </r>
  <r>
    <n v="3086"/>
    <d v="2016-01-31T11:35:22"/>
    <d v="2016-01-31T11:50:19"/>
    <x v="0"/>
    <s v="Medium"/>
    <m/>
    <x v="1"/>
    <n v="70804"/>
    <n v="2.4368772983839602"/>
    <d v="2016-01-31T12:02:30"/>
    <n v="19.579999999999998"/>
    <x v="1065"/>
    <n v="2"/>
    <n v="1"/>
    <n v="1.7"/>
    <n v="0"/>
    <n v="2.7"/>
    <x v="1052"/>
    <x v="0"/>
    <x v="1567"/>
    <x v="892"/>
    <n v="7"/>
    <n v="10"/>
    <e v="#N/A"/>
  </r>
  <r>
    <n v="3087"/>
    <d v="2016-01-31T11:04:33"/>
    <d v="2016-01-31T11:19:32"/>
    <x v="2"/>
    <m/>
    <m/>
    <x v="0"/>
    <n v="70808"/>
    <n v="0"/>
    <d v="2016-01-31T11:22:31"/>
    <n v="11.59"/>
    <x v="24"/>
    <n v="1"/>
    <n v="1.7"/>
    <n v="0"/>
    <n v="0"/>
    <n v="1.7"/>
    <x v="0"/>
    <x v="0"/>
    <x v="0"/>
    <x v="0"/>
    <n v="10"/>
    <e v="#N/A"/>
    <e v="#N/A"/>
  </r>
  <r>
    <n v="3088"/>
    <d v="2016-01-31T12:16:05"/>
    <d v="2016-01-31T12:31:05"/>
    <x v="2"/>
    <m/>
    <m/>
    <x v="1"/>
    <n v="70806"/>
    <n v="1.1405235443966499"/>
    <d v="2016-01-31T12:36:47"/>
    <n v="11.59"/>
    <x v="1066"/>
    <n v="1"/>
    <n v="1.7"/>
    <n v="0"/>
    <n v="0"/>
    <n v="1.7"/>
    <x v="1053"/>
    <x v="0"/>
    <x v="1568"/>
    <x v="893"/>
    <n v="10"/>
    <e v="#N/A"/>
    <e v="#N/A"/>
  </r>
  <r>
    <n v="3089"/>
    <d v="2016-01-31T11:13:39"/>
    <d v="2016-01-31T11:28:38"/>
    <x v="2"/>
    <m/>
    <m/>
    <x v="1"/>
    <n v="70807"/>
    <n v="1.9236544648208"/>
    <d v="2016-01-31T11:38:15"/>
    <n v="11.59"/>
    <x v="294"/>
    <n v="1"/>
    <n v="1.7"/>
    <n v="0"/>
    <n v="0"/>
    <n v="1.7"/>
    <x v="281"/>
    <x v="0"/>
    <x v="1569"/>
    <x v="894"/>
    <n v="10"/>
    <e v="#N/A"/>
    <e v="#N/A"/>
  </r>
  <r>
    <n v="3090"/>
    <d v="2016-01-31T14:17:59"/>
    <d v="2016-01-31T14:32:59"/>
    <x v="2"/>
    <m/>
    <m/>
    <x v="1"/>
    <n v="70806"/>
    <n v="0.892176361492384"/>
    <d v="2016-01-31T14:37:26"/>
    <n v="11.59"/>
    <x v="1067"/>
    <n v="1"/>
    <n v="1.7"/>
    <n v="0"/>
    <n v="0"/>
    <n v="1.7"/>
    <x v="1054"/>
    <x v="0"/>
    <x v="1570"/>
    <x v="895"/>
    <n v="10"/>
    <e v="#N/A"/>
    <e v="#N/A"/>
  </r>
  <r>
    <n v="3091"/>
    <d v="2016-02-01T13:35:05"/>
    <d v="2016-02-01T13:50:04"/>
    <x v="2"/>
    <m/>
    <m/>
    <x v="0"/>
    <n v="70803"/>
    <n v="0"/>
    <d v="2016-02-01T13:53:05"/>
    <n v="11.59"/>
    <x v="14"/>
    <n v="1"/>
    <n v="1.7"/>
    <n v="0"/>
    <n v="0"/>
    <n v="1.7"/>
    <x v="0"/>
    <x v="0"/>
    <x v="0"/>
    <x v="0"/>
    <n v="10"/>
    <e v="#N/A"/>
    <e v="#N/A"/>
  </r>
  <r>
    <n v="3092"/>
    <d v="2016-02-01T12:29:22"/>
    <d v="2016-02-01T12:44:21"/>
    <x v="2"/>
    <m/>
    <m/>
    <x v="0"/>
    <n v="70805"/>
    <n v="0"/>
    <d v="2016-02-01T12:47:21"/>
    <n v="11.59"/>
    <x v="2"/>
    <n v="1"/>
    <n v="1.7"/>
    <n v="0"/>
    <n v="0"/>
    <n v="1.7"/>
    <x v="0"/>
    <x v="0"/>
    <x v="0"/>
    <x v="0"/>
    <n v="10"/>
    <e v="#N/A"/>
    <e v="#N/A"/>
  </r>
  <r>
    <n v="3093"/>
    <d v="2016-02-01T12:52:51"/>
    <d v="2016-02-01T13:07:51"/>
    <x v="1"/>
    <m/>
    <m/>
    <x v="1"/>
    <n v="70806"/>
    <n v="4.6115116789136801"/>
    <d v="2016-02-01T13:30:54"/>
    <n v="15.35"/>
    <x v="704"/>
    <n v="1"/>
    <n v="2.2999999999999998"/>
    <n v="0"/>
    <n v="0"/>
    <n v="2.2999999999999998"/>
    <x v="691"/>
    <x v="1"/>
    <x v="1571"/>
    <x v="0"/>
    <n v="14"/>
    <e v="#N/A"/>
    <e v="#N/A"/>
  </r>
  <r>
    <n v="3094"/>
    <d v="2016-02-01T12:50:24"/>
    <d v="2016-02-01T13:05:23"/>
    <x v="0"/>
    <m/>
    <m/>
    <x v="1"/>
    <n v="70803"/>
    <n v="4.2833930139842398"/>
    <d v="2016-02-01T13:26:48"/>
    <n v="7.99"/>
    <x v="1068"/>
    <n v="1"/>
    <n v="1"/>
    <n v="0"/>
    <n v="0"/>
    <n v="1"/>
    <x v="1055"/>
    <x v="1"/>
    <x v="1572"/>
    <x v="0"/>
    <n v="7"/>
    <e v="#N/A"/>
    <e v="#N/A"/>
  </r>
  <r>
    <n v="3095"/>
    <d v="2016-02-01T12:40:10"/>
    <d v="2016-02-01T12:55:10"/>
    <x v="0"/>
    <m/>
    <m/>
    <x v="1"/>
    <n v="70806"/>
    <n v="3.8283956021769399"/>
    <d v="2016-02-01T13:14:18"/>
    <n v="7.99"/>
    <x v="202"/>
    <n v="1"/>
    <n v="1"/>
    <n v="0"/>
    <n v="0"/>
    <n v="1"/>
    <x v="190"/>
    <x v="1"/>
    <x v="1573"/>
    <x v="0"/>
    <n v="7"/>
    <e v="#N/A"/>
    <e v="#N/A"/>
  </r>
  <r>
    <n v="3096"/>
    <d v="2016-02-01T12:04:40"/>
    <d v="2016-02-01T12:19:39"/>
    <x v="1"/>
    <m/>
    <m/>
    <x v="0"/>
    <n v="70803"/>
    <n v="0"/>
    <d v="2016-02-01T12:22:39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3097"/>
    <d v="2016-02-01T11:35:35"/>
    <d v="2016-02-01T11:50:36"/>
    <x v="1"/>
    <m/>
    <m/>
    <x v="1"/>
    <n v="70806"/>
    <n v="2.5925672068996999"/>
    <d v="2016-02-01T12:03:33"/>
    <n v="15.35"/>
    <x v="447"/>
    <n v="1"/>
    <n v="2.2999999999999998"/>
    <n v="0"/>
    <n v="0"/>
    <n v="2.2999999999999998"/>
    <x v="434"/>
    <x v="0"/>
    <x v="1574"/>
    <x v="896"/>
    <n v="14"/>
    <e v="#N/A"/>
    <e v="#N/A"/>
  </r>
  <r>
    <n v="3098"/>
    <d v="2016-02-01T11:42:29"/>
    <d v="2016-02-01T11:57:27"/>
    <x v="1"/>
    <m/>
    <m/>
    <x v="1"/>
    <n v="70804"/>
    <n v="3.0564451510305801"/>
    <d v="2016-02-01T12:12:43"/>
    <n v="15.35"/>
    <x v="1069"/>
    <n v="1"/>
    <n v="2.2999999999999998"/>
    <n v="0"/>
    <n v="0"/>
    <n v="2.2999999999999998"/>
    <x v="1056"/>
    <x v="0"/>
    <x v="1575"/>
    <x v="897"/>
    <n v="14"/>
    <e v="#N/A"/>
    <e v="#N/A"/>
  </r>
  <r>
    <n v="3099"/>
    <d v="2016-02-01T13:35:32"/>
    <d v="2016-02-01T13:50:31"/>
    <x v="0"/>
    <s v="Medium"/>
    <m/>
    <x v="1"/>
    <n v="70804"/>
    <n v="2.28423011456178"/>
    <d v="2016-02-01T14:01:56"/>
    <n v="19.579999999999998"/>
    <x v="963"/>
    <n v="2"/>
    <n v="1"/>
    <n v="1.7"/>
    <n v="0"/>
    <n v="2.7"/>
    <x v="950"/>
    <x v="0"/>
    <x v="1576"/>
    <x v="898"/>
    <n v="7"/>
    <n v="10"/>
    <e v="#N/A"/>
  </r>
  <r>
    <n v="3100"/>
    <d v="2016-02-01T13:35:24"/>
    <d v="2016-02-01T13:50:25"/>
    <x v="2"/>
    <m/>
    <m/>
    <x v="1"/>
    <n v="70805"/>
    <n v="3.9250981657454398"/>
    <d v="2016-02-01T14:10:02"/>
    <n v="11.59"/>
    <x v="612"/>
    <n v="1"/>
    <n v="1.7"/>
    <n v="0"/>
    <n v="0"/>
    <n v="1.7"/>
    <x v="599"/>
    <x v="1"/>
    <x v="1577"/>
    <x v="0"/>
    <n v="10"/>
    <e v="#N/A"/>
    <e v="#N/A"/>
  </r>
  <r>
    <n v="3101"/>
    <d v="2016-02-01T11:00:59"/>
    <d v="2016-02-01T11:15:59"/>
    <x v="0"/>
    <s v="Medium"/>
    <m/>
    <x v="1"/>
    <n v="70804"/>
    <n v="3.4916287900786198"/>
    <d v="2016-02-01T11:33:26"/>
    <n v="19.579999999999998"/>
    <x v="1061"/>
    <n v="2"/>
    <n v="1"/>
    <n v="1.7"/>
    <n v="0"/>
    <n v="2.7"/>
    <x v="1048"/>
    <x v="1"/>
    <x v="1578"/>
    <x v="0"/>
    <n v="7"/>
    <n v="10"/>
    <e v="#N/A"/>
  </r>
  <r>
    <n v="3102"/>
    <d v="2016-02-01T13:20:35"/>
    <d v="2016-02-01T13:35:33"/>
    <x v="0"/>
    <m/>
    <m/>
    <x v="1"/>
    <n v="70807"/>
    <n v="4.6807427563785797"/>
    <d v="2016-02-01T13:58:57"/>
    <n v="7.99"/>
    <x v="738"/>
    <n v="1"/>
    <n v="1"/>
    <n v="0"/>
    <n v="0"/>
    <n v="1"/>
    <x v="725"/>
    <x v="1"/>
    <x v="1579"/>
    <x v="0"/>
    <n v="7"/>
    <e v="#N/A"/>
    <e v="#N/A"/>
  </r>
  <r>
    <n v="3103"/>
    <d v="2016-02-01T12:10:35"/>
    <d v="2016-02-01T12:25:35"/>
    <x v="2"/>
    <m/>
    <m/>
    <x v="1"/>
    <n v="70803"/>
    <n v="2.6475650787795599"/>
    <d v="2016-02-01T12:38:49"/>
    <n v="11.59"/>
    <x v="652"/>
    <n v="1"/>
    <n v="1.7"/>
    <n v="0"/>
    <n v="0"/>
    <n v="1.7"/>
    <x v="639"/>
    <x v="0"/>
    <x v="1580"/>
    <x v="899"/>
    <n v="10"/>
    <e v="#N/A"/>
    <e v="#N/A"/>
  </r>
  <r>
    <n v="3104"/>
    <d v="2016-02-01T12:29:19"/>
    <d v="2016-02-01T12:44:20"/>
    <x v="2"/>
    <m/>
    <m/>
    <x v="0"/>
    <n v="70806"/>
    <n v="0"/>
    <d v="2016-02-01T12:47:21"/>
    <n v="11.59"/>
    <x v="14"/>
    <n v="1"/>
    <n v="1.7"/>
    <n v="0"/>
    <n v="0"/>
    <n v="1.7"/>
    <x v="0"/>
    <x v="0"/>
    <x v="0"/>
    <x v="0"/>
    <n v="10"/>
    <e v="#N/A"/>
    <e v="#N/A"/>
  </r>
  <r>
    <n v="3105"/>
    <d v="2016-02-01T10:29:19"/>
    <d v="2016-02-01T10:44:21"/>
    <x v="0"/>
    <s v="Medium"/>
    <m/>
    <x v="0"/>
    <n v="70805"/>
    <n v="0"/>
    <d v="2016-02-01T10:47:20"/>
    <n v="19.579999999999998"/>
    <x v="24"/>
    <n v="2"/>
    <n v="1"/>
    <n v="1.7"/>
    <n v="0"/>
    <n v="2.7"/>
    <x v="0"/>
    <x v="0"/>
    <x v="0"/>
    <x v="0"/>
    <n v="7"/>
    <n v="10"/>
    <e v="#N/A"/>
  </r>
  <r>
    <n v="3106"/>
    <d v="2016-02-01T12:50:58"/>
    <d v="2016-02-01T13:05:57"/>
    <x v="0"/>
    <m/>
    <m/>
    <x v="1"/>
    <n v="70807"/>
    <n v="6.6642842548754402"/>
    <d v="2016-02-01T13:39:16"/>
    <n v="7.99"/>
    <x v="1070"/>
    <n v="1"/>
    <n v="1"/>
    <n v="0"/>
    <n v="0"/>
    <n v="1"/>
    <x v="1057"/>
    <x v="1"/>
    <x v="1581"/>
    <x v="0"/>
    <n v="7"/>
    <e v="#N/A"/>
    <e v="#N/A"/>
  </r>
  <r>
    <n v="3107"/>
    <d v="2016-02-01T14:46:03"/>
    <d v="2016-02-01T15:01:02"/>
    <x v="0"/>
    <m/>
    <m/>
    <x v="0"/>
    <n v="70806"/>
    <n v="0"/>
    <d v="2016-02-01T15:04:02"/>
    <n v="7.99"/>
    <x v="2"/>
    <n v="1"/>
    <n v="1"/>
    <n v="0"/>
    <n v="0"/>
    <n v="1"/>
    <x v="0"/>
    <x v="0"/>
    <x v="0"/>
    <x v="0"/>
    <n v="7"/>
    <e v="#N/A"/>
    <e v="#N/A"/>
  </r>
  <r>
    <n v="3108"/>
    <d v="2016-02-01T11:49:26"/>
    <d v="2016-02-01T12:04:25"/>
    <x v="1"/>
    <m/>
    <m/>
    <x v="1"/>
    <n v="70806"/>
    <n v="3.5110927491764201"/>
    <d v="2016-02-01T12:21:58"/>
    <n v="15.35"/>
    <x v="1071"/>
    <n v="1"/>
    <n v="2.2999999999999998"/>
    <n v="0"/>
    <n v="0"/>
    <n v="2.2999999999999998"/>
    <x v="1058"/>
    <x v="1"/>
    <x v="1582"/>
    <x v="0"/>
    <n v="14"/>
    <e v="#N/A"/>
    <e v="#N/A"/>
  </r>
  <r>
    <n v="3109"/>
    <d v="2016-02-01T11:28:31"/>
    <d v="2016-02-01T11:43:32"/>
    <x v="0"/>
    <s v="Large"/>
    <m/>
    <x v="0"/>
    <n v="70808"/>
    <n v="0"/>
    <d v="2016-02-01T11:46:30"/>
    <n v="23.34"/>
    <x v="0"/>
    <n v="2"/>
    <n v="1"/>
    <n v="2.2999999999999998"/>
    <n v="0"/>
    <n v="3.3"/>
    <x v="0"/>
    <x v="0"/>
    <x v="0"/>
    <x v="0"/>
    <n v="7"/>
    <n v="14"/>
    <e v="#N/A"/>
  </r>
  <r>
    <n v="3110"/>
    <d v="2016-02-01T10:47:41"/>
    <d v="2016-02-01T11:02:38"/>
    <x v="0"/>
    <m/>
    <m/>
    <x v="1"/>
    <n v="70805"/>
    <n v="4.2708033013209796"/>
    <d v="2016-02-01T11:23:59"/>
    <n v="7.99"/>
    <x v="1072"/>
    <n v="1"/>
    <n v="1"/>
    <n v="0"/>
    <n v="0"/>
    <n v="1"/>
    <x v="1059"/>
    <x v="1"/>
    <x v="1583"/>
    <x v="0"/>
    <n v="7"/>
    <e v="#N/A"/>
    <e v="#N/A"/>
  </r>
  <r>
    <n v="3111"/>
    <d v="2016-02-01T11:16:44"/>
    <d v="2016-02-01T11:31:45"/>
    <x v="0"/>
    <s v="Medium"/>
    <m/>
    <x v="1"/>
    <n v="70804"/>
    <n v="1.8207151165478701"/>
    <d v="2016-02-01T11:40:51"/>
    <n v="19.579999999999998"/>
    <x v="336"/>
    <n v="2"/>
    <n v="1"/>
    <n v="1.7"/>
    <n v="0"/>
    <n v="2.7"/>
    <x v="323"/>
    <x v="0"/>
    <x v="1584"/>
    <x v="900"/>
    <n v="7"/>
    <n v="10"/>
    <e v="#N/A"/>
  </r>
  <r>
    <n v="3112"/>
    <d v="2016-02-01T11:04:45"/>
    <d v="2016-02-01T11:19:44"/>
    <x v="1"/>
    <m/>
    <m/>
    <x v="0"/>
    <n v="70806"/>
    <n v="0"/>
    <d v="2016-02-01T11:22:45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3113"/>
    <d v="2016-02-01T13:05:48"/>
    <d v="2016-02-01T13:20:47"/>
    <x v="2"/>
    <m/>
    <m/>
    <x v="0"/>
    <n v="70805"/>
    <n v="0"/>
    <d v="2016-02-01T13:23:46"/>
    <n v="11.59"/>
    <x v="24"/>
    <n v="1"/>
    <n v="1.7"/>
    <n v="0"/>
    <n v="0"/>
    <n v="1.7"/>
    <x v="0"/>
    <x v="0"/>
    <x v="0"/>
    <x v="0"/>
    <n v="10"/>
    <e v="#N/A"/>
    <e v="#N/A"/>
  </r>
  <r>
    <n v="3114"/>
    <d v="2016-02-01T14:42:12"/>
    <d v="2016-02-01T14:57:12"/>
    <x v="0"/>
    <m/>
    <m/>
    <x v="0"/>
    <n v="70803"/>
    <n v="0"/>
    <d v="2016-02-01T15:00:12"/>
    <n v="7.99"/>
    <x v="63"/>
    <n v="1"/>
    <n v="1"/>
    <n v="0"/>
    <n v="0"/>
    <n v="1"/>
    <x v="0"/>
    <x v="0"/>
    <x v="0"/>
    <x v="0"/>
    <n v="7"/>
    <e v="#N/A"/>
    <e v="#N/A"/>
  </r>
  <r>
    <n v="3115"/>
    <d v="2016-02-01T13:23:38"/>
    <d v="2016-02-01T13:38:37"/>
    <x v="2"/>
    <m/>
    <m/>
    <x v="0"/>
    <n v="70804"/>
    <n v="0"/>
    <d v="2016-02-01T13:41:38"/>
    <n v="11.59"/>
    <x v="56"/>
    <n v="1"/>
    <n v="1.7"/>
    <n v="0"/>
    <n v="0"/>
    <n v="1.7"/>
    <x v="0"/>
    <x v="0"/>
    <x v="0"/>
    <x v="0"/>
    <n v="10"/>
    <e v="#N/A"/>
    <e v="#N/A"/>
  </r>
  <r>
    <n v="3116"/>
    <d v="2016-02-01T13:29:50"/>
    <d v="2016-02-01T13:44:48"/>
    <x v="0"/>
    <s v="Medium"/>
    <m/>
    <x v="0"/>
    <n v="70806"/>
    <n v="0"/>
    <d v="2016-02-01T13:47:49"/>
    <n v="19.579999999999998"/>
    <x v="56"/>
    <n v="2"/>
    <n v="1"/>
    <n v="1.7"/>
    <n v="0"/>
    <n v="2.7"/>
    <x v="0"/>
    <x v="0"/>
    <x v="0"/>
    <x v="0"/>
    <n v="7"/>
    <n v="10"/>
    <e v="#N/A"/>
  </r>
  <r>
    <n v="3117"/>
    <d v="2016-02-01T10:18:03"/>
    <d v="2016-02-01T10:33:01"/>
    <x v="1"/>
    <m/>
    <m/>
    <x v="0"/>
    <n v="70804"/>
    <n v="0"/>
    <d v="2016-02-01T10:36:01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3118"/>
    <d v="2016-02-01T11:25:31"/>
    <d v="2016-02-01T11:40:30"/>
    <x v="0"/>
    <s v="Large"/>
    <m/>
    <x v="1"/>
    <n v="70806"/>
    <n v="4.3104288754220104"/>
    <d v="2016-02-01T12:02:03"/>
    <n v="23.34"/>
    <x v="631"/>
    <n v="2"/>
    <n v="1"/>
    <n v="2.2999999999999998"/>
    <n v="0"/>
    <n v="3.3"/>
    <x v="618"/>
    <x v="1"/>
    <x v="1585"/>
    <x v="0"/>
    <n v="7"/>
    <n v="14"/>
    <e v="#N/A"/>
  </r>
  <r>
    <n v="3119"/>
    <d v="2016-02-01T12:47:14"/>
    <d v="2016-02-01T13:02:14"/>
    <x v="2"/>
    <m/>
    <m/>
    <x v="0"/>
    <n v="70807"/>
    <n v="0"/>
    <d v="2016-02-01T13:05:13"/>
    <n v="11.59"/>
    <x v="24"/>
    <n v="1"/>
    <n v="1.7"/>
    <n v="0"/>
    <n v="0"/>
    <n v="1.7"/>
    <x v="0"/>
    <x v="0"/>
    <x v="0"/>
    <x v="0"/>
    <n v="10"/>
    <e v="#N/A"/>
    <e v="#N/A"/>
  </r>
  <r>
    <n v="3120"/>
    <d v="2016-02-01T12:46:12"/>
    <d v="2016-02-01T13:01:13"/>
    <x v="2"/>
    <s v="Large"/>
    <m/>
    <x v="0"/>
    <n v="70805"/>
    <n v="0"/>
    <d v="2016-02-01T13:04:14"/>
    <n v="25.94"/>
    <x v="14"/>
    <n v="2"/>
    <n v="1.7"/>
    <n v="2.2999999999999998"/>
    <n v="0"/>
    <n v="4"/>
    <x v="0"/>
    <x v="0"/>
    <x v="0"/>
    <x v="0"/>
    <n v="10"/>
    <n v="14"/>
    <e v="#N/A"/>
  </r>
  <r>
    <n v="3121"/>
    <d v="2016-02-01T11:27:49"/>
    <d v="2016-02-01T11:42:49"/>
    <x v="2"/>
    <m/>
    <m/>
    <x v="0"/>
    <n v="70805"/>
    <n v="0"/>
    <d v="2016-02-01T11:45:51"/>
    <n v="11.59"/>
    <x v="171"/>
    <n v="1"/>
    <n v="1.7"/>
    <n v="0"/>
    <n v="0"/>
    <n v="1.7"/>
    <x v="0"/>
    <x v="0"/>
    <x v="0"/>
    <x v="0"/>
    <n v="10"/>
    <e v="#N/A"/>
    <e v="#N/A"/>
  </r>
  <r>
    <n v="3122"/>
    <d v="2016-02-01T12:02:23"/>
    <d v="2016-02-01T12:17:23"/>
    <x v="0"/>
    <m/>
    <m/>
    <x v="1"/>
    <n v="70806"/>
    <n v="2.1028939393275299"/>
    <d v="2016-02-01T12:27:53"/>
    <n v="7.99"/>
    <x v="1073"/>
    <n v="1"/>
    <n v="1"/>
    <n v="0"/>
    <n v="0"/>
    <n v="1"/>
    <x v="1060"/>
    <x v="0"/>
    <x v="1586"/>
    <x v="901"/>
    <n v="7"/>
    <e v="#N/A"/>
    <e v="#N/A"/>
  </r>
  <r>
    <n v="3123"/>
    <d v="2016-02-01T12:36:37"/>
    <d v="2016-02-01T12:51:36"/>
    <x v="0"/>
    <s v="Medium"/>
    <m/>
    <x v="0"/>
    <n v="70804"/>
    <n v="0"/>
    <d v="2016-02-01T12:54:38"/>
    <n v="19.579999999999998"/>
    <x v="67"/>
    <n v="2"/>
    <n v="1"/>
    <n v="1.7"/>
    <n v="0"/>
    <n v="2.7"/>
    <x v="0"/>
    <x v="0"/>
    <x v="0"/>
    <x v="0"/>
    <n v="7"/>
    <n v="10"/>
    <e v="#N/A"/>
  </r>
  <r>
    <n v="3124"/>
    <d v="2016-02-01T11:58:21"/>
    <d v="2016-02-01T12:13:21"/>
    <x v="2"/>
    <m/>
    <m/>
    <x v="1"/>
    <n v="70806"/>
    <n v="3.2323575795130801"/>
    <d v="2016-02-01T12:29:30"/>
    <n v="11.59"/>
    <x v="987"/>
    <n v="1"/>
    <n v="1.7"/>
    <n v="0"/>
    <n v="0"/>
    <n v="1.7"/>
    <x v="974"/>
    <x v="1"/>
    <x v="1587"/>
    <x v="0"/>
    <n v="10"/>
    <e v="#N/A"/>
    <e v="#N/A"/>
  </r>
  <r>
    <n v="3125"/>
    <d v="2016-02-01T11:27:49"/>
    <d v="2016-02-01T11:42:47"/>
    <x v="0"/>
    <m/>
    <m/>
    <x v="1"/>
    <n v="70804"/>
    <n v="2.5178731784096802"/>
    <d v="2016-02-01T11:55:22"/>
    <n v="7.99"/>
    <x v="208"/>
    <n v="1"/>
    <n v="1"/>
    <n v="0"/>
    <n v="0"/>
    <n v="1"/>
    <x v="196"/>
    <x v="0"/>
    <x v="1588"/>
    <x v="902"/>
    <n v="7"/>
    <e v="#N/A"/>
    <e v="#N/A"/>
  </r>
  <r>
    <n v="3126"/>
    <d v="2016-02-01T12:13:05"/>
    <d v="2016-02-01T12:28:04"/>
    <x v="1"/>
    <m/>
    <m/>
    <x v="0"/>
    <n v="70806"/>
    <n v="0"/>
    <d v="2016-02-01T12:31:03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3127"/>
    <d v="2016-02-01T12:14:57"/>
    <d v="2016-02-01T12:29:58"/>
    <x v="2"/>
    <m/>
    <m/>
    <x v="1"/>
    <n v="70805"/>
    <n v="3.36909951932219"/>
    <d v="2016-02-01T12:46:48"/>
    <n v="11.59"/>
    <x v="1074"/>
    <n v="1"/>
    <n v="1.7"/>
    <n v="0"/>
    <n v="0"/>
    <n v="1.7"/>
    <x v="1061"/>
    <x v="1"/>
    <x v="1589"/>
    <x v="0"/>
    <n v="10"/>
    <e v="#N/A"/>
    <e v="#N/A"/>
  </r>
  <r>
    <n v="3128"/>
    <d v="2016-02-01T10:24:11"/>
    <d v="2016-02-01T10:39:11"/>
    <x v="2"/>
    <m/>
    <m/>
    <x v="0"/>
    <n v="70804"/>
    <n v="0"/>
    <d v="2016-02-01T10:42:08"/>
    <n v="11.59"/>
    <x v="102"/>
    <n v="1"/>
    <n v="1.7"/>
    <n v="0"/>
    <n v="0"/>
    <n v="1.7"/>
    <x v="0"/>
    <x v="0"/>
    <x v="0"/>
    <x v="0"/>
    <n v="10"/>
    <e v="#N/A"/>
    <e v="#N/A"/>
  </r>
  <r>
    <n v="3129"/>
    <d v="2016-02-01T12:49:20"/>
    <d v="2016-02-01T13:04:20"/>
    <x v="2"/>
    <m/>
    <m/>
    <x v="1"/>
    <n v="70805"/>
    <n v="2.5522811555164999"/>
    <d v="2016-02-01T13:17:05"/>
    <n v="11.59"/>
    <x v="1075"/>
    <n v="1"/>
    <n v="1.7"/>
    <n v="0"/>
    <n v="0"/>
    <n v="1.7"/>
    <x v="1062"/>
    <x v="0"/>
    <x v="1590"/>
    <x v="903"/>
    <n v="10"/>
    <e v="#N/A"/>
    <e v="#N/A"/>
  </r>
  <r>
    <n v="3130"/>
    <d v="2016-02-01T11:14:47"/>
    <d v="2016-02-01T11:29:47"/>
    <x v="2"/>
    <m/>
    <m/>
    <x v="0"/>
    <n v="70805"/>
    <n v="0"/>
    <d v="2016-02-01T11:32:45"/>
    <n v="11.59"/>
    <x v="0"/>
    <n v="1"/>
    <n v="1.7"/>
    <n v="0"/>
    <n v="0"/>
    <n v="1.7"/>
    <x v="0"/>
    <x v="0"/>
    <x v="0"/>
    <x v="0"/>
    <n v="10"/>
    <e v="#N/A"/>
    <e v="#N/A"/>
  </r>
  <r>
    <n v="3131"/>
    <d v="2016-02-01T11:29:41"/>
    <d v="2016-02-01T11:44:39"/>
    <x v="0"/>
    <s v="Medium"/>
    <m/>
    <x v="0"/>
    <n v="70804"/>
    <n v="0"/>
    <d v="2016-02-01T11:47:38"/>
    <n v="19.579999999999998"/>
    <x v="1"/>
    <n v="2"/>
    <n v="1"/>
    <n v="1.7"/>
    <n v="0"/>
    <n v="2.7"/>
    <x v="0"/>
    <x v="0"/>
    <x v="0"/>
    <x v="0"/>
    <n v="7"/>
    <n v="10"/>
    <e v="#N/A"/>
  </r>
  <r>
    <n v="3132"/>
    <d v="2016-02-01T11:20:49"/>
    <d v="2016-02-01T11:35:46"/>
    <x v="2"/>
    <m/>
    <m/>
    <x v="1"/>
    <n v="70807"/>
    <n v="2.6455523023096901"/>
    <d v="2016-02-01T11:48:59"/>
    <n v="11.59"/>
    <x v="689"/>
    <n v="1"/>
    <n v="1.7"/>
    <n v="0"/>
    <n v="0"/>
    <n v="1.7"/>
    <x v="676"/>
    <x v="0"/>
    <x v="1591"/>
    <x v="904"/>
    <n v="10"/>
    <e v="#N/A"/>
    <e v="#N/A"/>
  </r>
  <r>
    <n v="3133"/>
    <d v="2016-02-01T12:20:02"/>
    <d v="2016-02-01T12:35:02"/>
    <x v="2"/>
    <m/>
    <m/>
    <x v="0"/>
    <n v="70804"/>
    <n v="0"/>
    <d v="2016-02-01T12:38:02"/>
    <n v="11.59"/>
    <x v="2"/>
    <n v="1"/>
    <n v="1.7"/>
    <n v="0"/>
    <n v="0"/>
    <n v="1.7"/>
    <x v="0"/>
    <x v="0"/>
    <x v="0"/>
    <x v="0"/>
    <n v="10"/>
    <e v="#N/A"/>
    <e v="#N/A"/>
  </r>
  <r>
    <n v="3134"/>
    <d v="2016-02-01T12:39:29"/>
    <d v="2016-02-01T12:54:31"/>
    <x v="0"/>
    <m/>
    <m/>
    <x v="1"/>
    <n v="70804"/>
    <n v="2.5306072051152699"/>
    <d v="2016-02-01T13:07:10"/>
    <n v="7.99"/>
    <x v="640"/>
    <n v="1"/>
    <n v="1"/>
    <n v="0"/>
    <n v="0"/>
    <n v="1"/>
    <x v="627"/>
    <x v="0"/>
    <x v="1592"/>
    <x v="905"/>
    <n v="7"/>
    <e v="#N/A"/>
    <e v="#N/A"/>
  </r>
  <r>
    <n v="3135"/>
    <d v="2016-02-01T13:49:36"/>
    <d v="2016-02-01T14:04:34"/>
    <x v="1"/>
    <m/>
    <m/>
    <x v="0"/>
    <n v="70803"/>
    <n v="0"/>
    <d v="2016-02-01T14:07:35"/>
    <n v="15.35"/>
    <x v="56"/>
    <n v="1"/>
    <n v="2.2999999999999998"/>
    <n v="0"/>
    <n v="0"/>
    <n v="2.2999999999999998"/>
    <x v="0"/>
    <x v="0"/>
    <x v="0"/>
    <x v="0"/>
    <n v="14"/>
    <e v="#N/A"/>
    <e v="#N/A"/>
  </r>
  <r>
    <n v="3136"/>
    <d v="2016-02-01T11:01:30"/>
    <d v="2016-02-01T11:16:28"/>
    <x v="1"/>
    <m/>
    <m/>
    <x v="0"/>
    <n v="70805"/>
    <n v="0"/>
    <d v="2016-02-01T11:19:29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3137"/>
    <d v="2016-02-01T13:24:26"/>
    <d v="2016-02-01T13:39:24"/>
    <x v="0"/>
    <s v="Large"/>
    <m/>
    <x v="1"/>
    <n v="70806"/>
    <n v="3.0187780286752699"/>
    <d v="2016-02-01T13:54:29"/>
    <n v="23.34"/>
    <x v="460"/>
    <n v="2"/>
    <n v="1"/>
    <n v="2.2999999999999998"/>
    <n v="0"/>
    <n v="3.3"/>
    <x v="447"/>
    <x v="0"/>
    <x v="1593"/>
    <x v="906"/>
    <n v="7"/>
    <n v="14"/>
    <e v="#N/A"/>
  </r>
  <r>
    <n v="3138"/>
    <d v="2016-02-01T11:27:35"/>
    <d v="2016-02-01T11:42:36"/>
    <x v="1"/>
    <m/>
    <m/>
    <x v="0"/>
    <n v="70805"/>
    <n v="0"/>
    <d v="2016-02-01T11:45:36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3139"/>
    <d v="2016-02-01T10:23:27"/>
    <d v="2016-02-01T10:38:27"/>
    <x v="2"/>
    <m/>
    <m/>
    <x v="0"/>
    <n v="70805"/>
    <n v="0"/>
    <d v="2016-02-01T10:41:26"/>
    <n v="11.59"/>
    <x v="1"/>
    <n v="1"/>
    <n v="1.7"/>
    <n v="0"/>
    <n v="0"/>
    <n v="1.7"/>
    <x v="0"/>
    <x v="0"/>
    <x v="0"/>
    <x v="0"/>
    <n v="10"/>
    <e v="#N/A"/>
    <e v="#N/A"/>
  </r>
  <r>
    <n v="3140"/>
    <d v="2016-02-01T11:21:53"/>
    <d v="2016-02-01T11:36:53"/>
    <x v="1"/>
    <m/>
    <m/>
    <x v="1"/>
    <n v="70804"/>
    <n v="2.4427177118952699"/>
    <d v="2016-02-01T11:49:05"/>
    <n v="15.35"/>
    <x v="1076"/>
    <n v="1"/>
    <n v="2.2999999999999998"/>
    <n v="0"/>
    <n v="0"/>
    <n v="2.2999999999999998"/>
    <x v="1063"/>
    <x v="0"/>
    <x v="1594"/>
    <x v="907"/>
    <n v="14"/>
    <e v="#N/A"/>
    <e v="#N/A"/>
  </r>
  <r>
    <n v="3141"/>
    <d v="2016-02-01T13:31:27"/>
    <d v="2016-02-01T13:46:25"/>
    <x v="1"/>
    <m/>
    <m/>
    <x v="1"/>
    <n v="70804"/>
    <n v="4.4764362667158499"/>
    <d v="2016-02-01T14:08:47"/>
    <n v="15.35"/>
    <x v="1077"/>
    <n v="1"/>
    <n v="2.2999999999999998"/>
    <n v="0"/>
    <n v="0"/>
    <n v="2.2999999999999998"/>
    <x v="1064"/>
    <x v="1"/>
    <x v="1595"/>
    <x v="0"/>
    <n v="14"/>
    <e v="#N/A"/>
    <e v="#N/A"/>
  </r>
  <r>
    <n v="3142"/>
    <d v="2016-02-01T12:02:25"/>
    <d v="2016-02-01T12:17:24"/>
    <x v="0"/>
    <m/>
    <m/>
    <x v="0"/>
    <n v="70803"/>
    <n v="0"/>
    <d v="2016-02-01T12:20:23"/>
    <n v="7.99"/>
    <x v="24"/>
    <n v="1"/>
    <n v="1"/>
    <n v="0"/>
    <n v="0"/>
    <n v="1"/>
    <x v="0"/>
    <x v="0"/>
    <x v="0"/>
    <x v="0"/>
    <n v="7"/>
    <e v="#N/A"/>
    <e v="#N/A"/>
  </r>
  <r>
    <n v="3143"/>
    <d v="2016-02-01T11:35:10"/>
    <d v="2016-02-01T11:50:08"/>
    <x v="0"/>
    <s v="Large"/>
    <m/>
    <x v="0"/>
    <n v="70805"/>
    <n v="0"/>
    <d v="2016-02-01T11:53:07"/>
    <n v="23.34"/>
    <x v="1"/>
    <n v="2"/>
    <n v="1"/>
    <n v="2.2999999999999998"/>
    <n v="0"/>
    <n v="3.3"/>
    <x v="0"/>
    <x v="0"/>
    <x v="0"/>
    <x v="0"/>
    <n v="7"/>
    <n v="14"/>
    <e v="#N/A"/>
  </r>
  <r>
    <n v="3144"/>
    <d v="2016-02-01T12:36:08"/>
    <d v="2016-02-01T12:51:07"/>
    <x v="0"/>
    <s v="Medium"/>
    <m/>
    <x v="0"/>
    <n v="70806"/>
    <n v="0"/>
    <d v="2016-02-01T12:54:06"/>
    <n v="19.579999999999998"/>
    <x v="24"/>
    <n v="2"/>
    <n v="1"/>
    <n v="1.7"/>
    <n v="0"/>
    <n v="2.7"/>
    <x v="0"/>
    <x v="0"/>
    <x v="0"/>
    <x v="0"/>
    <n v="7"/>
    <n v="10"/>
    <e v="#N/A"/>
  </r>
  <r>
    <n v="3145"/>
    <d v="2016-02-01T13:16:36"/>
    <d v="2016-02-01T13:31:35"/>
    <x v="0"/>
    <m/>
    <m/>
    <x v="1"/>
    <n v="70805"/>
    <n v="2.96076060722873"/>
    <d v="2016-02-01T13:46:23"/>
    <n v="7.99"/>
    <x v="1078"/>
    <n v="1"/>
    <n v="1"/>
    <n v="0"/>
    <n v="0"/>
    <n v="1"/>
    <x v="1065"/>
    <x v="0"/>
    <x v="1596"/>
    <x v="908"/>
    <n v="7"/>
    <e v="#N/A"/>
    <e v="#N/A"/>
  </r>
  <r>
    <n v="3146"/>
    <d v="2016-02-01T13:28:30"/>
    <d v="2016-02-01T13:43:31"/>
    <x v="1"/>
    <m/>
    <m/>
    <x v="1"/>
    <n v="70807"/>
    <n v="4.7188292777098404"/>
    <d v="2016-02-01T14:07:06"/>
    <n v="15.35"/>
    <x v="1079"/>
    <n v="1"/>
    <n v="2.2999999999999998"/>
    <n v="0"/>
    <n v="0"/>
    <n v="2.2999999999999998"/>
    <x v="1066"/>
    <x v="1"/>
    <x v="1597"/>
    <x v="0"/>
    <n v="14"/>
    <e v="#N/A"/>
    <e v="#N/A"/>
  </r>
  <r>
    <n v="3147"/>
    <d v="2016-02-01T10:21:08"/>
    <d v="2016-02-01T10:36:08"/>
    <x v="1"/>
    <m/>
    <m/>
    <x v="1"/>
    <n v="70807"/>
    <n v="2.9588697958664398"/>
    <d v="2016-02-01T10:50:55"/>
    <n v="15.35"/>
    <x v="752"/>
    <n v="1"/>
    <n v="2.2999999999999998"/>
    <n v="0"/>
    <n v="0"/>
    <n v="2.2999999999999998"/>
    <x v="739"/>
    <x v="0"/>
    <x v="1598"/>
    <x v="909"/>
    <n v="14"/>
    <e v="#N/A"/>
    <e v="#N/A"/>
  </r>
  <r>
    <n v="3148"/>
    <d v="2016-02-01T10:40:58"/>
    <d v="2016-02-01T10:55:57"/>
    <x v="0"/>
    <m/>
    <m/>
    <x v="1"/>
    <n v="70804"/>
    <n v="5.1437712669395399"/>
    <d v="2016-02-01T11:21:40"/>
    <n v="7.99"/>
    <x v="1080"/>
    <n v="1"/>
    <n v="1"/>
    <n v="0"/>
    <n v="0"/>
    <n v="1"/>
    <x v="1067"/>
    <x v="1"/>
    <x v="1599"/>
    <x v="0"/>
    <n v="7"/>
    <e v="#N/A"/>
    <e v="#N/A"/>
  </r>
  <r>
    <n v="3149"/>
    <d v="2016-02-01T13:21:32"/>
    <d v="2016-02-01T13:36:33"/>
    <x v="2"/>
    <m/>
    <m/>
    <x v="1"/>
    <n v="70805"/>
    <n v="3.2596575888116499"/>
    <d v="2016-02-01T13:52:50"/>
    <n v="11.59"/>
    <x v="186"/>
    <n v="1"/>
    <n v="1.7"/>
    <n v="0"/>
    <n v="0"/>
    <n v="1.7"/>
    <x v="174"/>
    <x v="1"/>
    <x v="1600"/>
    <x v="0"/>
    <n v="10"/>
    <e v="#N/A"/>
    <e v="#N/A"/>
  </r>
  <r>
    <n v="3150"/>
    <d v="2016-02-01T12:12:10"/>
    <d v="2016-02-01T12:27:11"/>
    <x v="0"/>
    <m/>
    <m/>
    <x v="0"/>
    <n v="70803"/>
    <n v="0"/>
    <d v="2016-02-01T12:30:11"/>
    <n v="7.99"/>
    <x v="2"/>
    <n v="1"/>
    <n v="1"/>
    <n v="0"/>
    <n v="0"/>
    <n v="1"/>
    <x v="0"/>
    <x v="0"/>
    <x v="0"/>
    <x v="0"/>
    <n v="7"/>
    <e v="#N/A"/>
    <e v="#N/A"/>
  </r>
  <r>
    <n v="3151"/>
    <d v="2016-02-01T13:13:20"/>
    <d v="2016-02-01T13:28:19"/>
    <x v="2"/>
    <m/>
    <m/>
    <x v="1"/>
    <n v="70806"/>
    <n v="0.64745044938333696"/>
    <d v="2016-02-01T13:31:33"/>
    <n v="11.59"/>
    <x v="1081"/>
    <n v="1"/>
    <n v="1.7"/>
    <n v="0"/>
    <n v="0"/>
    <n v="1.7"/>
    <x v="1068"/>
    <x v="0"/>
    <x v="1601"/>
    <x v="910"/>
    <n v="10"/>
    <e v="#N/A"/>
    <e v="#N/A"/>
  </r>
  <r>
    <n v="3152"/>
    <d v="2016-02-01T10:42:40"/>
    <d v="2016-02-01T10:57:40"/>
    <x v="0"/>
    <s v="Medium"/>
    <m/>
    <x v="1"/>
    <n v="70805"/>
    <n v="2.09698729628973"/>
    <d v="2016-02-01T11:08:09"/>
    <n v="19.579999999999998"/>
    <x v="230"/>
    <n v="2"/>
    <n v="1"/>
    <n v="1.7"/>
    <n v="0"/>
    <n v="2.7"/>
    <x v="217"/>
    <x v="0"/>
    <x v="1602"/>
    <x v="911"/>
    <n v="7"/>
    <n v="10"/>
    <e v="#N/A"/>
  </r>
  <r>
    <n v="3153"/>
    <d v="2016-02-01T10:41:43"/>
    <d v="2016-02-01T10:56:41"/>
    <x v="0"/>
    <m/>
    <m/>
    <x v="1"/>
    <n v="70805"/>
    <n v="2.8888892072762502"/>
    <d v="2016-02-01T11:11:07"/>
    <n v="7.99"/>
    <x v="1082"/>
    <n v="1"/>
    <n v="1"/>
    <n v="0"/>
    <n v="0"/>
    <n v="1"/>
    <x v="1069"/>
    <x v="0"/>
    <x v="1603"/>
    <x v="912"/>
    <n v="7"/>
    <e v="#N/A"/>
    <e v="#N/A"/>
  </r>
  <r>
    <n v="3154"/>
    <d v="2016-02-01T12:59:24"/>
    <d v="2016-02-01T13:14:25"/>
    <x v="2"/>
    <m/>
    <m/>
    <x v="1"/>
    <n v="70803"/>
    <n v="3.2816465376813899"/>
    <d v="2016-02-01T13:30:49"/>
    <n v="11.59"/>
    <x v="108"/>
    <n v="1"/>
    <n v="1.7"/>
    <n v="0"/>
    <n v="0"/>
    <n v="1.7"/>
    <x v="98"/>
    <x v="1"/>
    <x v="1604"/>
    <x v="0"/>
    <n v="10"/>
    <e v="#N/A"/>
    <e v="#N/A"/>
  </r>
  <r>
    <n v="3155"/>
    <d v="2016-02-01T11:42:34"/>
    <d v="2016-02-01T11:57:33"/>
    <x v="1"/>
    <m/>
    <m/>
    <x v="0"/>
    <n v="70804"/>
    <n v="0"/>
    <d v="2016-02-01T12:00:32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3156"/>
    <d v="2016-02-01T11:26:21"/>
    <d v="2016-02-01T11:41:21"/>
    <x v="0"/>
    <m/>
    <m/>
    <x v="1"/>
    <n v="70807"/>
    <n v="2.6776224626891199"/>
    <d v="2016-02-01T11:54:44"/>
    <n v="7.99"/>
    <x v="654"/>
    <n v="1"/>
    <n v="1"/>
    <n v="0"/>
    <n v="0"/>
    <n v="1"/>
    <x v="641"/>
    <x v="0"/>
    <x v="1605"/>
    <x v="913"/>
    <n v="7"/>
    <e v="#N/A"/>
    <e v="#N/A"/>
  </r>
  <r>
    <n v="3157"/>
    <d v="2016-02-01T11:42:55"/>
    <d v="2016-02-01T11:57:56"/>
    <x v="0"/>
    <s v="Large"/>
    <m/>
    <x v="0"/>
    <n v="70804"/>
    <n v="0"/>
    <d v="2016-02-01T12:00:54"/>
    <n v="23.34"/>
    <x v="0"/>
    <n v="2"/>
    <n v="1"/>
    <n v="2.2999999999999998"/>
    <n v="0"/>
    <n v="3.3"/>
    <x v="0"/>
    <x v="0"/>
    <x v="0"/>
    <x v="0"/>
    <n v="7"/>
    <n v="14"/>
    <e v="#N/A"/>
  </r>
  <r>
    <n v="3158"/>
    <d v="2016-02-01T13:20:30"/>
    <d v="2016-02-01T13:35:32"/>
    <x v="1"/>
    <m/>
    <m/>
    <x v="1"/>
    <n v="70804"/>
    <n v="5.1488601469590902"/>
    <d v="2016-02-01T14:01:16"/>
    <n v="15.35"/>
    <x v="1083"/>
    <n v="1"/>
    <n v="2.2999999999999998"/>
    <n v="0"/>
    <n v="0"/>
    <n v="2.2999999999999998"/>
    <x v="1070"/>
    <x v="1"/>
    <x v="1606"/>
    <x v="0"/>
    <n v="14"/>
    <e v="#N/A"/>
    <e v="#N/A"/>
  </r>
  <r>
    <n v="3159"/>
    <d v="2016-02-01T11:16:41"/>
    <d v="2016-02-01T11:31:40"/>
    <x v="0"/>
    <m/>
    <m/>
    <x v="1"/>
    <n v="70806"/>
    <n v="1.3713716076649201"/>
    <d v="2016-02-01T11:38:31"/>
    <n v="7.99"/>
    <x v="1084"/>
    <n v="1"/>
    <n v="1"/>
    <n v="0"/>
    <n v="0"/>
    <n v="1"/>
    <x v="1071"/>
    <x v="0"/>
    <x v="1607"/>
    <x v="914"/>
    <n v="7"/>
    <e v="#N/A"/>
    <e v="#N/A"/>
  </r>
  <r>
    <n v="3160"/>
    <d v="2016-02-01T12:11:36"/>
    <d v="2016-02-01T12:26:38"/>
    <x v="0"/>
    <m/>
    <m/>
    <x v="0"/>
    <n v="70804"/>
    <n v="0"/>
    <d v="2016-02-01T12:29:39"/>
    <n v="7.99"/>
    <x v="56"/>
    <n v="1"/>
    <n v="1"/>
    <n v="0"/>
    <n v="0"/>
    <n v="1"/>
    <x v="0"/>
    <x v="0"/>
    <x v="0"/>
    <x v="0"/>
    <n v="7"/>
    <e v="#N/A"/>
    <e v="#N/A"/>
  </r>
  <r>
    <n v="3161"/>
    <d v="2016-02-01T11:30:47"/>
    <d v="2016-02-01T11:45:46"/>
    <x v="1"/>
    <m/>
    <m/>
    <x v="0"/>
    <n v="70806"/>
    <n v="0"/>
    <d v="2016-02-01T11:48:45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3162"/>
    <d v="2016-02-01T11:16:36"/>
    <d v="2016-02-01T11:31:37"/>
    <x v="1"/>
    <m/>
    <m/>
    <x v="0"/>
    <n v="70803"/>
    <n v="0"/>
    <d v="2016-02-01T11:34:37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3163"/>
    <d v="2016-02-01T11:14:26"/>
    <d v="2016-02-01T11:29:25"/>
    <x v="1"/>
    <m/>
    <m/>
    <x v="1"/>
    <n v="70807"/>
    <n v="3.7927000606395"/>
    <d v="2016-02-01T11:48:22"/>
    <n v="15.35"/>
    <x v="1085"/>
    <n v="1"/>
    <n v="2.2999999999999998"/>
    <n v="0"/>
    <n v="0"/>
    <n v="2.2999999999999998"/>
    <x v="1072"/>
    <x v="1"/>
    <x v="1608"/>
    <x v="0"/>
    <n v="14"/>
    <e v="#N/A"/>
    <e v="#N/A"/>
  </r>
  <r>
    <n v="3164"/>
    <d v="2016-02-01T11:47:18"/>
    <d v="2016-02-01T12:02:17"/>
    <x v="2"/>
    <m/>
    <m/>
    <x v="0"/>
    <n v="70804"/>
    <n v="0"/>
    <d v="2016-02-01T12:05:17"/>
    <n v="11.59"/>
    <x v="2"/>
    <n v="1"/>
    <n v="1.7"/>
    <n v="0"/>
    <n v="0"/>
    <n v="1.7"/>
    <x v="0"/>
    <x v="0"/>
    <x v="0"/>
    <x v="0"/>
    <n v="10"/>
    <e v="#N/A"/>
    <e v="#N/A"/>
  </r>
  <r>
    <n v="3165"/>
    <d v="2016-02-01T12:24:48"/>
    <d v="2016-02-01T12:39:47"/>
    <x v="1"/>
    <m/>
    <m/>
    <x v="0"/>
    <n v="70804"/>
    <n v="0"/>
    <d v="2016-02-01T12:42:47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3166"/>
    <d v="2016-02-01T13:30:24"/>
    <d v="2016-02-01T13:45:24"/>
    <x v="1"/>
    <m/>
    <m/>
    <x v="0"/>
    <n v="70805"/>
    <n v="0"/>
    <d v="2016-02-01T13:48:23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3167"/>
    <d v="2016-02-01T12:18:13"/>
    <d v="2016-02-01T12:33:15"/>
    <x v="0"/>
    <s v="Medium"/>
    <m/>
    <x v="0"/>
    <n v="70803"/>
    <n v="0"/>
    <d v="2016-02-01T12:36:14"/>
    <n v="19.579999999999998"/>
    <x v="1"/>
    <n v="2"/>
    <n v="1"/>
    <n v="1.7"/>
    <n v="0"/>
    <n v="2.7"/>
    <x v="0"/>
    <x v="0"/>
    <x v="0"/>
    <x v="0"/>
    <n v="7"/>
    <n v="10"/>
    <e v="#N/A"/>
  </r>
  <r>
    <n v="3168"/>
    <d v="2016-02-01T11:20:14"/>
    <d v="2016-02-01T11:35:14"/>
    <x v="0"/>
    <m/>
    <m/>
    <x v="1"/>
    <n v="70807"/>
    <n v="4.27421396083089"/>
    <d v="2016-02-01T11:56:36"/>
    <n v="7.99"/>
    <x v="1086"/>
    <n v="1"/>
    <n v="1"/>
    <n v="0"/>
    <n v="0"/>
    <n v="1"/>
    <x v="1073"/>
    <x v="1"/>
    <x v="1609"/>
    <x v="0"/>
    <n v="7"/>
    <e v="#N/A"/>
    <e v="#N/A"/>
  </r>
  <r>
    <n v="3169"/>
    <d v="2016-02-01T13:28:02"/>
    <d v="2016-02-01T13:43:00"/>
    <x v="0"/>
    <s v="Medium"/>
    <m/>
    <x v="1"/>
    <n v="70806"/>
    <n v="3.11330568848684"/>
    <d v="2016-02-01T13:58:33"/>
    <n v="19.579999999999998"/>
    <x v="258"/>
    <n v="2"/>
    <n v="1"/>
    <n v="1.7"/>
    <n v="0"/>
    <n v="2.7"/>
    <x v="245"/>
    <x v="0"/>
    <x v="1610"/>
    <x v="915"/>
    <n v="7"/>
    <n v="10"/>
    <e v="#N/A"/>
  </r>
  <r>
    <n v="3170"/>
    <d v="2016-02-01T11:44:57"/>
    <d v="2016-02-01T11:59:57"/>
    <x v="0"/>
    <m/>
    <m/>
    <x v="1"/>
    <n v="70806"/>
    <n v="3.9714478914175499"/>
    <d v="2016-02-01T12:19:48"/>
    <n v="7.99"/>
    <x v="645"/>
    <n v="1"/>
    <n v="1"/>
    <n v="0"/>
    <n v="0"/>
    <n v="1"/>
    <x v="632"/>
    <x v="1"/>
    <x v="1611"/>
    <x v="0"/>
    <n v="7"/>
    <e v="#N/A"/>
    <e v="#N/A"/>
  </r>
  <r>
    <n v="3171"/>
    <d v="2016-02-01T11:40:17"/>
    <d v="2016-02-01T11:55:18"/>
    <x v="1"/>
    <m/>
    <m/>
    <x v="1"/>
    <n v="70805"/>
    <n v="0.95886273880962403"/>
    <d v="2016-02-01T12:00:05"/>
    <n v="15.35"/>
    <x v="1087"/>
    <n v="1"/>
    <n v="2.2999999999999998"/>
    <n v="0"/>
    <n v="0"/>
    <n v="2.2999999999999998"/>
    <x v="1074"/>
    <x v="0"/>
    <x v="1612"/>
    <x v="916"/>
    <n v="14"/>
    <e v="#N/A"/>
    <e v="#N/A"/>
  </r>
  <r>
    <n v="3172"/>
    <d v="2016-02-01T11:35:00"/>
    <d v="2016-02-01T11:50:02"/>
    <x v="2"/>
    <s v="Large"/>
    <m/>
    <x v="0"/>
    <n v="70805"/>
    <n v="0"/>
    <d v="2016-02-01T11:53:02"/>
    <n v="25.94"/>
    <x v="2"/>
    <n v="2"/>
    <n v="1.7"/>
    <n v="2.2999999999999998"/>
    <n v="0"/>
    <n v="4"/>
    <x v="0"/>
    <x v="0"/>
    <x v="0"/>
    <x v="0"/>
    <n v="10"/>
    <n v="14"/>
    <e v="#N/A"/>
  </r>
  <r>
    <n v="3173"/>
    <d v="2016-02-01T11:04:08"/>
    <d v="2016-02-01T11:19:06"/>
    <x v="2"/>
    <m/>
    <m/>
    <x v="1"/>
    <n v="70806"/>
    <n v="1.86667086071087"/>
    <d v="2016-02-01T11:28:26"/>
    <n v="11.59"/>
    <x v="1088"/>
    <n v="1"/>
    <n v="1.7"/>
    <n v="0"/>
    <n v="0"/>
    <n v="1.7"/>
    <x v="1075"/>
    <x v="0"/>
    <x v="1613"/>
    <x v="917"/>
    <n v="10"/>
    <e v="#N/A"/>
    <e v="#N/A"/>
  </r>
  <r>
    <n v="3174"/>
    <d v="2016-02-01T13:23:14"/>
    <d v="2016-02-01T13:38:14"/>
    <x v="2"/>
    <m/>
    <m/>
    <x v="0"/>
    <n v="70803"/>
    <n v="0"/>
    <d v="2016-02-01T13:41:13"/>
    <n v="11.59"/>
    <x v="1"/>
    <n v="1"/>
    <n v="1.7"/>
    <n v="0"/>
    <n v="0"/>
    <n v="1.7"/>
    <x v="0"/>
    <x v="0"/>
    <x v="0"/>
    <x v="0"/>
    <n v="10"/>
    <e v="#N/A"/>
    <e v="#N/A"/>
  </r>
  <r>
    <n v="3175"/>
    <d v="2016-02-01T13:33:15"/>
    <d v="2016-02-01T13:48:14"/>
    <x v="1"/>
    <m/>
    <m/>
    <x v="0"/>
    <n v="70803"/>
    <n v="0"/>
    <d v="2016-02-01T13:51:12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3176"/>
    <d v="2016-02-01T10:27:11"/>
    <d v="2016-02-01T10:42:11"/>
    <x v="1"/>
    <m/>
    <m/>
    <x v="0"/>
    <n v="70804"/>
    <n v="0"/>
    <d v="2016-02-01T10:45:09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3177"/>
    <d v="2016-02-01T12:44:35"/>
    <d v="2016-02-01T12:59:32"/>
    <x v="0"/>
    <m/>
    <m/>
    <x v="0"/>
    <n v="70804"/>
    <n v="0"/>
    <d v="2016-02-01T13:02:31"/>
    <n v="7.99"/>
    <x v="24"/>
    <n v="1"/>
    <n v="1"/>
    <n v="0"/>
    <n v="0"/>
    <n v="1"/>
    <x v="0"/>
    <x v="0"/>
    <x v="0"/>
    <x v="0"/>
    <n v="7"/>
    <e v="#N/A"/>
    <e v="#N/A"/>
  </r>
  <r>
    <n v="3178"/>
    <d v="2016-02-01T13:54:06"/>
    <d v="2016-02-01T14:09:06"/>
    <x v="1"/>
    <m/>
    <m/>
    <x v="1"/>
    <n v="70804"/>
    <n v="2.0775390526661202"/>
    <d v="2016-02-01T14:19:29"/>
    <n v="15.35"/>
    <x v="78"/>
    <n v="1"/>
    <n v="2.2999999999999998"/>
    <n v="0"/>
    <n v="0"/>
    <n v="2.2999999999999998"/>
    <x v="69"/>
    <x v="0"/>
    <x v="1614"/>
    <x v="918"/>
    <n v="14"/>
    <e v="#N/A"/>
    <e v="#N/A"/>
  </r>
  <r>
    <n v="3179"/>
    <d v="2016-02-01T10:28:32"/>
    <d v="2016-02-01T10:43:30"/>
    <x v="2"/>
    <m/>
    <m/>
    <x v="1"/>
    <n v="70804"/>
    <n v="1.31835255933207"/>
    <d v="2016-02-01T10:50:05"/>
    <n v="11.59"/>
    <x v="1089"/>
    <n v="1"/>
    <n v="1.7"/>
    <n v="0"/>
    <n v="0"/>
    <n v="1.7"/>
    <x v="1076"/>
    <x v="0"/>
    <x v="1615"/>
    <x v="919"/>
    <n v="10"/>
    <e v="#N/A"/>
    <e v="#N/A"/>
  </r>
  <r>
    <n v="3180"/>
    <d v="2016-02-01T11:00:35"/>
    <d v="2016-02-01T11:15:34"/>
    <x v="1"/>
    <m/>
    <m/>
    <x v="0"/>
    <n v="70803"/>
    <n v="0"/>
    <d v="2016-02-01T11:18:36"/>
    <n v="15.35"/>
    <x v="171"/>
    <n v="1"/>
    <n v="2.2999999999999998"/>
    <n v="0"/>
    <n v="0"/>
    <n v="2.2999999999999998"/>
    <x v="0"/>
    <x v="0"/>
    <x v="0"/>
    <x v="0"/>
    <n v="14"/>
    <e v="#N/A"/>
    <e v="#N/A"/>
  </r>
  <r>
    <n v="3181"/>
    <d v="2016-02-01T10:24:24"/>
    <d v="2016-02-01T10:39:24"/>
    <x v="1"/>
    <m/>
    <m/>
    <x v="1"/>
    <n v="70805"/>
    <n v="4.1904027715253704"/>
    <d v="2016-02-01T11:00:21"/>
    <n v="15.35"/>
    <x v="1090"/>
    <n v="1"/>
    <n v="2.2999999999999998"/>
    <n v="0"/>
    <n v="0"/>
    <n v="2.2999999999999998"/>
    <x v="1077"/>
    <x v="1"/>
    <x v="1616"/>
    <x v="0"/>
    <n v="14"/>
    <e v="#N/A"/>
    <e v="#N/A"/>
  </r>
  <r>
    <n v="3182"/>
    <d v="2016-02-01T12:01:30"/>
    <d v="2016-02-01T12:16:30"/>
    <x v="2"/>
    <m/>
    <m/>
    <x v="0"/>
    <n v="70805"/>
    <n v="0"/>
    <d v="2016-02-01T12:19:31"/>
    <n v="11.59"/>
    <x v="14"/>
    <n v="1"/>
    <n v="1.7"/>
    <n v="0"/>
    <n v="0"/>
    <n v="1.7"/>
    <x v="0"/>
    <x v="0"/>
    <x v="0"/>
    <x v="0"/>
    <n v="10"/>
    <e v="#N/A"/>
    <e v="#N/A"/>
  </r>
  <r>
    <n v="3183"/>
    <d v="2016-02-01T12:15:21"/>
    <d v="2016-02-01T12:30:20"/>
    <x v="0"/>
    <s v="Medium"/>
    <m/>
    <x v="0"/>
    <n v="70803"/>
    <n v="0"/>
    <d v="2016-02-01T12:33:19"/>
    <n v="19.579999999999998"/>
    <x v="1"/>
    <n v="2"/>
    <n v="1"/>
    <n v="1.7"/>
    <n v="0"/>
    <n v="2.7"/>
    <x v="0"/>
    <x v="0"/>
    <x v="0"/>
    <x v="0"/>
    <n v="7"/>
    <n v="10"/>
    <e v="#N/A"/>
  </r>
  <r>
    <n v="3184"/>
    <d v="2016-02-01T12:49:29"/>
    <d v="2016-02-01T13:04:28"/>
    <x v="1"/>
    <m/>
    <m/>
    <x v="1"/>
    <n v="70807"/>
    <n v="4.4357561767602398"/>
    <d v="2016-02-01T13:26:38"/>
    <n v="15.35"/>
    <x v="46"/>
    <n v="1"/>
    <n v="2.2999999999999998"/>
    <n v="0"/>
    <n v="0"/>
    <n v="2.2999999999999998"/>
    <x v="40"/>
    <x v="1"/>
    <x v="1617"/>
    <x v="0"/>
    <n v="14"/>
    <e v="#N/A"/>
    <e v="#N/A"/>
  </r>
  <r>
    <n v="3185"/>
    <d v="2016-02-01T11:19:04"/>
    <d v="2016-02-01T11:34:03"/>
    <x v="0"/>
    <s v="Medium"/>
    <m/>
    <x v="0"/>
    <n v="70806"/>
    <n v="0"/>
    <d v="2016-02-01T11:37:04"/>
    <n v="19.579999999999998"/>
    <x v="14"/>
    <n v="2"/>
    <n v="1"/>
    <n v="1.7"/>
    <n v="0"/>
    <n v="2.7"/>
    <x v="0"/>
    <x v="0"/>
    <x v="0"/>
    <x v="0"/>
    <n v="7"/>
    <n v="10"/>
    <e v="#N/A"/>
  </r>
  <r>
    <n v="3186"/>
    <d v="2016-02-01T10:45:23"/>
    <d v="2016-02-01T11:00:22"/>
    <x v="1"/>
    <m/>
    <m/>
    <x v="1"/>
    <n v="70806"/>
    <n v="4.3365181264062098"/>
    <d v="2016-02-01T11:22:02"/>
    <n v="15.35"/>
    <x v="1036"/>
    <n v="1"/>
    <n v="2.2999999999999998"/>
    <n v="0"/>
    <n v="0"/>
    <n v="2.2999999999999998"/>
    <x v="1023"/>
    <x v="1"/>
    <x v="1618"/>
    <x v="0"/>
    <n v="14"/>
    <e v="#N/A"/>
    <e v="#N/A"/>
  </r>
  <r>
    <n v="3187"/>
    <d v="2016-02-01T10:17:55"/>
    <d v="2016-02-01T10:32:55"/>
    <x v="2"/>
    <m/>
    <m/>
    <x v="0"/>
    <n v="70804"/>
    <n v="0"/>
    <d v="2016-02-01T10:35:54"/>
    <n v="11.59"/>
    <x v="24"/>
    <n v="1"/>
    <n v="1.7"/>
    <n v="0"/>
    <n v="0"/>
    <n v="1.7"/>
    <x v="0"/>
    <x v="0"/>
    <x v="0"/>
    <x v="0"/>
    <n v="10"/>
    <e v="#N/A"/>
    <e v="#N/A"/>
  </r>
  <r>
    <n v="3188"/>
    <d v="2016-02-01T10:18:37"/>
    <d v="2016-02-01T10:33:36"/>
    <x v="0"/>
    <m/>
    <m/>
    <x v="1"/>
    <n v="70805"/>
    <n v="1.70029657777067"/>
    <d v="2016-02-01T10:42:06"/>
    <n v="7.99"/>
    <x v="345"/>
    <n v="1"/>
    <n v="1"/>
    <n v="0"/>
    <n v="0"/>
    <n v="1"/>
    <x v="332"/>
    <x v="0"/>
    <x v="1619"/>
    <x v="920"/>
    <n v="7"/>
    <e v="#N/A"/>
    <e v="#N/A"/>
  </r>
  <r>
    <n v="3189"/>
    <d v="2016-02-01T11:19:37"/>
    <d v="2016-02-01T11:34:36"/>
    <x v="0"/>
    <s v="Large"/>
    <m/>
    <x v="0"/>
    <n v="70803"/>
    <n v="0"/>
    <d v="2016-02-01T11:37:33"/>
    <n v="23.34"/>
    <x v="102"/>
    <n v="2"/>
    <n v="1"/>
    <n v="2.2999999999999998"/>
    <n v="0"/>
    <n v="3.3"/>
    <x v="0"/>
    <x v="0"/>
    <x v="0"/>
    <x v="0"/>
    <n v="7"/>
    <n v="14"/>
    <e v="#N/A"/>
  </r>
  <r>
    <n v="3190"/>
    <d v="2016-02-01T11:36:41"/>
    <d v="2016-02-01T11:51:38"/>
    <x v="1"/>
    <m/>
    <m/>
    <x v="0"/>
    <n v="70804"/>
    <n v="0"/>
    <d v="2016-02-01T11:54:38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3191"/>
    <d v="2016-02-01T13:37:24"/>
    <d v="2016-02-01T13:52:23"/>
    <x v="2"/>
    <m/>
    <m/>
    <x v="1"/>
    <n v="70806"/>
    <n v="0.42888999103502301"/>
    <d v="2016-02-01T13:54:31"/>
    <n v="11.59"/>
    <x v="1091"/>
    <n v="1"/>
    <n v="1.7"/>
    <n v="0"/>
    <n v="0"/>
    <n v="1.7"/>
    <x v="1078"/>
    <x v="0"/>
    <x v="1620"/>
    <x v="921"/>
    <n v="10"/>
    <e v="#N/A"/>
    <e v="#N/A"/>
  </r>
  <r>
    <n v="3192"/>
    <d v="2016-02-02T12:17:47"/>
    <d v="2016-02-02T12:32:47"/>
    <x v="2"/>
    <m/>
    <m/>
    <x v="1"/>
    <n v="70805"/>
    <n v="3.3787084932719198"/>
    <d v="2016-02-02T12:49:40"/>
    <n v="11.59"/>
    <x v="488"/>
    <n v="1"/>
    <n v="1.7"/>
    <n v="0"/>
    <n v="0"/>
    <n v="1.7"/>
    <x v="475"/>
    <x v="1"/>
    <x v="1621"/>
    <x v="0"/>
    <n v="10"/>
    <e v="#N/A"/>
    <e v="#N/A"/>
  </r>
  <r>
    <n v="3193"/>
    <d v="2016-02-02T11:55:50"/>
    <d v="2016-02-02T12:10:49"/>
    <x v="0"/>
    <m/>
    <m/>
    <x v="1"/>
    <n v="70803"/>
    <n v="0.625164535628151"/>
    <d v="2016-02-02T12:13:56"/>
    <n v="7.99"/>
    <x v="1092"/>
    <n v="1"/>
    <n v="1"/>
    <n v="0"/>
    <n v="0"/>
    <n v="1"/>
    <x v="1079"/>
    <x v="0"/>
    <x v="1622"/>
    <x v="922"/>
    <n v="7"/>
    <e v="#N/A"/>
    <e v="#N/A"/>
  </r>
  <r>
    <n v="3194"/>
    <d v="2016-02-02T11:13:00"/>
    <d v="2016-02-02T11:27:58"/>
    <x v="2"/>
    <m/>
    <m/>
    <x v="0"/>
    <n v="70804"/>
    <n v="0"/>
    <d v="2016-02-02T11:30:59"/>
    <n v="11.59"/>
    <x v="56"/>
    <n v="1"/>
    <n v="1.7"/>
    <n v="0"/>
    <n v="0"/>
    <n v="1.7"/>
    <x v="0"/>
    <x v="0"/>
    <x v="0"/>
    <x v="0"/>
    <n v="10"/>
    <e v="#N/A"/>
    <e v="#N/A"/>
  </r>
  <r>
    <n v="3195"/>
    <d v="2016-02-02T11:43:44"/>
    <d v="2016-02-02T11:58:45"/>
    <x v="1"/>
    <m/>
    <m/>
    <x v="1"/>
    <n v="70805"/>
    <n v="1.4581817391427101"/>
    <d v="2016-02-02T12:06:02"/>
    <n v="15.35"/>
    <x v="1093"/>
    <n v="1"/>
    <n v="2.2999999999999998"/>
    <n v="0"/>
    <n v="0"/>
    <n v="2.2999999999999998"/>
    <x v="1080"/>
    <x v="0"/>
    <x v="1623"/>
    <x v="923"/>
    <n v="14"/>
    <e v="#N/A"/>
    <e v="#N/A"/>
  </r>
  <r>
    <n v="3196"/>
    <d v="2016-02-02T14:10:37"/>
    <d v="2016-02-02T14:25:35"/>
    <x v="0"/>
    <s v="Medium"/>
    <m/>
    <x v="0"/>
    <n v="70805"/>
    <n v="0"/>
    <d v="2016-02-02T14:28:34"/>
    <n v="19.579999999999998"/>
    <x v="24"/>
    <n v="2"/>
    <n v="1"/>
    <n v="1.7"/>
    <n v="0"/>
    <n v="2.7"/>
    <x v="0"/>
    <x v="0"/>
    <x v="0"/>
    <x v="0"/>
    <n v="7"/>
    <n v="10"/>
    <e v="#N/A"/>
  </r>
  <r>
    <n v="3197"/>
    <d v="2016-02-02T10:50:44"/>
    <d v="2016-02-02T11:05:44"/>
    <x v="0"/>
    <m/>
    <m/>
    <x v="0"/>
    <n v="70805"/>
    <n v="0"/>
    <d v="2016-02-02T11:08:44"/>
    <n v="7.99"/>
    <x v="2"/>
    <n v="1"/>
    <n v="1"/>
    <n v="0"/>
    <n v="0"/>
    <n v="1"/>
    <x v="0"/>
    <x v="0"/>
    <x v="0"/>
    <x v="0"/>
    <n v="7"/>
    <e v="#N/A"/>
    <e v="#N/A"/>
  </r>
  <r>
    <n v="3198"/>
    <d v="2016-02-02T10:29:16"/>
    <d v="2016-02-02T10:44:18"/>
    <x v="2"/>
    <m/>
    <m/>
    <x v="0"/>
    <n v="70804"/>
    <n v="0"/>
    <d v="2016-02-02T10:47:18"/>
    <n v="11.59"/>
    <x v="2"/>
    <n v="1"/>
    <n v="1.7"/>
    <n v="0"/>
    <n v="0"/>
    <n v="1.7"/>
    <x v="0"/>
    <x v="0"/>
    <x v="0"/>
    <x v="0"/>
    <n v="10"/>
    <e v="#N/A"/>
    <e v="#N/A"/>
  </r>
  <r>
    <n v="3199"/>
    <d v="2016-02-02T12:38:49"/>
    <d v="2016-02-02T12:53:49"/>
    <x v="1"/>
    <m/>
    <m/>
    <x v="1"/>
    <n v="70805"/>
    <n v="3.8180386097864898"/>
    <d v="2016-02-02T13:12:54"/>
    <n v="15.35"/>
    <x v="1094"/>
    <n v="1"/>
    <n v="2.2999999999999998"/>
    <n v="0"/>
    <n v="0"/>
    <n v="2.2999999999999998"/>
    <x v="1081"/>
    <x v="1"/>
    <x v="1624"/>
    <x v="0"/>
    <n v="14"/>
    <e v="#N/A"/>
    <e v="#N/A"/>
  </r>
  <r>
    <n v="3200"/>
    <d v="2016-02-02T12:48:02"/>
    <d v="2016-02-02T13:03:01"/>
    <x v="0"/>
    <s v="Medium"/>
    <m/>
    <x v="0"/>
    <n v="70804"/>
    <n v="0"/>
    <d v="2016-02-02T13:05:58"/>
    <n v="19.579999999999998"/>
    <x v="102"/>
    <n v="2"/>
    <n v="1"/>
    <n v="1.7"/>
    <n v="0"/>
    <n v="2.7"/>
    <x v="0"/>
    <x v="0"/>
    <x v="0"/>
    <x v="0"/>
    <n v="7"/>
    <n v="10"/>
    <e v="#N/A"/>
  </r>
  <r>
    <n v="3201"/>
    <d v="2016-02-02T13:36:35"/>
    <d v="2016-02-02T13:51:35"/>
    <x v="0"/>
    <s v="Medium"/>
    <m/>
    <x v="1"/>
    <n v="70804"/>
    <n v="2.8825438103625398"/>
    <d v="2016-02-02T14:05:59"/>
    <n v="19.579999999999998"/>
    <x v="506"/>
    <n v="2"/>
    <n v="1"/>
    <n v="1.7"/>
    <n v="0"/>
    <n v="2.7"/>
    <x v="493"/>
    <x v="0"/>
    <x v="1625"/>
    <x v="924"/>
    <n v="7"/>
    <n v="10"/>
    <e v="#N/A"/>
  </r>
  <r>
    <n v="3202"/>
    <d v="2016-02-02T11:03:09"/>
    <d v="2016-02-02T11:18:07"/>
    <x v="2"/>
    <m/>
    <m/>
    <x v="1"/>
    <n v="70805"/>
    <n v="2.81952532126554"/>
    <d v="2016-02-02T11:32:12"/>
    <n v="11.59"/>
    <x v="1095"/>
    <n v="1"/>
    <n v="1.7"/>
    <n v="0"/>
    <n v="0"/>
    <n v="1.7"/>
    <x v="1082"/>
    <x v="0"/>
    <x v="1626"/>
    <x v="925"/>
    <n v="10"/>
    <e v="#N/A"/>
    <e v="#N/A"/>
  </r>
  <r>
    <n v="3203"/>
    <d v="2016-02-02T12:05:31"/>
    <d v="2016-02-02T12:20:32"/>
    <x v="1"/>
    <m/>
    <m/>
    <x v="1"/>
    <n v="70806"/>
    <n v="2.9045897268531702"/>
    <d v="2016-02-02T12:35:03"/>
    <n v="15.35"/>
    <x v="372"/>
    <n v="1"/>
    <n v="2.2999999999999998"/>
    <n v="0"/>
    <n v="0"/>
    <n v="2.2999999999999998"/>
    <x v="359"/>
    <x v="0"/>
    <x v="1627"/>
    <x v="926"/>
    <n v="14"/>
    <e v="#N/A"/>
    <e v="#N/A"/>
  </r>
  <r>
    <n v="3204"/>
    <d v="2016-02-02T10:16:27"/>
    <d v="2016-02-02T10:31:26"/>
    <x v="1"/>
    <m/>
    <m/>
    <x v="1"/>
    <n v="70804"/>
    <n v="4.19003116240353"/>
    <d v="2016-02-02T10:52:23"/>
    <n v="15.35"/>
    <x v="1090"/>
    <n v="1"/>
    <n v="2.2999999999999998"/>
    <n v="0"/>
    <n v="0"/>
    <n v="2.2999999999999998"/>
    <x v="1077"/>
    <x v="1"/>
    <x v="1628"/>
    <x v="0"/>
    <n v="14"/>
    <e v="#N/A"/>
    <e v="#N/A"/>
  </r>
  <r>
    <n v="3205"/>
    <d v="2016-02-02T11:29:37"/>
    <d v="2016-02-02T11:44:34"/>
    <x v="2"/>
    <m/>
    <m/>
    <x v="0"/>
    <n v="70803"/>
    <n v="0"/>
    <d v="2016-02-02T11:47:34"/>
    <n v="11.59"/>
    <x v="2"/>
    <n v="1"/>
    <n v="1.7"/>
    <n v="0"/>
    <n v="0"/>
    <n v="1.7"/>
    <x v="0"/>
    <x v="0"/>
    <x v="0"/>
    <x v="0"/>
    <n v="10"/>
    <e v="#N/A"/>
    <e v="#N/A"/>
  </r>
  <r>
    <n v="3206"/>
    <d v="2016-02-02T11:30:31"/>
    <d v="2016-02-02T11:45:32"/>
    <x v="2"/>
    <m/>
    <m/>
    <x v="1"/>
    <n v="70804"/>
    <n v="2.0313829830982599"/>
    <d v="2016-02-02T11:55:41"/>
    <n v="11.59"/>
    <x v="1096"/>
    <n v="1"/>
    <n v="1.7"/>
    <n v="0"/>
    <n v="0"/>
    <n v="1.7"/>
    <x v="1083"/>
    <x v="0"/>
    <x v="1629"/>
    <x v="927"/>
    <n v="10"/>
    <e v="#N/A"/>
    <e v="#N/A"/>
  </r>
  <r>
    <n v="3207"/>
    <d v="2016-02-02T12:16:10"/>
    <d v="2016-02-02T12:31:10"/>
    <x v="1"/>
    <m/>
    <m/>
    <x v="0"/>
    <n v="70806"/>
    <n v="0"/>
    <d v="2016-02-02T12:34:11"/>
    <n v="15.35"/>
    <x v="56"/>
    <n v="1"/>
    <n v="2.2999999999999998"/>
    <n v="0"/>
    <n v="0"/>
    <n v="2.2999999999999998"/>
    <x v="0"/>
    <x v="0"/>
    <x v="0"/>
    <x v="0"/>
    <n v="14"/>
    <e v="#N/A"/>
    <e v="#N/A"/>
  </r>
  <r>
    <n v="3208"/>
    <d v="2016-02-02T12:36:57"/>
    <d v="2016-02-02T12:51:57"/>
    <x v="2"/>
    <m/>
    <m/>
    <x v="1"/>
    <n v="70804"/>
    <n v="1.6688451798625099"/>
    <d v="2016-02-02T13:00:17"/>
    <n v="11.59"/>
    <x v="493"/>
    <n v="1"/>
    <n v="1.7"/>
    <n v="0"/>
    <n v="0"/>
    <n v="1.7"/>
    <x v="480"/>
    <x v="0"/>
    <x v="1630"/>
    <x v="928"/>
    <n v="10"/>
    <e v="#N/A"/>
    <e v="#N/A"/>
  </r>
  <r>
    <n v="3209"/>
    <d v="2016-02-02T11:35:16"/>
    <d v="2016-02-02T11:50:16"/>
    <x v="1"/>
    <m/>
    <m/>
    <x v="1"/>
    <n v="70804"/>
    <n v="2.9020388423688699"/>
    <d v="2016-02-02T12:04:46"/>
    <n v="15.35"/>
    <x v="327"/>
    <n v="1"/>
    <n v="2.2999999999999998"/>
    <n v="0"/>
    <n v="0"/>
    <n v="2.2999999999999998"/>
    <x v="314"/>
    <x v="0"/>
    <x v="1631"/>
    <x v="929"/>
    <n v="14"/>
    <e v="#N/A"/>
    <e v="#N/A"/>
  </r>
  <r>
    <n v="3210"/>
    <d v="2016-02-02T12:12:04"/>
    <d v="2016-02-02T12:27:04"/>
    <x v="0"/>
    <m/>
    <m/>
    <x v="1"/>
    <n v="70804"/>
    <n v="2.10852550107401"/>
    <d v="2016-02-02T12:37:36"/>
    <n v="7.99"/>
    <x v="339"/>
    <n v="1"/>
    <n v="1"/>
    <n v="0"/>
    <n v="0"/>
    <n v="1"/>
    <x v="326"/>
    <x v="0"/>
    <x v="1632"/>
    <x v="930"/>
    <n v="7"/>
    <e v="#N/A"/>
    <e v="#N/A"/>
  </r>
  <r>
    <n v="3211"/>
    <d v="2016-02-02T11:40:15"/>
    <d v="2016-02-02T11:55:15"/>
    <x v="1"/>
    <m/>
    <m/>
    <x v="0"/>
    <n v="70803"/>
    <n v="0"/>
    <d v="2016-02-02T11:58:14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3212"/>
    <d v="2016-02-02T14:40:48"/>
    <d v="2016-02-02T14:55:46"/>
    <x v="2"/>
    <m/>
    <m/>
    <x v="0"/>
    <n v="70805"/>
    <n v="0"/>
    <d v="2016-02-02T14:58:46"/>
    <n v="11.59"/>
    <x v="63"/>
    <n v="1"/>
    <n v="1.7"/>
    <n v="0"/>
    <n v="0"/>
    <n v="1.7"/>
    <x v="0"/>
    <x v="0"/>
    <x v="0"/>
    <x v="0"/>
    <n v="10"/>
    <e v="#N/A"/>
    <e v="#N/A"/>
  </r>
  <r>
    <n v="3213"/>
    <d v="2016-02-02T11:14:42"/>
    <d v="2016-02-02T11:29:41"/>
    <x v="2"/>
    <m/>
    <m/>
    <x v="0"/>
    <n v="70805"/>
    <n v="0"/>
    <d v="2016-02-02T11:32:42"/>
    <n v="11.59"/>
    <x v="14"/>
    <n v="1"/>
    <n v="1.7"/>
    <n v="0"/>
    <n v="0"/>
    <n v="1.7"/>
    <x v="0"/>
    <x v="0"/>
    <x v="0"/>
    <x v="0"/>
    <n v="10"/>
    <e v="#N/A"/>
    <e v="#N/A"/>
  </r>
  <r>
    <n v="3214"/>
    <d v="2016-02-02T11:18:03"/>
    <d v="2016-02-02T11:33:02"/>
    <x v="0"/>
    <s v="Medium"/>
    <m/>
    <x v="1"/>
    <n v="70808"/>
    <n v="2.9228137999188801"/>
    <d v="2016-02-02T11:47:38"/>
    <n v="19.579999999999998"/>
    <x v="326"/>
    <n v="2"/>
    <n v="1"/>
    <n v="1.7"/>
    <n v="0"/>
    <n v="2.7"/>
    <x v="313"/>
    <x v="0"/>
    <x v="1633"/>
    <x v="931"/>
    <n v="7"/>
    <n v="10"/>
    <e v="#N/A"/>
  </r>
  <r>
    <n v="3215"/>
    <d v="2016-02-02T13:49:31"/>
    <d v="2016-02-02T14:04:31"/>
    <x v="1"/>
    <m/>
    <m/>
    <x v="0"/>
    <n v="70804"/>
    <n v="0"/>
    <d v="2016-02-02T14:07:33"/>
    <n v="15.35"/>
    <x v="67"/>
    <n v="1"/>
    <n v="2.2999999999999998"/>
    <n v="0"/>
    <n v="0"/>
    <n v="2.2999999999999998"/>
    <x v="0"/>
    <x v="0"/>
    <x v="0"/>
    <x v="0"/>
    <n v="14"/>
    <e v="#N/A"/>
    <e v="#N/A"/>
  </r>
  <r>
    <n v="3216"/>
    <d v="2016-02-02T12:06:10"/>
    <d v="2016-02-02T12:21:09"/>
    <x v="2"/>
    <m/>
    <m/>
    <x v="1"/>
    <n v="70806"/>
    <n v="3.63415949540651"/>
    <d v="2016-02-02T12:39:19"/>
    <n v="11.59"/>
    <x v="1097"/>
    <n v="1"/>
    <n v="1.7"/>
    <n v="0"/>
    <n v="0"/>
    <n v="1.7"/>
    <x v="1084"/>
    <x v="1"/>
    <x v="1634"/>
    <x v="0"/>
    <n v="10"/>
    <e v="#N/A"/>
    <e v="#N/A"/>
  </r>
  <r>
    <n v="3217"/>
    <d v="2016-02-02T11:57:38"/>
    <d v="2016-02-02T12:12:37"/>
    <x v="0"/>
    <m/>
    <m/>
    <x v="1"/>
    <n v="70806"/>
    <n v="3.5269584967185299"/>
    <d v="2016-02-02T12:30:15"/>
    <n v="7.99"/>
    <x v="527"/>
    <n v="1"/>
    <n v="1"/>
    <n v="0"/>
    <n v="0"/>
    <n v="1"/>
    <x v="514"/>
    <x v="1"/>
    <x v="1635"/>
    <x v="0"/>
    <n v="7"/>
    <e v="#N/A"/>
    <e v="#N/A"/>
  </r>
  <r>
    <n v="3218"/>
    <d v="2016-02-02T10:59:39"/>
    <d v="2016-02-02T11:14:42"/>
    <x v="0"/>
    <s v="Large"/>
    <m/>
    <x v="1"/>
    <n v="70804"/>
    <n v="1.9720425473268299"/>
    <d v="2016-02-02T11:24:33"/>
    <n v="23.34"/>
    <x v="250"/>
    <n v="2"/>
    <n v="1"/>
    <n v="2.2999999999999998"/>
    <n v="0"/>
    <n v="3.3"/>
    <x v="237"/>
    <x v="0"/>
    <x v="1636"/>
    <x v="932"/>
    <n v="7"/>
    <n v="14"/>
    <e v="#N/A"/>
  </r>
  <r>
    <n v="3219"/>
    <d v="2016-02-02T12:15:00"/>
    <d v="2016-02-02T12:29:59"/>
    <x v="1"/>
    <m/>
    <m/>
    <x v="0"/>
    <n v="70806"/>
    <n v="0"/>
    <d v="2016-02-02T12:32:57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3220"/>
    <d v="2016-02-02T11:21:15"/>
    <d v="2016-02-02T11:36:14"/>
    <x v="1"/>
    <m/>
    <m/>
    <x v="1"/>
    <n v="70805"/>
    <n v="5.5017612484109799"/>
    <d v="2016-02-02T12:03:44"/>
    <n v="15.35"/>
    <x v="1098"/>
    <n v="1"/>
    <n v="2.2999999999999998"/>
    <n v="0"/>
    <n v="0"/>
    <n v="2.2999999999999998"/>
    <x v="1085"/>
    <x v="1"/>
    <x v="1637"/>
    <x v="0"/>
    <n v="14"/>
    <e v="#N/A"/>
    <e v="#N/A"/>
  </r>
  <r>
    <n v="3221"/>
    <d v="2016-02-02T11:46:20"/>
    <d v="2016-02-02T12:01:19"/>
    <x v="1"/>
    <m/>
    <m/>
    <x v="1"/>
    <n v="70804"/>
    <n v="3.59624782599131"/>
    <d v="2016-02-02T12:19:17"/>
    <n v="15.35"/>
    <x v="1099"/>
    <n v="1"/>
    <n v="2.2999999999999998"/>
    <n v="0"/>
    <n v="0"/>
    <n v="2.2999999999999998"/>
    <x v="1086"/>
    <x v="1"/>
    <x v="1638"/>
    <x v="0"/>
    <n v="14"/>
    <e v="#N/A"/>
    <e v="#N/A"/>
  </r>
  <r>
    <n v="3222"/>
    <d v="2016-02-02T12:28:13"/>
    <d v="2016-02-02T12:43:12"/>
    <x v="2"/>
    <m/>
    <m/>
    <x v="1"/>
    <n v="70805"/>
    <n v="4.0052016277201101"/>
    <d v="2016-02-02T13:03:13"/>
    <n v="11.59"/>
    <x v="1100"/>
    <n v="1"/>
    <n v="1.7"/>
    <n v="0"/>
    <n v="0"/>
    <n v="1.7"/>
    <x v="1087"/>
    <x v="1"/>
    <x v="1639"/>
    <x v="0"/>
    <n v="10"/>
    <e v="#N/A"/>
    <e v="#N/A"/>
  </r>
  <r>
    <n v="3223"/>
    <d v="2016-02-02T11:48:29"/>
    <d v="2016-02-02T12:03:29"/>
    <x v="1"/>
    <m/>
    <m/>
    <x v="0"/>
    <n v="70804"/>
    <n v="0"/>
    <d v="2016-02-02T12:06:30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3224"/>
    <d v="2016-02-02T11:40:48"/>
    <d v="2016-02-02T11:55:47"/>
    <x v="1"/>
    <m/>
    <m/>
    <x v="1"/>
    <n v="70803"/>
    <n v="3.8292782699221899"/>
    <d v="2016-02-02T12:14:55"/>
    <n v="15.35"/>
    <x v="202"/>
    <n v="1"/>
    <n v="2.2999999999999998"/>
    <n v="0"/>
    <n v="0"/>
    <n v="2.2999999999999998"/>
    <x v="190"/>
    <x v="1"/>
    <x v="1640"/>
    <x v="0"/>
    <n v="14"/>
    <e v="#N/A"/>
    <e v="#N/A"/>
  </r>
  <r>
    <n v="3225"/>
    <d v="2016-02-02T11:52:22"/>
    <d v="2016-02-02T12:07:21"/>
    <x v="1"/>
    <m/>
    <m/>
    <x v="1"/>
    <n v="70804"/>
    <n v="1.73752780444945"/>
    <d v="2016-02-02T12:16:02"/>
    <n v="15.35"/>
    <x v="1101"/>
    <n v="1"/>
    <n v="2.2999999999999998"/>
    <n v="0"/>
    <n v="0"/>
    <n v="2.2999999999999998"/>
    <x v="1088"/>
    <x v="0"/>
    <x v="1641"/>
    <x v="933"/>
    <n v="14"/>
    <e v="#N/A"/>
    <e v="#N/A"/>
  </r>
  <r>
    <n v="3226"/>
    <d v="2016-02-02T11:44:15"/>
    <d v="2016-02-02T11:59:15"/>
    <x v="2"/>
    <m/>
    <m/>
    <x v="0"/>
    <n v="70805"/>
    <n v="0"/>
    <d v="2016-02-02T12:02:16"/>
    <n v="11.59"/>
    <x v="56"/>
    <n v="1"/>
    <n v="1.7"/>
    <n v="0"/>
    <n v="0"/>
    <n v="1.7"/>
    <x v="0"/>
    <x v="0"/>
    <x v="0"/>
    <x v="0"/>
    <n v="10"/>
    <e v="#N/A"/>
    <e v="#N/A"/>
  </r>
  <r>
    <n v="3227"/>
    <d v="2016-02-02T12:19:11"/>
    <d v="2016-02-02T12:34:11"/>
    <x v="1"/>
    <m/>
    <m/>
    <x v="1"/>
    <n v="70804"/>
    <n v="2.1585627506740299"/>
    <d v="2016-02-02T12:44:58"/>
    <n v="15.35"/>
    <x v="1102"/>
    <n v="1"/>
    <n v="2.2999999999999998"/>
    <n v="0"/>
    <n v="0"/>
    <n v="2.2999999999999998"/>
    <x v="1089"/>
    <x v="0"/>
    <x v="1642"/>
    <x v="934"/>
    <n v="14"/>
    <e v="#N/A"/>
    <e v="#N/A"/>
  </r>
  <r>
    <n v="3228"/>
    <d v="2016-02-02T11:31:31"/>
    <d v="2016-02-02T11:46:30"/>
    <x v="1"/>
    <m/>
    <m/>
    <x v="1"/>
    <n v="70805"/>
    <n v="3.8649358912788401"/>
    <d v="2016-02-02T12:05:49"/>
    <n v="15.35"/>
    <x v="411"/>
    <n v="1"/>
    <n v="2.2999999999999998"/>
    <n v="0"/>
    <n v="0"/>
    <n v="2.2999999999999998"/>
    <x v="398"/>
    <x v="1"/>
    <x v="1643"/>
    <x v="0"/>
    <n v="14"/>
    <e v="#N/A"/>
    <e v="#N/A"/>
  </r>
  <r>
    <n v="3229"/>
    <d v="2016-02-02T11:02:17"/>
    <d v="2016-02-02T11:17:17"/>
    <x v="0"/>
    <s v="Medium"/>
    <m/>
    <x v="1"/>
    <n v="70804"/>
    <n v="5.2050238795322601"/>
    <d v="2016-02-02T11:43:18"/>
    <n v="19.579999999999998"/>
    <x v="1103"/>
    <n v="2"/>
    <n v="1"/>
    <n v="1.7"/>
    <n v="0"/>
    <n v="2.7"/>
    <x v="1090"/>
    <x v="1"/>
    <x v="1644"/>
    <x v="0"/>
    <n v="7"/>
    <n v="10"/>
    <e v="#N/A"/>
  </r>
  <r>
    <n v="3230"/>
    <d v="2016-02-02T10:26:34"/>
    <d v="2016-02-02T10:41:34"/>
    <x v="1"/>
    <m/>
    <m/>
    <x v="0"/>
    <n v="70805"/>
    <n v="0"/>
    <d v="2016-02-02T10:44:33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3231"/>
    <d v="2016-02-02T13:16:33"/>
    <d v="2016-02-02T13:31:34"/>
    <x v="2"/>
    <m/>
    <m/>
    <x v="1"/>
    <n v="70806"/>
    <n v="3.3038899429211801"/>
    <d v="2016-02-02T13:48:05"/>
    <n v="11.59"/>
    <x v="1104"/>
    <n v="1"/>
    <n v="1.7"/>
    <n v="0"/>
    <n v="0"/>
    <n v="1.7"/>
    <x v="1091"/>
    <x v="1"/>
    <x v="1645"/>
    <x v="0"/>
    <n v="10"/>
    <e v="#N/A"/>
    <e v="#N/A"/>
  </r>
  <r>
    <n v="3232"/>
    <d v="2016-02-02T11:18:00"/>
    <d v="2016-02-02T11:32:59"/>
    <x v="0"/>
    <s v="Medium"/>
    <m/>
    <x v="1"/>
    <n v="70807"/>
    <n v="2.95252266732914"/>
    <d v="2016-02-02T11:47:44"/>
    <n v="19.579999999999998"/>
    <x v="346"/>
    <n v="2"/>
    <n v="1"/>
    <n v="1.7"/>
    <n v="0"/>
    <n v="2.7"/>
    <x v="333"/>
    <x v="0"/>
    <x v="1646"/>
    <x v="935"/>
    <n v="7"/>
    <n v="10"/>
    <e v="#N/A"/>
  </r>
  <r>
    <n v="3233"/>
    <d v="2016-02-02T11:42:30"/>
    <d v="2016-02-02T11:57:30"/>
    <x v="0"/>
    <s v="Large"/>
    <m/>
    <x v="1"/>
    <n v="70803"/>
    <n v="1.7697367068766201"/>
    <d v="2016-02-02T12:06:20"/>
    <n v="23.34"/>
    <x v="1105"/>
    <n v="2"/>
    <n v="1"/>
    <n v="2.2999999999999998"/>
    <n v="0"/>
    <n v="3.3"/>
    <x v="1092"/>
    <x v="0"/>
    <x v="1647"/>
    <x v="936"/>
    <n v="7"/>
    <n v="14"/>
    <e v="#N/A"/>
  </r>
  <r>
    <n v="3234"/>
    <d v="2016-02-02T12:28:46"/>
    <d v="2016-02-02T12:43:45"/>
    <x v="0"/>
    <s v="Medium"/>
    <m/>
    <x v="0"/>
    <n v="70806"/>
    <n v="0"/>
    <d v="2016-02-02T12:46:44"/>
    <n v="19.579999999999998"/>
    <x v="24"/>
    <n v="2"/>
    <n v="1"/>
    <n v="1.7"/>
    <n v="0"/>
    <n v="2.7"/>
    <x v="0"/>
    <x v="0"/>
    <x v="0"/>
    <x v="0"/>
    <n v="7"/>
    <n v="10"/>
    <e v="#N/A"/>
  </r>
  <r>
    <n v="3235"/>
    <d v="2016-02-02T12:30:39"/>
    <d v="2016-02-02T12:45:40"/>
    <x v="1"/>
    <m/>
    <m/>
    <x v="1"/>
    <n v="70806"/>
    <n v="2.2018203272530599"/>
    <d v="2016-02-02T12:56:40"/>
    <n v="15.35"/>
    <x v="1106"/>
    <n v="1"/>
    <n v="2.2999999999999998"/>
    <n v="0"/>
    <n v="0"/>
    <n v="2.2999999999999998"/>
    <x v="1093"/>
    <x v="0"/>
    <x v="1648"/>
    <x v="937"/>
    <n v="14"/>
    <e v="#N/A"/>
    <e v="#N/A"/>
  </r>
  <r>
    <n v="3236"/>
    <d v="2016-02-02T11:12:16"/>
    <d v="2016-02-02T11:27:15"/>
    <x v="0"/>
    <s v="Large"/>
    <m/>
    <x v="0"/>
    <n v="70804"/>
    <n v="0"/>
    <d v="2016-02-02T11:30:14"/>
    <n v="23.34"/>
    <x v="24"/>
    <n v="2"/>
    <n v="1"/>
    <n v="2.2999999999999998"/>
    <n v="0"/>
    <n v="3.3"/>
    <x v="0"/>
    <x v="0"/>
    <x v="0"/>
    <x v="0"/>
    <n v="7"/>
    <n v="14"/>
    <e v="#N/A"/>
  </r>
  <r>
    <n v="3237"/>
    <d v="2016-02-02T11:14:11"/>
    <d v="2016-02-02T11:29:10"/>
    <x v="1"/>
    <m/>
    <m/>
    <x v="1"/>
    <n v="70804"/>
    <n v="0.86187470189962001"/>
    <d v="2016-02-02T11:33:28"/>
    <n v="15.35"/>
    <x v="1107"/>
    <n v="1"/>
    <n v="2.2999999999999998"/>
    <n v="0"/>
    <n v="0"/>
    <n v="2.2999999999999998"/>
    <x v="1094"/>
    <x v="0"/>
    <x v="1649"/>
    <x v="938"/>
    <n v="14"/>
    <e v="#N/A"/>
    <e v="#N/A"/>
  </r>
  <r>
    <n v="3238"/>
    <d v="2016-02-02T11:48:48"/>
    <d v="2016-02-02T12:03:46"/>
    <x v="1"/>
    <m/>
    <m/>
    <x v="0"/>
    <n v="70803"/>
    <n v="0"/>
    <d v="2016-02-02T12:06:45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3239"/>
    <d v="2016-02-02T12:50:25"/>
    <d v="2016-02-02T13:05:25"/>
    <x v="1"/>
    <m/>
    <m/>
    <x v="1"/>
    <n v="70804"/>
    <n v="1.9169683025342501"/>
    <d v="2016-02-02T13:15:00"/>
    <n v="15.35"/>
    <x v="850"/>
    <n v="1"/>
    <n v="2.2999999999999998"/>
    <n v="0"/>
    <n v="0"/>
    <n v="2.2999999999999998"/>
    <x v="837"/>
    <x v="0"/>
    <x v="1650"/>
    <x v="939"/>
    <n v="14"/>
    <e v="#N/A"/>
    <e v="#N/A"/>
  </r>
  <r>
    <n v="3240"/>
    <d v="2016-02-02T11:35:37"/>
    <d v="2016-02-02T11:50:38"/>
    <x v="0"/>
    <s v="Medium"/>
    <m/>
    <x v="1"/>
    <n v="70804"/>
    <n v="4.5896377247188704"/>
    <d v="2016-02-02T12:13:34"/>
    <n v="19.579999999999998"/>
    <x v="802"/>
    <n v="2"/>
    <n v="1"/>
    <n v="1.7"/>
    <n v="0"/>
    <n v="2.7"/>
    <x v="789"/>
    <x v="1"/>
    <x v="1651"/>
    <x v="0"/>
    <n v="7"/>
    <n v="10"/>
    <e v="#N/A"/>
  </r>
  <r>
    <n v="3241"/>
    <d v="2016-02-02T11:19:14"/>
    <d v="2016-02-02T11:34:13"/>
    <x v="2"/>
    <s v="Large"/>
    <m/>
    <x v="1"/>
    <n v="70803"/>
    <n v="1.1898303859808399"/>
    <d v="2016-02-02T11:40:09"/>
    <n v="25.94"/>
    <x v="1108"/>
    <n v="2"/>
    <n v="1.7"/>
    <n v="2.2999999999999998"/>
    <n v="0"/>
    <n v="4"/>
    <x v="1095"/>
    <x v="0"/>
    <x v="1652"/>
    <x v="940"/>
    <n v="10"/>
    <n v="14"/>
    <e v="#N/A"/>
  </r>
  <r>
    <n v="3242"/>
    <d v="2016-02-02T11:43:31"/>
    <d v="2016-02-02T11:58:30"/>
    <x v="0"/>
    <s v="Large"/>
    <m/>
    <x v="0"/>
    <n v="70804"/>
    <n v="0"/>
    <d v="2016-02-02T12:01:31"/>
    <n v="23.34"/>
    <x v="14"/>
    <n v="2"/>
    <n v="1"/>
    <n v="2.2999999999999998"/>
    <n v="0"/>
    <n v="3.3"/>
    <x v="0"/>
    <x v="0"/>
    <x v="0"/>
    <x v="0"/>
    <n v="7"/>
    <n v="14"/>
    <e v="#N/A"/>
  </r>
  <r>
    <n v="3243"/>
    <d v="2016-02-02T12:16:42"/>
    <d v="2016-02-02T12:31:40"/>
    <x v="2"/>
    <m/>
    <m/>
    <x v="1"/>
    <n v="70804"/>
    <n v="4.8683758362089096"/>
    <d v="2016-02-02T12:56:00"/>
    <n v="11.59"/>
    <x v="1109"/>
    <n v="1"/>
    <n v="1.7"/>
    <n v="0"/>
    <n v="0"/>
    <n v="1.7"/>
    <x v="1096"/>
    <x v="1"/>
    <x v="1653"/>
    <x v="0"/>
    <n v="10"/>
    <e v="#N/A"/>
    <e v="#N/A"/>
  </r>
  <r>
    <n v="3244"/>
    <d v="2016-02-02T11:16:15"/>
    <d v="2016-02-02T11:31:14"/>
    <x v="2"/>
    <m/>
    <m/>
    <x v="1"/>
    <n v="70804"/>
    <n v="2.98904440633215"/>
    <d v="2016-02-02T11:46:10"/>
    <n v="11.59"/>
    <x v="21"/>
    <n v="1"/>
    <n v="1.7"/>
    <n v="0"/>
    <n v="0"/>
    <n v="1.7"/>
    <x v="17"/>
    <x v="0"/>
    <x v="1654"/>
    <x v="941"/>
    <n v="10"/>
    <e v="#N/A"/>
    <e v="#N/A"/>
  </r>
  <r>
    <n v="3245"/>
    <d v="2016-02-02T12:38:20"/>
    <d v="2016-02-02T12:53:20"/>
    <x v="0"/>
    <s v="Medium"/>
    <m/>
    <x v="0"/>
    <n v="70805"/>
    <n v="0"/>
    <d v="2016-02-02T12:56:20"/>
    <n v="19.579999999999998"/>
    <x v="2"/>
    <n v="2"/>
    <n v="1"/>
    <n v="1.7"/>
    <n v="0"/>
    <n v="2.7"/>
    <x v="0"/>
    <x v="0"/>
    <x v="0"/>
    <x v="0"/>
    <n v="7"/>
    <n v="10"/>
    <e v="#N/A"/>
  </r>
  <r>
    <n v="3246"/>
    <d v="2016-02-02T11:20:05"/>
    <d v="2016-02-02T11:35:06"/>
    <x v="1"/>
    <m/>
    <m/>
    <x v="0"/>
    <n v="70805"/>
    <n v="0"/>
    <d v="2016-02-02T11:38:05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3247"/>
    <d v="2016-02-02T10:02:18"/>
    <d v="2016-02-02T10:17:18"/>
    <x v="1"/>
    <m/>
    <m/>
    <x v="0"/>
    <n v="70805"/>
    <n v="0"/>
    <d v="2016-02-02T10:20:17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3248"/>
    <d v="2016-02-02T10:03:08"/>
    <d v="2016-02-02T10:18:06"/>
    <x v="0"/>
    <s v="Large"/>
    <m/>
    <x v="0"/>
    <n v="70804"/>
    <n v="0"/>
    <d v="2016-02-02T10:21:06"/>
    <n v="23.34"/>
    <x v="2"/>
    <n v="2"/>
    <n v="1"/>
    <n v="2.2999999999999998"/>
    <n v="0"/>
    <n v="3.3"/>
    <x v="0"/>
    <x v="0"/>
    <x v="0"/>
    <x v="0"/>
    <n v="7"/>
    <n v="14"/>
    <e v="#N/A"/>
  </r>
  <r>
    <n v="3249"/>
    <d v="2016-02-02T13:36:45"/>
    <d v="2016-02-02T13:51:44"/>
    <x v="1"/>
    <m/>
    <m/>
    <x v="1"/>
    <n v="70806"/>
    <n v="3.40705007673539"/>
    <d v="2016-02-02T14:08:46"/>
    <n v="15.35"/>
    <x v="1110"/>
    <n v="1"/>
    <n v="2.2999999999999998"/>
    <n v="0"/>
    <n v="0"/>
    <n v="2.2999999999999998"/>
    <x v="1097"/>
    <x v="1"/>
    <x v="1655"/>
    <x v="0"/>
    <n v="14"/>
    <e v="#N/A"/>
    <e v="#N/A"/>
  </r>
  <r>
    <n v="3250"/>
    <d v="2016-02-02T13:48:37"/>
    <d v="2016-02-02T14:03:37"/>
    <x v="0"/>
    <s v="Medium"/>
    <m/>
    <x v="1"/>
    <n v="70806"/>
    <n v="1.4170104754903099"/>
    <d v="2016-02-02T14:10:42"/>
    <n v="19.579999999999998"/>
    <x v="1022"/>
    <n v="2"/>
    <n v="1"/>
    <n v="1.7"/>
    <n v="0"/>
    <n v="2.7"/>
    <x v="1009"/>
    <x v="0"/>
    <x v="1656"/>
    <x v="942"/>
    <n v="7"/>
    <n v="10"/>
    <e v="#N/A"/>
  </r>
  <r>
    <n v="3251"/>
    <d v="2016-02-02T12:17:08"/>
    <d v="2016-02-02T12:32:07"/>
    <x v="2"/>
    <m/>
    <m/>
    <x v="0"/>
    <n v="70805"/>
    <n v="0"/>
    <d v="2016-02-02T12:35:07"/>
    <n v="11.59"/>
    <x v="63"/>
    <n v="1"/>
    <n v="1.7"/>
    <n v="0"/>
    <n v="0"/>
    <n v="1.7"/>
    <x v="0"/>
    <x v="0"/>
    <x v="0"/>
    <x v="0"/>
    <n v="10"/>
    <e v="#N/A"/>
    <e v="#N/A"/>
  </r>
  <r>
    <n v="3252"/>
    <d v="2016-02-02T10:27:27"/>
    <d v="2016-02-02T10:42:25"/>
    <x v="1"/>
    <m/>
    <m/>
    <x v="0"/>
    <n v="70806"/>
    <n v="0"/>
    <d v="2016-02-02T10:45:24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3253"/>
    <d v="2016-02-02T11:26:37"/>
    <d v="2016-02-02T11:41:36"/>
    <x v="0"/>
    <m/>
    <m/>
    <x v="1"/>
    <n v="70804"/>
    <n v="2.97418615990625"/>
    <d v="2016-02-02T11:56:28"/>
    <n v="7.99"/>
    <x v="303"/>
    <n v="1"/>
    <n v="1"/>
    <n v="0"/>
    <n v="0"/>
    <n v="1"/>
    <x v="290"/>
    <x v="0"/>
    <x v="1657"/>
    <x v="943"/>
    <n v="7"/>
    <e v="#N/A"/>
    <e v="#N/A"/>
  </r>
  <r>
    <n v="3254"/>
    <d v="2016-02-02T11:33:17"/>
    <d v="2016-02-02T11:48:15"/>
    <x v="0"/>
    <m/>
    <m/>
    <x v="1"/>
    <n v="70804"/>
    <n v="3.85127727977176"/>
    <d v="2016-02-02T12:07:30"/>
    <n v="7.99"/>
    <x v="509"/>
    <n v="1"/>
    <n v="1"/>
    <n v="0"/>
    <n v="0"/>
    <n v="1"/>
    <x v="496"/>
    <x v="1"/>
    <x v="1658"/>
    <x v="0"/>
    <n v="7"/>
    <e v="#N/A"/>
    <e v="#N/A"/>
  </r>
  <r>
    <n v="3255"/>
    <d v="2016-02-02T11:39:39"/>
    <d v="2016-02-02T11:54:40"/>
    <x v="2"/>
    <m/>
    <m/>
    <x v="0"/>
    <n v="70803"/>
    <n v="0"/>
    <d v="2016-02-02T11:57:39"/>
    <n v="11.59"/>
    <x v="24"/>
    <n v="1"/>
    <n v="1.7"/>
    <n v="0"/>
    <n v="0"/>
    <n v="1.7"/>
    <x v="0"/>
    <x v="0"/>
    <x v="0"/>
    <x v="0"/>
    <n v="10"/>
    <e v="#N/A"/>
    <e v="#N/A"/>
  </r>
  <r>
    <n v="3256"/>
    <d v="2016-02-02T11:08:26"/>
    <d v="2016-02-02T11:23:27"/>
    <x v="0"/>
    <s v="Large"/>
    <m/>
    <x v="1"/>
    <n v="70803"/>
    <n v="2.9975002157594002"/>
    <d v="2016-02-02T11:38:26"/>
    <n v="23.34"/>
    <x v="615"/>
    <n v="2"/>
    <n v="1"/>
    <n v="2.2999999999999998"/>
    <n v="0"/>
    <n v="3.3"/>
    <x v="602"/>
    <x v="0"/>
    <x v="1659"/>
    <x v="944"/>
    <n v="7"/>
    <n v="14"/>
    <e v="#N/A"/>
  </r>
  <r>
    <n v="3257"/>
    <d v="2016-02-02T13:08:26"/>
    <d v="2016-02-02T13:23:25"/>
    <x v="0"/>
    <m/>
    <m/>
    <x v="0"/>
    <n v="70804"/>
    <n v="0"/>
    <d v="2016-02-02T13:26:25"/>
    <n v="7.99"/>
    <x v="2"/>
    <n v="1"/>
    <n v="1"/>
    <n v="0"/>
    <n v="0"/>
    <n v="1"/>
    <x v="0"/>
    <x v="0"/>
    <x v="0"/>
    <x v="0"/>
    <n v="7"/>
    <e v="#N/A"/>
    <e v="#N/A"/>
  </r>
  <r>
    <n v="3258"/>
    <d v="2016-02-02T10:38:23"/>
    <d v="2016-02-02T10:53:24"/>
    <x v="1"/>
    <m/>
    <m/>
    <x v="0"/>
    <n v="70808"/>
    <n v="0"/>
    <d v="2016-02-02T10:56:23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3259"/>
    <d v="2016-02-02T11:10:35"/>
    <d v="2016-02-02T11:25:35"/>
    <x v="1"/>
    <m/>
    <m/>
    <x v="1"/>
    <n v="70806"/>
    <n v="1.98171236184902"/>
    <d v="2016-02-02T11:35:29"/>
    <n v="15.35"/>
    <x v="123"/>
    <n v="1"/>
    <n v="2.2999999999999998"/>
    <n v="0"/>
    <n v="0"/>
    <n v="2.2999999999999998"/>
    <x v="113"/>
    <x v="0"/>
    <x v="1660"/>
    <x v="945"/>
    <n v="14"/>
    <e v="#N/A"/>
    <e v="#N/A"/>
  </r>
  <r>
    <n v="3260"/>
    <d v="2016-02-02T12:38:50"/>
    <d v="2016-02-02T12:53:50"/>
    <x v="0"/>
    <s v="Medium"/>
    <m/>
    <x v="0"/>
    <n v="70803"/>
    <n v="0"/>
    <d v="2016-02-02T12:56:50"/>
    <n v="19.579999999999998"/>
    <x v="2"/>
    <n v="2"/>
    <n v="1"/>
    <n v="1.7"/>
    <n v="0"/>
    <n v="2.7"/>
    <x v="0"/>
    <x v="0"/>
    <x v="0"/>
    <x v="0"/>
    <n v="7"/>
    <n v="10"/>
    <e v="#N/A"/>
  </r>
  <r>
    <n v="3261"/>
    <d v="2016-02-02T12:19:28"/>
    <d v="2016-02-02T12:34:27"/>
    <x v="0"/>
    <m/>
    <m/>
    <x v="1"/>
    <n v="70804"/>
    <n v="3.23058154826693"/>
    <d v="2016-02-02T12:50:36"/>
    <n v="7.99"/>
    <x v="987"/>
    <n v="1"/>
    <n v="1"/>
    <n v="0"/>
    <n v="0"/>
    <n v="1"/>
    <x v="974"/>
    <x v="1"/>
    <x v="1661"/>
    <x v="0"/>
    <n v="7"/>
    <e v="#N/A"/>
    <e v="#N/A"/>
  </r>
  <r>
    <n v="3262"/>
    <d v="2016-02-02T10:04:06"/>
    <d v="2016-02-02T10:19:06"/>
    <x v="0"/>
    <s v="Medium"/>
    <m/>
    <x v="1"/>
    <n v="70804"/>
    <n v="4.3314551731831203"/>
    <d v="2016-02-02T10:40:45"/>
    <n v="19.579999999999998"/>
    <x v="1111"/>
    <n v="2"/>
    <n v="1"/>
    <n v="1.7"/>
    <n v="0"/>
    <n v="2.7"/>
    <x v="1098"/>
    <x v="1"/>
    <x v="1662"/>
    <x v="0"/>
    <n v="7"/>
    <n v="10"/>
    <e v="#N/A"/>
  </r>
  <r>
    <n v="3263"/>
    <d v="2016-02-02T10:49:25"/>
    <d v="2016-02-02T11:04:25"/>
    <x v="0"/>
    <s v="Medium"/>
    <m/>
    <x v="0"/>
    <n v="70804"/>
    <n v="0"/>
    <d v="2016-02-02T11:07:23"/>
    <n v="19.579999999999998"/>
    <x v="0"/>
    <n v="2"/>
    <n v="1"/>
    <n v="1.7"/>
    <n v="0"/>
    <n v="2.7"/>
    <x v="0"/>
    <x v="0"/>
    <x v="0"/>
    <x v="0"/>
    <n v="7"/>
    <n v="10"/>
    <e v="#N/A"/>
  </r>
  <r>
    <n v="3264"/>
    <d v="2016-02-02T13:54:30"/>
    <d v="2016-02-02T14:09:32"/>
    <x v="0"/>
    <m/>
    <m/>
    <x v="1"/>
    <n v="70804"/>
    <n v="3.2330839306852299"/>
    <d v="2016-02-02T14:25:41"/>
    <n v="7.99"/>
    <x v="987"/>
    <n v="1"/>
    <n v="1"/>
    <n v="0"/>
    <n v="0"/>
    <n v="1"/>
    <x v="974"/>
    <x v="1"/>
    <x v="1663"/>
    <x v="0"/>
    <n v="7"/>
    <e v="#N/A"/>
    <e v="#N/A"/>
  </r>
  <r>
    <n v="3265"/>
    <d v="2016-02-02T12:01:12"/>
    <d v="2016-02-02T12:16:12"/>
    <x v="2"/>
    <m/>
    <m/>
    <x v="1"/>
    <n v="70805"/>
    <n v="1.42623970946064"/>
    <d v="2016-02-02T12:23:19"/>
    <n v="11.59"/>
    <x v="98"/>
    <n v="1"/>
    <n v="1.7"/>
    <n v="0"/>
    <n v="0"/>
    <n v="1.7"/>
    <x v="89"/>
    <x v="0"/>
    <x v="1664"/>
    <x v="946"/>
    <n v="10"/>
    <e v="#N/A"/>
    <e v="#N/A"/>
  </r>
  <r>
    <n v="3266"/>
    <d v="2016-02-02T12:38:24"/>
    <d v="2016-02-02T12:53:23"/>
    <x v="0"/>
    <s v="Medium"/>
    <m/>
    <x v="1"/>
    <n v="70807"/>
    <n v="2.9417455045654699"/>
    <d v="2016-02-02T13:08:05"/>
    <n v="19.579999999999998"/>
    <x v="1112"/>
    <n v="2"/>
    <n v="1"/>
    <n v="1.7"/>
    <n v="0"/>
    <n v="2.7"/>
    <x v="1099"/>
    <x v="0"/>
    <x v="1665"/>
    <x v="947"/>
    <n v="7"/>
    <n v="10"/>
    <e v="#N/A"/>
  </r>
  <r>
    <n v="3267"/>
    <d v="2016-02-02T13:26:49"/>
    <d v="2016-02-02T13:41:48"/>
    <x v="1"/>
    <m/>
    <m/>
    <x v="0"/>
    <n v="70803"/>
    <n v="0"/>
    <d v="2016-02-02T13:44:47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3268"/>
    <d v="2016-02-02T10:48:24"/>
    <d v="2016-02-02T11:03:23"/>
    <x v="0"/>
    <s v="Medium"/>
    <m/>
    <x v="0"/>
    <n v="70807"/>
    <n v="0"/>
    <d v="2016-02-02T11:06:23"/>
    <n v="19.579999999999998"/>
    <x v="2"/>
    <n v="2"/>
    <n v="1"/>
    <n v="1.7"/>
    <n v="0"/>
    <n v="2.7"/>
    <x v="0"/>
    <x v="0"/>
    <x v="0"/>
    <x v="0"/>
    <n v="7"/>
    <n v="10"/>
    <e v="#N/A"/>
  </r>
  <r>
    <n v="3269"/>
    <d v="2016-02-02T13:17:52"/>
    <d v="2016-02-02T13:32:51"/>
    <x v="2"/>
    <s v="Large"/>
    <m/>
    <x v="0"/>
    <n v="70804"/>
    <n v="0"/>
    <d v="2016-02-02T13:35:52"/>
    <n v="25.94"/>
    <x v="14"/>
    <n v="2"/>
    <n v="1.7"/>
    <n v="2.2999999999999998"/>
    <n v="0"/>
    <n v="4"/>
    <x v="0"/>
    <x v="0"/>
    <x v="0"/>
    <x v="0"/>
    <n v="10"/>
    <n v="14"/>
    <e v="#N/A"/>
  </r>
  <r>
    <n v="3270"/>
    <d v="2016-02-02T10:44:19"/>
    <d v="2016-02-02T10:59:20"/>
    <x v="0"/>
    <s v="Medium"/>
    <m/>
    <x v="0"/>
    <n v="70806"/>
    <n v="0"/>
    <d v="2016-02-02T11:02:18"/>
    <n v="19.579999999999998"/>
    <x v="19"/>
    <n v="2"/>
    <n v="1"/>
    <n v="1.7"/>
    <n v="0"/>
    <n v="2.7"/>
    <x v="0"/>
    <x v="0"/>
    <x v="0"/>
    <x v="0"/>
    <n v="7"/>
    <n v="10"/>
    <e v="#N/A"/>
  </r>
  <r>
    <n v="3271"/>
    <d v="2016-02-02T13:35:16"/>
    <d v="2016-02-02T13:50:16"/>
    <x v="2"/>
    <m/>
    <m/>
    <x v="0"/>
    <n v="70806"/>
    <n v="0"/>
    <d v="2016-02-02T13:53:15"/>
    <n v="11.59"/>
    <x v="24"/>
    <n v="1"/>
    <n v="1.7"/>
    <n v="0"/>
    <n v="0"/>
    <n v="1.7"/>
    <x v="0"/>
    <x v="0"/>
    <x v="0"/>
    <x v="0"/>
    <n v="10"/>
    <e v="#N/A"/>
    <e v="#N/A"/>
  </r>
  <r>
    <n v="3272"/>
    <d v="2016-02-02T13:49:56"/>
    <d v="2016-02-02T14:04:57"/>
    <x v="0"/>
    <s v="Medium"/>
    <m/>
    <x v="1"/>
    <n v="70806"/>
    <n v="2.3607194172724002"/>
    <d v="2016-02-02T14:16:45"/>
    <n v="19.579999999999998"/>
    <x v="829"/>
    <n v="2"/>
    <n v="1"/>
    <n v="1.7"/>
    <n v="0"/>
    <n v="2.7"/>
    <x v="816"/>
    <x v="0"/>
    <x v="1666"/>
    <x v="948"/>
    <n v="7"/>
    <n v="10"/>
    <e v="#N/A"/>
  </r>
  <r>
    <n v="3273"/>
    <d v="2016-02-02T12:21:30"/>
    <d v="2016-02-02T12:36:28"/>
    <x v="1"/>
    <m/>
    <m/>
    <x v="0"/>
    <n v="70806"/>
    <n v="0"/>
    <d v="2016-02-02T12:39:28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3274"/>
    <d v="2016-02-02T11:27:36"/>
    <d v="2016-02-02T11:42:36"/>
    <x v="1"/>
    <m/>
    <m/>
    <x v="1"/>
    <n v="70805"/>
    <n v="3.44614709342616"/>
    <d v="2016-02-02T11:59:49"/>
    <n v="15.35"/>
    <x v="1113"/>
    <n v="1"/>
    <n v="2.2999999999999998"/>
    <n v="0"/>
    <n v="0"/>
    <n v="2.2999999999999998"/>
    <x v="1100"/>
    <x v="1"/>
    <x v="1667"/>
    <x v="0"/>
    <n v="14"/>
    <e v="#N/A"/>
    <e v="#N/A"/>
  </r>
  <r>
    <n v="3275"/>
    <d v="2016-02-02T12:30:15"/>
    <d v="2016-02-02T12:45:14"/>
    <x v="1"/>
    <m/>
    <m/>
    <x v="1"/>
    <n v="70804"/>
    <n v="1.5764387579551999"/>
    <d v="2016-02-02T12:53:06"/>
    <n v="15.35"/>
    <x v="1114"/>
    <n v="1"/>
    <n v="2.2999999999999998"/>
    <n v="0"/>
    <n v="0"/>
    <n v="2.2999999999999998"/>
    <x v="1101"/>
    <x v="0"/>
    <x v="1668"/>
    <x v="949"/>
    <n v="14"/>
    <e v="#N/A"/>
    <e v="#N/A"/>
  </r>
  <r>
    <n v="3276"/>
    <d v="2016-02-02T14:44:14"/>
    <d v="2016-02-02T14:59:14"/>
    <x v="2"/>
    <m/>
    <m/>
    <x v="1"/>
    <n v="70803"/>
    <n v="2.4732927363472101"/>
    <d v="2016-02-02T15:11:35"/>
    <n v="11.59"/>
    <x v="1115"/>
    <n v="1"/>
    <n v="1.7"/>
    <n v="0"/>
    <n v="0"/>
    <n v="1.7"/>
    <x v="1102"/>
    <x v="0"/>
    <x v="1669"/>
    <x v="950"/>
    <n v="10"/>
    <e v="#N/A"/>
    <e v="#N/A"/>
  </r>
  <r>
    <n v="3277"/>
    <d v="2016-02-02T10:43:45"/>
    <d v="2016-02-02T10:58:45"/>
    <x v="1"/>
    <m/>
    <m/>
    <x v="1"/>
    <n v="70805"/>
    <n v="2.1877003322863899"/>
    <d v="2016-02-02T11:09:41"/>
    <n v="15.35"/>
    <x v="1116"/>
    <n v="1"/>
    <n v="2.2999999999999998"/>
    <n v="0"/>
    <n v="0"/>
    <n v="2.2999999999999998"/>
    <x v="1103"/>
    <x v="0"/>
    <x v="1670"/>
    <x v="951"/>
    <n v="14"/>
    <e v="#N/A"/>
    <e v="#N/A"/>
  </r>
  <r>
    <n v="3278"/>
    <d v="2016-02-02T12:53:26"/>
    <d v="2016-02-02T13:08:24"/>
    <x v="0"/>
    <s v="Medium"/>
    <m/>
    <x v="0"/>
    <n v="70804"/>
    <n v="0"/>
    <d v="2016-02-02T13:11:24"/>
    <n v="19.579999999999998"/>
    <x v="2"/>
    <n v="2"/>
    <n v="1"/>
    <n v="1.7"/>
    <n v="0"/>
    <n v="2.7"/>
    <x v="0"/>
    <x v="0"/>
    <x v="0"/>
    <x v="0"/>
    <n v="7"/>
    <n v="10"/>
    <e v="#N/A"/>
  </r>
  <r>
    <n v="3279"/>
    <d v="2016-02-02T10:22:27"/>
    <d v="2016-02-02T10:37:25"/>
    <x v="0"/>
    <m/>
    <m/>
    <x v="1"/>
    <n v="70804"/>
    <n v="2.7212966179887301"/>
    <d v="2016-02-02T10:51:01"/>
    <n v="7.99"/>
    <x v="1117"/>
    <n v="1"/>
    <n v="1"/>
    <n v="0"/>
    <n v="0"/>
    <n v="1"/>
    <x v="1104"/>
    <x v="0"/>
    <x v="1671"/>
    <x v="952"/>
    <n v="7"/>
    <e v="#N/A"/>
    <e v="#N/A"/>
  </r>
  <r>
    <n v="3280"/>
    <d v="2016-02-02T12:31:24"/>
    <d v="2016-02-02T12:46:22"/>
    <x v="1"/>
    <m/>
    <m/>
    <x v="0"/>
    <n v="70806"/>
    <n v="0"/>
    <d v="2016-02-02T12:49:20"/>
    <n v="15.35"/>
    <x v="19"/>
    <n v="1"/>
    <n v="2.2999999999999998"/>
    <n v="0"/>
    <n v="0"/>
    <n v="2.2999999999999998"/>
    <x v="0"/>
    <x v="0"/>
    <x v="0"/>
    <x v="0"/>
    <n v="14"/>
    <e v="#N/A"/>
    <e v="#N/A"/>
  </r>
  <r>
    <n v="3281"/>
    <d v="2016-02-02T12:35:25"/>
    <d v="2016-02-02T12:50:25"/>
    <x v="0"/>
    <s v="Large"/>
    <m/>
    <x v="1"/>
    <n v="70804"/>
    <n v="2.6082932658503402"/>
    <d v="2016-02-02T13:03:27"/>
    <n v="23.34"/>
    <x v="1118"/>
    <n v="2"/>
    <n v="1"/>
    <n v="2.2999999999999998"/>
    <n v="0"/>
    <n v="3.3"/>
    <x v="1105"/>
    <x v="0"/>
    <x v="1672"/>
    <x v="953"/>
    <n v="7"/>
    <n v="14"/>
    <e v="#N/A"/>
  </r>
  <r>
    <n v="3282"/>
    <d v="2016-02-02T12:52:01"/>
    <d v="2016-02-02T13:06:58"/>
    <x v="1"/>
    <m/>
    <m/>
    <x v="1"/>
    <n v="70804"/>
    <n v="3.4252237376477201"/>
    <d v="2016-02-02T13:24:05"/>
    <n v="15.35"/>
    <x v="826"/>
    <n v="1"/>
    <n v="2.2999999999999998"/>
    <n v="0"/>
    <n v="0"/>
    <n v="2.2999999999999998"/>
    <x v="813"/>
    <x v="1"/>
    <x v="1673"/>
    <x v="0"/>
    <n v="14"/>
    <e v="#N/A"/>
    <e v="#N/A"/>
  </r>
  <r>
    <n v="3283"/>
    <d v="2016-02-02T11:10:37"/>
    <d v="2016-02-02T11:25:37"/>
    <x v="2"/>
    <m/>
    <m/>
    <x v="1"/>
    <n v="70804"/>
    <n v="3.6345231516709902"/>
    <d v="2016-02-02T11:43:47"/>
    <n v="11.59"/>
    <x v="1097"/>
    <n v="1"/>
    <n v="1.7"/>
    <n v="0"/>
    <n v="0"/>
    <n v="1.7"/>
    <x v="1084"/>
    <x v="1"/>
    <x v="1674"/>
    <x v="0"/>
    <n v="10"/>
    <e v="#N/A"/>
    <e v="#N/A"/>
  </r>
  <r>
    <n v="3284"/>
    <d v="2016-02-02T11:51:32"/>
    <d v="2016-02-02T12:06:33"/>
    <x v="1"/>
    <m/>
    <m/>
    <x v="0"/>
    <n v="70806"/>
    <n v="0"/>
    <d v="2016-02-02T12:09:33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3285"/>
    <d v="2016-02-02T13:27:29"/>
    <d v="2016-02-02T13:42:29"/>
    <x v="1"/>
    <m/>
    <m/>
    <x v="0"/>
    <n v="70807"/>
    <n v="0"/>
    <d v="2016-02-02T13:45:28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3286"/>
    <d v="2016-02-02T10:11:12"/>
    <d v="2016-02-02T10:26:13"/>
    <x v="0"/>
    <m/>
    <m/>
    <x v="0"/>
    <n v="70804"/>
    <n v="0"/>
    <d v="2016-02-02T10:29:12"/>
    <n v="7.99"/>
    <x v="1"/>
    <n v="1"/>
    <n v="1"/>
    <n v="0"/>
    <n v="0"/>
    <n v="1"/>
    <x v="0"/>
    <x v="0"/>
    <x v="0"/>
    <x v="0"/>
    <n v="7"/>
    <e v="#N/A"/>
    <e v="#N/A"/>
  </r>
  <r>
    <n v="3287"/>
    <d v="2016-02-02T13:04:41"/>
    <d v="2016-02-02T13:19:43"/>
    <x v="2"/>
    <m/>
    <m/>
    <x v="1"/>
    <n v="70804"/>
    <n v="2.6532500533523802"/>
    <d v="2016-02-02T13:32:58"/>
    <n v="11.59"/>
    <x v="1119"/>
    <n v="1"/>
    <n v="1.7"/>
    <n v="0"/>
    <n v="0"/>
    <n v="1.7"/>
    <x v="1106"/>
    <x v="0"/>
    <x v="1675"/>
    <x v="954"/>
    <n v="10"/>
    <e v="#N/A"/>
    <e v="#N/A"/>
  </r>
  <r>
    <n v="3288"/>
    <d v="2016-02-02T11:47:04"/>
    <d v="2016-02-02T12:02:05"/>
    <x v="1"/>
    <m/>
    <m/>
    <x v="1"/>
    <n v="70805"/>
    <n v="4.1709091151546804"/>
    <d v="2016-02-02T12:22:56"/>
    <n v="15.35"/>
    <x v="1120"/>
    <n v="1"/>
    <n v="2.2999999999999998"/>
    <n v="0"/>
    <n v="0"/>
    <n v="2.2999999999999998"/>
    <x v="1107"/>
    <x v="1"/>
    <x v="1676"/>
    <x v="0"/>
    <n v="14"/>
    <e v="#N/A"/>
    <e v="#N/A"/>
  </r>
  <r>
    <n v="3289"/>
    <d v="2016-02-02T11:43:27"/>
    <d v="2016-02-02T11:58:28"/>
    <x v="0"/>
    <s v="Medium"/>
    <m/>
    <x v="1"/>
    <n v="70806"/>
    <n v="4.8189000938419699"/>
    <d v="2016-02-02T12:22:33"/>
    <n v="19.579999999999998"/>
    <x v="6"/>
    <n v="2"/>
    <n v="1"/>
    <n v="1.7"/>
    <n v="0"/>
    <n v="2.7"/>
    <x v="4"/>
    <x v="1"/>
    <x v="1677"/>
    <x v="0"/>
    <n v="7"/>
    <n v="10"/>
    <e v="#N/A"/>
  </r>
  <r>
    <n v="3290"/>
    <d v="2016-02-02T11:28:16"/>
    <d v="2016-02-02T11:43:15"/>
    <x v="0"/>
    <s v="Medium"/>
    <m/>
    <x v="1"/>
    <n v="70805"/>
    <n v="2.3586974555112401"/>
    <d v="2016-02-02T11:55:02"/>
    <n v="19.579999999999998"/>
    <x v="4"/>
    <n v="2"/>
    <n v="1"/>
    <n v="1.7"/>
    <n v="0"/>
    <n v="2.7"/>
    <x v="2"/>
    <x v="0"/>
    <x v="1678"/>
    <x v="955"/>
    <n v="7"/>
    <n v="10"/>
    <e v="#N/A"/>
  </r>
  <r>
    <n v="3291"/>
    <d v="2016-02-02T11:59:38"/>
    <d v="2016-02-02T12:14:37"/>
    <x v="2"/>
    <m/>
    <m/>
    <x v="1"/>
    <n v="70805"/>
    <n v="4.2616645549764103"/>
    <d v="2016-02-02T12:35:55"/>
    <n v="11.59"/>
    <x v="948"/>
    <n v="1"/>
    <n v="1.7"/>
    <n v="0"/>
    <n v="0"/>
    <n v="1.7"/>
    <x v="935"/>
    <x v="1"/>
    <x v="1679"/>
    <x v="0"/>
    <n v="10"/>
    <e v="#N/A"/>
    <e v="#N/A"/>
  </r>
  <r>
    <n v="3292"/>
    <d v="2016-02-02T12:43:26"/>
    <d v="2016-02-02T12:58:23"/>
    <x v="2"/>
    <m/>
    <m/>
    <x v="0"/>
    <n v="70805"/>
    <n v="0"/>
    <d v="2016-02-02T13:01:21"/>
    <n v="11.59"/>
    <x v="0"/>
    <n v="1"/>
    <n v="1.7"/>
    <n v="0"/>
    <n v="0"/>
    <n v="1.7"/>
    <x v="0"/>
    <x v="0"/>
    <x v="0"/>
    <x v="0"/>
    <n v="10"/>
    <e v="#N/A"/>
    <e v="#N/A"/>
  </r>
  <r>
    <n v="3293"/>
    <d v="2016-02-02T12:13:13"/>
    <d v="2016-02-02T12:28:12"/>
    <x v="1"/>
    <m/>
    <m/>
    <x v="1"/>
    <n v="70805"/>
    <n v="1.98584184716204"/>
    <d v="2016-02-02T12:38:07"/>
    <n v="15.35"/>
    <x v="1121"/>
    <n v="1"/>
    <n v="2.2999999999999998"/>
    <n v="0"/>
    <n v="0"/>
    <n v="2.2999999999999998"/>
    <x v="1108"/>
    <x v="0"/>
    <x v="1680"/>
    <x v="956"/>
    <n v="14"/>
    <e v="#N/A"/>
    <e v="#N/A"/>
  </r>
  <r>
    <n v="3294"/>
    <d v="2016-02-02T14:28:47"/>
    <d v="2016-02-02T14:43:48"/>
    <x v="1"/>
    <m/>
    <m/>
    <x v="0"/>
    <n v="70806"/>
    <n v="0"/>
    <d v="2016-02-02T14:46:48"/>
    <n v="15.35"/>
    <x v="63"/>
    <n v="1"/>
    <n v="2.2999999999999998"/>
    <n v="0"/>
    <n v="0"/>
    <n v="2.2999999999999998"/>
    <x v="0"/>
    <x v="0"/>
    <x v="0"/>
    <x v="0"/>
    <n v="14"/>
    <e v="#N/A"/>
    <e v="#N/A"/>
  </r>
  <r>
    <n v="3295"/>
    <d v="2016-02-02T12:36:12"/>
    <d v="2016-02-02T12:51:12"/>
    <x v="0"/>
    <m/>
    <m/>
    <x v="0"/>
    <n v="70803"/>
    <n v="0"/>
    <d v="2016-02-02T12:54:12"/>
    <n v="7.99"/>
    <x v="2"/>
    <n v="1"/>
    <n v="1"/>
    <n v="0"/>
    <n v="0"/>
    <n v="1"/>
    <x v="0"/>
    <x v="0"/>
    <x v="0"/>
    <x v="0"/>
    <n v="7"/>
    <e v="#N/A"/>
    <e v="#N/A"/>
  </r>
  <r>
    <n v="3296"/>
    <d v="2016-02-02T12:29:37"/>
    <d v="2016-02-02T12:44:36"/>
    <x v="2"/>
    <m/>
    <m/>
    <x v="0"/>
    <n v="70805"/>
    <n v="0"/>
    <d v="2016-02-02T12:47:35"/>
    <n v="11.59"/>
    <x v="24"/>
    <n v="1"/>
    <n v="1.7"/>
    <n v="0"/>
    <n v="0"/>
    <n v="1.7"/>
    <x v="0"/>
    <x v="0"/>
    <x v="0"/>
    <x v="0"/>
    <n v="10"/>
    <e v="#N/A"/>
    <e v="#N/A"/>
  </r>
  <r>
    <n v="3297"/>
    <d v="2016-02-02T12:55:02"/>
    <d v="2016-02-02T13:10:00"/>
    <x v="2"/>
    <m/>
    <m/>
    <x v="0"/>
    <n v="70804"/>
    <n v="0"/>
    <d v="2016-02-02T13:13:00"/>
    <n v="11.59"/>
    <x v="2"/>
    <n v="1"/>
    <n v="1.7"/>
    <n v="0"/>
    <n v="0"/>
    <n v="1.7"/>
    <x v="0"/>
    <x v="0"/>
    <x v="0"/>
    <x v="0"/>
    <n v="10"/>
    <e v="#N/A"/>
    <e v="#N/A"/>
  </r>
  <r>
    <n v="3298"/>
    <d v="2016-02-02T10:30:34"/>
    <d v="2016-02-02T10:45:35"/>
    <x v="1"/>
    <m/>
    <m/>
    <x v="0"/>
    <n v="70805"/>
    <n v="0"/>
    <d v="2016-02-02T10:48:33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3299"/>
    <d v="2016-02-02T12:33:51"/>
    <d v="2016-02-02T12:48:49"/>
    <x v="2"/>
    <s v="Large"/>
    <m/>
    <x v="1"/>
    <n v="70808"/>
    <n v="1.2880421046233701"/>
    <d v="2016-02-02T12:55:15"/>
    <n v="25.94"/>
    <x v="966"/>
    <n v="2"/>
    <n v="1.7"/>
    <n v="2.2999999999999998"/>
    <n v="0"/>
    <n v="4"/>
    <x v="953"/>
    <x v="0"/>
    <x v="1681"/>
    <x v="957"/>
    <n v="10"/>
    <n v="14"/>
    <e v="#N/A"/>
  </r>
  <r>
    <n v="3300"/>
    <d v="2016-02-02T11:49:15"/>
    <d v="2016-02-02T12:04:15"/>
    <x v="0"/>
    <m/>
    <m/>
    <x v="1"/>
    <n v="70806"/>
    <n v="3.7793599637614301"/>
    <d v="2016-02-02T12:23:08"/>
    <n v="7.99"/>
    <x v="1122"/>
    <n v="1"/>
    <n v="1"/>
    <n v="0"/>
    <n v="0"/>
    <n v="1"/>
    <x v="1109"/>
    <x v="1"/>
    <x v="1682"/>
    <x v="0"/>
    <n v="7"/>
    <e v="#N/A"/>
    <e v="#N/A"/>
  </r>
  <r>
    <n v="3301"/>
    <d v="2016-02-02T10:44:44"/>
    <d v="2016-02-02T10:59:42"/>
    <x v="1"/>
    <m/>
    <m/>
    <x v="1"/>
    <n v="70804"/>
    <n v="2.7725580958909899"/>
    <d v="2016-02-02T11:13:33"/>
    <n v="15.35"/>
    <x v="1123"/>
    <n v="1"/>
    <n v="2.2999999999999998"/>
    <n v="0"/>
    <n v="0"/>
    <n v="2.2999999999999998"/>
    <x v="1110"/>
    <x v="0"/>
    <x v="1683"/>
    <x v="958"/>
    <n v="14"/>
    <e v="#N/A"/>
    <e v="#N/A"/>
  </r>
  <r>
    <n v="3302"/>
    <d v="2016-02-02T13:20:16"/>
    <d v="2016-02-02T13:35:16"/>
    <x v="2"/>
    <m/>
    <m/>
    <x v="0"/>
    <n v="70803"/>
    <n v="0"/>
    <d v="2016-02-02T13:38:16"/>
    <n v="11.59"/>
    <x v="63"/>
    <n v="1"/>
    <n v="1.7"/>
    <n v="0"/>
    <n v="0"/>
    <n v="1.7"/>
    <x v="0"/>
    <x v="0"/>
    <x v="0"/>
    <x v="0"/>
    <n v="10"/>
    <e v="#N/A"/>
    <e v="#N/A"/>
  </r>
  <r>
    <n v="3303"/>
    <d v="2016-02-02T14:19:09"/>
    <d v="2016-02-02T14:34:07"/>
    <x v="0"/>
    <s v="Medium"/>
    <m/>
    <x v="1"/>
    <n v="70803"/>
    <n v="3.4609365232549099"/>
    <d v="2016-02-02T14:51:25"/>
    <n v="19.579999999999998"/>
    <x v="1124"/>
    <n v="2"/>
    <n v="1"/>
    <n v="1.7"/>
    <n v="0"/>
    <n v="2.7"/>
    <x v="1111"/>
    <x v="1"/>
    <x v="1684"/>
    <x v="0"/>
    <n v="7"/>
    <n v="10"/>
    <e v="#N/A"/>
  </r>
  <r>
    <n v="3304"/>
    <d v="2016-02-02T11:55:36"/>
    <d v="2016-02-02T12:10:36"/>
    <x v="0"/>
    <m/>
    <m/>
    <x v="1"/>
    <n v="70805"/>
    <n v="2.7151317297755799"/>
    <d v="2016-02-02T12:24:10"/>
    <n v="7.99"/>
    <x v="761"/>
    <n v="1"/>
    <n v="1"/>
    <n v="0"/>
    <n v="0"/>
    <n v="1"/>
    <x v="748"/>
    <x v="0"/>
    <x v="1685"/>
    <x v="959"/>
    <n v="7"/>
    <e v="#N/A"/>
    <e v="#N/A"/>
  </r>
  <r>
    <n v="3305"/>
    <d v="2016-02-02T11:50:20"/>
    <d v="2016-02-02T12:05:20"/>
    <x v="0"/>
    <m/>
    <m/>
    <x v="0"/>
    <n v="70803"/>
    <n v="0"/>
    <d v="2016-02-02T12:08:19"/>
    <n v="7.99"/>
    <x v="24"/>
    <n v="1"/>
    <n v="1"/>
    <n v="0"/>
    <n v="0"/>
    <n v="1"/>
    <x v="0"/>
    <x v="0"/>
    <x v="0"/>
    <x v="0"/>
    <n v="7"/>
    <e v="#N/A"/>
    <e v="#N/A"/>
  </r>
  <r>
    <n v="3306"/>
    <d v="2016-02-02T14:48:20"/>
    <d v="2016-02-02T15:03:18"/>
    <x v="0"/>
    <s v="Medium"/>
    <m/>
    <x v="0"/>
    <n v="70805"/>
    <n v="0"/>
    <d v="2016-02-02T15:06:17"/>
    <n v="19.579999999999998"/>
    <x v="1"/>
    <n v="2"/>
    <n v="1"/>
    <n v="1.7"/>
    <n v="0"/>
    <n v="2.7"/>
    <x v="0"/>
    <x v="0"/>
    <x v="0"/>
    <x v="0"/>
    <n v="7"/>
    <n v="10"/>
    <e v="#N/A"/>
  </r>
  <r>
    <n v="3307"/>
    <d v="2016-02-03T11:21:28"/>
    <d v="2016-02-03T11:36:26"/>
    <x v="0"/>
    <m/>
    <m/>
    <x v="1"/>
    <n v="70805"/>
    <n v="2.8500741432563501"/>
    <d v="2016-02-03T11:50:41"/>
    <n v="7.99"/>
    <x v="974"/>
    <n v="1"/>
    <n v="1"/>
    <n v="0"/>
    <n v="0"/>
    <n v="1"/>
    <x v="961"/>
    <x v="0"/>
    <x v="1686"/>
    <x v="960"/>
    <n v="7"/>
    <e v="#N/A"/>
    <e v="#N/A"/>
  </r>
  <r>
    <n v="3308"/>
    <d v="2016-02-03T11:40:36"/>
    <d v="2016-02-03T11:55:35"/>
    <x v="0"/>
    <s v="Large"/>
    <m/>
    <x v="1"/>
    <n v="70805"/>
    <n v="2.8340444110218601"/>
    <d v="2016-02-03T12:09:45"/>
    <n v="23.34"/>
    <x v="955"/>
    <n v="2"/>
    <n v="1"/>
    <n v="2.2999999999999998"/>
    <n v="0"/>
    <n v="3.3"/>
    <x v="942"/>
    <x v="0"/>
    <x v="1687"/>
    <x v="961"/>
    <n v="7"/>
    <n v="14"/>
    <e v="#N/A"/>
  </r>
  <r>
    <n v="3309"/>
    <d v="2016-02-03T12:20:57"/>
    <d v="2016-02-03T12:35:56"/>
    <x v="2"/>
    <m/>
    <m/>
    <x v="0"/>
    <n v="70805"/>
    <n v="0"/>
    <d v="2016-02-03T12:38:56"/>
    <n v="11.59"/>
    <x v="2"/>
    <n v="1"/>
    <n v="1.7"/>
    <n v="0"/>
    <n v="0"/>
    <n v="1.7"/>
    <x v="0"/>
    <x v="0"/>
    <x v="0"/>
    <x v="0"/>
    <n v="10"/>
    <e v="#N/A"/>
    <e v="#N/A"/>
  </r>
  <r>
    <n v="3310"/>
    <d v="2016-02-03T13:45:17"/>
    <d v="2016-02-03T14:00:16"/>
    <x v="1"/>
    <m/>
    <m/>
    <x v="0"/>
    <n v="70806"/>
    <n v="0"/>
    <d v="2016-02-03T14:03:15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3311"/>
    <d v="2016-02-03T13:36:38"/>
    <d v="2016-02-03T13:51:38"/>
    <x v="1"/>
    <m/>
    <m/>
    <x v="0"/>
    <n v="70805"/>
    <n v="0"/>
    <d v="2016-02-03T13:54:37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3312"/>
    <d v="2016-02-03T11:20:12"/>
    <d v="2016-02-03T11:35:11"/>
    <x v="0"/>
    <m/>
    <m/>
    <x v="0"/>
    <n v="70806"/>
    <n v="0"/>
    <d v="2016-02-03T11:38:11"/>
    <n v="7.99"/>
    <x v="2"/>
    <n v="1"/>
    <n v="1"/>
    <n v="0"/>
    <n v="0"/>
    <n v="1"/>
    <x v="0"/>
    <x v="0"/>
    <x v="0"/>
    <x v="0"/>
    <n v="7"/>
    <e v="#N/A"/>
    <e v="#N/A"/>
  </r>
  <r>
    <n v="3313"/>
    <d v="2016-02-03T11:03:41"/>
    <d v="2016-02-03T11:18:41"/>
    <x v="2"/>
    <m/>
    <m/>
    <x v="0"/>
    <n v="70806"/>
    <n v="0"/>
    <d v="2016-02-03T11:21:41"/>
    <n v="11.59"/>
    <x v="2"/>
    <n v="1"/>
    <n v="1.7"/>
    <n v="0"/>
    <n v="0"/>
    <n v="1.7"/>
    <x v="0"/>
    <x v="0"/>
    <x v="0"/>
    <x v="0"/>
    <n v="10"/>
    <e v="#N/A"/>
    <e v="#N/A"/>
  </r>
  <r>
    <n v="3314"/>
    <d v="2016-02-03T12:50:39"/>
    <d v="2016-02-03T13:05:39"/>
    <x v="2"/>
    <s v="Large"/>
    <m/>
    <x v="1"/>
    <n v="70807"/>
    <n v="2.1419630865046599"/>
    <d v="2016-02-03T13:16:21"/>
    <n v="25.94"/>
    <x v="1125"/>
    <n v="2"/>
    <n v="1.7"/>
    <n v="2.2999999999999998"/>
    <n v="0"/>
    <n v="4"/>
    <x v="1112"/>
    <x v="0"/>
    <x v="1688"/>
    <x v="962"/>
    <n v="10"/>
    <n v="14"/>
    <e v="#N/A"/>
  </r>
  <r>
    <n v="3315"/>
    <d v="2016-02-03T11:53:54"/>
    <d v="2016-02-03T12:08:54"/>
    <x v="0"/>
    <s v="Medium"/>
    <m/>
    <x v="1"/>
    <n v="70803"/>
    <n v="3.9356430925386601"/>
    <d v="2016-02-03T12:28:34"/>
    <n v="19.579999999999998"/>
    <x v="1126"/>
    <n v="2"/>
    <n v="1"/>
    <n v="1.7"/>
    <n v="0"/>
    <n v="2.7"/>
    <x v="1113"/>
    <x v="1"/>
    <x v="1689"/>
    <x v="0"/>
    <n v="7"/>
    <n v="10"/>
    <e v="#N/A"/>
  </r>
  <r>
    <n v="3316"/>
    <d v="2016-02-03T11:25:19"/>
    <d v="2016-02-03T11:40:18"/>
    <x v="2"/>
    <m/>
    <m/>
    <x v="0"/>
    <n v="70806"/>
    <n v="0"/>
    <d v="2016-02-03T11:43:18"/>
    <n v="11.59"/>
    <x v="2"/>
    <n v="1"/>
    <n v="1.7"/>
    <n v="0"/>
    <n v="0"/>
    <n v="1.7"/>
    <x v="0"/>
    <x v="0"/>
    <x v="0"/>
    <x v="0"/>
    <n v="10"/>
    <e v="#N/A"/>
    <e v="#N/A"/>
  </r>
  <r>
    <n v="3317"/>
    <d v="2016-02-03T12:50:35"/>
    <d v="2016-02-03T13:05:36"/>
    <x v="0"/>
    <s v="Medium"/>
    <m/>
    <x v="1"/>
    <n v="70805"/>
    <n v="3.97607389437534"/>
    <d v="2016-02-03T13:25:28"/>
    <n v="19.579999999999998"/>
    <x v="1002"/>
    <n v="2"/>
    <n v="1"/>
    <n v="1.7"/>
    <n v="0"/>
    <n v="2.7"/>
    <x v="989"/>
    <x v="1"/>
    <x v="1690"/>
    <x v="0"/>
    <n v="7"/>
    <n v="10"/>
    <e v="#N/A"/>
  </r>
  <r>
    <n v="3318"/>
    <d v="2016-02-03T10:04:17"/>
    <d v="2016-02-03T10:19:17"/>
    <x v="0"/>
    <s v="Medium"/>
    <m/>
    <x v="1"/>
    <n v="70805"/>
    <n v="2.72487722660903"/>
    <d v="2016-02-03T10:32:54"/>
    <n v="19.579999999999998"/>
    <x v="453"/>
    <n v="2"/>
    <n v="1"/>
    <n v="1.7"/>
    <n v="0"/>
    <n v="2.7"/>
    <x v="440"/>
    <x v="0"/>
    <x v="1691"/>
    <x v="963"/>
    <n v="7"/>
    <n v="10"/>
    <e v="#N/A"/>
  </r>
  <r>
    <n v="3319"/>
    <d v="2016-02-03T11:19:19"/>
    <d v="2016-02-03T11:34:18"/>
    <x v="0"/>
    <s v="Large"/>
    <m/>
    <x v="0"/>
    <n v="70804"/>
    <n v="0"/>
    <d v="2016-02-03T11:37:17"/>
    <n v="23.34"/>
    <x v="1"/>
    <n v="2"/>
    <n v="1"/>
    <n v="2.2999999999999998"/>
    <n v="0"/>
    <n v="3.3"/>
    <x v="0"/>
    <x v="0"/>
    <x v="0"/>
    <x v="0"/>
    <n v="7"/>
    <n v="14"/>
    <e v="#N/A"/>
  </r>
  <r>
    <n v="3320"/>
    <d v="2016-02-03T13:32:38"/>
    <d v="2016-02-03T13:47:38"/>
    <x v="0"/>
    <m/>
    <m/>
    <x v="1"/>
    <n v="70804"/>
    <n v="2.58720991984561"/>
    <d v="2016-02-03T14:00:34"/>
    <n v="7.99"/>
    <x v="877"/>
    <n v="1"/>
    <n v="1"/>
    <n v="0"/>
    <n v="0"/>
    <n v="1"/>
    <x v="864"/>
    <x v="0"/>
    <x v="1692"/>
    <x v="964"/>
    <n v="7"/>
    <e v="#N/A"/>
    <e v="#N/A"/>
  </r>
  <r>
    <n v="3321"/>
    <d v="2016-02-03T12:35:01"/>
    <d v="2016-02-03T12:50:00"/>
    <x v="0"/>
    <s v="Large"/>
    <m/>
    <x v="0"/>
    <n v="70803"/>
    <n v="0"/>
    <d v="2016-02-03T12:52:59"/>
    <n v="23.34"/>
    <x v="1"/>
    <n v="2"/>
    <n v="1"/>
    <n v="2.2999999999999998"/>
    <n v="0"/>
    <n v="3.3"/>
    <x v="0"/>
    <x v="0"/>
    <x v="0"/>
    <x v="0"/>
    <n v="7"/>
    <n v="14"/>
    <e v="#N/A"/>
  </r>
  <r>
    <n v="3322"/>
    <d v="2016-02-03T12:30:38"/>
    <d v="2016-02-03T12:45:38"/>
    <x v="1"/>
    <m/>
    <m/>
    <x v="1"/>
    <n v="70803"/>
    <n v="3.4885341391543099"/>
    <d v="2016-02-03T13:03:04"/>
    <n v="15.35"/>
    <x v="175"/>
    <n v="1"/>
    <n v="2.2999999999999998"/>
    <n v="0"/>
    <n v="0"/>
    <n v="2.2999999999999998"/>
    <x v="163"/>
    <x v="1"/>
    <x v="1693"/>
    <x v="0"/>
    <n v="14"/>
    <e v="#N/A"/>
    <e v="#N/A"/>
  </r>
  <r>
    <n v="3323"/>
    <d v="2016-02-03T12:34:44"/>
    <d v="2016-02-03T12:49:42"/>
    <x v="2"/>
    <m/>
    <m/>
    <x v="0"/>
    <n v="70804"/>
    <n v="0"/>
    <d v="2016-02-03T12:52:42"/>
    <n v="11.59"/>
    <x v="2"/>
    <n v="1"/>
    <n v="1.7"/>
    <n v="0"/>
    <n v="0"/>
    <n v="1.7"/>
    <x v="0"/>
    <x v="0"/>
    <x v="0"/>
    <x v="0"/>
    <n v="10"/>
    <e v="#N/A"/>
    <e v="#N/A"/>
  </r>
  <r>
    <n v="3324"/>
    <d v="2016-02-03T11:11:51"/>
    <d v="2016-02-03T11:26:51"/>
    <x v="0"/>
    <m/>
    <m/>
    <x v="0"/>
    <n v="70804"/>
    <n v="0"/>
    <d v="2016-02-03T11:29:50"/>
    <n v="7.99"/>
    <x v="24"/>
    <n v="1"/>
    <n v="1"/>
    <n v="0"/>
    <n v="0"/>
    <n v="1"/>
    <x v="0"/>
    <x v="0"/>
    <x v="0"/>
    <x v="0"/>
    <n v="7"/>
    <e v="#N/A"/>
    <e v="#N/A"/>
  </r>
  <r>
    <n v="3325"/>
    <d v="2016-02-03T11:44:21"/>
    <d v="2016-02-03T11:59:22"/>
    <x v="0"/>
    <s v="Large"/>
    <m/>
    <x v="0"/>
    <n v="70804"/>
    <n v="0"/>
    <d v="2016-02-03T12:02:21"/>
    <n v="23.34"/>
    <x v="1"/>
    <n v="2"/>
    <n v="1"/>
    <n v="2.2999999999999998"/>
    <n v="0"/>
    <n v="3.3"/>
    <x v="0"/>
    <x v="0"/>
    <x v="0"/>
    <x v="0"/>
    <n v="7"/>
    <n v="14"/>
    <e v="#N/A"/>
  </r>
  <r>
    <n v="3326"/>
    <d v="2016-02-03T12:04:54"/>
    <d v="2016-02-03T12:19:53"/>
    <x v="0"/>
    <m/>
    <m/>
    <x v="0"/>
    <n v="70806"/>
    <n v="0"/>
    <d v="2016-02-03T12:22:52"/>
    <n v="7.99"/>
    <x v="1"/>
    <n v="1"/>
    <n v="1"/>
    <n v="0"/>
    <n v="0"/>
    <n v="1"/>
    <x v="0"/>
    <x v="0"/>
    <x v="0"/>
    <x v="0"/>
    <n v="7"/>
    <e v="#N/A"/>
    <e v="#N/A"/>
  </r>
  <r>
    <n v="3327"/>
    <d v="2016-02-03T12:37:24"/>
    <d v="2016-02-03T12:52:26"/>
    <x v="2"/>
    <m/>
    <m/>
    <x v="0"/>
    <n v="70803"/>
    <n v="0"/>
    <d v="2016-02-03T12:55:26"/>
    <n v="11.59"/>
    <x v="2"/>
    <n v="1"/>
    <n v="1.7"/>
    <n v="0"/>
    <n v="0"/>
    <n v="1.7"/>
    <x v="0"/>
    <x v="0"/>
    <x v="0"/>
    <x v="0"/>
    <n v="10"/>
    <e v="#N/A"/>
    <e v="#N/A"/>
  </r>
  <r>
    <n v="3328"/>
    <d v="2016-02-03T11:33:41"/>
    <d v="2016-02-03T11:48:42"/>
    <x v="0"/>
    <s v="Medium"/>
    <m/>
    <x v="1"/>
    <n v="70806"/>
    <n v="3.19633352110605"/>
    <d v="2016-02-03T12:04:40"/>
    <n v="19.579999999999998"/>
    <x v="543"/>
    <n v="2"/>
    <n v="1"/>
    <n v="1.7"/>
    <n v="0"/>
    <n v="2.7"/>
    <x v="530"/>
    <x v="0"/>
    <x v="1694"/>
    <x v="965"/>
    <n v="7"/>
    <n v="10"/>
    <e v="#N/A"/>
  </r>
  <r>
    <n v="3329"/>
    <d v="2016-02-03T11:45:54"/>
    <d v="2016-02-03T12:00:53"/>
    <x v="0"/>
    <s v="Medium"/>
    <m/>
    <x v="1"/>
    <n v="70804"/>
    <n v="4.6262577420291002"/>
    <d v="2016-02-03T12:24:00"/>
    <n v="19.579999999999998"/>
    <x v="1127"/>
    <n v="2"/>
    <n v="1"/>
    <n v="1.7"/>
    <n v="0"/>
    <n v="2.7"/>
    <x v="1114"/>
    <x v="1"/>
    <x v="1695"/>
    <x v="0"/>
    <n v="7"/>
    <n v="10"/>
    <e v="#N/A"/>
  </r>
  <r>
    <n v="3330"/>
    <d v="2016-02-03T10:39:23"/>
    <d v="2016-02-03T10:54:23"/>
    <x v="2"/>
    <m/>
    <m/>
    <x v="1"/>
    <n v="70804"/>
    <n v="3.01908565352463"/>
    <d v="2016-02-03T11:09:28"/>
    <n v="11.59"/>
    <x v="856"/>
    <n v="1"/>
    <n v="1.7"/>
    <n v="0"/>
    <n v="0"/>
    <n v="1.7"/>
    <x v="843"/>
    <x v="0"/>
    <x v="1696"/>
    <x v="966"/>
    <n v="10"/>
    <e v="#N/A"/>
    <e v="#N/A"/>
  </r>
  <r>
    <n v="3331"/>
    <d v="2016-02-03T11:11:27"/>
    <d v="2016-02-03T11:26:26"/>
    <x v="2"/>
    <m/>
    <m/>
    <x v="0"/>
    <n v="70807"/>
    <n v="0"/>
    <d v="2016-02-03T11:29:26"/>
    <n v="11.59"/>
    <x v="2"/>
    <n v="1"/>
    <n v="1.7"/>
    <n v="0"/>
    <n v="0"/>
    <n v="1.7"/>
    <x v="0"/>
    <x v="0"/>
    <x v="0"/>
    <x v="0"/>
    <n v="10"/>
    <e v="#N/A"/>
    <e v="#N/A"/>
  </r>
  <r>
    <n v="3332"/>
    <d v="2016-02-03T12:55:31"/>
    <d v="2016-02-03T13:10:31"/>
    <x v="1"/>
    <m/>
    <m/>
    <x v="0"/>
    <n v="70804"/>
    <n v="0"/>
    <d v="2016-02-03T13:13:30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3333"/>
    <d v="2016-02-03T12:26:24"/>
    <d v="2016-02-03T12:41:23"/>
    <x v="0"/>
    <s v="Medium"/>
    <m/>
    <x v="1"/>
    <n v="70805"/>
    <n v="5.2379544072242803"/>
    <d v="2016-02-03T13:07:34"/>
    <n v="19.579999999999998"/>
    <x v="1128"/>
    <n v="2"/>
    <n v="1"/>
    <n v="1.7"/>
    <n v="0"/>
    <n v="2.7"/>
    <x v="1115"/>
    <x v="1"/>
    <x v="1697"/>
    <x v="0"/>
    <n v="7"/>
    <n v="10"/>
    <e v="#N/A"/>
  </r>
  <r>
    <n v="3334"/>
    <d v="2016-02-03T10:37:28"/>
    <d v="2016-02-03T10:52:28"/>
    <x v="2"/>
    <m/>
    <m/>
    <x v="1"/>
    <n v="70804"/>
    <n v="3.5169200736519"/>
    <d v="2016-02-03T11:10:03"/>
    <n v="11.59"/>
    <x v="1129"/>
    <n v="1"/>
    <n v="1.7"/>
    <n v="0"/>
    <n v="0"/>
    <n v="1.7"/>
    <x v="1116"/>
    <x v="1"/>
    <x v="1698"/>
    <x v="0"/>
    <n v="10"/>
    <e v="#N/A"/>
    <e v="#N/A"/>
  </r>
  <r>
    <n v="3335"/>
    <d v="2016-02-03T11:41:15"/>
    <d v="2016-02-03T11:56:15"/>
    <x v="1"/>
    <m/>
    <m/>
    <x v="1"/>
    <n v="70803"/>
    <n v="2.3270135786289301"/>
    <d v="2016-02-03T12:07:53"/>
    <n v="15.35"/>
    <x v="1012"/>
    <n v="1"/>
    <n v="2.2999999999999998"/>
    <n v="0"/>
    <n v="0"/>
    <n v="2.2999999999999998"/>
    <x v="999"/>
    <x v="0"/>
    <x v="1699"/>
    <x v="967"/>
    <n v="14"/>
    <e v="#N/A"/>
    <e v="#N/A"/>
  </r>
  <r>
    <n v="3336"/>
    <d v="2016-02-03T10:11:15"/>
    <d v="2016-02-03T10:26:15"/>
    <x v="0"/>
    <s v="Medium"/>
    <m/>
    <x v="0"/>
    <n v="70805"/>
    <n v="0"/>
    <d v="2016-02-03T10:29:16"/>
    <n v="19.579999999999998"/>
    <x v="56"/>
    <n v="2"/>
    <n v="1"/>
    <n v="1.7"/>
    <n v="0"/>
    <n v="2.7"/>
    <x v="0"/>
    <x v="0"/>
    <x v="0"/>
    <x v="0"/>
    <n v="7"/>
    <n v="10"/>
    <e v="#N/A"/>
  </r>
  <r>
    <n v="3337"/>
    <d v="2016-02-03T10:29:04"/>
    <d v="2016-02-03T10:44:03"/>
    <x v="2"/>
    <s v="Large"/>
    <m/>
    <x v="0"/>
    <n v="70805"/>
    <n v="0"/>
    <d v="2016-02-03T10:47:03"/>
    <n v="25.94"/>
    <x v="2"/>
    <n v="2"/>
    <n v="1.7"/>
    <n v="2.2999999999999998"/>
    <n v="0"/>
    <n v="4"/>
    <x v="0"/>
    <x v="0"/>
    <x v="0"/>
    <x v="0"/>
    <n v="10"/>
    <n v="14"/>
    <e v="#N/A"/>
  </r>
  <r>
    <n v="3338"/>
    <d v="2016-02-03T10:48:04"/>
    <d v="2016-02-03T11:03:03"/>
    <x v="0"/>
    <s v="Medium"/>
    <m/>
    <x v="1"/>
    <n v="70807"/>
    <n v="3.3241528902069102"/>
    <d v="2016-02-03T11:19:40"/>
    <n v="19.579999999999998"/>
    <x v="383"/>
    <n v="2"/>
    <n v="1"/>
    <n v="1.7"/>
    <n v="0"/>
    <n v="2.7"/>
    <x v="370"/>
    <x v="1"/>
    <x v="1700"/>
    <x v="0"/>
    <n v="7"/>
    <n v="10"/>
    <e v="#N/A"/>
  </r>
  <r>
    <n v="3339"/>
    <d v="2016-02-03T10:16:58"/>
    <d v="2016-02-03T10:31:58"/>
    <x v="0"/>
    <s v="Large"/>
    <m/>
    <x v="0"/>
    <n v="70804"/>
    <n v="0"/>
    <d v="2016-02-03T10:34:56"/>
    <n v="23.34"/>
    <x v="0"/>
    <n v="2"/>
    <n v="1"/>
    <n v="2.2999999999999998"/>
    <n v="0"/>
    <n v="3.3"/>
    <x v="0"/>
    <x v="0"/>
    <x v="0"/>
    <x v="0"/>
    <n v="7"/>
    <n v="14"/>
    <e v="#N/A"/>
  </r>
  <r>
    <n v="3340"/>
    <d v="2016-02-03T12:46:11"/>
    <d v="2016-02-03T13:01:11"/>
    <x v="1"/>
    <m/>
    <m/>
    <x v="1"/>
    <n v="70804"/>
    <n v="1.5836601030850399"/>
    <d v="2016-02-03T13:09:06"/>
    <n v="15.35"/>
    <x v="1130"/>
    <n v="1"/>
    <n v="2.2999999999999998"/>
    <n v="0"/>
    <n v="0"/>
    <n v="2.2999999999999998"/>
    <x v="1117"/>
    <x v="0"/>
    <x v="1701"/>
    <x v="968"/>
    <n v="14"/>
    <e v="#N/A"/>
    <e v="#N/A"/>
  </r>
  <r>
    <n v="3341"/>
    <d v="2016-02-03T11:14:53"/>
    <d v="2016-02-03T11:29:51"/>
    <x v="1"/>
    <m/>
    <m/>
    <x v="0"/>
    <n v="70804"/>
    <n v="0"/>
    <d v="2016-02-03T11:32:50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3342"/>
    <d v="2016-02-03T12:11:09"/>
    <d v="2016-02-03T12:26:09"/>
    <x v="0"/>
    <s v="Medium"/>
    <m/>
    <x v="1"/>
    <n v="70806"/>
    <n v="2.8776425279717399"/>
    <d v="2016-02-03T12:40:32"/>
    <n v="19.579999999999998"/>
    <x v="149"/>
    <n v="2"/>
    <n v="1"/>
    <n v="1.7"/>
    <n v="0"/>
    <n v="2.7"/>
    <x v="139"/>
    <x v="0"/>
    <x v="1702"/>
    <x v="969"/>
    <n v="7"/>
    <n v="10"/>
    <e v="#N/A"/>
  </r>
  <r>
    <n v="3343"/>
    <d v="2016-02-03T11:55:23"/>
    <d v="2016-02-03T12:10:22"/>
    <x v="1"/>
    <m/>
    <m/>
    <x v="1"/>
    <n v="70805"/>
    <n v="3.7055073080592198"/>
    <d v="2016-02-03T12:28:53"/>
    <n v="15.35"/>
    <x v="1131"/>
    <n v="1"/>
    <n v="2.2999999999999998"/>
    <n v="0"/>
    <n v="0"/>
    <n v="2.2999999999999998"/>
    <x v="1118"/>
    <x v="1"/>
    <x v="1703"/>
    <x v="0"/>
    <n v="14"/>
    <e v="#N/A"/>
    <e v="#N/A"/>
  </r>
  <r>
    <n v="3344"/>
    <d v="2016-02-03T11:01:12"/>
    <d v="2016-02-03T11:16:13"/>
    <x v="0"/>
    <m/>
    <m/>
    <x v="0"/>
    <n v="70805"/>
    <n v="0"/>
    <d v="2016-02-03T11:19:12"/>
    <n v="7.99"/>
    <x v="24"/>
    <n v="1"/>
    <n v="1"/>
    <n v="0"/>
    <n v="0"/>
    <n v="1"/>
    <x v="0"/>
    <x v="0"/>
    <x v="0"/>
    <x v="0"/>
    <n v="7"/>
    <e v="#N/A"/>
    <e v="#N/A"/>
  </r>
  <r>
    <n v="3345"/>
    <d v="2016-02-03T12:31:34"/>
    <d v="2016-02-03T12:46:34"/>
    <x v="0"/>
    <s v="Large"/>
    <m/>
    <x v="1"/>
    <n v="70806"/>
    <n v="2.35097285373622"/>
    <d v="2016-02-03T12:58:19"/>
    <n v="23.34"/>
    <x v="185"/>
    <n v="2"/>
    <n v="1"/>
    <n v="2.2999999999999998"/>
    <n v="0"/>
    <n v="3.3"/>
    <x v="173"/>
    <x v="0"/>
    <x v="1704"/>
    <x v="970"/>
    <n v="7"/>
    <n v="14"/>
    <e v="#N/A"/>
  </r>
  <r>
    <n v="3346"/>
    <d v="2016-02-03T13:52:21"/>
    <d v="2016-02-03T14:07:20"/>
    <x v="0"/>
    <s v="Medium"/>
    <m/>
    <x v="1"/>
    <n v="70805"/>
    <n v="3.6096099685407501"/>
    <d v="2016-02-03T14:25:22"/>
    <n v="19.579999999999998"/>
    <x v="1132"/>
    <n v="2"/>
    <n v="1"/>
    <n v="1.7"/>
    <n v="0"/>
    <n v="2.7"/>
    <x v="1119"/>
    <x v="1"/>
    <x v="1705"/>
    <x v="0"/>
    <n v="7"/>
    <n v="10"/>
    <e v="#N/A"/>
  </r>
  <r>
    <n v="3347"/>
    <d v="2016-02-03T12:09:09"/>
    <d v="2016-02-03T12:24:09"/>
    <x v="0"/>
    <s v="Medium"/>
    <m/>
    <x v="1"/>
    <n v="70805"/>
    <n v="1.91069024251393"/>
    <d v="2016-02-03T12:33:42"/>
    <n v="19.579999999999998"/>
    <x v="1133"/>
    <n v="2"/>
    <n v="1"/>
    <n v="1.7"/>
    <n v="0"/>
    <n v="2.7"/>
    <x v="1120"/>
    <x v="0"/>
    <x v="1706"/>
    <x v="971"/>
    <n v="7"/>
    <n v="10"/>
    <e v="#N/A"/>
  </r>
  <r>
    <n v="3348"/>
    <d v="2016-02-03T10:30:20"/>
    <d v="2016-02-03T10:45:19"/>
    <x v="1"/>
    <m/>
    <m/>
    <x v="0"/>
    <n v="70805"/>
    <n v="0"/>
    <d v="2016-02-03T10:48:17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3349"/>
    <d v="2016-02-03T12:49:03"/>
    <d v="2016-02-03T13:04:04"/>
    <x v="1"/>
    <m/>
    <m/>
    <x v="0"/>
    <n v="70807"/>
    <n v="0"/>
    <d v="2016-02-03T13:07:04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3350"/>
    <d v="2016-02-03T12:35:01"/>
    <d v="2016-02-03T12:50:00"/>
    <x v="2"/>
    <m/>
    <m/>
    <x v="1"/>
    <n v="70804"/>
    <n v="1.2999886400118399"/>
    <d v="2016-02-03T12:56:29"/>
    <n v="11.59"/>
    <x v="1134"/>
    <n v="1"/>
    <n v="1.7"/>
    <n v="0"/>
    <n v="0"/>
    <n v="1.7"/>
    <x v="1121"/>
    <x v="0"/>
    <x v="1707"/>
    <x v="972"/>
    <n v="10"/>
    <e v="#N/A"/>
    <e v="#N/A"/>
  </r>
  <r>
    <n v="3351"/>
    <d v="2016-02-03T10:41:11"/>
    <d v="2016-02-03T10:56:10"/>
    <x v="2"/>
    <m/>
    <m/>
    <x v="1"/>
    <n v="70803"/>
    <n v="2.5928708140294399"/>
    <d v="2016-02-03T11:09:07"/>
    <n v="11.59"/>
    <x v="447"/>
    <n v="1"/>
    <n v="1.7"/>
    <n v="0"/>
    <n v="0"/>
    <n v="1.7"/>
    <x v="434"/>
    <x v="0"/>
    <x v="1708"/>
    <x v="973"/>
    <n v="10"/>
    <e v="#N/A"/>
    <e v="#N/A"/>
  </r>
  <r>
    <n v="3352"/>
    <d v="2016-02-03T12:42:30"/>
    <d v="2016-02-03T12:57:29"/>
    <x v="0"/>
    <s v="Large"/>
    <m/>
    <x v="0"/>
    <n v="70806"/>
    <n v="0"/>
    <d v="2016-02-03T13:00:28"/>
    <n v="23.34"/>
    <x v="1"/>
    <n v="2"/>
    <n v="1"/>
    <n v="2.2999999999999998"/>
    <n v="0"/>
    <n v="3.3"/>
    <x v="0"/>
    <x v="0"/>
    <x v="0"/>
    <x v="0"/>
    <n v="7"/>
    <n v="14"/>
    <e v="#N/A"/>
  </r>
  <r>
    <n v="3353"/>
    <d v="2016-02-03T12:05:45"/>
    <d v="2016-02-03T12:20:45"/>
    <x v="0"/>
    <m/>
    <m/>
    <x v="0"/>
    <n v="70803"/>
    <n v="0"/>
    <d v="2016-02-03T12:23:44"/>
    <n v="7.99"/>
    <x v="24"/>
    <n v="1"/>
    <n v="1"/>
    <n v="0"/>
    <n v="0"/>
    <n v="1"/>
    <x v="0"/>
    <x v="0"/>
    <x v="0"/>
    <x v="0"/>
    <n v="7"/>
    <e v="#N/A"/>
    <e v="#N/A"/>
  </r>
  <r>
    <n v="3354"/>
    <d v="2016-02-03T12:09:43"/>
    <d v="2016-02-03T12:24:43"/>
    <x v="1"/>
    <m/>
    <m/>
    <x v="1"/>
    <n v="70805"/>
    <n v="4.5499039573323401"/>
    <d v="2016-02-03T12:47:27"/>
    <n v="15.35"/>
    <x v="1135"/>
    <n v="1"/>
    <n v="2.2999999999999998"/>
    <n v="0"/>
    <n v="0"/>
    <n v="2.2999999999999998"/>
    <x v="1122"/>
    <x v="1"/>
    <x v="1709"/>
    <x v="0"/>
    <n v="14"/>
    <e v="#N/A"/>
    <e v="#N/A"/>
  </r>
  <r>
    <n v="3355"/>
    <d v="2016-02-03T11:43:32"/>
    <d v="2016-02-03T11:58:30"/>
    <x v="1"/>
    <m/>
    <m/>
    <x v="1"/>
    <n v="70807"/>
    <n v="2.1134763243783201"/>
    <d v="2016-02-03T12:09:04"/>
    <n v="15.35"/>
    <x v="1136"/>
    <n v="1"/>
    <n v="2.2999999999999998"/>
    <n v="0"/>
    <n v="0"/>
    <n v="2.2999999999999998"/>
    <x v="1123"/>
    <x v="0"/>
    <x v="1710"/>
    <x v="974"/>
    <n v="14"/>
    <e v="#N/A"/>
    <e v="#N/A"/>
  </r>
  <r>
    <n v="3356"/>
    <d v="2016-02-03T10:24:22"/>
    <d v="2016-02-03T10:39:23"/>
    <x v="1"/>
    <m/>
    <m/>
    <x v="1"/>
    <n v="70803"/>
    <n v="3.1894081748683401"/>
    <d v="2016-02-03T10:55:19"/>
    <n v="15.35"/>
    <x v="1137"/>
    <n v="1"/>
    <n v="2.2999999999999998"/>
    <n v="0"/>
    <n v="0"/>
    <n v="2.2999999999999998"/>
    <x v="1124"/>
    <x v="0"/>
    <x v="1711"/>
    <x v="975"/>
    <n v="14"/>
    <e v="#N/A"/>
    <e v="#N/A"/>
  </r>
  <r>
    <n v="3357"/>
    <d v="2016-02-03T12:17:37"/>
    <d v="2016-02-03T12:32:35"/>
    <x v="0"/>
    <s v="Medium"/>
    <m/>
    <x v="0"/>
    <n v="70807"/>
    <n v="0"/>
    <d v="2016-02-03T12:35:34"/>
    <n v="19.579999999999998"/>
    <x v="24"/>
    <n v="2"/>
    <n v="1"/>
    <n v="1.7"/>
    <n v="0"/>
    <n v="2.7"/>
    <x v="0"/>
    <x v="0"/>
    <x v="0"/>
    <x v="0"/>
    <n v="7"/>
    <n v="10"/>
    <e v="#N/A"/>
  </r>
  <r>
    <n v="3358"/>
    <d v="2016-02-03T10:11:40"/>
    <d v="2016-02-03T10:26:40"/>
    <x v="1"/>
    <m/>
    <m/>
    <x v="0"/>
    <n v="70805"/>
    <n v="0"/>
    <d v="2016-02-03T10:29:40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3359"/>
    <d v="2016-02-03T12:54:03"/>
    <d v="2016-02-03T13:09:03"/>
    <x v="0"/>
    <s v="Medium"/>
    <m/>
    <x v="0"/>
    <n v="70807"/>
    <n v="0"/>
    <d v="2016-02-03T13:12:03"/>
    <n v="19.579999999999998"/>
    <x v="2"/>
    <n v="2"/>
    <n v="1"/>
    <n v="1.7"/>
    <n v="0"/>
    <n v="2.7"/>
    <x v="0"/>
    <x v="0"/>
    <x v="0"/>
    <x v="0"/>
    <n v="7"/>
    <n v="10"/>
    <e v="#N/A"/>
  </r>
  <r>
    <n v="3360"/>
    <d v="2016-02-03T12:38:27"/>
    <d v="2016-02-03T12:53:26"/>
    <x v="2"/>
    <m/>
    <m/>
    <x v="0"/>
    <n v="70807"/>
    <n v="0"/>
    <d v="2016-02-03T12:56:25"/>
    <n v="11.59"/>
    <x v="24"/>
    <n v="1"/>
    <n v="1.7"/>
    <n v="0"/>
    <n v="0"/>
    <n v="1.7"/>
    <x v="0"/>
    <x v="0"/>
    <x v="0"/>
    <x v="0"/>
    <n v="10"/>
    <e v="#N/A"/>
    <e v="#N/A"/>
  </r>
  <r>
    <n v="3361"/>
    <d v="2016-02-03T13:49:50"/>
    <d v="2016-02-03T14:04:49"/>
    <x v="1"/>
    <m/>
    <m/>
    <x v="0"/>
    <n v="70803"/>
    <n v="0"/>
    <d v="2016-02-03T14:07:49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3362"/>
    <d v="2016-02-03T11:35:12"/>
    <d v="2016-02-03T11:50:12"/>
    <x v="0"/>
    <s v="Large"/>
    <m/>
    <x v="1"/>
    <n v="70806"/>
    <n v="1.2882135804055499"/>
    <d v="2016-02-03T11:56:38"/>
    <n v="23.34"/>
    <x v="966"/>
    <n v="2"/>
    <n v="1"/>
    <n v="2.2999999999999998"/>
    <n v="0"/>
    <n v="3.3"/>
    <x v="953"/>
    <x v="0"/>
    <x v="1712"/>
    <x v="976"/>
    <n v="7"/>
    <n v="14"/>
    <e v="#N/A"/>
  </r>
  <r>
    <n v="3363"/>
    <d v="2016-02-03T12:08:37"/>
    <d v="2016-02-03T12:23:37"/>
    <x v="0"/>
    <m/>
    <m/>
    <x v="1"/>
    <n v="70803"/>
    <n v="4.3733995906899796"/>
    <d v="2016-02-03T12:45:29"/>
    <n v="7.99"/>
    <x v="1138"/>
    <n v="1"/>
    <n v="1"/>
    <n v="0"/>
    <n v="0"/>
    <n v="1"/>
    <x v="1125"/>
    <x v="1"/>
    <x v="1713"/>
    <x v="0"/>
    <n v="7"/>
    <e v="#N/A"/>
    <e v="#N/A"/>
  </r>
  <r>
    <n v="3364"/>
    <d v="2016-02-03T12:58:53"/>
    <d v="2016-02-03T13:13:53"/>
    <x v="0"/>
    <m/>
    <m/>
    <x v="1"/>
    <n v="70805"/>
    <n v="3.8733834968008898"/>
    <d v="2016-02-03T13:33:15"/>
    <n v="7.99"/>
    <x v="1139"/>
    <n v="1"/>
    <n v="1"/>
    <n v="0"/>
    <n v="0"/>
    <n v="1"/>
    <x v="1126"/>
    <x v="1"/>
    <x v="1714"/>
    <x v="0"/>
    <n v="7"/>
    <e v="#N/A"/>
    <e v="#N/A"/>
  </r>
  <r>
    <n v="3365"/>
    <d v="2016-02-03T11:10:43"/>
    <d v="2016-02-03T11:25:40"/>
    <x v="0"/>
    <s v="Large"/>
    <m/>
    <x v="0"/>
    <n v="70806"/>
    <n v="0"/>
    <d v="2016-02-03T11:28:39"/>
    <n v="23.34"/>
    <x v="24"/>
    <n v="2"/>
    <n v="1"/>
    <n v="2.2999999999999998"/>
    <n v="0"/>
    <n v="3.3"/>
    <x v="0"/>
    <x v="0"/>
    <x v="0"/>
    <x v="0"/>
    <n v="7"/>
    <n v="14"/>
    <e v="#N/A"/>
  </r>
  <r>
    <n v="3366"/>
    <d v="2016-02-03T12:50:16"/>
    <d v="2016-02-03T13:05:16"/>
    <x v="2"/>
    <m/>
    <m/>
    <x v="0"/>
    <n v="70804"/>
    <n v="0"/>
    <d v="2016-02-03T13:08:16"/>
    <n v="11.59"/>
    <x v="2"/>
    <n v="1"/>
    <n v="1.7"/>
    <n v="0"/>
    <n v="0"/>
    <n v="1.7"/>
    <x v="0"/>
    <x v="0"/>
    <x v="0"/>
    <x v="0"/>
    <n v="10"/>
    <e v="#N/A"/>
    <e v="#N/A"/>
  </r>
  <r>
    <n v="3367"/>
    <d v="2016-02-03T13:54:43"/>
    <d v="2016-02-03T14:09:45"/>
    <x v="0"/>
    <s v="Large"/>
    <m/>
    <x v="0"/>
    <n v="70804"/>
    <n v="0"/>
    <d v="2016-02-03T14:12:43"/>
    <n v="23.34"/>
    <x v="0"/>
    <n v="2"/>
    <n v="1"/>
    <n v="2.2999999999999998"/>
    <n v="0"/>
    <n v="3.3"/>
    <x v="0"/>
    <x v="0"/>
    <x v="0"/>
    <x v="0"/>
    <n v="7"/>
    <n v="14"/>
    <e v="#N/A"/>
  </r>
  <r>
    <n v="3368"/>
    <d v="2016-02-03T12:20:14"/>
    <d v="2016-02-03T12:35:13"/>
    <x v="2"/>
    <m/>
    <m/>
    <x v="1"/>
    <n v="70804"/>
    <n v="1.97143616875824"/>
    <d v="2016-02-03T12:45:04"/>
    <n v="11.59"/>
    <x v="1140"/>
    <n v="1"/>
    <n v="1.7"/>
    <n v="0"/>
    <n v="0"/>
    <n v="1.7"/>
    <x v="1127"/>
    <x v="0"/>
    <x v="1715"/>
    <x v="977"/>
    <n v="10"/>
    <e v="#N/A"/>
    <e v="#N/A"/>
  </r>
  <r>
    <n v="3369"/>
    <d v="2016-02-03T11:40:46"/>
    <d v="2016-02-03T11:55:45"/>
    <x v="0"/>
    <s v="Large"/>
    <m/>
    <x v="1"/>
    <n v="70806"/>
    <n v="5.1621385738871597"/>
    <d v="2016-02-03T12:21:33"/>
    <n v="23.34"/>
    <x v="1141"/>
    <n v="2"/>
    <n v="1"/>
    <n v="2.2999999999999998"/>
    <n v="0"/>
    <n v="3.3"/>
    <x v="1128"/>
    <x v="1"/>
    <x v="1716"/>
    <x v="0"/>
    <n v="7"/>
    <n v="14"/>
    <e v="#N/A"/>
  </r>
  <r>
    <n v="3370"/>
    <d v="2016-02-03T12:42:23"/>
    <d v="2016-02-03T12:57:22"/>
    <x v="1"/>
    <m/>
    <m/>
    <x v="1"/>
    <n v="70805"/>
    <n v="2.8477848712441598"/>
    <d v="2016-02-03T13:11:36"/>
    <n v="15.35"/>
    <x v="395"/>
    <n v="1"/>
    <n v="2.2999999999999998"/>
    <n v="0"/>
    <n v="0"/>
    <n v="2.2999999999999998"/>
    <x v="382"/>
    <x v="0"/>
    <x v="1717"/>
    <x v="978"/>
    <n v="14"/>
    <e v="#N/A"/>
    <e v="#N/A"/>
  </r>
  <r>
    <n v="3371"/>
    <d v="2016-02-03T12:03:18"/>
    <d v="2016-02-03T12:18:18"/>
    <x v="0"/>
    <s v="Medium"/>
    <s v="Large"/>
    <x v="0"/>
    <n v="70804"/>
    <n v="0"/>
    <d v="2016-02-03T12:21:16"/>
    <n v="33.93"/>
    <x v="0"/>
    <n v="3"/>
    <n v="1"/>
    <n v="1.7"/>
    <n v="2.2999999999999998"/>
    <n v="5"/>
    <x v="0"/>
    <x v="0"/>
    <x v="0"/>
    <x v="0"/>
    <n v="7"/>
    <n v="10"/>
    <n v="14"/>
  </r>
  <r>
    <n v="3372"/>
    <d v="2016-02-03T12:46:04"/>
    <d v="2016-02-03T13:01:04"/>
    <x v="2"/>
    <m/>
    <m/>
    <x v="0"/>
    <n v="70805"/>
    <n v="0"/>
    <d v="2016-02-03T13:04:05"/>
    <n v="11.59"/>
    <x v="56"/>
    <n v="1"/>
    <n v="1.7"/>
    <n v="0"/>
    <n v="0"/>
    <n v="1.7"/>
    <x v="0"/>
    <x v="0"/>
    <x v="0"/>
    <x v="0"/>
    <n v="10"/>
    <e v="#N/A"/>
    <e v="#N/A"/>
  </r>
  <r>
    <n v="3373"/>
    <d v="2016-02-03T13:19:41"/>
    <d v="2016-02-03T13:34:41"/>
    <x v="2"/>
    <m/>
    <m/>
    <x v="1"/>
    <n v="70803"/>
    <n v="4.1631368139140399"/>
    <d v="2016-02-03T13:55:29"/>
    <n v="11.59"/>
    <x v="1142"/>
    <n v="1"/>
    <n v="1.7"/>
    <n v="0"/>
    <n v="0"/>
    <n v="1.7"/>
    <x v="1129"/>
    <x v="1"/>
    <x v="1718"/>
    <x v="0"/>
    <n v="10"/>
    <e v="#N/A"/>
    <e v="#N/A"/>
  </r>
  <r>
    <n v="3374"/>
    <d v="2016-02-03T13:10:11"/>
    <d v="2016-02-03T13:25:11"/>
    <x v="2"/>
    <m/>
    <m/>
    <x v="1"/>
    <n v="70805"/>
    <n v="2.69704020125844"/>
    <d v="2016-02-03T13:38:40"/>
    <n v="11.59"/>
    <x v="995"/>
    <n v="1"/>
    <n v="1.7"/>
    <n v="0"/>
    <n v="0"/>
    <n v="1.7"/>
    <x v="982"/>
    <x v="0"/>
    <x v="1719"/>
    <x v="979"/>
    <n v="10"/>
    <e v="#N/A"/>
    <e v="#N/A"/>
  </r>
  <r>
    <n v="3375"/>
    <d v="2016-02-03T10:31:00"/>
    <d v="2016-02-03T10:46:01"/>
    <x v="0"/>
    <m/>
    <m/>
    <x v="0"/>
    <n v="70807"/>
    <n v="0"/>
    <d v="2016-02-03T10:49:01"/>
    <n v="7.99"/>
    <x v="2"/>
    <n v="1"/>
    <n v="1"/>
    <n v="0"/>
    <n v="0"/>
    <n v="1"/>
    <x v="0"/>
    <x v="0"/>
    <x v="0"/>
    <x v="0"/>
    <n v="7"/>
    <e v="#N/A"/>
    <e v="#N/A"/>
  </r>
  <r>
    <n v="3376"/>
    <d v="2016-02-03T12:22:27"/>
    <d v="2016-02-03T12:37:25"/>
    <x v="0"/>
    <s v="Medium"/>
    <m/>
    <x v="1"/>
    <n v="70804"/>
    <n v="1.3887897428279199"/>
    <d v="2016-02-03T12:44:21"/>
    <n v="19.579999999999998"/>
    <x v="1143"/>
    <n v="2"/>
    <n v="1"/>
    <n v="1.7"/>
    <n v="0"/>
    <n v="2.7"/>
    <x v="1130"/>
    <x v="0"/>
    <x v="1720"/>
    <x v="980"/>
    <n v="7"/>
    <n v="10"/>
    <e v="#N/A"/>
  </r>
  <r>
    <n v="3377"/>
    <d v="2016-02-03T12:27:25"/>
    <d v="2016-02-03T12:42:25"/>
    <x v="1"/>
    <m/>
    <m/>
    <x v="0"/>
    <n v="70804"/>
    <n v="0"/>
    <d v="2016-02-03T12:45:25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3378"/>
    <d v="2016-02-03T11:47:12"/>
    <d v="2016-02-03T12:02:12"/>
    <x v="0"/>
    <s v="Medium"/>
    <m/>
    <x v="1"/>
    <n v="70808"/>
    <n v="3.1206153758224202"/>
    <d v="2016-02-03T12:17:48"/>
    <n v="19.579999999999998"/>
    <x v="1144"/>
    <n v="2"/>
    <n v="1"/>
    <n v="1.7"/>
    <n v="0"/>
    <n v="2.7"/>
    <x v="1131"/>
    <x v="0"/>
    <x v="1721"/>
    <x v="981"/>
    <n v="7"/>
    <n v="10"/>
    <e v="#N/A"/>
  </r>
  <r>
    <n v="3379"/>
    <d v="2016-02-03T11:37:06"/>
    <d v="2016-02-03T11:52:07"/>
    <x v="2"/>
    <m/>
    <m/>
    <x v="1"/>
    <n v="70805"/>
    <n v="2.1574882657628298"/>
    <d v="2016-02-03T12:02:54"/>
    <n v="11.59"/>
    <x v="1145"/>
    <n v="1"/>
    <n v="1.7"/>
    <n v="0"/>
    <n v="0"/>
    <n v="1.7"/>
    <x v="1132"/>
    <x v="0"/>
    <x v="1722"/>
    <x v="982"/>
    <n v="10"/>
    <e v="#N/A"/>
    <e v="#N/A"/>
  </r>
  <r>
    <n v="3380"/>
    <d v="2016-02-03T11:30:02"/>
    <d v="2016-02-03T11:45:02"/>
    <x v="0"/>
    <m/>
    <m/>
    <x v="0"/>
    <n v="70806"/>
    <n v="0"/>
    <d v="2016-02-03T11:48:01"/>
    <n v="7.99"/>
    <x v="24"/>
    <n v="1"/>
    <n v="1"/>
    <n v="0"/>
    <n v="0"/>
    <n v="1"/>
    <x v="0"/>
    <x v="0"/>
    <x v="0"/>
    <x v="0"/>
    <n v="7"/>
    <e v="#N/A"/>
    <e v="#N/A"/>
  </r>
  <r>
    <n v="3381"/>
    <d v="2016-02-03T10:58:30"/>
    <d v="2016-02-03T11:13:30"/>
    <x v="2"/>
    <m/>
    <m/>
    <x v="1"/>
    <n v="70806"/>
    <n v="3.8454799144428402"/>
    <d v="2016-02-03T11:32:43"/>
    <n v="11.59"/>
    <x v="1146"/>
    <n v="1"/>
    <n v="1.7"/>
    <n v="0"/>
    <n v="0"/>
    <n v="1.7"/>
    <x v="1133"/>
    <x v="1"/>
    <x v="1723"/>
    <x v="0"/>
    <n v="10"/>
    <e v="#N/A"/>
    <e v="#N/A"/>
  </r>
  <r>
    <n v="3382"/>
    <d v="2016-02-03T11:24:13"/>
    <d v="2016-02-03T11:39:14"/>
    <x v="0"/>
    <s v="Medium"/>
    <m/>
    <x v="0"/>
    <n v="70803"/>
    <n v="0"/>
    <d v="2016-02-03T11:42:12"/>
    <n v="19.579999999999998"/>
    <x v="0"/>
    <n v="2"/>
    <n v="1"/>
    <n v="1.7"/>
    <n v="0"/>
    <n v="2.7"/>
    <x v="0"/>
    <x v="0"/>
    <x v="0"/>
    <x v="0"/>
    <n v="7"/>
    <n v="10"/>
    <e v="#N/A"/>
  </r>
  <r>
    <n v="3383"/>
    <d v="2016-02-03T12:35:46"/>
    <d v="2016-02-03T12:50:47"/>
    <x v="2"/>
    <m/>
    <m/>
    <x v="1"/>
    <n v="70806"/>
    <n v="1.75789246355581"/>
    <d v="2016-02-03T12:59:34"/>
    <n v="11.59"/>
    <x v="1147"/>
    <n v="1"/>
    <n v="1.7"/>
    <n v="0"/>
    <n v="0"/>
    <n v="1.7"/>
    <x v="1134"/>
    <x v="0"/>
    <x v="1724"/>
    <x v="983"/>
    <n v="10"/>
    <e v="#N/A"/>
    <e v="#N/A"/>
  </r>
  <r>
    <n v="3384"/>
    <d v="2016-02-03T13:02:37"/>
    <d v="2016-02-03T13:17:37"/>
    <x v="2"/>
    <s v="Large"/>
    <m/>
    <x v="0"/>
    <n v="70806"/>
    <n v="0"/>
    <d v="2016-02-03T13:20:37"/>
    <n v="25.94"/>
    <x v="2"/>
    <n v="2"/>
    <n v="1.7"/>
    <n v="2.2999999999999998"/>
    <n v="0"/>
    <n v="4"/>
    <x v="0"/>
    <x v="0"/>
    <x v="0"/>
    <x v="0"/>
    <n v="10"/>
    <n v="14"/>
    <e v="#N/A"/>
  </r>
  <r>
    <n v="3385"/>
    <d v="2016-02-03T10:27:05"/>
    <d v="2016-02-03T10:42:05"/>
    <x v="2"/>
    <m/>
    <m/>
    <x v="0"/>
    <n v="70808"/>
    <n v="0"/>
    <d v="2016-02-03T10:45:02"/>
    <n v="11.59"/>
    <x v="22"/>
    <n v="1"/>
    <n v="1.7"/>
    <n v="0"/>
    <n v="0"/>
    <n v="1.7"/>
    <x v="0"/>
    <x v="0"/>
    <x v="0"/>
    <x v="0"/>
    <n v="10"/>
    <e v="#N/A"/>
    <e v="#N/A"/>
  </r>
  <r>
    <n v="3386"/>
    <d v="2016-02-03T12:52:10"/>
    <d v="2016-02-03T13:07:09"/>
    <x v="1"/>
    <m/>
    <m/>
    <x v="0"/>
    <n v="70805"/>
    <n v="0"/>
    <d v="2016-02-03T13:10:09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3387"/>
    <d v="2016-02-03T11:56:45"/>
    <d v="2016-02-03T12:11:45"/>
    <x v="0"/>
    <s v="Large"/>
    <m/>
    <x v="0"/>
    <n v="70805"/>
    <n v="0"/>
    <d v="2016-02-03T12:14:45"/>
    <n v="23.34"/>
    <x v="2"/>
    <n v="2"/>
    <n v="1"/>
    <n v="2.2999999999999998"/>
    <n v="0"/>
    <n v="3.3"/>
    <x v="0"/>
    <x v="0"/>
    <x v="0"/>
    <x v="0"/>
    <n v="7"/>
    <n v="14"/>
    <e v="#N/A"/>
  </r>
  <r>
    <n v="3388"/>
    <d v="2016-02-03T12:28:52"/>
    <d v="2016-02-03T12:43:51"/>
    <x v="0"/>
    <s v="Large"/>
    <m/>
    <x v="0"/>
    <n v="70806"/>
    <n v="0"/>
    <d v="2016-02-03T12:46:51"/>
    <n v="23.34"/>
    <x v="2"/>
    <n v="2"/>
    <n v="1"/>
    <n v="2.2999999999999998"/>
    <n v="0"/>
    <n v="3.3"/>
    <x v="0"/>
    <x v="0"/>
    <x v="0"/>
    <x v="0"/>
    <n v="7"/>
    <n v="14"/>
    <e v="#N/A"/>
  </r>
  <r>
    <n v="3389"/>
    <d v="2016-02-03T13:56:50"/>
    <d v="2016-02-03T14:11:50"/>
    <x v="0"/>
    <s v="Large"/>
    <m/>
    <x v="1"/>
    <n v="70803"/>
    <n v="0.59269785470371505"/>
    <d v="2016-02-03T14:14:47"/>
    <n v="23.34"/>
    <x v="102"/>
    <n v="2"/>
    <n v="1"/>
    <n v="2.2999999999999998"/>
    <n v="0"/>
    <n v="3.3"/>
    <x v="1135"/>
    <x v="0"/>
    <x v="1725"/>
    <x v="984"/>
    <n v="7"/>
    <n v="14"/>
    <e v="#N/A"/>
  </r>
  <r>
    <n v="3390"/>
    <d v="2016-02-03T11:54:06"/>
    <d v="2016-02-03T12:09:05"/>
    <x v="0"/>
    <s v="Medium"/>
    <m/>
    <x v="0"/>
    <n v="70803"/>
    <n v="0"/>
    <d v="2016-02-03T12:12:05"/>
    <n v="19.579999999999998"/>
    <x v="2"/>
    <n v="2"/>
    <n v="1"/>
    <n v="1.7"/>
    <n v="0"/>
    <n v="2.7"/>
    <x v="0"/>
    <x v="0"/>
    <x v="0"/>
    <x v="0"/>
    <n v="7"/>
    <n v="10"/>
    <e v="#N/A"/>
  </r>
  <r>
    <n v="3391"/>
    <d v="2016-02-03T12:33:58"/>
    <d v="2016-02-03T12:48:58"/>
    <x v="0"/>
    <m/>
    <m/>
    <x v="1"/>
    <n v="70807"/>
    <n v="2.8424004103640201"/>
    <d v="2016-02-03T13:03:10"/>
    <n v="7.99"/>
    <x v="1148"/>
    <n v="1"/>
    <n v="1"/>
    <n v="0"/>
    <n v="0"/>
    <n v="1"/>
    <x v="1136"/>
    <x v="0"/>
    <x v="1726"/>
    <x v="985"/>
    <n v="7"/>
    <e v="#N/A"/>
    <e v="#N/A"/>
  </r>
  <r>
    <n v="3392"/>
    <d v="2016-02-03T11:19:35"/>
    <d v="2016-02-03T11:34:34"/>
    <x v="1"/>
    <m/>
    <m/>
    <x v="0"/>
    <n v="70805"/>
    <n v="0"/>
    <d v="2016-02-03T11:37:34"/>
    <n v="15.35"/>
    <x v="63"/>
    <n v="1"/>
    <n v="2.2999999999999998"/>
    <n v="0"/>
    <n v="0"/>
    <n v="2.2999999999999998"/>
    <x v="0"/>
    <x v="0"/>
    <x v="0"/>
    <x v="0"/>
    <n v="14"/>
    <e v="#N/A"/>
    <e v="#N/A"/>
  </r>
  <r>
    <n v="3393"/>
    <d v="2016-02-04T11:07:55"/>
    <d v="2016-02-04T11:22:55"/>
    <x v="0"/>
    <s v="Medium"/>
    <m/>
    <x v="1"/>
    <n v="70803"/>
    <n v="3.8497818890240998"/>
    <d v="2016-02-04T11:42:09"/>
    <n v="19.579999999999998"/>
    <x v="1005"/>
    <n v="2"/>
    <n v="1"/>
    <n v="1.7"/>
    <n v="0"/>
    <n v="2.7"/>
    <x v="992"/>
    <x v="1"/>
    <x v="1727"/>
    <x v="0"/>
    <n v="7"/>
    <n v="10"/>
    <e v="#N/A"/>
  </r>
  <r>
    <n v="3394"/>
    <d v="2016-02-04T11:08:15"/>
    <d v="2016-02-04T11:23:14"/>
    <x v="1"/>
    <m/>
    <m/>
    <x v="1"/>
    <n v="70805"/>
    <n v="4.1653093804590204"/>
    <d v="2016-02-04T11:44:03"/>
    <n v="15.35"/>
    <x v="266"/>
    <n v="1"/>
    <n v="2.2999999999999998"/>
    <n v="0"/>
    <n v="0"/>
    <n v="2.2999999999999998"/>
    <x v="253"/>
    <x v="1"/>
    <x v="1728"/>
    <x v="0"/>
    <n v="14"/>
    <e v="#N/A"/>
    <e v="#N/A"/>
  </r>
  <r>
    <n v="3395"/>
    <d v="2016-02-04T13:57:43"/>
    <d v="2016-02-04T14:12:44"/>
    <x v="0"/>
    <m/>
    <m/>
    <x v="1"/>
    <n v="70803"/>
    <n v="3.61386265940226"/>
    <d v="2016-02-04T14:30:48"/>
    <n v="7.99"/>
    <x v="1149"/>
    <n v="1"/>
    <n v="1"/>
    <n v="0"/>
    <n v="0"/>
    <n v="1"/>
    <x v="1137"/>
    <x v="1"/>
    <x v="1729"/>
    <x v="0"/>
    <n v="7"/>
    <e v="#N/A"/>
    <e v="#N/A"/>
  </r>
  <r>
    <n v="3396"/>
    <d v="2016-02-04T11:20:45"/>
    <d v="2016-02-04T11:35:44"/>
    <x v="2"/>
    <m/>
    <m/>
    <x v="0"/>
    <n v="70807"/>
    <n v="0"/>
    <d v="2016-02-04T11:38:45"/>
    <n v="11.59"/>
    <x v="14"/>
    <n v="1"/>
    <n v="1.7"/>
    <n v="0"/>
    <n v="0"/>
    <n v="1.7"/>
    <x v="0"/>
    <x v="0"/>
    <x v="0"/>
    <x v="0"/>
    <n v="10"/>
    <e v="#N/A"/>
    <e v="#N/A"/>
  </r>
  <r>
    <n v="3397"/>
    <d v="2016-02-04T11:17:20"/>
    <d v="2016-02-04T11:32:18"/>
    <x v="0"/>
    <s v="Large"/>
    <m/>
    <x v="1"/>
    <n v="70805"/>
    <n v="3.64772385553995"/>
    <d v="2016-02-04T11:50:32"/>
    <n v="23.34"/>
    <x v="619"/>
    <n v="2"/>
    <n v="1"/>
    <n v="2.2999999999999998"/>
    <n v="0"/>
    <n v="3.3"/>
    <x v="606"/>
    <x v="1"/>
    <x v="1730"/>
    <x v="0"/>
    <n v="7"/>
    <n v="14"/>
    <e v="#N/A"/>
  </r>
  <r>
    <n v="3398"/>
    <d v="2016-02-04T12:22:44"/>
    <d v="2016-02-04T12:37:45"/>
    <x v="2"/>
    <m/>
    <m/>
    <x v="1"/>
    <n v="70804"/>
    <n v="2.1911065448765901"/>
    <d v="2016-02-04T12:48:42"/>
    <n v="11.59"/>
    <x v="1150"/>
    <n v="1"/>
    <n v="1.7"/>
    <n v="0"/>
    <n v="0"/>
    <n v="1.7"/>
    <x v="1138"/>
    <x v="0"/>
    <x v="1731"/>
    <x v="986"/>
    <n v="10"/>
    <e v="#N/A"/>
    <e v="#N/A"/>
  </r>
  <r>
    <n v="3399"/>
    <d v="2016-02-04T11:18:21"/>
    <d v="2016-02-04T11:33:21"/>
    <x v="1"/>
    <m/>
    <m/>
    <x v="0"/>
    <n v="70805"/>
    <n v="0"/>
    <d v="2016-02-04T11:36:21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3400"/>
    <d v="2016-02-04T11:48:40"/>
    <d v="2016-02-04T12:03:39"/>
    <x v="0"/>
    <s v="Medium"/>
    <m/>
    <x v="0"/>
    <n v="70804"/>
    <n v="0"/>
    <d v="2016-02-04T12:06:37"/>
    <n v="19.579999999999998"/>
    <x v="19"/>
    <n v="2"/>
    <n v="1"/>
    <n v="1.7"/>
    <n v="0"/>
    <n v="2.7"/>
    <x v="0"/>
    <x v="0"/>
    <x v="0"/>
    <x v="0"/>
    <n v="7"/>
    <n v="10"/>
    <e v="#N/A"/>
  </r>
  <r>
    <n v="3401"/>
    <d v="2016-02-04T12:28:49"/>
    <d v="2016-02-04T12:43:50"/>
    <x v="2"/>
    <m/>
    <m/>
    <x v="0"/>
    <n v="70805"/>
    <n v="0"/>
    <d v="2016-02-04T12:46:49"/>
    <n v="11.59"/>
    <x v="24"/>
    <n v="1"/>
    <n v="1.7"/>
    <n v="0"/>
    <n v="0"/>
    <n v="1.7"/>
    <x v="0"/>
    <x v="0"/>
    <x v="0"/>
    <x v="0"/>
    <n v="10"/>
    <e v="#N/A"/>
    <e v="#N/A"/>
  </r>
  <r>
    <n v="3402"/>
    <d v="2016-02-04T12:34:07"/>
    <d v="2016-02-04T12:49:06"/>
    <x v="1"/>
    <m/>
    <m/>
    <x v="0"/>
    <n v="70806"/>
    <n v="0"/>
    <d v="2016-02-04T12:52:07"/>
    <n v="15.35"/>
    <x v="56"/>
    <n v="1"/>
    <n v="2.2999999999999998"/>
    <n v="0"/>
    <n v="0"/>
    <n v="2.2999999999999998"/>
    <x v="0"/>
    <x v="0"/>
    <x v="0"/>
    <x v="0"/>
    <n v="14"/>
    <e v="#N/A"/>
    <e v="#N/A"/>
  </r>
  <r>
    <n v="3403"/>
    <d v="2016-02-04T11:23:25"/>
    <d v="2016-02-04T11:38:24"/>
    <x v="2"/>
    <m/>
    <m/>
    <x v="0"/>
    <n v="70804"/>
    <n v="0"/>
    <d v="2016-02-04T11:41:23"/>
    <n v="11.59"/>
    <x v="24"/>
    <n v="1"/>
    <n v="1.7"/>
    <n v="0"/>
    <n v="0"/>
    <n v="1.7"/>
    <x v="0"/>
    <x v="0"/>
    <x v="0"/>
    <x v="0"/>
    <n v="10"/>
    <e v="#N/A"/>
    <e v="#N/A"/>
  </r>
  <r>
    <n v="3404"/>
    <d v="2016-02-04T11:59:14"/>
    <d v="2016-02-04T12:14:14"/>
    <x v="1"/>
    <m/>
    <m/>
    <x v="0"/>
    <n v="70806"/>
    <n v="0"/>
    <d v="2016-02-04T12:17:12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3405"/>
    <d v="2016-02-04T11:02:36"/>
    <d v="2016-02-04T11:17:35"/>
    <x v="0"/>
    <m/>
    <m/>
    <x v="1"/>
    <n v="70803"/>
    <n v="2.9179827328874199"/>
    <d v="2016-02-04T11:32:10"/>
    <n v="7.99"/>
    <x v="305"/>
    <n v="1"/>
    <n v="1"/>
    <n v="0"/>
    <n v="0"/>
    <n v="1"/>
    <x v="292"/>
    <x v="0"/>
    <x v="1732"/>
    <x v="987"/>
    <n v="7"/>
    <e v="#N/A"/>
    <e v="#N/A"/>
  </r>
  <r>
    <n v="3406"/>
    <d v="2016-02-04T12:43:19"/>
    <d v="2016-02-04T12:58:18"/>
    <x v="0"/>
    <s v="Medium"/>
    <m/>
    <x v="1"/>
    <n v="70807"/>
    <n v="4.44021564912578"/>
    <d v="2016-02-04T13:20:30"/>
    <n v="19.579999999999998"/>
    <x v="1151"/>
    <n v="2"/>
    <n v="1"/>
    <n v="1.7"/>
    <n v="0"/>
    <n v="2.7"/>
    <x v="1139"/>
    <x v="1"/>
    <x v="1733"/>
    <x v="0"/>
    <n v="7"/>
    <n v="10"/>
    <e v="#N/A"/>
  </r>
  <r>
    <n v="3407"/>
    <d v="2016-02-04T12:29:46"/>
    <d v="2016-02-04T12:44:47"/>
    <x v="0"/>
    <s v="Large"/>
    <m/>
    <x v="1"/>
    <n v="70803"/>
    <n v="3.6982724010194201"/>
    <d v="2016-02-04T13:03:16"/>
    <n v="23.34"/>
    <x v="1152"/>
    <n v="2"/>
    <n v="1"/>
    <n v="2.2999999999999998"/>
    <n v="0"/>
    <n v="3.3"/>
    <x v="1140"/>
    <x v="1"/>
    <x v="1734"/>
    <x v="0"/>
    <n v="7"/>
    <n v="14"/>
    <e v="#N/A"/>
  </r>
  <r>
    <n v="3408"/>
    <d v="2016-02-04T11:10:46"/>
    <d v="2016-02-04T11:25:47"/>
    <x v="0"/>
    <s v="Large"/>
    <m/>
    <x v="1"/>
    <n v="70804"/>
    <n v="3.55593182812347"/>
    <d v="2016-02-04T11:43:33"/>
    <n v="23.34"/>
    <x v="622"/>
    <n v="2"/>
    <n v="1"/>
    <n v="2.2999999999999998"/>
    <n v="0"/>
    <n v="3.3"/>
    <x v="609"/>
    <x v="1"/>
    <x v="1735"/>
    <x v="0"/>
    <n v="7"/>
    <n v="14"/>
    <e v="#N/A"/>
  </r>
  <r>
    <n v="3409"/>
    <d v="2016-02-04T10:25:01"/>
    <d v="2016-02-04T10:39:59"/>
    <x v="0"/>
    <s v="Medium"/>
    <m/>
    <x v="1"/>
    <n v="70804"/>
    <n v="3.7485436695946999"/>
    <d v="2016-02-04T10:58:43"/>
    <n v="19.579999999999998"/>
    <x v="471"/>
    <n v="2"/>
    <n v="1"/>
    <n v="1.7"/>
    <n v="0"/>
    <n v="2.7"/>
    <x v="458"/>
    <x v="1"/>
    <x v="1736"/>
    <x v="0"/>
    <n v="7"/>
    <n v="10"/>
    <e v="#N/A"/>
  </r>
  <r>
    <n v="3410"/>
    <d v="2016-02-04T14:52:40"/>
    <d v="2016-02-04T15:07:38"/>
    <x v="0"/>
    <s v="Medium"/>
    <m/>
    <x v="1"/>
    <n v="70805"/>
    <n v="0.62592713392696497"/>
    <d v="2016-02-04T15:10:45"/>
    <n v="19.579999999999998"/>
    <x v="1092"/>
    <n v="2"/>
    <n v="1"/>
    <n v="1.7"/>
    <n v="0"/>
    <n v="2.7"/>
    <x v="1079"/>
    <x v="0"/>
    <x v="1737"/>
    <x v="988"/>
    <n v="7"/>
    <n v="10"/>
    <e v="#N/A"/>
  </r>
  <r>
    <n v="3411"/>
    <d v="2016-02-04T10:12:17"/>
    <d v="2016-02-04T10:27:16"/>
    <x v="0"/>
    <s v="Medium"/>
    <m/>
    <x v="0"/>
    <n v="70807"/>
    <n v="0"/>
    <d v="2016-02-04T10:30:15"/>
    <n v="19.579999999999998"/>
    <x v="24"/>
    <n v="2"/>
    <n v="1"/>
    <n v="1.7"/>
    <n v="0"/>
    <n v="2.7"/>
    <x v="0"/>
    <x v="0"/>
    <x v="0"/>
    <x v="0"/>
    <n v="7"/>
    <n v="10"/>
    <e v="#N/A"/>
  </r>
  <r>
    <n v="3412"/>
    <d v="2016-02-04T13:41:29"/>
    <d v="2016-02-04T13:56:29"/>
    <x v="2"/>
    <m/>
    <m/>
    <x v="0"/>
    <n v="70805"/>
    <n v="0"/>
    <d v="2016-02-04T13:59:29"/>
    <n v="11.59"/>
    <x v="2"/>
    <n v="1"/>
    <n v="1.7"/>
    <n v="0"/>
    <n v="0"/>
    <n v="1.7"/>
    <x v="0"/>
    <x v="0"/>
    <x v="0"/>
    <x v="0"/>
    <n v="10"/>
    <e v="#N/A"/>
    <e v="#N/A"/>
  </r>
  <r>
    <n v="3413"/>
    <d v="2016-02-04T11:44:22"/>
    <d v="2016-02-04T11:59:21"/>
    <x v="1"/>
    <m/>
    <m/>
    <x v="1"/>
    <n v="70803"/>
    <n v="5.2437065884161598"/>
    <d v="2016-02-04T12:25:34"/>
    <n v="15.35"/>
    <x v="1153"/>
    <n v="1"/>
    <n v="2.2999999999999998"/>
    <n v="0"/>
    <n v="0"/>
    <n v="2.2999999999999998"/>
    <x v="1141"/>
    <x v="1"/>
    <x v="1738"/>
    <x v="0"/>
    <n v="14"/>
    <e v="#N/A"/>
    <e v="#N/A"/>
  </r>
  <r>
    <n v="3414"/>
    <d v="2016-02-04T12:57:45"/>
    <d v="2016-02-04T13:12:45"/>
    <x v="0"/>
    <m/>
    <m/>
    <x v="0"/>
    <n v="70804"/>
    <n v="0"/>
    <d v="2016-02-04T13:15:45"/>
    <n v="7.99"/>
    <x v="2"/>
    <n v="1"/>
    <n v="1"/>
    <n v="0"/>
    <n v="0"/>
    <n v="1"/>
    <x v="0"/>
    <x v="0"/>
    <x v="0"/>
    <x v="0"/>
    <n v="7"/>
    <e v="#N/A"/>
    <e v="#N/A"/>
  </r>
  <r>
    <n v="3415"/>
    <d v="2016-02-04T12:32:20"/>
    <d v="2016-02-04T12:47:19"/>
    <x v="1"/>
    <m/>
    <m/>
    <x v="0"/>
    <n v="70803"/>
    <n v="0"/>
    <d v="2016-02-04T12:50:19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3416"/>
    <d v="2016-02-04T11:58:29"/>
    <d v="2016-02-04T12:13:29"/>
    <x v="0"/>
    <s v="Medium"/>
    <m/>
    <x v="0"/>
    <n v="70804"/>
    <n v="0"/>
    <d v="2016-02-04T12:16:29"/>
    <n v="19.579999999999998"/>
    <x v="2"/>
    <n v="2"/>
    <n v="1"/>
    <n v="1.7"/>
    <n v="0"/>
    <n v="2.7"/>
    <x v="0"/>
    <x v="0"/>
    <x v="0"/>
    <x v="0"/>
    <n v="7"/>
    <n v="10"/>
    <e v="#N/A"/>
  </r>
  <r>
    <n v="3417"/>
    <d v="2016-02-04T12:42:39"/>
    <d v="2016-02-04T12:57:39"/>
    <x v="0"/>
    <s v="Large"/>
    <m/>
    <x v="0"/>
    <n v="70804"/>
    <n v="0"/>
    <d v="2016-02-04T13:00:39"/>
    <n v="23.34"/>
    <x v="2"/>
    <n v="2"/>
    <n v="1"/>
    <n v="2.2999999999999998"/>
    <n v="0"/>
    <n v="3.3"/>
    <x v="0"/>
    <x v="0"/>
    <x v="0"/>
    <x v="0"/>
    <n v="7"/>
    <n v="14"/>
    <e v="#N/A"/>
  </r>
  <r>
    <n v="3418"/>
    <d v="2016-02-04T10:51:14"/>
    <d v="2016-02-04T11:06:14"/>
    <x v="0"/>
    <s v="Medium"/>
    <m/>
    <x v="1"/>
    <n v="70804"/>
    <n v="3.49676221862692"/>
    <d v="2016-02-04T11:23:43"/>
    <n v="19.579999999999998"/>
    <x v="107"/>
    <n v="2"/>
    <n v="1"/>
    <n v="1.7"/>
    <n v="0"/>
    <n v="2.7"/>
    <x v="97"/>
    <x v="1"/>
    <x v="1739"/>
    <x v="0"/>
    <n v="7"/>
    <n v="10"/>
    <e v="#N/A"/>
  </r>
  <r>
    <n v="3419"/>
    <d v="2016-02-04T12:30:31"/>
    <d v="2016-02-04T12:45:31"/>
    <x v="1"/>
    <m/>
    <m/>
    <x v="0"/>
    <n v="70803"/>
    <n v="0"/>
    <d v="2016-02-04T12:48:32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3420"/>
    <d v="2016-02-04T12:51:22"/>
    <d v="2016-02-04T13:06:21"/>
    <x v="1"/>
    <m/>
    <m/>
    <x v="1"/>
    <n v="70803"/>
    <n v="2.62375787949123"/>
    <d v="2016-02-04T13:19:28"/>
    <n v="15.35"/>
    <x v="1154"/>
    <n v="1"/>
    <n v="2.2999999999999998"/>
    <n v="0"/>
    <n v="0"/>
    <n v="2.2999999999999998"/>
    <x v="1142"/>
    <x v="0"/>
    <x v="1740"/>
    <x v="989"/>
    <n v="14"/>
    <e v="#N/A"/>
    <e v="#N/A"/>
  </r>
  <r>
    <n v="3421"/>
    <d v="2016-02-04T13:48:42"/>
    <d v="2016-02-04T14:03:41"/>
    <x v="2"/>
    <m/>
    <m/>
    <x v="1"/>
    <n v="70808"/>
    <n v="2.10368366842301"/>
    <d v="2016-02-04T14:14:12"/>
    <n v="11.59"/>
    <x v="515"/>
    <n v="1"/>
    <n v="1.7"/>
    <n v="0"/>
    <n v="0"/>
    <n v="1.7"/>
    <x v="502"/>
    <x v="0"/>
    <x v="1741"/>
    <x v="990"/>
    <n v="10"/>
    <e v="#N/A"/>
    <e v="#N/A"/>
  </r>
  <r>
    <n v="3422"/>
    <d v="2016-02-04T11:22:06"/>
    <d v="2016-02-04T11:37:06"/>
    <x v="0"/>
    <m/>
    <m/>
    <x v="0"/>
    <n v="70805"/>
    <n v="0"/>
    <d v="2016-02-04T11:40:05"/>
    <n v="7.99"/>
    <x v="24"/>
    <n v="1"/>
    <n v="1"/>
    <n v="0"/>
    <n v="0"/>
    <n v="1"/>
    <x v="0"/>
    <x v="0"/>
    <x v="0"/>
    <x v="0"/>
    <n v="7"/>
    <e v="#N/A"/>
    <e v="#N/A"/>
  </r>
  <r>
    <n v="3423"/>
    <d v="2016-02-04T12:41:39"/>
    <d v="2016-02-04T12:56:39"/>
    <x v="2"/>
    <m/>
    <m/>
    <x v="1"/>
    <n v="70804"/>
    <n v="3.3228603500013301"/>
    <d v="2016-02-04T13:13:15"/>
    <n v="11.59"/>
    <x v="1155"/>
    <n v="1"/>
    <n v="1.7"/>
    <n v="0"/>
    <n v="0"/>
    <n v="1.7"/>
    <x v="1143"/>
    <x v="1"/>
    <x v="1742"/>
    <x v="0"/>
    <n v="10"/>
    <e v="#N/A"/>
    <e v="#N/A"/>
  </r>
  <r>
    <n v="3424"/>
    <d v="2016-02-04T11:38:05"/>
    <d v="2016-02-04T11:53:02"/>
    <x v="1"/>
    <m/>
    <m/>
    <x v="0"/>
    <n v="70804"/>
    <n v="0"/>
    <d v="2016-02-04T11:56:02"/>
    <n v="15.35"/>
    <x v="63"/>
    <n v="1"/>
    <n v="2.2999999999999998"/>
    <n v="0"/>
    <n v="0"/>
    <n v="2.2999999999999998"/>
    <x v="0"/>
    <x v="0"/>
    <x v="0"/>
    <x v="0"/>
    <n v="14"/>
    <e v="#N/A"/>
    <e v="#N/A"/>
  </r>
  <r>
    <n v="3425"/>
    <d v="2016-02-04T10:15:33"/>
    <d v="2016-02-04T10:30:33"/>
    <x v="0"/>
    <m/>
    <m/>
    <x v="1"/>
    <n v="70804"/>
    <n v="5.2373227252936996"/>
    <d v="2016-02-04T10:56:44"/>
    <n v="7.99"/>
    <x v="1128"/>
    <n v="1"/>
    <n v="1"/>
    <n v="0"/>
    <n v="0"/>
    <n v="1"/>
    <x v="1115"/>
    <x v="1"/>
    <x v="1743"/>
    <x v="0"/>
    <n v="7"/>
    <e v="#N/A"/>
    <e v="#N/A"/>
  </r>
  <r>
    <n v="3426"/>
    <d v="2016-02-04T12:22:39"/>
    <d v="2016-02-04T12:37:38"/>
    <x v="1"/>
    <m/>
    <m/>
    <x v="1"/>
    <n v="70807"/>
    <n v="5.7599023479590397"/>
    <d v="2016-02-04T13:06:25"/>
    <n v="15.35"/>
    <x v="1156"/>
    <n v="1"/>
    <n v="2.2999999999999998"/>
    <n v="0"/>
    <n v="0"/>
    <n v="2.2999999999999998"/>
    <x v="1144"/>
    <x v="1"/>
    <x v="1744"/>
    <x v="0"/>
    <n v="14"/>
    <e v="#N/A"/>
    <e v="#N/A"/>
  </r>
  <r>
    <n v="3427"/>
    <d v="2016-02-04T12:02:46"/>
    <d v="2016-02-04T12:17:46"/>
    <x v="0"/>
    <s v="Medium"/>
    <m/>
    <x v="0"/>
    <n v="70807"/>
    <n v="0"/>
    <d v="2016-02-04T12:20:46"/>
    <n v="19.579999999999998"/>
    <x v="2"/>
    <n v="2"/>
    <n v="1"/>
    <n v="1.7"/>
    <n v="0"/>
    <n v="2.7"/>
    <x v="0"/>
    <x v="0"/>
    <x v="0"/>
    <x v="0"/>
    <n v="7"/>
    <n v="10"/>
    <e v="#N/A"/>
  </r>
  <r>
    <n v="3428"/>
    <d v="2016-02-04T11:36:31"/>
    <d v="2016-02-04T11:51:33"/>
    <x v="2"/>
    <m/>
    <m/>
    <x v="0"/>
    <n v="70805"/>
    <n v="0"/>
    <d v="2016-02-04T11:54:32"/>
    <n v="11.59"/>
    <x v="24"/>
    <n v="1"/>
    <n v="1.7"/>
    <n v="0"/>
    <n v="0"/>
    <n v="1.7"/>
    <x v="0"/>
    <x v="0"/>
    <x v="0"/>
    <x v="0"/>
    <n v="10"/>
    <e v="#N/A"/>
    <e v="#N/A"/>
  </r>
  <r>
    <n v="3429"/>
    <d v="2016-02-04T10:22:16"/>
    <d v="2016-02-04T10:37:16"/>
    <x v="0"/>
    <s v="Large"/>
    <m/>
    <x v="1"/>
    <n v="70803"/>
    <n v="3.4828245795113202"/>
    <d v="2016-02-04T10:54:40"/>
    <n v="23.34"/>
    <x v="1157"/>
    <n v="2"/>
    <n v="1"/>
    <n v="2.2999999999999998"/>
    <n v="0"/>
    <n v="3.3"/>
    <x v="1145"/>
    <x v="1"/>
    <x v="1745"/>
    <x v="0"/>
    <n v="7"/>
    <n v="14"/>
    <e v="#N/A"/>
  </r>
  <r>
    <n v="3430"/>
    <d v="2016-02-04T13:40:03"/>
    <d v="2016-02-04T13:55:04"/>
    <x v="0"/>
    <m/>
    <m/>
    <x v="0"/>
    <n v="70806"/>
    <n v="0"/>
    <d v="2016-02-04T13:58:03"/>
    <n v="7.99"/>
    <x v="24"/>
    <n v="1"/>
    <n v="1"/>
    <n v="0"/>
    <n v="0"/>
    <n v="1"/>
    <x v="0"/>
    <x v="0"/>
    <x v="0"/>
    <x v="0"/>
    <n v="7"/>
    <e v="#N/A"/>
    <e v="#N/A"/>
  </r>
  <r>
    <n v="3431"/>
    <d v="2016-02-04T13:17:22"/>
    <d v="2016-02-04T13:32:22"/>
    <x v="0"/>
    <s v="Large"/>
    <m/>
    <x v="1"/>
    <n v="70803"/>
    <n v="2.6579181990466001"/>
    <d v="2016-02-04T13:45:39"/>
    <n v="23.34"/>
    <x v="606"/>
    <n v="2"/>
    <n v="1"/>
    <n v="2.2999999999999998"/>
    <n v="0"/>
    <n v="3.3"/>
    <x v="593"/>
    <x v="0"/>
    <x v="1746"/>
    <x v="991"/>
    <n v="7"/>
    <n v="14"/>
    <e v="#N/A"/>
  </r>
  <r>
    <n v="3432"/>
    <d v="2016-02-04T12:54:50"/>
    <d v="2016-02-04T13:09:50"/>
    <x v="0"/>
    <m/>
    <m/>
    <x v="1"/>
    <n v="70803"/>
    <n v="2.2860460311934299"/>
    <d v="2016-02-04T13:21:15"/>
    <n v="7.99"/>
    <x v="1158"/>
    <n v="1"/>
    <n v="1"/>
    <n v="0"/>
    <n v="0"/>
    <n v="1"/>
    <x v="1146"/>
    <x v="0"/>
    <x v="1747"/>
    <x v="992"/>
    <n v="7"/>
    <e v="#N/A"/>
    <e v="#N/A"/>
  </r>
  <r>
    <n v="3433"/>
    <d v="2016-02-04T13:21:47"/>
    <d v="2016-02-04T13:36:47"/>
    <x v="0"/>
    <m/>
    <m/>
    <x v="1"/>
    <n v="70803"/>
    <n v="1.6591503425374201"/>
    <d v="2016-02-04T13:45:04"/>
    <n v="7.99"/>
    <x v="536"/>
    <n v="1"/>
    <n v="1"/>
    <n v="0"/>
    <n v="0"/>
    <n v="1"/>
    <x v="523"/>
    <x v="0"/>
    <x v="1748"/>
    <x v="993"/>
    <n v="7"/>
    <e v="#N/A"/>
    <e v="#N/A"/>
  </r>
  <r>
    <n v="3434"/>
    <d v="2016-02-04T11:22:06"/>
    <d v="2016-02-04T11:37:06"/>
    <x v="0"/>
    <m/>
    <m/>
    <x v="0"/>
    <n v="70804"/>
    <n v="0"/>
    <d v="2016-02-04T11:40:06"/>
    <n v="7.99"/>
    <x v="2"/>
    <n v="1"/>
    <n v="1"/>
    <n v="0"/>
    <n v="0"/>
    <n v="1"/>
    <x v="0"/>
    <x v="0"/>
    <x v="0"/>
    <x v="0"/>
    <n v="7"/>
    <e v="#N/A"/>
    <e v="#N/A"/>
  </r>
  <r>
    <n v="3435"/>
    <d v="2016-02-04T11:43:42"/>
    <d v="2016-02-04T11:58:42"/>
    <x v="1"/>
    <m/>
    <m/>
    <x v="1"/>
    <n v="70803"/>
    <n v="4.2908483086146498"/>
    <d v="2016-02-04T12:20:09"/>
    <n v="15.35"/>
    <x v="1159"/>
    <n v="1"/>
    <n v="2.2999999999999998"/>
    <n v="0"/>
    <n v="0"/>
    <n v="2.2999999999999998"/>
    <x v="1147"/>
    <x v="1"/>
    <x v="1749"/>
    <x v="0"/>
    <n v="14"/>
    <e v="#N/A"/>
    <e v="#N/A"/>
  </r>
  <r>
    <n v="3436"/>
    <d v="2016-02-04T13:27:02"/>
    <d v="2016-02-04T13:42:03"/>
    <x v="0"/>
    <s v="Medium"/>
    <m/>
    <x v="1"/>
    <n v="70803"/>
    <n v="2.35852360103407"/>
    <d v="2016-02-04T13:53:50"/>
    <n v="19.579999999999998"/>
    <x v="4"/>
    <n v="2"/>
    <n v="1"/>
    <n v="1.7"/>
    <n v="0"/>
    <n v="2.7"/>
    <x v="2"/>
    <x v="0"/>
    <x v="1750"/>
    <x v="994"/>
    <n v="7"/>
    <n v="10"/>
    <e v="#N/A"/>
  </r>
  <r>
    <n v="3437"/>
    <d v="2016-02-04T11:41:29"/>
    <d v="2016-02-04T11:56:27"/>
    <x v="2"/>
    <m/>
    <m/>
    <x v="1"/>
    <n v="70805"/>
    <n v="3.0019483744500901"/>
    <d v="2016-02-04T12:11:27"/>
    <n v="11.59"/>
    <x v="287"/>
    <n v="1"/>
    <n v="1.7"/>
    <n v="0"/>
    <n v="0"/>
    <n v="1.7"/>
    <x v="274"/>
    <x v="0"/>
    <x v="1751"/>
    <x v="995"/>
    <n v="10"/>
    <e v="#N/A"/>
    <e v="#N/A"/>
  </r>
  <r>
    <n v="3438"/>
    <d v="2016-02-04T12:07:16"/>
    <d v="2016-02-04T12:22:15"/>
    <x v="0"/>
    <s v="Medium"/>
    <m/>
    <x v="1"/>
    <n v="70805"/>
    <n v="4.0483450180074403"/>
    <d v="2016-02-04T12:42:29"/>
    <n v="19.579999999999998"/>
    <x v="1160"/>
    <n v="2"/>
    <n v="1"/>
    <n v="1.7"/>
    <n v="0"/>
    <n v="2.7"/>
    <x v="1148"/>
    <x v="1"/>
    <x v="1752"/>
    <x v="0"/>
    <n v="7"/>
    <n v="10"/>
    <e v="#N/A"/>
  </r>
  <r>
    <n v="3439"/>
    <d v="2016-02-04T13:23:24"/>
    <d v="2016-02-04T13:38:22"/>
    <x v="2"/>
    <m/>
    <m/>
    <x v="0"/>
    <n v="70805"/>
    <n v="0"/>
    <d v="2016-02-04T13:41:22"/>
    <n v="11.59"/>
    <x v="2"/>
    <n v="1"/>
    <n v="1.7"/>
    <n v="0"/>
    <n v="0"/>
    <n v="1.7"/>
    <x v="0"/>
    <x v="0"/>
    <x v="0"/>
    <x v="0"/>
    <n v="10"/>
    <e v="#N/A"/>
    <e v="#N/A"/>
  </r>
  <r>
    <n v="3440"/>
    <d v="2016-02-04T11:50:31"/>
    <d v="2016-02-04T12:05:30"/>
    <x v="0"/>
    <s v="Medium"/>
    <m/>
    <x v="1"/>
    <n v="70804"/>
    <n v="2.4919243684452699"/>
    <d v="2016-02-04T12:17:57"/>
    <n v="19.579999999999998"/>
    <x v="781"/>
    <n v="2"/>
    <n v="1"/>
    <n v="1.7"/>
    <n v="0"/>
    <n v="2.7"/>
    <x v="768"/>
    <x v="0"/>
    <x v="1753"/>
    <x v="996"/>
    <n v="7"/>
    <n v="10"/>
    <e v="#N/A"/>
  </r>
  <r>
    <n v="3441"/>
    <d v="2016-02-04T14:37:46"/>
    <d v="2016-02-04T14:52:46"/>
    <x v="0"/>
    <s v="Medium"/>
    <m/>
    <x v="1"/>
    <n v="70803"/>
    <n v="4.7057131483423902"/>
    <d v="2016-02-04T15:16:17"/>
    <n v="19.579999999999998"/>
    <x v="1161"/>
    <n v="2"/>
    <n v="1"/>
    <n v="1.7"/>
    <n v="0"/>
    <n v="2.7"/>
    <x v="1149"/>
    <x v="1"/>
    <x v="1754"/>
    <x v="0"/>
    <n v="7"/>
    <n v="10"/>
    <e v="#N/A"/>
  </r>
  <r>
    <n v="3442"/>
    <d v="2016-02-04T12:35:22"/>
    <d v="2016-02-04T12:50:21"/>
    <x v="2"/>
    <m/>
    <m/>
    <x v="0"/>
    <n v="70805"/>
    <n v="0"/>
    <d v="2016-02-04T12:53:20"/>
    <n v="11.59"/>
    <x v="24"/>
    <n v="1"/>
    <n v="1.7"/>
    <n v="0"/>
    <n v="0"/>
    <n v="1.7"/>
    <x v="0"/>
    <x v="0"/>
    <x v="0"/>
    <x v="0"/>
    <n v="10"/>
    <e v="#N/A"/>
    <e v="#N/A"/>
  </r>
  <r>
    <n v="3443"/>
    <d v="2016-02-04T12:44:11"/>
    <d v="2016-02-04T12:59:09"/>
    <x v="2"/>
    <m/>
    <m/>
    <x v="1"/>
    <n v="70803"/>
    <n v="2.3313244261279902"/>
    <d v="2016-02-04T13:10:48"/>
    <n v="11.59"/>
    <x v="356"/>
    <n v="1"/>
    <n v="1.7"/>
    <n v="0"/>
    <n v="0"/>
    <n v="1.7"/>
    <x v="343"/>
    <x v="0"/>
    <x v="1755"/>
    <x v="997"/>
    <n v="10"/>
    <e v="#N/A"/>
    <e v="#N/A"/>
  </r>
  <r>
    <n v="3444"/>
    <d v="2016-02-04T13:40:16"/>
    <d v="2016-02-04T13:55:15"/>
    <x v="1"/>
    <m/>
    <m/>
    <x v="0"/>
    <n v="70804"/>
    <n v="0"/>
    <d v="2016-02-04T13:58:14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3445"/>
    <d v="2016-02-04T12:10:44"/>
    <d v="2016-02-04T12:25:43"/>
    <x v="1"/>
    <m/>
    <m/>
    <x v="1"/>
    <n v="70806"/>
    <n v="1.3086455062586599"/>
    <d v="2016-02-04T12:32:15"/>
    <n v="15.35"/>
    <x v="1162"/>
    <n v="1"/>
    <n v="2.2999999999999998"/>
    <n v="0"/>
    <n v="0"/>
    <n v="2.2999999999999998"/>
    <x v="1150"/>
    <x v="0"/>
    <x v="1756"/>
    <x v="998"/>
    <n v="14"/>
    <e v="#N/A"/>
    <e v="#N/A"/>
  </r>
  <r>
    <n v="3446"/>
    <d v="2016-02-04T11:51:58"/>
    <d v="2016-02-04T12:06:58"/>
    <x v="0"/>
    <s v="Large"/>
    <m/>
    <x v="0"/>
    <n v="70804"/>
    <n v="0"/>
    <d v="2016-02-04T12:09:57"/>
    <n v="23.34"/>
    <x v="24"/>
    <n v="2"/>
    <n v="1"/>
    <n v="2.2999999999999998"/>
    <n v="0"/>
    <n v="3.3"/>
    <x v="0"/>
    <x v="0"/>
    <x v="0"/>
    <x v="0"/>
    <n v="7"/>
    <n v="14"/>
    <e v="#N/A"/>
  </r>
  <r>
    <n v="3447"/>
    <d v="2016-02-04T11:27:15"/>
    <d v="2016-02-04T11:42:14"/>
    <x v="2"/>
    <m/>
    <m/>
    <x v="1"/>
    <n v="70806"/>
    <n v="3.05880540309205"/>
    <d v="2016-02-04T11:57:31"/>
    <n v="11.59"/>
    <x v="614"/>
    <n v="1"/>
    <n v="1.7"/>
    <n v="0"/>
    <n v="0"/>
    <n v="1.7"/>
    <x v="601"/>
    <x v="0"/>
    <x v="1757"/>
    <x v="999"/>
    <n v="10"/>
    <e v="#N/A"/>
    <e v="#N/A"/>
  </r>
  <r>
    <n v="3448"/>
    <d v="2016-02-04T10:10:22"/>
    <d v="2016-02-04T10:25:21"/>
    <x v="1"/>
    <m/>
    <m/>
    <x v="0"/>
    <n v="70804"/>
    <n v="0"/>
    <d v="2016-02-04T10:28:20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3449"/>
    <d v="2016-02-04T11:09:24"/>
    <d v="2016-02-04T11:24:25"/>
    <x v="0"/>
    <s v="Medium"/>
    <m/>
    <x v="0"/>
    <n v="70803"/>
    <n v="0"/>
    <d v="2016-02-04T11:27:26"/>
    <n v="19.579999999999998"/>
    <x v="14"/>
    <n v="2"/>
    <n v="1"/>
    <n v="1.7"/>
    <n v="0"/>
    <n v="2.7"/>
    <x v="0"/>
    <x v="0"/>
    <x v="0"/>
    <x v="0"/>
    <n v="7"/>
    <n v="10"/>
    <e v="#N/A"/>
  </r>
  <r>
    <n v="3450"/>
    <d v="2016-02-04T11:13:05"/>
    <d v="2016-02-04T11:28:05"/>
    <x v="2"/>
    <m/>
    <m/>
    <x v="0"/>
    <n v="70804"/>
    <n v="0"/>
    <d v="2016-02-04T11:31:05"/>
    <n v="11.59"/>
    <x v="2"/>
    <n v="1"/>
    <n v="1.7"/>
    <n v="0"/>
    <n v="0"/>
    <n v="1.7"/>
    <x v="0"/>
    <x v="0"/>
    <x v="0"/>
    <x v="0"/>
    <n v="10"/>
    <e v="#N/A"/>
    <e v="#N/A"/>
  </r>
  <r>
    <n v="3451"/>
    <d v="2016-02-04T12:55:58"/>
    <d v="2016-02-04T13:10:57"/>
    <x v="0"/>
    <m/>
    <m/>
    <x v="1"/>
    <n v="70805"/>
    <n v="3.24760646838992"/>
    <d v="2016-02-04T13:27:11"/>
    <n v="7.99"/>
    <x v="1163"/>
    <n v="1"/>
    <n v="1"/>
    <n v="0"/>
    <n v="0"/>
    <n v="1"/>
    <x v="1151"/>
    <x v="1"/>
    <x v="1758"/>
    <x v="0"/>
    <n v="7"/>
    <e v="#N/A"/>
    <e v="#N/A"/>
  </r>
  <r>
    <n v="3452"/>
    <d v="2016-02-04T12:47:26"/>
    <d v="2016-02-04T13:02:25"/>
    <x v="0"/>
    <s v="Medium"/>
    <m/>
    <x v="0"/>
    <n v="70803"/>
    <n v="0"/>
    <d v="2016-02-04T13:05:26"/>
    <n v="19.579999999999998"/>
    <x v="14"/>
    <n v="2"/>
    <n v="1"/>
    <n v="1.7"/>
    <n v="0"/>
    <n v="2.7"/>
    <x v="0"/>
    <x v="0"/>
    <x v="0"/>
    <x v="0"/>
    <n v="7"/>
    <n v="10"/>
    <e v="#N/A"/>
  </r>
  <r>
    <n v="3453"/>
    <d v="2016-02-04T10:15:28"/>
    <d v="2016-02-04T10:30:27"/>
    <x v="0"/>
    <m/>
    <m/>
    <x v="0"/>
    <n v="70804"/>
    <n v="0"/>
    <d v="2016-02-04T10:33:26"/>
    <n v="7.99"/>
    <x v="24"/>
    <n v="1"/>
    <n v="1"/>
    <n v="0"/>
    <n v="0"/>
    <n v="1"/>
    <x v="0"/>
    <x v="0"/>
    <x v="0"/>
    <x v="0"/>
    <n v="7"/>
    <e v="#N/A"/>
    <e v="#N/A"/>
  </r>
  <r>
    <n v="3454"/>
    <d v="2016-02-04T12:10:40"/>
    <d v="2016-02-04T12:25:41"/>
    <x v="1"/>
    <m/>
    <m/>
    <x v="1"/>
    <n v="70805"/>
    <n v="5.0803242599626603"/>
    <d v="2016-02-04T12:51:05"/>
    <n v="15.35"/>
    <x v="1164"/>
    <n v="1"/>
    <n v="2.2999999999999998"/>
    <n v="0"/>
    <n v="0"/>
    <n v="2.2999999999999998"/>
    <x v="1152"/>
    <x v="1"/>
    <x v="1759"/>
    <x v="0"/>
    <n v="14"/>
    <e v="#N/A"/>
    <e v="#N/A"/>
  </r>
  <r>
    <n v="3455"/>
    <d v="2016-02-04T11:18:14"/>
    <d v="2016-02-04T11:33:12"/>
    <x v="2"/>
    <m/>
    <m/>
    <x v="0"/>
    <n v="70805"/>
    <n v="0"/>
    <d v="2016-02-04T11:36:12"/>
    <n v="11.59"/>
    <x v="2"/>
    <n v="1"/>
    <n v="1.7"/>
    <n v="0"/>
    <n v="0"/>
    <n v="1.7"/>
    <x v="0"/>
    <x v="0"/>
    <x v="0"/>
    <x v="0"/>
    <n v="10"/>
    <e v="#N/A"/>
    <e v="#N/A"/>
  </r>
  <r>
    <n v="3456"/>
    <d v="2016-02-04T10:56:22"/>
    <d v="2016-02-04T11:11:22"/>
    <x v="1"/>
    <m/>
    <m/>
    <x v="1"/>
    <n v="70806"/>
    <n v="3.3099133191708598"/>
    <d v="2016-02-04T11:27:54"/>
    <n v="15.35"/>
    <x v="242"/>
    <n v="1"/>
    <n v="2.2999999999999998"/>
    <n v="0"/>
    <n v="0"/>
    <n v="2.2999999999999998"/>
    <x v="229"/>
    <x v="1"/>
    <x v="1760"/>
    <x v="0"/>
    <n v="14"/>
    <e v="#N/A"/>
    <e v="#N/A"/>
  </r>
  <r>
    <n v="3457"/>
    <d v="2016-02-04T10:28:31"/>
    <d v="2016-02-04T10:43:30"/>
    <x v="0"/>
    <s v="Large"/>
    <m/>
    <x v="0"/>
    <n v="70804"/>
    <n v="0"/>
    <d v="2016-02-04T10:46:29"/>
    <n v="23.34"/>
    <x v="24"/>
    <n v="2"/>
    <n v="1"/>
    <n v="2.2999999999999998"/>
    <n v="0"/>
    <n v="3.3"/>
    <x v="0"/>
    <x v="0"/>
    <x v="0"/>
    <x v="0"/>
    <n v="7"/>
    <n v="14"/>
    <e v="#N/A"/>
  </r>
  <r>
    <n v="3458"/>
    <d v="2016-02-04T12:31:21"/>
    <d v="2016-02-04T12:46:21"/>
    <x v="1"/>
    <m/>
    <m/>
    <x v="1"/>
    <n v="70803"/>
    <n v="2.6843791829025001"/>
    <d v="2016-02-04T12:59:46"/>
    <n v="15.35"/>
    <x v="1165"/>
    <n v="1"/>
    <n v="2.2999999999999998"/>
    <n v="0"/>
    <n v="0"/>
    <n v="2.2999999999999998"/>
    <x v="1153"/>
    <x v="0"/>
    <x v="1761"/>
    <x v="1000"/>
    <n v="14"/>
    <e v="#N/A"/>
    <e v="#N/A"/>
  </r>
  <r>
    <n v="3459"/>
    <d v="2016-02-04T11:50:35"/>
    <d v="2016-02-04T12:05:34"/>
    <x v="0"/>
    <s v="Large"/>
    <m/>
    <x v="0"/>
    <n v="70805"/>
    <n v="0"/>
    <d v="2016-02-04T12:08:34"/>
    <n v="23.34"/>
    <x v="2"/>
    <n v="2"/>
    <n v="1"/>
    <n v="2.2999999999999998"/>
    <n v="0"/>
    <n v="3.3"/>
    <x v="0"/>
    <x v="0"/>
    <x v="0"/>
    <x v="0"/>
    <n v="7"/>
    <n v="14"/>
    <e v="#N/A"/>
  </r>
  <r>
    <n v="3460"/>
    <d v="2016-02-04T12:48:23"/>
    <d v="2016-02-04T13:03:23"/>
    <x v="2"/>
    <m/>
    <m/>
    <x v="0"/>
    <n v="70806"/>
    <n v="0"/>
    <d v="2016-02-04T13:06:21"/>
    <n v="11.59"/>
    <x v="0"/>
    <n v="1"/>
    <n v="1.7"/>
    <n v="0"/>
    <n v="0"/>
    <n v="1.7"/>
    <x v="0"/>
    <x v="0"/>
    <x v="0"/>
    <x v="0"/>
    <n v="10"/>
    <e v="#N/A"/>
    <e v="#N/A"/>
  </r>
  <r>
    <n v="3461"/>
    <d v="2016-02-04T12:35:26"/>
    <d v="2016-02-04T12:50:25"/>
    <x v="1"/>
    <m/>
    <m/>
    <x v="0"/>
    <n v="70805"/>
    <n v="0"/>
    <d v="2016-02-04T12:53:24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3462"/>
    <d v="2016-02-04T12:49:39"/>
    <d v="2016-02-04T13:04:39"/>
    <x v="2"/>
    <m/>
    <m/>
    <x v="1"/>
    <n v="70805"/>
    <n v="0.82202864882417703"/>
    <d v="2016-02-04T13:08:45"/>
    <n v="11.59"/>
    <x v="1166"/>
    <n v="1"/>
    <n v="1.7"/>
    <n v="0"/>
    <n v="0"/>
    <n v="1.7"/>
    <x v="1154"/>
    <x v="0"/>
    <x v="1762"/>
    <x v="1001"/>
    <n v="10"/>
    <e v="#N/A"/>
    <e v="#N/A"/>
  </r>
  <r>
    <n v="3463"/>
    <d v="2016-02-04T11:12:46"/>
    <d v="2016-02-04T11:27:44"/>
    <x v="0"/>
    <s v="Medium"/>
    <m/>
    <x v="1"/>
    <n v="70806"/>
    <n v="2.8801694606583301"/>
    <d v="2016-02-04T11:42:08"/>
    <n v="19.579999999999998"/>
    <x v="506"/>
    <n v="2"/>
    <n v="1"/>
    <n v="1.7"/>
    <n v="0"/>
    <n v="2.7"/>
    <x v="493"/>
    <x v="0"/>
    <x v="1763"/>
    <x v="1002"/>
    <n v="7"/>
    <n v="10"/>
    <e v="#N/A"/>
  </r>
  <r>
    <n v="3464"/>
    <d v="2016-02-04T13:38:24"/>
    <d v="2016-02-04T13:53:23"/>
    <x v="0"/>
    <m/>
    <m/>
    <x v="0"/>
    <n v="70805"/>
    <n v="0"/>
    <d v="2016-02-04T13:56:23"/>
    <n v="7.99"/>
    <x v="2"/>
    <n v="1"/>
    <n v="1"/>
    <n v="0"/>
    <n v="0"/>
    <n v="1"/>
    <x v="0"/>
    <x v="0"/>
    <x v="0"/>
    <x v="0"/>
    <n v="7"/>
    <e v="#N/A"/>
    <e v="#N/A"/>
  </r>
  <r>
    <n v="3465"/>
    <d v="2016-02-04T11:40:34"/>
    <d v="2016-02-04T11:55:33"/>
    <x v="2"/>
    <m/>
    <m/>
    <x v="0"/>
    <n v="70805"/>
    <n v="0"/>
    <d v="2016-02-04T11:58:33"/>
    <n v="11.59"/>
    <x v="2"/>
    <n v="1"/>
    <n v="1.7"/>
    <n v="0"/>
    <n v="0"/>
    <n v="1.7"/>
    <x v="0"/>
    <x v="0"/>
    <x v="0"/>
    <x v="0"/>
    <n v="10"/>
    <e v="#N/A"/>
    <e v="#N/A"/>
  </r>
  <r>
    <n v="3466"/>
    <d v="2016-02-04T12:32:46"/>
    <d v="2016-02-04T12:47:43"/>
    <x v="2"/>
    <s v="Large"/>
    <m/>
    <x v="0"/>
    <n v="70806"/>
    <n v="0"/>
    <d v="2016-02-04T12:50:43"/>
    <n v="25.94"/>
    <x v="2"/>
    <n v="2"/>
    <n v="1.7"/>
    <n v="2.2999999999999998"/>
    <n v="0"/>
    <n v="4"/>
    <x v="0"/>
    <x v="0"/>
    <x v="0"/>
    <x v="0"/>
    <n v="10"/>
    <n v="14"/>
    <e v="#N/A"/>
  </r>
  <r>
    <n v="3467"/>
    <d v="2016-02-04T11:03:54"/>
    <d v="2016-02-04T11:18:53"/>
    <x v="0"/>
    <s v="Medium"/>
    <m/>
    <x v="0"/>
    <n v="70805"/>
    <n v="0"/>
    <d v="2016-02-04T11:21:52"/>
    <n v="19.579999999999998"/>
    <x v="1"/>
    <n v="2"/>
    <n v="1"/>
    <n v="1.7"/>
    <n v="0"/>
    <n v="2.7"/>
    <x v="0"/>
    <x v="0"/>
    <x v="0"/>
    <x v="0"/>
    <n v="7"/>
    <n v="10"/>
    <e v="#N/A"/>
  </r>
  <r>
    <n v="3468"/>
    <d v="2016-02-04T11:50:22"/>
    <d v="2016-02-04T12:05:21"/>
    <x v="0"/>
    <s v="Medium"/>
    <m/>
    <x v="1"/>
    <n v="70807"/>
    <n v="2.5345018911744699"/>
    <d v="2016-02-04T12:18:01"/>
    <n v="19.579999999999998"/>
    <x v="237"/>
    <n v="2"/>
    <n v="1"/>
    <n v="1.7"/>
    <n v="0"/>
    <n v="2.7"/>
    <x v="224"/>
    <x v="0"/>
    <x v="1764"/>
    <x v="1003"/>
    <n v="7"/>
    <n v="10"/>
    <e v="#N/A"/>
  </r>
  <r>
    <n v="3469"/>
    <d v="2016-02-04T12:10:57"/>
    <d v="2016-02-04T12:25:56"/>
    <x v="2"/>
    <m/>
    <m/>
    <x v="1"/>
    <n v="70805"/>
    <n v="1.7676882363489199"/>
    <d v="2016-02-04T12:34:46"/>
    <n v="11.59"/>
    <x v="1105"/>
    <n v="1"/>
    <n v="1.7"/>
    <n v="0"/>
    <n v="0"/>
    <n v="1.7"/>
    <x v="1092"/>
    <x v="0"/>
    <x v="1765"/>
    <x v="1004"/>
    <n v="10"/>
    <e v="#N/A"/>
    <e v="#N/A"/>
  </r>
  <r>
    <n v="3470"/>
    <d v="2016-02-04T12:36:12"/>
    <d v="2016-02-04T12:51:13"/>
    <x v="1"/>
    <m/>
    <m/>
    <x v="1"/>
    <n v="70804"/>
    <n v="1.6832506114365799"/>
    <d v="2016-02-04T12:59:37"/>
    <n v="15.35"/>
    <x v="1167"/>
    <n v="1"/>
    <n v="2.2999999999999998"/>
    <n v="0"/>
    <n v="0"/>
    <n v="2.2999999999999998"/>
    <x v="1155"/>
    <x v="0"/>
    <x v="1766"/>
    <x v="1005"/>
    <n v="14"/>
    <e v="#N/A"/>
    <e v="#N/A"/>
  </r>
  <r>
    <n v="3471"/>
    <d v="2016-02-04T10:08:41"/>
    <d v="2016-02-04T10:23:41"/>
    <x v="0"/>
    <m/>
    <m/>
    <x v="0"/>
    <n v="70803"/>
    <n v="0"/>
    <d v="2016-02-04T10:26:39"/>
    <n v="7.99"/>
    <x v="0"/>
    <n v="1"/>
    <n v="1"/>
    <n v="0"/>
    <n v="0"/>
    <n v="1"/>
    <x v="0"/>
    <x v="0"/>
    <x v="0"/>
    <x v="0"/>
    <n v="7"/>
    <e v="#N/A"/>
    <e v="#N/A"/>
  </r>
  <r>
    <n v="3472"/>
    <d v="2016-02-04T12:34:04"/>
    <d v="2016-02-04T12:49:03"/>
    <x v="0"/>
    <s v="Medium"/>
    <m/>
    <x v="0"/>
    <n v="70803"/>
    <n v="0"/>
    <d v="2016-02-04T12:52:02"/>
    <n v="19.579999999999998"/>
    <x v="24"/>
    <n v="2"/>
    <n v="1"/>
    <n v="1.7"/>
    <n v="0"/>
    <n v="2.7"/>
    <x v="0"/>
    <x v="0"/>
    <x v="0"/>
    <x v="0"/>
    <n v="7"/>
    <n v="10"/>
    <e v="#N/A"/>
  </r>
  <r>
    <n v="3473"/>
    <d v="2016-02-04T12:28:43"/>
    <d v="2016-02-04T12:43:43"/>
    <x v="1"/>
    <m/>
    <m/>
    <x v="1"/>
    <n v="70806"/>
    <n v="2.5131903608930699"/>
    <d v="2016-02-04T12:56:16"/>
    <n v="15.35"/>
    <x v="1168"/>
    <n v="1"/>
    <n v="2.2999999999999998"/>
    <n v="0"/>
    <n v="0"/>
    <n v="2.2999999999999998"/>
    <x v="1156"/>
    <x v="0"/>
    <x v="1767"/>
    <x v="1006"/>
    <n v="14"/>
    <e v="#N/A"/>
    <e v="#N/A"/>
  </r>
  <r>
    <n v="3474"/>
    <d v="2016-02-04T14:59:22"/>
    <d v="2016-02-04T15:14:21"/>
    <x v="0"/>
    <m/>
    <m/>
    <x v="1"/>
    <n v="70804"/>
    <n v="4.4977053927193298"/>
    <d v="2016-02-04T15:36:50"/>
    <n v="7.99"/>
    <x v="1169"/>
    <n v="1"/>
    <n v="1"/>
    <n v="0"/>
    <n v="0"/>
    <n v="1"/>
    <x v="1157"/>
    <x v="1"/>
    <x v="1768"/>
    <x v="0"/>
    <n v="7"/>
    <e v="#N/A"/>
    <e v="#N/A"/>
  </r>
  <r>
    <n v="3475"/>
    <d v="2016-02-04T10:01:09"/>
    <d v="2016-02-04T10:16:09"/>
    <x v="1"/>
    <m/>
    <m/>
    <x v="0"/>
    <n v="70805"/>
    <n v="0"/>
    <d v="2016-02-04T10:19:10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3476"/>
    <d v="2016-02-04T11:05:10"/>
    <d v="2016-02-04T11:20:09"/>
    <x v="2"/>
    <m/>
    <m/>
    <x v="0"/>
    <n v="70804"/>
    <n v="0"/>
    <d v="2016-02-04T11:23:06"/>
    <n v="11.59"/>
    <x v="102"/>
    <n v="1"/>
    <n v="1.7"/>
    <n v="0"/>
    <n v="0"/>
    <n v="1.7"/>
    <x v="0"/>
    <x v="0"/>
    <x v="0"/>
    <x v="0"/>
    <n v="10"/>
    <e v="#N/A"/>
    <e v="#N/A"/>
  </r>
  <r>
    <n v="3477"/>
    <d v="2016-02-04T13:31:33"/>
    <d v="2016-02-04T13:46:33"/>
    <x v="2"/>
    <m/>
    <m/>
    <x v="0"/>
    <n v="70805"/>
    <n v="0"/>
    <d v="2016-02-04T13:49:35"/>
    <n v="11.59"/>
    <x v="67"/>
    <n v="1"/>
    <n v="1.7"/>
    <n v="0"/>
    <n v="0"/>
    <n v="1.7"/>
    <x v="0"/>
    <x v="0"/>
    <x v="0"/>
    <x v="0"/>
    <n v="10"/>
    <e v="#N/A"/>
    <e v="#N/A"/>
  </r>
  <r>
    <n v="3478"/>
    <d v="2016-02-04T11:16:38"/>
    <d v="2016-02-04T11:31:38"/>
    <x v="0"/>
    <s v="Large"/>
    <m/>
    <x v="1"/>
    <n v="70803"/>
    <n v="0.77140179407612197"/>
    <d v="2016-02-04T11:35:29"/>
    <n v="23.34"/>
    <x v="1170"/>
    <n v="2"/>
    <n v="1"/>
    <n v="2.2999999999999998"/>
    <n v="0"/>
    <n v="3.3"/>
    <x v="1158"/>
    <x v="0"/>
    <x v="1769"/>
    <x v="1007"/>
    <n v="7"/>
    <n v="14"/>
    <e v="#N/A"/>
  </r>
  <r>
    <n v="3479"/>
    <d v="2016-02-04T12:33:49"/>
    <d v="2016-02-04T12:48:49"/>
    <x v="0"/>
    <s v="Medium"/>
    <m/>
    <x v="0"/>
    <n v="70807"/>
    <n v="0"/>
    <d v="2016-02-04T12:51:49"/>
    <n v="19.579999999999998"/>
    <x v="2"/>
    <n v="2"/>
    <n v="1"/>
    <n v="1.7"/>
    <n v="0"/>
    <n v="2.7"/>
    <x v="0"/>
    <x v="0"/>
    <x v="0"/>
    <x v="0"/>
    <n v="7"/>
    <n v="10"/>
    <e v="#N/A"/>
  </r>
  <r>
    <n v="3480"/>
    <d v="2016-02-04T12:38:31"/>
    <d v="2016-02-04T12:53:30"/>
    <x v="2"/>
    <m/>
    <m/>
    <x v="1"/>
    <n v="70807"/>
    <n v="3.0764907657358198"/>
    <d v="2016-02-04T13:08:52"/>
    <n v="11.59"/>
    <x v="252"/>
    <n v="1"/>
    <n v="1.7"/>
    <n v="0"/>
    <n v="0"/>
    <n v="1.7"/>
    <x v="239"/>
    <x v="0"/>
    <x v="1770"/>
    <x v="1008"/>
    <n v="10"/>
    <e v="#N/A"/>
    <e v="#N/A"/>
  </r>
  <r>
    <n v="3481"/>
    <d v="2016-02-04T11:07:40"/>
    <d v="2016-02-04T11:22:41"/>
    <x v="2"/>
    <m/>
    <m/>
    <x v="0"/>
    <n v="70803"/>
    <n v="0"/>
    <d v="2016-02-04T11:25:41"/>
    <n v="11.59"/>
    <x v="2"/>
    <n v="1"/>
    <n v="1.7"/>
    <n v="0"/>
    <n v="0"/>
    <n v="1.7"/>
    <x v="0"/>
    <x v="0"/>
    <x v="0"/>
    <x v="0"/>
    <n v="10"/>
    <e v="#N/A"/>
    <e v="#N/A"/>
  </r>
  <r>
    <n v="3482"/>
    <d v="2016-02-04T10:23:59"/>
    <d v="2016-02-04T10:38:58"/>
    <x v="1"/>
    <m/>
    <m/>
    <x v="1"/>
    <n v="70803"/>
    <n v="4.1577424733926502"/>
    <d v="2016-02-04T10:59:45"/>
    <n v="15.35"/>
    <x v="919"/>
    <n v="1"/>
    <n v="2.2999999999999998"/>
    <n v="0"/>
    <n v="0"/>
    <n v="2.2999999999999998"/>
    <x v="906"/>
    <x v="1"/>
    <x v="1771"/>
    <x v="0"/>
    <n v="14"/>
    <e v="#N/A"/>
    <e v="#N/A"/>
  </r>
  <r>
    <n v="3483"/>
    <d v="2016-02-04T11:35:49"/>
    <d v="2016-02-04T11:50:49"/>
    <x v="2"/>
    <m/>
    <m/>
    <x v="0"/>
    <n v="70804"/>
    <n v="0"/>
    <d v="2016-02-04T11:53:49"/>
    <n v="11.59"/>
    <x v="2"/>
    <n v="1"/>
    <n v="1.7"/>
    <n v="0"/>
    <n v="0"/>
    <n v="1.7"/>
    <x v="0"/>
    <x v="0"/>
    <x v="0"/>
    <x v="0"/>
    <n v="10"/>
    <e v="#N/A"/>
    <e v="#N/A"/>
  </r>
  <r>
    <n v="3484"/>
    <d v="2016-02-04T11:22:29"/>
    <d v="2016-02-04T11:37:29"/>
    <x v="2"/>
    <m/>
    <m/>
    <x v="0"/>
    <n v="70804"/>
    <n v="0"/>
    <d v="2016-02-04T11:40:29"/>
    <n v="11.59"/>
    <x v="2"/>
    <n v="1"/>
    <n v="1.7"/>
    <n v="0"/>
    <n v="0"/>
    <n v="1.7"/>
    <x v="0"/>
    <x v="0"/>
    <x v="0"/>
    <x v="0"/>
    <n v="10"/>
    <e v="#N/A"/>
    <e v="#N/A"/>
  </r>
  <r>
    <n v="3485"/>
    <d v="2016-02-04T11:56:30"/>
    <d v="2016-02-04T12:11:29"/>
    <x v="1"/>
    <m/>
    <m/>
    <x v="1"/>
    <n v="70803"/>
    <n v="3.7977338858407199"/>
    <d v="2016-02-04T12:30:28"/>
    <n v="15.35"/>
    <x v="992"/>
    <n v="1"/>
    <n v="2.2999999999999998"/>
    <n v="0"/>
    <n v="0"/>
    <n v="2.2999999999999998"/>
    <x v="979"/>
    <x v="1"/>
    <x v="1772"/>
    <x v="0"/>
    <n v="14"/>
    <e v="#N/A"/>
    <e v="#N/A"/>
  </r>
  <r>
    <n v="3486"/>
    <d v="2016-02-05T12:04:45"/>
    <d v="2016-02-05T12:19:44"/>
    <x v="1"/>
    <m/>
    <m/>
    <x v="1"/>
    <n v="70806"/>
    <n v="1.94588057079669"/>
    <d v="2016-02-05T12:29:27"/>
    <n v="15.35"/>
    <x v="60"/>
    <n v="1"/>
    <n v="2.2999999999999998"/>
    <n v="0"/>
    <n v="0"/>
    <n v="2.2999999999999998"/>
    <x v="53"/>
    <x v="0"/>
    <x v="1773"/>
    <x v="1009"/>
    <n v="14"/>
    <e v="#N/A"/>
    <e v="#N/A"/>
  </r>
  <r>
    <n v="3487"/>
    <d v="2016-02-05T12:35:48"/>
    <d v="2016-02-05T12:50:47"/>
    <x v="0"/>
    <s v="Medium"/>
    <m/>
    <x v="0"/>
    <n v="70805"/>
    <n v="0"/>
    <d v="2016-02-05T12:53:46"/>
    <n v="19.579999999999998"/>
    <x v="24"/>
    <n v="2"/>
    <n v="1"/>
    <n v="1.7"/>
    <n v="0"/>
    <n v="2.7"/>
    <x v="0"/>
    <x v="0"/>
    <x v="0"/>
    <x v="0"/>
    <n v="7"/>
    <n v="10"/>
    <e v="#N/A"/>
  </r>
  <r>
    <n v="3488"/>
    <d v="2016-02-05T12:10:47"/>
    <d v="2016-02-05T12:25:46"/>
    <x v="0"/>
    <s v="Medium"/>
    <m/>
    <x v="0"/>
    <n v="70804"/>
    <n v="0"/>
    <d v="2016-02-05T12:28:45"/>
    <n v="19.579999999999998"/>
    <x v="1"/>
    <n v="2"/>
    <n v="1"/>
    <n v="1.7"/>
    <n v="0"/>
    <n v="2.7"/>
    <x v="0"/>
    <x v="0"/>
    <x v="0"/>
    <x v="0"/>
    <n v="7"/>
    <n v="10"/>
    <e v="#N/A"/>
  </r>
  <r>
    <n v="3489"/>
    <d v="2016-02-05T12:40:04"/>
    <d v="2016-02-05T12:55:04"/>
    <x v="0"/>
    <s v="Medium"/>
    <m/>
    <x v="1"/>
    <n v="70804"/>
    <n v="3.6363981094991602"/>
    <d v="2016-02-05T13:13:14"/>
    <n v="19.579999999999998"/>
    <x v="1097"/>
    <n v="2"/>
    <n v="1"/>
    <n v="1.7"/>
    <n v="0"/>
    <n v="2.7"/>
    <x v="1084"/>
    <x v="1"/>
    <x v="1774"/>
    <x v="0"/>
    <n v="7"/>
    <n v="10"/>
    <e v="#N/A"/>
  </r>
  <r>
    <n v="3490"/>
    <d v="2016-02-05T12:22:53"/>
    <d v="2016-02-05T12:37:53"/>
    <x v="0"/>
    <m/>
    <m/>
    <x v="0"/>
    <n v="70803"/>
    <n v="0"/>
    <d v="2016-02-05T12:40:52"/>
    <n v="7.99"/>
    <x v="24"/>
    <n v="1"/>
    <n v="1"/>
    <n v="0"/>
    <n v="0"/>
    <n v="1"/>
    <x v="0"/>
    <x v="0"/>
    <x v="0"/>
    <x v="0"/>
    <n v="7"/>
    <e v="#N/A"/>
    <e v="#N/A"/>
  </r>
  <r>
    <n v="3491"/>
    <d v="2016-02-05T12:49:29"/>
    <d v="2016-02-05T13:04:27"/>
    <x v="2"/>
    <m/>
    <m/>
    <x v="0"/>
    <n v="70804"/>
    <n v="0"/>
    <d v="2016-02-05T13:07:28"/>
    <n v="11.59"/>
    <x v="14"/>
    <n v="1"/>
    <n v="1.7"/>
    <n v="0"/>
    <n v="0"/>
    <n v="1.7"/>
    <x v="0"/>
    <x v="0"/>
    <x v="0"/>
    <x v="0"/>
    <n v="10"/>
    <e v="#N/A"/>
    <e v="#N/A"/>
  </r>
  <r>
    <n v="3492"/>
    <d v="2016-02-05T12:16:14"/>
    <d v="2016-02-05T12:31:16"/>
    <x v="1"/>
    <m/>
    <m/>
    <x v="1"/>
    <n v="70804"/>
    <n v="1.7918256483474899"/>
    <d v="2016-02-05T12:40:13"/>
    <n v="15.35"/>
    <x v="731"/>
    <n v="1"/>
    <n v="2.2999999999999998"/>
    <n v="0"/>
    <n v="0"/>
    <n v="2.2999999999999998"/>
    <x v="718"/>
    <x v="0"/>
    <x v="1775"/>
    <x v="1010"/>
    <n v="14"/>
    <e v="#N/A"/>
    <e v="#N/A"/>
  </r>
  <r>
    <n v="3493"/>
    <d v="2016-02-05T12:48:35"/>
    <d v="2016-02-05T13:03:34"/>
    <x v="0"/>
    <m/>
    <m/>
    <x v="0"/>
    <n v="70805"/>
    <n v="0"/>
    <d v="2016-02-05T13:06:34"/>
    <n v="7.99"/>
    <x v="2"/>
    <n v="1"/>
    <n v="1"/>
    <n v="0"/>
    <n v="0"/>
    <n v="1"/>
    <x v="0"/>
    <x v="0"/>
    <x v="0"/>
    <x v="0"/>
    <n v="7"/>
    <e v="#N/A"/>
    <e v="#N/A"/>
  </r>
  <r>
    <n v="3494"/>
    <d v="2016-02-05T11:47:23"/>
    <d v="2016-02-05T12:02:21"/>
    <x v="2"/>
    <s v="Large"/>
    <m/>
    <x v="0"/>
    <n v="70805"/>
    <n v="0"/>
    <d v="2016-02-05T12:05:21"/>
    <n v="25.94"/>
    <x v="2"/>
    <n v="2"/>
    <n v="1.7"/>
    <n v="2.2999999999999998"/>
    <n v="0"/>
    <n v="4"/>
    <x v="0"/>
    <x v="0"/>
    <x v="0"/>
    <x v="0"/>
    <n v="10"/>
    <n v="14"/>
    <e v="#N/A"/>
  </r>
  <r>
    <n v="3495"/>
    <d v="2016-02-05T13:58:20"/>
    <d v="2016-02-05T14:13:17"/>
    <x v="1"/>
    <m/>
    <m/>
    <x v="0"/>
    <n v="70805"/>
    <n v="0"/>
    <d v="2016-02-05T14:16:16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3496"/>
    <d v="2016-02-05T12:06:42"/>
    <d v="2016-02-05T12:21:40"/>
    <x v="0"/>
    <s v="Medium"/>
    <m/>
    <x v="1"/>
    <n v="70804"/>
    <n v="2.01867180429372"/>
    <d v="2016-02-05T12:31:45"/>
    <n v="19.579999999999998"/>
    <x v="358"/>
    <n v="2"/>
    <n v="1"/>
    <n v="1.7"/>
    <n v="0"/>
    <n v="2.7"/>
    <x v="345"/>
    <x v="0"/>
    <x v="1776"/>
    <x v="1011"/>
    <n v="7"/>
    <n v="10"/>
    <e v="#N/A"/>
  </r>
  <r>
    <n v="3497"/>
    <d v="2016-02-05T13:25:52"/>
    <d v="2016-02-05T13:40:51"/>
    <x v="0"/>
    <m/>
    <m/>
    <x v="1"/>
    <n v="70804"/>
    <n v="3.6384596594475598"/>
    <d v="2016-02-05T13:59:02"/>
    <n v="7.99"/>
    <x v="1171"/>
    <n v="1"/>
    <n v="1"/>
    <n v="0"/>
    <n v="0"/>
    <n v="1"/>
    <x v="1159"/>
    <x v="1"/>
    <x v="1777"/>
    <x v="0"/>
    <n v="7"/>
    <e v="#N/A"/>
    <e v="#N/A"/>
  </r>
  <r>
    <n v="3498"/>
    <d v="2016-02-05T12:52:08"/>
    <d v="2016-02-05T13:07:08"/>
    <x v="2"/>
    <m/>
    <m/>
    <x v="1"/>
    <n v="70803"/>
    <n v="4.7092297180755498"/>
    <d v="2016-02-05T13:30:40"/>
    <n v="11.59"/>
    <x v="1172"/>
    <n v="1"/>
    <n v="1.7"/>
    <n v="0"/>
    <n v="0"/>
    <n v="1.7"/>
    <x v="1160"/>
    <x v="1"/>
    <x v="1778"/>
    <x v="0"/>
    <n v="10"/>
    <e v="#N/A"/>
    <e v="#N/A"/>
  </r>
  <r>
    <n v="3499"/>
    <d v="2016-02-05T11:33:23"/>
    <d v="2016-02-05T11:48:23"/>
    <x v="0"/>
    <s v="Large"/>
    <m/>
    <x v="1"/>
    <n v="70807"/>
    <n v="1.41192562012844"/>
    <d v="2016-02-05T11:55:26"/>
    <n v="23.34"/>
    <x v="495"/>
    <n v="2"/>
    <n v="1"/>
    <n v="2.2999999999999998"/>
    <n v="0"/>
    <n v="3.3"/>
    <x v="482"/>
    <x v="0"/>
    <x v="1779"/>
    <x v="1012"/>
    <n v="7"/>
    <n v="14"/>
    <e v="#N/A"/>
  </r>
  <r>
    <n v="3500"/>
    <d v="2016-02-05T10:30:32"/>
    <d v="2016-02-05T10:45:30"/>
    <x v="2"/>
    <m/>
    <m/>
    <x v="1"/>
    <n v="70806"/>
    <n v="4.9805380530638299"/>
    <d v="2016-02-05T11:10:24"/>
    <n v="11.59"/>
    <x v="1173"/>
    <n v="1"/>
    <n v="1.7"/>
    <n v="0"/>
    <n v="0"/>
    <n v="1.7"/>
    <x v="1161"/>
    <x v="1"/>
    <x v="1780"/>
    <x v="0"/>
    <n v="10"/>
    <e v="#N/A"/>
    <e v="#N/A"/>
  </r>
  <r>
    <n v="3501"/>
    <d v="2016-02-05T12:32:08"/>
    <d v="2016-02-05T12:47:09"/>
    <x v="2"/>
    <m/>
    <m/>
    <x v="0"/>
    <n v="70806"/>
    <n v="0"/>
    <d v="2016-02-05T12:50:10"/>
    <n v="11.59"/>
    <x v="14"/>
    <n v="1"/>
    <n v="1.7"/>
    <n v="0"/>
    <n v="0"/>
    <n v="1.7"/>
    <x v="0"/>
    <x v="0"/>
    <x v="0"/>
    <x v="0"/>
    <n v="10"/>
    <e v="#N/A"/>
    <e v="#N/A"/>
  </r>
  <r>
    <n v="3502"/>
    <d v="2016-02-05T13:13:39"/>
    <d v="2016-02-05T13:28:38"/>
    <x v="1"/>
    <m/>
    <m/>
    <x v="1"/>
    <n v="70807"/>
    <n v="2.2383185896139999"/>
    <d v="2016-02-05T13:39:49"/>
    <n v="15.35"/>
    <x v="1174"/>
    <n v="1"/>
    <n v="2.2999999999999998"/>
    <n v="0"/>
    <n v="0"/>
    <n v="2.2999999999999998"/>
    <x v="1162"/>
    <x v="0"/>
    <x v="1781"/>
    <x v="1013"/>
    <n v="14"/>
    <e v="#N/A"/>
    <e v="#N/A"/>
  </r>
  <r>
    <n v="3503"/>
    <d v="2016-02-05T12:30:25"/>
    <d v="2016-02-05T12:45:25"/>
    <x v="0"/>
    <m/>
    <m/>
    <x v="1"/>
    <n v="70806"/>
    <n v="2.6352704854198499"/>
    <d v="2016-02-05T12:58:35"/>
    <n v="7.99"/>
    <x v="374"/>
    <n v="1"/>
    <n v="1"/>
    <n v="0"/>
    <n v="0"/>
    <n v="1"/>
    <x v="361"/>
    <x v="0"/>
    <x v="1782"/>
    <x v="1014"/>
    <n v="7"/>
    <e v="#N/A"/>
    <e v="#N/A"/>
  </r>
  <r>
    <n v="3504"/>
    <d v="2016-02-05T12:50:24"/>
    <d v="2016-02-05T13:05:23"/>
    <x v="0"/>
    <m/>
    <m/>
    <x v="1"/>
    <n v="70806"/>
    <n v="3.19754654029455"/>
    <d v="2016-02-05T13:21:22"/>
    <n v="7.99"/>
    <x v="1175"/>
    <n v="1"/>
    <n v="1"/>
    <n v="0"/>
    <n v="0"/>
    <n v="1"/>
    <x v="1163"/>
    <x v="0"/>
    <x v="1783"/>
    <x v="1015"/>
    <n v="7"/>
    <e v="#N/A"/>
    <e v="#N/A"/>
  </r>
  <r>
    <n v="3505"/>
    <d v="2016-02-05T13:43:58"/>
    <d v="2016-02-05T13:58:57"/>
    <x v="2"/>
    <m/>
    <m/>
    <x v="0"/>
    <n v="70805"/>
    <n v="0"/>
    <d v="2016-02-05T14:01:56"/>
    <n v="11.59"/>
    <x v="1"/>
    <n v="1"/>
    <n v="1.7"/>
    <n v="0"/>
    <n v="0"/>
    <n v="1.7"/>
    <x v="0"/>
    <x v="0"/>
    <x v="0"/>
    <x v="0"/>
    <n v="10"/>
    <e v="#N/A"/>
    <e v="#N/A"/>
  </r>
  <r>
    <n v="3506"/>
    <d v="2016-02-05T12:31:23"/>
    <d v="2016-02-05T12:46:21"/>
    <x v="2"/>
    <m/>
    <m/>
    <x v="0"/>
    <n v="70806"/>
    <n v="0"/>
    <d v="2016-02-05T12:49:21"/>
    <n v="11.59"/>
    <x v="2"/>
    <n v="1"/>
    <n v="1.7"/>
    <n v="0"/>
    <n v="0"/>
    <n v="1.7"/>
    <x v="0"/>
    <x v="0"/>
    <x v="0"/>
    <x v="0"/>
    <n v="10"/>
    <e v="#N/A"/>
    <e v="#N/A"/>
  </r>
  <r>
    <n v="3507"/>
    <d v="2016-02-05T10:28:44"/>
    <d v="2016-02-05T10:43:44"/>
    <x v="2"/>
    <m/>
    <m/>
    <x v="1"/>
    <n v="70803"/>
    <n v="2.7037200257472298"/>
    <d v="2016-02-05T10:57:15"/>
    <n v="11.59"/>
    <x v="452"/>
    <n v="1"/>
    <n v="1.7"/>
    <n v="0"/>
    <n v="0"/>
    <n v="1.7"/>
    <x v="439"/>
    <x v="0"/>
    <x v="1784"/>
    <x v="1016"/>
    <n v="10"/>
    <e v="#N/A"/>
    <e v="#N/A"/>
  </r>
  <r>
    <n v="3508"/>
    <d v="2016-02-05T12:04:46"/>
    <d v="2016-02-05T12:19:45"/>
    <x v="1"/>
    <m/>
    <m/>
    <x v="1"/>
    <n v="70804"/>
    <n v="3.3876150558904401"/>
    <d v="2016-02-05T12:36:41"/>
    <n v="15.35"/>
    <x v="1176"/>
    <n v="1"/>
    <n v="2.2999999999999998"/>
    <n v="0"/>
    <n v="0"/>
    <n v="2.2999999999999998"/>
    <x v="1164"/>
    <x v="1"/>
    <x v="1785"/>
    <x v="0"/>
    <n v="14"/>
    <e v="#N/A"/>
    <e v="#N/A"/>
  </r>
  <r>
    <n v="3509"/>
    <d v="2016-02-05T11:43:36"/>
    <d v="2016-02-05T11:58:35"/>
    <x v="0"/>
    <s v="Medium"/>
    <m/>
    <x v="1"/>
    <n v="70805"/>
    <n v="1.9818254729545499"/>
    <d v="2016-02-05T12:08:29"/>
    <n v="19.579999999999998"/>
    <x v="123"/>
    <n v="2"/>
    <n v="1"/>
    <n v="1.7"/>
    <n v="0"/>
    <n v="2.7"/>
    <x v="113"/>
    <x v="0"/>
    <x v="1786"/>
    <x v="1017"/>
    <n v="7"/>
    <n v="10"/>
    <e v="#N/A"/>
  </r>
  <r>
    <n v="3510"/>
    <d v="2016-02-05T13:53:23"/>
    <d v="2016-02-05T14:08:24"/>
    <x v="2"/>
    <m/>
    <m/>
    <x v="0"/>
    <n v="70806"/>
    <n v="0"/>
    <d v="2016-02-05T14:11:23"/>
    <n v="11.59"/>
    <x v="1"/>
    <n v="1"/>
    <n v="1.7"/>
    <n v="0"/>
    <n v="0"/>
    <n v="1.7"/>
    <x v="0"/>
    <x v="0"/>
    <x v="0"/>
    <x v="0"/>
    <n v="10"/>
    <e v="#N/A"/>
    <e v="#N/A"/>
  </r>
  <r>
    <n v="3511"/>
    <d v="2016-02-05T12:43:51"/>
    <d v="2016-02-05T12:58:51"/>
    <x v="0"/>
    <s v="Medium"/>
    <m/>
    <x v="1"/>
    <n v="70806"/>
    <n v="2.8888362418775499"/>
    <d v="2016-02-05T13:13:17"/>
    <n v="19.579999999999998"/>
    <x v="1082"/>
    <n v="2"/>
    <n v="1"/>
    <n v="1.7"/>
    <n v="0"/>
    <n v="2.7"/>
    <x v="1069"/>
    <x v="0"/>
    <x v="1787"/>
    <x v="1018"/>
    <n v="7"/>
    <n v="10"/>
    <e v="#N/A"/>
  </r>
  <r>
    <n v="3512"/>
    <d v="2016-02-05T12:35:51"/>
    <d v="2016-02-05T12:50:49"/>
    <x v="2"/>
    <m/>
    <m/>
    <x v="1"/>
    <n v="70806"/>
    <n v="3.7463290811121799"/>
    <d v="2016-02-05T13:09:32"/>
    <n v="11.59"/>
    <x v="1177"/>
    <n v="1"/>
    <n v="1.7"/>
    <n v="0"/>
    <n v="0"/>
    <n v="1.7"/>
    <x v="1165"/>
    <x v="1"/>
    <x v="1788"/>
    <x v="0"/>
    <n v="10"/>
    <e v="#N/A"/>
    <e v="#N/A"/>
  </r>
  <r>
    <n v="3513"/>
    <d v="2016-02-05T12:35:27"/>
    <d v="2016-02-05T12:50:26"/>
    <x v="2"/>
    <m/>
    <m/>
    <x v="1"/>
    <n v="70807"/>
    <n v="2.6068745552734098"/>
    <d v="2016-02-05T13:03:28"/>
    <n v="11.59"/>
    <x v="1118"/>
    <n v="1"/>
    <n v="1.7"/>
    <n v="0"/>
    <n v="0"/>
    <n v="1.7"/>
    <x v="1105"/>
    <x v="0"/>
    <x v="1789"/>
    <x v="1019"/>
    <n v="10"/>
    <e v="#N/A"/>
    <e v="#N/A"/>
  </r>
  <r>
    <n v="3514"/>
    <d v="2016-02-05T13:02:54"/>
    <d v="2016-02-05T13:17:54"/>
    <x v="0"/>
    <m/>
    <m/>
    <x v="1"/>
    <n v="70803"/>
    <n v="2.6866024994286901"/>
    <d v="2016-02-05T13:31:19"/>
    <n v="7.99"/>
    <x v="1165"/>
    <n v="1"/>
    <n v="1"/>
    <n v="0"/>
    <n v="0"/>
    <n v="1"/>
    <x v="1153"/>
    <x v="0"/>
    <x v="1790"/>
    <x v="1020"/>
    <n v="7"/>
    <e v="#N/A"/>
    <e v="#N/A"/>
  </r>
  <r>
    <n v="3515"/>
    <d v="2016-02-05T12:58:47"/>
    <d v="2016-02-05T13:13:48"/>
    <x v="0"/>
    <m/>
    <m/>
    <x v="0"/>
    <n v="70806"/>
    <n v="0"/>
    <d v="2016-02-05T13:16:47"/>
    <n v="7.99"/>
    <x v="1"/>
    <n v="1"/>
    <n v="1"/>
    <n v="0"/>
    <n v="0"/>
    <n v="1"/>
    <x v="0"/>
    <x v="0"/>
    <x v="0"/>
    <x v="0"/>
    <n v="7"/>
    <e v="#N/A"/>
    <e v="#N/A"/>
  </r>
  <r>
    <n v="3516"/>
    <d v="2016-02-05T12:38:39"/>
    <d v="2016-02-05T12:53:39"/>
    <x v="0"/>
    <m/>
    <m/>
    <x v="1"/>
    <n v="70804"/>
    <n v="3.18486648204268"/>
    <d v="2016-02-05T13:09:34"/>
    <n v="7.99"/>
    <x v="705"/>
    <n v="1"/>
    <n v="1"/>
    <n v="0"/>
    <n v="0"/>
    <n v="1"/>
    <x v="692"/>
    <x v="0"/>
    <x v="1791"/>
    <x v="1021"/>
    <n v="7"/>
    <e v="#N/A"/>
    <e v="#N/A"/>
  </r>
  <r>
    <n v="3517"/>
    <d v="2016-02-05T14:28:04"/>
    <d v="2016-02-05T14:43:03"/>
    <x v="2"/>
    <m/>
    <m/>
    <x v="1"/>
    <n v="70804"/>
    <n v="3.7010875898200801"/>
    <d v="2016-02-05T15:01:33"/>
    <n v="11.59"/>
    <x v="628"/>
    <n v="1"/>
    <n v="1.7"/>
    <n v="0"/>
    <n v="0"/>
    <n v="1.7"/>
    <x v="615"/>
    <x v="1"/>
    <x v="1792"/>
    <x v="0"/>
    <n v="10"/>
    <e v="#N/A"/>
    <e v="#N/A"/>
  </r>
  <r>
    <n v="3518"/>
    <d v="2016-02-05T11:36:54"/>
    <d v="2016-02-05T11:51:53"/>
    <x v="1"/>
    <m/>
    <m/>
    <x v="0"/>
    <n v="70808"/>
    <n v="0"/>
    <d v="2016-02-05T11:54:53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3519"/>
    <d v="2016-02-05T10:19:46"/>
    <d v="2016-02-05T10:34:46"/>
    <x v="2"/>
    <m/>
    <m/>
    <x v="1"/>
    <n v="70805"/>
    <n v="2.6525750173295699"/>
    <d v="2016-02-05T10:48:01"/>
    <n v="11.59"/>
    <x v="1178"/>
    <n v="1"/>
    <n v="1.7"/>
    <n v="0"/>
    <n v="0"/>
    <n v="1.7"/>
    <x v="1166"/>
    <x v="0"/>
    <x v="1793"/>
    <x v="1022"/>
    <n v="10"/>
    <e v="#N/A"/>
    <e v="#N/A"/>
  </r>
  <r>
    <n v="3520"/>
    <d v="2016-02-05T12:25:28"/>
    <d v="2016-02-05T12:40:26"/>
    <x v="1"/>
    <m/>
    <m/>
    <x v="0"/>
    <n v="70804"/>
    <n v="0"/>
    <d v="2016-02-05T12:43:25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3521"/>
    <d v="2016-02-05T11:15:37"/>
    <d v="2016-02-05T11:30:36"/>
    <x v="0"/>
    <s v="Medium"/>
    <m/>
    <x v="1"/>
    <n v="70805"/>
    <n v="2.6786134542576598"/>
    <d v="2016-02-05T11:43:59"/>
    <n v="19.579999999999998"/>
    <x v="1179"/>
    <n v="2"/>
    <n v="1"/>
    <n v="1.7"/>
    <n v="0"/>
    <n v="2.7"/>
    <x v="1167"/>
    <x v="0"/>
    <x v="1794"/>
    <x v="1023"/>
    <n v="7"/>
    <n v="10"/>
    <e v="#N/A"/>
  </r>
  <r>
    <n v="3522"/>
    <d v="2016-02-05T11:53:59"/>
    <d v="2016-02-05T12:08:59"/>
    <x v="2"/>
    <m/>
    <m/>
    <x v="1"/>
    <n v="70805"/>
    <n v="2.52023657078598"/>
    <d v="2016-02-05T12:21:35"/>
    <n v="11.59"/>
    <x v="86"/>
    <n v="1"/>
    <n v="1.7"/>
    <n v="0"/>
    <n v="0"/>
    <n v="1.7"/>
    <x v="77"/>
    <x v="0"/>
    <x v="1795"/>
    <x v="1024"/>
    <n v="10"/>
    <e v="#N/A"/>
    <e v="#N/A"/>
  </r>
  <r>
    <n v="3523"/>
    <d v="2016-02-05T11:32:30"/>
    <d v="2016-02-05T11:47:30"/>
    <x v="2"/>
    <s v="Large"/>
    <m/>
    <x v="0"/>
    <n v="70803"/>
    <n v="0"/>
    <d v="2016-02-05T11:50:29"/>
    <n v="25.94"/>
    <x v="24"/>
    <n v="2"/>
    <n v="1.7"/>
    <n v="2.2999999999999998"/>
    <n v="0"/>
    <n v="4"/>
    <x v="0"/>
    <x v="0"/>
    <x v="0"/>
    <x v="0"/>
    <n v="10"/>
    <n v="14"/>
    <e v="#N/A"/>
  </r>
  <r>
    <n v="3524"/>
    <d v="2016-02-05T10:25:52"/>
    <d v="2016-02-05T10:40:53"/>
    <x v="1"/>
    <m/>
    <m/>
    <x v="1"/>
    <n v="70803"/>
    <n v="2.6522833468090399"/>
    <d v="2016-02-05T10:54:08"/>
    <n v="15.35"/>
    <x v="1119"/>
    <n v="1"/>
    <n v="2.2999999999999998"/>
    <n v="0"/>
    <n v="0"/>
    <n v="2.2999999999999998"/>
    <x v="1106"/>
    <x v="0"/>
    <x v="1796"/>
    <x v="1025"/>
    <n v="14"/>
    <e v="#N/A"/>
    <e v="#N/A"/>
  </r>
  <r>
    <n v="3525"/>
    <d v="2016-02-05T13:31:32"/>
    <d v="2016-02-05T13:46:32"/>
    <x v="0"/>
    <m/>
    <m/>
    <x v="0"/>
    <n v="70804"/>
    <n v="0"/>
    <d v="2016-02-05T13:49:33"/>
    <n v="7.99"/>
    <x v="14"/>
    <n v="1"/>
    <n v="1"/>
    <n v="0"/>
    <n v="0"/>
    <n v="1"/>
    <x v="0"/>
    <x v="0"/>
    <x v="0"/>
    <x v="0"/>
    <n v="7"/>
    <e v="#N/A"/>
    <e v="#N/A"/>
  </r>
  <r>
    <n v="3526"/>
    <d v="2016-02-05T14:29:58"/>
    <d v="2016-02-05T14:44:55"/>
    <x v="1"/>
    <m/>
    <m/>
    <x v="1"/>
    <n v="70805"/>
    <n v="3.10023262715749"/>
    <d v="2016-02-05T15:00:25"/>
    <n v="15.35"/>
    <x v="439"/>
    <n v="1"/>
    <n v="2.2999999999999998"/>
    <n v="0"/>
    <n v="0"/>
    <n v="2.2999999999999998"/>
    <x v="426"/>
    <x v="0"/>
    <x v="1797"/>
    <x v="1026"/>
    <n v="14"/>
    <e v="#N/A"/>
    <e v="#N/A"/>
  </r>
  <r>
    <n v="3527"/>
    <d v="2016-02-05T11:09:29"/>
    <d v="2016-02-05T11:24:27"/>
    <x v="2"/>
    <m/>
    <m/>
    <x v="0"/>
    <n v="70806"/>
    <n v="0"/>
    <d v="2016-02-05T11:27:26"/>
    <n v="11.59"/>
    <x v="1"/>
    <n v="1"/>
    <n v="1.7"/>
    <n v="0"/>
    <n v="0"/>
    <n v="1.7"/>
    <x v="0"/>
    <x v="0"/>
    <x v="0"/>
    <x v="0"/>
    <n v="10"/>
    <e v="#N/A"/>
    <e v="#N/A"/>
  </r>
  <r>
    <n v="3528"/>
    <d v="2016-02-05T11:43:55"/>
    <d v="2016-02-05T11:58:53"/>
    <x v="0"/>
    <m/>
    <m/>
    <x v="0"/>
    <n v="70804"/>
    <n v="0"/>
    <d v="2016-02-05T12:01:52"/>
    <n v="7.99"/>
    <x v="24"/>
    <n v="1"/>
    <n v="1"/>
    <n v="0"/>
    <n v="0"/>
    <n v="1"/>
    <x v="0"/>
    <x v="0"/>
    <x v="0"/>
    <x v="0"/>
    <n v="7"/>
    <e v="#N/A"/>
    <e v="#N/A"/>
  </r>
  <r>
    <n v="3529"/>
    <d v="2016-02-05T11:13:00"/>
    <d v="2016-02-05T11:28:00"/>
    <x v="1"/>
    <m/>
    <m/>
    <x v="0"/>
    <n v="70805"/>
    <n v="0"/>
    <d v="2016-02-05T11:30:59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3530"/>
    <d v="2016-02-05T10:20:39"/>
    <d v="2016-02-05T10:35:38"/>
    <x v="0"/>
    <s v="Large"/>
    <m/>
    <x v="0"/>
    <n v="70804"/>
    <n v="0"/>
    <d v="2016-02-05T10:38:38"/>
    <n v="23.34"/>
    <x v="2"/>
    <n v="2"/>
    <n v="1"/>
    <n v="2.2999999999999998"/>
    <n v="0"/>
    <n v="3.3"/>
    <x v="0"/>
    <x v="0"/>
    <x v="0"/>
    <x v="0"/>
    <n v="7"/>
    <n v="14"/>
    <e v="#N/A"/>
  </r>
  <r>
    <n v="3531"/>
    <d v="2016-02-05T10:19:32"/>
    <d v="2016-02-05T10:34:33"/>
    <x v="2"/>
    <s v="Large"/>
    <m/>
    <x v="1"/>
    <n v="70804"/>
    <n v="3.0782766655462601"/>
    <d v="2016-02-05T10:49:56"/>
    <n v="25.94"/>
    <x v="727"/>
    <n v="2"/>
    <n v="1.7"/>
    <n v="2.2999999999999998"/>
    <n v="0"/>
    <n v="4"/>
    <x v="714"/>
    <x v="0"/>
    <x v="1798"/>
    <x v="1027"/>
    <n v="10"/>
    <n v="14"/>
    <e v="#N/A"/>
  </r>
  <r>
    <n v="3532"/>
    <d v="2016-02-05T12:46:46"/>
    <d v="2016-02-05T13:01:44"/>
    <x v="0"/>
    <s v="Medium"/>
    <m/>
    <x v="0"/>
    <n v="70804"/>
    <n v="0"/>
    <d v="2016-02-05T13:04:44"/>
    <n v="19.579999999999998"/>
    <x v="2"/>
    <n v="2"/>
    <n v="1"/>
    <n v="1.7"/>
    <n v="0"/>
    <n v="2.7"/>
    <x v="0"/>
    <x v="0"/>
    <x v="0"/>
    <x v="0"/>
    <n v="7"/>
    <n v="10"/>
    <e v="#N/A"/>
  </r>
  <r>
    <n v="3533"/>
    <d v="2016-02-05T11:18:49"/>
    <d v="2016-02-05T11:33:50"/>
    <x v="2"/>
    <s v="Large"/>
    <m/>
    <x v="0"/>
    <n v="70806"/>
    <n v="0"/>
    <d v="2016-02-05T11:36:49"/>
    <n v="25.94"/>
    <x v="24"/>
    <n v="2"/>
    <n v="1.7"/>
    <n v="2.2999999999999998"/>
    <n v="0"/>
    <n v="4"/>
    <x v="0"/>
    <x v="0"/>
    <x v="0"/>
    <x v="0"/>
    <n v="10"/>
    <n v="14"/>
    <e v="#N/A"/>
  </r>
  <r>
    <n v="3534"/>
    <d v="2016-02-05T11:09:48"/>
    <d v="2016-02-05T11:24:49"/>
    <x v="2"/>
    <m/>
    <m/>
    <x v="0"/>
    <n v="70804"/>
    <n v="0"/>
    <d v="2016-02-05T11:27:48"/>
    <n v="11.59"/>
    <x v="24"/>
    <n v="1"/>
    <n v="1.7"/>
    <n v="0"/>
    <n v="0"/>
    <n v="1.7"/>
    <x v="0"/>
    <x v="0"/>
    <x v="0"/>
    <x v="0"/>
    <n v="10"/>
    <e v="#N/A"/>
    <e v="#N/A"/>
  </r>
  <r>
    <n v="3535"/>
    <d v="2016-02-05T12:53:01"/>
    <d v="2016-02-05T13:08:01"/>
    <x v="0"/>
    <s v="Medium"/>
    <m/>
    <x v="1"/>
    <n v="70804"/>
    <n v="3.03279774998339"/>
    <d v="2016-02-05T13:23:10"/>
    <n v="19.579999999999998"/>
    <x v="718"/>
    <n v="2"/>
    <n v="1"/>
    <n v="1.7"/>
    <n v="0"/>
    <n v="2.7"/>
    <x v="705"/>
    <x v="0"/>
    <x v="1799"/>
    <x v="1028"/>
    <n v="7"/>
    <n v="10"/>
    <e v="#N/A"/>
  </r>
  <r>
    <n v="3536"/>
    <d v="2016-02-05T11:37:54"/>
    <d v="2016-02-05T11:52:54"/>
    <x v="0"/>
    <s v="Large"/>
    <m/>
    <x v="0"/>
    <n v="70804"/>
    <n v="0"/>
    <d v="2016-02-05T11:55:55"/>
    <n v="23.34"/>
    <x v="14"/>
    <n v="2"/>
    <n v="1"/>
    <n v="2.2999999999999998"/>
    <n v="0"/>
    <n v="3.3"/>
    <x v="0"/>
    <x v="0"/>
    <x v="0"/>
    <x v="0"/>
    <n v="7"/>
    <n v="14"/>
    <e v="#N/A"/>
  </r>
  <r>
    <n v="3537"/>
    <d v="2016-02-05T12:13:25"/>
    <d v="2016-02-05T12:28:24"/>
    <x v="0"/>
    <s v="Medium"/>
    <m/>
    <x v="0"/>
    <n v="70805"/>
    <n v="0"/>
    <d v="2016-02-05T12:31:22"/>
    <n v="19.579999999999998"/>
    <x v="0"/>
    <n v="2"/>
    <n v="1"/>
    <n v="1.7"/>
    <n v="0"/>
    <n v="2.7"/>
    <x v="0"/>
    <x v="0"/>
    <x v="0"/>
    <x v="0"/>
    <n v="7"/>
    <n v="10"/>
    <e v="#N/A"/>
  </r>
  <r>
    <n v="3538"/>
    <d v="2016-02-05T10:31:47"/>
    <d v="2016-02-05T10:46:45"/>
    <x v="0"/>
    <s v="Medium"/>
    <m/>
    <x v="0"/>
    <n v="70805"/>
    <n v="0"/>
    <d v="2016-02-05T10:49:44"/>
    <n v="19.579999999999998"/>
    <x v="1"/>
    <n v="2"/>
    <n v="1"/>
    <n v="1.7"/>
    <n v="0"/>
    <n v="2.7"/>
    <x v="0"/>
    <x v="0"/>
    <x v="0"/>
    <x v="0"/>
    <n v="7"/>
    <n v="10"/>
    <e v="#N/A"/>
  </r>
  <r>
    <n v="3539"/>
    <d v="2016-02-05T11:39:00"/>
    <d v="2016-02-05T11:53:59"/>
    <x v="0"/>
    <m/>
    <m/>
    <x v="0"/>
    <n v="70804"/>
    <n v="0"/>
    <d v="2016-02-05T11:56:59"/>
    <n v="7.99"/>
    <x v="2"/>
    <n v="1"/>
    <n v="1"/>
    <n v="0"/>
    <n v="0"/>
    <n v="1"/>
    <x v="0"/>
    <x v="0"/>
    <x v="0"/>
    <x v="0"/>
    <n v="7"/>
    <e v="#N/A"/>
    <e v="#N/A"/>
  </r>
  <r>
    <n v="3540"/>
    <d v="2016-02-05T11:51:17"/>
    <d v="2016-02-05T12:06:18"/>
    <x v="0"/>
    <m/>
    <m/>
    <x v="1"/>
    <n v="70805"/>
    <n v="4.5955370388673096"/>
    <d v="2016-02-05T12:29:16"/>
    <n v="7.99"/>
    <x v="229"/>
    <n v="1"/>
    <n v="1"/>
    <n v="0"/>
    <n v="0"/>
    <n v="1"/>
    <x v="216"/>
    <x v="1"/>
    <x v="1800"/>
    <x v="0"/>
    <n v="7"/>
    <e v="#N/A"/>
    <e v="#N/A"/>
  </r>
  <r>
    <n v="3541"/>
    <d v="2016-02-05T12:07:21"/>
    <d v="2016-02-05T12:22:19"/>
    <x v="2"/>
    <m/>
    <m/>
    <x v="0"/>
    <n v="70803"/>
    <n v="0"/>
    <d v="2016-02-05T12:25:20"/>
    <n v="11.59"/>
    <x v="14"/>
    <n v="1"/>
    <n v="1.7"/>
    <n v="0"/>
    <n v="0"/>
    <n v="1.7"/>
    <x v="0"/>
    <x v="0"/>
    <x v="0"/>
    <x v="0"/>
    <n v="10"/>
    <e v="#N/A"/>
    <e v="#N/A"/>
  </r>
  <r>
    <n v="3542"/>
    <d v="2016-02-05T12:09:57"/>
    <d v="2016-02-05T12:24:56"/>
    <x v="0"/>
    <s v="Medium"/>
    <m/>
    <x v="1"/>
    <n v="70803"/>
    <n v="3.7141281339508798"/>
    <d v="2016-02-05T12:43:30"/>
    <n v="19.579999999999998"/>
    <x v="1180"/>
    <n v="2"/>
    <n v="1"/>
    <n v="1.7"/>
    <n v="0"/>
    <n v="2.7"/>
    <x v="1168"/>
    <x v="1"/>
    <x v="1801"/>
    <x v="0"/>
    <n v="7"/>
    <n v="10"/>
    <e v="#N/A"/>
  </r>
  <r>
    <n v="3543"/>
    <d v="2016-02-05T11:05:18"/>
    <d v="2016-02-05T11:20:17"/>
    <x v="2"/>
    <m/>
    <m/>
    <x v="0"/>
    <n v="70803"/>
    <n v="0"/>
    <d v="2016-02-05T11:23:16"/>
    <n v="11.59"/>
    <x v="1"/>
    <n v="1"/>
    <n v="1.7"/>
    <n v="0"/>
    <n v="0"/>
    <n v="1.7"/>
    <x v="0"/>
    <x v="0"/>
    <x v="0"/>
    <x v="0"/>
    <n v="10"/>
    <e v="#N/A"/>
    <e v="#N/A"/>
  </r>
  <r>
    <n v="3544"/>
    <d v="2016-02-05T12:39:21"/>
    <d v="2016-02-05T12:54:20"/>
    <x v="1"/>
    <m/>
    <m/>
    <x v="1"/>
    <n v="70806"/>
    <n v="4.2313655999968098"/>
    <d v="2016-02-05T13:15:29"/>
    <n v="15.35"/>
    <x v="357"/>
    <n v="1"/>
    <n v="2.2999999999999998"/>
    <n v="0"/>
    <n v="0"/>
    <n v="2.2999999999999998"/>
    <x v="344"/>
    <x v="1"/>
    <x v="1802"/>
    <x v="0"/>
    <n v="14"/>
    <e v="#N/A"/>
    <e v="#N/A"/>
  </r>
  <r>
    <n v="3545"/>
    <d v="2016-02-05T12:38:21"/>
    <d v="2016-02-05T12:53:21"/>
    <x v="0"/>
    <s v="Large"/>
    <m/>
    <x v="0"/>
    <n v="70807"/>
    <n v="0"/>
    <d v="2016-02-05T12:56:21"/>
    <n v="23.34"/>
    <x v="2"/>
    <n v="2"/>
    <n v="1"/>
    <n v="2.2999999999999998"/>
    <n v="0"/>
    <n v="3.3"/>
    <x v="0"/>
    <x v="0"/>
    <x v="0"/>
    <x v="0"/>
    <n v="7"/>
    <n v="14"/>
    <e v="#N/A"/>
  </r>
  <r>
    <n v="3546"/>
    <d v="2016-02-05T10:28:08"/>
    <d v="2016-02-05T10:43:08"/>
    <x v="0"/>
    <s v="Medium"/>
    <m/>
    <x v="1"/>
    <n v="70804"/>
    <n v="0.94695486872537504"/>
    <d v="2016-02-05T10:47:52"/>
    <n v="19.579999999999998"/>
    <x v="1181"/>
    <n v="2"/>
    <n v="1"/>
    <n v="1.7"/>
    <n v="0"/>
    <n v="2.7"/>
    <x v="1169"/>
    <x v="0"/>
    <x v="1803"/>
    <x v="1029"/>
    <n v="7"/>
    <n v="10"/>
    <e v="#N/A"/>
  </r>
  <r>
    <n v="3547"/>
    <d v="2016-02-05T11:34:04"/>
    <d v="2016-02-05T11:49:05"/>
    <x v="0"/>
    <s v="Medium"/>
    <m/>
    <x v="1"/>
    <n v="70805"/>
    <n v="1.5067670622620499"/>
    <d v="2016-02-05T11:56:37"/>
    <n v="19.579999999999998"/>
    <x v="1182"/>
    <n v="2"/>
    <n v="1"/>
    <n v="1.7"/>
    <n v="0"/>
    <n v="2.7"/>
    <x v="1170"/>
    <x v="0"/>
    <x v="1804"/>
    <x v="1030"/>
    <n v="7"/>
    <n v="10"/>
    <e v="#N/A"/>
  </r>
  <r>
    <n v="3548"/>
    <d v="2016-02-05T12:14:28"/>
    <d v="2016-02-05T12:29:28"/>
    <x v="2"/>
    <m/>
    <m/>
    <x v="1"/>
    <n v="70803"/>
    <n v="1.46160261063825"/>
    <d v="2016-02-05T12:36:46"/>
    <n v="11.59"/>
    <x v="1183"/>
    <n v="1"/>
    <n v="1.7"/>
    <n v="0"/>
    <n v="0"/>
    <n v="1.7"/>
    <x v="1171"/>
    <x v="0"/>
    <x v="1805"/>
    <x v="1031"/>
    <n v="10"/>
    <e v="#N/A"/>
    <e v="#N/A"/>
  </r>
  <r>
    <n v="3549"/>
    <d v="2016-02-05T13:59:20"/>
    <d v="2016-02-05T14:14:18"/>
    <x v="1"/>
    <m/>
    <m/>
    <x v="1"/>
    <n v="70805"/>
    <n v="3.6229674613167102"/>
    <d v="2016-02-05T14:32:24"/>
    <n v="15.35"/>
    <x v="868"/>
    <n v="1"/>
    <n v="2.2999999999999998"/>
    <n v="0"/>
    <n v="0"/>
    <n v="2.2999999999999998"/>
    <x v="855"/>
    <x v="1"/>
    <x v="1806"/>
    <x v="0"/>
    <n v="14"/>
    <e v="#N/A"/>
    <e v="#N/A"/>
  </r>
  <r>
    <n v="3550"/>
    <d v="2016-02-05T12:31:46"/>
    <d v="2016-02-05T12:46:46"/>
    <x v="2"/>
    <m/>
    <m/>
    <x v="1"/>
    <n v="70805"/>
    <n v="1.55813041605925"/>
    <d v="2016-02-05T12:54:33"/>
    <n v="11.59"/>
    <x v="519"/>
    <n v="1"/>
    <n v="1.7"/>
    <n v="0"/>
    <n v="0"/>
    <n v="1.7"/>
    <x v="506"/>
    <x v="0"/>
    <x v="1807"/>
    <x v="1032"/>
    <n v="10"/>
    <e v="#N/A"/>
    <e v="#N/A"/>
  </r>
  <r>
    <n v="3551"/>
    <d v="2016-02-05T11:56:22"/>
    <d v="2016-02-05T12:11:22"/>
    <x v="1"/>
    <m/>
    <m/>
    <x v="1"/>
    <n v="70803"/>
    <n v="1.8870535839515601"/>
    <d v="2016-02-05T12:20:48"/>
    <n v="15.35"/>
    <x v="1184"/>
    <n v="1"/>
    <n v="2.2999999999999998"/>
    <n v="0"/>
    <n v="0"/>
    <n v="2.2999999999999998"/>
    <x v="1172"/>
    <x v="0"/>
    <x v="1808"/>
    <x v="1033"/>
    <n v="14"/>
    <e v="#N/A"/>
    <e v="#N/A"/>
  </r>
  <r>
    <n v="3552"/>
    <d v="2016-02-05T12:07:09"/>
    <d v="2016-02-05T12:22:08"/>
    <x v="1"/>
    <m/>
    <m/>
    <x v="1"/>
    <n v="70803"/>
    <n v="4.7328031352313804"/>
    <d v="2016-02-05T12:45:47"/>
    <n v="15.35"/>
    <x v="1185"/>
    <n v="1"/>
    <n v="2.2999999999999998"/>
    <n v="0"/>
    <n v="0"/>
    <n v="2.2999999999999998"/>
    <x v="1173"/>
    <x v="1"/>
    <x v="1809"/>
    <x v="0"/>
    <n v="14"/>
    <e v="#N/A"/>
    <e v="#N/A"/>
  </r>
  <r>
    <n v="3553"/>
    <d v="2016-02-05T13:36:58"/>
    <d v="2016-02-05T13:51:58"/>
    <x v="2"/>
    <m/>
    <m/>
    <x v="1"/>
    <n v="70807"/>
    <n v="2.5127606781288199"/>
    <d v="2016-02-05T14:04:31"/>
    <n v="11.59"/>
    <x v="1168"/>
    <n v="1"/>
    <n v="1.7"/>
    <n v="0"/>
    <n v="0"/>
    <n v="1.7"/>
    <x v="1156"/>
    <x v="0"/>
    <x v="1810"/>
    <x v="1034"/>
    <n v="10"/>
    <e v="#N/A"/>
    <e v="#N/A"/>
  </r>
  <r>
    <n v="3554"/>
    <d v="2016-02-05T11:23:41"/>
    <d v="2016-02-05T11:38:39"/>
    <x v="1"/>
    <m/>
    <m/>
    <x v="0"/>
    <n v="70806"/>
    <n v="0"/>
    <d v="2016-02-05T11:41:39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3555"/>
    <d v="2016-02-05T11:07:30"/>
    <d v="2016-02-05T11:22:29"/>
    <x v="0"/>
    <s v="Medium"/>
    <m/>
    <x v="0"/>
    <n v="70803"/>
    <n v="0"/>
    <d v="2016-02-05T11:25:30"/>
    <n v="19.579999999999998"/>
    <x v="14"/>
    <n v="2"/>
    <n v="1"/>
    <n v="1.7"/>
    <n v="0"/>
    <n v="2.7"/>
    <x v="0"/>
    <x v="0"/>
    <x v="0"/>
    <x v="0"/>
    <n v="7"/>
    <n v="10"/>
    <e v="#N/A"/>
  </r>
  <r>
    <n v="3556"/>
    <d v="2016-02-05T11:50:28"/>
    <d v="2016-02-05T12:05:28"/>
    <x v="2"/>
    <m/>
    <m/>
    <x v="0"/>
    <n v="70803"/>
    <n v="0"/>
    <d v="2016-02-05T12:08:28"/>
    <n v="11.59"/>
    <x v="2"/>
    <n v="1"/>
    <n v="1.7"/>
    <n v="0"/>
    <n v="0"/>
    <n v="1.7"/>
    <x v="0"/>
    <x v="0"/>
    <x v="0"/>
    <x v="0"/>
    <n v="10"/>
    <e v="#N/A"/>
    <e v="#N/A"/>
  </r>
  <r>
    <n v="3557"/>
    <d v="2016-02-05T11:51:09"/>
    <d v="2016-02-05T12:06:09"/>
    <x v="1"/>
    <m/>
    <m/>
    <x v="0"/>
    <n v="70804"/>
    <n v="0"/>
    <d v="2016-02-05T12:09:11"/>
    <n v="15.35"/>
    <x v="67"/>
    <n v="1"/>
    <n v="2.2999999999999998"/>
    <n v="0"/>
    <n v="0"/>
    <n v="2.2999999999999998"/>
    <x v="0"/>
    <x v="0"/>
    <x v="0"/>
    <x v="0"/>
    <n v="14"/>
    <e v="#N/A"/>
    <e v="#N/A"/>
  </r>
  <r>
    <n v="3558"/>
    <d v="2016-02-05T12:36:55"/>
    <d v="2016-02-05T12:51:54"/>
    <x v="0"/>
    <s v="Medium"/>
    <m/>
    <x v="0"/>
    <n v="70805"/>
    <n v="0"/>
    <d v="2016-02-05T12:54:54"/>
    <n v="19.579999999999998"/>
    <x v="2"/>
    <n v="2"/>
    <n v="1"/>
    <n v="1.7"/>
    <n v="0"/>
    <n v="2.7"/>
    <x v="0"/>
    <x v="0"/>
    <x v="0"/>
    <x v="0"/>
    <n v="7"/>
    <n v="10"/>
    <e v="#N/A"/>
  </r>
  <r>
    <n v="3559"/>
    <d v="2016-02-05T11:42:58"/>
    <d v="2016-02-05T11:57:56"/>
    <x v="0"/>
    <m/>
    <m/>
    <x v="0"/>
    <n v="70803"/>
    <n v="0"/>
    <d v="2016-02-05T12:00:56"/>
    <n v="7.99"/>
    <x v="2"/>
    <n v="1"/>
    <n v="1"/>
    <n v="0"/>
    <n v="0"/>
    <n v="1"/>
    <x v="0"/>
    <x v="0"/>
    <x v="0"/>
    <x v="0"/>
    <n v="7"/>
    <e v="#N/A"/>
    <e v="#N/A"/>
  </r>
  <r>
    <n v="3560"/>
    <d v="2016-02-05T10:46:27"/>
    <d v="2016-02-05T11:01:27"/>
    <x v="2"/>
    <m/>
    <m/>
    <x v="1"/>
    <n v="70805"/>
    <n v="3.9350025573874001"/>
    <d v="2016-02-05T11:21:07"/>
    <n v="11.59"/>
    <x v="1126"/>
    <n v="1"/>
    <n v="1.7"/>
    <n v="0"/>
    <n v="0"/>
    <n v="1.7"/>
    <x v="1113"/>
    <x v="1"/>
    <x v="1811"/>
    <x v="0"/>
    <n v="10"/>
    <e v="#N/A"/>
    <e v="#N/A"/>
  </r>
  <r>
    <n v="3561"/>
    <d v="2016-02-05T12:33:07"/>
    <d v="2016-02-05T12:48:08"/>
    <x v="0"/>
    <s v="Medium"/>
    <m/>
    <x v="0"/>
    <n v="70807"/>
    <n v="0"/>
    <d v="2016-02-05T12:51:07"/>
    <n v="19.579999999999998"/>
    <x v="1"/>
    <n v="2"/>
    <n v="1"/>
    <n v="1.7"/>
    <n v="0"/>
    <n v="2.7"/>
    <x v="0"/>
    <x v="0"/>
    <x v="0"/>
    <x v="0"/>
    <n v="7"/>
    <n v="10"/>
    <e v="#N/A"/>
  </r>
  <r>
    <n v="3562"/>
    <d v="2016-02-05T11:07:26"/>
    <d v="2016-02-05T11:22:27"/>
    <x v="0"/>
    <m/>
    <m/>
    <x v="1"/>
    <n v="70803"/>
    <n v="3.6147521565585601"/>
    <d v="2016-02-05T11:40:31"/>
    <n v="7.99"/>
    <x v="55"/>
    <n v="1"/>
    <n v="1"/>
    <n v="0"/>
    <n v="0"/>
    <n v="1"/>
    <x v="49"/>
    <x v="1"/>
    <x v="1812"/>
    <x v="0"/>
    <n v="7"/>
    <e v="#N/A"/>
    <e v="#N/A"/>
  </r>
  <r>
    <n v="3563"/>
    <d v="2016-02-05T11:53:17"/>
    <d v="2016-02-05T12:08:17"/>
    <x v="2"/>
    <m/>
    <m/>
    <x v="1"/>
    <n v="70807"/>
    <n v="3.3039655426243399"/>
    <d v="2016-02-05T12:24:48"/>
    <n v="11.59"/>
    <x v="1104"/>
    <n v="1"/>
    <n v="1.7"/>
    <n v="0"/>
    <n v="0"/>
    <n v="1.7"/>
    <x v="1091"/>
    <x v="1"/>
    <x v="1813"/>
    <x v="0"/>
    <n v="10"/>
    <e v="#N/A"/>
    <e v="#N/A"/>
  </r>
  <r>
    <n v="3564"/>
    <d v="2016-02-05T10:39:06"/>
    <d v="2016-02-05T10:54:06"/>
    <x v="0"/>
    <m/>
    <m/>
    <x v="1"/>
    <n v="70806"/>
    <n v="2.4413337669339801"/>
    <d v="2016-02-05T11:06:18"/>
    <n v="7.99"/>
    <x v="1076"/>
    <n v="1"/>
    <n v="1"/>
    <n v="0"/>
    <n v="0"/>
    <n v="1"/>
    <x v="1063"/>
    <x v="0"/>
    <x v="1814"/>
    <x v="1035"/>
    <n v="7"/>
    <e v="#N/A"/>
    <e v="#N/A"/>
  </r>
  <r>
    <n v="3565"/>
    <d v="2016-02-05T12:11:02"/>
    <d v="2016-02-05T12:26:02"/>
    <x v="0"/>
    <s v="Medium"/>
    <m/>
    <x v="0"/>
    <n v="70808"/>
    <n v="0"/>
    <d v="2016-02-05T12:29:02"/>
    <n v="19.579999999999998"/>
    <x v="2"/>
    <n v="2"/>
    <n v="1"/>
    <n v="1.7"/>
    <n v="0"/>
    <n v="2.7"/>
    <x v="0"/>
    <x v="0"/>
    <x v="0"/>
    <x v="0"/>
    <n v="7"/>
    <n v="10"/>
    <e v="#N/A"/>
  </r>
  <r>
    <n v="3566"/>
    <d v="2016-02-05T11:09:23"/>
    <d v="2016-02-05T11:24:23"/>
    <x v="0"/>
    <s v="Medium"/>
    <m/>
    <x v="0"/>
    <n v="70806"/>
    <n v="0"/>
    <d v="2016-02-05T11:27:23"/>
    <n v="19.579999999999998"/>
    <x v="2"/>
    <n v="2"/>
    <n v="1"/>
    <n v="1.7"/>
    <n v="0"/>
    <n v="2.7"/>
    <x v="0"/>
    <x v="0"/>
    <x v="0"/>
    <x v="0"/>
    <n v="7"/>
    <n v="10"/>
    <e v="#N/A"/>
  </r>
  <r>
    <n v="3567"/>
    <d v="2016-02-05T14:21:40"/>
    <d v="2016-02-05T14:36:42"/>
    <x v="2"/>
    <m/>
    <m/>
    <x v="1"/>
    <n v="70804"/>
    <n v="0.47681124811158199"/>
    <d v="2016-02-05T14:39:05"/>
    <n v="11.59"/>
    <x v="1186"/>
    <n v="1"/>
    <n v="1.7"/>
    <n v="0"/>
    <n v="0"/>
    <n v="1.7"/>
    <x v="1174"/>
    <x v="0"/>
    <x v="1815"/>
    <x v="1036"/>
    <n v="10"/>
    <e v="#N/A"/>
    <e v="#N/A"/>
  </r>
  <r>
    <n v="3568"/>
    <d v="2016-02-05T12:16:42"/>
    <d v="2016-02-05T12:31:43"/>
    <x v="2"/>
    <s v="Large"/>
    <m/>
    <x v="0"/>
    <n v="70806"/>
    <n v="0"/>
    <d v="2016-02-05T12:34:42"/>
    <n v="25.94"/>
    <x v="1"/>
    <n v="2"/>
    <n v="1.7"/>
    <n v="2.2999999999999998"/>
    <n v="0"/>
    <n v="4"/>
    <x v="0"/>
    <x v="0"/>
    <x v="0"/>
    <x v="0"/>
    <n v="10"/>
    <n v="14"/>
    <e v="#N/A"/>
  </r>
  <r>
    <n v="3569"/>
    <d v="2016-02-05T11:22:13"/>
    <d v="2016-02-05T11:37:14"/>
    <x v="1"/>
    <m/>
    <m/>
    <x v="0"/>
    <n v="70807"/>
    <n v="0"/>
    <d v="2016-02-05T11:40:14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3570"/>
    <d v="2016-02-05T11:36:32"/>
    <d v="2016-02-05T11:51:32"/>
    <x v="2"/>
    <m/>
    <m/>
    <x v="0"/>
    <n v="70803"/>
    <n v="0"/>
    <d v="2016-02-05T11:54:32"/>
    <n v="11.59"/>
    <x v="2"/>
    <n v="1"/>
    <n v="1.7"/>
    <n v="0"/>
    <n v="0"/>
    <n v="1.7"/>
    <x v="0"/>
    <x v="0"/>
    <x v="0"/>
    <x v="0"/>
    <n v="10"/>
    <e v="#N/A"/>
    <e v="#N/A"/>
  </r>
  <r>
    <n v="3571"/>
    <d v="2016-02-05T12:56:53"/>
    <d v="2016-02-05T13:11:52"/>
    <x v="0"/>
    <m/>
    <m/>
    <x v="1"/>
    <n v="70806"/>
    <n v="3.04549882862716"/>
    <d v="2016-02-05T13:27:05"/>
    <n v="7.99"/>
    <x v="240"/>
    <n v="1"/>
    <n v="1"/>
    <n v="0"/>
    <n v="0"/>
    <n v="1"/>
    <x v="227"/>
    <x v="0"/>
    <x v="1816"/>
    <x v="1037"/>
    <n v="7"/>
    <e v="#N/A"/>
    <e v="#N/A"/>
  </r>
  <r>
    <n v="3572"/>
    <d v="2016-02-05T10:32:21"/>
    <d v="2016-02-05T10:47:22"/>
    <x v="1"/>
    <m/>
    <m/>
    <x v="0"/>
    <n v="70804"/>
    <n v="0"/>
    <d v="2016-02-05T10:50:21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3573"/>
    <d v="2016-02-05T11:31:10"/>
    <d v="2016-02-05T11:46:09"/>
    <x v="2"/>
    <m/>
    <m/>
    <x v="0"/>
    <n v="70805"/>
    <n v="0"/>
    <d v="2016-02-05T11:49:08"/>
    <n v="11.59"/>
    <x v="24"/>
    <n v="1"/>
    <n v="1.7"/>
    <n v="0"/>
    <n v="0"/>
    <n v="1.7"/>
    <x v="0"/>
    <x v="0"/>
    <x v="0"/>
    <x v="0"/>
    <n v="10"/>
    <e v="#N/A"/>
    <e v="#N/A"/>
  </r>
  <r>
    <n v="3574"/>
    <d v="2016-02-05T11:08:02"/>
    <d v="2016-02-05T11:23:01"/>
    <x v="2"/>
    <m/>
    <m/>
    <x v="0"/>
    <n v="70803"/>
    <n v="0"/>
    <d v="2016-02-05T11:26:02"/>
    <n v="11.59"/>
    <x v="14"/>
    <n v="1"/>
    <n v="1.7"/>
    <n v="0"/>
    <n v="0"/>
    <n v="1.7"/>
    <x v="0"/>
    <x v="0"/>
    <x v="0"/>
    <x v="0"/>
    <n v="10"/>
    <e v="#N/A"/>
    <e v="#N/A"/>
  </r>
  <r>
    <n v="3575"/>
    <d v="2016-02-05T14:14:02"/>
    <d v="2016-02-05T14:29:03"/>
    <x v="1"/>
    <m/>
    <m/>
    <x v="1"/>
    <n v="70804"/>
    <n v="6.54390953895824"/>
    <d v="2016-02-05T15:01:46"/>
    <n v="15.35"/>
    <x v="1187"/>
    <n v="1"/>
    <n v="2.2999999999999998"/>
    <n v="0"/>
    <n v="0"/>
    <n v="2.2999999999999998"/>
    <x v="1175"/>
    <x v="1"/>
    <x v="1817"/>
    <x v="0"/>
    <n v="14"/>
    <e v="#N/A"/>
    <e v="#N/A"/>
  </r>
  <r>
    <n v="3576"/>
    <d v="2016-02-05T11:13:27"/>
    <d v="2016-02-05T11:28:25"/>
    <x v="0"/>
    <s v="Large"/>
    <m/>
    <x v="1"/>
    <n v="70805"/>
    <n v="4.02976544525088"/>
    <d v="2016-02-05T11:48:33"/>
    <n v="23.34"/>
    <x v="1188"/>
    <n v="2"/>
    <n v="1"/>
    <n v="2.2999999999999998"/>
    <n v="0"/>
    <n v="3.3"/>
    <x v="1176"/>
    <x v="1"/>
    <x v="1818"/>
    <x v="0"/>
    <n v="7"/>
    <n v="14"/>
    <e v="#N/A"/>
  </r>
  <r>
    <n v="3577"/>
    <d v="2016-02-06T11:20:30"/>
    <d v="2016-02-06T11:35:31"/>
    <x v="1"/>
    <m/>
    <m/>
    <x v="0"/>
    <n v="70805"/>
    <n v="0"/>
    <d v="2016-02-06T11:38:32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3578"/>
    <d v="2016-02-06T11:55:58"/>
    <d v="2016-02-06T12:10:59"/>
    <x v="1"/>
    <m/>
    <m/>
    <x v="1"/>
    <n v="70804"/>
    <n v="3.3465168832957102"/>
    <d v="2016-02-06T12:27:42"/>
    <n v="15.35"/>
    <x v="502"/>
    <n v="1"/>
    <n v="2.2999999999999998"/>
    <n v="0"/>
    <n v="0"/>
    <n v="2.2999999999999998"/>
    <x v="489"/>
    <x v="1"/>
    <x v="1819"/>
    <x v="0"/>
    <n v="14"/>
    <e v="#N/A"/>
    <e v="#N/A"/>
  </r>
  <r>
    <n v="3579"/>
    <d v="2016-02-06T12:50:45"/>
    <d v="2016-02-06T13:05:45"/>
    <x v="2"/>
    <m/>
    <m/>
    <x v="0"/>
    <n v="70804"/>
    <n v="0"/>
    <d v="2016-02-06T13:08:45"/>
    <n v="11.59"/>
    <x v="2"/>
    <n v="1"/>
    <n v="1.7"/>
    <n v="0"/>
    <n v="0"/>
    <n v="1.7"/>
    <x v="0"/>
    <x v="0"/>
    <x v="0"/>
    <x v="0"/>
    <n v="10"/>
    <e v="#N/A"/>
    <e v="#N/A"/>
  </r>
  <r>
    <n v="3580"/>
    <d v="2016-02-06T11:57:11"/>
    <d v="2016-02-06T12:12:10"/>
    <x v="2"/>
    <m/>
    <m/>
    <x v="0"/>
    <n v="70804"/>
    <n v="0"/>
    <d v="2016-02-06T12:15:09"/>
    <n v="11.59"/>
    <x v="24"/>
    <n v="1"/>
    <n v="1.7"/>
    <n v="0"/>
    <n v="0"/>
    <n v="1.7"/>
    <x v="0"/>
    <x v="0"/>
    <x v="0"/>
    <x v="0"/>
    <n v="10"/>
    <e v="#N/A"/>
    <e v="#N/A"/>
  </r>
  <r>
    <n v="3581"/>
    <d v="2016-02-06T11:14:45"/>
    <d v="2016-02-06T11:29:45"/>
    <x v="0"/>
    <m/>
    <m/>
    <x v="0"/>
    <n v="70803"/>
    <n v="0"/>
    <d v="2016-02-06T11:32:44"/>
    <n v="7.99"/>
    <x v="24"/>
    <n v="1"/>
    <n v="1"/>
    <n v="0"/>
    <n v="0"/>
    <n v="1"/>
    <x v="0"/>
    <x v="0"/>
    <x v="0"/>
    <x v="0"/>
    <n v="7"/>
    <e v="#N/A"/>
    <e v="#N/A"/>
  </r>
  <r>
    <n v="3582"/>
    <d v="2016-02-06T11:03:30"/>
    <d v="2016-02-06T11:18:31"/>
    <x v="2"/>
    <m/>
    <m/>
    <x v="1"/>
    <n v="70804"/>
    <n v="4.5326779946260203"/>
    <d v="2016-02-06T11:41:10"/>
    <n v="11.59"/>
    <x v="445"/>
    <n v="1"/>
    <n v="1.7"/>
    <n v="0"/>
    <n v="0"/>
    <n v="1.7"/>
    <x v="432"/>
    <x v="1"/>
    <x v="1820"/>
    <x v="0"/>
    <n v="10"/>
    <e v="#N/A"/>
    <e v="#N/A"/>
  </r>
  <r>
    <n v="3583"/>
    <d v="2016-02-06T10:08:49"/>
    <d v="2016-02-06T10:23:48"/>
    <x v="0"/>
    <s v="Large"/>
    <m/>
    <x v="0"/>
    <n v="70806"/>
    <n v="0"/>
    <d v="2016-02-06T10:26:49"/>
    <n v="23.34"/>
    <x v="14"/>
    <n v="2"/>
    <n v="1"/>
    <n v="2.2999999999999998"/>
    <n v="0"/>
    <n v="3.3"/>
    <x v="0"/>
    <x v="0"/>
    <x v="0"/>
    <x v="0"/>
    <n v="7"/>
    <n v="14"/>
    <e v="#N/A"/>
  </r>
  <r>
    <n v="3584"/>
    <d v="2016-02-06T10:15:42"/>
    <d v="2016-02-06T10:30:42"/>
    <x v="1"/>
    <m/>
    <m/>
    <x v="0"/>
    <n v="70803"/>
    <n v="0"/>
    <d v="2016-02-06T10:33:43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3585"/>
    <d v="2016-02-06T11:01:15"/>
    <d v="2016-02-06T11:16:15"/>
    <x v="2"/>
    <s v="Large"/>
    <m/>
    <x v="1"/>
    <n v="70804"/>
    <n v="0.319831670663141"/>
    <d v="2016-02-06T11:17:50"/>
    <n v="25.94"/>
    <x v="1189"/>
    <n v="2"/>
    <n v="1.7"/>
    <n v="2.2999999999999998"/>
    <n v="0"/>
    <n v="4"/>
    <x v="1177"/>
    <x v="0"/>
    <x v="1821"/>
    <x v="1038"/>
    <n v="10"/>
    <n v="14"/>
    <e v="#N/A"/>
  </r>
  <r>
    <n v="3586"/>
    <d v="2016-02-06T12:19:30"/>
    <d v="2016-02-06T12:34:28"/>
    <x v="0"/>
    <s v="Medium"/>
    <m/>
    <x v="0"/>
    <n v="70803"/>
    <n v="0"/>
    <d v="2016-02-06T12:37:28"/>
    <n v="19.579999999999998"/>
    <x v="2"/>
    <n v="2"/>
    <n v="1"/>
    <n v="1.7"/>
    <n v="0"/>
    <n v="2.7"/>
    <x v="0"/>
    <x v="0"/>
    <x v="0"/>
    <x v="0"/>
    <n v="7"/>
    <n v="10"/>
    <e v="#N/A"/>
  </r>
  <r>
    <n v="3587"/>
    <d v="2016-02-06T11:15:20"/>
    <d v="2016-02-06T11:30:21"/>
    <x v="0"/>
    <s v="Large"/>
    <m/>
    <x v="1"/>
    <n v="70804"/>
    <n v="3.31448304151907"/>
    <d v="2016-02-06T11:46:55"/>
    <n v="23.34"/>
    <x v="1190"/>
    <n v="2"/>
    <n v="1"/>
    <n v="2.2999999999999998"/>
    <n v="0"/>
    <n v="3.3"/>
    <x v="1178"/>
    <x v="1"/>
    <x v="1822"/>
    <x v="0"/>
    <n v="7"/>
    <n v="14"/>
    <e v="#N/A"/>
  </r>
  <r>
    <n v="3588"/>
    <d v="2016-02-06T11:11:09"/>
    <d v="2016-02-06T11:26:09"/>
    <x v="1"/>
    <m/>
    <m/>
    <x v="0"/>
    <n v="70804"/>
    <n v="0"/>
    <d v="2016-02-06T11:29:08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3589"/>
    <d v="2016-02-06T11:14:50"/>
    <d v="2016-02-06T11:29:49"/>
    <x v="1"/>
    <m/>
    <m/>
    <x v="1"/>
    <n v="70806"/>
    <n v="3.88583162803759"/>
    <d v="2016-02-06T11:49:14"/>
    <n v="15.35"/>
    <x v="885"/>
    <n v="1"/>
    <n v="2.2999999999999998"/>
    <n v="0"/>
    <n v="0"/>
    <n v="2.2999999999999998"/>
    <x v="872"/>
    <x v="1"/>
    <x v="1823"/>
    <x v="0"/>
    <n v="14"/>
    <e v="#N/A"/>
    <e v="#N/A"/>
  </r>
  <r>
    <n v="3590"/>
    <d v="2016-02-06T12:19:12"/>
    <d v="2016-02-06T12:34:11"/>
    <x v="1"/>
    <m/>
    <m/>
    <x v="1"/>
    <n v="70807"/>
    <n v="1.3831194124680299"/>
    <d v="2016-02-06T12:41:05"/>
    <n v="15.35"/>
    <x v="1037"/>
    <n v="1"/>
    <n v="2.2999999999999998"/>
    <n v="0"/>
    <n v="0"/>
    <n v="2.2999999999999998"/>
    <x v="1024"/>
    <x v="0"/>
    <x v="1824"/>
    <x v="1039"/>
    <n v="14"/>
    <e v="#N/A"/>
    <e v="#N/A"/>
  </r>
  <r>
    <n v="3591"/>
    <d v="2016-02-06T11:00:21"/>
    <d v="2016-02-06T11:15:21"/>
    <x v="1"/>
    <m/>
    <m/>
    <x v="1"/>
    <n v="70806"/>
    <n v="2.4137284578393898"/>
    <d v="2016-02-06T11:27:25"/>
    <n v="15.35"/>
    <x v="611"/>
    <n v="1"/>
    <n v="2.2999999999999998"/>
    <n v="0"/>
    <n v="0"/>
    <n v="2.2999999999999998"/>
    <x v="598"/>
    <x v="0"/>
    <x v="1825"/>
    <x v="1040"/>
    <n v="14"/>
    <e v="#N/A"/>
    <e v="#N/A"/>
  </r>
  <r>
    <n v="3592"/>
    <d v="2016-02-06T12:05:12"/>
    <d v="2016-02-06T12:20:11"/>
    <x v="1"/>
    <m/>
    <m/>
    <x v="0"/>
    <n v="70805"/>
    <n v="0"/>
    <d v="2016-02-06T12:23:10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3593"/>
    <d v="2016-02-06T12:17:54"/>
    <d v="2016-02-06T12:32:53"/>
    <x v="2"/>
    <m/>
    <m/>
    <x v="1"/>
    <n v="70806"/>
    <n v="2.9330506673607699"/>
    <d v="2016-02-06T12:47:32"/>
    <n v="11.59"/>
    <x v="1191"/>
    <n v="1"/>
    <n v="1.7"/>
    <n v="0"/>
    <n v="0"/>
    <n v="1.7"/>
    <x v="1179"/>
    <x v="0"/>
    <x v="1826"/>
    <x v="1041"/>
    <n v="10"/>
    <e v="#N/A"/>
    <e v="#N/A"/>
  </r>
  <r>
    <n v="3594"/>
    <d v="2016-02-06T12:53:30"/>
    <d v="2016-02-06T13:08:29"/>
    <x v="1"/>
    <m/>
    <m/>
    <x v="0"/>
    <n v="70807"/>
    <n v="0"/>
    <d v="2016-02-06T13:11:28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3595"/>
    <d v="2016-02-06T12:35:50"/>
    <d v="2016-02-06T12:50:48"/>
    <x v="0"/>
    <m/>
    <m/>
    <x v="1"/>
    <n v="70804"/>
    <n v="2.8355634950878499"/>
    <d v="2016-02-06T13:04:58"/>
    <n v="7.99"/>
    <x v="542"/>
    <n v="1"/>
    <n v="1"/>
    <n v="0"/>
    <n v="0"/>
    <n v="1"/>
    <x v="529"/>
    <x v="0"/>
    <x v="1827"/>
    <x v="1042"/>
    <n v="7"/>
    <e v="#N/A"/>
    <e v="#N/A"/>
  </r>
  <r>
    <n v="3596"/>
    <d v="2016-02-06T12:25:37"/>
    <d v="2016-02-06T12:40:36"/>
    <x v="1"/>
    <m/>
    <m/>
    <x v="1"/>
    <n v="70805"/>
    <n v="2.39765354065606"/>
    <d v="2016-02-06T12:52:35"/>
    <n v="15.35"/>
    <x v="599"/>
    <n v="1"/>
    <n v="2.2999999999999998"/>
    <n v="0"/>
    <n v="0"/>
    <n v="2.2999999999999998"/>
    <x v="586"/>
    <x v="0"/>
    <x v="1828"/>
    <x v="1043"/>
    <n v="14"/>
    <e v="#N/A"/>
    <e v="#N/A"/>
  </r>
  <r>
    <n v="3597"/>
    <d v="2016-02-06T12:07:45"/>
    <d v="2016-02-06T12:22:44"/>
    <x v="2"/>
    <m/>
    <m/>
    <x v="1"/>
    <n v="70805"/>
    <n v="2.4938508178224299"/>
    <d v="2016-02-06T12:35:12"/>
    <n v="11.59"/>
    <x v="191"/>
    <n v="1"/>
    <n v="1.7"/>
    <n v="0"/>
    <n v="0"/>
    <n v="1.7"/>
    <x v="179"/>
    <x v="0"/>
    <x v="1829"/>
    <x v="1044"/>
    <n v="10"/>
    <e v="#N/A"/>
    <e v="#N/A"/>
  </r>
  <r>
    <n v="3598"/>
    <d v="2016-02-06T13:36:44"/>
    <d v="2016-02-06T13:51:44"/>
    <x v="0"/>
    <m/>
    <m/>
    <x v="1"/>
    <n v="70805"/>
    <n v="3.9489227114245899"/>
    <d v="2016-02-06T14:11:28"/>
    <n v="7.99"/>
    <x v="1192"/>
    <n v="1"/>
    <n v="1"/>
    <n v="0"/>
    <n v="0"/>
    <n v="1"/>
    <x v="1180"/>
    <x v="1"/>
    <x v="1830"/>
    <x v="0"/>
    <n v="7"/>
    <e v="#N/A"/>
    <e v="#N/A"/>
  </r>
  <r>
    <n v="3599"/>
    <d v="2016-02-06T12:24:20"/>
    <d v="2016-02-06T12:39:20"/>
    <x v="0"/>
    <s v="Medium"/>
    <m/>
    <x v="0"/>
    <n v="70805"/>
    <n v="0"/>
    <d v="2016-02-06T12:42:20"/>
    <n v="19.579999999999998"/>
    <x v="2"/>
    <n v="2"/>
    <n v="1"/>
    <n v="1.7"/>
    <n v="0"/>
    <n v="2.7"/>
    <x v="0"/>
    <x v="0"/>
    <x v="0"/>
    <x v="0"/>
    <n v="7"/>
    <n v="10"/>
    <e v="#N/A"/>
  </r>
  <r>
    <n v="3600"/>
    <d v="2016-02-06T11:12:12"/>
    <d v="2016-02-06T11:27:12"/>
    <x v="1"/>
    <m/>
    <m/>
    <x v="0"/>
    <n v="70803"/>
    <n v="0"/>
    <d v="2016-02-06T11:30:10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3601"/>
    <d v="2016-02-06T11:34:15"/>
    <d v="2016-02-06T11:49:15"/>
    <x v="0"/>
    <s v="Large"/>
    <m/>
    <x v="1"/>
    <n v="70804"/>
    <n v="3.3930852577105801"/>
    <d v="2016-02-06T12:06:12"/>
    <n v="23.34"/>
    <x v="1193"/>
    <n v="2"/>
    <n v="1"/>
    <n v="2.2999999999999998"/>
    <n v="0"/>
    <n v="3.3"/>
    <x v="1181"/>
    <x v="1"/>
    <x v="1831"/>
    <x v="0"/>
    <n v="7"/>
    <n v="14"/>
    <e v="#N/A"/>
  </r>
  <r>
    <n v="3602"/>
    <d v="2016-02-06T12:32:30"/>
    <d v="2016-02-06T12:47:30"/>
    <x v="2"/>
    <m/>
    <m/>
    <x v="0"/>
    <n v="70806"/>
    <n v="0"/>
    <d v="2016-02-06T12:50:29"/>
    <n v="11.59"/>
    <x v="1"/>
    <n v="1"/>
    <n v="1.7"/>
    <n v="0"/>
    <n v="0"/>
    <n v="1.7"/>
    <x v="0"/>
    <x v="0"/>
    <x v="0"/>
    <x v="0"/>
    <n v="10"/>
    <e v="#N/A"/>
    <e v="#N/A"/>
  </r>
  <r>
    <n v="3603"/>
    <d v="2016-02-06T11:36:26"/>
    <d v="2016-02-06T11:51:26"/>
    <x v="0"/>
    <m/>
    <m/>
    <x v="1"/>
    <n v="70806"/>
    <n v="2.85340732122051"/>
    <d v="2016-02-06T12:05:42"/>
    <n v="7.99"/>
    <x v="1042"/>
    <n v="1"/>
    <n v="1"/>
    <n v="0"/>
    <n v="0"/>
    <n v="1"/>
    <x v="1029"/>
    <x v="0"/>
    <x v="1832"/>
    <x v="1045"/>
    <n v="7"/>
    <e v="#N/A"/>
    <e v="#N/A"/>
  </r>
  <r>
    <n v="3604"/>
    <d v="2016-02-06T10:42:01"/>
    <d v="2016-02-06T10:56:59"/>
    <x v="0"/>
    <m/>
    <m/>
    <x v="0"/>
    <n v="70803"/>
    <n v="0"/>
    <d v="2016-02-06T10:59:57"/>
    <n v="7.99"/>
    <x v="0"/>
    <n v="1"/>
    <n v="1"/>
    <n v="0"/>
    <n v="0"/>
    <n v="1"/>
    <x v="0"/>
    <x v="0"/>
    <x v="0"/>
    <x v="0"/>
    <n v="7"/>
    <e v="#N/A"/>
    <e v="#N/A"/>
  </r>
  <r>
    <n v="3605"/>
    <d v="2016-02-06T12:33:54"/>
    <d v="2016-02-06T12:48:51"/>
    <x v="2"/>
    <m/>
    <m/>
    <x v="1"/>
    <n v="70805"/>
    <n v="1.83448843332359"/>
    <d v="2016-02-06T12:58:01"/>
    <n v="11.59"/>
    <x v="969"/>
    <n v="1"/>
    <n v="1.7"/>
    <n v="0"/>
    <n v="0"/>
    <n v="1.7"/>
    <x v="956"/>
    <x v="0"/>
    <x v="1833"/>
    <x v="1046"/>
    <n v="10"/>
    <e v="#N/A"/>
    <e v="#N/A"/>
  </r>
  <r>
    <n v="3606"/>
    <d v="2016-02-06T11:03:20"/>
    <d v="2016-02-06T11:18:20"/>
    <x v="2"/>
    <m/>
    <m/>
    <x v="0"/>
    <n v="70807"/>
    <n v="0"/>
    <d v="2016-02-06T11:21:19"/>
    <n v="11.59"/>
    <x v="24"/>
    <n v="1"/>
    <n v="1.7"/>
    <n v="0"/>
    <n v="0"/>
    <n v="1.7"/>
    <x v="0"/>
    <x v="0"/>
    <x v="0"/>
    <x v="0"/>
    <n v="10"/>
    <e v="#N/A"/>
    <e v="#N/A"/>
  </r>
  <r>
    <n v="3607"/>
    <d v="2016-02-06T12:39:04"/>
    <d v="2016-02-06T12:54:02"/>
    <x v="1"/>
    <m/>
    <m/>
    <x v="0"/>
    <n v="70805"/>
    <n v="0"/>
    <d v="2016-02-06T12:57:01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3608"/>
    <d v="2016-02-06T12:51:37"/>
    <d v="2016-02-06T13:06:34"/>
    <x v="0"/>
    <m/>
    <m/>
    <x v="0"/>
    <n v="70805"/>
    <n v="0"/>
    <d v="2016-02-06T13:09:34"/>
    <n v="7.99"/>
    <x v="2"/>
    <n v="1"/>
    <n v="1"/>
    <n v="0"/>
    <n v="0"/>
    <n v="1"/>
    <x v="0"/>
    <x v="0"/>
    <x v="0"/>
    <x v="0"/>
    <n v="7"/>
    <e v="#N/A"/>
    <e v="#N/A"/>
  </r>
  <r>
    <n v="3609"/>
    <d v="2016-02-06T12:13:25"/>
    <d v="2016-02-06T12:28:24"/>
    <x v="0"/>
    <s v="Medium"/>
    <m/>
    <x v="1"/>
    <n v="70805"/>
    <n v="2.8563880015013301"/>
    <d v="2016-02-06T12:42:40"/>
    <n v="19.579999999999998"/>
    <x v="1042"/>
    <n v="2"/>
    <n v="1"/>
    <n v="1.7"/>
    <n v="0"/>
    <n v="2.7"/>
    <x v="1029"/>
    <x v="0"/>
    <x v="1834"/>
    <x v="1047"/>
    <n v="7"/>
    <n v="10"/>
    <e v="#N/A"/>
  </r>
  <r>
    <n v="3610"/>
    <d v="2016-02-06T11:29:14"/>
    <d v="2016-02-06T11:44:13"/>
    <x v="1"/>
    <m/>
    <m/>
    <x v="1"/>
    <n v="70804"/>
    <n v="2.8647055613321699"/>
    <d v="2016-02-06T11:58:32"/>
    <n v="15.35"/>
    <x v="523"/>
    <n v="1"/>
    <n v="2.2999999999999998"/>
    <n v="0"/>
    <n v="0"/>
    <n v="2.2999999999999998"/>
    <x v="510"/>
    <x v="0"/>
    <x v="1835"/>
    <x v="1048"/>
    <n v="14"/>
    <e v="#N/A"/>
    <e v="#N/A"/>
  </r>
  <r>
    <n v="3611"/>
    <d v="2016-02-06T11:05:02"/>
    <d v="2016-02-06T11:20:03"/>
    <x v="2"/>
    <m/>
    <m/>
    <x v="1"/>
    <n v="70804"/>
    <n v="1.6301370025961299"/>
    <d v="2016-02-06T11:28:12"/>
    <n v="11.59"/>
    <x v="1194"/>
    <n v="1"/>
    <n v="1.7"/>
    <n v="0"/>
    <n v="0"/>
    <n v="1.7"/>
    <x v="1182"/>
    <x v="0"/>
    <x v="1836"/>
    <x v="1049"/>
    <n v="10"/>
    <e v="#N/A"/>
    <e v="#N/A"/>
  </r>
  <r>
    <n v="3612"/>
    <d v="2016-02-06T11:52:41"/>
    <d v="2016-02-06T12:07:40"/>
    <x v="0"/>
    <s v="Large"/>
    <m/>
    <x v="0"/>
    <n v="70803"/>
    <n v="0"/>
    <d v="2016-02-06T12:10:37"/>
    <n v="23.34"/>
    <x v="102"/>
    <n v="2"/>
    <n v="1"/>
    <n v="2.2999999999999998"/>
    <n v="0"/>
    <n v="3.3"/>
    <x v="0"/>
    <x v="0"/>
    <x v="0"/>
    <x v="0"/>
    <n v="7"/>
    <n v="14"/>
    <e v="#N/A"/>
  </r>
  <r>
    <n v="3613"/>
    <d v="2016-02-06T11:01:11"/>
    <d v="2016-02-06T11:16:11"/>
    <x v="1"/>
    <m/>
    <m/>
    <x v="0"/>
    <n v="70808"/>
    <n v="0"/>
    <d v="2016-02-06T11:19:11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3614"/>
    <d v="2016-02-06T12:33:14"/>
    <d v="2016-02-06T12:48:13"/>
    <x v="0"/>
    <m/>
    <m/>
    <x v="0"/>
    <n v="70803"/>
    <n v="0"/>
    <d v="2016-02-06T12:51:12"/>
    <n v="7.99"/>
    <x v="1"/>
    <n v="1"/>
    <n v="1"/>
    <n v="0"/>
    <n v="0"/>
    <n v="1"/>
    <x v="0"/>
    <x v="0"/>
    <x v="0"/>
    <x v="0"/>
    <n v="7"/>
    <e v="#N/A"/>
    <e v="#N/A"/>
  </r>
  <r>
    <n v="3615"/>
    <d v="2016-02-06T10:45:32"/>
    <d v="2016-02-06T11:00:30"/>
    <x v="0"/>
    <m/>
    <m/>
    <x v="0"/>
    <n v="70804"/>
    <n v="0"/>
    <d v="2016-02-06T11:03:29"/>
    <n v="7.99"/>
    <x v="24"/>
    <n v="1"/>
    <n v="1"/>
    <n v="0"/>
    <n v="0"/>
    <n v="1"/>
    <x v="0"/>
    <x v="0"/>
    <x v="0"/>
    <x v="0"/>
    <n v="7"/>
    <e v="#N/A"/>
    <e v="#N/A"/>
  </r>
  <r>
    <n v="3616"/>
    <d v="2016-02-06T12:46:25"/>
    <d v="2016-02-06T13:01:28"/>
    <x v="1"/>
    <m/>
    <m/>
    <x v="0"/>
    <n v="70807"/>
    <n v="0"/>
    <d v="2016-02-06T13:04:28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3617"/>
    <d v="2016-02-06T12:09:45"/>
    <d v="2016-02-06T12:24:46"/>
    <x v="0"/>
    <s v="Medium"/>
    <m/>
    <x v="0"/>
    <n v="70805"/>
    <n v="0"/>
    <d v="2016-02-06T12:27:44"/>
    <n v="19.579999999999998"/>
    <x v="0"/>
    <n v="2"/>
    <n v="1"/>
    <n v="1.7"/>
    <n v="0"/>
    <n v="2.7"/>
    <x v="0"/>
    <x v="0"/>
    <x v="0"/>
    <x v="0"/>
    <n v="7"/>
    <n v="10"/>
    <e v="#N/A"/>
  </r>
  <r>
    <n v="3618"/>
    <d v="2016-02-06T12:59:58"/>
    <d v="2016-02-06T13:14:59"/>
    <x v="2"/>
    <m/>
    <m/>
    <x v="1"/>
    <n v="70805"/>
    <n v="5.70240933289364"/>
    <d v="2016-02-06T13:43:29"/>
    <n v="11.59"/>
    <x v="1195"/>
    <n v="1"/>
    <n v="1.7"/>
    <n v="0"/>
    <n v="0"/>
    <n v="1.7"/>
    <x v="1183"/>
    <x v="1"/>
    <x v="1837"/>
    <x v="0"/>
    <n v="10"/>
    <e v="#N/A"/>
    <e v="#N/A"/>
  </r>
  <r>
    <n v="3619"/>
    <d v="2016-02-06T10:32:33"/>
    <d v="2016-02-06T10:47:33"/>
    <x v="0"/>
    <s v="Medium"/>
    <m/>
    <x v="0"/>
    <n v="70803"/>
    <n v="0"/>
    <d v="2016-02-06T10:50:33"/>
    <n v="19.579999999999998"/>
    <x v="63"/>
    <n v="2"/>
    <n v="1"/>
    <n v="1.7"/>
    <n v="0"/>
    <n v="2.7"/>
    <x v="0"/>
    <x v="0"/>
    <x v="0"/>
    <x v="0"/>
    <n v="7"/>
    <n v="10"/>
    <e v="#N/A"/>
  </r>
  <r>
    <n v="3620"/>
    <d v="2016-02-06T12:33:48"/>
    <d v="2016-02-06T12:48:46"/>
    <x v="1"/>
    <m/>
    <m/>
    <x v="0"/>
    <n v="70807"/>
    <n v="0"/>
    <d v="2016-02-06T12:51:47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3621"/>
    <d v="2016-02-06T12:25:56"/>
    <d v="2016-02-06T12:40:56"/>
    <x v="0"/>
    <m/>
    <m/>
    <x v="0"/>
    <n v="70805"/>
    <n v="0"/>
    <d v="2016-02-06T12:43:57"/>
    <n v="7.99"/>
    <x v="56"/>
    <n v="1"/>
    <n v="1"/>
    <n v="0"/>
    <n v="0"/>
    <n v="1"/>
    <x v="0"/>
    <x v="0"/>
    <x v="0"/>
    <x v="0"/>
    <n v="7"/>
    <e v="#N/A"/>
    <e v="#N/A"/>
  </r>
  <r>
    <n v="3622"/>
    <d v="2016-02-06T12:31:16"/>
    <d v="2016-02-06T12:46:15"/>
    <x v="1"/>
    <m/>
    <m/>
    <x v="1"/>
    <n v="70806"/>
    <n v="2.8717574955735401"/>
    <d v="2016-02-06T13:00:36"/>
    <n v="15.35"/>
    <x v="870"/>
    <n v="1"/>
    <n v="2.2999999999999998"/>
    <n v="0"/>
    <n v="0"/>
    <n v="2.2999999999999998"/>
    <x v="857"/>
    <x v="0"/>
    <x v="1838"/>
    <x v="1050"/>
    <n v="14"/>
    <e v="#N/A"/>
    <e v="#N/A"/>
  </r>
  <r>
    <n v="3623"/>
    <d v="2016-02-06T11:29:05"/>
    <d v="2016-02-06T11:44:06"/>
    <x v="0"/>
    <m/>
    <m/>
    <x v="1"/>
    <n v="70803"/>
    <n v="4.10013132354017"/>
    <d v="2016-02-06T12:04:36"/>
    <n v="7.99"/>
    <x v="1196"/>
    <n v="1"/>
    <n v="1"/>
    <n v="0"/>
    <n v="0"/>
    <n v="1"/>
    <x v="1184"/>
    <x v="1"/>
    <x v="1839"/>
    <x v="0"/>
    <n v="7"/>
    <e v="#N/A"/>
    <e v="#N/A"/>
  </r>
  <r>
    <n v="3624"/>
    <d v="2016-02-06T11:11:44"/>
    <d v="2016-02-06T11:26:44"/>
    <x v="2"/>
    <m/>
    <m/>
    <x v="1"/>
    <n v="70803"/>
    <n v="4.9436191618989298"/>
    <d v="2016-02-06T11:51:27"/>
    <n v="11.59"/>
    <x v="1197"/>
    <n v="1"/>
    <n v="1.7"/>
    <n v="0"/>
    <n v="0"/>
    <n v="1.7"/>
    <x v="1185"/>
    <x v="1"/>
    <x v="1840"/>
    <x v="0"/>
    <n v="10"/>
    <e v="#N/A"/>
    <e v="#N/A"/>
  </r>
  <r>
    <n v="3625"/>
    <d v="2016-02-06T13:27:35"/>
    <d v="2016-02-06T13:42:34"/>
    <x v="1"/>
    <m/>
    <m/>
    <x v="0"/>
    <n v="70804"/>
    <n v="0"/>
    <d v="2016-02-06T13:45:34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3626"/>
    <d v="2016-02-06T13:24:34"/>
    <d v="2016-02-06T13:39:32"/>
    <x v="1"/>
    <m/>
    <m/>
    <x v="1"/>
    <n v="70805"/>
    <n v="2.9990994775301201"/>
    <d v="2016-02-06T13:54:31"/>
    <n v="15.35"/>
    <x v="615"/>
    <n v="1"/>
    <n v="2.2999999999999998"/>
    <n v="0"/>
    <n v="0"/>
    <n v="2.2999999999999998"/>
    <x v="602"/>
    <x v="0"/>
    <x v="1841"/>
    <x v="1051"/>
    <n v="14"/>
    <e v="#N/A"/>
    <e v="#N/A"/>
  </r>
  <r>
    <n v="3627"/>
    <d v="2016-02-06T14:33:55"/>
    <d v="2016-02-06T14:48:54"/>
    <x v="0"/>
    <m/>
    <m/>
    <x v="1"/>
    <n v="70806"/>
    <n v="3.94190154968063"/>
    <d v="2016-02-06T15:08:36"/>
    <n v="7.99"/>
    <x v="1198"/>
    <n v="1"/>
    <n v="1"/>
    <n v="0"/>
    <n v="0"/>
    <n v="1"/>
    <x v="1186"/>
    <x v="1"/>
    <x v="1842"/>
    <x v="0"/>
    <n v="7"/>
    <e v="#N/A"/>
    <e v="#N/A"/>
  </r>
  <r>
    <n v="3628"/>
    <d v="2016-02-06T11:38:32"/>
    <d v="2016-02-06T11:53:30"/>
    <x v="2"/>
    <m/>
    <m/>
    <x v="0"/>
    <n v="70805"/>
    <n v="0"/>
    <d v="2016-02-06T11:56:29"/>
    <n v="11.59"/>
    <x v="24"/>
    <n v="1"/>
    <n v="1.7"/>
    <n v="0"/>
    <n v="0"/>
    <n v="1.7"/>
    <x v="0"/>
    <x v="0"/>
    <x v="0"/>
    <x v="0"/>
    <n v="10"/>
    <e v="#N/A"/>
    <e v="#N/A"/>
  </r>
  <r>
    <n v="3629"/>
    <d v="2016-02-06T11:43:32"/>
    <d v="2016-02-06T11:58:32"/>
    <x v="2"/>
    <m/>
    <m/>
    <x v="0"/>
    <n v="70805"/>
    <n v="0"/>
    <d v="2016-02-06T12:01:32"/>
    <n v="11.59"/>
    <x v="2"/>
    <n v="1"/>
    <n v="1.7"/>
    <n v="0"/>
    <n v="0"/>
    <n v="1.7"/>
    <x v="0"/>
    <x v="0"/>
    <x v="0"/>
    <x v="0"/>
    <n v="10"/>
    <e v="#N/A"/>
    <e v="#N/A"/>
  </r>
  <r>
    <n v="3630"/>
    <d v="2016-02-06T13:52:20"/>
    <d v="2016-02-06T14:07:20"/>
    <x v="2"/>
    <m/>
    <m/>
    <x v="0"/>
    <n v="70803"/>
    <n v="0"/>
    <d v="2016-02-06T14:10:19"/>
    <n v="11.59"/>
    <x v="24"/>
    <n v="1"/>
    <n v="1.7"/>
    <n v="0"/>
    <n v="0"/>
    <n v="1.7"/>
    <x v="0"/>
    <x v="0"/>
    <x v="0"/>
    <x v="0"/>
    <n v="10"/>
    <e v="#N/A"/>
    <e v="#N/A"/>
  </r>
  <r>
    <n v="3631"/>
    <d v="2016-02-06T11:49:38"/>
    <d v="2016-02-06T12:04:38"/>
    <x v="1"/>
    <m/>
    <m/>
    <x v="0"/>
    <n v="70804"/>
    <n v="0"/>
    <d v="2016-02-06T12:07:37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3632"/>
    <d v="2016-02-06T13:23:18"/>
    <d v="2016-02-06T13:38:18"/>
    <x v="0"/>
    <s v="Large"/>
    <m/>
    <x v="1"/>
    <n v="70804"/>
    <n v="2.30857205300007"/>
    <d v="2016-02-06T13:49:50"/>
    <n v="23.34"/>
    <x v="1199"/>
    <n v="2"/>
    <n v="1"/>
    <n v="2.2999999999999998"/>
    <n v="0"/>
    <n v="3.3"/>
    <x v="1187"/>
    <x v="0"/>
    <x v="1843"/>
    <x v="1052"/>
    <n v="7"/>
    <n v="14"/>
    <e v="#N/A"/>
  </r>
  <r>
    <n v="3633"/>
    <d v="2016-02-06T10:31:55"/>
    <d v="2016-02-06T10:46:54"/>
    <x v="0"/>
    <m/>
    <m/>
    <x v="0"/>
    <n v="70804"/>
    <n v="0"/>
    <d v="2016-02-06T10:49:53"/>
    <n v="7.99"/>
    <x v="24"/>
    <n v="1"/>
    <n v="1"/>
    <n v="0"/>
    <n v="0"/>
    <n v="1"/>
    <x v="0"/>
    <x v="0"/>
    <x v="0"/>
    <x v="0"/>
    <n v="7"/>
    <e v="#N/A"/>
    <e v="#N/A"/>
  </r>
  <r>
    <n v="3634"/>
    <d v="2016-02-06T11:43:07"/>
    <d v="2016-02-06T11:58:05"/>
    <x v="1"/>
    <m/>
    <m/>
    <x v="0"/>
    <n v="70804"/>
    <n v="0"/>
    <d v="2016-02-06T12:01:06"/>
    <n v="15.35"/>
    <x v="56"/>
    <n v="1"/>
    <n v="2.2999999999999998"/>
    <n v="0"/>
    <n v="0"/>
    <n v="2.2999999999999998"/>
    <x v="0"/>
    <x v="0"/>
    <x v="0"/>
    <x v="0"/>
    <n v="14"/>
    <e v="#N/A"/>
    <e v="#N/A"/>
  </r>
  <r>
    <n v="3635"/>
    <d v="2016-02-06T10:35:02"/>
    <d v="2016-02-06T10:50:03"/>
    <x v="0"/>
    <m/>
    <m/>
    <x v="1"/>
    <n v="70805"/>
    <n v="2.43731160837851"/>
    <d v="2016-02-06T11:02:14"/>
    <n v="7.99"/>
    <x v="1065"/>
    <n v="1"/>
    <n v="1"/>
    <n v="0"/>
    <n v="0"/>
    <n v="1"/>
    <x v="1052"/>
    <x v="0"/>
    <x v="1844"/>
    <x v="1053"/>
    <n v="7"/>
    <e v="#N/A"/>
    <e v="#N/A"/>
  </r>
  <r>
    <n v="3636"/>
    <d v="2016-02-06T11:03:34"/>
    <d v="2016-02-06T11:18:32"/>
    <x v="0"/>
    <s v="Medium"/>
    <m/>
    <x v="1"/>
    <n v="70806"/>
    <n v="3.26697649161378"/>
    <d v="2016-02-06T11:34:52"/>
    <n v="19.579999999999998"/>
    <x v="1200"/>
    <n v="2"/>
    <n v="1"/>
    <n v="1.7"/>
    <n v="0"/>
    <n v="2.7"/>
    <x v="1188"/>
    <x v="1"/>
    <x v="1845"/>
    <x v="0"/>
    <n v="7"/>
    <n v="10"/>
    <e v="#N/A"/>
  </r>
  <r>
    <n v="3637"/>
    <d v="2016-02-06T14:02:02"/>
    <d v="2016-02-06T14:17:01"/>
    <x v="0"/>
    <s v="Medium"/>
    <m/>
    <x v="0"/>
    <n v="70805"/>
    <n v="0"/>
    <d v="2016-02-06T14:20:00"/>
    <n v="19.579999999999998"/>
    <x v="24"/>
    <n v="2"/>
    <n v="1"/>
    <n v="1.7"/>
    <n v="0"/>
    <n v="2.7"/>
    <x v="0"/>
    <x v="0"/>
    <x v="0"/>
    <x v="0"/>
    <n v="7"/>
    <n v="10"/>
    <e v="#N/A"/>
  </r>
  <r>
    <n v="3638"/>
    <d v="2016-02-06T12:42:25"/>
    <d v="2016-02-06T12:57:23"/>
    <x v="1"/>
    <m/>
    <m/>
    <x v="1"/>
    <n v="70803"/>
    <n v="3.1783740489865799"/>
    <d v="2016-02-06T13:13:16"/>
    <n v="15.35"/>
    <x v="1201"/>
    <n v="1"/>
    <n v="2.2999999999999998"/>
    <n v="0"/>
    <n v="0"/>
    <n v="2.2999999999999998"/>
    <x v="1189"/>
    <x v="0"/>
    <x v="1846"/>
    <x v="1054"/>
    <n v="14"/>
    <e v="#N/A"/>
    <e v="#N/A"/>
  </r>
  <r>
    <n v="3639"/>
    <d v="2016-02-06T11:48:43"/>
    <d v="2016-02-06T12:03:42"/>
    <x v="0"/>
    <s v="Medium"/>
    <m/>
    <x v="1"/>
    <n v="70803"/>
    <n v="2.2017421107852502"/>
    <d v="2016-02-06T12:14:42"/>
    <n v="19.579999999999998"/>
    <x v="1106"/>
    <n v="2"/>
    <n v="1"/>
    <n v="1.7"/>
    <n v="0"/>
    <n v="2.7"/>
    <x v="1093"/>
    <x v="0"/>
    <x v="1847"/>
    <x v="1055"/>
    <n v="7"/>
    <n v="10"/>
    <e v="#N/A"/>
  </r>
  <r>
    <n v="3640"/>
    <d v="2016-02-06T11:20:59"/>
    <d v="2016-02-06T11:35:59"/>
    <x v="1"/>
    <m/>
    <m/>
    <x v="0"/>
    <n v="70805"/>
    <n v="0"/>
    <d v="2016-02-06T11:39:00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3641"/>
    <d v="2016-02-06T10:20:23"/>
    <d v="2016-02-06T10:35:23"/>
    <x v="2"/>
    <m/>
    <m/>
    <x v="1"/>
    <n v="70806"/>
    <n v="4.4615373557504601"/>
    <d v="2016-02-06T10:57:41"/>
    <n v="11.59"/>
    <x v="912"/>
    <n v="1"/>
    <n v="1.7"/>
    <n v="0"/>
    <n v="0"/>
    <n v="1.7"/>
    <x v="899"/>
    <x v="1"/>
    <x v="1848"/>
    <x v="0"/>
    <n v="10"/>
    <e v="#N/A"/>
    <e v="#N/A"/>
  </r>
  <r>
    <n v="3642"/>
    <d v="2016-02-06T12:56:21"/>
    <d v="2016-02-06T13:11:21"/>
    <x v="2"/>
    <m/>
    <m/>
    <x v="0"/>
    <n v="70805"/>
    <n v="0"/>
    <d v="2016-02-06T13:14:19"/>
    <n v="11.59"/>
    <x v="0"/>
    <n v="1"/>
    <n v="1.7"/>
    <n v="0"/>
    <n v="0"/>
    <n v="1.7"/>
    <x v="0"/>
    <x v="0"/>
    <x v="0"/>
    <x v="0"/>
    <n v="10"/>
    <e v="#N/A"/>
    <e v="#N/A"/>
  </r>
  <r>
    <n v="3643"/>
    <d v="2016-02-06T12:37:53"/>
    <d v="2016-02-06T12:52:52"/>
    <x v="1"/>
    <m/>
    <m/>
    <x v="1"/>
    <n v="70806"/>
    <n v="3.08973681511474"/>
    <d v="2016-02-06T13:08:18"/>
    <n v="15.35"/>
    <x v="309"/>
    <n v="1"/>
    <n v="2.2999999999999998"/>
    <n v="0"/>
    <n v="0"/>
    <n v="2.2999999999999998"/>
    <x v="296"/>
    <x v="0"/>
    <x v="1849"/>
    <x v="1056"/>
    <n v="14"/>
    <e v="#N/A"/>
    <e v="#N/A"/>
  </r>
  <r>
    <n v="3644"/>
    <d v="2016-02-06T12:59:23"/>
    <d v="2016-02-06T13:14:21"/>
    <x v="1"/>
    <m/>
    <m/>
    <x v="0"/>
    <n v="70805"/>
    <n v="0"/>
    <d v="2016-02-06T13:17:20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3645"/>
    <d v="2016-02-06T11:55:26"/>
    <d v="2016-02-06T12:10:27"/>
    <x v="1"/>
    <m/>
    <m/>
    <x v="1"/>
    <n v="70805"/>
    <n v="1.9158364984271701"/>
    <d v="2016-02-06T12:20:01"/>
    <n v="15.35"/>
    <x v="243"/>
    <n v="1"/>
    <n v="2.2999999999999998"/>
    <n v="0"/>
    <n v="0"/>
    <n v="2.2999999999999998"/>
    <x v="230"/>
    <x v="0"/>
    <x v="1850"/>
    <x v="1057"/>
    <n v="14"/>
    <e v="#N/A"/>
    <e v="#N/A"/>
  </r>
  <r>
    <n v="3646"/>
    <d v="2016-02-06T11:48:30"/>
    <d v="2016-02-06T12:03:30"/>
    <x v="0"/>
    <m/>
    <m/>
    <x v="0"/>
    <n v="70804"/>
    <n v="0"/>
    <d v="2016-02-06T12:06:30"/>
    <n v="7.99"/>
    <x v="2"/>
    <n v="1"/>
    <n v="1"/>
    <n v="0"/>
    <n v="0"/>
    <n v="1"/>
    <x v="0"/>
    <x v="0"/>
    <x v="0"/>
    <x v="0"/>
    <n v="7"/>
    <e v="#N/A"/>
    <e v="#N/A"/>
  </r>
  <r>
    <n v="3647"/>
    <d v="2016-02-06T12:33:47"/>
    <d v="2016-02-06T12:48:44"/>
    <x v="0"/>
    <s v="Medium"/>
    <m/>
    <x v="0"/>
    <n v="70804"/>
    <n v="0"/>
    <d v="2016-02-06T12:51:44"/>
    <n v="19.579999999999998"/>
    <x v="2"/>
    <n v="2"/>
    <n v="1"/>
    <n v="1.7"/>
    <n v="0"/>
    <n v="2.7"/>
    <x v="0"/>
    <x v="0"/>
    <x v="0"/>
    <x v="0"/>
    <n v="7"/>
    <n v="10"/>
    <e v="#N/A"/>
  </r>
  <r>
    <n v="3648"/>
    <d v="2016-02-06T10:54:13"/>
    <d v="2016-02-06T11:09:14"/>
    <x v="0"/>
    <s v="Large"/>
    <m/>
    <x v="1"/>
    <n v="70805"/>
    <n v="1.8534407762859799"/>
    <d v="2016-02-06T11:18:30"/>
    <n v="23.34"/>
    <x v="1202"/>
    <n v="2"/>
    <n v="1"/>
    <n v="2.2999999999999998"/>
    <n v="0"/>
    <n v="3.3"/>
    <x v="1190"/>
    <x v="0"/>
    <x v="1851"/>
    <x v="1058"/>
    <n v="7"/>
    <n v="14"/>
    <e v="#N/A"/>
  </r>
  <r>
    <n v="3649"/>
    <d v="2016-02-06T12:43:45"/>
    <d v="2016-02-06T12:58:44"/>
    <x v="1"/>
    <m/>
    <m/>
    <x v="1"/>
    <n v="70806"/>
    <n v="1.8778593231846199"/>
    <d v="2016-02-06T13:08:07"/>
    <n v="15.35"/>
    <x v="1203"/>
    <n v="1"/>
    <n v="2.2999999999999998"/>
    <n v="0"/>
    <n v="0"/>
    <n v="2.2999999999999998"/>
    <x v="1191"/>
    <x v="0"/>
    <x v="1852"/>
    <x v="1059"/>
    <n v="14"/>
    <e v="#N/A"/>
    <e v="#N/A"/>
  </r>
  <r>
    <n v="3650"/>
    <d v="2016-02-06T10:28:20"/>
    <d v="2016-02-06T10:43:20"/>
    <x v="1"/>
    <m/>
    <m/>
    <x v="0"/>
    <n v="70807"/>
    <n v="0"/>
    <d v="2016-02-06T10:46:19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3651"/>
    <d v="2016-02-06T12:22:15"/>
    <d v="2016-02-06T12:37:17"/>
    <x v="1"/>
    <m/>
    <m/>
    <x v="1"/>
    <n v="70804"/>
    <n v="3.39140571562021"/>
    <d v="2016-02-06T12:54:14"/>
    <n v="15.35"/>
    <x v="1193"/>
    <n v="1"/>
    <n v="2.2999999999999998"/>
    <n v="0"/>
    <n v="0"/>
    <n v="2.2999999999999998"/>
    <x v="1181"/>
    <x v="1"/>
    <x v="1853"/>
    <x v="0"/>
    <n v="14"/>
    <e v="#N/A"/>
    <e v="#N/A"/>
  </r>
  <r>
    <n v="3652"/>
    <d v="2016-02-06T11:59:22"/>
    <d v="2016-02-06T12:14:22"/>
    <x v="1"/>
    <m/>
    <m/>
    <x v="0"/>
    <n v="70805"/>
    <n v="0"/>
    <d v="2016-02-06T12:17:23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3653"/>
    <d v="2016-02-06T11:02:44"/>
    <d v="2016-02-06T11:17:44"/>
    <x v="2"/>
    <m/>
    <m/>
    <x v="0"/>
    <n v="70804"/>
    <n v="0"/>
    <d v="2016-02-06T11:20:42"/>
    <n v="11.59"/>
    <x v="0"/>
    <n v="1"/>
    <n v="1.7"/>
    <n v="0"/>
    <n v="0"/>
    <n v="1.7"/>
    <x v="0"/>
    <x v="0"/>
    <x v="0"/>
    <x v="0"/>
    <n v="10"/>
    <e v="#N/A"/>
    <e v="#N/A"/>
  </r>
  <r>
    <n v="3654"/>
    <d v="2016-02-06T11:09:20"/>
    <d v="2016-02-06T11:24:20"/>
    <x v="1"/>
    <m/>
    <m/>
    <x v="1"/>
    <n v="70803"/>
    <n v="3.01188710367621"/>
    <d v="2016-02-06T11:39:23"/>
    <n v="15.35"/>
    <x v="1204"/>
    <n v="1"/>
    <n v="2.2999999999999998"/>
    <n v="0"/>
    <n v="0"/>
    <n v="2.2999999999999998"/>
    <x v="1192"/>
    <x v="0"/>
    <x v="1854"/>
    <x v="1060"/>
    <n v="14"/>
    <e v="#N/A"/>
    <e v="#N/A"/>
  </r>
  <r>
    <n v="3655"/>
    <d v="2016-02-06T12:41:31"/>
    <d v="2016-02-06T12:56:29"/>
    <x v="0"/>
    <m/>
    <m/>
    <x v="0"/>
    <n v="70803"/>
    <n v="0"/>
    <d v="2016-02-06T12:59:28"/>
    <n v="7.99"/>
    <x v="24"/>
    <n v="1"/>
    <n v="1"/>
    <n v="0"/>
    <n v="0"/>
    <n v="1"/>
    <x v="0"/>
    <x v="0"/>
    <x v="0"/>
    <x v="0"/>
    <n v="7"/>
    <e v="#N/A"/>
    <e v="#N/A"/>
  </r>
  <r>
    <n v="3656"/>
    <d v="2016-02-06T11:36:32"/>
    <d v="2016-02-06T11:51:31"/>
    <x v="0"/>
    <s v="Medium"/>
    <m/>
    <x v="0"/>
    <n v="70804"/>
    <n v="0"/>
    <d v="2016-02-06T11:54:30"/>
    <n v="19.579999999999998"/>
    <x v="1"/>
    <n v="2"/>
    <n v="1"/>
    <n v="1.7"/>
    <n v="0"/>
    <n v="2.7"/>
    <x v="0"/>
    <x v="0"/>
    <x v="0"/>
    <x v="0"/>
    <n v="7"/>
    <n v="10"/>
    <e v="#N/A"/>
  </r>
  <r>
    <n v="3657"/>
    <d v="2016-02-06T11:02:49"/>
    <d v="2016-02-06T11:17:48"/>
    <x v="0"/>
    <s v="Medium"/>
    <m/>
    <x v="1"/>
    <n v="70807"/>
    <n v="3.2521900684953899"/>
    <d v="2016-02-06T11:34:03"/>
    <n v="19.579999999999998"/>
    <x v="1205"/>
    <n v="2"/>
    <n v="1"/>
    <n v="1.7"/>
    <n v="0"/>
    <n v="2.7"/>
    <x v="1193"/>
    <x v="1"/>
    <x v="1855"/>
    <x v="0"/>
    <n v="7"/>
    <n v="10"/>
    <e v="#N/A"/>
  </r>
  <r>
    <n v="3658"/>
    <d v="2016-02-06T12:51:22"/>
    <d v="2016-02-06T13:06:23"/>
    <x v="2"/>
    <m/>
    <m/>
    <x v="0"/>
    <n v="70804"/>
    <n v="0"/>
    <d v="2016-02-06T13:09:21"/>
    <n v="11.59"/>
    <x v="0"/>
    <n v="1"/>
    <n v="1.7"/>
    <n v="0"/>
    <n v="0"/>
    <n v="1.7"/>
    <x v="0"/>
    <x v="0"/>
    <x v="0"/>
    <x v="0"/>
    <n v="10"/>
    <e v="#N/A"/>
    <e v="#N/A"/>
  </r>
  <r>
    <n v="3659"/>
    <d v="2016-02-06T12:28:06"/>
    <d v="2016-02-06T12:43:05"/>
    <x v="0"/>
    <m/>
    <m/>
    <x v="0"/>
    <n v="70803"/>
    <n v="0"/>
    <d v="2016-02-06T12:46:04"/>
    <n v="7.99"/>
    <x v="24"/>
    <n v="1"/>
    <n v="1"/>
    <n v="0"/>
    <n v="0"/>
    <n v="1"/>
    <x v="0"/>
    <x v="0"/>
    <x v="0"/>
    <x v="0"/>
    <n v="7"/>
    <e v="#N/A"/>
    <e v="#N/A"/>
  </r>
  <r>
    <n v="3660"/>
    <d v="2016-02-06T11:41:16"/>
    <d v="2016-02-06T11:56:16"/>
    <x v="1"/>
    <m/>
    <m/>
    <x v="1"/>
    <n v="70804"/>
    <n v="4.9142417798426301"/>
    <d v="2016-02-06T12:20:50"/>
    <n v="15.35"/>
    <x v="1206"/>
    <n v="1"/>
    <n v="2.2999999999999998"/>
    <n v="0"/>
    <n v="0"/>
    <n v="2.2999999999999998"/>
    <x v="1194"/>
    <x v="1"/>
    <x v="1856"/>
    <x v="0"/>
    <n v="14"/>
    <e v="#N/A"/>
    <e v="#N/A"/>
  </r>
  <r>
    <n v="3661"/>
    <d v="2016-02-06T12:05:44"/>
    <d v="2016-02-06T12:20:44"/>
    <x v="2"/>
    <m/>
    <m/>
    <x v="1"/>
    <n v="70804"/>
    <n v="2.4530984963682498"/>
    <d v="2016-02-06T12:32:59"/>
    <n v="11.59"/>
    <x v="593"/>
    <n v="1"/>
    <n v="1.7"/>
    <n v="0"/>
    <n v="0"/>
    <n v="1.7"/>
    <x v="580"/>
    <x v="0"/>
    <x v="1857"/>
    <x v="1061"/>
    <n v="10"/>
    <e v="#N/A"/>
    <e v="#N/A"/>
  </r>
  <r>
    <n v="3662"/>
    <d v="2016-02-06T11:44:28"/>
    <d v="2016-02-06T11:59:28"/>
    <x v="2"/>
    <m/>
    <m/>
    <x v="0"/>
    <n v="70804"/>
    <n v="0"/>
    <d v="2016-02-06T12:02:30"/>
    <n v="11.59"/>
    <x v="67"/>
    <n v="1"/>
    <n v="1.7"/>
    <n v="0"/>
    <n v="0"/>
    <n v="1.7"/>
    <x v="0"/>
    <x v="0"/>
    <x v="0"/>
    <x v="0"/>
    <n v="10"/>
    <e v="#N/A"/>
    <e v="#N/A"/>
  </r>
  <r>
    <n v="3663"/>
    <d v="2016-02-06T11:44:32"/>
    <d v="2016-02-06T11:59:33"/>
    <x v="1"/>
    <m/>
    <m/>
    <x v="1"/>
    <n v="70807"/>
    <n v="2.2313541692260901"/>
    <d v="2016-02-06T12:10:42"/>
    <n v="15.35"/>
    <x v="744"/>
    <n v="1"/>
    <n v="2.2999999999999998"/>
    <n v="0"/>
    <n v="0"/>
    <n v="2.2999999999999998"/>
    <x v="731"/>
    <x v="0"/>
    <x v="1858"/>
    <x v="1062"/>
    <n v="14"/>
    <e v="#N/A"/>
    <e v="#N/A"/>
  </r>
  <r>
    <n v="3664"/>
    <d v="2016-02-06T11:44:07"/>
    <d v="2016-02-06T11:59:07"/>
    <x v="0"/>
    <m/>
    <m/>
    <x v="1"/>
    <n v="70804"/>
    <n v="2.9667261522523698"/>
    <d v="2016-02-06T12:13:57"/>
    <n v="7.99"/>
    <x v="1207"/>
    <n v="1"/>
    <n v="1"/>
    <n v="0"/>
    <n v="0"/>
    <n v="1"/>
    <x v="1195"/>
    <x v="0"/>
    <x v="1859"/>
    <x v="1063"/>
    <n v="7"/>
    <e v="#N/A"/>
    <e v="#N/A"/>
  </r>
  <r>
    <n v="3665"/>
    <d v="2016-02-06T13:57:55"/>
    <d v="2016-02-06T14:12:56"/>
    <x v="2"/>
    <m/>
    <m/>
    <x v="1"/>
    <n v="70803"/>
    <n v="5.8948296151477697"/>
    <d v="2016-02-06T14:42:24"/>
    <n v="11.59"/>
    <x v="1208"/>
    <n v="1"/>
    <n v="1.7"/>
    <n v="0"/>
    <n v="0"/>
    <n v="1.7"/>
    <x v="1196"/>
    <x v="1"/>
    <x v="1860"/>
    <x v="0"/>
    <n v="10"/>
    <e v="#N/A"/>
    <e v="#N/A"/>
  </r>
  <r>
    <n v="3666"/>
    <d v="2016-02-06T13:03:38"/>
    <d v="2016-02-06T13:18:40"/>
    <x v="2"/>
    <s v="Large"/>
    <m/>
    <x v="0"/>
    <n v="70806"/>
    <n v="0"/>
    <d v="2016-02-06T13:21:39"/>
    <n v="25.94"/>
    <x v="24"/>
    <n v="2"/>
    <n v="1.7"/>
    <n v="2.2999999999999998"/>
    <n v="0"/>
    <n v="4"/>
    <x v="0"/>
    <x v="0"/>
    <x v="0"/>
    <x v="0"/>
    <n v="10"/>
    <n v="14"/>
    <e v="#N/A"/>
  </r>
  <r>
    <n v="3667"/>
    <d v="2016-02-06T10:54:18"/>
    <d v="2016-02-06T11:09:17"/>
    <x v="0"/>
    <s v="Large"/>
    <m/>
    <x v="1"/>
    <n v="70805"/>
    <n v="2.61413184344734"/>
    <d v="2016-02-06T11:22:21"/>
    <n v="23.34"/>
    <x v="1209"/>
    <n v="2"/>
    <n v="1"/>
    <n v="2.2999999999999998"/>
    <n v="0"/>
    <n v="3.3"/>
    <x v="1197"/>
    <x v="0"/>
    <x v="1861"/>
    <x v="1064"/>
    <n v="7"/>
    <n v="14"/>
    <e v="#N/A"/>
  </r>
  <r>
    <n v="3668"/>
    <d v="2016-02-06T12:51:24"/>
    <d v="2016-02-06T13:06:24"/>
    <x v="1"/>
    <m/>
    <m/>
    <x v="0"/>
    <n v="70804"/>
    <n v="0"/>
    <d v="2016-02-06T13:09:25"/>
    <n v="15.35"/>
    <x v="56"/>
    <n v="1"/>
    <n v="2.2999999999999998"/>
    <n v="0"/>
    <n v="0"/>
    <n v="2.2999999999999998"/>
    <x v="0"/>
    <x v="0"/>
    <x v="0"/>
    <x v="0"/>
    <n v="14"/>
    <e v="#N/A"/>
    <e v="#N/A"/>
  </r>
  <r>
    <n v="3669"/>
    <d v="2016-02-06T10:17:18"/>
    <d v="2016-02-06T10:32:18"/>
    <x v="0"/>
    <s v="Medium"/>
    <m/>
    <x v="0"/>
    <n v="70806"/>
    <n v="0"/>
    <d v="2016-02-06T10:35:17"/>
    <n v="19.579999999999998"/>
    <x v="24"/>
    <n v="2"/>
    <n v="1"/>
    <n v="1.7"/>
    <n v="0"/>
    <n v="2.7"/>
    <x v="0"/>
    <x v="0"/>
    <x v="0"/>
    <x v="0"/>
    <n v="7"/>
    <n v="10"/>
    <e v="#N/A"/>
  </r>
  <r>
    <n v="3670"/>
    <d v="2016-02-06T10:39:08"/>
    <d v="2016-02-06T10:54:06"/>
    <x v="2"/>
    <m/>
    <m/>
    <x v="1"/>
    <n v="70803"/>
    <n v="2.2196578335455599"/>
    <d v="2016-02-06T11:05:11"/>
    <n v="11.59"/>
    <x v="1210"/>
    <n v="1"/>
    <n v="1.7"/>
    <n v="0"/>
    <n v="0"/>
    <n v="1.7"/>
    <x v="1198"/>
    <x v="0"/>
    <x v="1862"/>
    <x v="1065"/>
    <n v="10"/>
    <e v="#N/A"/>
    <e v="#N/A"/>
  </r>
  <r>
    <n v="3671"/>
    <d v="2016-02-06T11:34:45"/>
    <d v="2016-02-06T11:49:46"/>
    <x v="0"/>
    <s v="Large"/>
    <m/>
    <x v="0"/>
    <n v="70806"/>
    <n v="0"/>
    <d v="2016-02-06T11:52:47"/>
    <n v="23.34"/>
    <x v="14"/>
    <n v="2"/>
    <n v="1"/>
    <n v="2.2999999999999998"/>
    <n v="0"/>
    <n v="3.3"/>
    <x v="0"/>
    <x v="0"/>
    <x v="0"/>
    <x v="0"/>
    <n v="7"/>
    <n v="14"/>
    <e v="#N/A"/>
  </r>
  <r>
    <n v="3672"/>
    <d v="2016-02-06T12:04:25"/>
    <d v="2016-02-06T12:19:25"/>
    <x v="0"/>
    <s v="Large"/>
    <m/>
    <x v="0"/>
    <n v="70806"/>
    <n v="0"/>
    <d v="2016-02-06T12:22:24"/>
    <n v="23.34"/>
    <x v="24"/>
    <n v="2"/>
    <n v="1"/>
    <n v="2.2999999999999998"/>
    <n v="0"/>
    <n v="3.3"/>
    <x v="0"/>
    <x v="0"/>
    <x v="0"/>
    <x v="0"/>
    <n v="7"/>
    <n v="14"/>
    <e v="#N/A"/>
  </r>
  <r>
    <n v="3673"/>
    <d v="2016-02-06T12:51:11"/>
    <d v="2016-02-06T13:06:12"/>
    <x v="0"/>
    <s v="Medium"/>
    <m/>
    <x v="1"/>
    <n v="70805"/>
    <n v="2.2996607720062601"/>
    <d v="2016-02-06T13:17:41"/>
    <n v="19.579999999999998"/>
    <x v="154"/>
    <n v="2"/>
    <n v="1"/>
    <n v="1.7"/>
    <n v="0"/>
    <n v="2.7"/>
    <x v="144"/>
    <x v="0"/>
    <x v="1863"/>
    <x v="1066"/>
    <n v="7"/>
    <n v="10"/>
    <e v="#N/A"/>
  </r>
  <r>
    <n v="3674"/>
    <d v="2016-02-06T11:31:38"/>
    <d v="2016-02-06T11:46:37"/>
    <x v="0"/>
    <s v="Large"/>
    <m/>
    <x v="0"/>
    <n v="70807"/>
    <n v="0"/>
    <d v="2016-02-06T11:49:35"/>
    <n v="23.34"/>
    <x v="19"/>
    <n v="2"/>
    <n v="1"/>
    <n v="2.2999999999999998"/>
    <n v="0"/>
    <n v="3.3"/>
    <x v="0"/>
    <x v="0"/>
    <x v="0"/>
    <x v="0"/>
    <n v="7"/>
    <n v="14"/>
    <e v="#N/A"/>
  </r>
  <r>
    <n v="3675"/>
    <d v="2016-02-06T13:15:09"/>
    <d v="2016-02-06T13:30:09"/>
    <x v="1"/>
    <m/>
    <m/>
    <x v="0"/>
    <n v="70808"/>
    <n v="0"/>
    <d v="2016-02-06T13:33:08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3676"/>
    <d v="2016-02-06T12:58:12"/>
    <d v="2016-02-06T13:13:11"/>
    <x v="1"/>
    <m/>
    <m/>
    <x v="0"/>
    <n v="70804"/>
    <n v="0"/>
    <d v="2016-02-06T13:16:11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3677"/>
    <d v="2016-02-06T11:18:23"/>
    <d v="2016-02-06T11:33:24"/>
    <x v="0"/>
    <s v="Medium"/>
    <m/>
    <x v="1"/>
    <n v="70804"/>
    <n v="3.1595500751673198"/>
    <d v="2016-02-06T11:49:11"/>
    <n v="19.579999999999998"/>
    <x v="484"/>
    <n v="2"/>
    <n v="1"/>
    <n v="1.7"/>
    <n v="0"/>
    <n v="2.7"/>
    <x v="471"/>
    <x v="0"/>
    <x v="1864"/>
    <x v="1067"/>
    <n v="7"/>
    <n v="10"/>
    <e v="#N/A"/>
  </r>
  <r>
    <n v="3678"/>
    <d v="2016-02-06T12:46:20"/>
    <d v="2016-02-06T13:01:20"/>
    <x v="2"/>
    <m/>
    <m/>
    <x v="1"/>
    <n v="70804"/>
    <n v="3.4086913416171898"/>
    <d v="2016-02-06T13:18:22"/>
    <n v="11.59"/>
    <x v="1110"/>
    <n v="1"/>
    <n v="1.7"/>
    <n v="0"/>
    <n v="0"/>
    <n v="1.7"/>
    <x v="1097"/>
    <x v="1"/>
    <x v="1865"/>
    <x v="0"/>
    <n v="10"/>
    <e v="#N/A"/>
    <e v="#N/A"/>
  </r>
  <r>
    <n v="3679"/>
    <d v="2016-02-06T14:27:27"/>
    <d v="2016-02-06T14:42:28"/>
    <x v="2"/>
    <s v="Large"/>
    <m/>
    <x v="0"/>
    <n v="70804"/>
    <n v="0"/>
    <d v="2016-02-06T14:45:26"/>
    <n v="25.94"/>
    <x v="0"/>
    <n v="2"/>
    <n v="1.7"/>
    <n v="2.2999999999999998"/>
    <n v="0"/>
    <n v="4"/>
    <x v="0"/>
    <x v="0"/>
    <x v="0"/>
    <x v="0"/>
    <n v="10"/>
    <n v="14"/>
    <e v="#N/A"/>
  </r>
  <r>
    <n v="3680"/>
    <d v="2016-02-06T12:36:33"/>
    <d v="2016-02-06T12:51:30"/>
    <x v="0"/>
    <s v="Medium"/>
    <m/>
    <x v="1"/>
    <n v="70805"/>
    <n v="4.8436906105580801"/>
    <d v="2016-02-06T13:15:43"/>
    <n v="19.579999999999998"/>
    <x v="1211"/>
    <n v="2"/>
    <n v="1"/>
    <n v="1.7"/>
    <n v="0"/>
    <n v="2.7"/>
    <x v="1199"/>
    <x v="1"/>
    <x v="1866"/>
    <x v="0"/>
    <n v="7"/>
    <n v="10"/>
    <e v="#N/A"/>
  </r>
  <r>
    <n v="3681"/>
    <d v="2016-02-06T12:19:27"/>
    <d v="2016-02-06T12:34:27"/>
    <x v="0"/>
    <m/>
    <m/>
    <x v="0"/>
    <n v="70804"/>
    <n v="0"/>
    <d v="2016-02-06T12:37:27"/>
    <n v="7.99"/>
    <x v="2"/>
    <n v="1"/>
    <n v="1"/>
    <n v="0"/>
    <n v="0"/>
    <n v="1"/>
    <x v="0"/>
    <x v="0"/>
    <x v="0"/>
    <x v="0"/>
    <n v="7"/>
    <e v="#N/A"/>
    <e v="#N/A"/>
  </r>
  <r>
    <n v="3682"/>
    <d v="2016-02-06T12:39:50"/>
    <d v="2016-02-06T12:54:50"/>
    <x v="0"/>
    <s v="Medium"/>
    <m/>
    <x v="1"/>
    <n v="70803"/>
    <n v="2.97626304055738"/>
    <d v="2016-02-06T13:09:42"/>
    <n v="19.579999999999998"/>
    <x v="303"/>
    <n v="2"/>
    <n v="1"/>
    <n v="1.7"/>
    <n v="0"/>
    <n v="2.7"/>
    <x v="290"/>
    <x v="0"/>
    <x v="1867"/>
    <x v="1068"/>
    <n v="7"/>
    <n v="10"/>
    <e v="#N/A"/>
  </r>
  <r>
    <n v="3683"/>
    <d v="2016-02-06T12:30:49"/>
    <d v="2016-02-06T12:45:49"/>
    <x v="0"/>
    <s v="Medium"/>
    <m/>
    <x v="1"/>
    <n v="70806"/>
    <n v="2.5817390191022298"/>
    <d v="2016-02-06T12:58:43"/>
    <n v="19.579999999999998"/>
    <x v="1212"/>
    <n v="2"/>
    <n v="1"/>
    <n v="1.7"/>
    <n v="0"/>
    <n v="2.7"/>
    <x v="1200"/>
    <x v="0"/>
    <x v="1868"/>
    <x v="1069"/>
    <n v="7"/>
    <n v="10"/>
    <e v="#N/A"/>
  </r>
  <r>
    <n v="3684"/>
    <d v="2016-02-06T13:34:38"/>
    <d v="2016-02-06T13:49:38"/>
    <x v="0"/>
    <m/>
    <m/>
    <x v="1"/>
    <n v="70804"/>
    <n v="2.6591084625389398"/>
    <d v="2016-02-06T14:02:55"/>
    <n v="7.99"/>
    <x v="606"/>
    <n v="1"/>
    <n v="1"/>
    <n v="0"/>
    <n v="0"/>
    <n v="1"/>
    <x v="593"/>
    <x v="0"/>
    <x v="1869"/>
    <x v="1070"/>
    <n v="7"/>
    <e v="#N/A"/>
    <e v="#N/A"/>
  </r>
  <r>
    <n v="3685"/>
    <d v="2016-02-06T11:13:55"/>
    <d v="2016-02-06T11:28:55"/>
    <x v="2"/>
    <m/>
    <m/>
    <x v="1"/>
    <n v="70804"/>
    <n v="2.0409222614587899"/>
    <d v="2016-02-06T11:39:07"/>
    <n v="11.59"/>
    <x v="706"/>
    <n v="1"/>
    <n v="1.7"/>
    <n v="0"/>
    <n v="0"/>
    <n v="1.7"/>
    <x v="693"/>
    <x v="0"/>
    <x v="1870"/>
    <x v="1071"/>
    <n v="10"/>
    <e v="#N/A"/>
    <e v="#N/A"/>
  </r>
  <r>
    <n v="3686"/>
    <d v="2016-02-06T12:59:33"/>
    <d v="2016-02-06T13:14:33"/>
    <x v="0"/>
    <m/>
    <m/>
    <x v="0"/>
    <n v="70803"/>
    <n v="0"/>
    <d v="2016-02-06T13:17:32"/>
    <n v="7.99"/>
    <x v="24"/>
    <n v="1"/>
    <n v="1"/>
    <n v="0"/>
    <n v="0"/>
    <n v="1"/>
    <x v="0"/>
    <x v="0"/>
    <x v="0"/>
    <x v="0"/>
    <n v="7"/>
    <e v="#N/A"/>
    <e v="#N/A"/>
  </r>
  <r>
    <n v="3687"/>
    <d v="2016-02-06T15:30:22"/>
    <d v="2016-02-06T15:45:22"/>
    <x v="2"/>
    <m/>
    <m/>
    <x v="0"/>
    <n v="70805"/>
    <n v="0"/>
    <d v="2016-02-06T15:48:19"/>
    <n v="11.59"/>
    <x v="102"/>
    <n v="1"/>
    <n v="1.7"/>
    <n v="0"/>
    <n v="0"/>
    <n v="1.7"/>
    <x v="0"/>
    <x v="0"/>
    <x v="0"/>
    <x v="0"/>
    <n v="10"/>
    <e v="#N/A"/>
    <e v="#N/A"/>
  </r>
  <r>
    <n v="3688"/>
    <d v="2016-02-06T13:56:18"/>
    <d v="2016-02-06T14:11:19"/>
    <x v="0"/>
    <m/>
    <m/>
    <x v="1"/>
    <n v="70804"/>
    <n v="2.2525462877153402"/>
    <d v="2016-02-06T14:22:34"/>
    <n v="7.99"/>
    <x v="862"/>
    <n v="1"/>
    <n v="1"/>
    <n v="0"/>
    <n v="0"/>
    <n v="1"/>
    <x v="849"/>
    <x v="0"/>
    <x v="1871"/>
    <x v="1072"/>
    <n v="7"/>
    <e v="#N/A"/>
    <e v="#N/A"/>
  </r>
  <r>
    <n v="3689"/>
    <d v="2016-02-06T11:06:22"/>
    <d v="2016-02-06T11:21:22"/>
    <x v="2"/>
    <m/>
    <m/>
    <x v="1"/>
    <n v="70805"/>
    <n v="1.7252383159862501"/>
    <d v="2016-02-06T11:29:59"/>
    <n v="11.59"/>
    <x v="1213"/>
    <n v="1"/>
    <n v="1.7"/>
    <n v="0"/>
    <n v="0"/>
    <n v="1.7"/>
    <x v="1201"/>
    <x v="0"/>
    <x v="1872"/>
    <x v="1073"/>
    <n v="10"/>
    <e v="#N/A"/>
    <e v="#N/A"/>
  </r>
  <r>
    <n v="3690"/>
    <d v="2016-02-06T12:18:18"/>
    <d v="2016-02-06T12:33:17"/>
    <x v="0"/>
    <s v="Large"/>
    <m/>
    <x v="1"/>
    <n v="70806"/>
    <n v="1.17766963384492"/>
    <d v="2016-02-06T12:39:10"/>
    <n v="23.34"/>
    <x v="1214"/>
    <n v="2"/>
    <n v="1"/>
    <n v="2.2999999999999998"/>
    <n v="0"/>
    <n v="3.3"/>
    <x v="1202"/>
    <x v="0"/>
    <x v="1873"/>
    <x v="1074"/>
    <n v="7"/>
    <n v="14"/>
    <e v="#N/A"/>
  </r>
  <r>
    <n v="3691"/>
    <d v="2016-02-07T11:18:37"/>
    <d v="2016-02-07T11:33:36"/>
    <x v="0"/>
    <s v="Medium"/>
    <m/>
    <x v="0"/>
    <n v="70804"/>
    <n v="0"/>
    <d v="2016-02-07T11:36:38"/>
    <n v="19.579999999999998"/>
    <x v="67"/>
    <n v="2"/>
    <n v="1"/>
    <n v="1.7"/>
    <n v="0"/>
    <n v="2.7"/>
    <x v="0"/>
    <x v="0"/>
    <x v="0"/>
    <x v="0"/>
    <n v="7"/>
    <n v="10"/>
    <e v="#N/A"/>
  </r>
  <r>
    <n v="3692"/>
    <d v="2016-02-07T13:08:13"/>
    <d v="2016-02-07T13:23:13"/>
    <x v="2"/>
    <m/>
    <m/>
    <x v="0"/>
    <n v="70804"/>
    <n v="0"/>
    <d v="2016-02-07T13:26:12"/>
    <n v="11.59"/>
    <x v="1"/>
    <n v="1"/>
    <n v="1.7"/>
    <n v="0"/>
    <n v="0"/>
    <n v="1.7"/>
    <x v="0"/>
    <x v="0"/>
    <x v="0"/>
    <x v="0"/>
    <n v="10"/>
    <e v="#N/A"/>
    <e v="#N/A"/>
  </r>
  <r>
    <n v="3693"/>
    <d v="2016-02-07T12:24:00"/>
    <d v="2016-02-07T12:39:00"/>
    <x v="2"/>
    <m/>
    <m/>
    <x v="1"/>
    <n v="70803"/>
    <n v="4.3789216014703403"/>
    <d v="2016-02-07T13:00:53"/>
    <n v="11.59"/>
    <x v="667"/>
    <n v="1"/>
    <n v="1.7"/>
    <n v="0"/>
    <n v="0"/>
    <n v="1.7"/>
    <x v="654"/>
    <x v="1"/>
    <x v="1874"/>
    <x v="0"/>
    <n v="10"/>
    <e v="#N/A"/>
    <e v="#N/A"/>
  </r>
  <r>
    <n v="3694"/>
    <d v="2016-02-07T11:54:49"/>
    <d v="2016-02-07T12:09:47"/>
    <x v="0"/>
    <s v="Medium"/>
    <m/>
    <x v="1"/>
    <n v="70803"/>
    <n v="6.1505032782887801"/>
    <d v="2016-02-07T12:40:32"/>
    <n v="19.579999999999998"/>
    <x v="1215"/>
    <n v="2"/>
    <n v="1"/>
    <n v="1.7"/>
    <n v="0"/>
    <n v="2.7"/>
    <x v="1203"/>
    <x v="1"/>
    <x v="1875"/>
    <x v="0"/>
    <n v="7"/>
    <n v="10"/>
    <e v="#N/A"/>
  </r>
  <r>
    <n v="3695"/>
    <d v="2016-02-07T11:36:49"/>
    <d v="2016-02-07T11:51:50"/>
    <x v="2"/>
    <m/>
    <m/>
    <x v="1"/>
    <n v="70806"/>
    <n v="3.1923509956730798"/>
    <d v="2016-02-07T12:07:47"/>
    <n v="11.59"/>
    <x v="257"/>
    <n v="1"/>
    <n v="1.7"/>
    <n v="0"/>
    <n v="0"/>
    <n v="1.7"/>
    <x v="244"/>
    <x v="0"/>
    <x v="1876"/>
    <x v="1075"/>
    <n v="10"/>
    <e v="#N/A"/>
    <e v="#N/A"/>
  </r>
  <r>
    <n v="3696"/>
    <d v="2016-02-07T11:20:30"/>
    <d v="2016-02-07T11:35:28"/>
    <x v="0"/>
    <s v="Medium"/>
    <m/>
    <x v="0"/>
    <n v="70805"/>
    <n v="0"/>
    <d v="2016-02-07T11:38:28"/>
    <n v="19.579999999999998"/>
    <x v="2"/>
    <n v="2"/>
    <n v="1"/>
    <n v="1.7"/>
    <n v="0"/>
    <n v="2.7"/>
    <x v="0"/>
    <x v="0"/>
    <x v="0"/>
    <x v="0"/>
    <n v="7"/>
    <n v="10"/>
    <e v="#N/A"/>
  </r>
  <r>
    <n v="3697"/>
    <d v="2016-02-07T12:16:39"/>
    <d v="2016-02-07T12:31:38"/>
    <x v="0"/>
    <s v="Large"/>
    <m/>
    <x v="1"/>
    <n v="70808"/>
    <n v="2.2070194286202298"/>
    <d v="2016-02-07T12:42:40"/>
    <n v="23.34"/>
    <x v="1216"/>
    <n v="2"/>
    <n v="1"/>
    <n v="2.2999999999999998"/>
    <n v="0"/>
    <n v="3.3"/>
    <x v="1204"/>
    <x v="0"/>
    <x v="1877"/>
    <x v="1076"/>
    <n v="7"/>
    <n v="14"/>
    <e v="#N/A"/>
  </r>
  <r>
    <n v="3698"/>
    <d v="2016-02-07T11:49:42"/>
    <d v="2016-02-07T12:04:42"/>
    <x v="0"/>
    <m/>
    <m/>
    <x v="1"/>
    <n v="70806"/>
    <n v="1.79744340786818"/>
    <d v="2016-02-07T12:13:41"/>
    <n v="7.99"/>
    <x v="1217"/>
    <n v="1"/>
    <n v="1"/>
    <n v="0"/>
    <n v="0"/>
    <n v="1"/>
    <x v="1205"/>
    <x v="0"/>
    <x v="1878"/>
    <x v="1077"/>
    <n v="7"/>
    <e v="#N/A"/>
    <e v="#N/A"/>
  </r>
  <r>
    <n v="3699"/>
    <d v="2016-02-07T12:16:58"/>
    <d v="2016-02-07T12:31:57"/>
    <x v="1"/>
    <m/>
    <m/>
    <x v="1"/>
    <n v="70804"/>
    <n v="2.6185792443745801"/>
    <d v="2016-02-07T12:45:02"/>
    <n v="15.35"/>
    <x v="1218"/>
    <n v="1"/>
    <n v="2.2999999999999998"/>
    <n v="0"/>
    <n v="0"/>
    <n v="2.2999999999999998"/>
    <x v="1206"/>
    <x v="0"/>
    <x v="1879"/>
    <x v="1078"/>
    <n v="14"/>
    <e v="#N/A"/>
    <e v="#N/A"/>
  </r>
  <r>
    <n v="3700"/>
    <d v="2016-02-07T12:28:12"/>
    <d v="2016-02-07T12:43:11"/>
    <x v="2"/>
    <m/>
    <m/>
    <x v="1"/>
    <n v="70805"/>
    <n v="2.7764325047006602"/>
    <d v="2016-02-07T12:57:03"/>
    <n v="11.59"/>
    <x v="490"/>
    <n v="1"/>
    <n v="1.7"/>
    <n v="0"/>
    <n v="0"/>
    <n v="1.7"/>
    <x v="477"/>
    <x v="0"/>
    <x v="1880"/>
    <x v="1079"/>
    <n v="10"/>
    <e v="#N/A"/>
    <e v="#N/A"/>
  </r>
  <r>
    <n v="3701"/>
    <d v="2016-02-07T12:31:38"/>
    <d v="2016-02-07T12:46:37"/>
    <x v="1"/>
    <m/>
    <m/>
    <x v="1"/>
    <n v="70803"/>
    <n v="4.4177322773355403"/>
    <d v="2016-02-07T13:08:42"/>
    <n v="15.35"/>
    <x v="479"/>
    <n v="1"/>
    <n v="2.2999999999999998"/>
    <n v="0"/>
    <n v="0"/>
    <n v="2.2999999999999998"/>
    <x v="466"/>
    <x v="1"/>
    <x v="1881"/>
    <x v="0"/>
    <n v="14"/>
    <e v="#N/A"/>
    <e v="#N/A"/>
  </r>
  <r>
    <n v="3702"/>
    <d v="2016-02-07T12:39:22"/>
    <d v="2016-02-07T12:54:19"/>
    <x v="0"/>
    <s v="Large"/>
    <m/>
    <x v="1"/>
    <n v="70804"/>
    <n v="1.8579481924250301"/>
    <d v="2016-02-07T13:03:36"/>
    <n v="23.34"/>
    <x v="908"/>
    <n v="2"/>
    <n v="1"/>
    <n v="2.2999999999999998"/>
    <n v="0"/>
    <n v="3.3"/>
    <x v="895"/>
    <x v="0"/>
    <x v="1882"/>
    <x v="1080"/>
    <n v="7"/>
    <n v="14"/>
    <e v="#N/A"/>
  </r>
  <r>
    <n v="3703"/>
    <d v="2016-02-07T11:36:47"/>
    <d v="2016-02-07T11:51:47"/>
    <x v="1"/>
    <m/>
    <m/>
    <x v="1"/>
    <n v="70804"/>
    <n v="4.4175975002730601"/>
    <d v="2016-02-07T12:13:52"/>
    <n v="15.35"/>
    <x v="481"/>
    <n v="1"/>
    <n v="2.2999999999999998"/>
    <n v="0"/>
    <n v="0"/>
    <n v="2.2999999999999998"/>
    <x v="468"/>
    <x v="1"/>
    <x v="1883"/>
    <x v="0"/>
    <n v="14"/>
    <e v="#N/A"/>
    <e v="#N/A"/>
  </r>
  <r>
    <n v="3704"/>
    <d v="2016-02-07T11:38:36"/>
    <d v="2016-02-07T11:53:37"/>
    <x v="0"/>
    <m/>
    <m/>
    <x v="0"/>
    <n v="70805"/>
    <n v="0"/>
    <d v="2016-02-07T11:56:35"/>
    <n v="7.99"/>
    <x v="0"/>
    <n v="1"/>
    <n v="1"/>
    <n v="0"/>
    <n v="0"/>
    <n v="1"/>
    <x v="0"/>
    <x v="0"/>
    <x v="0"/>
    <x v="0"/>
    <n v="7"/>
    <e v="#N/A"/>
    <e v="#N/A"/>
  </r>
  <r>
    <n v="3705"/>
    <d v="2016-02-07T12:31:42"/>
    <d v="2016-02-07T12:46:42"/>
    <x v="0"/>
    <s v="Medium"/>
    <m/>
    <x v="0"/>
    <n v="70805"/>
    <n v="0"/>
    <d v="2016-02-07T12:49:42"/>
    <n v="19.579999999999998"/>
    <x v="2"/>
    <n v="2"/>
    <n v="1"/>
    <n v="1.7"/>
    <n v="0"/>
    <n v="2.7"/>
    <x v="0"/>
    <x v="0"/>
    <x v="0"/>
    <x v="0"/>
    <n v="7"/>
    <n v="10"/>
    <e v="#N/A"/>
  </r>
  <r>
    <n v="3706"/>
    <d v="2016-02-07T11:43:58"/>
    <d v="2016-02-07T11:58:59"/>
    <x v="0"/>
    <s v="Medium"/>
    <m/>
    <x v="0"/>
    <n v="70805"/>
    <n v="0"/>
    <d v="2016-02-07T12:02:00"/>
    <n v="19.579999999999998"/>
    <x v="56"/>
    <n v="2"/>
    <n v="1"/>
    <n v="1.7"/>
    <n v="0"/>
    <n v="2.7"/>
    <x v="0"/>
    <x v="0"/>
    <x v="0"/>
    <x v="0"/>
    <n v="7"/>
    <n v="10"/>
    <e v="#N/A"/>
  </r>
  <r>
    <n v="3707"/>
    <d v="2016-02-07T12:38:03"/>
    <d v="2016-02-07T12:53:02"/>
    <x v="0"/>
    <s v="Medium"/>
    <m/>
    <x v="0"/>
    <n v="70806"/>
    <n v="0"/>
    <d v="2016-02-07T12:56:01"/>
    <n v="19.579999999999998"/>
    <x v="24"/>
    <n v="2"/>
    <n v="1"/>
    <n v="1.7"/>
    <n v="0"/>
    <n v="2.7"/>
    <x v="0"/>
    <x v="0"/>
    <x v="0"/>
    <x v="0"/>
    <n v="7"/>
    <n v="10"/>
    <e v="#N/A"/>
  </r>
  <r>
    <n v="3708"/>
    <d v="2016-02-07T12:07:28"/>
    <d v="2016-02-07T12:22:29"/>
    <x v="2"/>
    <m/>
    <m/>
    <x v="0"/>
    <n v="70806"/>
    <n v="0"/>
    <d v="2016-02-07T12:25:27"/>
    <n v="11.59"/>
    <x v="0"/>
    <n v="1"/>
    <n v="1.7"/>
    <n v="0"/>
    <n v="0"/>
    <n v="1.7"/>
    <x v="0"/>
    <x v="0"/>
    <x v="0"/>
    <x v="0"/>
    <n v="10"/>
    <e v="#N/A"/>
    <e v="#N/A"/>
  </r>
  <r>
    <n v="3709"/>
    <d v="2016-02-07T13:41:44"/>
    <d v="2016-02-07T13:56:43"/>
    <x v="2"/>
    <m/>
    <m/>
    <x v="0"/>
    <n v="70804"/>
    <n v="0"/>
    <d v="2016-02-07T13:59:42"/>
    <n v="11.59"/>
    <x v="24"/>
    <n v="1"/>
    <n v="1.7"/>
    <n v="0"/>
    <n v="0"/>
    <n v="1.7"/>
    <x v="0"/>
    <x v="0"/>
    <x v="0"/>
    <x v="0"/>
    <n v="10"/>
    <e v="#N/A"/>
    <e v="#N/A"/>
  </r>
  <r>
    <n v="3710"/>
    <d v="2016-02-07T11:17:32"/>
    <d v="2016-02-07T11:32:31"/>
    <x v="2"/>
    <s v="Large"/>
    <m/>
    <x v="0"/>
    <n v="70805"/>
    <n v="0"/>
    <d v="2016-02-07T11:35:31"/>
    <n v="25.94"/>
    <x v="2"/>
    <n v="2"/>
    <n v="1.7"/>
    <n v="2.2999999999999998"/>
    <n v="0"/>
    <n v="4"/>
    <x v="0"/>
    <x v="0"/>
    <x v="0"/>
    <x v="0"/>
    <n v="10"/>
    <n v="14"/>
    <e v="#N/A"/>
  </r>
  <r>
    <n v="3711"/>
    <d v="2016-02-07T10:30:25"/>
    <d v="2016-02-07T10:45:25"/>
    <x v="0"/>
    <s v="Medium"/>
    <m/>
    <x v="1"/>
    <n v="70806"/>
    <n v="3.6072379677053101"/>
    <d v="2016-02-07T11:03:27"/>
    <n v="19.579999999999998"/>
    <x v="1132"/>
    <n v="2"/>
    <n v="1"/>
    <n v="1.7"/>
    <n v="0"/>
    <n v="2.7"/>
    <x v="1119"/>
    <x v="1"/>
    <x v="1884"/>
    <x v="0"/>
    <n v="7"/>
    <n v="10"/>
    <e v="#N/A"/>
  </r>
  <r>
    <n v="3712"/>
    <d v="2016-02-07T12:39:12"/>
    <d v="2016-02-07T12:54:11"/>
    <x v="0"/>
    <s v="Large"/>
    <m/>
    <x v="0"/>
    <n v="70805"/>
    <n v="0"/>
    <d v="2016-02-07T12:57:10"/>
    <n v="23.34"/>
    <x v="1"/>
    <n v="2"/>
    <n v="1"/>
    <n v="2.2999999999999998"/>
    <n v="0"/>
    <n v="3.3"/>
    <x v="0"/>
    <x v="0"/>
    <x v="0"/>
    <x v="0"/>
    <n v="7"/>
    <n v="14"/>
    <e v="#N/A"/>
  </r>
  <r>
    <n v="3713"/>
    <d v="2016-02-07T11:37:22"/>
    <d v="2016-02-07T11:52:21"/>
    <x v="2"/>
    <m/>
    <m/>
    <x v="1"/>
    <n v="70804"/>
    <n v="3.32162567230991"/>
    <d v="2016-02-07T12:08:57"/>
    <n v="11.59"/>
    <x v="1219"/>
    <n v="1"/>
    <n v="1.7"/>
    <n v="0"/>
    <n v="0"/>
    <n v="1.7"/>
    <x v="1207"/>
    <x v="1"/>
    <x v="1885"/>
    <x v="0"/>
    <n v="10"/>
    <e v="#N/A"/>
    <e v="#N/A"/>
  </r>
  <r>
    <n v="3714"/>
    <d v="2016-02-07T12:20:09"/>
    <d v="2016-02-07T12:35:09"/>
    <x v="2"/>
    <m/>
    <m/>
    <x v="0"/>
    <n v="70805"/>
    <n v="0"/>
    <d v="2016-02-07T12:38:09"/>
    <n v="11.59"/>
    <x v="2"/>
    <n v="1"/>
    <n v="1.7"/>
    <n v="0"/>
    <n v="0"/>
    <n v="1.7"/>
    <x v="0"/>
    <x v="0"/>
    <x v="0"/>
    <x v="0"/>
    <n v="10"/>
    <e v="#N/A"/>
    <e v="#N/A"/>
  </r>
  <r>
    <n v="3715"/>
    <d v="2016-02-07T12:37:51"/>
    <d v="2016-02-07T12:52:49"/>
    <x v="0"/>
    <s v="Medium"/>
    <m/>
    <x v="0"/>
    <n v="70805"/>
    <n v="0"/>
    <d v="2016-02-07T12:55:49"/>
    <n v="19.579999999999998"/>
    <x v="2"/>
    <n v="2"/>
    <n v="1"/>
    <n v="1.7"/>
    <n v="0"/>
    <n v="2.7"/>
    <x v="0"/>
    <x v="0"/>
    <x v="0"/>
    <x v="0"/>
    <n v="7"/>
    <n v="10"/>
    <e v="#N/A"/>
  </r>
  <r>
    <n v="3716"/>
    <d v="2016-02-07T13:11:11"/>
    <d v="2016-02-07T13:26:10"/>
    <x v="0"/>
    <m/>
    <m/>
    <x v="1"/>
    <n v="70805"/>
    <n v="2.7427632582902599"/>
    <d v="2016-02-07T13:39:52"/>
    <n v="7.99"/>
    <x v="161"/>
    <n v="1"/>
    <n v="1"/>
    <n v="0"/>
    <n v="0"/>
    <n v="1"/>
    <x v="151"/>
    <x v="0"/>
    <x v="1886"/>
    <x v="1081"/>
    <n v="7"/>
    <e v="#N/A"/>
    <e v="#N/A"/>
  </r>
  <r>
    <n v="3717"/>
    <d v="2016-02-07T13:47:33"/>
    <d v="2016-02-07T14:02:33"/>
    <x v="2"/>
    <m/>
    <m/>
    <x v="1"/>
    <n v="70803"/>
    <n v="5.38566461592732"/>
    <d v="2016-02-07T14:29:28"/>
    <n v="11.59"/>
    <x v="1220"/>
    <n v="1"/>
    <n v="1.7"/>
    <n v="0"/>
    <n v="0"/>
    <n v="1.7"/>
    <x v="1208"/>
    <x v="1"/>
    <x v="1887"/>
    <x v="0"/>
    <n v="10"/>
    <e v="#N/A"/>
    <e v="#N/A"/>
  </r>
  <r>
    <n v="3718"/>
    <d v="2016-02-07T11:12:33"/>
    <d v="2016-02-07T11:27:32"/>
    <x v="0"/>
    <m/>
    <m/>
    <x v="0"/>
    <n v="70805"/>
    <n v="0"/>
    <d v="2016-02-07T11:30:31"/>
    <n v="7.99"/>
    <x v="1"/>
    <n v="1"/>
    <n v="1"/>
    <n v="0"/>
    <n v="0"/>
    <n v="1"/>
    <x v="0"/>
    <x v="0"/>
    <x v="0"/>
    <x v="0"/>
    <n v="7"/>
    <e v="#N/A"/>
    <e v="#N/A"/>
  </r>
  <r>
    <n v="3719"/>
    <d v="2016-02-07T12:57:36"/>
    <d v="2016-02-07T13:12:36"/>
    <x v="0"/>
    <m/>
    <m/>
    <x v="1"/>
    <n v="70805"/>
    <n v="3.4305433160129599"/>
    <d v="2016-02-07T13:29:45"/>
    <n v="7.99"/>
    <x v="946"/>
    <n v="1"/>
    <n v="1"/>
    <n v="0"/>
    <n v="0"/>
    <n v="1"/>
    <x v="933"/>
    <x v="1"/>
    <x v="1888"/>
    <x v="0"/>
    <n v="7"/>
    <e v="#N/A"/>
    <e v="#N/A"/>
  </r>
  <r>
    <n v="3720"/>
    <d v="2016-02-07T10:46:04"/>
    <d v="2016-02-07T11:01:03"/>
    <x v="1"/>
    <m/>
    <m/>
    <x v="1"/>
    <n v="70805"/>
    <n v="3.5673968468378101"/>
    <d v="2016-02-07T11:18:53"/>
    <n v="15.35"/>
    <x v="1221"/>
    <n v="1"/>
    <n v="2.2999999999999998"/>
    <n v="0"/>
    <n v="0"/>
    <n v="2.2999999999999998"/>
    <x v="1209"/>
    <x v="1"/>
    <x v="1889"/>
    <x v="0"/>
    <n v="14"/>
    <e v="#N/A"/>
    <e v="#N/A"/>
  </r>
  <r>
    <n v="3721"/>
    <d v="2016-02-07T11:13:10"/>
    <d v="2016-02-07T11:28:10"/>
    <x v="0"/>
    <m/>
    <m/>
    <x v="1"/>
    <n v="70803"/>
    <n v="2.35110747538371"/>
    <d v="2016-02-07T11:39:55"/>
    <n v="7.99"/>
    <x v="185"/>
    <n v="1"/>
    <n v="1"/>
    <n v="0"/>
    <n v="0"/>
    <n v="1"/>
    <x v="173"/>
    <x v="0"/>
    <x v="1890"/>
    <x v="1082"/>
    <n v="7"/>
    <e v="#N/A"/>
    <e v="#N/A"/>
  </r>
  <r>
    <n v="3722"/>
    <d v="2016-02-07T11:19:20"/>
    <d v="2016-02-07T11:34:19"/>
    <x v="0"/>
    <s v="Large"/>
    <m/>
    <x v="0"/>
    <n v="70806"/>
    <n v="0"/>
    <d v="2016-02-07T11:37:17"/>
    <n v="23.34"/>
    <x v="0"/>
    <n v="2"/>
    <n v="1"/>
    <n v="2.2999999999999998"/>
    <n v="0"/>
    <n v="3.3"/>
    <x v="0"/>
    <x v="0"/>
    <x v="0"/>
    <x v="0"/>
    <n v="7"/>
    <n v="14"/>
    <e v="#N/A"/>
  </r>
  <r>
    <n v="3723"/>
    <d v="2016-02-07T12:20:56"/>
    <d v="2016-02-07T12:35:55"/>
    <x v="1"/>
    <m/>
    <m/>
    <x v="1"/>
    <n v="70807"/>
    <n v="3.3171954771643901"/>
    <d v="2016-02-07T12:52:30"/>
    <n v="15.35"/>
    <x v="1222"/>
    <n v="1"/>
    <n v="2.2999999999999998"/>
    <n v="0"/>
    <n v="0"/>
    <n v="2.2999999999999998"/>
    <x v="1210"/>
    <x v="1"/>
    <x v="1891"/>
    <x v="0"/>
    <n v="14"/>
    <e v="#N/A"/>
    <e v="#N/A"/>
  </r>
  <r>
    <n v="3724"/>
    <d v="2016-02-07T11:30:37"/>
    <d v="2016-02-07T11:45:36"/>
    <x v="0"/>
    <s v="Medium"/>
    <m/>
    <x v="0"/>
    <n v="70805"/>
    <n v="0"/>
    <d v="2016-02-07T11:48:35"/>
    <n v="19.579999999999998"/>
    <x v="1"/>
    <n v="2"/>
    <n v="1"/>
    <n v="1.7"/>
    <n v="0"/>
    <n v="2.7"/>
    <x v="0"/>
    <x v="0"/>
    <x v="0"/>
    <x v="0"/>
    <n v="7"/>
    <n v="10"/>
    <e v="#N/A"/>
  </r>
  <r>
    <n v="3725"/>
    <d v="2016-02-07T13:13:26"/>
    <d v="2016-02-07T13:28:25"/>
    <x v="0"/>
    <s v="Medium"/>
    <m/>
    <x v="1"/>
    <n v="70807"/>
    <n v="6.0294059480910498"/>
    <d v="2016-02-07T13:58:33"/>
    <n v="19.579999999999998"/>
    <x v="1223"/>
    <n v="2"/>
    <n v="1"/>
    <n v="1.7"/>
    <n v="0"/>
    <n v="2.7"/>
    <x v="1211"/>
    <x v="1"/>
    <x v="1892"/>
    <x v="0"/>
    <n v="7"/>
    <n v="10"/>
    <e v="#N/A"/>
  </r>
  <r>
    <n v="3726"/>
    <d v="2016-02-07T12:41:49"/>
    <d v="2016-02-07T12:56:49"/>
    <x v="0"/>
    <s v="Large"/>
    <m/>
    <x v="1"/>
    <n v="70804"/>
    <n v="4.7973300599203501"/>
    <d v="2016-02-07T13:20:48"/>
    <n v="23.34"/>
    <x v="270"/>
    <n v="2"/>
    <n v="1"/>
    <n v="2.2999999999999998"/>
    <n v="0"/>
    <n v="3.3"/>
    <x v="257"/>
    <x v="1"/>
    <x v="1893"/>
    <x v="0"/>
    <n v="7"/>
    <n v="14"/>
    <e v="#N/A"/>
  </r>
  <r>
    <n v="3727"/>
    <d v="2016-02-07T13:25:00"/>
    <d v="2016-02-07T13:40:00"/>
    <x v="0"/>
    <s v="Medium"/>
    <m/>
    <x v="0"/>
    <n v="70804"/>
    <n v="0"/>
    <d v="2016-02-07T13:42:58"/>
    <n v="19.579999999999998"/>
    <x v="0"/>
    <n v="2"/>
    <n v="1"/>
    <n v="1.7"/>
    <n v="0"/>
    <n v="2.7"/>
    <x v="0"/>
    <x v="0"/>
    <x v="0"/>
    <x v="0"/>
    <n v="7"/>
    <n v="10"/>
    <e v="#N/A"/>
  </r>
  <r>
    <n v="3728"/>
    <d v="2016-02-07T12:44:22"/>
    <d v="2016-02-07T12:59:21"/>
    <x v="2"/>
    <m/>
    <m/>
    <x v="1"/>
    <n v="70806"/>
    <n v="6.2384027242256499"/>
    <d v="2016-02-07T13:30:32"/>
    <n v="11.59"/>
    <x v="1224"/>
    <n v="1"/>
    <n v="1.7"/>
    <n v="0"/>
    <n v="0"/>
    <n v="1.7"/>
    <x v="1212"/>
    <x v="1"/>
    <x v="1894"/>
    <x v="0"/>
    <n v="10"/>
    <e v="#N/A"/>
    <e v="#N/A"/>
  </r>
  <r>
    <n v="3729"/>
    <d v="2016-02-07T13:19:13"/>
    <d v="2016-02-07T13:34:11"/>
    <x v="2"/>
    <m/>
    <m/>
    <x v="0"/>
    <n v="70803"/>
    <n v="0"/>
    <d v="2016-02-07T13:37:12"/>
    <n v="11.59"/>
    <x v="56"/>
    <n v="1"/>
    <n v="1.7"/>
    <n v="0"/>
    <n v="0"/>
    <n v="1.7"/>
    <x v="0"/>
    <x v="0"/>
    <x v="0"/>
    <x v="0"/>
    <n v="10"/>
    <e v="#N/A"/>
    <e v="#N/A"/>
  </r>
  <r>
    <n v="3730"/>
    <d v="2016-02-07T11:17:59"/>
    <d v="2016-02-07T11:32:59"/>
    <x v="1"/>
    <m/>
    <m/>
    <x v="1"/>
    <n v="70806"/>
    <n v="4.4580444974212696"/>
    <d v="2016-02-07T11:55:16"/>
    <n v="15.35"/>
    <x v="1041"/>
    <n v="1"/>
    <n v="2.2999999999999998"/>
    <n v="0"/>
    <n v="0"/>
    <n v="2.2999999999999998"/>
    <x v="1028"/>
    <x v="1"/>
    <x v="1895"/>
    <x v="0"/>
    <n v="14"/>
    <e v="#N/A"/>
    <e v="#N/A"/>
  </r>
  <r>
    <n v="3731"/>
    <d v="2016-02-07T13:23:25"/>
    <d v="2016-02-07T13:38:24"/>
    <x v="0"/>
    <s v="Medium"/>
    <m/>
    <x v="0"/>
    <n v="70804"/>
    <n v="0"/>
    <d v="2016-02-07T13:41:23"/>
    <n v="19.579999999999998"/>
    <x v="24"/>
    <n v="2"/>
    <n v="1"/>
    <n v="1.7"/>
    <n v="0"/>
    <n v="2.7"/>
    <x v="0"/>
    <x v="0"/>
    <x v="0"/>
    <x v="0"/>
    <n v="7"/>
    <n v="10"/>
    <e v="#N/A"/>
  </r>
  <r>
    <n v="3732"/>
    <d v="2016-02-07T10:11:19"/>
    <d v="2016-02-07T10:26:17"/>
    <x v="1"/>
    <m/>
    <m/>
    <x v="0"/>
    <n v="70803"/>
    <n v="0"/>
    <d v="2016-02-07T10:29:19"/>
    <n v="15.35"/>
    <x v="67"/>
    <n v="1"/>
    <n v="2.2999999999999998"/>
    <n v="0"/>
    <n v="0"/>
    <n v="2.2999999999999998"/>
    <x v="0"/>
    <x v="0"/>
    <x v="0"/>
    <x v="0"/>
    <n v="14"/>
    <e v="#N/A"/>
    <e v="#N/A"/>
  </r>
  <r>
    <n v="3733"/>
    <d v="2016-02-07T14:36:17"/>
    <d v="2016-02-07T14:51:17"/>
    <x v="0"/>
    <m/>
    <m/>
    <x v="1"/>
    <n v="70804"/>
    <n v="4.48062714047252"/>
    <d v="2016-02-07T15:13:41"/>
    <n v="7.99"/>
    <x v="1225"/>
    <n v="1"/>
    <n v="1"/>
    <n v="0"/>
    <n v="0"/>
    <n v="1"/>
    <x v="1213"/>
    <x v="1"/>
    <x v="1896"/>
    <x v="0"/>
    <n v="7"/>
    <e v="#N/A"/>
    <e v="#N/A"/>
  </r>
  <r>
    <n v="3734"/>
    <d v="2016-02-07T12:32:19"/>
    <d v="2016-02-07T12:47:18"/>
    <x v="0"/>
    <m/>
    <m/>
    <x v="1"/>
    <n v="70805"/>
    <n v="2.2936700953877001"/>
    <d v="2016-02-07T12:58:46"/>
    <n v="7.99"/>
    <x v="301"/>
    <n v="1"/>
    <n v="1"/>
    <n v="0"/>
    <n v="0"/>
    <n v="1"/>
    <x v="288"/>
    <x v="0"/>
    <x v="1897"/>
    <x v="1083"/>
    <n v="7"/>
    <e v="#N/A"/>
    <e v="#N/A"/>
  </r>
  <r>
    <n v="3735"/>
    <d v="2016-02-07T12:09:43"/>
    <d v="2016-02-07T12:24:44"/>
    <x v="1"/>
    <m/>
    <m/>
    <x v="0"/>
    <n v="70806"/>
    <n v="0"/>
    <d v="2016-02-07T12:27:43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3736"/>
    <d v="2016-02-07T11:55:40"/>
    <d v="2016-02-07T12:10:40"/>
    <x v="1"/>
    <m/>
    <m/>
    <x v="0"/>
    <n v="70803"/>
    <n v="0"/>
    <d v="2016-02-07T12:13:40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3737"/>
    <d v="2016-02-07T13:38:46"/>
    <d v="2016-02-07T13:53:46"/>
    <x v="2"/>
    <m/>
    <m/>
    <x v="1"/>
    <n v="70805"/>
    <n v="3.0745065837588501"/>
    <d v="2016-02-07T14:09:08"/>
    <n v="11.59"/>
    <x v="275"/>
    <n v="1"/>
    <n v="1.7"/>
    <n v="0"/>
    <n v="0"/>
    <n v="1.7"/>
    <x v="262"/>
    <x v="0"/>
    <x v="1898"/>
    <x v="1084"/>
    <n v="10"/>
    <e v="#N/A"/>
    <e v="#N/A"/>
  </r>
  <r>
    <n v="3738"/>
    <d v="2016-02-07T13:46:49"/>
    <d v="2016-02-07T14:01:46"/>
    <x v="2"/>
    <m/>
    <m/>
    <x v="0"/>
    <n v="70805"/>
    <n v="0"/>
    <d v="2016-02-07T14:04:47"/>
    <n v="11.59"/>
    <x v="14"/>
    <n v="1"/>
    <n v="1.7"/>
    <n v="0"/>
    <n v="0"/>
    <n v="1.7"/>
    <x v="0"/>
    <x v="0"/>
    <x v="0"/>
    <x v="0"/>
    <n v="10"/>
    <e v="#N/A"/>
    <e v="#N/A"/>
  </r>
  <r>
    <n v="3739"/>
    <d v="2016-02-07T12:41:06"/>
    <d v="2016-02-07T12:56:06"/>
    <x v="0"/>
    <s v="Large"/>
    <m/>
    <x v="0"/>
    <n v="70804"/>
    <n v="0"/>
    <d v="2016-02-07T12:59:05"/>
    <n v="23.34"/>
    <x v="1"/>
    <n v="2"/>
    <n v="1"/>
    <n v="2.2999999999999998"/>
    <n v="0"/>
    <n v="3.3"/>
    <x v="0"/>
    <x v="0"/>
    <x v="0"/>
    <x v="0"/>
    <n v="7"/>
    <n v="14"/>
    <e v="#N/A"/>
  </r>
  <r>
    <n v="3740"/>
    <d v="2016-02-07T14:46:33"/>
    <d v="2016-02-07T15:01:31"/>
    <x v="2"/>
    <m/>
    <m/>
    <x v="0"/>
    <n v="70804"/>
    <n v="0"/>
    <d v="2016-02-07T15:04:32"/>
    <n v="11.59"/>
    <x v="14"/>
    <n v="1"/>
    <n v="1.7"/>
    <n v="0"/>
    <n v="0"/>
    <n v="1.7"/>
    <x v="0"/>
    <x v="0"/>
    <x v="0"/>
    <x v="0"/>
    <n v="10"/>
    <e v="#N/A"/>
    <e v="#N/A"/>
  </r>
  <r>
    <n v="3741"/>
    <d v="2016-02-07T10:48:50"/>
    <d v="2016-02-07T11:03:51"/>
    <x v="0"/>
    <s v="Large"/>
    <m/>
    <x v="0"/>
    <n v="70805"/>
    <n v="0"/>
    <d v="2016-02-07T11:06:52"/>
    <n v="23.34"/>
    <x v="56"/>
    <n v="2"/>
    <n v="1"/>
    <n v="2.2999999999999998"/>
    <n v="0"/>
    <n v="3.3"/>
    <x v="0"/>
    <x v="0"/>
    <x v="0"/>
    <x v="0"/>
    <n v="7"/>
    <n v="14"/>
    <e v="#N/A"/>
  </r>
  <r>
    <n v="3742"/>
    <d v="2016-02-07T11:32:43"/>
    <d v="2016-02-07T11:47:44"/>
    <x v="0"/>
    <m/>
    <m/>
    <x v="1"/>
    <n v="70807"/>
    <n v="2.6292595324696899"/>
    <d v="2016-02-07T12:00:52"/>
    <n v="7.99"/>
    <x v="1226"/>
    <n v="1"/>
    <n v="1"/>
    <n v="0"/>
    <n v="0"/>
    <n v="1"/>
    <x v="1214"/>
    <x v="0"/>
    <x v="1899"/>
    <x v="1085"/>
    <n v="7"/>
    <e v="#N/A"/>
    <e v="#N/A"/>
  </r>
  <r>
    <n v="3743"/>
    <d v="2016-02-07T14:31:22"/>
    <d v="2016-02-07T14:46:21"/>
    <x v="1"/>
    <m/>
    <m/>
    <x v="0"/>
    <n v="70805"/>
    <n v="0"/>
    <d v="2016-02-07T14:49:19"/>
    <n v="15.35"/>
    <x v="19"/>
    <n v="1"/>
    <n v="2.2999999999999998"/>
    <n v="0"/>
    <n v="0"/>
    <n v="2.2999999999999998"/>
    <x v="0"/>
    <x v="0"/>
    <x v="0"/>
    <x v="0"/>
    <n v="14"/>
    <e v="#N/A"/>
    <e v="#N/A"/>
  </r>
  <r>
    <n v="3744"/>
    <d v="2016-02-07T11:24:50"/>
    <d v="2016-02-07T11:39:50"/>
    <x v="1"/>
    <m/>
    <m/>
    <x v="1"/>
    <n v="70805"/>
    <n v="2.8130551386514799"/>
    <d v="2016-02-07T11:53:53"/>
    <n v="15.35"/>
    <x v="1064"/>
    <n v="1"/>
    <n v="2.2999999999999998"/>
    <n v="0"/>
    <n v="0"/>
    <n v="2.2999999999999998"/>
    <x v="1051"/>
    <x v="0"/>
    <x v="1900"/>
    <x v="1086"/>
    <n v="14"/>
    <e v="#N/A"/>
    <e v="#N/A"/>
  </r>
  <r>
    <n v="3745"/>
    <d v="2016-02-07T10:10:09"/>
    <d v="2016-02-07T10:25:08"/>
    <x v="2"/>
    <m/>
    <m/>
    <x v="1"/>
    <n v="70807"/>
    <n v="2.5201339064565702"/>
    <d v="2016-02-07T10:37:44"/>
    <n v="11.59"/>
    <x v="86"/>
    <n v="1"/>
    <n v="1.7"/>
    <n v="0"/>
    <n v="0"/>
    <n v="1.7"/>
    <x v="77"/>
    <x v="0"/>
    <x v="1901"/>
    <x v="1087"/>
    <n v="10"/>
    <e v="#N/A"/>
    <e v="#N/A"/>
  </r>
  <r>
    <n v="3746"/>
    <d v="2016-02-07T12:56:33"/>
    <d v="2016-02-07T13:11:34"/>
    <x v="0"/>
    <m/>
    <m/>
    <x v="1"/>
    <n v="70806"/>
    <n v="2.1086804263636898"/>
    <d v="2016-02-07T13:22:06"/>
    <n v="7.99"/>
    <x v="339"/>
    <n v="1"/>
    <n v="1"/>
    <n v="0"/>
    <n v="0"/>
    <n v="1"/>
    <x v="326"/>
    <x v="0"/>
    <x v="1902"/>
    <x v="1088"/>
    <n v="7"/>
    <e v="#N/A"/>
    <e v="#N/A"/>
  </r>
  <r>
    <n v="3747"/>
    <d v="2016-02-07T11:18:14"/>
    <d v="2016-02-07T11:33:13"/>
    <x v="0"/>
    <s v="Medium"/>
    <m/>
    <x v="1"/>
    <n v="70805"/>
    <n v="2.8231273291666898"/>
    <d v="2016-02-07T11:47:19"/>
    <n v="19.579999999999998"/>
    <x v="30"/>
    <n v="2"/>
    <n v="1"/>
    <n v="1.7"/>
    <n v="0"/>
    <n v="2.7"/>
    <x v="24"/>
    <x v="0"/>
    <x v="1903"/>
    <x v="1089"/>
    <n v="7"/>
    <n v="10"/>
    <e v="#N/A"/>
  </r>
  <r>
    <n v="3748"/>
    <d v="2016-02-07T11:36:12"/>
    <d v="2016-02-07T11:51:12"/>
    <x v="1"/>
    <m/>
    <m/>
    <x v="0"/>
    <n v="70807"/>
    <n v="0"/>
    <d v="2016-02-07T11:54:11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3749"/>
    <d v="2016-02-07T11:17:31"/>
    <d v="2016-02-07T11:32:30"/>
    <x v="0"/>
    <s v="Medium"/>
    <m/>
    <x v="0"/>
    <n v="70804"/>
    <n v="0"/>
    <d v="2016-02-07T11:35:31"/>
    <n v="19.579999999999998"/>
    <x v="56"/>
    <n v="2"/>
    <n v="1"/>
    <n v="1.7"/>
    <n v="0"/>
    <n v="2.7"/>
    <x v="0"/>
    <x v="0"/>
    <x v="0"/>
    <x v="0"/>
    <n v="7"/>
    <n v="10"/>
    <e v="#N/A"/>
  </r>
  <r>
    <n v="3750"/>
    <d v="2016-02-07T12:08:23"/>
    <d v="2016-02-07T12:23:22"/>
    <x v="2"/>
    <m/>
    <m/>
    <x v="1"/>
    <n v="70804"/>
    <n v="3.1801655769287902"/>
    <d v="2016-02-07T12:39:16"/>
    <n v="11.59"/>
    <x v="884"/>
    <n v="1"/>
    <n v="1.7"/>
    <n v="0"/>
    <n v="0"/>
    <n v="1.7"/>
    <x v="871"/>
    <x v="0"/>
    <x v="1904"/>
    <x v="1090"/>
    <n v="10"/>
    <e v="#N/A"/>
    <e v="#N/A"/>
  </r>
  <r>
    <n v="3751"/>
    <d v="2016-02-07T12:37:08"/>
    <d v="2016-02-07T12:52:08"/>
    <x v="2"/>
    <m/>
    <m/>
    <x v="1"/>
    <n v="70804"/>
    <n v="1.82628807249214"/>
    <d v="2016-02-07T13:01:15"/>
    <n v="11.59"/>
    <x v="680"/>
    <n v="1"/>
    <n v="1.7"/>
    <n v="0"/>
    <n v="0"/>
    <n v="1.7"/>
    <x v="667"/>
    <x v="0"/>
    <x v="1905"/>
    <x v="1091"/>
    <n v="10"/>
    <e v="#N/A"/>
    <e v="#N/A"/>
  </r>
  <r>
    <n v="3752"/>
    <d v="2016-02-07T11:19:45"/>
    <d v="2016-02-07T11:34:45"/>
    <x v="0"/>
    <m/>
    <m/>
    <x v="1"/>
    <n v="70803"/>
    <n v="3.74940978236121"/>
    <d v="2016-02-07T11:53:29"/>
    <n v="7.99"/>
    <x v="471"/>
    <n v="1"/>
    <n v="1"/>
    <n v="0"/>
    <n v="0"/>
    <n v="1"/>
    <x v="458"/>
    <x v="1"/>
    <x v="1906"/>
    <x v="0"/>
    <n v="7"/>
    <e v="#N/A"/>
    <e v="#N/A"/>
  </r>
  <r>
    <n v="3753"/>
    <d v="2016-02-07T12:32:33"/>
    <d v="2016-02-07T12:47:31"/>
    <x v="2"/>
    <m/>
    <m/>
    <x v="1"/>
    <n v="70806"/>
    <n v="3.4049465766646501"/>
    <d v="2016-02-07T13:04:32"/>
    <n v="11.59"/>
    <x v="942"/>
    <n v="1"/>
    <n v="1.7"/>
    <n v="0"/>
    <n v="0"/>
    <n v="1.7"/>
    <x v="929"/>
    <x v="1"/>
    <x v="1907"/>
    <x v="0"/>
    <n v="10"/>
    <e v="#N/A"/>
    <e v="#N/A"/>
  </r>
  <r>
    <n v="3754"/>
    <d v="2016-02-07T11:04:13"/>
    <d v="2016-02-07T11:19:12"/>
    <x v="1"/>
    <m/>
    <m/>
    <x v="1"/>
    <n v="70805"/>
    <n v="2.6866178378869501"/>
    <d v="2016-02-07T11:32:37"/>
    <n v="15.35"/>
    <x v="1165"/>
    <n v="1"/>
    <n v="2.2999999999999998"/>
    <n v="0"/>
    <n v="0"/>
    <n v="2.2999999999999998"/>
    <x v="1153"/>
    <x v="0"/>
    <x v="1908"/>
    <x v="1092"/>
    <n v="14"/>
    <e v="#N/A"/>
    <e v="#N/A"/>
  </r>
  <r>
    <n v="3755"/>
    <d v="2016-02-07T11:24:21"/>
    <d v="2016-02-07T11:39:22"/>
    <x v="0"/>
    <m/>
    <m/>
    <x v="1"/>
    <n v="70804"/>
    <n v="3.40265705313475"/>
    <d v="2016-02-07T11:56:22"/>
    <n v="7.99"/>
    <x v="97"/>
    <n v="1"/>
    <n v="1"/>
    <n v="0"/>
    <n v="0"/>
    <n v="1"/>
    <x v="88"/>
    <x v="1"/>
    <x v="1909"/>
    <x v="0"/>
    <n v="7"/>
    <e v="#N/A"/>
    <e v="#N/A"/>
  </r>
  <r>
    <n v="3756"/>
    <d v="2016-02-07T11:22:05"/>
    <d v="2016-02-07T11:37:03"/>
    <x v="0"/>
    <m/>
    <m/>
    <x v="0"/>
    <n v="70804"/>
    <n v="0"/>
    <d v="2016-02-07T11:40:04"/>
    <n v="7.99"/>
    <x v="14"/>
    <n v="1"/>
    <n v="1"/>
    <n v="0"/>
    <n v="0"/>
    <n v="1"/>
    <x v="0"/>
    <x v="0"/>
    <x v="0"/>
    <x v="0"/>
    <n v="7"/>
    <e v="#N/A"/>
    <e v="#N/A"/>
  </r>
  <r>
    <n v="3757"/>
    <d v="2016-02-07T10:06:16"/>
    <d v="2016-02-07T10:21:16"/>
    <x v="0"/>
    <m/>
    <m/>
    <x v="1"/>
    <n v="70804"/>
    <n v="2.3995652387360602"/>
    <d v="2016-02-07T10:33:15"/>
    <n v="7.99"/>
    <x v="1227"/>
    <n v="1"/>
    <n v="1"/>
    <n v="0"/>
    <n v="0"/>
    <n v="1"/>
    <x v="1215"/>
    <x v="0"/>
    <x v="1910"/>
    <x v="1093"/>
    <n v="7"/>
    <e v="#N/A"/>
    <e v="#N/A"/>
  </r>
  <r>
    <n v="3758"/>
    <d v="2016-02-07T11:42:11"/>
    <d v="2016-02-07T11:57:10"/>
    <x v="2"/>
    <s v="Large"/>
    <m/>
    <x v="1"/>
    <n v="70805"/>
    <n v="3.46554305412648"/>
    <d v="2016-02-07T12:14:29"/>
    <n v="25.94"/>
    <x v="1228"/>
    <n v="2"/>
    <n v="1.7"/>
    <n v="2.2999999999999998"/>
    <n v="0"/>
    <n v="4"/>
    <x v="1216"/>
    <x v="1"/>
    <x v="1911"/>
    <x v="0"/>
    <n v="10"/>
    <n v="14"/>
    <e v="#N/A"/>
  </r>
  <r>
    <n v="3759"/>
    <d v="2016-02-07T11:28:09"/>
    <d v="2016-02-07T11:43:10"/>
    <x v="0"/>
    <s v="Medium"/>
    <m/>
    <x v="1"/>
    <n v="70806"/>
    <n v="1.8830461230864901"/>
    <d v="2016-02-07T11:52:34"/>
    <n v="19.579999999999998"/>
    <x v="444"/>
    <n v="2"/>
    <n v="1"/>
    <n v="1.7"/>
    <n v="0"/>
    <n v="2.7"/>
    <x v="431"/>
    <x v="0"/>
    <x v="1912"/>
    <x v="1094"/>
    <n v="7"/>
    <n v="10"/>
    <e v="#N/A"/>
  </r>
  <r>
    <n v="3760"/>
    <d v="2016-02-07T11:31:52"/>
    <d v="2016-02-07T11:46:52"/>
    <x v="1"/>
    <m/>
    <m/>
    <x v="0"/>
    <n v="70805"/>
    <n v="0"/>
    <d v="2016-02-07T11:49:52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3761"/>
    <d v="2016-02-07T12:16:53"/>
    <d v="2016-02-07T12:31:51"/>
    <x v="2"/>
    <m/>
    <m/>
    <x v="0"/>
    <n v="70806"/>
    <n v="0"/>
    <d v="2016-02-07T12:34:52"/>
    <n v="11.59"/>
    <x v="14"/>
    <n v="1"/>
    <n v="1.7"/>
    <n v="0"/>
    <n v="0"/>
    <n v="1.7"/>
    <x v="0"/>
    <x v="0"/>
    <x v="0"/>
    <x v="0"/>
    <n v="10"/>
    <e v="#N/A"/>
    <e v="#N/A"/>
  </r>
  <r>
    <n v="3762"/>
    <d v="2016-02-07T11:26:29"/>
    <d v="2016-02-07T11:41:29"/>
    <x v="0"/>
    <m/>
    <m/>
    <x v="1"/>
    <n v="70805"/>
    <n v="4.3425984577595003"/>
    <d v="2016-02-07T12:03:11"/>
    <n v="7.99"/>
    <x v="1229"/>
    <n v="1"/>
    <n v="1"/>
    <n v="0"/>
    <n v="0"/>
    <n v="1"/>
    <x v="1217"/>
    <x v="1"/>
    <x v="1913"/>
    <x v="0"/>
    <n v="7"/>
    <e v="#N/A"/>
    <e v="#N/A"/>
  </r>
  <r>
    <n v="3763"/>
    <d v="2016-02-07T10:27:22"/>
    <d v="2016-02-07T10:42:23"/>
    <x v="2"/>
    <m/>
    <m/>
    <x v="1"/>
    <n v="70804"/>
    <n v="4.3879425728591501"/>
    <d v="2016-02-07T11:04:19"/>
    <n v="11.59"/>
    <x v="1230"/>
    <n v="1"/>
    <n v="1.7"/>
    <n v="0"/>
    <n v="0"/>
    <n v="1.7"/>
    <x v="1218"/>
    <x v="1"/>
    <x v="1914"/>
    <x v="0"/>
    <n v="10"/>
    <e v="#N/A"/>
    <e v="#N/A"/>
  </r>
  <r>
    <n v="3764"/>
    <d v="2016-02-07T13:20:13"/>
    <d v="2016-02-07T13:35:13"/>
    <x v="1"/>
    <m/>
    <m/>
    <x v="1"/>
    <n v="70805"/>
    <n v="2.0539482770788999"/>
    <d v="2016-02-07T13:45:29"/>
    <n v="15.35"/>
    <x v="413"/>
    <n v="1"/>
    <n v="2.2999999999999998"/>
    <n v="0"/>
    <n v="0"/>
    <n v="2.2999999999999998"/>
    <x v="400"/>
    <x v="0"/>
    <x v="1915"/>
    <x v="1095"/>
    <n v="14"/>
    <e v="#N/A"/>
    <e v="#N/A"/>
  </r>
  <r>
    <n v="3765"/>
    <d v="2016-02-07T12:25:11"/>
    <d v="2016-02-07T12:40:10"/>
    <x v="0"/>
    <m/>
    <m/>
    <x v="1"/>
    <n v="70804"/>
    <n v="3.0174127422855102"/>
    <d v="2016-02-07T12:55:15"/>
    <n v="7.99"/>
    <x v="856"/>
    <n v="1"/>
    <n v="1"/>
    <n v="0"/>
    <n v="0"/>
    <n v="1"/>
    <x v="843"/>
    <x v="0"/>
    <x v="1916"/>
    <x v="1096"/>
    <n v="7"/>
    <e v="#N/A"/>
    <e v="#N/A"/>
  </r>
  <r>
    <n v="3766"/>
    <d v="2016-02-07T13:28:00"/>
    <d v="2016-02-07T13:43:00"/>
    <x v="2"/>
    <m/>
    <m/>
    <x v="0"/>
    <n v="70804"/>
    <n v="0"/>
    <d v="2016-02-07T13:45:59"/>
    <n v="11.59"/>
    <x v="24"/>
    <n v="1"/>
    <n v="1.7"/>
    <n v="0"/>
    <n v="0"/>
    <n v="1.7"/>
    <x v="0"/>
    <x v="0"/>
    <x v="0"/>
    <x v="0"/>
    <n v="10"/>
    <e v="#N/A"/>
    <e v="#N/A"/>
  </r>
  <r>
    <n v="3767"/>
    <d v="2016-02-07T11:40:48"/>
    <d v="2016-02-07T11:55:49"/>
    <x v="1"/>
    <m/>
    <m/>
    <x v="0"/>
    <n v="70804"/>
    <n v="0"/>
    <d v="2016-02-07T11:58:49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3768"/>
    <d v="2016-02-07T10:42:55"/>
    <d v="2016-02-07T10:57:52"/>
    <x v="1"/>
    <m/>
    <m/>
    <x v="0"/>
    <n v="70807"/>
    <n v="0"/>
    <d v="2016-02-07T11:00:51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3769"/>
    <d v="2016-02-07T10:20:11"/>
    <d v="2016-02-07T10:35:09"/>
    <x v="0"/>
    <m/>
    <m/>
    <x v="0"/>
    <n v="70805"/>
    <n v="0"/>
    <d v="2016-02-07T10:38:08"/>
    <n v="7.99"/>
    <x v="1"/>
    <n v="1"/>
    <n v="1"/>
    <n v="0"/>
    <n v="0"/>
    <n v="1"/>
    <x v="0"/>
    <x v="0"/>
    <x v="0"/>
    <x v="0"/>
    <n v="7"/>
    <e v="#N/A"/>
    <e v="#N/A"/>
  </r>
  <r>
    <n v="3770"/>
    <d v="2016-02-07T13:42:43"/>
    <d v="2016-02-07T13:57:43"/>
    <x v="2"/>
    <m/>
    <m/>
    <x v="0"/>
    <n v="70808"/>
    <n v="0"/>
    <d v="2016-02-07T14:00:42"/>
    <n v="11.59"/>
    <x v="24"/>
    <n v="1"/>
    <n v="1.7"/>
    <n v="0"/>
    <n v="0"/>
    <n v="1.7"/>
    <x v="0"/>
    <x v="0"/>
    <x v="0"/>
    <x v="0"/>
    <n v="10"/>
    <e v="#N/A"/>
    <e v="#N/A"/>
  </r>
  <r>
    <n v="3771"/>
    <d v="2016-02-07T13:11:04"/>
    <d v="2016-02-07T13:26:03"/>
    <x v="0"/>
    <m/>
    <m/>
    <x v="1"/>
    <n v="70806"/>
    <n v="2.7483995541253101"/>
    <d v="2016-02-07T13:39:47"/>
    <n v="7.99"/>
    <x v="996"/>
    <n v="1"/>
    <n v="1"/>
    <n v="0"/>
    <n v="0"/>
    <n v="1"/>
    <x v="983"/>
    <x v="0"/>
    <x v="1917"/>
    <x v="1097"/>
    <n v="7"/>
    <e v="#N/A"/>
    <e v="#N/A"/>
  </r>
  <r>
    <n v="3772"/>
    <d v="2016-02-07T11:23:22"/>
    <d v="2016-02-07T11:38:22"/>
    <x v="0"/>
    <s v="Medium"/>
    <m/>
    <x v="0"/>
    <n v="70804"/>
    <n v="0"/>
    <d v="2016-02-07T11:41:21"/>
    <n v="19.579999999999998"/>
    <x v="24"/>
    <n v="2"/>
    <n v="1"/>
    <n v="1.7"/>
    <n v="0"/>
    <n v="2.7"/>
    <x v="0"/>
    <x v="0"/>
    <x v="0"/>
    <x v="0"/>
    <n v="7"/>
    <n v="10"/>
    <e v="#N/A"/>
  </r>
  <r>
    <n v="3773"/>
    <d v="2016-02-07T10:43:14"/>
    <d v="2016-02-07T10:58:12"/>
    <x v="2"/>
    <m/>
    <m/>
    <x v="1"/>
    <n v="70808"/>
    <n v="2.0297914989417301"/>
    <d v="2016-02-07T11:08:20"/>
    <n v="11.59"/>
    <x v="663"/>
    <n v="1"/>
    <n v="1.7"/>
    <n v="0"/>
    <n v="0"/>
    <n v="1.7"/>
    <x v="650"/>
    <x v="0"/>
    <x v="1918"/>
    <x v="1098"/>
    <n v="10"/>
    <e v="#N/A"/>
    <e v="#N/A"/>
  </r>
  <r>
    <n v="3774"/>
    <d v="2016-02-07T11:58:44"/>
    <d v="2016-02-07T12:13:44"/>
    <x v="0"/>
    <m/>
    <m/>
    <x v="1"/>
    <n v="70806"/>
    <n v="1.45658629910313"/>
    <d v="2016-02-07T12:21:00"/>
    <n v="7.99"/>
    <x v="970"/>
    <n v="1"/>
    <n v="1"/>
    <n v="0"/>
    <n v="0"/>
    <n v="1"/>
    <x v="957"/>
    <x v="0"/>
    <x v="1919"/>
    <x v="1099"/>
    <n v="7"/>
    <e v="#N/A"/>
    <e v="#N/A"/>
  </r>
  <r>
    <n v="3775"/>
    <d v="2016-02-07T12:52:58"/>
    <d v="2016-02-07T13:07:55"/>
    <x v="0"/>
    <s v="Medium"/>
    <m/>
    <x v="0"/>
    <n v="70804"/>
    <n v="0"/>
    <d v="2016-02-07T13:10:54"/>
    <n v="19.579999999999998"/>
    <x v="24"/>
    <n v="2"/>
    <n v="1"/>
    <n v="1.7"/>
    <n v="0"/>
    <n v="2.7"/>
    <x v="0"/>
    <x v="0"/>
    <x v="0"/>
    <x v="0"/>
    <n v="7"/>
    <n v="10"/>
    <e v="#N/A"/>
  </r>
  <r>
    <n v="3776"/>
    <d v="2016-02-07T11:33:56"/>
    <d v="2016-02-07T11:48:54"/>
    <x v="0"/>
    <s v="Medium"/>
    <m/>
    <x v="1"/>
    <n v="70804"/>
    <n v="1.87736400859839"/>
    <d v="2016-02-07T11:58:17"/>
    <n v="19.579999999999998"/>
    <x v="1203"/>
    <n v="2"/>
    <n v="1"/>
    <n v="1.7"/>
    <n v="0"/>
    <n v="2.7"/>
    <x v="1191"/>
    <x v="0"/>
    <x v="1920"/>
    <x v="1100"/>
    <n v="7"/>
    <n v="10"/>
    <e v="#N/A"/>
  </r>
  <r>
    <n v="3777"/>
    <d v="2016-02-07T12:52:13"/>
    <d v="2016-02-07T13:07:14"/>
    <x v="2"/>
    <m/>
    <m/>
    <x v="0"/>
    <n v="70804"/>
    <n v="0"/>
    <d v="2016-02-07T13:10:15"/>
    <n v="11.59"/>
    <x v="14"/>
    <n v="1"/>
    <n v="1.7"/>
    <n v="0"/>
    <n v="0"/>
    <n v="1.7"/>
    <x v="0"/>
    <x v="0"/>
    <x v="0"/>
    <x v="0"/>
    <n v="10"/>
    <e v="#N/A"/>
    <e v="#N/A"/>
  </r>
  <r>
    <n v="3778"/>
    <d v="2016-02-07T13:16:27"/>
    <d v="2016-02-07T13:31:25"/>
    <x v="0"/>
    <s v="Medium"/>
    <m/>
    <x v="1"/>
    <n v="70803"/>
    <n v="1.6384866238767499"/>
    <d v="2016-02-07T13:39:36"/>
    <n v="19.579999999999998"/>
    <x v="466"/>
    <n v="2"/>
    <n v="1"/>
    <n v="1.7"/>
    <n v="0"/>
    <n v="2.7"/>
    <x v="453"/>
    <x v="0"/>
    <x v="1921"/>
    <x v="1101"/>
    <n v="7"/>
    <n v="10"/>
    <e v="#N/A"/>
  </r>
  <r>
    <n v="3779"/>
    <d v="2016-02-07T11:09:03"/>
    <d v="2016-02-07T11:24:01"/>
    <x v="1"/>
    <m/>
    <m/>
    <x v="1"/>
    <n v="70804"/>
    <n v="4.3919437535725701"/>
    <d v="2016-02-07T11:45:58"/>
    <n v="15.35"/>
    <x v="982"/>
    <n v="1"/>
    <n v="2.2999999999999998"/>
    <n v="0"/>
    <n v="0"/>
    <n v="2.2999999999999998"/>
    <x v="969"/>
    <x v="1"/>
    <x v="1922"/>
    <x v="0"/>
    <n v="14"/>
    <e v="#N/A"/>
    <e v="#N/A"/>
  </r>
  <r>
    <n v="3780"/>
    <d v="2016-02-07T13:31:15"/>
    <d v="2016-02-07T13:46:14"/>
    <x v="0"/>
    <m/>
    <m/>
    <x v="1"/>
    <n v="70806"/>
    <n v="1.0358201764327699"/>
    <d v="2016-02-07T13:51:24"/>
    <n v="7.99"/>
    <x v="1231"/>
    <n v="1"/>
    <n v="1"/>
    <n v="0"/>
    <n v="0"/>
    <n v="1"/>
    <x v="1219"/>
    <x v="0"/>
    <x v="1923"/>
    <x v="1102"/>
    <n v="7"/>
    <e v="#N/A"/>
    <e v="#N/A"/>
  </r>
  <r>
    <n v="3781"/>
    <d v="2016-02-07T12:02:26"/>
    <d v="2016-02-07T12:17:26"/>
    <x v="0"/>
    <m/>
    <m/>
    <x v="1"/>
    <n v="70807"/>
    <n v="2.81546942017345"/>
    <d v="2016-02-07T12:31:30"/>
    <n v="7.99"/>
    <x v="1232"/>
    <n v="1"/>
    <n v="1"/>
    <n v="0"/>
    <n v="0"/>
    <n v="1"/>
    <x v="1220"/>
    <x v="0"/>
    <x v="1924"/>
    <x v="1103"/>
    <n v="7"/>
    <e v="#N/A"/>
    <e v="#N/A"/>
  </r>
  <r>
    <n v="3782"/>
    <d v="2016-02-07T12:46:47"/>
    <d v="2016-02-07T13:01:46"/>
    <x v="0"/>
    <m/>
    <m/>
    <x v="0"/>
    <n v="70805"/>
    <n v="0"/>
    <d v="2016-02-07T13:04:45"/>
    <n v="7.99"/>
    <x v="24"/>
    <n v="1"/>
    <n v="1"/>
    <n v="0"/>
    <n v="0"/>
    <n v="1"/>
    <x v="0"/>
    <x v="0"/>
    <x v="0"/>
    <x v="0"/>
    <n v="7"/>
    <e v="#N/A"/>
    <e v="#N/A"/>
  </r>
  <r>
    <n v="3783"/>
    <d v="2016-02-07T12:18:42"/>
    <d v="2016-02-07T12:33:42"/>
    <x v="0"/>
    <s v="Medium"/>
    <m/>
    <x v="1"/>
    <n v="70804"/>
    <n v="2.8717724478024902"/>
    <d v="2016-02-07T12:48:03"/>
    <n v="19.579999999999998"/>
    <x v="870"/>
    <n v="2"/>
    <n v="1"/>
    <n v="1.7"/>
    <n v="0"/>
    <n v="2.7"/>
    <x v="857"/>
    <x v="0"/>
    <x v="1925"/>
    <x v="1104"/>
    <n v="7"/>
    <n v="10"/>
    <e v="#N/A"/>
  </r>
  <r>
    <n v="3784"/>
    <d v="2016-02-08T11:55:39"/>
    <d v="2016-02-08T12:10:39"/>
    <x v="0"/>
    <s v="Large"/>
    <m/>
    <x v="1"/>
    <n v="70805"/>
    <n v="1.7928084910708999"/>
    <d v="2016-02-08T12:19:36"/>
    <n v="23.34"/>
    <x v="731"/>
    <n v="2"/>
    <n v="1"/>
    <n v="2.2999999999999998"/>
    <n v="0"/>
    <n v="3.3"/>
    <x v="718"/>
    <x v="0"/>
    <x v="1926"/>
    <x v="1105"/>
    <n v="7"/>
    <n v="14"/>
    <e v="#N/A"/>
  </r>
  <r>
    <n v="3785"/>
    <d v="2016-02-08T14:04:02"/>
    <d v="2016-02-08T14:19:00"/>
    <x v="0"/>
    <s v="Medium"/>
    <m/>
    <x v="0"/>
    <n v="70804"/>
    <n v="0"/>
    <d v="2016-02-08T14:21:59"/>
    <n v="19.579999999999998"/>
    <x v="24"/>
    <n v="2"/>
    <n v="1"/>
    <n v="1.7"/>
    <n v="0"/>
    <n v="2.7"/>
    <x v="0"/>
    <x v="0"/>
    <x v="0"/>
    <x v="0"/>
    <n v="7"/>
    <n v="10"/>
    <e v="#N/A"/>
  </r>
  <r>
    <n v="3786"/>
    <d v="2016-02-08T15:12:22"/>
    <d v="2016-02-08T15:27:21"/>
    <x v="2"/>
    <m/>
    <m/>
    <x v="0"/>
    <n v="70804"/>
    <n v="0"/>
    <d v="2016-02-08T15:30:20"/>
    <n v="11.59"/>
    <x v="24"/>
    <n v="1"/>
    <n v="1.7"/>
    <n v="0"/>
    <n v="0"/>
    <n v="1.7"/>
    <x v="0"/>
    <x v="0"/>
    <x v="0"/>
    <x v="0"/>
    <n v="10"/>
    <e v="#N/A"/>
    <e v="#N/A"/>
  </r>
  <r>
    <n v="3787"/>
    <d v="2016-02-08T14:04:00"/>
    <d v="2016-02-08T14:19:02"/>
    <x v="2"/>
    <m/>
    <m/>
    <x v="0"/>
    <n v="70805"/>
    <n v="0"/>
    <d v="2016-02-08T14:22:00"/>
    <n v="11.59"/>
    <x v="0"/>
    <n v="1"/>
    <n v="1.7"/>
    <n v="0"/>
    <n v="0"/>
    <n v="1.7"/>
    <x v="0"/>
    <x v="0"/>
    <x v="0"/>
    <x v="0"/>
    <n v="10"/>
    <e v="#N/A"/>
    <e v="#N/A"/>
  </r>
  <r>
    <n v="3788"/>
    <d v="2016-02-08T12:25:57"/>
    <d v="2016-02-08T12:40:56"/>
    <x v="1"/>
    <m/>
    <m/>
    <x v="1"/>
    <n v="70806"/>
    <n v="2.6200166937413698"/>
    <d v="2016-02-08T12:54:02"/>
    <n v="15.35"/>
    <x v="819"/>
    <n v="1"/>
    <n v="2.2999999999999998"/>
    <n v="0"/>
    <n v="0"/>
    <n v="2.2999999999999998"/>
    <x v="806"/>
    <x v="0"/>
    <x v="1927"/>
    <x v="1106"/>
    <n v="14"/>
    <e v="#N/A"/>
    <e v="#N/A"/>
  </r>
  <r>
    <n v="3789"/>
    <d v="2016-02-08T12:26:21"/>
    <d v="2016-02-08T12:41:21"/>
    <x v="2"/>
    <m/>
    <m/>
    <x v="0"/>
    <n v="70804"/>
    <n v="0"/>
    <d v="2016-02-08T12:44:21"/>
    <n v="11.59"/>
    <x v="63"/>
    <n v="1"/>
    <n v="1.7"/>
    <n v="0"/>
    <n v="0"/>
    <n v="1.7"/>
    <x v="0"/>
    <x v="0"/>
    <x v="0"/>
    <x v="0"/>
    <n v="10"/>
    <e v="#N/A"/>
    <e v="#N/A"/>
  </r>
  <r>
    <n v="3790"/>
    <d v="2016-02-08T11:17:35"/>
    <d v="2016-02-08T11:32:35"/>
    <x v="0"/>
    <m/>
    <m/>
    <x v="1"/>
    <n v="70805"/>
    <n v="3.4039639261140802"/>
    <d v="2016-02-08T11:49:36"/>
    <n v="7.99"/>
    <x v="942"/>
    <n v="1"/>
    <n v="1"/>
    <n v="0"/>
    <n v="0"/>
    <n v="1"/>
    <x v="929"/>
    <x v="1"/>
    <x v="1928"/>
    <x v="0"/>
    <n v="7"/>
    <e v="#N/A"/>
    <e v="#N/A"/>
  </r>
  <r>
    <n v="3791"/>
    <d v="2016-02-08T12:17:51"/>
    <d v="2016-02-08T12:32:50"/>
    <x v="2"/>
    <m/>
    <m/>
    <x v="0"/>
    <n v="70803"/>
    <n v="0"/>
    <d v="2016-02-08T12:35:49"/>
    <n v="11.59"/>
    <x v="1"/>
    <n v="1"/>
    <n v="1.7"/>
    <n v="0"/>
    <n v="0"/>
    <n v="1.7"/>
    <x v="0"/>
    <x v="0"/>
    <x v="0"/>
    <x v="0"/>
    <n v="10"/>
    <e v="#N/A"/>
    <e v="#N/A"/>
  </r>
  <r>
    <n v="3792"/>
    <d v="2016-02-08T12:19:13"/>
    <d v="2016-02-08T12:34:12"/>
    <x v="2"/>
    <m/>
    <m/>
    <x v="1"/>
    <n v="70805"/>
    <n v="1.86947882570988"/>
    <d v="2016-02-08T12:43:32"/>
    <n v="11.59"/>
    <x v="534"/>
    <n v="1"/>
    <n v="1.7"/>
    <n v="0"/>
    <n v="0"/>
    <n v="1.7"/>
    <x v="521"/>
    <x v="0"/>
    <x v="1929"/>
    <x v="1107"/>
    <n v="10"/>
    <e v="#N/A"/>
    <e v="#N/A"/>
  </r>
  <r>
    <n v="3793"/>
    <d v="2016-02-08T13:14:24"/>
    <d v="2016-02-08T13:29:23"/>
    <x v="0"/>
    <s v="Large"/>
    <m/>
    <x v="1"/>
    <n v="70803"/>
    <n v="3.08655713638777"/>
    <d v="2016-02-08T13:44:48"/>
    <n v="23.34"/>
    <x v="206"/>
    <n v="2"/>
    <n v="1"/>
    <n v="2.2999999999999998"/>
    <n v="0"/>
    <n v="3.3"/>
    <x v="194"/>
    <x v="0"/>
    <x v="1930"/>
    <x v="1108"/>
    <n v="7"/>
    <n v="14"/>
    <e v="#N/A"/>
  </r>
  <r>
    <n v="3794"/>
    <d v="2016-02-08T10:34:18"/>
    <d v="2016-02-08T10:49:18"/>
    <x v="0"/>
    <m/>
    <m/>
    <x v="1"/>
    <n v="70803"/>
    <n v="3.0406814670462001"/>
    <d v="2016-02-08T11:04:30"/>
    <n v="7.99"/>
    <x v="1233"/>
    <n v="1"/>
    <n v="1"/>
    <n v="0"/>
    <n v="0"/>
    <n v="1"/>
    <x v="1221"/>
    <x v="0"/>
    <x v="1931"/>
    <x v="1109"/>
    <n v="7"/>
    <e v="#N/A"/>
    <e v="#N/A"/>
  </r>
  <r>
    <n v="3795"/>
    <d v="2016-02-08T10:34:39"/>
    <d v="2016-02-08T10:49:39"/>
    <x v="0"/>
    <s v="Large"/>
    <m/>
    <x v="1"/>
    <n v="70805"/>
    <n v="5.0708596842636204"/>
    <d v="2016-02-08T11:15:00"/>
    <n v="23.34"/>
    <x v="1234"/>
    <n v="2"/>
    <n v="1"/>
    <n v="2.2999999999999998"/>
    <n v="0"/>
    <n v="3.3"/>
    <x v="1222"/>
    <x v="1"/>
    <x v="1932"/>
    <x v="0"/>
    <n v="7"/>
    <n v="14"/>
    <e v="#N/A"/>
  </r>
  <r>
    <n v="3796"/>
    <d v="2016-02-08T12:22:42"/>
    <d v="2016-02-08T12:37:42"/>
    <x v="1"/>
    <m/>
    <m/>
    <x v="0"/>
    <n v="70805"/>
    <n v="0"/>
    <d v="2016-02-08T12:40:43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3797"/>
    <d v="2016-02-08T10:24:07"/>
    <d v="2016-02-08T10:39:05"/>
    <x v="0"/>
    <m/>
    <m/>
    <x v="0"/>
    <n v="70806"/>
    <n v="0"/>
    <d v="2016-02-08T10:42:05"/>
    <n v="7.99"/>
    <x v="2"/>
    <n v="1"/>
    <n v="1"/>
    <n v="0"/>
    <n v="0"/>
    <n v="1"/>
    <x v="0"/>
    <x v="0"/>
    <x v="0"/>
    <x v="0"/>
    <n v="7"/>
    <e v="#N/A"/>
    <e v="#N/A"/>
  </r>
  <r>
    <n v="3798"/>
    <d v="2016-02-08T13:54:42"/>
    <d v="2016-02-08T14:09:43"/>
    <x v="0"/>
    <m/>
    <m/>
    <x v="1"/>
    <n v="70805"/>
    <n v="5.7693349913900596"/>
    <d v="2016-02-08T14:38:33"/>
    <n v="7.99"/>
    <x v="1235"/>
    <n v="1"/>
    <n v="1"/>
    <n v="0"/>
    <n v="0"/>
    <n v="1"/>
    <x v="1223"/>
    <x v="1"/>
    <x v="1933"/>
    <x v="0"/>
    <n v="7"/>
    <e v="#N/A"/>
    <e v="#N/A"/>
  </r>
  <r>
    <n v="3799"/>
    <d v="2016-02-08T13:37:20"/>
    <d v="2016-02-08T13:52:19"/>
    <x v="1"/>
    <m/>
    <m/>
    <x v="1"/>
    <n v="70804"/>
    <n v="5.1057550049053297"/>
    <d v="2016-02-08T14:17:50"/>
    <n v="15.35"/>
    <x v="1236"/>
    <n v="1"/>
    <n v="2.2999999999999998"/>
    <n v="0"/>
    <n v="0"/>
    <n v="2.2999999999999998"/>
    <x v="1224"/>
    <x v="1"/>
    <x v="1934"/>
    <x v="0"/>
    <n v="14"/>
    <e v="#N/A"/>
    <e v="#N/A"/>
  </r>
  <r>
    <n v="3800"/>
    <d v="2016-02-08T11:55:26"/>
    <d v="2016-02-08T12:10:24"/>
    <x v="0"/>
    <s v="Medium"/>
    <m/>
    <x v="1"/>
    <n v="70803"/>
    <n v="2.79596411052386"/>
    <d v="2016-02-08T12:24:22"/>
    <n v="19.579999999999998"/>
    <x v="474"/>
    <n v="2"/>
    <n v="1"/>
    <n v="1.7"/>
    <n v="0"/>
    <n v="2.7"/>
    <x v="461"/>
    <x v="0"/>
    <x v="1935"/>
    <x v="1110"/>
    <n v="7"/>
    <n v="10"/>
    <e v="#N/A"/>
  </r>
  <r>
    <n v="3801"/>
    <d v="2016-02-08T10:12:45"/>
    <d v="2016-02-08T10:27:44"/>
    <x v="0"/>
    <s v="Medium"/>
    <m/>
    <x v="1"/>
    <n v="70806"/>
    <n v="3.2183732190674501"/>
    <d v="2016-02-08T10:43:49"/>
    <n v="19.579999999999998"/>
    <x v="1237"/>
    <n v="2"/>
    <n v="1"/>
    <n v="1.7"/>
    <n v="0"/>
    <n v="2.7"/>
    <x v="1225"/>
    <x v="1"/>
    <x v="1936"/>
    <x v="0"/>
    <n v="7"/>
    <n v="10"/>
    <e v="#N/A"/>
  </r>
  <r>
    <n v="3802"/>
    <d v="2016-02-08T13:01:15"/>
    <d v="2016-02-08T13:16:16"/>
    <x v="1"/>
    <m/>
    <m/>
    <x v="0"/>
    <n v="70805"/>
    <n v="0"/>
    <d v="2016-02-08T13:19:15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3803"/>
    <d v="2016-02-08T13:31:38"/>
    <d v="2016-02-08T13:46:36"/>
    <x v="1"/>
    <m/>
    <m/>
    <x v="0"/>
    <n v="70806"/>
    <n v="0"/>
    <d v="2016-02-08T13:49:36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3804"/>
    <d v="2016-02-08T11:09:19"/>
    <d v="2016-02-08T11:24:18"/>
    <x v="1"/>
    <m/>
    <m/>
    <x v="0"/>
    <n v="70803"/>
    <n v="0"/>
    <d v="2016-02-08T11:27:18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3805"/>
    <d v="2016-02-08T12:14:10"/>
    <d v="2016-02-08T12:29:11"/>
    <x v="0"/>
    <m/>
    <m/>
    <x v="1"/>
    <n v="70805"/>
    <n v="3.3653120098028602"/>
    <d v="2016-02-08T12:46:00"/>
    <n v="7.99"/>
    <x v="1013"/>
    <n v="1"/>
    <n v="1"/>
    <n v="0"/>
    <n v="0"/>
    <n v="1"/>
    <x v="1000"/>
    <x v="1"/>
    <x v="1937"/>
    <x v="0"/>
    <n v="7"/>
    <e v="#N/A"/>
    <e v="#N/A"/>
  </r>
  <r>
    <n v="3806"/>
    <d v="2016-02-08T13:19:43"/>
    <d v="2016-02-08T13:34:44"/>
    <x v="2"/>
    <m/>
    <m/>
    <x v="1"/>
    <n v="70806"/>
    <n v="4.3107574386443499"/>
    <d v="2016-02-08T13:56:17"/>
    <n v="11.59"/>
    <x v="1045"/>
    <n v="1"/>
    <n v="1.7"/>
    <n v="0"/>
    <n v="0"/>
    <n v="1.7"/>
    <x v="1032"/>
    <x v="1"/>
    <x v="1938"/>
    <x v="0"/>
    <n v="10"/>
    <e v="#N/A"/>
    <e v="#N/A"/>
  </r>
  <r>
    <n v="3807"/>
    <d v="2016-02-08T11:13:54"/>
    <d v="2016-02-08T11:28:53"/>
    <x v="0"/>
    <m/>
    <m/>
    <x v="0"/>
    <n v="70804"/>
    <n v="0"/>
    <d v="2016-02-08T11:31:53"/>
    <n v="7.99"/>
    <x v="2"/>
    <n v="1"/>
    <n v="1"/>
    <n v="0"/>
    <n v="0"/>
    <n v="1"/>
    <x v="0"/>
    <x v="0"/>
    <x v="0"/>
    <x v="0"/>
    <n v="7"/>
    <e v="#N/A"/>
    <e v="#N/A"/>
  </r>
  <r>
    <n v="3808"/>
    <d v="2016-02-08T11:16:27"/>
    <d v="2016-02-08T11:31:26"/>
    <x v="0"/>
    <s v="Medium"/>
    <m/>
    <x v="0"/>
    <n v="70806"/>
    <n v="0"/>
    <d v="2016-02-08T11:34:26"/>
    <n v="19.579999999999998"/>
    <x v="2"/>
    <n v="2"/>
    <n v="1"/>
    <n v="1.7"/>
    <n v="0"/>
    <n v="2.7"/>
    <x v="0"/>
    <x v="0"/>
    <x v="0"/>
    <x v="0"/>
    <n v="7"/>
    <n v="10"/>
    <e v="#N/A"/>
  </r>
  <r>
    <n v="3809"/>
    <d v="2016-02-08T12:46:15"/>
    <d v="2016-02-08T13:01:15"/>
    <x v="0"/>
    <s v="Medium"/>
    <m/>
    <x v="0"/>
    <n v="70807"/>
    <n v="0"/>
    <d v="2016-02-08T13:04:15"/>
    <n v="19.579999999999998"/>
    <x v="63"/>
    <n v="2"/>
    <n v="1"/>
    <n v="1.7"/>
    <n v="0"/>
    <n v="2.7"/>
    <x v="0"/>
    <x v="0"/>
    <x v="0"/>
    <x v="0"/>
    <n v="7"/>
    <n v="10"/>
    <e v="#N/A"/>
  </r>
  <r>
    <n v="3810"/>
    <d v="2016-02-08T13:40:50"/>
    <d v="2016-02-08T13:55:49"/>
    <x v="2"/>
    <m/>
    <m/>
    <x v="1"/>
    <n v="70803"/>
    <n v="3.18652046177055"/>
    <d v="2016-02-08T14:11:44"/>
    <n v="11.59"/>
    <x v="705"/>
    <n v="1"/>
    <n v="1.7"/>
    <n v="0"/>
    <n v="0"/>
    <n v="1.7"/>
    <x v="692"/>
    <x v="0"/>
    <x v="1939"/>
    <x v="1111"/>
    <n v="10"/>
    <e v="#N/A"/>
    <e v="#N/A"/>
  </r>
  <r>
    <n v="3811"/>
    <d v="2016-02-08T10:26:52"/>
    <d v="2016-02-08T10:41:50"/>
    <x v="0"/>
    <m/>
    <m/>
    <x v="1"/>
    <n v="70803"/>
    <n v="2.5221700356804901"/>
    <d v="2016-02-08T10:54:26"/>
    <n v="7.99"/>
    <x v="590"/>
    <n v="1"/>
    <n v="1"/>
    <n v="0"/>
    <n v="0"/>
    <n v="1"/>
    <x v="577"/>
    <x v="0"/>
    <x v="1940"/>
    <x v="1112"/>
    <n v="7"/>
    <e v="#N/A"/>
    <e v="#N/A"/>
  </r>
  <r>
    <n v="3812"/>
    <d v="2016-02-08T11:18:36"/>
    <d v="2016-02-08T11:33:36"/>
    <x v="2"/>
    <m/>
    <m/>
    <x v="1"/>
    <n v="70805"/>
    <n v="4.58771136642254"/>
    <d v="2016-02-08T11:56:32"/>
    <n v="11.59"/>
    <x v="802"/>
    <n v="1"/>
    <n v="1.7"/>
    <n v="0"/>
    <n v="0"/>
    <n v="1.7"/>
    <x v="789"/>
    <x v="1"/>
    <x v="1941"/>
    <x v="0"/>
    <n v="10"/>
    <e v="#N/A"/>
    <e v="#N/A"/>
  </r>
  <r>
    <n v="3813"/>
    <d v="2016-02-08T12:47:45"/>
    <d v="2016-02-08T13:02:44"/>
    <x v="0"/>
    <s v="Medium"/>
    <m/>
    <x v="0"/>
    <n v="70803"/>
    <n v="0"/>
    <d v="2016-02-08T13:05:43"/>
    <n v="19.579999999999998"/>
    <x v="1"/>
    <n v="2"/>
    <n v="1"/>
    <n v="1.7"/>
    <n v="0"/>
    <n v="2.7"/>
    <x v="0"/>
    <x v="0"/>
    <x v="0"/>
    <x v="0"/>
    <n v="7"/>
    <n v="10"/>
    <e v="#N/A"/>
  </r>
  <r>
    <n v="3814"/>
    <d v="2016-02-08T13:34:17"/>
    <d v="2016-02-08T13:49:16"/>
    <x v="0"/>
    <s v="Large"/>
    <m/>
    <x v="1"/>
    <n v="70803"/>
    <n v="4.5017111526628399"/>
    <d v="2016-02-08T14:11:46"/>
    <n v="23.34"/>
    <x v="448"/>
    <n v="2"/>
    <n v="1"/>
    <n v="2.2999999999999998"/>
    <n v="0"/>
    <n v="3.3"/>
    <x v="435"/>
    <x v="1"/>
    <x v="1942"/>
    <x v="0"/>
    <n v="7"/>
    <n v="14"/>
    <e v="#N/A"/>
  </r>
  <r>
    <n v="3815"/>
    <d v="2016-02-08T10:30:51"/>
    <d v="2016-02-08T10:45:52"/>
    <x v="1"/>
    <m/>
    <m/>
    <x v="0"/>
    <n v="70805"/>
    <n v="0"/>
    <d v="2016-02-08T10:48:52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3816"/>
    <d v="2016-02-08T11:37:42"/>
    <d v="2016-02-08T11:52:43"/>
    <x v="1"/>
    <m/>
    <m/>
    <x v="1"/>
    <n v="70805"/>
    <n v="0.95397459336172397"/>
    <d v="2016-02-08T11:57:29"/>
    <n v="15.35"/>
    <x v="1238"/>
    <n v="1"/>
    <n v="2.2999999999999998"/>
    <n v="0"/>
    <n v="0"/>
    <n v="2.2999999999999998"/>
    <x v="1226"/>
    <x v="0"/>
    <x v="1943"/>
    <x v="1113"/>
    <n v="14"/>
    <e v="#N/A"/>
    <e v="#N/A"/>
  </r>
  <r>
    <n v="3817"/>
    <d v="2016-02-08T13:11:09"/>
    <d v="2016-02-08T13:26:10"/>
    <x v="2"/>
    <m/>
    <m/>
    <x v="0"/>
    <n v="70803"/>
    <n v="0"/>
    <d v="2016-02-08T13:29:10"/>
    <n v="11.59"/>
    <x v="2"/>
    <n v="1"/>
    <n v="1.7"/>
    <n v="0"/>
    <n v="0"/>
    <n v="1.7"/>
    <x v="0"/>
    <x v="0"/>
    <x v="0"/>
    <x v="0"/>
    <n v="10"/>
    <e v="#N/A"/>
    <e v="#N/A"/>
  </r>
  <r>
    <n v="3818"/>
    <d v="2016-02-08T11:39:24"/>
    <d v="2016-02-08T11:54:24"/>
    <x v="0"/>
    <m/>
    <m/>
    <x v="1"/>
    <n v="70807"/>
    <n v="2.9784222866046499"/>
    <d v="2016-02-08T12:09:17"/>
    <n v="7.99"/>
    <x v="635"/>
    <n v="1"/>
    <n v="1"/>
    <n v="0"/>
    <n v="0"/>
    <n v="1"/>
    <x v="622"/>
    <x v="0"/>
    <x v="1944"/>
    <x v="1114"/>
    <n v="7"/>
    <e v="#N/A"/>
    <e v="#N/A"/>
  </r>
  <r>
    <n v="3819"/>
    <d v="2016-02-08T11:03:37"/>
    <d v="2016-02-08T11:18:37"/>
    <x v="1"/>
    <m/>
    <m/>
    <x v="0"/>
    <n v="70805"/>
    <n v="0"/>
    <d v="2016-02-08T11:21:37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3820"/>
    <d v="2016-02-08T13:29:42"/>
    <d v="2016-02-08T13:44:40"/>
    <x v="0"/>
    <s v="Large"/>
    <m/>
    <x v="1"/>
    <n v="70803"/>
    <n v="2.2316735182183498"/>
    <d v="2016-02-08T13:55:49"/>
    <n v="23.34"/>
    <x v="744"/>
    <n v="2"/>
    <n v="1"/>
    <n v="2.2999999999999998"/>
    <n v="0"/>
    <n v="3.3"/>
    <x v="731"/>
    <x v="0"/>
    <x v="1945"/>
    <x v="1115"/>
    <n v="7"/>
    <n v="14"/>
    <e v="#N/A"/>
  </r>
  <r>
    <n v="3821"/>
    <d v="2016-02-08T12:31:17"/>
    <d v="2016-02-08T12:46:19"/>
    <x v="2"/>
    <m/>
    <m/>
    <x v="1"/>
    <n v="70804"/>
    <n v="4.24121866052168"/>
    <d v="2016-02-08T13:07:31"/>
    <n v="11.59"/>
    <x v="1008"/>
    <n v="1"/>
    <n v="1.7"/>
    <n v="0"/>
    <n v="0"/>
    <n v="1.7"/>
    <x v="995"/>
    <x v="1"/>
    <x v="1946"/>
    <x v="0"/>
    <n v="10"/>
    <e v="#N/A"/>
    <e v="#N/A"/>
  </r>
  <r>
    <n v="3822"/>
    <d v="2016-02-08T11:25:55"/>
    <d v="2016-02-08T11:40:56"/>
    <x v="0"/>
    <m/>
    <m/>
    <x v="1"/>
    <n v="70805"/>
    <n v="4.57705838459706"/>
    <d v="2016-02-08T12:03:49"/>
    <n v="7.99"/>
    <x v="1239"/>
    <n v="1"/>
    <n v="1"/>
    <n v="0"/>
    <n v="0"/>
    <n v="1"/>
    <x v="1227"/>
    <x v="1"/>
    <x v="1947"/>
    <x v="0"/>
    <n v="7"/>
    <e v="#N/A"/>
    <e v="#N/A"/>
  </r>
  <r>
    <n v="3823"/>
    <d v="2016-02-08T10:11:50"/>
    <d v="2016-02-08T10:26:50"/>
    <x v="0"/>
    <s v="Medium"/>
    <m/>
    <x v="0"/>
    <n v="70804"/>
    <n v="0"/>
    <d v="2016-02-08T10:29:48"/>
    <n v="19.579999999999998"/>
    <x v="19"/>
    <n v="2"/>
    <n v="1"/>
    <n v="1.7"/>
    <n v="0"/>
    <n v="2.7"/>
    <x v="0"/>
    <x v="0"/>
    <x v="0"/>
    <x v="0"/>
    <n v="7"/>
    <n v="10"/>
    <e v="#N/A"/>
  </r>
  <r>
    <n v="3824"/>
    <d v="2016-02-08T11:00:12"/>
    <d v="2016-02-08T11:15:13"/>
    <x v="2"/>
    <m/>
    <m/>
    <x v="1"/>
    <n v="70805"/>
    <n v="2.8026923957775298"/>
    <d v="2016-02-08T11:29:13"/>
    <n v="11.59"/>
    <x v="421"/>
    <n v="1"/>
    <n v="1.7"/>
    <n v="0"/>
    <n v="0"/>
    <n v="1.7"/>
    <x v="408"/>
    <x v="0"/>
    <x v="1948"/>
    <x v="1116"/>
    <n v="10"/>
    <e v="#N/A"/>
    <e v="#N/A"/>
  </r>
  <r>
    <n v="3825"/>
    <d v="2016-02-08T13:24:54"/>
    <d v="2016-02-08T13:39:54"/>
    <x v="0"/>
    <s v="Medium"/>
    <m/>
    <x v="0"/>
    <n v="70805"/>
    <n v="0"/>
    <d v="2016-02-08T13:42:54"/>
    <n v="19.579999999999998"/>
    <x v="2"/>
    <n v="2"/>
    <n v="1"/>
    <n v="1.7"/>
    <n v="0"/>
    <n v="2.7"/>
    <x v="0"/>
    <x v="0"/>
    <x v="0"/>
    <x v="0"/>
    <n v="7"/>
    <n v="10"/>
    <e v="#N/A"/>
  </r>
  <r>
    <n v="3826"/>
    <d v="2016-02-08T13:21:39"/>
    <d v="2016-02-08T13:36:38"/>
    <x v="2"/>
    <m/>
    <m/>
    <x v="0"/>
    <n v="70804"/>
    <n v="0"/>
    <d v="2016-02-08T13:39:38"/>
    <n v="11.59"/>
    <x v="2"/>
    <n v="1"/>
    <n v="1.7"/>
    <n v="0"/>
    <n v="0"/>
    <n v="1.7"/>
    <x v="0"/>
    <x v="0"/>
    <x v="0"/>
    <x v="0"/>
    <n v="10"/>
    <e v="#N/A"/>
    <e v="#N/A"/>
  </r>
  <r>
    <n v="3827"/>
    <d v="2016-02-08T12:35:01"/>
    <d v="2016-02-08T12:50:01"/>
    <x v="0"/>
    <m/>
    <m/>
    <x v="1"/>
    <n v="70806"/>
    <n v="3.4815108806130199"/>
    <d v="2016-02-08T13:07:25"/>
    <n v="7.99"/>
    <x v="1157"/>
    <n v="1"/>
    <n v="1"/>
    <n v="0"/>
    <n v="0"/>
    <n v="1"/>
    <x v="1145"/>
    <x v="1"/>
    <x v="1949"/>
    <x v="0"/>
    <n v="7"/>
    <e v="#N/A"/>
    <e v="#N/A"/>
  </r>
  <r>
    <n v="3828"/>
    <d v="2016-02-08T11:28:54"/>
    <d v="2016-02-08T11:43:53"/>
    <x v="0"/>
    <s v="Medium"/>
    <m/>
    <x v="1"/>
    <n v="70803"/>
    <n v="1.948170419228"/>
    <d v="2016-02-08T11:53:37"/>
    <n v="19.579999999999998"/>
    <x v="1240"/>
    <n v="2"/>
    <n v="1"/>
    <n v="1.7"/>
    <n v="0"/>
    <n v="2.7"/>
    <x v="1228"/>
    <x v="0"/>
    <x v="1950"/>
    <x v="1117"/>
    <n v="7"/>
    <n v="10"/>
    <e v="#N/A"/>
  </r>
  <r>
    <n v="3829"/>
    <d v="2016-02-08T13:27:32"/>
    <d v="2016-02-08T13:42:32"/>
    <x v="2"/>
    <m/>
    <m/>
    <x v="1"/>
    <n v="70804"/>
    <n v="4.02769565876687"/>
    <d v="2016-02-08T14:02:40"/>
    <n v="11.59"/>
    <x v="390"/>
    <n v="1"/>
    <n v="1.7"/>
    <n v="0"/>
    <n v="0"/>
    <n v="1.7"/>
    <x v="377"/>
    <x v="1"/>
    <x v="1951"/>
    <x v="0"/>
    <n v="10"/>
    <e v="#N/A"/>
    <e v="#N/A"/>
  </r>
  <r>
    <n v="3830"/>
    <d v="2016-02-08T12:23:21"/>
    <d v="2016-02-08T12:38:20"/>
    <x v="1"/>
    <m/>
    <m/>
    <x v="1"/>
    <n v="70805"/>
    <n v="3.4173802593356801"/>
    <d v="2016-02-08T12:55:25"/>
    <n v="15.35"/>
    <x v="540"/>
    <n v="1"/>
    <n v="2.2999999999999998"/>
    <n v="0"/>
    <n v="0"/>
    <n v="2.2999999999999998"/>
    <x v="527"/>
    <x v="1"/>
    <x v="1952"/>
    <x v="0"/>
    <n v="14"/>
    <e v="#N/A"/>
    <e v="#N/A"/>
  </r>
  <r>
    <n v="3831"/>
    <d v="2016-02-08T11:25:37"/>
    <d v="2016-02-08T11:40:36"/>
    <x v="2"/>
    <m/>
    <m/>
    <x v="1"/>
    <n v="70803"/>
    <n v="2.5604480403201699"/>
    <d v="2016-02-08T11:53:24"/>
    <n v="11.59"/>
    <x v="461"/>
    <n v="1"/>
    <n v="1.7"/>
    <n v="0"/>
    <n v="0"/>
    <n v="1.7"/>
    <x v="448"/>
    <x v="0"/>
    <x v="1953"/>
    <x v="1118"/>
    <n v="10"/>
    <e v="#N/A"/>
    <e v="#N/A"/>
  </r>
  <r>
    <n v="3832"/>
    <d v="2016-02-08T11:15:25"/>
    <d v="2016-02-08T11:30:25"/>
    <x v="2"/>
    <m/>
    <m/>
    <x v="0"/>
    <n v="70807"/>
    <n v="0"/>
    <d v="2016-02-08T11:33:24"/>
    <n v="11.59"/>
    <x v="24"/>
    <n v="1"/>
    <n v="1.7"/>
    <n v="0"/>
    <n v="0"/>
    <n v="1.7"/>
    <x v="0"/>
    <x v="0"/>
    <x v="0"/>
    <x v="0"/>
    <n v="10"/>
    <e v="#N/A"/>
    <e v="#N/A"/>
  </r>
  <r>
    <n v="3833"/>
    <d v="2016-02-08T13:49:24"/>
    <d v="2016-02-08T14:04:23"/>
    <x v="1"/>
    <m/>
    <m/>
    <x v="1"/>
    <n v="70805"/>
    <n v="5.4510020016996501"/>
    <d v="2016-02-08T14:31:38"/>
    <n v="15.35"/>
    <x v="1241"/>
    <n v="1"/>
    <n v="2.2999999999999998"/>
    <n v="0"/>
    <n v="0"/>
    <n v="2.2999999999999998"/>
    <x v="1229"/>
    <x v="1"/>
    <x v="1954"/>
    <x v="0"/>
    <n v="14"/>
    <e v="#N/A"/>
    <e v="#N/A"/>
  </r>
  <r>
    <n v="3834"/>
    <d v="2016-02-08T12:27:59"/>
    <d v="2016-02-08T12:42:59"/>
    <x v="2"/>
    <m/>
    <m/>
    <x v="1"/>
    <n v="70805"/>
    <n v="1.4754650094600901"/>
    <d v="2016-02-08T12:50:21"/>
    <n v="11.59"/>
    <x v="1242"/>
    <n v="1"/>
    <n v="1.7"/>
    <n v="0"/>
    <n v="0"/>
    <n v="1.7"/>
    <x v="1230"/>
    <x v="0"/>
    <x v="1955"/>
    <x v="1119"/>
    <n v="10"/>
    <e v="#N/A"/>
    <e v="#N/A"/>
  </r>
  <r>
    <n v="3835"/>
    <d v="2016-02-08T13:43:58"/>
    <d v="2016-02-08T13:58:58"/>
    <x v="2"/>
    <m/>
    <m/>
    <x v="0"/>
    <n v="70807"/>
    <n v="0"/>
    <d v="2016-02-08T14:01:57"/>
    <n v="11.59"/>
    <x v="24"/>
    <n v="1"/>
    <n v="1.7"/>
    <n v="0"/>
    <n v="0"/>
    <n v="1.7"/>
    <x v="0"/>
    <x v="0"/>
    <x v="0"/>
    <x v="0"/>
    <n v="10"/>
    <e v="#N/A"/>
    <e v="#N/A"/>
  </r>
  <r>
    <n v="3836"/>
    <d v="2016-02-08T10:53:33"/>
    <d v="2016-02-08T11:08:33"/>
    <x v="0"/>
    <m/>
    <m/>
    <x v="1"/>
    <n v="70804"/>
    <n v="4.1198696940135298"/>
    <d v="2016-02-08T11:29:08"/>
    <n v="7.99"/>
    <x v="1243"/>
    <n v="1"/>
    <n v="1"/>
    <n v="0"/>
    <n v="0"/>
    <n v="1"/>
    <x v="1231"/>
    <x v="1"/>
    <x v="1956"/>
    <x v="0"/>
    <n v="7"/>
    <e v="#N/A"/>
    <e v="#N/A"/>
  </r>
  <r>
    <n v="3837"/>
    <d v="2016-02-08T11:40:27"/>
    <d v="2016-02-08T11:55:25"/>
    <x v="0"/>
    <m/>
    <m/>
    <x v="0"/>
    <n v="70803"/>
    <n v="0"/>
    <d v="2016-02-08T11:58:25"/>
    <n v="7.99"/>
    <x v="2"/>
    <n v="1"/>
    <n v="1"/>
    <n v="0"/>
    <n v="0"/>
    <n v="1"/>
    <x v="0"/>
    <x v="0"/>
    <x v="0"/>
    <x v="0"/>
    <n v="7"/>
    <e v="#N/A"/>
    <e v="#N/A"/>
  </r>
  <r>
    <n v="3838"/>
    <d v="2016-02-08T13:40:42"/>
    <d v="2016-02-08T13:55:40"/>
    <x v="1"/>
    <m/>
    <m/>
    <x v="0"/>
    <n v="70805"/>
    <n v="0"/>
    <d v="2016-02-08T13:58:40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3839"/>
    <d v="2016-02-08T10:29:27"/>
    <d v="2016-02-08T10:44:25"/>
    <x v="0"/>
    <s v="Medium"/>
    <m/>
    <x v="1"/>
    <n v="70804"/>
    <n v="2.90542948669705"/>
    <d v="2016-02-08T10:58:56"/>
    <n v="19.579999999999998"/>
    <x v="372"/>
    <n v="2"/>
    <n v="1"/>
    <n v="1.7"/>
    <n v="0"/>
    <n v="2.7"/>
    <x v="359"/>
    <x v="0"/>
    <x v="1957"/>
    <x v="1120"/>
    <n v="7"/>
    <n v="10"/>
    <e v="#N/A"/>
  </r>
  <r>
    <n v="3840"/>
    <d v="2016-02-08T12:15:50"/>
    <d v="2016-02-08T12:30:51"/>
    <x v="2"/>
    <m/>
    <m/>
    <x v="0"/>
    <n v="70806"/>
    <n v="0"/>
    <d v="2016-02-08T12:33:50"/>
    <n v="11.59"/>
    <x v="24"/>
    <n v="1"/>
    <n v="1.7"/>
    <n v="0"/>
    <n v="0"/>
    <n v="1.7"/>
    <x v="0"/>
    <x v="0"/>
    <x v="0"/>
    <x v="0"/>
    <n v="10"/>
    <e v="#N/A"/>
    <e v="#N/A"/>
  </r>
  <r>
    <n v="3841"/>
    <d v="2016-02-08T11:03:27"/>
    <d v="2016-02-08T11:18:26"/>
    <x v="0"/>
    <s v="Medium"/>
    <m/>
    <x v="0"/>
    <n v="70805"/>
    <n v="0"/>
    <d v="2016-02-08T11:21:26"/>
    <n v="19.579999999999998"/>
    <x v="2"/>
    <n v="2"/>
    <n v="1"/>
    <n v="1.7"/>
    <n v="0"/>
    <n v="2.7"/>
    <x v="0"/>
    <x v="0"/>
    <x v="0"/>
    <x v="0"/>
    <n v="7"/>
    <n v="10"/>
    <e v="#N/A"/>
  </r>
  <r>
    <n v="3842"/>
    <d v="2016-02-08T13:47:52"/>
    <d v="2016-02-08T14:02:51"/>
    <x v="2"/>
    <m/>
    <m/>
    <x v="0"/>
    <n v="70803"/>
    <n v="0"/>
    <d v="2016-02-08T14:05:51"/>
    <n v="11.59"/>
    <x v="2"/>
    <n v="1"/>
    <n v="1.7"/>
    <n v="0"/>
    <n v="0"/>
    <n v="1.7"/>
    <x v="0"/>
    <x v="0"/>
    <x v="0"/>
    <x v="0"/>
    <n v="10"/>
    <e v="#N/A"/>
    <e v="#N/A"/>
  </r>
  <r>
    <n v="3843"/>
    <d v="2016-02-08T11:44:48"/>
    <d v="2016-02-08T11:59:48"/>
    <x v="0"/>
    <s v="Medium"/>
    <m/>
    <x v="1"/>
    <n v="70804"/>
    <n v="4.2715971983004799"/>
    <d v="2016-02-08T12:21:09"/>
    <n v="19.579999999999998"/>
    <x v="1072"/>
    <n v="2"/>
    <n v="1"/>
    <n v="1.7"/>
    <n v="0"/>
    <n v="2.7"/>
    <x v="1059"/>
    <x v="1"/>
    <x v="1958"/>
    <x v="0"/>
    <n v="7"/>
    <n v="10"/>
    <e v="#N/A"/>
  </r>
  <r>
    <n v="3844"/>
    <d v="2016-02-08T12:42:41"/>
    <d v="2016-02-08T12:57:41"/>
    <x v="0"/>
    <s v="Large"/>
    <m/>
    <x v="0"/>
    <n v="70806"/>
    <n v="0"/>
    <d v="2016-02-08T13:00:40"/>
    <n v="23.34"/>
    <x v="24"/>
    <n v="2"/>
    <n v="1"/>
    <n v="2.2999999999999998"/>
    <n v="0"/>
    <n v="3.3"/>
    <x v="0"/>
    <x v="0"/>
    <x v="0"/>
    <x v="0"/>
    <n v="7"/>
    <n v="14"/>
    <e v="#N/A"/>
  </r>
  <r>
    <n v="3845"/>
    <d v="2016-02-08T12:54:49"/>
    <d v="2016-02-08T13:09:50"/>
    <x v="1"/>
    <m/>
    <m/>
    <x v="0"/>
    <n v="70805"/>
    <n v="0"/>
    <d v="2016-02-08T13:12:47"/>
    <n v="15.35"/>
    <x v="102"/>
    <n v="1"/>
    <n v="2.2999999999999998"/>
    <n v="0"/>
    <n v="0"/>
    <n v="2.2999999999999998"/>
    <x v="0"/>
    <x v="0"/>
    <x v="0"/>
    <x v="0"/>
    <n v="14"/>
    <e v="#N/A"/>
    <e v="#N/A"/>
  </r>
  <r>
    <n v="3846"/>
    <d v="2016-02-08T12:36:22"/>
    <d v="2016-02-08T12:51:20"/>
    <x v="2"/>
    <m/>
    <m/>
    <x v="1"/>
    <n v="70806"/>
    <n v="1.9576143871965801"/>
    <d v="2016-02-08T13:01:07"/>
    <n v="11.59"/>
    <x v="475"/>
    <n v="1"/>
    <n v="1.7"/>
    <n v="0"/>
    <n v="0"/>
    <n v="1.7"/>
    <x v="462"/>
    <x v="0"/>
    <x v="1959"/>
    <x v="1121"/>
    <n v="10"/>
    <e v="#N/A"/>
    <e v="#N/A"/>
  </r>
  <r>
    <n v="3847"/>
    <d v="2016-02-08T10:40:54"/>
    <d v="2016-02-08T10:55:53"/>
    <x v="1"/>
    <m/>
    <m/>
    <x v="0"/>
    <n v="70805"/>
    <n v="0"/>
    <d v="2016-02-08T10:58:53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3848"/>
    <d v="2016-02-08T10:45:09"/>
    <d v="2016-02-08T11:00:09"/>
    <x v="2"/>
    <m/>
    <m/>
    <x v="1"/>
    <n v="70807"/>
    <n v="3.2972493102994198"/>
    <d v="2016-02-08T11:16:38"/>
    <n v="11.59"/>
    <x v="1244"/>
    <n v="1"/>
    <n v="1.7"/>
    <n v="0"/>
    <n v="0"/>
    <n v="1.7"/>
    <x v="1232"/>
    <x v="1"/>
    <x v="1960"/>
    <x v="0"/>
    <n v="10"/>
    <e v="#N/A"/>
    <e v="#N/A"/>
  </r>
  <r>
    <n v="3849"/>
    <d v="2016-02-08T12:18:06"/>
    <d v="2016-02-08T12:33:04"/>
    <x v="1"/>
    <m/>
    <m/>
    <x v="1"/>
    <n v="70808"/>
    <n v="1.8799657794709099"/>
    <d v="2016-02-08T12:42:27"/>
    <n v="15.35"/>
    <x v="938"/>
    <n v="1"/>
    <n v="2.2999999999999998"/>
    <n v="0"/>
    <n v="0"/>
    <n v="2.2999999999999998"/>
    <x v="925"/>
    <x v="0"/>
    <x v="1961"/>
    <x v="1122"/>
    <n v="14"/>
    <e v="#N/A"/>
    <e v="#N/A"/>
  </r>
  <r>
    <n v="3850"/>
    <d v="2016-02-08T10:40:29"/>
    <d v="2016-02-08T10:55:30"/>
    <x v="2"/>
    <m/>
    <m/>
    <x v="1"/>
    <n v="70806"/>
    <n v="3.38826546805192"/>
    <d v="2016-02-08T11:12:26"/>
    <n v="11.59"/>
    <x v="1245"/>
    <n v="1"/>
    <n v="1.7"/>
    <n v="0"/>
    <n v="0"/>
    <n v="1.7"/>
    <x v="1233"/>
    <x v="1"/>
    <x v="1962"/>
    <x v="0"/>
    <n v="10"/>
    <e v="#N/A"/>
    <e v="#N/A"/>
  </r>
  <r>
    <n v="3851"/>
    <d v="2016-02-08T10:36:07"/>
    <d v="2016-02-08T10:51:06"/>
    <x v="1"/>
    <m/>
    <m/>
    <x v="0"/>
    <n v="70805"/>
    <n v="0"/>
    <d v="2016-02-08T10:54:06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3852"/>
    <d v="2016-02-08T13:29:30"/>
    <d v="2016-02-08T13:44:30"/>
    <x v="1"/>
    <m/>
    <m/>
    <x v="0"/>
    <n v="70805"/>
    <n v="0"/>
    <d v="2016-02-08T13:47:30"/>
    <n v="15.35"/>
    <x v="63"/>
    <n v="1"/>
    <n v="2.2999999999999998"/>
    <n v="0"/>
    <n v="0"/>
    <n v="2.2999999999999998"/>
    <x v="0"/>
    <x v="0"/>
    <x v="0"/>
    <x v="0"/>
    <n v="14"/>
    <e v="#N/A"/>
    <e v="#N/A"/>
  </r>
  <r>
    <n v="3853"/>
    <d v="2016-02-08T11:37:54"/>
    <d v="2016-02-08T11:52:54"/>
    <x v="1"/>
    <m/>
    <m/>
    <x v="1"/>
    <n v="70803"/>
    <n v="3.7010123371072701"/>
    <d v="2016-02-08T12:11:24"/>
    <n v="15.35"/>
    <x v="1246"/>
    <n v="1"/>
    <n v="2.2999999999999998"/>
    <n v="0"/>
    <n v="0"/>
    <n v="2.2999999999999998"/>
    <x v="1234"/>
    <x v="1"/>
    <x v="1963"/>
    <x v="0"/>
    <n v="14"/>
    <e v="#N/A"/>
    <e v="#N/A"/>
  </r>
  <r>
    <n v="3854"/>
    <d v="2016-02-08T11:28:46"/>
    <d v="2016-02-08T11:43:47"/>
    <x v="1"/>
    <m/>
    <m/>
    <x v="1"/>
    <n v="70805"/>
    <n v="3.5098552263493499"/>
    <d v="2016-02-08T12:01:19"/>
    <n v="15.35"/>
    <x v="1051"/>
    <n v="1"/>
    <n v="2.2999999999999998"/>
    <n v="0"/>
    <n v="0"/>
    <n v="2.2999999999999998"/>
    <x v="1038"/>
    <x v="1"/>
    <x v="1964"/>
    <x v="0"/>
    <n v="14"/>
    <e v="#N/A"/>
    <e v="#N/A"/>
  </r>
  <r>
    <n v="3855"/>
    <d v="2016-02-08T11:11:20"/>
    <d v="2016-02-08T11:26:19"/>
    <x v="0"/>
    <s v="Large"/>
    <m/>
    <x v="0"/>
    <n v="70803"/>
    <n v="0"/>
    <d v="2016-02-08T11:29:19"/>
    <n v="23.34"/>
    <x v="2"/>
    <n v="2"/>
    <n v="1"/>
    <n v="2.2999999999999998"/>
    <n v="0"/>
    <n v="3.3"/>
    <x v="0"/>
    <x v="0"/>
    <x v="0"/>
    <x v="0"/>
    <n v="7"/>
    <n v="14"/>
    <e v="#N/A"/>
  </r>
  <r>
    <n v="3856"/>
    <d v="2016-02-08T13:37:23"/>
    <d v="2016-02-08T13:52:22"/>
    <x v="1"/>
    <m/>
    <m/>
    <x v="1"/>
    <n v="70805"/>
    <n v="1.55791632807577"/>
    <d v="2016-02-08T14:00:09"/>
    <n v="15.35"/>
    <x v="519"/>
    <n v="1"/>
    <n v="2.2999999999999998"/>
    <n v="0"/>
    <n v="0"/>
    <n v="2.2999999999999998"/>
    <x v="506"/>
    <x v="0"/>
    <x v="1965"/>
    <x v="1123"/>
    <n v="14"/>
    <e v="#N/A"/>
    <e v="#N/A"/>
  </r>
  <r>
    <n v="3857"/>
    <d v="2016-02-08T11:47:16"/>
    <d v="2016-02-08T12:02:14"/>
    <x v="0"/>
    <s v="Large"/>
    <m/>
    <x v="1"/>
    <n v="70806"/>
    <n v="3.2864567201701602"/>
    <d v="2016-02-08T12:18:39"/>
    <n v="23.34"/>
    <x v="215"/>
    <n v="2"/>
    <n v="1"/>
    <n v="2.2999999999999998"/>
    <n v="0"/>
    <n v="3.3"/>
    <x v="203"/>
    <x v="1"/>
    <x v="1966"/>
    <x v="0"/>
    <n v="7"/>
    <n v="14"/>
    <e v="#N/A"/>
  </r>
  <r>
    <n v="3858"/>
    <d v="2016-02-08T11:44:32"/>
    <d v="2016-02-08T11:59:31"/>
    <x v="2"/>
    <m/>
    <m/>
    <x v="0"/>
    <n v="70805"/>
    <n v="0"/>
    <d v="2016-02-08T12:02:32"/>
    <n v="11.59"/>
    <x v="56"/>
    <n v="1"/>
    <n v="1.7"/>
    <n v="0"/>
    <n v="0"/>
    <n v="1.7"/>
    <x v="0"/>
    <x v="0"/>
    <x v="0"/>
    <x v="0"/>
    <n v="10"/>
    <e v="#N/A"/>
    <e v="#N/A"/>
  </r>
  <r>
    <n v="3859"/>
    <d v="2016-02-08T11:00:18"/>
    <d v="2016-02-08T11:15:18"/>
    <x v="0"/>
    <m/>
    <m/>
    <x v="1"/>
    <n v="70804"/>
    <n v="2.9037894531986099"/>
    <d v="2016-02-08T11:29:49"/>
    <n v="7.99"/>
    <x v="372"/>
    <n v="1"/>
    <n v="1"/>
    <n v="0"/>
    <n v="0"/>
    <n v="1"/>
    <x v="359"/>
    <x v="0"/>
    <x v="1967"/>
    <x v="1124"/>
    <n v="7"/>
    <e v="#N/A"/>
    <e v="#N/A"/>
  </r>
  <r>
    <n v="3860"/>
    <d v="2016-02-08T11:18:40"/>
    <d v="2016-02-08T11:33:39"/>
    <x v="2"/>
    <m/>
    <m/>
    <x v="0"/>
    <n v="70805"/>
    <n v="0"/>
    <d v="2016-02-08T11:36:40"/>
    <n v="11.59"/>
    <x v="14"/>
    <n v="1"/>
    <n v="1.7"/>
    <n v="0"/>
    <n v="0"/>
    <n v="1.7"/>
    <x v="0"/>
    <x v="0"/>
    <x v="0"/>
    <x v="0"/>
    <n v="10"/>
    <e v="#N/A"/>
    <e v="#N/A"/>
  </r>
  <r>
    <n v="3861"/>
    <d v="2016-02-08T12:35:30"/>
    <d v="2016-02-08T12:50:29"/>
    <x v="2"/>
    <m/>
    <m/>
    <x v="1"/>
    <n v="70805"/>
    <n v="2.6517899132531002"/>
    <d v="2016-02-08T13:03:44"/>
    <n v="11.59"/>
    <x v="1178"/>
    <n v="1"/>
    <n v="1.7"/>
    <n v="0"/>
    <n v="0"/>
    <n v="1.7"/>
    <x v="1166"/>
    <x v="0"/>
    <x v="1968"/>
    <x v="1125"/>
    <n v="10"/>
    <e v="#N/A"/>
    <e v="#N/A"/>
  </r>
  <r>
    <n v="3862"/>
    <d v="2016-02-08T10:49:29"/>
    <d v="2016-02-08T11:04:29"/>
    <x v="2"/>
    <m/>
    <m/>
    <x v="1"/>
    <n v="70803"/>
    <n v="3.1532370428174201"/>
    <d v="2016-02-08T11:20:14"/>
    <n v="11.59"/>
    <x v="1247"/>
    <n v="1"/>
    <n v="1.7"/>
    <n v="0"/>
    <n v="0"/>
    <n v="1.7"/>
    <x v="1235"/>
    <x v="0"/>
    <x v="1969"/>
    <x v="1126"/>
    <n v="10"/>
    <e v="#N/A"/>
    <e v="#N/A"/>
  </r>
  <r>
    <n v="3863"/>
    <d v="2016-02-08T11:40:14"/>
    <d v="2016-02-08T11:55:12"/>
    <x v="1"/>
    <m/>
    <m/>
    <x v="1"/>
    <n v="70805"/>
    <n v="1.91058844677458"/>
    <d v="2016-02-08T12:04:45"/>
    <n v="15.35"/>
    <x v="1133"/>
    <n v="1"/>
    <n v="2.2999999999999998"/>
    <n v="0"/>
    <n v="0"/>
    <n v="2.2999999999999998"/>
    <x v="1120"/>
    <x v="0"/>
    <x v="1970"/>
    <x v="1127"/>
    <n v="14"/>
    <e v="#N/A"/>
    <e v="#N/A"/>
  </r>
  <r>
    <n v="3864"/>
    <d v="2016-02-08T11:08:16"/>
    <d v="2016-02-08T11:23:16"/>
    <x v="1"/>
    <m/>
    <m/>
    <x v="0"/>
    <n v="70805"/>
    <n v="0"/>
    <d v="2016-02-08T11:26:16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3865"/>
    <d v="2016-02-08T11:06:35"/>
    <d v="2016-02-08T11:21:35"/>
    <x v="0"/>
    <s v="Large"/>
    <m/>
    <x v="0"/>
    <n v="70805"/>
    <n v="0"/>
    <d v="2016-02-08T11:24:36"/>
    <n v="23.34"/>
    <x v="14"/>
    <n v="2"/>
    <n v="1"/>
    <n v="2.2999999999999998"/>
    <n v="0"/>
    <n v="3.3"/>
    <x v="0"/>
    <x v="0"/>
    <x v="0"/>
    <x v="0"/>
    <n v="7"/>
    <n v="14"/>
    <e v="#N/A"/>
  </r>
  <r>
    <n v="3866"/>
    <d v="2016-02-08T11:16:25"/>
    <d v="2016-02-08T11:31:24"/>
    <x v="2"/>
    <m/>
    <m/>
    <x v="1"/>
    <n v="70805"/>
    <n v="1.6762590386330101"/>
    <d v="2016-02-08T11:39:46"/>
    <n v="11.59"/>
    <x v="1248"/>
    <n v="1"/>
    <n v="1.7"/>
    <n v="0"/>
    <n v="0"/>
    <n v="1.7"/>
    <x v="1236"/>
    <x v="0"/>
    <x v="1971"/>
    <x v="1128"/>
    <n v="10"/>
    <e v="#N/A"/>
    <e v="#N/A"/>
  </r>
  <r>
    <n v="3867"/>
    <d v="2016-02-08T11:35:19"/>
    <d v="2016-02-08T11:50:18"/>
    <x v="1"/>
    <m/>
    <m/>
    <x v="0"/>
    <n v="70806"/>
    <n v="0"/>
    <d v="2016-02-08T11:53:18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3868"/>
    <d v="2016-02-08T12:07:11"/>
    <d v="2016-02-08T12:22:11"/>
    <x v="2"/>
    <m/>
    <m/>
    <x v="0"/>
    <n v="70806"/>
    <n v="0"/>
    <d v="2016-02-08T12:25:11"/>
    <n v="11.59"/>
    <x v="2"/>
    <n v="1"/>
    <n v="1.7"/>
    <n v="0"/>
    <n v="0"/>
    <n v="1.7"/>
    <x v="0"/>
    <x v="0"/>
    <x v="0"/>
    <x v="0"/>
    <n v="10"/>
    <e v="#N/A"/>
    <e v="#N/A"/>
  </r>
  <r>
    <n v="3869"/>
    <d v="2016-02-08T11:35:53"/>
    <d v="2016-02-08T11:50:52"/>
    <x v="2"/>
    <m/>
    <m/>
    <x v="0"/>
    <n v="70804"/>
    <n v="0"/>
    <d v="2016-02-08T11:53:51"/>
    <n v="11.59"/>
    <x v="24"/>
    <n v="1"/>
    <n v="1.7"/>
    <n v="0"/>
    <n v="0"/>
    <n v="1.7"/>
    <x v="0"/>
    <x v="0"/>
    <x v="0"/>
    <x v="0"/>
    <n v="10"/>
    <e v="#N/A"/>
    <e v="#N/A"/>
  </r>
  <r>
    <n v="3870"/>
    <d v="2016-02-08T10:19:00"/>
    <d v="2016-02-08T10:34:02"/>
    <x v="1"/>
    <m/>
    <m/>
    <x v="0"/>
    <n v="70804"/>
    <n v="0"/>
    <d v="2016-02-08T10:37:03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3871"/>
    <d v="2016-02-08T11:34:38"/>
    <d v="2016-02-08T11:49:39"/>
    <x v="1"/>
    <m/>
    <m/>
    <x v="0"/>
    <n v="70803"/>
    <n v="0"/>
    <d v="2016-02-08T11:52:40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3872"/>
    <d v="2016-02-08T12:48:18"/>
    <d v="2016-02-08T13:03:19"/>
    <x v="0"/>
    <s v="Medium"/>
    <m/>
    <x v="1"/>
    <n v="70805"/>
    <n v="2.8036282391245"/>
    <d v="2016-02-08T13:17:20"/>
    <n v="19.579999999999998"/>
    <x v="1249"/>
    <n v="2"/>
    <n v="1"/>
    <n v="1.7"/>
    <n v="0"/>
    <n v="2.7"/>
    <x v="1237"/>
    <x v="0"/>
    <x v="1972"/>
    <x v="1129"/>
    <n v="7"/>
    <n v="10"/>
    <e v="#N/A"/>
  </r>
  <r>
    <n v="3873"/>
    <d v="2016-02-08T11:25:39"/>
    <d v="2016-02-08T11:40:38"/>
    <x v="0"/>
    <s v="Medium"/>
    <m/>
    <x v="1"/>
    <n v="70805"/>
    <n v="0.30532763232256999"/>
    <d v="2016-02-08T11:42:09"/>
    <n v="19.579999999999998"/>
    <x v="1250"/>
    <n v="2"/>
    <n v="1"/>
    <n v="1.7"/>
    <n v="0"/>
    <n v="2.7"/>
    <x v="1238"/>
    <x v="0"/>
    <x v="1973"/>
    <x v="1130"/>
    <n v="7"/>
    <n v="10"/>
    <e v="#N/A"/>
  </r>
  <r>
    <n v="3874"/>
    <d v="2016-02-08T11:47:04"/>
    <d v="2016-02-08T12:02:03"/>
    <x v="0"/>
    <m/>
    <m/>
    <x v="1"/>
    <n v="70807"/>
    <n v="3.5680867922557802"/>
    <d v="2016-02-08T12:19:53"/>
    <n v="7.99"/>
    <x v="1221"/>
    <n v="1"/>
    <n v="1"/>
    <n v="0"/>
    <n v="0"/>
    <n v="1"/>
    <x v="1209"/>
    <x v="1"/>
    <x v="1974"/>
    <x v="0"/>
    <n v="7"/>
    <e v="#N/A"/>
    <e v="#N/A"/>
  </r>
  <r>
    <n v="3875"/>
    <d v="2016-02-08T10:12:10"/>
    <d v="2016-02-08T10:27:09"/>
    <x v="1"/>
    <m/>
    <m/>
    <x v="0"/>
    <n v="70803"/>
    <n v="0"/>
    <d v="2016-02-08T10:30:08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3876"/>
    <d v="2016-02-08T12:33:24"/>
    <d v="2016-02-08T12:48:24"/>
    <x v="1"/>
    <m/>
    <m/>
    <x v="1"/>
    <n v="70806"/>
    <n v="2.91555413846981"/>
    <d v="2016-02-08T13:02:58"/>
    <n v="15.35"/>
    <x v="820"/>
    <n v="1"/>
    <n v="2.2999999999999998"/>
    <n v="0"/>
    <n v="0"/>
    <n v="2.2999999999999998"/>
    <x v="807"/>
    <x v="0"/>
    <x v="1975"/>
    <x v="1131"/>
    <n v="14"/>
    <e v="#N/A"/>
    <e v="#N/A"/>
  </r>
  <r>
    <n v="3877"/>
    <d v="2016-02-08T12:18:21"/>
    <d v="2016-02-08T12:33:22"/>
    <x v="2"/>
    <m/>
    <m/>
    <x v="0"/>
    <n v="70804"/>
    <n v="0"/>
    <d v="2016-02-08T12:36:23"/>
    <n v="11.59"/>
    <x v="56"/>
    <n v="1"/>
    <n v="1.7"/>
    <n v="0"/>
    <n v="0"/>
    <n v="1.7"/>
    <x v="0"/>
    <x v="0"/>
    <x v="0"/>
    <x v="0"/>
    <n v="10"/>
    <e v="#N/A"/>
    <e v="#N/A"/>
  </r>
  <r>
    <n v="3878"/>
    <d v="2016-02-08T12:33:12"/>
    <d v="2016-02-08T12:48:12"/>
    <x v="0"/>
    <m/>
    <m/>
    <x v="1"/>
    <n v="70805"/>
    <n v="3.6064750356242299"/>
    <d v="2016-02-08T13:06:13"/>
    <n v="7.99"/>
    <x v="717"/>
    <n v="1"/>
    <n v="1"/>
    <n v="0"/>
    <n v="0"/>
    <n v="1"/>
    <x v="704"/>
    <x v="1"/>
    <x v="1976"/>
    <x v="0"/>
    <n v="7"/>
    <e v="#N/A"/>
    <e v="#N/A"/>
  </r>
  <r>
    <n v="3879"/>
    <d v="2016-02-08T12:20:02"/>
    <d v="2016-02-08T12:35:01"/>
    <x v="0"/>
    <s v="Medium"/>
    <m/>
    <x v="1"/>
    <n v="70806"/>
    <n v="5.0518593139141803"/>
    <d v="2016-02-08T13:00:16"/>
    <n v="19.579999999999998"/>
    <x v="1251"/>
    <n v="2"/>
    <n v="1"/>
    <n v="1.7"/>
    <n v="0"/>
    <n v="2.7"/>
    <x v="1239"/>
    <x v="1"/>
    <x v="1977"/>
    <x v="0"/>
    <n v="7"/>
    <n v="10"/>
    <e v="#N/A"/>
  </r>
  <r>
    <n v="3880"/>
    <d v="2016-02-08T12:26:13"/>
    <d v="2016-02-08T12:41:13"/>
    <x v="0"/>
    <s v="Large"/>
    <m/>
    <x v="0"/>
    <n v="70803"/>
    <n v="0"/>
    <d v="2016-02-08T12:44:13"/>
    <n v="23.34"/>
    <x v="2"/>
    <n v="2"/>
    <n v="1"/>
    <n v="2.2999999999999998"/>
    <n v="0"/>
    <n v="3.3"/>
    <x v="0"/>
    <x v="0"/>
    <x v="0"/>
    <x v="0"/>
    <n v="7"/>
    <n v="14"/>
    <e v="#N/A"/>
  </r>
  <r>
    <n v="3881"/>
    <d v="2016-02-08T11:42:46"/>
    <d v="2016-02-08T11:57:44"/>
    <x v="1"/>
    <m/>
    <m/>
    <x v="0"/>
    <n v="70807"/>
    <n v="0"/>
    <d v="2016-02-08T12:00:43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3882"/>
    <d v="2016-02-08T12:42:39"/>
    <d v="2016-02-08T12:57:38"/>
    <x v="1"/>
    <m/>
    <m/>
    <x v="0"/>
    <n v="70805"/>
    <n v="0"/>
    <d v="2016-02-08T13:00:37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3883"/>
    <d v="2016-02-08T10:29:13"/>
    <d v="2016-02-08T10:44:14"/>
    <x v="0"/>
    <m/>
    <m/>
    <x v="0"/>
    <n v="70805"/>
    <n v="0"/>
    <d v="2016-02-08T10:47:13"/>
    <n v="7.99"/>
    <x v="1"/>
    <n v="1"/>
    <n v="1"/>
    <n v="0"/>
    <n v="0"/>
    <n v="1"/>
    <x v="0"/>
    <x v="0"/>
    <x v="0"/>
    <x v="0"/>
    <n v="7"/>
    <e v="#N/A"/>
    <e v="#N/A"/>
  </r>
  <r>
    <n v="3884"/>
    <d v="2016-02-08T10:48:57"/>
    <d v="2016-02-08T11:03:56"/>
    <x v="2"/>
    <m/>
    <m/>
    <x v="0"/>
    <n v="70806"/>
    <n v="0"/>
    <d v="2016-02-08T11:06:53"/>
    <n v="11.59"/>
    <x v="102"/>
    <n v="1"/>
    <n v="1.7"/>
    <n v="0"/>
    <n v="0"/>
    <n v="1.7"/>
    <x v="0"/>
    <x v="0"/>
    <x v="0"/>
    <x v="0"/>
    <n v="10"/>
    <e v="#N/A"/>
    <e v="#N/A"/>
  </r>
  <r>
    <n v="3885"/>
    <d v="2016-02-08T10:46:07"/>
    <d v="2016-02-08T11:01:07"/>
    <x v="1"/>
    <m/>
    <m/>
    <x v="0"/>
    <n v="70804"/>
    <n v="0"/>
    <d v="2016-02-08T11:04:06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3886"/>
    <d v="2016-02-08T12:40:59"/>
    <d v="2016-02-08T12:55:58"/>
    <x v="0"/>
    <s v="Medium"/>
    <m/>
    <x v="0"/>
    <n v="70804"/>
    <n v="0"/>
    <d v="2016-02-08T12:58:57"/>
    <n v="19.579999999999998"/>
    <x v="1"/>
    <n v="2"/>
    <n v="1"/>
    <n v="1.7"/>
    <n v="0"/>
    <n v="2.7"/>
    <x v="0"/>
    <x v="0"/>
    <x v="0"/>
    <x v="0"/>
    <n v="7"/>
    <n v="10"/>
    <e v="#N/A"/>
  </r>
  <r>
    <n v="3887"/>
    <d v="2016-02-08T13:17:26"/>
    <d v="2016-02-08T13:32:23"/>
    <x v="2"/>
    <m/>
    <m/>
    <x v="1"/>
    <n v="70807"/>
    <n v="3.90279808951035"/>
    <d v="2016-02-08T13:51:53"/>
    <n v="11.59"/>
    <x v="132"/>
    <n v="1"/>
    <n v="1.7"/>
    <n v="0"/>
    <n v="0"/>
    <n v="1.7"/>
    <x v="122"/>
    <x v="1"/>
    <x v="1978"/>
    <x v="0"/>
    <n v="10"/>
    <e v="#N/A"/>
    <e v="#N/A"/>
  </r>
  <r>
    <n v="3888"/>
    <d v="2016-02-08T12:52:53"/>
    <d v="2016-02-08T13:07:53"/>
    <x v="0"/>
    <s v="Large"/>
    <m/>
    <x v="0"/>
    <n v="70805"/>
    <n v="0"/>
    <d v="2016-02-08T13:10:53"/>
    <n v="23.34"/>
    <x v="63"/>
    <n v="2"/>
    <n v="1"/>
    <n v="2.2999999999999998"/>
    <n v="0"/>
    <n v="3.3"/>
    <x v="0"/>
    <x v="0"/>
    <x v="0"/>
    <x v="0"/>
    <n v="7"/>
    <n v="14"/>
    <e v="#N/A"/>
  </r>
  <r>
    <n v="3889"/>
    <d v="2016-02-08T11:55:39"/>
    <d v="2016-02-08T12:10:37"/>
    <x v="2"/>
    <m/>
    <m/>
    <x v="1"/>
    <n v="70805"/>
    <n v="3.65005330873137"/>
    <d v="2016-02-08T12:28:52"/>
    <n v="11.59"/>
    <x v="1252"/>
    <n v="1"/>
    <n v="1.7"/>
    <n v="0"/>
    <n v="0"/>
    <n v="1.7"/>
    <x v="1240"/>
    <x v="1"/>
    <x v="1979"/>
    <x v="0"/>
    <n v="10"/>
    <e v="#N/A"/>
    <e v="#N/A"/>
  </r>
  <r>
    <n v="3890"/>
    <d v="2016-02-08T12:22:08"/>
    <d v="2016-02-08T12:37:07"/>
    <x v="0"/>
    <s v="Large"/>
    <m/>
    <x v="0"/>
    <n v="70805"/>
    <n v="0"/>
    <d v="2016-02-08T12:40:05"/>
    <n v="23.34"/>
    <x v="0"/>
    <n v="2"/>
    <n v="1"/>
    <n v="2.2999999999999998"/>
    <n v="0"/>
    <n v="3.3"/>
    <x v="0"/>
    <x v="0"/>
    <x v="0"/>
    <x v="0"/>
    <n v="7"/>
    <n v="14"/>
    <e v="#N/A"/>
  </r>
  <r>
    <n v="3891"/>
    <d v="2016-02-08T13:27:52"/>
    <d v="2016-02-08T13:42:52"/>
    <x v="0"/>
    <m/>
    <m/>
    <x v="1"/>
    <n v="70807"/>
    <n v="0.69343012886576405"/>
    <d v="2016-02-08T13:46:20"/>
    <n v="7.99"/>
    <x v="1253"/>
    <n v="1"/>
    <n v="1"/>
    <n v="0"/>
    <n v="0"/>
    <n v="1"/>
    <x v="1241"/>
    <x v="0"/>
    <x v="1980"/>
    <x v="1132"/>
    <n v="7"/>
    <e v="#N/A"/>
    <e v="#N/A"/>
  </r>
  <r>
    <n v="3892"/>
    <d v="2016-02-08T13:24:28"/>
    <d v="2016-02-08T13:39:30"/>
    <x v="0"/>
    <m/>
    <m/>
    <x v="1"/>
    <n v="70804"/>
    <n v="2.0434143597730898"/>
    <d v="2016-02-08T13:49:43"/>
    <n v="7.99"/>
    <x v="1254"/>
    <n v="1"/>
    <n v="1"/>
    <n v="0"/>
    <n v="0"/>
    <n v="1"/>
    <x v="1242"/>
    <x v="0"/>
    <x v="1981"/>
    <x v="1133"/>
    <n v="7"/>
    <e v="#N/A"/>
    <e v="#N/A"/>
  </r>
  <r>
    <n v="3893"/>
    <d v="2016-02-08T11:49:22"/>
    <d v="2016-02-08T12:04:21"/>
    <x v="2"/>
    <m/>
    <m/>
    <x v="1"/>
    <n v="70804"/>
    <n v="3.10331401953581"/>
    <d v="2016-02-08T12:19:51"/>
    <n v="11.59"/>
    <x v="439"/>
    <n v="1"/>
    <n v="1.7"/>
    <n v="0"/>
    <n v="0"/>
    <n v="1.7"/>
    <x v="426"/>
    <x v="0"/>
    <x v="1982"/>
    <x v="1134"/>
    <n v="10"/>
    <e v="#N/A"/>
    <e v="#N/A"/>
  </r>
  <r>
    <n v="3894"/>
    <d v="2016-02-08T12:42:34"/>
    <d v="2016-02-08T12:57:33"/>
    <x v="0"/>
    <m/>
    <m/>
    <x v="1"/>
    <n v="70804"/>
    <n v="5.2358976706068896"/>
    <d v="2016-02-08T13:23:43"/>
    <n v="7.99"/>
    <x v="1255"/>
    <n v="1"/>
    <n v="1"/>
    <n v="0"/>
    <n v="0"/>
    <n v="1"/>
    <x v="1243"/>
    <x v="1"/>
    <x v="1983"/>
    <x v="0"/>
    <n v="7"/>
    <e v="#N/A"/>
    <e v="#N/A"/>
  </r>
  <r>
    <n v="3895"/>
    <d v="2016-02-08T12:29:20"/>
    <d v="2016-02-08T12:44:20"/>
    <x v="1"/>
    <m/>
    <m/>
    <x v="1"/>
    <n v="70804"/>
    <n v="4.7444655875667001"/>
    <d v="2016-02-08T13:08:03"/>
    <n v="15.35"/>
    <x v="1256"/>
    <n v="1"/>
    <n v="2.2999999999999998"/>
    <n v="0"/>
    <n v="0"/>
    <n v="2.2999999999999998"/>
    <x v="1244"/>
    <x v="1"/>
    <x v="1984"/>
    <x v="0"/>
    <n v="14"/>
    <e v="#N/A"/>
    <e v="#N/A"/>
  </r>
  <r>
    <n v="3896"/>
    <d v="2016-02-08T12:27:16"/>
    <d v="2016-02-08T12:42:15"/>
    <x v="0"/>
    <s v="Large"/>
    <m/>
    <x v="1"/>
    <n v="70804"/>
    <n v="3.8400023998053499"/>
    <d v="2016-02-08T13:01:27"/>
    <n v="23.34"/>
    <x v="1257"/>
    <n v="2"/>
    <n v="1"/>
    <n v="2.2999999999999998"/>
    <n v="0"/>
    <n v="3.3"/>
    <x v="1245"/>
    <x v="1"/>
    <x v="1985"/>
    <x v="0"/>
    <n v="7"/>
    <n v="14"/>
    <e v="#N/A"/>
  </r>
  <r>
    <n v="3897"/>
    <d v="2016-02-08T12:24:34"/>
    <d v="2016-02-08T12:39:32"/>
    <x v="0"/>
    <s v="Medium"/>
    <m/>
    <x v="1"/>
    <n v="70804"/>
    <n v="5.0362282841371799"/>
    <d v="2016-02-08T13:04:42"/>
    <n v="19.579999999999998"/>
    <x v="1258"/>
    <n v="2"/>
    <n v="1"/>
    <n v="1.7"/>
    <n v="0"/>
    <n v="2.7"/>
    <x v="1246"/>
    <x v="1"/>
    <x v="1986"/>
    <x v="0"/>
    <n v="7"/>
    <n v="10"/>
    <e v="#N/A"/>
  </r>
  <r>
    <n v="3898"/>
    <d v="2016-02-08T10:19:36"/>
    <d v="2016-02-08T10:34:37"/>
    <x v="0"/>
    <s v="Medium"/>
    <m/>
    <x v="1"/>
    <n v="70806"/>
    <n v="5.74521411727864"/>
    <d v="2016-02-08T11:03:20"/>
    <n v="19.579999999999998"/>
    <x v="1259"/>
    <n v="2"/>
    <n v="1"/>
    <n v="1.7"/>
    <n v="0"/>
    <n v="2.7"/>
    <x v="1247"/>
    <x v="1"/>
    <x v="1987"/>
    <x v="0"/>
    <n v="7"/>
    <n v="10"/>
    <e v="#N/A"/>
  </r>
  <r>
    <n v="3899"/>
    <d v="2016-02-08T12:41:13"/>
    <d v="2016-02-08T12:56:14"/>
    <x v="0"/>
    <m/>
    <m/>
    <x v="0"/>
    <n v="70804"/>
    <n v="0"/>
    <d v="2016-02-08T12:59:13"/>
    <n v="7.99"/>
    <x v="1"/>
    <n v="1"/>
    <n v="1"/>
    <n v="0"/>
    <n v="0"/>
    <n v="1"/>
    <x v="0"/>
    <x v="0"/>
    <x v="0"/>
    <x v="0"/>
    <n v="7"/>
    <e v="#N/A"/>
    <e v="#N/A"/>
  </r>
  <r>
    <n v="3900"/>
    <d v="2016-02-08T11:18:14"/>
    <d v="2016-02-08T11:33:13"/>
    <x v="2"/>
    <m/>
    <m/>
    <x v="1"/>
    <n v="70804"/>
    <n v="2.6725646562232499"/>
    <d v="2016-02-08T11:46:34"/>
    <n v="11.59"/>
    <x v="720"/>
    <n v="1"/>
    <n v="1.7"/>
    <n v="0"/>
    <n v="0"/>
    <n v="1.7"/>
    <x v="707"/>
    <x v="0"/>
    <x v="1988"/>
    <x v="1135"/>
    <n v="10"/>
    <e v="#N/A"/>
    <e v="#N/A"/>
  </r>
  <r>
    <n v="3901"/>
    <d v="2016-02-08T11:38:23"/>
    <d v="2016-02-08T11:53:22"/>
    <x v="2"/>
    <m/>
    <m/>
    <x v="1"/>
    <n v="70807"/>
    <n v="2.9424104189610998"/>
    <d v="2016-02-08T12:08:04"/>
    <n v="11.59"/>
    <x v="1112"/>
    <n v="1"/>
    <n v="1.7"/>
    <n v="0"/>
    <n v="0"/>
    <n v="1.7"/>
    <x v="1099"/>
    <x v="0"/>
    <x v="1989"/>
    <x v="1136"/>
    <n v="10"/>
    <e v="#N/A"/>
    <e v="#N/A"/>
  </r>
  <r>
    <n v="3902"/>
    <d v="2016-02-08T11:58:58"/>
    <d v="2016-02-08T12:13:56"/>
    <x v="0"/>
    <s v="Large"/>
    <m/>
    <x v="1"/>
    <n v="70807"/>
    <n v="4.7864995031867403"/>
    <d v="2016-02-08T12:37:51"/>
    <n v="23.34"/>
    <x v="1260"/>
    <n v="2"/>
    <n v="1"/>
    <n v="2.2999999999999998"/>
    <n v="0"/>
    <n v="3.3"/>
    <x v="1248"/>
    <x v="1"/>
    <x v="1990"/>
    <x v="0"/>
    <n v="7"/>
    <n v="14"/>
    <e v="#N/A"/>
  </r>
  <r>
    <n v="3903"/>
    <d v="2016-02-08T10:18:33"/>
    <d v="2016-02-08T10:33:36"/>
    <x v="2"/>
    <m/>
    <m/>
    <x v="1"/>
    <n v="70804"/>
    <n v="3.4586395240016499"/>
    <d v="2016-02-08T10:50:53"/>
    <n v="11.59"/>
    <x v="1261"/>
    <n v="1"/>
    <n v="1.7"/>
    <n v="0"/>
    <n v="0"/>
    <n v="1.7"/>
    <x v="1249"/>
    <x v="1"/>
    <x v="1991"/>
    <x v="0"/>
    <n v="10"/>
    <e v="#N/A"/>
    <e v="#N/A"/>
  </r>
  <r>
    <n v="3904"/>
    <d v="2016-02-08T12:28:41"/>
    <d v="2016-02-08T12:43:42"/>
    <x v="1"/>
    <m/>
    <m/>
    <x v="1"/>
    <n v="70804"/>
    <n v="2.11286986193794"/>
    <d v="2016-02-08T12:54:15"/>
    <n v="15.35"/>
    <x v="662"/>
    <n v="1"/>
    <n v="2.2999999999999998"/>
    <n v="0"/>
    <n v="0"/>
    <n v="2.2999999999999998"/>
    <x v="649"/>
    <x v="0"/>
    <x v="1992"/>
    <x v="1137"/>
    <n v="14"/>
    <e v="#N/A"/>
    <e v="#N/A"/>
  </r>
  <r>
    <n v="3905"/>
    <d v="2016-02-08T11:30:49"/>
    <d v="2016-02-08T11:45:49"/>
    <x v="0"/>
    <s v="Medium"/>
    <m/>
    <x v="0"/>
    <n v="70804"/>
    <n v="0"/>
    <d v="2016-02-08T11:48:48"/>
    <n v="19.579999999999998"/>
    <x v="1"/>
    <n v="2"/>
    <n v="1"/>
    <n v="1.7"/>
    <n v="0"/>
    <n v="2.7"/>
    <x v="0"/>
    <x v="0"/>
    <x v="0"/>
    <x v="0"/>
    <n v="7"/>
    <n v="10"/>
    <e v="#N/A"/>
  </r>
  <r>
    <n v="3906"/>
    <d v="2016-02-08T12:48:02"/>
    <d v="2016-02-08T13:03:01"/>
    <x v="0"/>
    <m/>
    <m/>
    <x v="0"/>
    <n v="70804"/>
    <n v="0"/>
    <d v="2016-02-08T13:06:00"/>
    <n v="7.99"/>
    <x v="24"/>
    <n v="1"/>
    <n v="1"/>
    <n v="0"/>
    <n v="0"/>
    <n v="1"/>
    <x v="0"/>
    <x v="0"/>
    <x v="0"/>
    <x v="0"/>
    <n v="7"/>
    <e v="#N/A"/>
    <e v="#N/A"/>
  </r>
  <r>
    <n v="3907"/>
    <d v="2016-02-09T12:14:05"/>
    <d v="2016-02-09T12:29:05"/>
    <x v="2"/>
    <s v="Large"/>
    <m/>
    <x v="0"/>
    <n v="70803"/>
    <n v="0"/>
    <d v="2016-02-09T12:32:06"/>
    <n v="25.94"/>
    <x v="14"/>
    <n v="2"/>
    <n v="1.7"/>
    <n v="2.2999999999999998"/>
    <n v="0"/>
    <n v="4"/>
    <x v="0"/>
    <x v="0"/>
    <x v="0"/>
    <x v="0"/>
    <n v="10"/>
    <n v="14"/>
    <e v="#N/A"/>
  </r>
  <r>
    <n v="3908"/>
    <d v="2016-02-09T11:25:40"/>
    <d v="2016-02-09T11:40:39"/>
    <x v="0"/>
    <m/>
    <m/>
    <x v="1"/>
    <n v="70805"/>
    <n v="3.2799287550949798"/>
    <d v="2016-02-09T11:57:02"/>
    <n v="7.99"/>
    <x v="1030"/>
    <n v="1"/>
    <n v="1"/>
    <n v="0"/>
    <n v="0"/>
    <n v="1"/>
    <x v="1017"/>
    <x v="1"/>
    <x v="1993"/>
    <x v="0"/>
    <n v="7"/>
    <e v="#N/A"/>
    <e v="#N/A"/>
  </r>
  <r>
    <n v="3909"/>
    <d v="2016-02-09T12:58:25"/>
    <d v="2016-02-09T13:13:25"/>
    <x v="1"/>
    <m/>
    <m/>
    <x v="0"/>
    <n v="70804"/>
    <n v="0"/>
    <d v="2016-02-09T13:16:26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3910"/>
    <d v="2016-02-09T13:36:17"/>
    <d v="2016-02-09T13:51:17"/>
    <x v="2"/>
    <m/>
    <m/>
    <x v="1"/>
    <n v="70805"/>
    <n v="2.6320757246630699"/>
    <d v="2016-02-09T14:04:26"/>
    <n v="11.59"/>
    <x v="824"/>
    <n v="1"/>
    <n v="1.7"/>
    <n v="0"/>
    <n v="0"/>
    <n v="1.7"/>
    <x v="811"/>
    <x v="0"/>
    <x v="1994"/>
    <x v="1138"/>
    <n v="10"/>
    <e v="#N/A"/>
    <e v="#N/A"/>
  </r>
  <r>
    <n v="3911"/>
    <d v="2016-02-09T11:26:18"/>
    <d v="2016-02-09T11:41:18"/>
    <x v="0"/>
    <s v="Medium"/>
    <m/>
    <x v="1"/>
    <n v="70805"/>
    <n v="5.1202744789289696"/>
    <d v="2016-02-09T12:06:54"/>
    <n v="19.579999999999998"/>
    <x v="1262"/>
    <n v="2"/>
    <n v="1"/>
    <n v="1.7"/>
    <n v="0"/>
    <n v="2.7"/>
    <x v="1250"/>
    <x v="1"/>
    <x v="1995"/>
    <x v="0"/>
    <n v="7"/>
    <n v="10"/>
    <e v="#N/A"/>
  </r>
  <r>
    <n v="3912"/>
    <d v="2016-02-09T12:08:11"/>
    <d v="2016-02-09T12:23:09"/>
    <x v="0"/>
    <s v="Medium"/>
    <m/>
    <x v="0"/>
    <n v="70803"/>
    <n v="0"/>
    <d v="2016-02-09T12:26:08"/>
    <n v="19.579999999999998"/>
    <x v="1"/>
    <n v="2"/>
    <n v="1"/>
    <n v="1.7"/>
    <n v="0"/>
    <n v="2.7"/>
    <x v="0"/>
    <x v="0"/>
    <x v="0"/>
    <x v="0"/>
    <n v="7"/>
    <n v="10"/>
    <e v="#N/A"/>
  </r>
  <r>
    <n v="3913"/>
    <d v="2016-02-09T12:51:57"/>
    <d v="2016-02-09T13:06:56"/>
    <x v="2"/>
    <m/>
    <m/>
    <x v="0"/>
    <n v="70803"/>
    <n v="0"/>
    <d v="2016-02-09T13:09:56"/>
    <n v="11.59"/>
    <x v="2"/>
    <n v="1"/>
    <n v="1.7"/>
    <n v="0"/>
    <n v="0"/>
    <n v="1.7"/>
    <x v="0"/>
    <x v="0"/>
    <x v="0"/>
    <x v="0"/>
    <n v="10"/>
    <e v="#N/A"/>
    <e v="#N/A"/>
  </r>
  <r>
    <n v="3914"/>
    <d v="2016-02-09T12:37:35"/>
    <d v="2016-02-09T12:52:33"/>
    <x v="2"/>
    <m/>
    <m/>
    <x v="0"/>
    <n v="70804"/>
    <n v="0"/>
    <d v="2016-02-09T12:55:32"/>
    <n v="11.59"/>
    <x v="24"/>
    <n v="1"/>
    <n v="1.7"/>
    <n v="0"/>
    <n v="0"/>
    <n v="1.7"/>
    <x v="0"/>
    <x v="0"/>
    <x v="0"/>
    <x v="0"/>
    <n v="10"/>
    <e v="#N/A"/>
    <e v="#N/A"/>
  </r>
  <r>
    <n v="3915"/>
    <d v="2016-02-09T13:39:45"/>
    <d v="2016-02-09T13:54:45"/>
    <x v="2"/>
    <m/>
    <m/>
    <x v="0"/>
    <n v="70805"/>
    <n v="0"/>
    <d v="2016-02-09T13:57:45"/>
    <n v="11.59"/>
    <x v="2"/>
    <n v="1"/>
    <n v="1.7"/>
    <n v="0"/>
    <n v="0"/>
    <n v="1.7"/>
    <x v="0"/>
    <x v="0"/>
    <x v="0"/>
    <x v="0"/>
    <n v="10"/>
    <e v="#N/A"/>
    <e v="#N/A"/>
  </r>
  <r>
    <n v="3916"/>
    <d v="2016-02-09T11:14:04"/>
    <d v="2016-02-09T11:29:02"/>
    <x v="1"/>
    <m/>
    <m/>
    <x v="1"/>
    <n v="70803"/>
    <n v="1.63234481086065"/>
    <d v="2016-02-09T11:37:11"/>
    <n v="15.35"/>
    <x v="1194"/>
    <n v="1"/>
    <n v="2.2999999999999998"/>
    <n v="0"/>
    <n v="0"/>
    <n v="2.2999999999999998"/>
    <x v="1182"/>
    <x v="0"/>
    <x v="1996"/>
    <x v="1139"/>
    <n v="14"/>
    <e v="#N/A"/>
    <e v="#N/A"/>
  </r>
  <r>
    <n v="3917"/>
    <d v="2016-02-09T13:21:23"/>
    <d v="2016-02-09T13:36:23"/>
    <x v="2"/>
    <m/>
    <m/>
    <x v="0"/>
    <n v="70803"/>
    <n v="0"/>
    <d v="2016-02-09T13:39:23"/>
    <n v="11.59"/>
    <x v="2"/>
    <n v="1"/>
    <n v="1.7"/>
    <n v="0"/>
    <n v="0"/>
    <n v="1.7"/>
    <x v="0"/>
    <x v="0"/>
    <x v="0"/>
    <x v="0"/>
    <n v="10"/>
    <e v="#N/A"/>
    <e v="#N/A"/>
  </r>
  <r>
    <n v="3918"/>
    <d v="2016-02-09T11:26:24"/>
    <d v="2016-02-09T11:41:23"/>
    <x v="0"/>
    <m/>
    <m/>
    <x v="0"/>
    <n v="70807"/>
    <n v="0"/>
    <d v="2016-02-09T11:44:23"/>
    <n v="7.99"/>
    <x v="2"/>
    <n v="1"/>
    <n v="1"/>
    <n v="0"/>
    <n v="0"/>
    <n v="1"/>
    <x v="0"/>
    <x v="0"/>
    <x v="0"/>
    <x v="0"/>
    <n v="7"/>
    <e v="#N/A"/>
    <e v="#N/A"/>
  </r>
  <r>
    <n v="3919"/>
    <d v="2016-02-09T12:57:17"/>
    <d v="2016-02-09T13:12:16"/>
    <x v="0"/>
    <m/>
    <m/>
    <x v="0"/>
    <n v="70806"/>
    <n v="0"/>
    <d v="2016-02-09T13:15:16"/>
    <n v="7.99"/>
    <x v="2"/>
    <n v="1"/>
    <n v="1"/>
    <n v="0"/>
    <n v="0"/>
    <n v="1"/>
    <x v="0"/>
    <x v="0"/>
    <x v="0"/>
    <x v="0"/>
    <n v="7"/>
    <e v="#N/A"/>
    <e v="#N/A"/>
  </r>
  <r>
    <n v="3920"/>
    <d v="2016-02-09T12:26:09"/>
    <d v="2016-02-09T12:41:07"/>
    <x v="0"/>
    <m/>
    <m/>
    <x v="1"/>
    <n v="70806"/>
    <n v="2.7849767291075298"/>
    <d v="2016-02-09T12:55:02"/>
    <n v="7.99"/>
    <x v="274"/>
    <n v="1"/>
    <n v="1"/>
    <n v="0"/>
    <n v="0"/>
    <n v="1"/>
    <x v="261"/>
    <x v="0"/>
    <x v="1997"/>
    <x v="1140"/>
    <n v="7"/>
    <e v="#N/A"/>
    <e v="#N/A"/>
  </r>
  <r>
    <n v="3921"/>
    <d v="2016-02-09T11:27:01"/>
    <d v="2016-02-09T11:42:00"/>
    <x v="0"/>
    <m/>
    <m/>
    <x v="1"/>
    <n v="70805"/>
    <n v="1.97845260884226"/>
    <d v="2016-02-09T11:51:53"/>
    <n v="7.99"/>
    <x v="1263"/>
    <n v="1"/>
    <n v="1"/>
    <n v="0"/>
    <n v="0"/>
    <n v="1"/>
    <x v="1251"/>
    <x v="0"/>
    <x v="1998"/>
    <x v="1141"/>
    <n v="7"/>
    <e v="#N/A"/>
    <e v="#N/A"/>
  </r>
  <r>
    <n v="3922"/>
    <d v="2016-02-09T12:31:46"/>
    <d v="2016-02-09T12:46:44"/>
    <x v="0"/>
    <s v="Large"/>
    <m/>
    <x v="0"/>
    <n v="70805"/>
    <n v="0"/>
    <d v="2016-02-09T12:49:41"/>
    <n v="23.34"/>
    <x v="22"/>
    <n v="2"/>
    <n v="1"/>
    <n v="2.2999999999999998"/>
    <n v="0"/>
    <n v="3.3"/>
    <x v="0"/>
    <x v="0"/>
    <x v="0"/>
    <x v="0"/>
    <n v="7"/>
    <n v="14"/>
    <e v="#N/A"/>
  </r>
  <r>
    <n v="3923"/>
    <d v="2016-02-09T10:07:29"/>
    <d v="2016-02-09T10:22:29"/>
    <x v="0"/>
    <s v="Large"/>
    <m/>
    <x v="0"/>
    <n v="70806"/>
    <n v="0"/>
    <d v="2016-02-09T10:25:29"/>
    <n v="23.34"/>
    <x v="2"/>
    <n v="2"/>
    <n v="1"/>
    <n v="2.2999999999999998"/>
    <n v="0"/>
    <n v="3.3"/>
    <x v="0"/>
    <x v="0"/>
    <x v="0"/>
    <x v="0"/>
    <n v="7"/>
    <n v="14"/>
    <e v="#N/A"/>
  </r>
  <r>
    <n v="3924"/>
    <d v="2016-02-09T12:44:28"/>
    <d v="2016-02-09T12:59:28"/>
    <x v="2"/>
    <m/>
    <m/>
    <x v="1"/>
    <n v="70805"/>
    <n v="2.82224338996821"/>
    <d v="2016-02-09T13:13:34"/>
    <n v="11.59"/>
    <x v="964"/>
    <n v="1"/>
    <n v="1.7"/>
    <n v="0"/>
    <n v="0"/>
    <n v="1.7"/>
    <x v="951"/>
    <x v="0"/>
    <x v="1999"/>
    <x v="1142"/>
    <n v="10"/>
    <e v="#N/A"/>
    <e v="#N/A"/>
  </r>
  <r>
    <n v="3925"/>
    <d v="2016-02-09T11:25:22"/>
    <d v="2016-02-09T11:40:20"/>
    <x v="0"/>
    <s v="Medium"/>
    <m/>
    <x v="0"/>
    <n v="70806"/>
    <n v="0"/>
    <d v="2016-02-09T11:43:20"/>
    <n v="19.579999999999998"/>
    <x v="2"/>
    <n v="2"/>
    <n v="1"/>
    <n v="1.7"/>
    <n v="0"/>
    <n v="2.7"/>
    <x v="0"/>
    <x v="0"/>
    <x v="0"/>
    <x v="0"/>
    <n v="7"/>
    <n v="10"/>
    <e v="#N/A"/>
  </r>
  <r>
    <n v="3926"/>
    <d v="2016-02-09T11:27:21"/>
    <d v="2016-02-09T11:42:20"/>
    <x v="1"/>
    <m/>
    <m/>
    <x v="1"/>
    <n v="70807"/>
    <n v="1.1668925770485501"/>
    <d v="2016-02-09T11:48:10"/>
    <n v="15.35"/>
    <x v="1264"/>
    <n v="1"/>
    <n v="2.2999999999999998"/>
    <n v="0"/>
    <n v="0"/>
    <n v="2.2999999999999998"/>
    <x v="1252"/>
    <x v="0"/>
    <x v="2000"/>
    <x v="1143"/>
    <n v="14"/>
    <e v="#N/A"/>
    <e v="#N/A"/>
  </r>
  <r>
    <n v="3927"/>
    <d v="2016-02-09T15:49:00"/>
    <d v="2016-02-09T16:03:58"/>
    <x v="2"/>
    <m/>
    <m/>
    <x v="1"/>
    <n v="70803"/>
    <n v="3.5696345736158301"/>
    <d v="2016-02-09T16:21:48"/>
    <n v="11.59"/>
    <x v="1221"/>
    <n v="1"/>
    <n v="1.7"/>
    <n v="0"/>
    <n v="0"/>
    <n v="1.7"/>
    <x v="1209"/>
    <x v="1"/>
    <x v="2001"/>
    <x v="0"/>
    <n v="10"/>
    <e v="#N/A"/>
    <e v="#N/A"/>
  </r>
  <r>
    <n v="3928"/>
    <d v="2016-02-09T11:35:13"/>
    <d v="2016-02-09T11:50:13"/>
    <x v="0"/>
    <s v="Medium"/>
    <m/>
    <x v="0"/>
    <n v="70803"/>
    <n v="0"/>
    <d v="2016-02-09T11:53:12"/>
    <n v="19.579999999999998"/>
    <x v="1"/>
    <n v="2"/>
    <n v="1"/>
    <n v="1.7"/>
    <n v="0"/>
    <n v="2.7"/>
    <x v="0"/>
    <x v="0"/>
    <x v="0"/>
    <x v="0"/>
    <n v="7"/>
    <n v="10"/>
    <e v="#N/A"/>
  </r>
  <r>
    <n v="3929"/>
    <d v="2016-02-09T10:22:19"/>
    <d v="2016-02-09T10:37:16"/>
    <x v="2"/>
    <m/>
    <m/>
    <x v="0"/>
    <n v="70805"/>
    <n v="0"/>
    <d v="2016-02-09T10:40:15"/>
    <n v="11.59"/>
    <x v="24"/>
    <n v="1"/>
    <n v="1.7"/>
    <n v="0"/>
    <n v="0"/>
    <n v="1.7"/>
    <x v="0"/>
    <x v="0"/>
    <x v="0"/>
    <x v="0"/>
    <n v="10"/>
    <e v="#N/A"/>
    <e v="#N/A"/>
  </r>
  <r>
    <n v="3930"/>
    <d v="2016-02-09T12:31:40"/>
    <d v="2016-02-09T12:46:38"/>
    <x v="0"/>
    <m/>
    <m/>
    <x v="1"/>
    <n v="70807"/>
    <n v="1.30609262725058"/>
    <d v="2016-02-09T12:53:09"/>
    <n v="7.99"/>
    <x v="1265"/>
    <n v="1"/>
    <n v="1"/>
    <n v="0"/>
    <n v="0"/>
    <n v="1"/>
    <x v="1253"/>
    <x v="0"/>
    <x v="2002"/>
    <x v="1144"/>
    <n v="7"/>
    <e v="#N/A"/>
    <e v="#N/A"/>
  </r>
  <r>
    <n v="3931"/>
    <d v="2016-02-09T12:49:02"/>
    <d v="2016-02-09T13:04:01"/>
    <x v="2"/>
    <m/>
    <m/>
    <x v="0"/>
    <n v="70803"/>
    <n v="0"/>
    <d v="2016-02-09T13:06:59"/>
    <n v="11.59"/>
    <x v="0"/>
    <n v="1"/>
    <n v="1.7"/>
    <n v="0"/>
    <n v="0"/>
    <n v="1.7"/>
    <x v="0"/>
    <x v="0"/>
    <x v="0"/>
    <x v="0"/>
    <n v="10"/>
    <e v="#N/A"/>
    <e v="#N/A"/>
  </r>
  <r>
    <n v="3932"/>
    <d v="2016-02-09T10:37:17"/>
    <d v="2016-02-09T10:52:18"/>
    <x v="0"/>
    <m/>
    <m/>
    <x v="0"/>
    <n v="70803"/>
    <n v="0"/>
    <d v="2016-02-09T10:55:19"/>
    <n v="7.99"/>
    <x v="14"/>
    <n v="1"/>
    <n v="1"/>
    <n v="0"/>
    <n v="0"/>
    <n v="1"/>
    <x v="0"/>
    <x v="0"/>
    <x v="0"/>
    <x v="0"/>
    <n v="7"/>
    <e v="#N/A"/>
    <e v="#N/A"/>
  </r>
  <r>
    <n v="3933"/>
    <d v="2016-02-09T11:44:34"/>
    <d v="2016-02-09T11:59:33"/>
    <x v="2"/>
    <m/>
    <m/>
    <x v="0"/>
    <n v="70806"/>
    <n v="0"/>
    <d v="2016-02-09T12:02:34"/>
    <n v="11.59"/>
    <x v="14"/>
    <n v="1"/>
    <n v="1.7"/>
    <n v="0"/>
    <n v="0"/>
    <n v="1.7"/>
    <x v="0"/>
    <x v="0"/>
    <x v="0"/>
    <x v="0"/>
    <n v="10"/>
    <e v="#N/A"/>
    <e v="#N/A"/>
  </r>
  <r>
    <n v="3934"/>
    <d v="2016-02-09T11:27:19"/>
    <d v="2016-02-09T11:42:18"/>
    <x v="0"/>
    <s v="Medium"/>
    <m/>
    <x v="1"/>
    <n v="70804"/>
    <n v="2.65484822588409"/>
    <d v="2016-02-09T11:55:34"/>
    <n v="19.579999999999998"/>
    <x v="526"/>
    <n v="2"/>
    <n v="1"/>
    <n v="1.7"/>
    <n v="0"/>
    <n v="2.7"/>
    <x v="513"/>
    <x v="0"/>
    <x v="2003"/>
    <x v="1145"/>
    <n v="7"/>
    <n v="10"/>
    <e v="#N/A"/>
  </r>
  <r>
    <n v="3935"/>
    <d v="2016-02-09T12:42:59"/>
    <d v="2016-02-09T12:57:58"/>
    <x v="0"/>
    <m/>
    <m/>
    <x v="0"/>
    <n v="70806"/>
    <n v="0"/>
    <d v="2016-02-09T13:00:58"/>
    <n v="7.99"/>
    <x v="2"/>
    <n v="1"/>
    <n v="1"/>
    <n v="0"/>
    <n v="0"/>
    <n v="1"/>
    <x v="0"/>
    <x v="0"/>
    <x v="0"/>
    <x v="0"/>
    <n v="7"/>
    <e v="#N/A"/>
    <e v="#N/A"/>
  </r>
  <r>
    <n v="3936"/>
    <d v="2016-02-09T11:19:18"/>
    <d v="2016-02-09T11:34:17"/>
    <x v="1"/>
    <m/>
    <m/>
    <x v="0"/>
    <n v="70806"/>
    <n v="0"/>
    <d v="2016-02-09T11:37:16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3937"/>
    <d v="2016-02-09T11:22:09"/>
    <d v="2016-02-09T11:37:08"/>
    <x v="1"/>
    <m/>
    <m/>
    <x v="0"/>
    <n v="70803"/>
    <n v="0"/>
    <d v="2016-02-09T11:40:08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3938"/>
    <d v="2016-02-09T12:46:17"/>
    <d v="2016-02-09T13:01:16"/>
    <x v="0"/>
    <s v="Medium"/>
    <m/>
    <x v="1"/>
    <n v="70806"/>
    <n v="2.26071512448326"/>
    <d v="2016-02-09T13:12:34"/>
    <n v="19.579999999999998"/>
    <x v="27"/>
    <n v="2"/>
    <n v="1"/>
    <n v="1.7"/>
    <n v="0"/>
    <n v="2.7"/>
    <x v="21"/>
    <x v="0"/>
    <x v="2004"/>
    <x v="1146"/>
    <n v="7"/>
    <n v="10"/>
    <e v="#N/A"/>
  </r>
  <r>
    <n v="3939"/>
    <d v="2016-02-09T13:41:49"/>
    <d v="2016-02-09T13:56:49"/>
    <x v="0"/>
    <s v="Large"/>
    <m/>
    <x v="0"/>
    <n v="70807"/>
    <n v="0"/>
    <d v="2016-02-09T13:59:50"/>
    <n v="23.34"/>
    <x v="56"/>
    <n v="2"/>
    <n v="1"/>
    <n v="2.2999999999999998"/>
    <n v="0"/>
    <n v="3.3"/>
    <x v="0"/>
    <x v="0"/>
    <x v="0"/>
    <x v="0"/>
    <n v="7"/>
    <n v="14"/>
    <e v="#N/A"/>
  </r>
  <r>
    <n v="3940"/>
    <d v="2016-02-09T11:57:23"/>
    <d v="2016-02-09T12:12:22"/>
    <x v="2"/>
    <m/>
    <m/>
    <x v="0"/>
    <n v="70807"/>
    <n v="0"/>
    <d v="2016-02-09T12:15:23"/>
    <n v="11.59"/>
    <x v="14"/>
    <n v="1"/>
    <n v="1.7"/>
    <n v="0"/>
    <n v="0"/>
    <n v="1.7"/>
    <x v="0"/>
    <x v="0"/>
    <x v="0"/>
    <x v="0"/>
    <n v="10"/>
    <e v="#N/A"/>
    <e v="#N/A"/>
  </r>
  <r>
    <n v="3941"/>
    <d v="2016-02-09T12:55:31"/>
    <d v="2016-02-09T13:10:30"/>
    <x v="2"/>
    <m/>
    <m/>
    <x v="0"/>
    <n v="70806"/>
    <n v="0"/>
    <d v="2016-02-09T13:13:30"/>
    <n v="11.59"/>
    <x v="2"/>
    <n v="1"/>
    <n v="1.7"/>
    <n v="0"/>
    <n v="0"/>
    <n v="1.7"/>
    <x v="0"/>
    <x v="0"/>
    <x v="0"/>
    <x v="0"/>
    <n v="10"/>
    <e v="#N/A"/>
    <e v="#N/A"/>
  </r>
  <r>
    <n v="3942"/>
    <d v="2016-02-09T10:25:22"/>
    <d v="2016-02-09T10:40:22"/>
    <x v="0"/>
    <s v="Medium"/>
    <m/>
    <x v="0"/>
    <n v="70806"/>
    <n v="0"/>
    <d v="2016-02-09T10:43:21"/>
    <n v="19.579999999999998"/>
    <x v="24"/>
    <n v="2"/>
    <n v="1"/>
    <n v="1.7"/>
    <n v="0"/>
    <n v="2.7"/>
    <x v="0"/>
    <x v="0"/>
    <x v="0"/>
    <x v="0"/>
    <n v="7"/>
    <n v="10"/>
    <e v="#N/A"/>
  </r>
  <r>
    <n v="3943"/>
    <d v="2016-02-09T12:38:32"/>
    <d v="2016-02-09T12:53:32"/>
    <x v="1"/>
    <m/>
    <m/>
    <x v="0"/>
    <n v="70806"/>
    <n v="0"/>
    <d v="2016-02-09T12:56:31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3944"/>
    <d v="2016-02-09T11:29:15"/>
    <d v="2016-02-09T11:44:15"/>
    <x v="1"/>
    <m/>
    <m/>
    <x v="1"/>
    <n v="70804"/>
    <n v="3.3881510315124599"/>
    <d v="2016-02-09T12:01:11"/>
    <n v="15.35"/>
    <x v="1176"/>
    <n v="1"/>
    <n v="2.2999999999999998"/>
    <n v="0"/>
    <n v="0"/>
    <n v="2.2999999999999998"/>
    <x v="1164"/>
    <x v="1"/>
    <x v="2005"/>
    <x v="0"/>
    <n v="14"/>
    <e v="#N/A"/>
    <e v="#N/A"/>
  </r>
  <r>
    <n v="3945"/>
    <d v="2016-02-09T11:07:22"/>
    <d v="2016-02-09T11:22:21"/>
    <x v="0"/>
    <s v="Large"/>
    <m/>
    <x v="1"/>
    <n v="70804"/>
    <n v="4.3361846911634903"/>
    <d v="2016-02-09T11:44:01"/>
    <n v="23.34"/>
    <x v="1036"/>
    <n v="2"/>
    <n v="1"/>
    <n v="2.2999999999999998"/>
    <n v="0"/>
    <n v="3.3"/>
    <x v="1023"/>
    <x v="1"/>
    <x v="2006"/>
    <x v="0"/>
    <n v="7"/>
    <n v="14"/>
    <e v="#N/A"/>
  </r>
  <r>
    <n v="3946"/>
    <d v="2016-02-09T13:33:18"/>
    <d v="2016-02-09T13:48:17"/>
    <x v="1"/>
    <m/>
    <m/>
    <x v="1"/>
    <n v="70807"/>
    <n v="3.77503504505379"/>
    <d v="2016-02-09T14:07:09"/>
    <n v="15.35"/>
    <x v="440"/>
    <n v="1"/>
    <n v="2.2999999999999998"/>
    <n v="0"/>
    <n v="0"/>
    <n v="2.2999999999999998"/>
    <x v="427"/>
    <x v="1"/>
    <x v="2007"/>
    <x v="0"/>
    <n v="14"/>
    <e v="#N/A"/>
    <e v="#N/A"/>
  </r>
  <r>
    <n v="3947"/>
    <d v="2016-02-09T13:09:59"/>
    <d v="2016-02-09T13:24:57"/>
    <x v="0"/>
    <m/>
    <m/>
    <x v="0"/>
    <n v="70804"/>
    <n v="0"/>
    <d v="2016-02-09T13:27:55"/>
    <n v="7.99"/>
    <x v="19"/>
    <n v="1"/>
    <n v="1"/>
    <n v="0"/>
    <n v="0"/>
    <n v="1"/>
    <x v="0"/>
    <x v="0"/>
    <x v="0"/>
    <x v="0"/>
    <n v="7"/>
    <e v="#N/A"/>
    <e v="#N/A"/>
  </r>
  <r>
    <n v="3948"/>
    <d v="2016-02-09T12:38:31"/>
    <d v="2016-02-09T12:53:31"/>
    <x v="2"/>
    <m/>
    <m/>
    <x v="0"/>
    <n v="70804"/>
    <n v="0"/>
    <d v="2016-02-09T12:56:31"/>
    <n v="11.59"/>
    <x v="2"/>
    <n v="1"/>
    <n v="1.7"/>
    <n v="0"/>
    <n v="0"/>
    <n v="1.7"/>
    <x v="0"/>
    <x v="0"/>
    <x v="0"/>
    <x v="0"/>
    <n v="10"/>
    <e v="#N/A"/>
    <e v="#N/A"/>
  </r>
  <r>
    <n v="3949"/>
    <d v="2016-02-09T11:58:36"/>
    <d v="2016-02-09T12:13:35"/>
    <x v="0"/>
    <m/>
    <m/>
    <x v="1"/>
    <n v="70804"/>
    <n v="2.9729450139866702"/>
    <d v="2016-02-09T12:28:26"/>
    <n v="7.99"/>
    <x v="201"/>
    <n v="1"/>
    <n v="1"/>
    <n v="0"/>
    <n v="0"/>
    <n v="1"/>
    <x v="189"/>
    <x v="0"/>
    <x v="2008"/>
    <x v="1147"/>
    <n v="7"/>
    <e v="#N/A"/>
    <e v="#N/A"/>
  </r>
  <r>
    <n v="3950"/>
    <d v="2016-02-09T11:17:53"/>
    <d v="2016-02-09T11:32:54"/>
    <x v="0"/>
    <s v="Medium"/>
    <m/>
    <x v="0"/>
    <n v="70803"/>
    <n v="0"/>
    <d v="2016-02-09T11:35:54"/>
    <n v="19.579999999999998"/>
    <x v="2"/>
    <n v="2"/>
    <n v="1"/>
    <n v="1.7"/>
    <n v="0"/>
    <n v="2.7"/>
    <x v="0"/>
    <x v="0"/>
    <x v="0"/>
    <x v="0"/>
    <n v="7"/>
    <n v="10"/>
    <e v="#N/A"/>
  </r>
  <r>
    <n v="3951"/>
    <d v="2016-02-09T13:28:01"/>
    <d v="2016-02-09T13:43:00"/>
    <x v="2"/>
    <m/>
    <m/>
    <x v="0"/>
    <n v="70805"/>
    <n v="0"/>
    <d v="2016-02-09T13:46:01"/>
    <n v="11.59"/>
    <x v="14"/>
    <n v="1"/>
    <n v="1.7"/>
    <n v="0"/>
    <n v="0"/>
    <n v="1.7"/>
    <x v="0"/>
    <x v="0"/>
    <x v="0"/>
    <x v="0"/>
    <n v="10"/>
    <e v="#N/A"/>
    <e v="#N/A"/>
  </r>
  <r>
    <n v="3952"/>
    <d v="2016-02-09T10:51:29"/>
    <d v="2016-02-09T11:06:28"/>
    <x v="2"/>
    <m/>
    <m/>
    <x v="1"/>
    <n v="70805"/>
    <n v="3.93302524091825"/>
    <d v="2016-02-09T11:26:07"/>
    <n v="11.59"/>
    <x v="588"/>
    <n v="1"/>
    <n v="1.7"/>
    <n v="0"/>
    <n v="0"/>
    <n v="1.7"/>
    <x v="575"/>
    <x v="1"/>
    <x v="2009"/>
    <x v="0"/>
    <n v="10"/>
    <e v="#N/A"/>
    <e v="#N/A"/>
  </r>
  <r>
    <n v="3953"/>
    <d v="2016-02-09T11:36:03"/>
    <d v="2016-02-09T11:51:03"/>
    <x v="0"/>
    <m/>
    <m/>
    <x v="1"/>
    <n v="70806"/>
    <n v="3.76253585117168"/>
    <d v="2016-02-09T12:09:51"/>
    <n v="7.99"/>
    <x v="1266"/>
    <n v="1"/>
    <n v="1"/>
    <n v="0"/>
    <n v="0"/>
    <n v="1"/>
    <x v="1254"/>
    <x v="1"/>
    <x v="2010"/>
    <x v="0"/>
    <n v="7"/>
    <e v="#N/A"/>
    <e v="#N/A"/>
  </r>
  <r>
    <n v="3954"/>
    <d v="2016-02-09T13:27:50"/>
    <d v="2016-02-09T13:42:51"/>
    <x v="2"/>
    <m/>
    <m/>
    <x v="1"/>
    <n v="70805"/>
    <n v="3.2406656879133"/>
    <d v="2016-02-09T13:59:03"/>
    <n v="11.59"/>
    <x v="1267"/>
    <n v="1"/>
    <n v="1.7"/>
    <n v="0"/>
    <n v="0"/>
    <n v="1.7"/>
    <x v="1255"/>
    <x v="1"/>
    <x v="2011"/>
    <x v="0"/>
    <n v="10"/>
    <e v="#N/A"/>
    <e v="#N/A"/>
  </r>
  <r>
    <n v="3955"/>
    <d v="2016-02-09T12:51:14"/>
    <d v="2016-02-09T13:06:14"/>
    <x v="0"/>
    <m/>
    <m/>
    <x v="0"/>
    <n v="70806"/>
    <n v="0"/>
    <d v="2016-02-09T13:09:13"/>
    <n v="7.99"/>
    <x v="1"/>
    <n v="1"/>
    <n v="1"/>
    <n v="0"/>
    <n v="0"/>
    <n v="1"/>
    <x v="0"/>
    <x v="0"/>
    <x v="0"/>
    <x v="0"/>
    <n v="7"/>
    <e v="#N/A"/>
    <e v="#N/A"/>
  </r>
  <r>
    <n v="3956"/>
    <d v="2016-02-09T12:48:20"/>
    <d v="2016-02-09T13:03:20"/>
    <x v="2"/>
    <m/>
    <m/>
    <x v="0"/>
    <n v="70805"/>
    <n v="0"/>
    <d v="2016-02-09T13:06:19"/>
    <n v="11.59"/>
    <x v="24"/>
    <n v="1"/>
    <n v="1.7"/>
    <n v="0"/>
    <n v="0"/>
    <n v="1.7"/>
    <x v="0"/>
    <x v="0"/>
    <x v="0"/>
    <x v="0"/>
    <n v="10"/>
    <e v="#N/A"/>
    <e v="#N/A"/>
  </r>
  <r>
    <n v="3957"/>
    <d v="2016-02-09T12:25:25"/>
    <d v="2016-02-09T12:40:24"/>
    <x v="0"/>
    <m/>
    <m/>
    <x v="1"/>
    <n v="70804"/>
    <n v="2.73211811476299"/>
    <d v="2016-02-09T12:54:03"/>
    <n v="7.99"/>
    <x v="1268"/>
    <n v="1"/>
    <n v="1"/>
    <n v="0"/>
    <n v="0"/>
    <n v="1"/>
    <x v="1256"/>
    <x v="0"/>
    <x v="2012"/>
    <x v="1148"/>
    <n v="7"/>
    <e v="#N/A"/>
    <e v="#N/A"/>
  </r>
  <r>
    <n v="3958"/>
    <d v="2016-02-09T10:15:48"/>
    <d v="2016-02-09T10:30:48"/>
    <x v="2"/>
    <m/>
    <m/>
    <x v="0"/>
    <n v="70807"/>
    <n v="0"/>
    <d v="2016-02-09T10:33:46"/>
    <n v="11.59"/>
    <x v="0"/>
    <n v="1"/>
    <n v="1.7"/>
    <n v="0"/>
    <n v="0"/>
    <n v="1.7"/>
    <x v="0"/>
    <x v="0"/>
    <x v="0"/>
    <x v="0"/>
    <n v="10"/>
    <e v="#N/A"/>
    <e v="#N/A"/>
  </r>
  <r>
    <n v="3959"/>
    <d v="2016-02-09T12:34:24"/>
    <d v="2016-02-09T12:49:23"/>
    <x v="0"/>
    <s v="Medium"/>
    <m/>
    <x v="1"/>
    <n v="70805"/>
    <n v="4.5095446625428197"/>
    <d v="2016-02-09T13:11:55"/>
    <n v="19.579999999999998"/>
    <x v="1269"/>
    <n v="2"/>
    <n v="1"/>
    <n v="1.7"/>
    <n v="0"/>
    <n v="2.7"/>
    <x v="1257"/>
    <x v="1"/>
    <x v="2013"/>
    <x v="0"/>
    <n v="7"/>
    <n v="10"/>
    <e v="#N/A"/>
  </r>
  <r>
    <n v="3960"/>
    <d v="2016-02-09T14:58:13"/>
    <d v="2016-02-09T15:13:13"/>
    <x v="0"/>
    <s v="Large"/>
    <m/>
    <x v="0"/>
    <n v="70804"/>
    <n v="0"/>
    <d v="2016-02-09T15:16:13"/>
    <n v="23.34"/>
    <x v="2"/>
    <n v="2"/>
    <n v="1"/>
    <n v="2.2999999999999998"/>
    <n v="0"/>
    <n v="3.3"/>
    <x v="0"/>
    <x v="0"/>
    <x v="0"/>
    <x v="0"/>
    <n v="7"/>
    <n v="14"/>
    <e v="#N/A"/>
  </r>
  <r>
    <n v="3961"/>
    <d v="2016-02-09T12:24:51"/>
    <d v="2016-02-09T12:39:49"/>
    <x v="2"/>
    <m/>
    <m/>
    <x v="0"/>
    <n v="70804"/>
    <n v="0"/>
    <d v="2016-02-09T12:42:50"/>
    <n v="11.59"/>
    <x v="56"/>
    <n v="1"/>
    <n v="1.7"/>
    <n v="0"/>
    <n v="0"/>
    <n v="1.7"/>
    <x v="0"/>
    <x v="0"/>
    <x v="0"/>
    <x v="0"/>
    <n v="10"/>
    <e v="#N/A"/>
    <e v="#N/A"/>
  </r>
  <r>
    <n v="3962"/>
    <d v="2016-02-09T13:53:36"/>
    <d v="2016-02-09T14:08:36"/>
    <x v="0"/>
    <m/>
    <m/>
    <x v="0"/>
    <n v="70805"/>
    <n v="0"/>
    <d v="2016-02-09T14:11:36"/>
    <n v="7.99"/>
    <x v="2"/>
    <n v="1"/>
    <n v="1"/>
    <n v="0"/>
    <n v="0"/>
    <n v="1"/>
    <x v="0"/>
    <x v="0"/>
    <x v="0"/>
    <x v="0"/>
    <n v="7"/>
    <e v="#N/A"/>
    <e v="#N/A"/>
  </r>
  <r>
    <n v="3963"/>
    <d v="2016-02-09T12:06:28"/>
    <d v="2016-02-09T12:21:27"/>
    <x v="1"/>
    <m/>
    <m/>
    <x v="0"/>
    <n v="70803"/>
    <n v="0"/>
    <d v="2016-02-09T12:24:27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3964"/>
    <d v="2016-02-09T10:20:29"/>
    <d v="2016-02-09T10:35:31"/>
    <x v="2"/>
    <s v="Large"/>
    <m/>
    <x v="0"/>
    <n v="70804"/>
    <n v="0"/>
    <d v="2016-02-09T10:38:29"/>
    <n v="25.94"/>
    <x v="0"/>
    <n v="2"/>
    <n v="1.7"/>
    <n v="2.2999999999999998"/>
    <n v="0"/>
    <n v="4"/>
    <x v="0"/>
    <x v="0"/>
    <x v="0"/>
    <x v="0"/>
    <n v="10"/>
    <n v="14"/>
    <e v="#N/A"/>
  </r>
  <r>
    <n v="3965"/>
    <d v="2016-02-09T12:40:32"/>
    <d v="2016-02-09T12:55:33"/>
    <x v="2"/>
    <m/>
    <m/>
    <x v="1"/>
    <n v="70803"/>
    <n v="1.0918771724177101"/>
    <d v="2016-02-09T13:01:00"/>
    <n v="11.59"/>
    <x v="1270"/>
    <n v="1"/>
    <n v="1.7"/>
    <n v="0"/>
    <n v="0"/>
    <n v="1.7"/>
    <x v="1258"/>
    <x v="0"/>
    <x v="2014"/>
    <x v="1149"/>
    <n v="10"/>
    <e v="#N/A"/>
    <e v="#N/A"/>
  </r>
  <r>
    <n v="3966"/>
    <d v="2016-02-09T10:56:17"/>
    <d v="2016-02-09T11:11:16"/>
    <x v="2"/>
    <m/>
    <m/>
    <x v="0"/>
    <n v="70804"/>
    <n v="0"/>
    <d v="2016-02-09T11:14:16"/>
    <n v="11.59"/>
    <x v="2"/>
    <n v="1"/>
    <n v="1.7"/>
    <n v="0"/>
    <n v="0"/>
    <n v="1.7"/>
    <x v="0"/>
    <x v="0"/>
    <x v="0"/>
    <x v="0"/>
    <n v="10"/>
    <e v="#N/A"/>
    <e v="#N/A"/>
  </r>
  <r>
    <n v="3967"/>
    <d v="2016-02-09T12:52:44"/>
    <d v="2016-02-09T13:07:42"/>
    <x v="1"/>
    <m/>
    <m/>
    <x v="0"/>
    <n v="70805"/>
    <n v="0"/>
    <d v="2016-02-09T13:10:40"/>
    <n v="15.35"/>
    <x v="19"/>
    <n v="1"/>
    <n v="2.2999999999999998"/>
    <n v="0"/>
    <n v="0"/>
    <n v="2.2999999999999998"/>
    <x v="0"/>
    <x v="0"/>
    <x v="0"/>
    <x v="0"/>
    <n v="14"/>
    <e v="#N/A"/>
    <e v="#N/A"/>
  </r>
  <r>
    <n v="3968"/>
    <d v="2016-02-09T12:43:39"/>
    <d v="2016-02-09T12:58:39"/>
    <x v="0"/>
    <s v="Medium"/>
    <m/>
    <x v="0"/>
    <n v="70806"/>
    <n v="0"/>
    <d v="2016-02-09T13:01:38"/>
    <n v="19.579999999999998"/>
    <x v="1"/>
    <n v="2"/>
    <n v="1"/>
    <n v="1.7"/>
    <n v="0"/>
    <n v="2.7"/>
    <x v="0"/>
    <x v="0"/>
    <x v="0"/>
    <x v="0"/>
    <n v="7"/>
    <n v="10"/>
    <e v="#N/A"/>
  </r>
  <r>
    <n v="3969"/>
    <d v="2016-02-09T11:21:18"/>
    <d v="2016-02-09T11:36:14"/>
    <x v="2"/>
    <m/>
    <m/>
    <x v="0"/>
    <n v="70807"/>
    <n v="0"/>
    <d v="2016-02-09T11:39:14"/>
    <n v="11.59"/>
    <x v="2"/>
    <n v="1"/>
    <n v="1.7"/>
    <n v="0"/>
    <n v="0"/>
    <n v="1.7"/>
    <x v="0"/>
    <x v="0"/>
    <x v="0"/>
    <x v="0"/>
    <n v="10"/>
    <e v="#N/A"/>
    <e v="#N/A"/>
  </r>
  <r>
    <n v="3970"/>
    <d v="2016-02-09T12:30:30"/>
    <d v="2016-02-09T12:45:29"/>
    <x v="0"/>
    <s v="Medium"/>
    <m/>
    <x v="0"/>
    <n v="70803"/>
    <n v="0"/>
    <d v="2016-02-09T12:48:29"/>
    <n v="19.579999999999998"/>
    <x v="2"/>
    <n v="2"/>
    <n v="1"/>
    <n v="1.7"/>
    <n v="0"/>
    <n v="2.7"/>
    <x v="0"/>
    <x v="0"/>
    <x v="0"/>
    <x v="0"/>
    <n v="7"/>
    <n v="10"/>
    <e v="#N/A"/>
  </r>
  <r>
    <n v="3971"/>
    <d v="2016-02-09T11:03:10"/>
    <d v="2016-02-09T11:18:08"/>
    <x v="1"/>
    <m/>
    <m/>
    <x v="0"/>
    <n v="70806"/>
    <n v="0"/>
    <d v="2016-02-09T11:21:07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3972"/>
    <d v="2016-02-09T12:41:49"/>
    <d v="2016-02-09T12:56:48"/>
    <x v="2"/>
    <m/>
    <m/>
    <x v="0"/>
    <n v="70804"/>
    <n v="0"/>
    <d v="2016-02-09T12:59:47"/>
    <n v="11.59"/>
    <x v="24"/>
    <n v="1"/>
    <n v="1.7"/>
    <n v="0"/>
    <n v="0"/>
    <n v="1.7"/>
    <x v="0"/>
    <x v="0"/>
    <x v="0"/>
    <x v="0"/>
    <n v="10"/>
    <e v="#N/A"/>
    <e v="#N/A"/>
  </r>
  <r>
    <n v="3973"/>
    <d v="2016-02-09T12:20:27"/>
    <d v="2016-02-09T12:35:26"/>
    <x v="0"/>
    <s v="Medium"/>
    <m/>
    <x v="0"/>
    <n v="70805"/>
    <n v="0"/>
    <d v="2016-02-09T12:38:23"/>
    <n v="19.579999999999998"/>
    <x v="22"/>
    <n v="2"/>
    <n v="1"/>
    <n v="1.7"/>
    <n v="0"/>
    <n v="2.7"/>
    <x v="0"/>
    <x v="0"/>
    <x v="0"/>
    <x v="0"/>
    <n v="7"/>
    <n v="10"/>
    <e v="#N/A"/>
  </r>
  <r>
    <n v="3974"/>
    <d v="2016-02-09T12:50:20"/>
    <d v="2016-02-09T13:05:19"/>
    <x v="0"/>
    <m/>
    <m/>
    <x v="1"/>
    <n v="70803"/>
    <n v="4.4910447720405404"/>
    <d v="2016-02-09T13:27:46"/>
    <n v="7.99"/>
    <x v="1271"/>
    <n v="1"/>
    <n v="1"/>
    <n v="0"/>
    <n v="0"/>
    <n v="1"/>
    <x v="1259"/>
    <x v="1"/>
    <x v="2015"/>
    <x v="0"/>
    <n v="7"/>
    <e v="#N/A"/>
    <e v="#N/A"/>
  </r>
  <r>
    <n v="3975"/>
    <d v="2016-02-09T12:55:30"/>
    <d v="2016-02-09T13:10:30"/>
    <x v="1"/>
    <m/>
    <m/>
    <x v="1"/>
    <n v="70806"/>
    <n v="1.4270742554570199"/>
    <d v="2016-02-09T13:17:38"/>
    <n v="15.35"/>
    <x v="1272"/>
    <n v="1"/>
    <n v="2.2999999999999998"/>
    <n v="0"/>
    <n v="0"/>
    <n v="2.2999999999999998"/>
    <x v="1260"/>
    <x v="0"/>
    <x v="2016"/>
    <x v="1150"/>
    <n v="14"/>
    <e v="#N/A"/>
    <e v="#N/A"/>
  </r>
  <r>
    <n v="3976"/>
    <d v="2016-02-09T10:22:18"/>
    <d v="2016-02-09T10:37:17"/>
    <x v="0"/>
    <s v="Medium"/>
    <m/>
    <x v="0"/>
    <n v="70803"/>
    <n v="0"/>
    <d v="2016-02-09T10:40:14"/>
    <n v="19.579999999999998"/>
    <x v="102"/>
    <n v="2"/>
    <n v="1"/>
    <n v="1.7"/>
    <n v="0"/>
    <n v="2.7"/>
    <x v="0"/>
    <x v="0"/>
    <x v="0"/>
    <x v="0"/>
    <n v="7"/>
    <n v="10"/>
    <e v="#N/A"/>
  </r>
  <r>
    <n v="3977"/>
    <d v="2016-02-09T11:25:02"/>
    <d v="2016-02-09T11:40:02"/>
    <x v="0"/>
    <s v="Large"/>
    <m/>
    <x v="0"/>
    <n v="70804"/>
    <n v="0"/>
    <d v="2016-02-09T11:43:02"/>
    <n v="23.34"/>
    <x v="63"/>
    <n v="2"/>
    <n v="1"/>
    <n v="2.2999999999999998"/>
    <n v="0"/>
    <n v="3.3"/>
    <x v="0"/>
    <x v="0"/>
    <x v="0"/>
    <x v="0"/>
    <n v="7"/>
    <n v="14"/>
    <e v="#N/A"/>
  </r>
  <r>
    <n v="3978"/>
    <d v="2016-02-09T12:54:39"/>
    <d v="2016-02-09T13:09:39"/>
    <x v="1"/>
    <m/>
    <m/>
    <x v="0"/>
    <n v="70803"/>
    <n v="0"/>
    <d v="2016-02-09T13:12:40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3979"/>
    <d v="2016-02-09T10:35:19"/>
    <d v="2016-02-09T10:50:17"/>
    <x v="0"/>
    <m/>
    <m/>
    <x v="0"/>
    <n v="70803"/>
    <n v="0"/>
    <d v="2016-02-09T10:53:18"/>
    <n v="7.99"/>
    <x v="14"/>
    <n v="1"/>
    <n v="1"/>
    <n v="0"/>
    <n v="0"/>
    <n v="1"/>
    <x v="0"/>
    <x v="0"/>
    <x v="0"/>
    <x v="0"/>
    <n v="7"/>
    <e v="#N/A"/>
    <e v="#N/A"/>
  </r>
  <r>
    <n v="3980"/>
    <d v="2016-02-09T11:39:20"/>
    <d v="2016-02-09T11:54:19"/>
    <x v="2"/>
    <m/>
    <m/>
    <x v="1"/>
    <n v="70805"/>
    <n v="1.1621071207376701"/>
    <d v="2016-02-09T12:00:07"/>
    <n v="11.59"/>
    <x v="1273"/>
    <n v="1"/>
    <n v="1.7"/>
    <n v="0"/>
    <n v="0"/>
    <n v="1.7"/>
    <x v="1261"/>
    <x v="0"/>
    <x v="2017"/>
    <x v="1151"/>
    <n v="10"/>
    <e v="#N/A"/>
    <e v="#N/A"/>
  </r>
  <r>
    <n v="3981"/>
    <d v="2016-02-09T10:47:03"/>
    <d v="2016-02-09T11:02:02"/>
    <x v="0"/>
    <s v="Large"/>
    <m/>
    <x v="0"/>
    <n v="70804"/>
    <n v="0"/>
    <d v="2016-02-09T11:05:03"/>
    <n v="23.34"/>
    <x v="14"/>
    <n v="2"/>
    <n v="1"/>
    <n v="2.2999999999999998"/>
    <n v="0"/>
    <n v="3.3"/>
    <x v="0"/>
    <x v="0"/>
    <x v="0"/>
    <x v="0"/>
    <n v="7"/>
    <n v="14"/>
    <e v="#N/A"/>
  </r>
  <r>
    <n v="3982"/>
    <d v="2016-02-09T10:08:31"/>
    <d v="2016-02-09T10:23:31"/>
    <x v="2"/>
    <m/>
    <m/>
    <x v="0"/>
    <n v="70804"/>
    <n v="0"/>
    <d v="2016-02-09T10:26:30"/>
    <n v="11.59"/>
    <x v="24"/>
    <n v="1"/>
    <n v="1.7"/>
    <n v="0"/>
    <n v="0"/>
    <n v="1.7"/>
    <x v="0"/>
    <x v="0"/>
    <x v="0"/>
    <x v="0"/>
    <n v="10"/>
    <e v="#N/A"/>
    <e v="#N/A"/>
  </r>
  <r>
    <n v="3983"/>
    <d v="2016-02-09T12:26:23"/>
    <d v="2016-02-09T12:41:23"/>
    <x v="2"/>
    <m/>
    <m/>
    <x v="0"/>
    <n v="70806"/>
    <n v="0"/>
    <d v="2016-02-09T12:44:22"/>
    <n v="11.59"/>
    <x v="24"/>
    <n v="1"/>
    <n v="1.7"/>
    <n v="0"/>
    <n v="0"/>
    <n v="1.7"/>
    <x v="0"/>
    <x v="0"/>
    <x v="0"/>
    <x v="0"/>
    <n v="10"/>
    <e v="#N/A"/>
    <e v="#N/A"/>
  </r>
  <r>
    <n v="3984"/>
    <d v="2016-02-09T11:25:56"/>
    <d v="2016-02-09T11:40:56"/>
    <x v="2"/>
    <m/>
    <m/>
    <x v="1"/>
    <n v="70804"/>
    <n v="1.9824398134132899"/>
    <d v="2016-02-09T11:50:50"/>
    <n v="11.59"/>
    <x v="1274"/>
    <n v="1"/>
    <n v="1.7"/>
    <n v="0"/>
    <n v="0"/>
    <n v="1.7"/>
    <x v="1262"/>
    <x v="0"/>
    <x v="2018"/>
    <x v="1152"/>
    <n v="10"/>
    <e v="#N/A"/>
    <e v="#N/A"/>
  </r>
  <r>
    <n v="3985"/>
    <d v="2016-02-09T12:57:32"/>
    <d v="2016-02-09T13:12:31"/>
    <x v="0"/>
    <s v="Medium"/>
    <m/>
    <x v="0"/>
    <n v="70805"/>
    <n v="0"/>
    <d v="2016-02-09T13:15:30"/>
    <n v="19.579999999999998"/>
    <x v="1"/>
    <n v="2"/>
    <n v="1"/>
    <n v="1.7"/>
    <n v="0"/>
    <n v="2.7"/>
    <x v="0"/>
    <x v="0"/>
    <x v="0"/>
    <x v="0"/>
    <n v="7"/>
    <n v="10"/>
    <e v="#N/A"/>
  </r>
  <r>
    <n v="3986"/>
    <d v="2016-02-09T12:22:03"/>
    <d v="2016-02-09T12:37:02"/>
    <x v="1"/>
    <m/>
    <m/>
    <x v="1"/>
    <n v="70805"/>
    <n v="1.14712423590756"/>
    <d v="2016-02-09T12:42:46"/>
    <n v="15.35"/>
    <x v="1275"/>
    <n v="1"/>
    <n v="2.2999999999999998"/>
    <n v="0"/>
    <n v="0"/>
    <n v="2.2999999999999998"/>
    <x v="1263"/>
    <x v="0"/>
    <x v="2019"/>
    <x v="1153"/>
    <n v="14"/>
    <e v="#N/A"/>
    <e v="#N/A"/>
  </r>
  <r>
    <n v="3987"/>
    <d v="2016-02-09T11:16:38"/>
    <d v="2016-02-09T11:31:37"/>
    <x v="1"/>
    <m/>
    <m/>
    <x v="0"/>
    <n v="70803"/>
    <n v="0"/>
    <d v="2016-02-09T11:34:35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3988"/>
    <d v="2016-02-09T11:23:55"/>
    <d v="2016-02-09T11:38:54"/>
    <x v="1"/>
    <m/>
    <m/>
    <x v="0"/>
    <n v="70805"/>
    <n v="0"/>
    <d v="2016-02-09T11:41:53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3989"/>
    <d v="2016-02-09T12:26:05"/>
    <d v="2016-02-09T12:41:02"/>
    <x v="1"/>
    <m/>
    <m/>
    <x v="0"/>
    <n v="70807"/>
    <n v="0"/>
    <d v="2016-02-09T12:44:01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3990"/>
    <d v="2016-02-09T13:36:30"/>
    <d v="2016-02-09T13:51:30"/>
    <x v="1"/>
    <m/>
    <m/>
    <x v="1"/>
    <n v="70804"/>
    <n v="4.2042750626708303"/>
    <d v="2016-02-09T14:12:31"/>
    <n v="15.35"/>
    <x v="288"/>
    <n v="1"/>
    <n v="2.2999999999999998"/>
    <n v="0"/>
    <n v="0"/>
    <n v="2.2999999999999998"/>
    <x v="275"/>
    <x v="1"/>
    <x v="2020"/>
    <x v="0"/>
    <n v="14"/>
    <e v="#N/A"/>
    <e v="#N/A"/>
  </r>
  <r>
    <n v="3991"/>
    <d v="2016-02-09T13:33:13"/>
    <d v="2016-02-09T13:48:12"/>
    <x v="0"/>
    <s v="Medium"/>
    <m/>
    <x v="1"/>
    <n v="70805"/>
    <n v="2.6865247197945901"/>
    <d v="2016-02-09T14:01:37"/>
    <n v="19.579999999999998"/>
    <x v="1165"/>
    <n v="2"/>
    <n v="1"/>
    <n v="1.7"/>
    <n v="0"/>
    <n v="2.7"/>
    <x v="1153"/>
    <x v="0"/>
    <x v="2021"/>
    <x v="1154"/>
    <n v="7"/>
    <n v="10"/>
    <e v="#N/A"/>
  </r>
  <r>
    <n v="3992"/>
    <d v="2016-02-09T10:40:01"/>
    <d v="2016-02-09T10:54:58"/>
    <x v="0"/>
    <s v="Medium"/>
    <m/>
    <x v="1"/>
    <n v="70807"/>
    <n v="3.7929870997002402"/>
    <d v="2016-02-09T11:13:55"/>
    <n v="19.579999999999998"/>
    <x v="496"/>
    <n v="2"/>
    <n v="1"/>
    <n v="1.7"/>
    <n v="0"/>
    <n v="2.7"/>
    <x v="483"/>
    <x v="1"/>
    <x v="2022"/>
    <x v="0"/>
    <n v="7"/>
    <n v="10"/>
    <e v="#N/A"/>
  </r>
  <r>
    <n v="3993"/>
    <d v="2016-02-09T10:07:34"/>
    <d v="2016-02-09T10:22:32"/>
    <x v="2"/>
    <m/>
    <m/>
    <x v="0"/>
    <n v="70805"/>
    <n v="0"/>
    <d v="2016-02-09T10:25:31"/>
    <n v="11.59"/>
    <x v="24"/>
    <n v="1"/>
    <n v="1.7"/>
    <n v="0"/>
    <n v="0"/>
    <n v="1.7"/>
    <x v="0"/>
    <x v="0"/>
    <x v="0"/>
    <x v="0"/>
    <n v="10"/>
    <e v="#N/A"/>
    <e v="#N/A"/>
  </r>
  <r>
    <n v="3994"/>
    <d v="2016-02-09T12:20:14"/>
    <d v="2016-02-09T12:35:15"/>
    <x v="2"/>
    <m/>
    <m/>
    <x v="1"/>
    <n v="70803"/>
    <n v="2.5114607066199"/>
    <d v="2016-02-09T12:47:48"/>
    <n v="11.59"/>
    <x v="1168"/>
    <n v="1"/>
    <n v="1.7"/>
    <n v="0"/>
    <n v="0"/>
    <n v="1.7"/>
    <x v="1156"/>
    <x v="0"/>
    <x v="2023"/>
    <x v="1155"/>
    <n v="10"/>
    <e v="#N/A"/>
    <e v="#N/A"/>
  </r>
  <r>
    <n v="3995"/>
    <d v="2016-02-09T12:28:26"/>
    <d v="2016-02-09T12:43:24"/>
    <x v="0"/>
    <m/>
    <m/>
    <x v="0"/>
    <n v="70805"/>
    <n v="0"/>
    <d v="2016-02-09T12:46:27"/>
    <n v="7.99"/>
    <x v="227"/>
    <n v="1"/>
    <n v="1"/>
    <n v="0"/>
    <n v="0"/>
    <n v="1"/>
    <x v="0"/>
    <x v="0"/>
    <x v="0"/>
    <x v="0"/>
    <n v="7"/>
    <e v="#N/A"/>
    <e v="#N/A"/>
  </r>
  <r>
    <n v="3996"/>
    <d v="2016-02-09T12:50:31"/>
    <d v="2016-02-09T13:05:30"/>
    <x v="1"/>
    <m/>
    <m/>
    <x v="0"/>
    <n v="70803"/>
    <n v="0"/>
    <d v="2016-02-09T13:08:32"/>
    <n v="15.35"/>
    <x v="67"/>
    <n v="1"/>
    <n v="2.2999999999999998"/>
    <n v="0"/>
    <n v="0"/>
    <n v="2.2999999999999998"/>
    <x v="0"/>
    <x v="0"/>
    <x v="0"/>
    <x v="0"/>
    <n v="14"/>
    <e v="#N/A"/>
    <e v="#N/A"/>
  </r>
  <r>
    <n v="3997"/>
    <d v="2016-02-09T13:34:46"/>
    <d v="2016-02-09T13:49:46"/>
    <x v="0"/>
    <m/>
    <m/>
    <x v="1"/>
    <n v="70804"/>
    <n v="1.2383960042833799"/>
    <d v="2016-02-09T13:55:57"/>
    <n v="7.99"/>
    <x v="1276"/>
    <n v="1"/>
    <n v="1"/>
    <n v="0"/>
    <n v="0"/>
    <n v="1"/>
    <x v="1264"/>
    <x v="0"/>
    <x v="2024"/>
    <x v="1156"/>
    <n v="7"/>
    <e v="#N/A"/>
    <e v="#N/A"/>
  </r>
  <r>
    <n v="3998"/>
    <d v="2016-02-09T12:12:26"/>
    <d v="2016-02-09T12:27:26"/>
    <x v="2"/>
    <m/>
    <m/>
    <x v="1"/>
    <n v="70805"/>
    <n v="2.7938872180779102"/>
    <d v="2016-02-09T12:41:24"/>
    <n v="11.59"/>
    <x v="474"/>
    <n v="1"/>
    <n v="1.7"/>
    <n v="0"/>
    <n v="0"/>
    <n v="1.7"/>
    <x v="461"/>
    <x v="0"/>
    <x v="2025"/>
    <x v="1157"/>
    <n v="10"/>
    <e v="#N/A"/>
    <e v="#N/A"/>
  </r>
  <r>
    <n v="3999"/>
    <d v="2016-02-09T10:40:37"/>
    <d v="2016-02-09T10:55:37"/>
    <x v="0"/>
    <s v="Large"/>
    <m/>
    <x v="0"/>
    <n v="70805"/>
    <n v="0"/>
    <d v="2016-02-09T10:58:38"/>
    <n v="23.34"/>
    <x v="14"/>
    <n v="2"/>
    <n v="1"/>
    <n v="2.2999999999999998"/>
    <n v="0"/>
    <n v="3.3"/>
    <x v="0"/>
    <x v="0"/>
    <x v="0"/>
    <x v="0"/>
    <n v="7"/>
    <n v="14"/>
    <e v="#N/A"/>
  </r>
  <r>
    <n v="4000"/>
    <d v="2016-02-09T12:36:56"/>
    <d v="2016-02-09T12:51:54"/>
    <x v="2"/>
    <m/>
    <m/>
    <x v="1"/>
    <n v="70806"/>
    <n v="3.5659194645137098"/>
    <d v="2016-02-09T13:09:43"/>
    <n v="11.59"/>
    <x v="1277"/>
    <n v="1"/>
    <n v="1.7"/>
    <n v="0"/>
    <n v="0"/>
    <n v="1.7"/>
    <x v="1265"/>
    <x v="1"/>
    <x v="2026"/>
    <x v="0"/>
    <n v="10"/>
    <e v="#N/A"/>
    <e v="#N/A"/>
  </r>
  <r>
    <n v="4001"/>
    <d v="2016-02-09T12:34:26"/>
    <d v="2016-02-09T12:49:26"/>
    <x v="2"/>
    <m/>
    <m/>
    <x v="0"/>
    <n v="70804"/>
    <n v="0"/>
    <d v="2016-02-09T12:52:26"/>
    <n v="11.59"/>
    <x v="2"/>
    <n v="1"/>
    <n v="1.7"/>
    <n v="0"/>
    <n v="0"/>
    <n v="1.7"/>
    <x v="0"/>
    <x v="0"/>
    <x v="0"/>
    <x v="0"/>
    <n v="10"/>
    <e v="#N/A"/>
    <e v="#N/A"/>
  </r>
  <r>
    <n v="4002"/>
    <d v="2016-02-09T10:27:41"/>
    <d v="2016-02-09T10:42:41"/>
    <x v="1"/>
    <m/>
    <m/>
    <x v="1"/>
    <n v="70803"/>
    <n v="2.9337516106516901"/>
    <d v="2016-02-09T10:57:21"/>
    <n v="15.35"/>
    <x v="797"/>
    <n v="1"/>
    <n v="2.2999999999999998"/>
    <n v="0"/>
    <n v="0"/>
    <n v="2.2999999999999998"/>
    <x v="784"/>
    <x v="0"/>
    <x v="2027"/>
    <x v="1158"/>
    <n v="14"/>
    <e v="#N/A"/>
    <e v="#N/A"/>
  </r>
  <r>
    <n v="4003"/>
    <d v="2016-02-09T11:32:54"/>
    <d v="2016-02-09T11:47:54"/>
    <x v="2"/>
    <m/>
    <m/>
    <x v="0"/>
    <n v="70805"/>
    <n v="0"/>
    <d v="2016-02-09T11:50:53"/>
    <n v="11.59"/>
    <x v="24"/>
    <n v="1"/>
    <n v="1.7"/>
    <n v="0"/>
    <n v="0"/>
    <n v="1.7"/>
    <x v="0"/>
    <x v="0"/>
    <x v="0"/>
    <x v="0"/>
    <n v="10"/>
    <e v="#N/A"/>
    <e v="#N/A"/>
  </r>
  <r>
    <n v="4004"/>
    <d v="2016-02-09T12:27:27"/>
    <d v="2016-02-09T12:42:25"/>
    <x v="2"/>
    <m/>
    <m/>
    <x v="0"/>
    <n v="70804"/>
    <n v="0"/>
    <d v="2016-02-09T12:45:25"/>
    <n v="11.59"/>
    <x v="2"/>
    <n v="1"/>
    <n v="1.7"/>
    <n v="0"/>
    <n v="0"/>
    <n v="1.7"/>
    <x v="0"/>
    <x v="0"/>
    <x v="0"/>
    <x v="0"/>
    <n v="10"/>
    <e v="#N/A"/>
    <e v="#N/A"/>
  </r>
  <r>
    <n v="4005"/>
    <d v="2016-02-09T12:32:41"/>
    <d v="2016-02-09T12:47:41"/>
    <x v="2"/>
    <m/>
    <m/>
    <x v="1"/>
    <n v="70803"/>
    <n v="2.9251827827977599"/>
    <d v="2016-02-09T13:02:18"/>
    <n v="11.59"/>
    <x v="173"/>
    <n v="1"/>
    <n v="1.7"/>
    <n v="0"/>
    <n v="0"/>
    <n v="1.7"/>
    <x v="161"/>
    <x v="0"/>
    <x v="2028"/>
    <x v="1159"/>
    <n v="10"/>
    <e v="#N/A"/>
    <e v="#N/A"/>
  </r>
  <r>
    <n v="4006"/>
    <d v="2016-02-09T11:51:49"/>
    <d v="2016-02-09T12:06:49"/>
    <x v="1"/>
    <m/>
    <m/>
    <x v="1"/>
    <n v="70804"/>
    <n v="4.2988408482558604"/>
    <d v="2016-02-09T12:28:18"/>
    <n v="15.35"/>
    <x v="1278"/>
    <n v="1"/>
    <n v="2.2999999999999998"/>
    <n v="0"/>
    <n v="0"/>
    <n v="2.2999999999999998"/>
    <x v="1266"/>
    <x v="1"/>
    <x v="2029"/>
    <x v="0"/>
    <n v="14"/>
    <e v="#N/A"/>
    <e v="#N/A"/>
  </r>
  <r>
    <n v="4007"/>
    <d v="2016-02-09T11:11:17"/>
    <d v="2016-02-09T11:26:15"/>
    <x v="1"/>
    <m/>
    <m/>
    <x v="0"/>
    <n v="70804"/>
    <n v="0"/>
    <d v="2016-02-09T11:29:15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4008"/>
    <d v="2016-02-09T10:54:19"/>
    <d v="2016-02-09T11:09:18"/>
    <x v="0"/>
    <m/>
    <m/>
    <x v="0"/>
    <n v="70803"/>
    <n v="0"/>
    <d v="2016-02-09T11:12:16"/>
    <n v="7.99"/>
    <x v="0"/>
    <n v="1"/>
    <n v="1"/>
    <n v="0"/>
    <n v="0"/>
    <n v="1"/>
    <x v="0"/>
    <x v="0"/>
    <x v="0"/>
    <x v="0"/>
    <n v="7"/>
    <e v="#N/A"/>
    <e v="#N/A"/>
  </r>
  <r>
    <n v="4009"/>
    <d v="2016-02-09T12:04:15"/>
    <d v="2016-02-09T12:19:14"/>
    <x v="0"/>
    <s v="Large"/>
    <m/>
    <x v="0"/>
    <n v="70803"/>
    <n v="0"/>
    <d v="2016-02-09T12:22:13"/>
    <n v="23.34"/>
    <x v="24"/>
    <n v="2"/>
    <n v="1"/>
    <n v="2.2999999999999998"/>
    <n v="0"/>
    <n v="3.3"/>
    <x v="0"/>
    <x v="0"/>
    <x v="0"/>
    <x v="0"/>
    <n v="7"/>
    <n v="14"/>
    <e v="#N/A"/>
  </r>
  <r>
    <n v="4010"/>
    <d v="2016-02-09T12:47:39"/>
    <d v="2016-02-09T13:02:38"/>
    <x v="0"/>
    <m/>
    <m/>
    <x v="0"/>
    <n v="70805"/>
    <n v="0"/>
    <d v="2016-02-09T13:05:37"/>
    <n v="7.99"/>
    <x v="24"/>
    <n v="1"/>
    <n v="1"/>
    <n v="0"/>
    <n v="0"/>
    <n v="1"/>
    <x v="0"/>
    <x v="0"/>
    <x v="0"/>
    <x v="0"/>
    <n v="7"/>
    <e v="#N/A"/>
    <e v="#N/A"/>
  </r>
  <r>
    <n v="4011"/>
    <d v="2016-02-09T11:38:15"/>
    <d v="2016-02-09T11:53:14"/>
    <x v="0"/>
    <s v="Large"/>
    <m/>
    <x v="1"/>
    <n v="70804"/>
    <n v="4.21178145973703"/>
    <d v="2016-02-09T12:14:17"/>
    <n v="23.34"/>
    <x v="1279"/>
    <n v="2"/>
    <n v="1"/>
    <n v="2.2999999999999998"/>
    <n v="0"/>
    <n v="3.3"/>
    <x v="1267"/>
    <x v="1"/>
    <x v="2030"/>
    <x v="0"/>
    <n v="7"/>
    <n v="14"/>
    <e v="#N/A"/>
  </r>
  <r>
    <n v="4012"/>
    <d v="2016-02-09T12:44:14"/>
    <d v="2016-02-09T12:59:15"/>
    <x v="2"/>
    <m/>
    <m/>
    <x v="0"/>
    <n v="70803"/>
    <n v="0"/>
    <d v="2016-02-09T13:02:14"/>
    <n v="11.59"/>
    <x v="1"/>
    <n v="1"/>
    <n v="1.7"/>
    <n v="0"/>
    <n v="0"/>
    <n v="1.7"/>
    <x v="0"/>
    <x v="0"/>
    <x v="0"/>
    <x v="0"/>
    <n v="10"/>
    <e v="#N/A"/>
    <e v="#N/A"/>
  </r>
  <r>
    <n v="4013"/>
    <d v="2016-02-09T13:18:49"/>
    <d v="2016-02-09T13:33:49"/>
    <x v="2"/>
    <m/>
    <m/>
    <x v="1"/>
    <n v="70805"/>
    <n v="3.4150628726702599"/>
    <d v="2016-02-09T13:50:53"/>
    <n v="11.59"/>
    <x v="10"/>
    <n v="1"/>
    <n v="1.7"/>
    <n v="0"/>
    <n v="0"/>
    <n v="1.7"/>
    <x v="8"/>
    <x v="1"/>
    <x v="2031"/>
    <x v="0"/>
    <n v="10"/>
    <e v="#N/A"/>
    <e v="#N/A"/>
  </r>
  <r>
    <n v="4014"/>
    <d v="2016-02-10T10:44:44"/>
    <d v="2016-02-10T10:59:44"/>
    <x v="1"/>
    <m/>
    <m/>
    <x v="1"/>
    <n v="70803"/>
    <n v="2.44460382370402"/>
    <d v="2016-02-10T11:11:57"/>
    <n v="15.35"/>
    <x v="1280"/>
    <n v="1"/>
    <n v="2.2999999999999998"/>
    <n v="0"/>
    <n v="0"/>
    <n v="2.2999999999999998"/>
    <x v="1268"/>
    <x v="0"/>
    <x v="2032"/>
    <x v="1160"/>
    <n v="14"/>
    <e v="#N/A"/>
    <e v="#N/A"/>
  </r>
  <r>
    <n v="4015"/>
    <d v="2016-02-10T11:36:26"/>
    <d v="2016-02-10T11:51:25"/>
    <x v="0"/>
    <s v="Medium"/>
    <m/>
    <x v="0"/>
    <n v="70807"/>
    <n v="0"/>
    <d v="2016-02-10T11:54:25"/>
    <n v="19.579999999999998"/>
    <x v="2"/>
    <n v="2"/>
    <n v="1"/>
    <n v="1.7"/>
    <n v="0"/>
    <n v="2.7"/>
    <x v="0"/>
    <x v="0"/>
    <x v="0"/>
    <x v="0"/>
    <n v="7"/>
    <n v="10"/>
    <e v="#N/A"/>
  </r>
  <r>
    <n v="4016"/>
    <d v="2016-02-10T12:12:41"/>
    <d v="2016-02-10T12:27:38"/>
    <x v="0"/>
    <s v="Medium"/>
    <m/>
    <x v="0"/>
    <n v="70804"/>
    <n v="0"/>
    <d v="2016-02-10T12:30:38"/>
    <n v="19.579999999999998"/>
    <x v="63"/>
    <n v="2"/>
    <n v="1"/>
    <n v="1.7"/>
    <n v="0"/>
    <n v="2.7"/>
    <x v="0"/>
    <x v="0"/>
    <x v="0"/>
    <x v="0"/>
    <n v="7"/>
    <n v="10"/>
    <e v="#N/A"/>
  </r>
  <r>
    <n v="4017"/>
    <d v="2016-02-10T12:20:06"/>
    <d v="2016-02-10T12:35:06"/>
    <x v="0"/>
    <m/>
    <m/>
    <x v="0"/>
    <n v="70805"/>
    <n v="0"/>
    <d v="2016-02-10T12:38:04"/>
    <n v="7.99"/>
    <x v="0"/>
    <n v="1"/>
    <n v="1"/>
    <n v="0"/>
    <n v="0"/>
    <n v="1"/>
    <x v="0"/>
    <x v="0"/>
    <x v="0"/>
    <x v="0"/>
    <n v="7"/>
    <e v="#N/A"/>
    <e v="#N/A"/>
  </r>
  <r>
    <n v="4018"/>
    <d v="2016-02-10T13:01:15"/>
    <d v="2016-02-10T13:16:15"/>
    <x v="0"/>
    <s v="Medium"/>
    <m/>
    <x v="0"/>
    <n v="70805"/>
    <n v="0"/>
    <d v="2016-02-10T13:19:16"/>
    <n v="19.579999999999998"/>
    <x v="56"/>
    <n v="2"/>
    <n v="1"/>
    <n v="1.7"/>
    <n v="0"/>
    <n v="2.7"/>
    <x v="0"/>
    <x v="0"/>
    <x v="0"/>
    <x v="0"/>
    <n v="7"/>
    <n v="10"/>
    <e v="#N/A"/>
  </r>
  <r>
    <n v="4019"/>
    <d v="2016-02-10T12:45:19"/>
    <d v="2016-02-10T13:00:18"/>
    <x v="0"/>
    <s v="Medium"/>
    <m/>
    <x v="0"/>
    <n v="70807"/>
    <n v="0"/>
    <d v="2016-02-10T13:03:18"/>
    <n v="19.579999999999998"/>
    <x v="2"/>
    <n v="2"/>
    <n v="1"/>
    <n v="1.7"/>
    <n v="0"/>
    <n v="2.7"/>
    <x v="0"/>
    <x v="0"/>
    <x v="0"/>
    <x v="0"/>
    <n v="7"/>
    <n v="10"/>
    <e v="#N/A"/>
  </r>
  <r>
    <n v="4020"/>
    <d v="2016-02-10T11:05:21"/>
    <d v="2016-02-10T11:20:19"/>
    <x v="1"/>
    <m/>
    <m/>
    <x v="1"/>
    <n v="70807"/>
    <n v="4.3663869167499003"/>
    <d v="2016-02-10T11:42:08"/>
    <n v="15.35"/>
    <x v="1281"/>
    <n v="1"/>
    <n v="2.2999999999999998"/>
    <n v="0"/>
    <n v="0"/>
    <n v="2.2999999999999998"/>
    <x v="1269"/>
    <x v="1"/>
    <x v="2033"/>
    <x v="0"/>
    <n v="14"/>
    <e v="#N/A"/>
    <e v="#N/A"/>
  </r>
  <r>
    <n v="4021"/>
    <d v="2016-02-10T13:26:10"/>
    <d v="2016-02-10T13:41:09"/>
    <x v="2"/>
    <m/>
    <m/>
    <x v="1"/>
    <n v="70805"/>
    <n v="2.61672237788546"/>
    <d v="2016-02-10T13:54:14"/>
    <n v="11.59"/>
    <x v="1218"/>
    <n v="1"/>
    <n v="1.7"/>
    <n v="0"/>
    <n v="0"/>
    <n v="1.7"/>
    <x v="1206"/>
    <x v="0"/>
    <x v="2034"/>
    <x v="1161"/>
    <n v="10"/>
    <e v="#N/A"/>
    <e v="#N/A"/>
  </r>
  <r>
    <n v="4022"/>
    <d v="2016-02-10T12:42:29"/>
    <d v="2016-02-10T12:57:30"/>
    <x v="2"/>
    <m/>
    <m/>
    <x v="1"/>
    <n v="70805"/>
    <n v="3.65644020571307"/>
    <d v="2016-02-10T13:15:46"/>
    <n v="11.59"/>
    <x v="910"/>
    <n v="1"/>
    <n v="1.7"/>
    <n v="0"/>
    <n v="0"/>
    <n v="1.7"/>
    <x v="897"/>
    <x v="1"/>
    <x v="2035"/>
    <x v="0"/>
    <n v="10"/>
    <e v="#N/A"/>
    <e v="#N/A"/>
  </r>
  <r>
    <n v="4023"/>
    <d v="2016-02-10T12:43:12"/>
    <d v="2016-02-10T12:58:11"/>
    <x v="0"/>
    <s v="Large"/>
    <m/>
    <x v="1"/>
    <n v="70804"/>
    <n v="4.1458088794022601"/>
    <d v="2016-02-10T13:18:54"/>
    <n v="23.34"/>
    <x v="92"/>
    <n v="2"/>
    <n v="1"/>
    <n v="2.2999999999999998"/>
    <n v="0"/>
    <n v="3.3"/>
    <x v="83"/>
    <x v="1"/>
    <x v="2036"/>
    <x v="0"/>
    <n v="7"/>
    <n v="14"/>
    <e v="#N/A"/>
  </r>
  <r>
    <n v="4024"/>
    <d v="2016-02-10T12:14:54"/>
    <d v="2016-02-10T12:29:55"/>
    <x v="0"/>
    <s v="Medium"/>
    <m/>
    <x v="0"/>
    <n v="70805"/>
    <n v="0"/>
    <d v="2016-02-10T12:32:54"/>
    <n v="19.579999999999998"/>
    <x v="24"/>
    <n v="2"/>
    <n v="1"/>
    <n v="1.7"/>
    <n v="0"/>
    <n v="2.7"/>
    <x v="0"/>
    <x v="0"/>
    <x v="0"/>
    <x v="0"/>
    <n v="7"/>
    <n v="10"/>
    <e v="#N/A"/>
  </r>
  <r>
    <n v="4025"/>
    <d v="2016-02-10T12:06:49"/>
    <d v="2016-02-10T12:21:47"/>
    <x v="0"/>
    <m/>
    <m/>
    <x v="0"/>
    <n v="70804"/>
    <n v="0"/>
    <d v="2016-02-10T12:24:48"/>
    <n v="7.99"/>
    <x v="14"/>
    <n v="1"/>
    <n v="1"/>
    <n v="0"/>
    <n v="0"/>
    <n v="1"/>
    <x v="0"/>
    <x v="0"/>
    <x v="0"/>
    <x v="0"/>
    <n v="7"/>
    <e v="#N/A"/>
    <e v="#N/A"/>
  </r>
  <r>
    <n v="4026"/>
    <d v="2016-02-10T11:54:19"/>
    <d v="2016-02-10T12:09:18"/>
    <x v="2"/>
    <m/>
    <m/>
    <x v="0"/>
    <n v="70805"/>
    <n v="0"/>
    <d v="2016-02-10T12:12:18"/>
    <n v="11.59"/>
    <x v="2"/>
    <n v="1"/>
    <n v="1.7"/>
    <n v="0"/>
    <n v="0"/>
    <n v="1.7"/>
    <x v="0"/>
    <x v="0"/>
    <x v="0"/>
    <x v="0"/>
    <n v="10"/>
    <e v="#N/A"/>
    <e v="#N/A"/>
  </r>
  <r>
    <n v="4027"/>
    <d v="2016-02-10T12:52:27"/>
    <d v="2016-02-10T13:07:28"/>
    <x v="0"/>
    <s v="Medium"/>
    <m/>
    <x v="1"/>
    <n v="70804"/>
    <n v="4.9152285943738798"/>
    <d v="2016-02-10T13:32:02"/>
    <n v="19.579999999999998"/>
    <x v="1206"/>
    <n v="2"/>
    <n v="1"/>
    <n v="1.7"/>
    <n v="0"/>
    <n v="2.7"/>
    <x v="1194"/>
    <x v="1"/>
    <x v="2037"/>
    <x v="0"/>
    <n v="7"/>
    <n v="10"/>
    <e v="#N/A"/>
  </r>
  <r>
    <n v="4028"/>
    <d v="2016-02-10T11:18:09"/>
    <d v="2016-02-10T11:33:09"/>
    <x v="0"/>
    <m/>
    <m/>
    <x v="0"/>
    <n v="70806"/>
    <n v="0"/>
    <d v="2016-02-10T11:36:08"/>
    <n v="7.99"/>
    <x v="24"/>
    <n v="1"/>
    <n v="1"/>
    <n v="0"/>
    <n v="0"/>
    <n v="1"/>
    <x v="0"/>
    <x v="0"/>
    <x v="0"/>
    <x v="0"/>
    <n v="7"/>
    <e v="#N/A"/>
    <e v="#N/A"/>
  </r>
  <r>
    <n v="4029"/>
    <d v="2016-02-10T11:26:26"/>
    <d v="2016-02-10T11:41:24"/>
    <x v="0"/>
    <m/>
    <m/>
    <x v="1"/>
    <n v="70805"/>
    <n v="3.7897714160131599"/>
    <d v="2016-02-10T12:00:20"/>
    <n v="7.99"/>
    <x v="1282"/>
    <n v="1"/>
    <n v="1"/>
    <n v="0"/>
    <n v="0"/>
    <n v="1"/>
    <x v="1270"/>
    <x v="1"/>
    <x v="2038"/>
    <x v="0"/>
    <n v="7"/>
    <e v="#N/A"/>
    <e v="#N/A"/>
  </r>
  <r>
    <n v="4030"/>
    <d v="2016-02-10T10:00:22"/>
    <d v="2016-02-10T10:15:22"/>
    <x v="2"/>
    <m/>
    <m/>
    <x v="0"/>
    <n v="70807"/>
    <n v="0"/>
    <d v="2016-02-10T10:18:21"/>
    <n v="11.59"/>
    <x v="1"/>
    <n v="1"/>
    <n v="1.7"/>
    <n v="0"/>
    <n v="0"/>
    <n v="1.7"/>
    <x v="0"/>
    <x v="0"/>
    <x v="0"/>
    <x v="0"/>
    <n v="10"/>
    <e v="#N/A"/>
    <e v="#N/A"/>
  </r>
  <r>
    <n v="4031"/>
    <d v="2016-02-10T11:59:43"/>
    <d v="2016-02-10T12:14:41"/>
    <x v="2"/>
    <m/>
    <m/>
    <x v="1"/>
    <n v="70805"/>
    <n v="1.5491635835647599"/>
    <d v="2016-02-10T12:22:25"/>
    <n v="11.59"/>
    <x v="1010"/>
    <n v="1"/>
    <n v="1.7"/>
    <n v="0"/>
    <n v="0"/>
    <n v="1.7"/>
    <x v="997"/>
    <x v="0"/>
    <x v="2039"/>
    <x v="1162"/>
    <n v="10"/>
    <e v="#N/A"/>
    <e v="#N/A"/>
  </r>
  <r>
    <n v="4032"/>
    <d v="2016-02-10T11:30:07"/>
    <d v="2016-02-10T11:45:06"/>
    <x v="0"/>
    <m/>
    <m/>
    <x v="0"/>
    <n v="70805"/>
    <n v="0"/>
    <d v="2016-02-10T11:48:08"/>
    <n v="7.99"/>
    <x v="171"/>
    <n v="1"/>
    <n v="1"/>
    <n v="0"/>
    <n v="0"/>
    <n v="1"/>
    <x v="0"/>
    <x v="0"/>
    <x v="0"/>
    <x v="0"/>
    <n v="7"/>
    <e v="#N/A"/>
    <e v="#N/A"/>
  </r>
  <r>
    <n v="4033"/>
    <d v="2016-02-10T11:31:43"/>
    <d v="2016-02-10T11:46:42"/>
    <x v="2"/>
    <m/>
    <m/>
    <x v="1"/>
    <n v="70805"/>
    <n v="3.9896145909838001"/>
    <d v="2016-02-10T12:06:38"/>
    <n v="11.59"/>
    <x v="508"/>
    <n v="1"/>
    <n v="1.7"/>
    <n v="0"/>
    <n v="0"/>
    <n v="1.7"/>
    <x v="495"/>
    <x v="1"/>
    <x v="2040"/>
    <x v="0"/>
    <n v="10"/>
    <e v="#N/A"/>
    <e v="#N/A"/>
  </r>
  <r>
    <n v="4034"/>
    <d v="2016-02-10T11:21:36"/>
    <d v="2016-02-10T11:36:35"/>
    <x v="0"/>
    <m/>
    <m/>
    <x v="1"/>
    <n v="70806"/>
    <n v="2.3302074872436802"/>
    <d v="2016-02-10T11:48:14"/>
    <n v="7.99"/>
    <x v="1283"/>
    <n v="1"/>
    <n v="1"/>
    <n v="0"/>
    <n v="0"/>
    <n v="1"/>
    <x v="1271"/>
    <x v="0"/>
    <x v="2041"/>
    <x v="1163"/>
    <n v="7"/>
    <e v="#N/A"/>
    <e v="#N/A"/>
  </r>
  <r>
    <n v="4035"/>
    <d v="2016-02-10T12:05:19"/>
    <d v="2016-02-10T12:20:19"/>
    <x v="0"/>
    <m/>
    <m/>
    <x v="0"/>
    <n v="70807"/>
    <n v="0"/>
    <d v="2016-02-10T12:23:18"/>
    <n v="7.99"/>
    <x v="24"/>
    <n v="1"/>
    <n v="1"/>
    <n v="0"/>
    <n v="0"/>
    <n v="1"/>
    <x v="0"/>
    <x v="0"/>
    <x v="0"/>
    <x v="0"/>
    <n v="7"/>
    <e v="#N/A"/>
    <e v="#N/A"/>
  </r>
  <r>
    <n v="4036"/>
    <d v="2016-02-10T12:31:32"/>
    <d v="2016-02-10T12:46:31"/>
    <x v="0"/>
    <s v="Medium"/>
    <m/>
    <x v="0"/>
    <n v="70805"/>
    <n v="0"/>
    <d v="2016-02-10T12:49:30"/>
    <n v="19.579999999999998"/>
    <x v="1"/>
    <n v="2"/>
    <n v="1"/>
    <n v="1.7"/>
    <n v="0"/>
    <n v="2.7"/>
    <x v="0"/>
    <x v="0"/>
    <x v="0"/>
    <x v="0"/>
    <n v="7"/>
    <n v="10"/>
    <e v="#N/A"/>
  </r>
  <r>
    <n v="4037"/>
    <d v="2016-02-10T10:30:45"/>
    <d v="2016-02-10T10:45:43"/>
    <x v="0"/>
    <m/>
    <m/>
    <x v="0"/>
    <n v="70807"/>
    <n v="0"/>
    <d v="2016-02-10T10:48:42"/>
    <n v="7.99"/>
    <x v="1"/>
    <n v="1"/>
    <n v="1"/>
    <n v="0"/>
    <n v="0"/>
    <n v="1"/>
    <x v="0"/>
    <x v="0"/>
    <x v="0"/>
    <x v="0"/>
    <n v="7"/>
    <e v="#N/A"/>
    <e v="#N/A"/>
  </r>
  <r>
    <n v="4038"/>
    <d v="2016-02-10T10:20:39"/>
    <d v="2016-02-10T10:35:38"/>
    <x v="2"/>
    <m/>
    <m/>
    <x v="1"/>
    <n v="70805"/>
    <n v="2.7866388305786698"/>
    <d v="2016-02-10T10:49:33"/>
    <n v="11.59"/>
    <x v="676"/>
    <n v="1"/>
    <n v="1.7"/>
    <n v="0"/>
    <n v="0"/>
    <n v="1.7"/>
    <x v="663"/>
    <x v="0"/>
    <x v="2042"/>
    <x v="1164"/>
    <n v="10"/>
    <e v="#N/A"/>
    <e v="#N/A"/>
  </r>
  <r>
    <n v="4039"/>
    <d v="2016-02-10T11:40:36"/>
    <d v="2016-02-10T11:55:35"/>
    <x v="2"/>
    <m/>
    <m/>
    <x v="0"/>
    <n v="70803"/>
    <n v="0"/>
    <d v="2016-02-10T11:58:33"/>
    <n v="11.59"/>
    <x v="19"/>
    <n v="1"/>
    <n v="1.7"/>
    <n v="0"/>
    <n v="0"/>
    <n v="1.7"/>
    <x v="0"/>
    <x v="0"/>
    <x v="0"/>
    <x v="0"/>
    <n v="10"/>
    <e v="#N/A"/>
    <e v="#N/A"/>
  </r>
  <r>
    <n v="4040"/>
    <d v="2016-02-10T12:47:58"/>
    <d v="2016-02-10T13:02:59"/>
    <x v="0"/>
    <s v="Medium"/>
    <m/>
    <x v="1"/>
    <n v="70804"/>
    <n v="1.9084526991980599"/>
    <d v="2016-02-10T13:12:31"/>
    <n v="19.579999999999998"/>
    <x v="138"/>
    <n v="2"/>
    <n v="1"/>
    <n v="1.7"/>
    <n v="0"/>
    <n v="2.7"/>
    <x v="128"/>
    <x v="0"/>
    <x v="2043"/>
    <x v="1165"/>
    <n v="7"/>
    <n v="10"/>
    <e v="#N/A"/>
  </r>
  <r>
    <n v="4041"/>
    <d v="2016-02-10T12:49:37"/>
    <d v="2016-02-10T13:04:38"/>
    <x v="0"/>
    <s v="Medium"/>
    <m/>
    <x v="1"/>
    <n v="70806"/>
    <n v="0.78430040006692203"/>
    <d v="2016-02-10T13:08:33"/>
    <n v="19.579999999999998"/>
    <x v="192"/>
    <n v="2"/>
    <n v="1"/>
    <n v="1.7"/>
    <n v="0"/>
    <n v="2.7"/>
    <x v="180"/>
    <x v="0"/>
    <x v="2044"/>
    <x v="1166"/>
    <n v="7"/>
    <n v="10"/>
    <e v="#N/A"/>
  </r>
  <r>
    <n v="4042"/>
    <d v="2016-02-10T11:10:38"/>
    <d v="2016-02-10T11:25:36"/>
    <x v="2"/>
    <m/>
    <m/>
    <x v="1"/>
    <n v="70803"/>
    <n v="2.6298947790157099"/>
    <d v="2016-02-10T11:38:44"/>
    <n v="11.59"/>
    <x v="1284"/>
    <n v="1"/>
    <n v="1.7"/>
    <n v="0"/>
    <n v="0"/>
    <n v="1.7"/>
    <x v="1272"/>
    <x v="0"/>
    <x v="2045"/>
    <x v="1167"/>
    <n v="10"/>
    <e v="#N/A"/>
    <e v="#N/A"/>
  </r>
  <r>
    <n v="4043"/>
    <d v="2016-02-10T10:40:58"/>
    <d v="2016-02-10T10:55:58"/>
    <x v="0"/>
    <m/>
    <m/>
    <x v="1"/>
    <n v="70804"/>
    <n v="2.8025310562438599"/>
    <d v="2016-02-10T11:09:58"/>
    <n v="7.99"/>
    <x v="1285"/>
    <n v="1"/>
    <n v="1"/>
    <n v="0"/>
    <n v="0"/>
    <n v="1"/>
    <x v="1273"/>
    <x v="0"/>
    <x v="2046"/>
    <x v="1168"/>
    <n v="7"/>
    <e v="#N/A"/>
    <e v="#N/A"/>
  </r>
  <r>
    <n v="4044"/>
    <d v="2016-02-10T12:38:11"/>
    <d v="2016-02-10T12:53:11"/>
    <x v="1"/>
    <m/>
    <m/>
    <x v="1"/>
    <n v="70803"/>
    <n v="3.9654137518168699"/>
    <d v="2016-02-10T13:13:00"/>
    <n v="15.35"/>
    <x v="48"/>
    <n v="1"/>
    <n v="2.2999999999999998"/>
    <n v="0"/>
    <n v="0"/>
    <n v="2.2999999999999998"/>
    <x v="42"/>
    <x v="1"/>
    <x v="2047"/>
    <x v="0"/>
    <n v="14"/>
    <e v="#N/A"/>
    <e v="#N/A"/>
  </r>
  <r>
    <n v="4045"/>
    <d v="2016-02-10T12:11:26"/>
    <d v="2016-02-10T12:26:24"/>
    <x v="1"/>
    <m/>
    <m/>
    <x v="1"/>
    <n v="70805"/>
    <n v="0.80969259882248001"/>
    <d v="2016-02-10T12:30:26"/>
    <n v="15.35"/>
    <x v="1286"/>
    <n v="1"/>
    <n v="2.2999999999999998"/>
    <n v="0"/>
    <n v="0"/>
    <n v="2.2999999999999998"/>
    <x v="1274"/>
    <x v="0"/>
    <x v="2048"/>
    <x v="1169"/>
    <n v="14"/>
    <e v="#N/A"/>
    <e v="#N/A"/>
  </r>
  <r>
    <n v="4046"/>
    <d v="2016-02-10T13:07:24"/>
    <d v="2016-02-10T13:22:24"/>
    <x v="2"/>
    <m/>
    <m/>
    <x v="1"/>
    <n v="70805"/>
    <n v="3.7584876416940101"/>
    <d v="2016-02-10T13:41:11"/>
    <n v="11.59"/>
    <x v="1287"/>
    <n v="1"/>
    <n v="1.7"/>
    <n v="0"/>
    <n v="0"/>
    <n v="1.7"/>
    <x v="1275"/>
    <x v="1"/>
    <x v="2049"/>
    <x v="0"/>
    <n v="10"/>
    <e v="#N/A"/>
    <e v="#N/A"/>
  </r>
  <r>
    <n v="4047"/>
    <d v="2016-02-10T10:17:00"/>
    <d v="2016-02-10T10:32:00"/>
    <x v="0"/>
    <s v="Medium"/>
    <m/>
    <x v="1"/>
    <n v="70804"/>
    <n v="2.1496166759865298"/>
    <d v="2016-02-10T10:42:44"/>
    <n v="19.579999999999998"/>
    <x v="874"/>
    <n v="2"/>
    <n v="1"/>
    <n v="1.7"/>
    <n v="0"/>
    <n v="2.7"/>
    <x v="861"/>
    <x v="0"/>
    <x v="2050"/>
    <x v="1170"/>
    <n v="7"/>
    <n v="10"/>
    <e v="#N/A"/>
  </r>
  <r>
    <n v="4048"/>
    <d v="2016-02-10T12:16:03"/>
    <d v="2016-02-10T12:31:02"/>
    <x v="0"/>
    <m/>
    <m/>
    <x v="0"/>
    <n v="70804"/>
    <n v="0"/>
    <d v="2016-02-10T12:34:01"/>
    <n v="7.99"/>
    <x v="24"/>
    <n v="1"/>
    <n v="1"/>
    <n v="0"/>
    <n v="0"/>
    <n v="1"/>
    <x v="0"/>
    <x v="0"/>
    <x v="0"/>
    <x v="0"/>
    <n v="7"/>
    <e v="#N/A"/>
    <e v="#N/A"/>
  </r>
  <r>
    <n v="4049"/>
    <d v="2016-02-10T13:31:13"/>
    <d v="2016-02-10T13:46:12"/>
    <x v="1"/>
    <m/>
    <m/>
    <x v="1"/>
    <n v="70805"/>
    <n v="3.3390989966003302"/>
    <d v="2016-02-10T14:02:53"/>
    <n v="15.35"/>
    <x v="1288"/>
    <n v="1"/>
    <n v="2.2999999999999998"/>
    <n v="0"/>
    <n v="0"/>
    <n v="2.2999999999999998"/>
    <x v="1276"/>
    <x v="1"/>
    <x v="2051"/>
    <x v="0"/>
    <n v="14"/>
    <e v="#N/A"/>
    <e v="#N/A"/>
  </r>
  <r>
    <n v="4050"/>
    <d v="2016-02-10T11:08:24"/>
    <d v="2016-02-10T11:23:23"/>
    <x v="2"/>
    <m/>
    <m/>
    <x v="0"/>
    <n v="70807"/>
    <n v="0"/>
    <d v="2016-02-10T11:26:23"/>
    <n v="11.59"/>
    <x v="2"/>
    <n v="1"/>
    <n v="1.7"/>
    <n v="0"/>
    <n v="0"/>
    <n v="1.7"/>
    <x v="0"/>
    <x v="0"/>
    <x v="0"/>
    <x v="0"/>
    <n v="10"/>
    <e v="#N/A"/>
    <e v="#N/A"/>
  </r>
  <r>
    <n v="4051"/>
    <d v="2016-02-10T11:24:52"/>
    <d v="2016-02-10T11:39:53"/>
    <x v="0"/>
    <m/>
    <m/>
    <x v="0"/>
    <n v="70807"/>
    <n v="0"/>
    <d v="2016-02-10T11:42:50"/>
    <n v="7.99"/>
    <x v="102"/>
    <n v="1"/>
    <n v="1"/>
    <n v="0"/>
    <n v="0"/>
    <n v="1"/>
    <x v="0"/>
    <x v="0"/>
    <x v="0"/>
    <x v="0"/>
    <n v="7"/>
    <e v="#N/A"/>
    <e v="#N/A"/>
  </r>
  <r>
    <n v="4052"/>
    <d v="2016-02-10T13:19:00"/>
    <d v="2016-02-10T13:33:58"/>
    <x v="1"/>
    <m/>
    <m/>
    <x v="1"/>
    <n v="70804"/>
    <n v="3.2232845962106298"/>
    <d v="2016-02-10T13:50:04"/>
    <n v="15.35"/>
    <x v="834"/>
    <n v="1"/>
    <n v="2.2999999999999998"/>
    <n v="0"/>
    <n v="0"/>
    <n v="2.2999999999999998"/>
    <x v="821"/>
    <x v="1"/>
    <x v="2052"/>
    <x v="0"/>
    <n v="14"/>
    <e v="#N/A"/>
    <e v="#N/A"/>
  </r>
  <r>
    <n v="4053"/>
    <d v="2016-02-10T13:10:55"/>
    <d v="2016-02-10T13:25:54"/>
    <x v="1"/>
    <m/>
    <m/>
    <x v="1"/>
    <n v="70806"/>
    <n v="4.0248618273693397"/>
    <d v="2016-02-10T13:46:01"/>
    <n v="15.35"/>
    <x v="1289"/>
    <n v="1"/>
    <n v="2.2999999999999998"/>
    <n v="0"/>
    <n v="0"/>
    <n v="2.2999999999999998"/>
    <x v="1277"/>
    <x v="1"/>
    <x v="2053"/>
    <x v="0"/>
    <n v="14"/>
    <e v="#N/A"/>
    <e v="#N/A"/>
  </r>
  <r>
    <n v="4054"/>
    <d v="2016-02-10T11:29:04"/>
    <d v="2016-02-10T11:44:04"/>
    <x v="0"/>
    <s v="Large"/>
    <m/>
    <x v="0"/>
    <n v="70806"/>
    <n v="0"/>
    <d v="2016-02-10T11:47:02"/>
    <n v="23.34"/>
    <x v="0"/>
    <n v="2"/>
    <n v="1"/>
    <n v="2.2999999999999998"/>
    <n v="0"/>
    <n v="3.3"/>
    <x v="0"/>
    <x v="0"/>
    <x v="0"/>
    <x v="0"/>
    <n v="7"/>
    <n v="14"/>
    <e v="#N/A"/>
  </r>
  <r>
    <n v="4055"/>
    <d v="2016-02-10T10:41:16"/>
    <d v="2016-02-10T10:56:15"/>
    <x v="1"/>
    <m/>
    <m/>
    <x v="0"/>
    <n v="70805"/>
    <n v="0"/>
    <d v="2016-02-10T10:59:13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4056"/>
    <d v="2016-02-10T12:12:19"/>
    <d v="2016-02-10T12:27:18"/>
    <x v="0"/>
    <m/>
    <m/>
    <x v="0"/>
    <n v="70806"/>
    <n v="0"/>
    <d v="2016-02-10T12:30:18"/>
    <n v="7.99"/>
    <x v="2"/>
    <n v="1"/>
    <n v="1"/>
    <n v="0"/>
    <n v="0"/>
    <n v="1"/>
    <x v="0"/>
    <x v="0"/>
    <x v="0"/>
    <x v="0"/>
    <n v="7"/>
    <e v="#N/A"/>
    <e v="#N/A"/>
  </r>
  <r>
    <n v="4057"/>
    <d v="2016-02-10T13:53:39"/>
    <d v="2016-02-10T14:08:39"/>
    <x v="0"/>
    <s v="Medium"/>
    <m/>
    <x v="1"/>
    <n v="70803"/>
    <n v="4.6749616363021698"/>
    <d v="2016-02-10T14:32:01"/>
    <n v="19.579999999999998"/>
    <x v="1290"/>
    <n v="2"/>
    <n v="1"/>
    <n v="1.7"/>
    <n v="0"/>
    <n v="2.7"/>
    <x v="1278"/>
    <x v="1"/>
    <x v="2054"/>
    <x v="0"/>
    <n v="7"/>
    <n v="10"/>
    <e v="#N/A"/>
  </r>
  <r>
    <n v="4058"/>
    <d v="2016-02-10T12:21:50"/>
    <d v="2016-02-10T12:36:49"/>
    <x v="2"/>
    <m/>
    <m/>
    <x v="1"/>
    <n v="70806"/>
    <n v="3.3284861529371299"/>
    <d v="2016-02-10T12:53:27"/>
    <n v="11.59"/>
    <x v="1291"/>
    <n v="1"/>
    <n v="1.7"/>
    <n v="0"/>
    <n v="0"/>
    <n v="1.7"/>
    <x v="1279"/>
    <x v="1"/>
    <x v="2055"/>
    <x v="0"/>
    <n v="10"/>
    <e v="#N/A"/>
    <e v="#N/A"/>
  </r>
  <r>
    <n v="4059"/>
    <d v="2016-02-10T11:39:12"/>
    <d v="2016-02-10T11:54:12"/>
    <x v="0"/>
    <s v="Medium"/>
    <m/>
    <x v="1"/>
    <n v="70803"/>
    <n v="2.1111202434330201"/>
    <d v="2016-02-10T12:04:45"/>
    <n v="19.579999999999998"/>
    <x v="662"/>
    <n v="2"/>
    <n v="1"/>
    <n v="1.7"/>
    <n v="0"/>
    <n v="2.7"/>
    <x v="649"/>
    <x v="0"/>
    <x v="2056"/>
    <x v="1171"/>
    <n v="7"/>
    <n v="10"/>
    <e v="#N/A"/>
  </r>
  <r>
    <n v="4060"/>
    <d v="2016-02-10T11:55:43"/>
    <d v="2016-02-10T12:10:42"/>
    <x v="1"/>
    <m/>
    <m/>
    <x v="1"/>
    <n v="70804"/>
    <n v="2.6297527586526099"/>
    <d v="2016-02-10T12:23:50"/>
    <n v="15.35"/>
    <x v="1226"/>
    <n v="1"/>
    <n v="2.2999999999999998"/>
    <n v="0"/>
    <n v="0"/>
    <n v="2.2999999999999998"/>
    <x v="1214"/>
    <x v="0"/>
    <x v="2057"/>
    <x v="1172"/>
    <n v="14"/>
    <e v="#N/A"/>
    <e v="#N/A"/>
  </r>
  <r>
    <n v="4061"/>
    <d v="2016-02-10T10:35:04"/>
    <d v="2016-02-10T10:50:04"/>
    <x v="2"/>
    <s v="Large"/>
    <m/>
    <x v="0"/>
    <n v="70803"/>
    <n v="0"/>
    <d v="2016-02-10T10:53:05"/>
    <n v="25.94"/>
    <x v="14"/>
    <n v="2"/>
    <n v="1.7"/>
    <n v="2.2999999999999998"/>
    <n v="0"/>
    <n v="4"/>
    <x v="0"/>
    <x v="0"/>
    <x v="0"/>
    <x v="0"/>
    <n v="10"/>
    <n v="14"/>
    <e v="#N/A"/>
  </r>
  <r>
    <n v="4062"/>
    <d v="2016-02-10T12:39:07"/>
    <d v="2016-02-10T12:54:07"/>
    <x v="0"/>
    <m/>
    <m/>
    <x v="0"/>
    <n v="70803"/>
    <n v="0"/>
    <d v="2016-02-10T12:57:07"/>
    <n v="7.99"/>
    <x v="2"/>
    <n v="1"/>
    <n v="1"/>
    <n v="0"/>
    <n v="0"/>
    <n v="1"/>
    <x v="0"/>
    <x v="0"/>
    <x v="0"/>
    <x v="0"/>
    <n v="7"/>
    <e v="#N/A"/>
    <e v="#N/A"/>
  </r>
  <r>
    <n v="4063"/>
    <d v="2016-02-10T11:37:29"/>
    <d v="2016-02-10T11:52:29"/>
    <x v="1"/>
    <m/>
    <m/>
    <x v="1"/>
    <n v="70804"/>
    <n v="1.35982480057944"/>
    <d v="2016-02-10T11:59:16"/>
    <n v="15.35"/>
    <x v="1292"/>
    <n v="1"/>
    <n v="2.2999999999999998"/>
    <n v="0"/>
    <n v="0"/>
    <n v="2.2999999999999998"/>
    <x v="1280"/>
    <x v="0"/>
    <x v="2058"/>
    <x v="1173"/>
    <n v="14"/>
    <e v="#N/A"/>
    <e v="#N/A"/>
  </r>
  <r>
    <n v="4064"/>
    <d v="2016-02-10T10:12:50"/>
    <d v="2016-02-10T10:27:50"/>
    <x v="0"/>
    <s v="Medium"/>
    <m/>
    <x v="1"/>
    <n v="70804"/>
    <n v="1.2783718140182301"/>
    <d v="2016-02-10T10:34:13"/>
    <n v="19.579999999999998"/>
    <x v="740"/>
    <n v="2"/>
    <n v="1"/>
    <n v="1.7"/>
    <n v="0"/>
    <n v="2.7"/>
    <x v="727"/>
    <x v="0"/>
    <x v="2059"/>
    <x v="1174"/>
    <n v="7"/>
    <n v="10"/>
    <e v="#N/A"/>
  </r>
  <r>
    <n v="4065"/>
    <d v="2016-02-10T13:43:34"/>
    <d v="2016-02-10T13:58:33"/>
    <x v="0"/>
    <s v="Large"/>
    <m/>
    <x v="1"/>
    <n v="70804"/>
    <n v="1.9680074104354299"/>
    <d v="2016-02-10T14:08:23"/>
    <n v="23.34"/>
    <x v="18"/>
    <n v="2"/>
    <n v="1"/>
    <n v="2.2999999999999998"/>
    <n v="0"/>
    <n v="3.3"/>
    <x v="15"/>
    <x v="0"/>
    <x v="2060"/>
    <x v="1175"/>
    <n v="7"/>
    <n v="14"/>
    <e v="#N/A"/>
  </r>
  <r>
    <n v="4066"/>
    <d v="2016-02-10T11:36:47"/>
    <d v="2016-02-10T11:51:47"/>
    <x v="0"/>
    <s v="Medium"/>
    <m/>
    <x v="0"/>
    <n v="70805"/>
    <n v="0"/>
    <d v="2016-02-10T11:54:47"/>
    <n v="19.579999999999998"/>
    <x v="2"/>
    <n v="2"/>
    <n v="1"/>
    <n v="1.7"/>
    <n v="0"/>
    <n v="2.7"/>
    <x v="0"/>
    <x v="0"/>
    <x v="0"/>
    <x v="0"/>
    <n v="7"/>
    <n v="10"/>
    <e v="#N/A"/>
  </r>
  <r>
    <n v="4067"/>
    <d v="2016-02-10T12:21:13"/>
    <d v="2016-02-10T12:36:11"/>
    <x v="0"/>
    <s v="Medium"/>
    <m/>
    <x v="0"/>
    <n v="70805"/>
    <n v="0"/>
    <d v="2016-02-10T12:39:11"/>
    <n v="19.579999999999998"/>
    <x v="2"/>
    <n v="2"/>
    <n v="1"/>
    <n v="1.7"/>
    <n v="0"/>
    <n v="2.7"/>
    <x v="0"/>
    <x v="0"/>
    <x v="0"/>
    <x v="0"/>
    <n v="7"/>
    <n v="10"/>
    <e v="#N/A"/>
  </r>
  <r>
    <n v="4068"/>
    <d v="2016-02-10T11:27:02"/>
    <d v="2016-02-10T11:42:02"/>
    <x v="2"/>
    <m/>
    <m/>
    <x v="1"/>
    <n v="70805"/>
    <n v="0.95357120127431405"/>
    <d v="2016-02-10T11:46:48"/>
    <n v="11.59"/>
    <x v="1238"/>
    <n v="1"/>
    <n v="1.7"/>
    <n v="0"/>
    <n v="0"/>
    <n v="1.7"/>
    <x v="1226"/>
    <x v="0"/>
    <x v="2061"/>
    <x v="1176"/>
    <n v="10"/>
    <e v="#N/A"/>
    <e v="#N/A"/>
  </r>
  <r>
    <n v="4069"/>
    <d v="2016-02-10T12:04:49"/>
    <d v="2016-02-10T12:19:49"/>
    <x v="0"/>
    <s v="Large"/>
    <m/>
    <x v="1"/>
    <n v="70804"/>
    <n v="1.65488920631282"/>
    <d v="2016-02-10T12:28:05"/>
    <n v="23.34"/>
    <x v="1293"/>
    <n v="2"/>
    <n v="1"/>
    <n v="2.2999999999999998"/>
    <n v="0"/>
    <n v="3.3"/>
    <x v="1281"/>
    <x v="0"/>
    <x v="2062"/>
    <x v="1177"/>
    <n v="7"/>
    <n v="14"/>
    <e v="#N/A"/>
  </r>
  <r>
    <n v="4070"/>
    <d v="2016-02-10T12:47:08"/>
    <d v="2016-02-10T13:02:07"/>
    <x v="1"/>
    <m/>
    <m/>
    <x v="0"/>
    <n v="70806"/>
    <n v="0"/>
    <d v="2016-02-10T13:05:07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4071"/>
    <d v="2016-02-10T11:56:21"/>
    <d v="2016-02-10T12:11:18"/>
    <x v="1"/>
    <m/>
    <m/>
    <x v="0"/>
    <n v="70803"/>
    <n v="0"/>
    <d v="2016-02-10T12:14:18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4072"/>
    <d v="2016-02-10T12:16:20"/>
    <d v="2016-02-10T12:31:21"/>
    <x v="0"/>
    <s v="Medium"/>
    <m/>
    <x v="0"/>
    <n v="70804"/>
    <n v="0"/>
    <d v="2016-02-10T12:34:21"/>
    <n v="19.579999999999998"/>
    <x v="2"/>
    <n v="2"/>
    <n v="1"/>
    <n v="1.7"/>
    <n v="0"/>
    <n v="2.7"/>
    <x v="0"/>
    <x v="0"/>
    <x v="0"/>
    <x v="0"/>
    <n v="7"/>
    <n v="10"/>
    <e v="#N/A"/>
  </r>
  <r>
    <n v="4073"/>
    <d v="2016-02-10T10:14:30"/>
    <d v="2016-02-10T10:29:31"/>
    <x v="1"/>
    <m/>
    <m/>
    <x v="0"/>
    <n v="70807"/>
    <n v="0"/>
    <d v="2016-02-10T10:32:32"/>
    <n v="15.35"/>
    <x v="56"/>
    <n v="1"/>
    <n v="2.2999999999999998"/>
    <n v="0"/>
    <n v="0"/>
    <n v="2.2999999999999998"/>
    <x v="0"/>
    <x v="0"/>
    <x v="0"/>
    <x v="0"/>
    <n v="14"/>
    <e v="#N/A"/>
    <e v="#N/A"/>
  </r>
  <r>
    <n v="4074"/>
    <d v="2016-02-10T11:24:27"/>
    <d v="2016-02-10T11:39:26"/>
    <x v="1"/>
    <m/>
    <m/>
    <x v="1"/>
    <n v="70807"/>
    <n v="2.79970076358887"/>
    <d v="2016-02-10T11:53:25"/>
    <n v="15.35"/>
    <x v="564"/>
    <n v="1"/>
    <n v="2.2999999999999998"/>
    <n v="0"/>
    <n v="0"/>
    <n v="2.2999999999999998"/>
    <x v="551"/>
    <x v="0"/>
    <x v="2063"/>
    <x v="1178"/>
    <n v="14"/>
    <e v="#N/A"/>
    <e v="#N/A"/>
  </r>
  <r>
    <n v="4075"/>
    <d v="2016-02-10T12:15:41"/>
    <d v="2016-02-10T12:30:41"/>
    <x v="0"/>
    <m/>
    <m/>
    <x v="1"/>
    <n v="70806"/>
    <n v="3.4120048590975598"/>
    <d v="2016-02-10T12:47:44"/>
    <n v="7.99"/>
    <x v="1294"/>
    <n v="1"/>
    <n v="1"/>
    <n v="0"/>
    <n v="0"/>
    <n v="1"/>
    <x v="1282"/>
    <x v="1"/>
    <x v="2064"/>
    <x v="0"/>
    <n v="7"/>
    <e v="#N/A"/>
    <e v="#N/A"/>
  </r>
  <r>
    <n v="4076"/>
    <d v="2016-02-10T13:19:48"/>
    <d v="2016-02-10T13:34:48"/>
    <x v="2"/>
    <m/>
    <m/>
    <x v="0"/>
    <n v="70804"/>
    <n v="0"/>
    <d v="2016-02-10T13:37:49"/>
    <n v="11.59"/>
    <x v="14"/>
    <n v="1"/>
    <n v="1.7"/>
    <n v="0"/>
    <n v="0"/>
    <n v="1.7"/>
    <x v="0"/>
    <x v="0"/>
    <x v="0"/>
    <x v="0"/>
    <n v="10"/>
    <e v="#N/A"/>
    <e v="#N/A"/>
  </r>
  <r>
    <n v="4077"/>
    <d v="2016-02-10T13:26:34"/>
    <d v="2016-02-10T13:41:34"/>
    <x v="1"/>
    <m/>
    <m/>
    <x v="1"/>
    <n v="70808"/>
    <n v="2.1152194509471398"/>
    <d v="2016-02-10T13:52:08"/>
    <n v="15.35"/>
    <x v="1295"/>
    <n v="1"/>
    <n v="2.2999999999999998"/>
    <n v="0"/>
    <n v="0"/>
    <n v="2.2999999999999998"/>
    <x v="1283"/>
    <x v="0"/>
    <x v="2065"/>
    <x v="1179"/>
    <n v="14"/>
    <e v="#N/A"/>
    <e v="#N/A"/>
  </r>
  <r>
    <n v="4078"/>
    <d v="2016-02-10T11:06:28"/>
    <d v="2016-02-10T11:21:28"/>
    <x v="2"/>
    <m/>
    <m/>
    <x v="0"/>
    <n v="70804"/>
    <n v="0"/>
    <d v="2016-02-10T11:24:26"/>
    <n v="11.59"/>
    <x v="0"/>
    <n v="1"/>
    <n v="1.7"/>
    <n v="0"/>
    <n v="0"/>
    <n v="1.7"/>
    <x v="0"/>
    <x v="0"/>
    <x v="0"/>
    <x v="0"/>
    <n v="10"/>
    <e v="#N/A"/>
    <e v="#N/A"/>
  </r>
  <r>
    <n v="4079"/>
    <d v="2016-02-10T10:51:13"/>
    <d v="2016-02-10T11:06:13"/>
    <x v="1"/>
    <m/>
    <m/>
    <x v="0"/>
    <n v="70803"/>
    <n v="0"/>
    <d v="2016-02-10T11:09:11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4080"/>
    <d v="2016-02-10T11:02:28"/>
    <d v="2016-02-10T11:17:27"/>
    <x v="1"/>
    <m/>
    <m/>
    <x v="1"/>
    <n v="70805"/>
    <n v="3.6287660857424502"/>
    <d v="2016-02-10T11:35:35"/>
    <n v="15.35"/>
    <x v="1296"/>
    <n v="1"/>
    <n v="2.2999999999999998"/>
    <n v="0"/>
    <n v="0"/>
    <n v="2.2999999999999998"/>
    <x v="1284"/>
    <x v="1"/>
    <x v="2066"/>
    <x v="0"/>
    <n v="14"/>
    <e v="#N/A"/>
    <e v="#N/A"/>
  </r>
  <r>
    <n v="4081"/>
    <d v="2016-02-10T14:26:05"/>
    <d v="2016-02-10T14:41:04"/>
    <x v="2"/>
    <m/>
    <m/>
    <x v="0"/>
    <n v="70803"/>
    <n v="0"/>
    <d v="2016-02-10T14:44:03"/>
    <n v="11.59"/>
    <x v="1"/>
    <n v="1"/>
    <n v="1.7"/>
    <n v="0"/>
    <n v="0"/>
    <n v="1.7"/>
    <x v="0"/>
    <x v="0"/>
    <x v="0"/>
    <x v="0"/>
    <n v="10"/>
    <e v="#N/A"/>
    <e v="#N/A"/>
  </r>
  <r>
    <n v="4082"/>
    <d v="2016-02-10T11:26:50"/>
    <d v="2016-02-10T11:41:49"/>
    <x v="0"/>
    <s v="Medium"/>
    <m/>
    <x v="0"/>
    <n v="70803"/>
    <n v="0"/>
    <d v="2016-02-10T11:44:50"/>
    <n v="19.579999999999998"/>
    <x v="56"/>
    <n v="2"/>
    <n v="1"/>
    <n v="1.7"/>
    <n v="0"/>
    <n v="2.7"/>
    <x v="0"/>
    <x v="0"/>
    <x v="0"/>
    <x v="0"/>
    <n v="7"/>
    <n v="10"/>
    <e v="#N/A"/>
  </r>
  <r>
    <n v="4083"/>
    <d v="2016-02-10T12:26:51"/>
    <d v="2016-02-10T12:41:53"/>
    <x v="0"/>
    <s v="Medium"/>
    <m/>
    <x v="0"/>
    <n v="70806"/>
    <n v="0"/>
    <d v="2016-02-10T12:44:53"/>
    <n v="19.579999999999998"/>
    <x v="2"/>
    <n v="2"/>
    <n v="1"/>
    <n v="1.7"/>
    <n v="0"/>
    <n v="2.7"/>
    <x v="0"/>
    <x v="0"/>
    <x v="0"/>
    <x v="0"/>
    <n v="7"/>
    <n v="10"/>
    <e v="#N/A"/>
  </r>
  <r>
    <n v="4084"/>
    <d v="2016-02-10T13:52:01"/>
    <d v="2016-02-10T14:07:00"/>
    <x v="2"/>
    <m/>
    <m/>
    <x v="0"/>
    <n v="70805"/>
    <n v="0"/>
    <d v="2016-02-10T14:10:00"/>
    <n v="11.59"/>
    <x v="63"/>
    <n v="1"/>
    <n v="1.7"/>
    <n v="0"/>
    <n v="0"/>
    <n v="1.7"/>
    <x v="0"/>
    <x v="0"/>
    <x v="0"/>
    <x v="0"/>
    <n v="10"/>
    <e v="#N/A"/>
    <e v="#N/A"/>
  </r>
  <r>
    <n v="4085"/>
    <d v="2016-02-10T12:56:36"/>
    <d v="2016-02-10T13:11:35"/>
    <x v="2"/>
    <m/>
    <m/>
    <x v="0"/>
    <n v="70805"/>
    <n v="0"/>
    <d v="2016-02-10T13:14:34"/>
    <n v="11.59"/>
    <x v="24"/>
    <n v="1"/>
    <n v="1.7"/>
    <n v="0"/>
    <n v="0"/>
    <n v="1.7"/>
    <x v="0"/>
    <x v="0"/>
    <x v="0"/>
    <x v="0"/>
    <n v="10"/>
    <e v="#N/A"/>
    <e v="#N/A"/>
  </r>
  <r>
    <n v="4086"/>
    <d v="2016-02-10T12:16:39"/>
    <d v="2016-02-10T12:31:38"/>
    <x v="2"/>
    <m/>
    <m/>
    <x v="0"/>
    <n v="70803"/>
    <n v="0"/>
    <d v="2016-02-10T12:34:39"/>
    <n v="11.59"/>
    <x v="14"/>
    <n v="1"/>
    <n v="1.7"/>
    <n v="0"/>
    <n v="0"/>
    <n v="1.7"/>
    <x v="0"/>
    <x v="0"/>
    <x v="0"/>
    <x v="0"/>
    <n v="10"/>
    <e v="#N/A"/>
    <e v="#N/A"/>
  </r>
  <r>
    <n v="4087"/>
    <d v="2016-02-10T14:33:01"/>
    <d v="2016-02-10T14:48:01"/>
    <x v="0"/>
    <s v="Large"/>
    <m/>
    <x v="0"/>
    <n v="70805"/>
    <n v="0"/>
    <d v="2016-02-10T14:51:01"/>
    <n v="23.34"/>
    <x v="2"/>
    <n v="2"/>
    <n v="1"/>
    <n v="2.2999999999999998"/>
    <n v="0"/>
    <n v="3.3"/>
    <x v="0"/>
    <x v="0"/>
    <x v="0"/>
    <x v="0"/>
    <n v="7"/>
    <n v="14"/>
    <e v="#N/A"/>
  </r>
  <r>
    <n v="4088"/>
    <d v="2016-02-10T11:17:12"/>
    <d v="2016-02-10T11:32:12"/>
    <x v="0"/>
    <s v="Medium"/>
    <m/>
    <x v="1"/>
    <n v="70806"/>
    <n v="4.6783971351232303"/>
    <d v="2016-02-10T11:55:35"/>
    <n v="19.579999999999998"/>
    <x v="1297"/>
    <n v="2"/>
    <n v="1"/>
    <n v="1.7"/>
    <n v="0"/>
    <n v="2.7"/>
    <x v="1285"/>
    <x v="1"/>
    <x v="2067"/>
    <x v="0"/>
    <n v="7"/>
    <n v="10"/>
    <e v="#N/A"/>
  </r>
  <r>
    <n v="4089"/>
    <d v="2016-02-10T12:37:40"/>
    <d v="2016-02-10T12:52:40"/>
    <x v="2"/>
    <m/>
    <m/>
    <x v="0"/>
    <n v="70803"/>
    <n v="0"/>
    <d v="2016-02-10T12:55:41"/>
    <n v="11.59"/>
    <x v="14"/>
    <n v="1"/>
    <n v="1.7"/>
    <n v="0"/>
    <n v="0"/>
    <n v="1.7"/>
    <x v="0"/>
    <x v="0"/>
    <x v="0"/>
    <x v="0"/>
    <n v="10"/>
    <e v="#N/A"/>
    <e v="#N/A"/>
  </r>
  <r>
    <n v="4090"/>
    <d v="2016-02-10T10:41:44"/>
    <d v="2016-02-10T10:56:43"/>
    <x v="2"/>
    <m/>
    <m/>
    <x v="0"/>
    <n v="70806"/>
    <n v="0"/>
    <d v="2016-02-10T10:59:40"/>
    <n v="11.59"/>
    <x v="102"/>
    <n v="1"/>
    <n v="1.7"/>
    <n v="0"/>
    <n v="0"/>
    <n v="1.7"/>
    <x v="0"/>
    <x v="0"/>
    <x v="0"/>
    <x v="0"/>
    <n v="10"/>
    <e v="#N/A"/>
    <e v="#N/A"/>
  </r>
  <r>
    <n v="4091"/>
    <d v="2016-02-10T12:38:35"/>
    <d v="2016-02-10T12:53:35"/>
    <x v="1"/>
    <m/>
    <m/>
    <x v="0"/>
    <n v="70806"/>
    <n v="0"/>
    <d v="2016-02-10T12:56:34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4092"/>
    <d v="2016-02-10T13:31:04"/>
    <d v="2016-02-10T13:46:04"/>
    <x v="2"/>
    <m/>
    <m/>
    <x v="0"/>
    <n v="70803"/>
    <n v="0"/>
    <d v="2016-02-10T13:49:04"/>
    <n v="11.59"/>
    <x v="2"/>
    <n v="1"/>
    <n v="1.7"/>
    <n v="0"/>
    <n v="0"/>
    <n v="1.7"/>
    <x v="0"/>
    <x v="0"/>
    <x v="0"/>
    <x v="0"/>
    <n v="10"/>
    <e v="#N/A"/>
    <e v="#N/A"/>
  </r>
  <r>
    <n v="4093"/>
    <d v="2016-02-10T11:21:31"/>
    <d v="2016-02-10T11:36:28"/>
    <x v="0"/>
    <s v="Medium"/>
    <m/>
    <x v="0"/>
    <n v="70804"/>
    <n v="0"/>
    <d v="2016-02-10T11:39:28"/>
    <n v="19.579999999999998"/>
    <x v="2"/>
    <n v="2"/>
    <n v="1"/>
    <n v="1.7"/>
    <n v="0"/>
    <n v="2.7"/>
    <x v="0"/>
    <x v="0"/>
    <x v="0"/>
    <x v="0"/>
    <n v="7"/>
    <n v="10"/>
    <e v="#N/A"/>
  </r>
  <r>
    <n v="4094"/>
    <d v="2016-02-10T12:47:18"/>
    <d v="2016-02-10T13:02:18"/>
    <x v="0"/>
    <m/>
    <m/>
    <x v="1"/>
    <n v="70804"/>
    <n v="1.14113272637744"/>
    <d v="2016-02-10T13:08:00"/>
    <n v="7.99"/>
    <x v="1066"/>
    <n v="1"/>
    <n v="1"/>
    <n v="0"/>
    <n v="0"/>
    <n v="1"/>
    <x v="1053"/>
    <x v="0"/>
    <x v="2068"/>
    <x v="1180"/>
    <n v="7"/>
    <e v="#N/A"/>
    <e v="#N/A"/>
  </r>
  <r>
    <n v="4095"/>
    <d v="2016-02-10T10:38:11"/>
    <d v="2016-02-10T10:53:09"/>
    <x v="2"/>
    <m/>
    <m/>
    <x v="0"/>
    <n v="70805"/>
    <n v="0"/>
    <d v="2016-02-10T10:56:10"/>
    <n v="11.59"/>
    <x v="14"/>
    <n v="1"/>
    <n v="1.7"/>
    <n v="0"/>
    <n v="0"/>
    <n v="1.7"/>
    <x v="0"/>
    <x v="0"/>
    <x v="0"/>
    <x v="0"/>
    <n v="10"/>
    <e v="#N/A"/>
    <e v="#N/A"/>
  </r>
  <r>
    <n v="4096"/>
    <d v="2016-02-10T10:31:28"/>
    <d v="2016-02-10T10:46:30"/>
    <x v="0"/>
    <s v="Medium"/>
    <m/>
    <x v="1"/>
    <n v="70803"/>
    <n v="2.9226506732261002"/>
    <d v="2016-02-10T11:01:06"/>
    <n v="19.579999999999998"/>
    <x v="326"/>
    <n v="2"/>
    <n v="1"/>
    <n v="1.7"/>
    <n v="0"/>
    <n v="2.7"/>
    <x v="313"/>
    <x v="0"/>
    <x v="2069"/>
    <x v="1181"/>
    <n v="7"/>
    <n v="10"/>
    <e v="#N/A"/>
  </r>
  <r>
    <n v="4097"/>
    <d v="2016-02-10T11:42:40"/>
    <d v="2016-02-10T11:57:39"/>
    <x v="1"/>
    <m/>
    <m/>
    <x v="1"/>
    <n v="70805"/>
    <n v="4.0394723156503201"/>
    <d v="2016-02-10T12:17:50"/>
    <n v="15.35"/>
    <x v="134"/>
    <n v="1"/>
    <n v="2.2999999999999998"/>
    <n v="0"/>
    <n v="0"/>
    <n v="2.2999999999999998"/>
    <x v="124"/>
    <x v="1"/>
    <x v="2070"/>
    <x v="0"/>
    <n v="14"/>
    <e v="#N/A"/>
    <e v="#N/A"/>
  </r>
  <r>
    <n v="4098"/>
    <d v="2016-02-10T12:14:26"/>
    <d v="2016-02-10T12:29:26"/>
    <x v="0"/>
    <s v="Medium"/>
    <m/>
    <x v="0"/>
    <n v="70803"/>
    <n v="0"/>
    <d v="2016-02-10T12:32:24"/>
    <n v="19.579999999999998"/>
    <x v="0"/>
    <n v="2"/>
    <n v="1"/>
    <n v="1.7"/>
    <n v="0"/>
    <n v="2.7"/>
    <x v="0"/>
    <x v="0"/>
    <x v="0"/>
    <x v="0"/>
    <n v="7"/>
    <n v="10"/>
    <e v="#N/A"/>
  </r>
  <r>
    <n v="4099"/>
    <d v="2016-02-10T11:18:25"/>
    <d v="2016-02-10T11:33:24"/>
    <x v="2"/>
    <m/>
    <m/>
    <x v="1"/>
    <n v="70805"/>
    <n v="1.7719992385401799"/>
    <d v="2016-02-10T11:42:15"/>
    <n v="11.59"/>
    <x v="1298"/>
    <n v="1"/>
    <n v="1.7"/>
    <n v="0"/>
    <n v="0"/>
    <n v="1.7"/>
    <x v="1286"/>
    <x v="0"/>
    <x v="2071"/>
    <x v="1182"/>
    <n v="10"/>
    <e v="#N/A"/>
    <e v="#N/A"/>
  </r>
  <r>
    <n v="4100"/>
    <d v="2016-02-10T11:52:26"/>
    <d v="2016-02-10T12:07:26"/>
    <x v="0"/>
    <s v="Large"/>
    <m/>
    <x v="0"/>
    <n v="70805"/>
    <n v="0"/>
    <d v="2016-02-10T12:10:26"/>
    <n v="23.34"/>
    <x v="2"/>
    <n v="2"/>
    <n v="1"/>
    <n v="2.2999999999999998"/>
    <n v="0"/>
    <n v="3.3"/>
    <x v="0"/>
    <x v="0"/>
    <x v="0"/>
    <x v="0"/>
    <n v="7"/>
    <n v="14"/>
    <e v="#N/A"/>
  </r>
  <r>
    <n v="4101"/>
    <d v="2016-02-10T13:14:30"/>
    <d v="2016-02-10T13:29:30"/>
    <x v="1"/>
    <m/>
    <m/>
    <x v="0"/>
    <n v="70805"/>
    <n v="0"/>
    <d v="2016-02-10T13:32:28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4102"/>
    <d v="2016-02-10T12:46:54"/>
    <d v="2016-02-10T13:01:56"/>
    <x v="0"/>
    <s v="Medium"/>
    <m/>
    <x v="0"/>
    <n v="70806"/>
    <n v="0"/>
    <d v="2016-02-10T13:04:54"/>
    <n v="19.579999999999998"/>
    <x v="0"/>
    <n v="2"/>
    <n v="1"/>
    <n v="1.7"/>
    <n v="0"/>
    <n v="2.7"/>
    <x v="0"/>
    <x v="0"/>
    <x v="0"/>
    <x v="0"/>
    <n v="7"/>
    <n v="10"/>
    <e v="#N/A"/>
  </r>
  <r>
    <n v="4103"/>
    <d v="2016-02-10T11:09:50"/>
    <d v="2016-02-10T11:24:52"/>
    <x v="1"/>
    <m/>
    <m/>
    <x v="1"/>
    <n v="70806"/>
    <n v="2.7146703105557801"/>
    <d v="2016-02-10T11:38:26"/>
    <n v="15.35"/>
    <x v="761"/>
    <n v="1"/>
    <n v="2.2999999999999998"/>
    <n v="0"/>
    <n v="0"/>
    <n v="2.2999999999999998"/>
    <x v="748"/>
    <x v="0"/>
    <x v="2072"/>
    <x v="1183"/>
    <n v="14"/>
    <e v="#N/A"/>
    <e v="#N/A"/>
  </r>
  <r>
    <n v="4104"/>
    <d v="2016-02-10T12:10:11"/>
    <d v="2016-02-10T12:25:11"/>
    <x v="0"/>
    <s v="Medium"/>
    <m/>
    <x v="1"/>
    <n v="70806"/>
    <n v="2.8602558197942201"/>
    <d v="2016-02-10T12:39:29"/>
    <n v="19.579999999999998"/>
    <x v="289"/>
    <n v="2"/>
    <n v="1"/>
    <n v="1.7"/>
    <n v="0"/>
    <n v="2.7"/>
    <x v="276"/>
    <x v="0"/>
    <x v="2073"/>
    <x v="1184"/>
    <n v="7"/>
    <n v="10"/>
    <e v="#N/A"/>
  </r>
  <r>
    <n v="4105"/>
    <d v="2016-02-10T12:52:03"/>
    <d v="2016-02-10T13:07:01"/>
    <x v="1"/>
    <m/>
    <m/>
    <x v="1"/>
    <n v="70804"/>
    <n v="3.1919239994829698"/>
    <d v="2016-02-10T13:22:58"/>
    <n v="15.35"/>
    <x v="257"/>
    <n v="1"/>
    <n v="2.2999999999999998"/>
    <n v="0"/>
    <n v="0"/>
    <n v="2.2999999999999998"/>
    <x v="244"/>
    <x v="0"/>
    <x v="2074"/>
    <x v="1185"/>
    <n v="14"/>
    <e v="#N/A"/>
    <e v="#N/A"/>
  </r>
  <r>
    <n v="4106"/>
    <d v="2016-02-10T12:26:10"/>
    <d v="2016-02-10T12:41:11"/>
    <x v="0"/>
    <s v="Medium"/>
    <m/>
    <x v="1"/>
    <n v="70808"/>
    <n v="1.44985601922095"/>
    <d v="2016-02-10T12:48:25"/>
    <n v="19.579999999999998"/>
    <x v="111"/>
    <n v="2"/>
    <n v="1"/>
    <n v="1.7"/>
    <n v="0"/>
    <n v="2.7"/>
    <x v="101"/>
    <x v="0"/>
    <x v="2075"/>
    <x v="1186"/>
    <n v="7"/>
    <n v="10"/>
    <e v="#N/A"/>
  </r>
  <r>
    <n v="4107"/>
    <d v="2016-02-10T12:28:24"/>
    <d v="2016-02-10T12:43:24"/>
    <x v="0"/>
    <s v="Medium"/>
    <m/>
    <x v="1"/>
    <n v="70803"/>
    <n v="2.0007141876051802"/>
    <d v="2016-02-10T12:53:24"/>
    <n v="19.579999999999998"/>
    <x v="852"/>
    <n v="2"/>
    <n v="1"/>
    <n v="1.7"/>
    <n v="0"/>
    <n v="2.7"/>
    <x v="839"/>
    <x v="0"/>
    <x v="2076"/>
    <x v="1187"/>
    <n v="7"/>
    <n v="10"/>
    <e v="#N/A"/>
  </r>
  <r>
    <n v="4108"/>
    <d v="2016-02-10T10:59:25"/>
    <d v="2016-02-10T11:14:24"/>
    <x v="0"/>
    <m/>
    <m/>
    <x v="0"/>
    <n v="70803"/>
    <n v="0"/>
    <d v="2016-02-10T11:17:24"/>
    <n v="7.99"/>
    <x v="2"/>
    <n v="1"/>
    <n v="1"/>
    <n v="0"/>
    <n v="0"/>
    <n v="1"/>
    <x v="0"/>
    <x v="0"/>
    <x v="0"/>
    <x v="0"/>
    <n v="7"/>
    <e v="#N/A"/>
    <e v="#N/A"/>
  </r>
  <r>
    <n v="4109"/>
    <d v="2016-02-10T14:15:33"/>
    <d v="2016-02-10T14:30:32"/>
    <x v="1"/>
    <m/>
    <m/>
    <x v="1"/>
    <n v="70807"/>
    <n v="3.12680891439715"/>
    <d v="2016-02-10T14:46:10"/>
    <n v="15.35"/>
    <x v="1299"/>
    <n v="1"/>
    <n v="2.2999999999999998"/>
    <n v="0"/>
    <n v="0"/>
    <n v="2.2999999999999998"/>
    <x v="1287"/>
    <x v="0"/>
    <x v="2077"/>
    <x v="1188"/>
    <n v="14"/>
    <e v="#N/A"/>
    <e v="#N/A"/>
  </r>
  <r>
    <n v="4110"/>
    <d v="2016-02-10T11:18:01"/>
    <d v="2016-02-10T11:33:00"/>
    <x v="0"/>
    <m/>
    <m/>
    <x v="0"/>
    <n v="70804"/>
    <n v="0"/>
    <d v="2016-02-10T11:35:58"/>
    <n v="7.99"/>
    <x v="0"/>
    <n v="1"/>
    <n v="1"/>
    <n v="0"/>
    <n v="0"/>
    <n v="1"/>
    <x v="0"/>
    <x v="0"/>
    <x v="0"/>
    <x v="0"/>
    <n v="7"/>
    <e v="#N/A"/>
    <e v="#N/A"/>
  </r>
  <r>
    <n v="4111"/>
    <d v="2016-02-10T10:45:15"/>
    <d v="2016-02-10T11:00:13"/>
    <x v="0"/>
    <s v="Medium"/>
    <m/>
    <x v="1"/>
    <n v="70804"/>
    <n v="2.8843048618876801"/>
    <d v="2016-02-10T11:14:38"/>
    <n v="19.579999999999998"/>
    <x v="1300"/>
    <n v="2"/>
    <n v="1"/>
    <n v="1.7"/>
    <n v="0"/>
    <n v="2.7"/>
    <x v="1288"/>
    <x v="0"/>
    <x v="2078"/>
    <x v="1189"/>
    <n v="7"/>
    <n v="10"/>
    <e v="#N/A"/>
  </r>
  <r>
    <n v="4112"/>
    <d v="2016-02-10T11:30:58"/>
    <d v="2016-02-10T11:45:57"/>
    <x v="2"/>
    <m/>
    <m/>
    <x v="0"/>
    <n v="70804"/>
    <n v="0"/>
    <d v="2016-02-10T11:48:55"/>
    <n v="11.59"/>
    <x v="0"/>
    <n v="1"/>
    <n v="1.7"/>
    <n v="0"/>
    <n v="0"/>
    <n v="1.7"/>
    <x v="0"/>
    <x v="0"/>
    <x v="0"/>
    <x v="0"/>
    <n v="10"/>
    <e v="#N/A"/>
    <e v="#N/A"/>
  </r>
  <r>
    <n v="4113"/>
    <d v="2016-02-10T11:15:37"/>
    <d v="2016-02-10T11:30:36"/>
    <x v="2"/>
    <m/>
    <m/>
    <x v="1"/>
    <n v="70804"/>
    <n v="3.3669429633679102"/>
    <d v="2016-02-10T11:47:26"/>
    <n v="11.59"/>
    <x v="1301"/>
    <n v="1"/>
    <n v="1.7"/>
    <n v="0"/>
    <n v="0"/>
    <n v="1.7"/>
    <x v="1289"/>
    <x v="1"/>
    <x v="2079"/>
    <x v="0"/>
    <n v="10"/>
    <e v="#N/A"/>
    <e v="#N/A"/>
  </r>
  <r>
    <n v="4114"/>
    <d v="2016-02-10T12:19:10"/>
    <d v="2016-02-10T12:34:08"/>
    <x v="1"/>
    <m/>
    <m/>
    <x v="1"/>
    <n v="70805"/>
    <n v="5.8276638071565996"/>
    <d v="2016-02-10T13:03:16"/>
    <n v="15.35"/>
    <x v="1302"/>
    <n v="1"/>
    <n v="2.2999999999999998"/>
    <n v="0"/>
    <n v="0"/>
    <n v="2.2999999999999998"/>
    <x v="1290"/>
    <x v="1"/>
    <x v="2080"/>
    <x v="0"/>
    <n v="14"/>
    <e v="#N/A"/>
    <e v="#N/A"/>
  </r>
  <r>
    <n v="4115"/>
    <d v="2016-02-10T12:19:50"/>
    <d v="2016-02-10T12:34:48"/>
    <x v="1"/>
    <m/>
    <m/>
    <x v="0"/>
    <n v="70805"/>
    <n v="0"/>
    <d v="2016-02-10T12:37:47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4116"/>
    <d v="2016-02-10T11:26:42"/>
    <d v="2016-02-10T11:41:43"/>
    <x v="1"/>
    <m/>
    <m/>
    <x v="0"/>
    <n v="70805"/>
    <n v="0"/>
    <d v="2016-02-10T11:44:43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4117"/>
    <d v="2016-02-10T11:41:28"/>
    <d v="2016-02-10T11:56:26"/>
    <x v="1"/>
    <m/>
    <m/>
    <x v="0"/>
    <n v="70807"/>
    <n v="0"/>
    <d v="2016-02-10T11:59:26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4118"/>
    <d v="2016-02-10T11:11:42"/>
    <d v="2016-02-10T11:26:40"/>
    <x v="0"/>
    <s v="Large"/>
    <m/>
    <x v="1"/>
    <n v="70806"/>
    <n v="4.12088352821565"/>
    <d v="2016-02-10T11:47:16"/>
    <n v="23.34"/>
    <x v="858"/>
    <n v="2"/>
    <n v="1"/>
    <n v="2.2999999999999998"/>
    <n v="0"/>
    <n v="3.3"/>
    <x v="845"/>
    <x v="1"/>
    <x v="2081"/>
    <x v="0"/>
    <n v="7"/>
    <n v="14"/>
    <e v="#N/A"/>
  </r>
  <r>
    <n v="4119"/>
    <d v="2016-02-10T11:18:22"/>
    <d v="2016-02-10T11:33:23"/>
    <x v="2"/>
    <m/>
    <m/>
    <x v="0"/>
    <n v="70805"/>
    <n v="0"/>
    <d v="2016-02-10T11:36:25"/>
    <n v="11.59"/>
    <x v="67"/>
    <n v="1"/>
    <n v="1.7"/>
    <n v="0"/>
    <n v="0"/>
    <n v="1.7"/>
    <x v="0"/>
    <x v="0"/>
    <x v="0"/>
    <x v="0"/>
    <n v="10"/>
    <e v="#N/A"/>
    <e v="#N/A"/>
  </r>
  <r>
    <n v="4120"/>
    <d v="2016-02-10T12:33:45"/>
    <d v="2016-02-10T12:48:44"/>
    <x v="0"/>
    <s v="Medium"/>
    <m/>
    <x v="0"/>
    <n v="70804"/>
    <n v="0"/>
    <d v="2016-02-10T12:51:43"/>
    <n v="19.579999999999998"/>
    <x v="24"/>
    <n v="2"/>
    <n v="1"/>
    <n v="1.7"/>
    <n v="0"/>
    <n v="2.7"/>
    <x v="0"/>
    <x v="0"/>
    <x v="0"/>
    <x v="0"/>
    <n v="7"/>
    <n v="10"/>
    <e v="#N/A"/>
  </r>
  <r>
    <n v="4121"/>
    <d v="2016-02-10T11:59:24"/>
    <d v="2016-02-10T12:14:23"/>
    <x v="0"/>
    <m/>
    <m/>
    <x v="1"/>
    <n v="70803"/>
    <n v="5.09488790248865"/>
    <d v="2016-02-10T12:39:51"/>
    <n v="7.99"/>
    <x v="1303"/>
    <n v="1"/>
    <n v="1"/>
    <n v="0"/>
    <n v="0"/>
    <n v="1"/>
    <x v="1291"/>
    <x v="1"/>
    <x v="2082"/>
    <x v="0"/>
    <n v="7"/>
    <e v="#N/A"/>
    <e v="#N/A"/>
  </r>
  <r>
    <n v="4122"/>
    <d v="2016-02-10T10:33:41"/>
    <d v="2016-02-10T10:48:40"/>
    <x v="2"/>
    <m/>
    <m/>
    <x v="1"/>
    <n v="70805"/>
    <n v="3.13196995937711"/>
    <d v="2016-02-10T11:04:19"/>
    <n v="11.59"/>
    <x v="1304"/>
    <n v="1"/>
    <n v="1.7"/>
    <n v="0"/>
    <n v="0"/>
    <n v="1.7"/>
    <x v="1292"/>
    <x v="0"/>
    <x v="2083"/>
    <x v="1190"/>
    <n v="10"/>
    <e v="#N/A"/>
    <e v="#N/A"/>
  </r>
  <r>
    <n v="4123"/>
    <d v="2016-02-10T11:55:16"/>
    <d v="2016-02-10T12:10:18"/>
    <x v="1"/>
    <m/>
    <m/>
    <x v="0"/>
    <n v="70804"/>
    <n v="0"/>
    <d v="2016-02-10T12:13:16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4124"/>
    <d v="2016-02-10T11:45:20"/>
    <d v="2016-02-10T12:00:20"/>
    <x v="2"/>
    <m/>
    <m/>
    <x v="0"/>
    <n v="70804"/>
    <n v="0"/>
    <d v="2016-02-10T12:03:20"/>
    <n v="11.59"/>
    <x v="2"/>
    <n v="1"/>
    <n v="1.7"/>
    <n v="0"/>
    <n v="0"/>
    <n v="1.7"/>
    <x v="0"/>
    <x v="0"/>
    <x v="0"/>
    <x v="0"/>
    <n v="10"/>
    <e v="#N/A"/>
    <e v="#N/A"/>
  </r>
  <r>
    <n v="4125"/>
    <d v="2016-02-10T12:43:33"/>
    <d v="2016-02-10T12:58:33"/>
    <x v="2"/>
    <m/>
    <m/>
    <x v="1"/>
    <n v="70805"/>
    <n v="2.1451659271098"/>
    <d v="2016-02-10T13:09:16"/>
    <n v="11.59"/>
    <x v="341"/>
    <n v="1"/>
    <n v="1.7"/>
    <n v="0"/>
    <n v="0"/>
    <n v="1.7"/>
    <x v="328"/>
    <x v="0"/>
    <x v="2084"/>
    <x v="1191"/>
    <n v="10"/>
    <e v="#N/A"/>
    <e v="#N/A"/>
  </r>
  <r>
    <n v="4126"/>
    <d v="2016-02-10T12:50:21"/>
    <d v="2016-02-10T13:05:20"/>
    <x v="0"/>
    <m/>
    <m/>
    <x v="1"/>
    <n v="70803"/>
    <n v="1.91568515449087"/>
    <d v="2016-02-10T13:14:54"/>
    <n v="7.99"/>
    <x v="409"/>
    <n v="1"/>
    <n v="1"/>
    <n v="0"/>
    <n v="0"/>
    <n v="1"/>
    <x v="396"/>
    <x v="0"/>
    <x v="2085"/>
    <x v="1192"/>
    <n v="7"/>
    <e v="#N/A"/>
    <e v="#N/A"/>
  </r>
  <r>
    <n v="4127"/>
    <d v="2016-02-10T12:30:29"/>
    <d v="2016-02-10T12:45:27"/>
    <x v="2"/>
    <s v="Large"/>
    <m/>
    <x v="1"/>
    <n v="70806"/>
    <n v="3.6553861981858402"/>
    <d v="2016-02-10T13:03:43"/>
    <n v="25.94"/>
    <x v="1305"/>
    <n v="2"/>
    <n v="1.7"/>
    <n v="2.2999999999999998"/>
    <n v="0"/>
    <n v="4"/>
    <x v="1293"/>
    <x v="1"/>
    <x v="2086"/>
    <x v="0"/>
    <n v="10"/>
    <n v="14"/>
    <e v="#N/A"/>
  </r>
  <r>
    <n v="4128"/>
    <d v="2016-02-10T12:51:16"/>
    <d v="2016-02-10T13:06:17"/>
    <x v="2"/>
    <m/>
    <m/>
    <x v="1"/>
    <n v="70804"/>
    <n v="0.76695120994659405"/>
    <d v="2016-02-10T13:10:07"/>
    <n v="11.59"/>
    <x v="1306"/>
    <n v="1"/>
    <n v="1.7"/>
    <n v="0"/>
    <n v="0"/>
    <n v="1.7"/>
    <x v="1294"/>
    <x v="0"/>
    <x v="2087"/>
    <x v="1193"/>
    <n v="10"/>
    <e v="#N/A"/>
    <e v="#N/A"/>
  </r>
  <r>
    <n v="4129"/>
    <d v="2016-02-10T13:47:31"/>
    <d v="2016-02-10T14:02:30"/>
    <x v="2"/>
    <m/>
    <m/>
    <x v="1"/>
    <n v="70805"/>
    <n v="3.3112677940638502"/>
    <d v="2016-02-10T14:19:03"/>
    <n v="11.59"/>
    <x v="487"/>
    <n v="1"/>
    <n v="1.7"/>
    <n v="0"/>
    <n v="0"/>
    <n v="1.7"/>
    <x v="474"/>
    <x v="1"/>
    <x v="2088"/>
    <x v="0"/>
    <n v="10"/>
    <e v="#N/A"/>
    <e v="#N/A"/>
  </r>
  <r>
    <n v="4130"/>
    <d v="2016-02-10T13:29:14"/>
    <d v="2016-02-10T13:44:12"/>
    <x v="0"/>
    <m/>
    <m/>
    <x v="0"/>
    <n v="70805"/>
    <n v="0"/>
    <d v="2016-02-10T13:47:11"/>
    <n v="7.99"/>
    <x v="1"/>
    <n v="1"/>
    <n v="1"/>
    <n v="0"/>
    <n v="0"/>
    <n v="1"/>
    <x v="0"/>
    <x v="0"/>
    <x v="0"/>
    <x v="0"/>
    <n v="7"/>
    <e v="#N/A"/>
    <e v="#N/A"/>
  </r>
  <r>
    <n v="4131"/>
    <d v="2016-02-10T10:23:28"/>
    <d v="2016-02-10T10:38:28"/>
    <x v="1"/>
    <m/>
    <m/>
    <x v="0"/>
    <n v="70805"/>
    <n v="0"/>
    <d v="2016-02-10T10:41:29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4132"/>
    <d v="2016-02-10T11:51:43"/>
    <d v="2016-02-10T12:06:42"/>
    <x v="0"/>
    <s v="Large"/>
    <m/>
    <x v="1"/>
    <n v="70804"/>
    <n v="4.4585965768795202"/>
    <d v="2016-02-10T12:28:59"/>
    <n v="23.34"/>
    <x v="232"/>
    <n v="2"/>
    <n v="1"/>
    <n v="2.2999999999999998"/>
    <n v="0"/>
    <n v="3.3"/>
    <x v="219"/>
    <x v="1"/>
    <x v="2089"/>
    <x v="0"/>
    <n v="7"/>
    <n v="14"/>
    <e v="#N/A"/>
  </r>
  <r>
    <n v="4133"/>
    <d v="2016-02-10T12:47:46"/>
    <d v="2016-02-10T13:02:44"/>
    <x v="0"/>
    <s v="Large"/>
    <m/>
    <x v="1"/>
    <n v="70805"/>
    <n v="2.9382484212069699"/>
    <d v="2016-02-10T13:17:25"/>
    <n v="23.34"/>
    <x v="1307"/>
    <n v="2"/>
    <n v="1"/>
    <n v="2.2999999999999998"/>
    <n v="0"/>
    <n v="3.3"/>
    <x v="1295"/>
    <x v="0"/>
    <x v="2090"/>
    <x v="1194"/>
    <n v="7"/>
    <n v="14"/>
    <e v="#N/A"/>
  </r>
  <r>
    <n v="4134"/>
    <d v="2016-02-11T13:42:52"/>
    <d v="2016-02-11T13:57:52"/>
    <x v="2"/>
    <m/>
    <m/>
    <x v="0"/>
    <n v="70805"/>
    <n v="0"/>
    <d v="2016-02-11T14:00:53"/>
    <n v="11.59"/>
    <x v="14"/>
    <n v="1"/>
    <n v="1.7"/>
    <n v="0"/>
    <n v="0"/>
    <n v="1.7"/>
    <x v="0"/>
    <x v="0"/>
    <x v="0"/>
    <x v="0"/>
    <n v="10"/>
    <e v="#N/A"/>
    <e v="#N/A"/>
  </r>
  <r>
    <n v="4135"/>
    <d v="2016-02-11T10:00:48"/>
    <d v="2016-02-11T10:15:48"/>
    <x v="1"/>
    <m/>
    <m/>
    <x v="1"/>
    <n v="70804"/>
    <n v="3.5648260235508098"/>
    <d v="2016-02-11T10:33:37"/>
    <n v="15.35"/>
    <x v="1308"/>
    <n v="1"/>
    <n v="2.2999999999999998"/>
    <n v="0"/>
    <n v="0"/>
    <n v="2.2999999999999998"/>
    <x v="1296"/>
    <x v="1"/>
    <x v="2091"/>
    <x v="0"/>
    <n v="14"/>
    <e v="#N/A"/>
    <e v="#N/A"/>
  </r>
  <r>
    <n v="4136"/>
    <d v="2016-02-11T10:10:45"/>
    <d v="2016-02-11T10:25:45"/>
    <x v="0"/>
    <s v="Large"/>
    <m/>
    <x v="0"/>
    <n v="70805"/>
    <n v="0"/>
    <d v="2016-02-11T10:28:44"/>
    <n v="23.34"/>
    <x v="24"/>
    <n v="2"/>
    <n v="1"/>
    <n v="2.2999999999999998"/>
    <n v="0"/>
    <n v="3.3"/>
    <x v="0"/>
    <x v="0"/>
    <x v="0"/>
    <x v="0"/>
    <n v="7"/>
    <n v="14"/>
    <e v="#N/A"/>
  </r>
  <r>
    <n v="4137"/>
    <d v="2016-02-11T11:55:44"/>
    <d v="2016-02-11T12:10:43"/>
    <x v="0"/>
    <m/>
    <m/>
    <x v="0"/>
    <n v="70805"/>
    <n v="0"/>
    <d v="2016-02-11T12:13:42"/>
    <n v="7.99"/>
    <x v="24"/>
    <n v="1"/>
    <n v="1"/>
    <n v="0"/>
    <n v="0"/>
    <n v="1"/>
    <x v="0"/>
    <x v="0"/>
    <x v="0"/>
    <x v="0"/>
    <n v="7"/>
    <e v="#N/A"/>
    <e v="#N/A"/>
  </r>
  <r>
    <n v="4138"/>
    <d v="2016-02-11T12:48:56"/>
    <d v="2016-02-11T13:03:56"/>
    <x v="1"/>
    <m/>
    <m/>
    <x v="0"/>
    <n v="70805"/>
    <n v="0"/>
    <d v="2016-02-11T13:06:56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4139"/>
    <d v="2016-02-11T10:16:43"/>
    <d v="2016-02-11T10:31:42"/>
    <x v="0"/>
    <m/>
    <m/>
    <x v="1"/>
    <n v="70804"/>
    <n v="0.80154196078159701"/>
    <d v="2016-02-11T10:35:42"/>
    <n v="7.99"/>
    <x v="1309"/>
    <n v="1"/>
    <n v="1"/>
    <n v="0"/>
    <n v="0"/>
    <n v="1"/>
    <x v="1297"/>
    <x v="0"/>
    <x v="2092"/>
    <x v="1195"/>
    <n v="7"/>
    <e v="#N/A"/>
    <e v="#N/A"/>
  </r>
  <r>
    <n v="4140"/>
    <d v="2016-02-11T10:36:44"/>
    <d v="2016-02-11T10:51:43"/>
    <x v="0"/>
    <s v="Medium"/>
    <m/>
    <x v="0"/>
    <n v="70806"/>
    <n v="0"/>
    <d v="2016-02-11T10:54:41"/>
    <n v="19.579999999999998"/>
    <x v="0"/>
    <n v="2"/>
    <n v="1"/>
    <n v="1.7"/>
    <n v="0"/>
    <n v="2.7"/>
    <x v="0"/>
    <x v="0"/>
    <x v="0"/>
    <x v="0"/>
    <n v="7"/>
    <n v="10"/>
    <e v="#N/A"/>
  </r>
  <r>
    <n v="4141"/>
    <d v="2016-02-11T13:44:12"/>
    <d v="2016-02-11T13:59:11"/>
    <x v="2"/>
    <m/>
    <m/>
    <x v="1"/>
    <n v="70804"/>
    <n v="2.4444086308278301"/>
    <d v="2016-02-11T14:11:24"/>
    <n v="11.59"/>
    <x v="1280"/>
    <n v="1"/>
    <n v="1.7"/>
    <n v="0"/>
    <n v="0"/>
    <n v="1.7"/>
    <x v="1268"/>
    <x v="0"/>
    <x v="2093"/>
    <x v="1196"/>
    <n v="10"/>
    <e v="#N/A"/>
    <e v="#N/A"/>
  </r>
  <r>
    <n v="4142"/>
    <d v="2016-02-11T11:49:19"/>
    <d v="2016-02-11T12:04:20"/>
    <x v="0"/>
    <m/>
    <m/>
    <x v="0"/>
    <n v="70807"/>
    <n v="0"/>
    <d v="2016-02-11T12:07:19"/>
    <n v="7.99"/>
    <x v="1"/>
    <n v="1"/>
    <n v="1"/>
    <n v="0"/>
    <n v="0"/>
    <n v="1"/>
    <x v="0"/>
    <x v="0"/>
    <x v="0"/>
    <x v="0"/>
    <n v="7"/>
    <e v="#N/A"/>
    <e v="#N/A"/>
  </r>
  <r>
    <n v="4143"/>
    <d v="2016-02-11T10:25:09"/>
    <d v="2016-02-11T10:40:08"/>
    <x v="0"/>
    <s v="Medium"/>
    <m/>
    <x v="1"/>
    <n v="70805"/>
    <n v="2.9232753021415099"/>
    <d v="2016-02-11T10:54:44"/>
    <n v="19.579999999999998"/>
    <x v="326"/>
    <n v="2"/>
    <n v="1"/>
    <n v="1.7"/>
    <n v="0"/>
    <n v="2.7"/>
    <x v="313"/>
    <x v="0"/>
    <x v="2094"/>
    <x v="1197"/>
    <n v="7"/>
    <n v="10"/>
    <e v="#N/A"/>
  </r>
  <r>
    <n v="4144"/>
    <d v="2016-02-11T11:27:26"/>
    <d v="2016-02-11T11:42:25"/>
    <x v="0"/>
    <m/>
    <m/>
    <x v="1"/>
    <n v="70804"/>
    <n v="3.59566113230537"/>
    <d v="2016-02-11T12:00:23"/>
    <n v="7.99"/>
    <x v="1099"/>
    <n v="1"/>
    <n v="1"/>
    <n v="0"/>
    <n v="0"/>
    <n v="1"/>
    <x v="1086"/>
    <x v="1"/>
    <x v="2095"/>
    <x v="0"/>
    <n v="7"/>
    <e v="#N/A"/>
    <e v="#N/A"/>
  </r>
  <r>
    <n v="4145"/>
    <d v="2016-02-11T13:32:58"/>
    <d v="2016-02-11T13:47:58"/>
    <x v="0"/>
    <m/>
    <m/>
    <x v="0"/>
    <n v="70805"/>
    <n v="0"/>
    <d v="2016-02-11T13:50:57"/>
    <n v="7.99"/>
    <x v="1"/>
    <n v="1"/>
    <n v="1"/>
    <n v="0"/>
    <n v="0"/>
    <n v="1"/>
    <x v="0"/>
    <x v="0"/>
    <x v="0"/>
    <x v="0"/>
    <n v="7"/>
    <e v="#N/A"/>
    <e v="#N/A"/>
  </r>
  <r>
    <n v="4146"/>
    <d v="2016-02-11T13:27:05"/>
    <d v="2016-02-11T13:42:04"/>
    <x v="0"/>
    <m/>
    <m/>
    <x v="0"/>
    <n v="70805"/>
    <n v="0"/>
    <d v="2016-02-11T13:45:03"/>
    <n v="7.99"/>
    <x v="24"/>
    <n v="1"/>
    <n v="1"/>
    <n v="0"/>
    <n v="0"/>
    <n v="1"/>
    <x v="0"/>
    <x v="0"/>
    <x v="0"/>
    <x v="0"/>
    <n v="7"/>
    <e v="#N/A"/>
    <e v="#N/A"/>
  </r>
  <r>
    <n v="4147"/>
    <d v="2016-02-11T11:35:31"/>
    <d v="2016-02-11T11:50:30"/>
    <x v="1"/>
    <m/>
    <m/>
    <x v="1"/>
    <n v="70804"/>
    <n v="1.4639310429958201"/>
    <d v="2016-02-11T11:57:49"/>
    <n v="15.35"/>
    <x v="1310"/>
    <n v="1"/>
    <n v="2.2999999999999998"/>
    <n v="0"/>
    <n v="0"/>
    <n v="2.2999999999999998"/>
    <x v="1298"/>
    <x v="0"/>
    <x v="2096"/>
    <x v="1198"/>
    <n v="14"/>
    <e v="#N/A"/>
    <e v="#N/A"/>
  </r>
  <r>
    <n v="4148"/>
    <d v="2016-02-11T14:12:45"/>
    <d v="2016-02-11T14:27:45"/>
    <x v="1"/>
    <m/>
    <m/>
    <x v="0"/>
    <n v="70805"/>
    <n v="0"/>
    <d v="2016-02-11T14:30:45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4149"/>
    <d v="2016-02-11T12:27:34"/>
    <d v="2016-02-11T12:42:33"/>
    <x v="2"/>
    <s v="Large"/>
    <m/>
    <x v="1"/>
    <n v="70806"/>
    <n v="5.0976884057596203"/>
    <d v="2016-02-11T13:08:02"/>
    <n v="25.94"/>
    <x v="1311"/>
    <n v="2"/>
    <n v="1.7"/>
    <n v="2.2999999999999998"/>
    <n v="0"/>
    <n v="4"/>
    <x v="1299"/>
    <x v="1"/>
    <x v="2097"/>
    <x v="0"/>
    <n v="10"/>
    <n v="14"/>
    <e v="#N/A"/>
  </r>
  <r>
    <n v="4150"/>
    <d v="2016-02-11T13:44:26"/>
    <d v="2016-02-11T13:59:25"/>
    <x v="1"/>
    <m/>
    <m/>
    <x v="0"/>
    <n v="70808"/>
    <n v="0"/>
    <d v="2016-02-11T14:02:23"/>
    <n v="15.35"/>
    <x v="19"/>
    <n v="1"/>
    <n v="2.2999999999999998"/>
    <n v="0"/>
    <n v="0"/>
    <n v="2.2999999999999998"/>
    <x v="0"/>
    <x v="0"/>
    <x v="0"/>
    <x v="0"/>
    <n v="14"/>
    <e v="#N/A"/>
    <e v="#N/A"/>
  </r>
  <r>
    <n v="4151"/>
    <d v="2016-02-11T12:11:42"/>
    <d v="2016-02-11T12:26:41"/>
    <x v="0"/>
    <s v="Medium"/>
    <m/>
    <x v="0"/>
    <n v="70804"/>
    <n v="0"/>
    <d v="2016-02-11T12:29:42"/>
    <n v="19.579999999999998"/>
    <x v="56"/>
    <n v="2"/>
    <n v="1"/>
    <n v="1.7"/>
    <n v="0"/>
    <n v="2.7"/>
    <x v="0"/>
    <x v="0"/>
    <x v="0"/>
    <x v="0"/>
    <n v="7"/>
    <n v="10"/>
    <e v="#N/A"/>
  </r>
  <r>
    <n v="4152"/>
    <d v="2016-02-11T12:27:19"/>
    <d v="2016-02-11T12:42:19"/>
    <x v="1"/>
    <m/>
    <m/>
    <x v="0"/>
    <n v="70803"/>
    <n v="0"/>
    <d v="2016-02-11T12:45:20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4153"/>
    <d v="2016-02-11T10:30:48"/>
    <d v="2016-02-11T10:45:48"/>
    <x v="1"/>
    <m/>
    <m/>
    <x v="1"/>
    <n v="70804"/>
    <n v="3.0615054529605499"/>
    <d v="2016-02-11T11:01:06"/>
    <n v="15.35"/>
    <x v="1312"/>
    <n v="1"/>
    <n v="2.2999999999999998"/>
    <n v="0"/>
    <n v="0"/>
    <n v="2.2999999999999998"/>
    <x v="1300"/>
    <x v="0"/>
    <x v="2098"/>
    <x v="1199"/>
    <n v="14"/>
    <e v="#N/A"/>
    <e v="#N/A"/>
  </r>
  <r>
    <n v="4154"/>
    <d v="2016-02-11T11:07:10"/>
    <d v="2016-02-11T11:22:09"/>
    <x v="1"/>
    <m/>
    <m/>
    <x v="1"/>
    <n v="70804"/>
    <n v="2.6223824317478899"/>
    <d v="2016-02-11T11:35:15"/>
    <n v="15.35"/>
    <x v="1313"/>
    <n v="1"/>
    <n v="2.2999999999999998"/>
    <n v="0"/>
    <n v="0"/>
    <n v="2.2999999999999998"/>
    <x v="1301"/>
    <x v="0"/>
    <x v="2099"/>
    <x v="1200"/>
    <n v="14"/>
    <e v="#N/A"/>
    <e v="#N/A"/>
  </r>
  <r>
    <n v="4155"/>
    <d v="2016-02-11T13:12:23"/>
    <d v="2016-02-11T13:27:22"/>
    <x v="2"/>
    <m/>
    <m/>
    <x v="0"/>
    <n v="70803"/>
    <n v="0"/>
    <d v="2016-02-11T13:30:20"/>
    <n v="11.59"/>
    <x v="0"/>
    <n v="1"/>
    <n v="1.7"/>
    <n v="0"/>
    <n v="0"/>
    <n v="1.7"/>
    <x v="0"/>
    <x v="0"/>
    <x v="0"/>
    <x v="0"/>
    <n v="10"/>
    <e v="#N/A"/>
    <e v="#N/A"/>
  </r>
  <r>
    <n v="4156"/>
    <d v="2016-02-11T12:39:36"/>
    <d v="2016-02-11T12:54:37"/>
    <x v="0"/>
    <s v="Large"/>
    <m/>
    <x v="0"/>
    <n v="70803"/>
    <n v="0"/>
    <d v="2016-02-11T12:57:36"/>
    <n v="23.34"/>
    <x v="1"/>
    <n v="2"/>
    <n v="1"/>
    <n v="2.2999999999999998"/>
    <n v="0"/>
    <n v="3.3"/>
    <x v="0"/>
    <x v="0"/>
    <x v="0"/>
    <x v="0"/>
    <n v="7"/>
    <n v="14"/>
    <e v="#N/A"/>
  </r>
  <r>
    <n v="4157"/>
    <d v="2016-02-11T12:16:38"/>
    <d v="2016-02-11T12:31:35"/>
    <x v="2"/>
    <m/>
    <m/>
    <x v="0"/>
    <n v="70804"/>
    <n v="0"/>
    <d v="2016-02-11T12:34:34"/>
    <n v="11.59"/>
    <x v="1"/>
    <n v="1"/>
    <n v="1.7"/>
    <n v="0"/>
    <n v="0"/>
    <n v="1.7"/>
    <x v="0"/>
    <x v="0"/>
    <x v="0"/>
    <x v="0"/>
    <n v="10"/>
    <e v="#N/A"/>
    <e v="#N/A"/>
  </r>
  <r>
    <n v="4158"/>
    <d v="2016-02-11T12:36:10"/>
    <d v="2016-02-11T12:51:09"/>
    <x v="0"/>
    <s v="Medium"/>
    <m/>
    <x v="0"/>
    <n v="70805"/>
    <n v="0"/>
    <d v="2016-02-11T12:54:09"/>
    <n v="19.579999999999998"/>
    <x v="2"/>
    <n v="2"/>
    <n v="1"/>
    <n v="1.7"/>
    <n v="0"/>
    <n v="2.7"/>
    <x v="0"/>
    <x v="0"/>
    <x v="0"/>
    <x v="0"/>
    <n v="7"/>
    <n v="10"/>
    <e v="#N/A"/>
  </r>
  <r>
    <n v="4159"/>
    <d v="2016-02-11T10:29:20"/>
    <d v="2016-02-11T10:44:18"/>
    <x v="2"/>
    <m/>
    <m/>
    <x v="1"/>
    <n v="70805"/>
    <n v="4.7338403135492397"/>
    <d v="2016-02-11T11:07:58"/>
    <n v="11.59"/>
    <x v="793"/>
    <n v="1"/>
    <n v="1.7"/>
    <n v="0"/>
    <n v="0"/>
    <n v="1.7"/>
    <x v="780"/>
    <x v="1"/>
    <x v="2100"/>
    <x v="0"/>
    <n v="10"/>
    <e v="#N/A"/>
    <e v="#N/A"/>
  </r>
  <r>
    <n v="4160"/>
    <d v="2016-02-11T13:30:48"/>
    <d v="2016-02-11T13:45:48"/>
    <x v="0"/>
    <m/>
    <m/>
    <x v="1"/>
    <n v="70803"/>
    <n v="3.80484480238758"/>
    <d v="2016-02-11T14:04:49"/>
    <n v="7.99"/>
    <x v="683"/>
    <n v="1"/>
    <n v="1"/>
    <n v="0"/>
    <n v="0"/>
    <n v="1"/>
    <x v="670"/>
    <x v="1"/>
    <x v="2101"/>
    <x v="0"/>
    <n v="7"/>
    <e v="#N/A"/>
    <e v="#N/A"/>
  </r>
  <r>
    <n v="4161"/>
    <d v="2016-02-11T11:30:07"/>
    <d v="2016-02-11T11:45:07"/>
    <x v="0"/>
    <s v="Medium"/>
    <m/>
    <x v="0"/>
    <n v="70806"/>
    <n v="0"/>
    <d v="2016-02-11T11:48:07"/>
    <n v="19.579999999999998"/>
    <x v="2"/>
    <n v="2"/>
    <n v="1"/>
    <n v="1.7"/>
    <n v="0"/>
    <n v="2.7"/>
    <x v="0"/>
    <x v="0"/>
    <x v="0"/>
    <x v="0"/>
    <n v="7"/>
    <n v="10"/>
    <e v="#N/A"/>
  </r>
  <r>
    <n v="4162"/>
    <d v="2016-02-11T11:30:17"/>
    <d v="2016-02-11T11:45:17"/>
    <x v="2"/>
    <m/>
    <m/>
    <x v="1"/>
    <n v="70803"/>
    <n v="2.4475975612713698"/>
    <d v="2016-02-11T11:57:31"/>
    <n v="11.59"/>
    <x v="573"/>
    <n v="1"/>
    <n v="1.7"/>
    <n v="0"/>
    <n v="0"/>
    <n v="1.7"/>
    <x v="560"/>
    <x v="0"/>
    <x v="2102"/>
    <x v="1201"/>
    <n v="10"/>
    <e v="#N/A"/>
    <e v="#N/A"/>
  </r>
  <r>
    <n v="4163"/>
    <d v="2016-02-11T10:50:20"/>
    <d v="2016-02-11T11:05:20"/>
    <x v="0"/>
    <s v="Large"/>
    <m/>
    <x v="1"/>
    <n v="70806"/>
    <n v="5.6507286935326997"/>
    <d v="2016-02-11T11:33:35"/>
    <n v="23.34"/>
    <x v="1314"/>
    <n v="2"/>
    <n v="1"/>
    <n v="2.2999999999999998"/>
    <n v="0"/>
    <n v="3.3"/>
    <x v="1302"/>
    <x v="1"/>
    <x v="2103"/>
    <x v="0"/>
    <n v="7"/>
    <n v="14"/>
    <e v="#N/A"/>
  </r>
  <r>
    <n v="4164"/>
    <d v="2016-02-11T12:48:01"/>
    <d v="2016-02-11T13:03:01"/>
    <x v="1"/>
    <m/>
    <m/>
    <x v="0"/>
    <n v="70803"/>
    <n v="0"/>
    <d v="2016-02-11T13:05:58"/>
    <n v="15.35"/>
    <x v="102"/>
    <n v="1"/>
    <n v="2.2999999999999998"/>
    <n v="0"/>
    <n v="0"/>
    <n v="2.2999999999999998"/>
    <x v="0"/>
    <x v="0"/>
    <x v="0"/>
    <x v="0"/>
    <n v="14"/>
    <e v="#N/A"/>
    <e v="#N/A"/>
  </r>
  <r>
    <n v="4165"/>
    <d v="2016-02-11T11:29:05"/>
    <d v="2016-02-11T11:44:05"/>
    <x v="1"/>
    <m/>
    <m/>
    <x v="0"/>
    <n v="70805"/>
    <n v="0"/>
    <d v="2016-02-11T11:47:04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4166"/>
    <d v="2016-02-11T14:48:37"/>
    <d v="2016-02-11T15:03:36"/>
    <x v="1"/>
    <m/>
    <m/>
    <x v="1"/>
    <n v="70804"/>
    <n v="0.88585311383385701"/>
    <d v="2016-02-11T15:08:01"/>
    <n v="15.35"/>
    <x v="1315"/>
    <n v="1"/>
    <n v="2.2999999999999998"/>
    <n v="0"/>
    <n v="0"/>
    <n v="2.2999999999999998"/>
    <x v="1303"/>
    <x v="0"/>
    <x v="2104"/>
    <x v="1202"/>
    <n v="14"/>
    <e v="#N/A"/>
    <e v="#N/A"/>
  </r>
  <r>
    <n v="4167"/>
    <d v="2016-02-11T12:52:21"/>
    <d v="2016-02-11T13:07:20"/>
    <x v="2"/>
    <m/>
    <m/>
    <x v="1"/>
    <n v="70805"/>
    <n v="1.9146451279865599"/>
    <d v="2016-02-11T13:16:54"/>
    <n v="11.59"/>
    <x v="243"/>
    <n v="1"/>
    <n v="1.7"/>
    <n v="0"/>
    <n v="0"/>
    <n v="1.7"/>
    <x v="230"/>
    <x v="0"/>
    <x v="2105"/>
    <x v="1203"/>
    <n v="10"/>
    <e v="#N/A"/>
    <e v="#N/A"/>
  </r>
  <r>
    <n v="4168"/>
    <d v="2016-02-11T10:21:47"/>
    <d v="2016-02-11T10:36:47"/>
    <x v="0"/>
    <s v="Medium"/>
    <m/>
    <x v="1"/>
    <n v="70806"/>
    <n v="3.3904000480186101"/>
    <d v="2016-02-11T10:53:44"/>
    <n v="19.579999999999998"/>
    <x v="1316"/>
    <n v="2"/>
    <n v="1"/>
    <n v="1.7"/>
    <n v="0"/>
    <n v="2.7"/>
    <x v="1304"/>
    <x v="1"/>
    <x v="2106"/>
    <x v="0"/>
    <n v="7"/>
    <n v="10"/>
    <e v="#N/A"/>
  </r>
  <r>
    <n v="4169"/>
    <d v="2016-02-11T13:49:17"/>
    <d v="2016-02-11T14:04:17"/>
    <x v="0"/>
    <m/>
    <m/>
    <x v="1"/>
    <n v="70806"/>
    <n v="2.4930996380219899"/>
    <d v="2016-02-11T14:16:44"/>
    <n v="7.99"/>
    <x v="1001"/>
    <n v="1"/>
    <n v="1"/>
    <n v="0"/>
    <n v="0"/>
    <n v="1"/>
    <x v="988"/>
    <x v="0"/>
    <x v="2107"/>
    <x v="1204"/>
    <n v="7"/>
    <e v="#N/A"/>
    <e v="#N/A"/>
  </r>
  <r>
    <n v="4170"/>
    <d v="2016-02-11T10:51:22"/>
    <d v="2016-02-11T11:06:23"/>
    <x v="1"/>
    <m/>
    <m/>
    <x v="0"/>
    <n v="70803"/>
    <n v="0"/>
    <d v="2016-02-11T11:09:22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4171"/>
    <d v="2016-02-11T11:20:09"/>
    <d v="2016-02-11T11:35:09"/>
    <x v="0"/>
    <s v="Medium"/>
    <m/>
    <x v="0"/>
    <n v="70804"/>
    <n v="0"/>
    <d v="2016-02-11T11:38:09"/>
    <n v="19.579999999999998"/>
    <x v="2"/>
    <n v="2"/>
    <n v="1"/>
    <n v="1.7"/>
    <n v="0"/>
    <n v="2.7"/>
    <x v="0"/>
    <x v="0"/>
    <x v="0"/>
    <x v="0"/>
    <n v="7"/>
    <n v="10"/>
    <e v="#N/A"/>
  </r>
  <r>
    <n v="4172"/>
    <d v="2016-02-11T12:17:16"/>
    <d v="2016-02-11T12:32:15"/>
    <x v="0"/>
    <m/>
    <m/>
    <x v="0"/>
    <n v="70803"/>
    <n v="0"/>
    <d v="2016-02-11T12:35:13"/>
    <n v="7.99"/>
    <x v="0"/>
    <n v="1"/>
    <n v="1"/>
    <n v="0"/>
    <n v="0"/>
    <n v="1"/>
    <x v="0"/>
    <x v="0"/>
    <x v="0"/>
    <x v="0"/>
    <n v="7"/>
    <e v="#N/A"/>
    <e v="#N/A"/>
  </r>
  <r>
    <n v="4173"/>
    <d v="2016-02-11T11:37:48"/>
    <d v="2016-02-11T11:52:48"/>
    <x v="2"/>
    <m/>
    <m/>
    <x v="0"/>
    <n v="70804"/>
    <n v="0"/>
    <d v="2016-02-11T11:55:48"/>
    <n v="11.59"/>
    <x v="2"/>
    <n v="1"/>
    <n v="1.7"/>
    <n v="0"/>
    <n v="0"/>
    <n v="1.7"/>
    <x v="0"/>
    <x v="0"/>
    <x v="0"/>
    <x v="0"/>
    <n v="10"/>
    <e v="#N/A"/>
    <e v="#N/A"/>
  </r>
  <r>
    <n v="4174"/>
    <d v="2016-02-11T12:58:23"/>
    <d v="2016-02-11T13:13:22"/>
    <x v="1"/>
    <m/>
    <m/>
    <x v="0"/>
    <n v="70807"/>
    <n v="0"/>
    <d v="2016-02-11T13:16:23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4175"/>
    <d v="2016-02-11T11:42:50"/>
    <d v="2016-02-11T11:57:50"/>
    <x v="1"/>
    <m/>
    <m/>
    <x v="0"/>
    <n v="70805"/>
    <n v="0"/>
    <d v="2016-02-11T12:00:49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4176"/>
    <d v="2016-02-11T11:36:08"/>
    <d v="2016-02-11T11:51:08"/>
    <x v="1"/>
    <m/>
    <m/>
    <x v="0"/>
    <n v="70803"/>
    <n v="0"/>
    <d v="2016-02-11T11:54:09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4177"/>
    <d v="2016-02-11T10:06:13"/>
    <d v="2016-02-11T10:21:15"/>
    <x v="2"/>
    <m/>
    <m/>
    <x v="0"/>
    <n v="70804"/>
    <n v="0"/>
    <d v="2016-02-11T10:24:13"/>
    <n v="11.59"/>
    <x v="0"/>
    <n v="1"/>
    <n v="1.7"/>
    <n v="0"/>
    <n v="0"/>
    <n v="1.7"/>
    <x v="0"/>
    <x v="0"/>
    <x v="0"/>
    <x v="0"/>
    <n v="10"/>
    <e v="#N/A"/>
    <e v="#N/A"/>
  </r>
  <r>
    <n v="4178"/>
    <d v="2016-02-11T12:04:41"/>
    <d v="2016-02-11T12:19:41"/>
    <x v="2"/>
    <m/>
    <m/>
    <x v="1"/>
    <n v="70804"/>
    <n v="1.42753706931975"/>
    <d v="2016-02-11T12:26:49"/>
    <n v="11.59"/>
    <x v="1272"/>
    <n v="1"/>
    <n v="1.7"/>
    <n v="0"/>
    <n v="0"/>
    <n v="1.7"/>
    <x v="1260"/>
    <x v="0"/>
    <x v="2108"/>
    <x v="1205"/>
    <n v="10"/>
    <e v="#N/A"/>
    <e v="#N/A"/>
  </r>
  <r>
    <n v="4179"/>
    <d v="2016-02-11T10:31:19"/>
    <d v="2016-02-11T10:46:18"/>
    <x v="0"/>
    <s v="Medium"/>
    <m/>
    <x v="0"/>
    <n v="70803"/>
    <n v="0"/>
    <d v="2016-02-11T10:49:18"/>
    <n v="19.579999999999998"/>
    <x v="2"/>
    <n v="2"/>
    <n v="1"/>
    <n v="1.7"/>
    <n v="0"/>
    <n v="2.7"/>
    <x v="0"/>
    <x v="0"/>
    <x v="0"/>
    <x v="0"/>
    <n v="7"/>
    <n v="10"/>
    <e v="#N/A"/>
  </r>
  <r>
    <n v="4180"/>
    <d v="2016-02-11T11:27:41"/>
    <d v="2016-02-11T11:42:40"/>
    <x v="0"/>
    <s v="Large"/>
    <m/>
    <x v="1"/>
    <n v="70804"/>
    <n v="3.7258053125005799"/>
    <d v="2016-02-11T12:01:17"/>
    <n v="23.34"/>
    <x v="500"/>
    <n v="2"/>
    <n v="1"/>
    <n v="2.2999999999999998"/>
    <n v="0"/>
    <n v="3.3"/>
    <x v="487"/>
    <x v="1"/>
    <x v="2109"/>
    <x v="0"/>
    <n v="7"/>
    <n v="14"/>
    <e v="#N/A"/>
  </r>
  <r>
    <n v="4181"/>
    <d v="2016-02-11T12:52:29"/>
    <d v="2016-02-11T13:07:28"/>
    <x v="0"/>
    <s v="Large"/>
    <m/>
    <x v="0"/>
    <n v="70804"/>
    <n v="0"/>
    <d v="2016-02-11T13:10:27"/>
    <n v="23.34"/>
    <x v="24"/>
    <n v="2"/>
    <n v="1"/>
    <n v="2.2999999999999998"/>
    <n v="0"/>
    <n v="3.3"/>
    <x v="0"/>
    <x v="0"/>
    <x v="0"/>
    <x v="0"/>
    <n v="7"/>
    <n v="14"/>
    <e v="#N/A"/>
  </r>
  <r>
    <n v="4182"/>
    <d v="2016-02-11T10:37:44"/>
    <d v="2016-02-11T10:52:44"/>
    <x v="0"/>
    <m/>
    <m/>
    <x v="0"/>
    <n v="70804"/>
    <n v="0"/>
    <d v="2016-02-11T10:55:43"/>
    <n v="7.99"/>
    <x v="24"/>
    <n v="1"/>
    <n v="1"/>
    <n v="0"/>
    <n v="0"/>
    <n v="1"/>
    <x v="0"/>
    <x v="0"/>
    <x v="0"/>
    <x v="0"/>
    <n v="7"/>
    <e v="#N/A"/>
    <e v="#N/A"/>
  </r>
  <r>
    <n v="4183"/>
    <d v="2016-02-11T13:13:38"/>
    <d v="2016-02-11T13:28:38"/>
    <x v="0"/>
    <s v="Medium"/>
    <m/>
    <x v="1"/>
    <n v="70806"/>
    <n v="5.3432034595469204"/>
    <d v="2016-02-11T13:55:20"/>
    <n v="19.579999999999998"/>
    <x v="1317"/>
    <n v="2"/>
    <n v="1"/>
    <n v="1.7"/>
    <n v="0"/>
    <n v="2.7"/>
    <x v="1305"/>
    <x v="1"/>
    <x v="2110"/>
    <x v="0"/>
    <n v="7"/>
    <n v="10"/>
    <e v="#N/A"/>
  </r>
  <r>
    <n v="4184"/>
    <d v="2016-02-11T11:06:38"/>
    <d v="2016-02-11T11:21:38"/>
    <x v="0"/>
    <m/>
    <m/>
    <x v="0"/>
    <n v="70804"/>
    <n v="0"/>
    <d v="2016-02-11T11:24:37"/>
    <n v="7.99"/>
    <x v="24"/>
    <n v="1"/>
    <n v="1"/>
    <n v="0"/>
    <n v="0"/>
    <n v="1"/>
    <x v="0"/>
    <x v="0"/>
    <x v="0"/>
    <x v="0"/>
    <n v="7"/>
    <e v="#N/A"/>
    <e v="#N/A"/>
  </r>
  <r>
    <n v="4185"/>
    <d v="2016-02-11T11:58:45"/>
    <d v="2016-02-11T12:13:44"/>
    <x v="2"/>
    <m/>
    <m/>
    <x v="0"/>
    <n v="70804"/>
    <n v="0"/>
    <d v="2016-02-11T12:16:44"/>
    <n v="11.59"/>
    <x v="2"/>
    <n v="1"/>
    <n v="1.7"/>
    <n v="0"/>
    <n v="0"/>
    <n v="1.7"/>
    <x v="0"/>
    <x v="0"/>
    <x v="0"/>
    <x v="0"/>
    <n v="10"/>
    <e v="#N/A"/>
    <e v="#N/A"/>
  </r>
  <r>
    <n v="4186"/>
    <d v="2016-02-11T13:41:03"/>
    <d v="2016-02-11T13:56:04"/>
    <x v="0"/>
    <s v="Medium"/>
    <m/>
    <x v="0"/>
    <n v="70805"/>
    <n v="0"/>
    <d v="2016-02-11T13:59:05"/>
    <n v="19.579999999999998"/>
    <x v="14"/>
    <n v="2"/>
    <n v="1"/>
    <n v="1.7"/>
    <n v="0"/>
    <n v="2.7"/>
    <x v="0"/>
    <x v="0"/>
    <x v="0"/>
    <x v="0"/>
    <n v="7"/>
    <n v="10"/>
    <e v="#N/A"/>
  </r>
  <r>
    <n v="4187"/>
    <d v="2016-02-11T12:58:33"/>
    <d v="2016-02-11T13:13:33"/>
    <x v="0"/>
    <m/>
    <m/>
    <x v="0"/>
    <n v="70804"/>
    <n v="0"/>
    <d v="2016-02-11T13:16:32"/>
    <n v="7.99"/>
    <x v="24"/>
    <n v="1"/>
    <n v="1"/>
    <n v="0"/>
    <n v="0"/>
    <n v="1"/>
    <x v="0"/>
    <x v="0"/>
    <x v="0"/>
    <x v="0"/>
    <n v="7"/>
    <e v="#N/A"/>
    <e v="#N/A"/>
  </r>
  <r>
    <n v="4188"/>
    <d v="2016-02-11T11:26:36"/>
    <d v="2016-02-11T11:41:35"/>
    <x v="0"/>
    <m/>
    <m/>
    <x v="0"/>
    <n v="70807"/>
    <n v="0"/>
    <d v="2016-02-11T11:44:35"/>
    <n v="7.99"/>
    <x v="2"/>
    <n v="1"/>
    <n v="1"/>
    <n v="0"/>
    <n v="0"/>
    <n v="1"/>
    <x v="0"/>
    <x v="0"/>
    <x v="0"/>
    <x v="0"/>
    <n v="7"/>
    <e v="#N/A"/>
    <e v="#N/A"/>
  </r>
  <r>
    <n v="4189"/>
    <d v="2016-02-11T11:54:06"/>
    <d v="2016-02-11T12:09:06"/>
    <x v="0"/>
    <m/>
    <m/>
    <x v="1"/>
    <n v="70807"/>
    <n v="2.8653229924309702"/>
    <d v="2016-02-11T12:23:25"/>
    <n v="7.99"/>
    <x v="523"/>
    <n v="1"/>
    <n v="1"/>
    <n v="0"/>
    <n v="0"/>
    <n v="1"/>
    <x v="510"/>
    <x v="0"/>
    <x v="2111"/>
    <x v="1206"/>
    <n v="7"/>
    <e v="#N/A"/>
    <e v="#N/A"/>
  </r>
  <r>
    <n v="4190"/>
    <d v="2016-02-11T12:42:52"/>
    <d v="2016-02-11T12:57:52"/>
    <x v="1"/>
    <m/>
    <m/>
    <x v="1"/>
    <n v="70803"/>
    <n v="2.24321748176154"/>
    <d v="2016-02-11T13:09:04"/>
    <n v="15.35"/>
    <x v="1318"/>
    <n v="1"/>
    <n v="2.2999999999999998"/>
    <n v="0"/>
    <n v="0"/>
    <n v="2.2999999999999998"/>
    <x v="1306"/>
    <x v="0"/>
    <x v="2112"/>
    <x v="1207"/>
    <n v="14"/>
    <e v="#N/A"/>
    <e v="#N/A"/>
  </r>
  <r>
    <n v="4191"/>
    <d v="2016-02-11T13:11:22"/>
    <d v="2016-02-11T13:26:22"/>
    <x v="0"/>
    <s v="Medium"/>
    <m/>
    <x v="1"/>
    <n v="70803"/>
    <n v="2.0793185867010302"/>
    <d v="2016-02-11T13:36:45"/>
    <n v="19.579999999999998"/>
    <x v="78"/>
    <n v="2"/>
    <n v="1"/>
    <n v="1.7"/>
    <n v="0"/>
    <n v="2.7"/>
    <x v="69"/>
    <x v="0"/>
    <x v="2113"/>
    <x v="1208"/>
    <n v="7"/>
    <n v="10"/>
    <e v="#N/A"/>
  </r>
  <r>
    <n v="4192"/>
    <d v="2016-02-11T12:51:04"/>
    <d v="2016-02-11T13:06:03"/>
    <x v="0"/>
    <s v="Large"/>
    <m/>
    <x v="1"/>
    <n v="70805"/>
    <n v="5.2475234249708098"/>
    <d v="2016-02-11T13:32:17"/>
    <n v="23.34"/>
    <x v="1319"/>
    <n v="2"/>
    <n v="1"/>
    <n v="2.2999999999999998"/>
    <n v="0"/>
    <n v="3.3"/>
    <x v="1307"/>
    <x v="1"/>
    <x v="2114"/>
    <x v="0"/>
    <n v="7"/>
    <n v="14"/>
    <e v="#N/A"/>
  </r>
  <r>
    <n v="4193"/>
    <d v="2016-02-11T12:55:02"/>
    <d v="2016-02-11T13:10:02"/>
    <x v="0"/>
    <m/>
    <m/>
    <x v="0"/>
    <n v="70803"/>
    <n v="0"/>
    <d v="2016-02-11T13:13:01"/>
    <n v="7.99"/>
    <x v="1"/>
    <n v="1"/>
    <n v="1"/>
    <n v="0"/>
    <n v="0"/>
    <n v="1"/>
    <x v="0"/>
    <x v="0"/>
    <x v="0"/>
    <x v="0"/>
    <n v="7"/>
    <e v="#N/A"/>
    <e v="#N/A"/>
  </r>
  <r>
    <n v="4194"/>
    <d v="2016-02-11T12:49:39"/>
    <d v="2016-02-11T13:04:39"/>
    <x v="2"/>
    <m/>
    <m/>
    <x v="1"/>
    <n v="70803"/>
    <n v="3.1119868200024698"/>
    <d v="2016-02-11T13:20:12"/>
    <n v="11.59"/>
    <x v="258"/>
    <n v="1"/>
    <n v="1.7"/>
    <n v="0"/>
    <n v="0"/>
    <n v="1.7"/>
    <x v="245"/>
    <x v="0"/>
    <x v="2115"/>
    <x v="1209"/>
    <n v="10"/>
    <e v="#N/A"/>
    <e v="#N/A"/>
  </r>
  <r>
    <n v="4195"/>
    <d v="2016-02-11T13:02:13"/>
    <d v="2016-02-11T13:17:14"/>
    <x v="0"/>
    <m/>
    <m/>
    <x v="1"/>
    <n v="70806"/>
    <n v="2.5245355557724101"/>
    <d v="2016-02-11T13:29:51"/>
    <n v="7.99"/>
    <x v="810"/>
    <n v="1"/>
    <n v="1"/>
    <n v="0"/>
    <n v="0"/>
    <n v="1"/>
    <x v="797"/>
    <x v="0"/>
    <x v="2116"/>
    <x v="1210"/>
    <n v="7"/>
    <e v="#N/A"/>
    <e v="#N/A"/>
  </r>
  <r>
    <n v="4196"/>
    <d v="2016-02-11T12:49:24"/>
    <d v="2016-02-11T13:04:24"/>
    <x v="1"/>
    <m/>
    <m/>
    <x v="0"/>
    <n v="70807"/>
    <n v="0"/>
    <d v="2016-02-11T13:07:22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4197"/>
    <d v="2016-02-11T11:48:07"/>
    <d v="2016-02-11T12:03:05"/>
    <x v="0"/>
    <s v="Medium"/>
    <m/>
    <x v="0"/>
    <n v="70806"/>
    <n v="0"/>
    <d v="2016-02-11T12:06:03"/>
    <n v="19.579999999999998"/>
    <x v="0"/>
    <n v="2"/>
    <n v="1"/>
    <n v="1.7"/>
    <n v="0"/>
    <n v="2.7"/>
    <x v="0"/>
    <x v="0"/>
    <x v="0"/>
    <x v="0"/>
    <n v="7"/>
    <n v="10"/>
    <e v="#N/A"/>
  </r>
  <r>
    <n v="4198"/>
    <d v="2016-02-11T10:05:02"/>
    <d v="2016-02-11T10:20:01"/>
    <x v="2"/>
    <m/>
    <m/>
    <x v="0"/>
    <n v="70805"/>
    <n v="0"/>
    <d v="2016-02-11T10:23:02"/>
    <n v="11.59"/>
    <x v="56"/>
    <n v="1"/>
    <n v="1.7"/>
    <n v="0"/>
    <n v="0"/>
    <n v="1.7"/>
    <x v="0"/>
    <x v="0"/>
    <x v="0"/>
    <x v="0"/>
    <n v="10"/>
    <e v="#N/A"/>
    <e v="#N/A"/>
  </r>
  <r>
    <n v="4199"/>
    <d v="2016-02-11T12:01:23"/>
    <d v="2016-02-11T12:16:24"/>
    <x v="2"/>
    <m/>
    <m/>
    <x v="0"/>
    <n v="70804"/>
    <n v="0"/>
    <d v="2016-02-11T12:19:24"/>
    <n v="11.59"/>
    <x v="2"/>
    <n v="1"/>
    <n v="1.7"/>
    <n v="0"/>
    <n v="0"/>
    <n v="1.7"/>
    <x v="0"/>
    <x v="0"/>
    <x v="0"/>
    <x v="0"/>
    <n v="10"/>
    <e v="#N/A"/>
    <e v="#N/A"/>
  </r>
  <r>
    <n v="4200"/>
    <d v="2016-02-11T11:46:26"/>
    <d v="2016-02-11T12:01:27"/>
    <x v="0"/>
    <m/>
    <m/>
    <x v="0"/>
    <n v="70804"/>
    <n v="0"/>
    <d v="2016-02-11T12:04:27"/>
    <n v="7.99"/>
    <x v="2"/>
    <n v="1"/>
    <n v="1"/>
    <n v="0"/>
    <n v="0"/>
    <n v="1"/>
    <x v="0"/>
    <x v="0"/>
    <x v="0"/>
    <x v="0"/>
    <n v="7"/>
    <e v="#N/A"/>
    <e v="#N/A"/>
  </r>
  <r>
    <n v="4201"/>
    <d v="2016-02-11T11:42:29"/>
    <d v="2016-02-11T11:57:27"/>
    <x v="0"/>
    <m/>
    <m/>
    <x v="0"/>
    <n v="70806"/>
    <n v="0"/>
    <d v="2016-02-11T12:00:28"/>
    <n v="7.99"/>
    <x v="14"/>
    <n v="1"/>
    <n v="1"/>
    <n v="0"/>
    <n v="0"/>
    <n v="1"/>
    <x v="0"/>
    <x v="0"/>
    <x v="0"/>
    <x v="0"/>
    <n v="7"/>
    <e v="#N/A"/>
    <e v="#N/A"/>
  </r>
  <r>
    <n v="4202"/>
    <d v="2016-02-11T12:43:44"/>
    <d v="2016-02-11T12:58:43"/>
    <x v="0"/>
    <m/>
    <m/>
    <x v="0"/>
    <n v="70805"/>
    <n v="0"/>
    <d v="2016-02-11T13:01:42"/>
    <n v="7.99"/>
    <x v="24"/>
    <n v="1"/>
    <n v="1"/>
    <n v="0"/>
    <n v="0"/>
    <n v="1"/>
    <x v="0"/>
    <x v="0"/>
    <x v="0"/>
    <x v="0"/>
    <n v="7"/>
    <e v="#N/A"/>
    <e v="#N/A"/>
  </r>
  <r>
    <n v="4203"/>
    <d v="2016-02-11T11:43:42"/>
    <d v="2016-02-11T11:58:42"/>
    <x v="0"/>
    <s v="Medium"/>
    <m/>
    <x v="0"/>
    <n v="70804"/>
    <n v="0"/>
    <d v="2016-02-11T12:01:41"/>
    <n v="19.579999999999998"/>
    <x v="24"/>
    <n v="2"/>
    <n v="1"/>
    <n v="1.7"/>
    <n v="0"/>
    <n v="2.7"/>
    <x v="0"/>
    <x v="0"/>
    <x v="0"/>
    <x v="0"/>
    <n v="7"/>
    <n v="10"/>
    <e v="#N/A"/>
  </r>
  <r>
    <n v="4204"/>
    <d v="2016-02-11T11:27:07"/>
    <d v="2016-02-11T11:42:06"/>
    <x v="0"/>
    <s v="Medium"/>
    <m/>
    <x v="0"/>
    <n v="70805"/>
    <n v="0"/>
    <d v="2016-02-11T11:45:04"/>
    <n v="19.579999999999998"/>
    <x v="0"/>
    <n v="2"/>
    <n v="1"/>
    <n v="1.7"/>
    <n v="0"/>
    <n v="2.7"/>
    <x v="0"/>
    <x v="0"/>
    <x v="0"/>
    <x v="0"/>
    <n v="7"/>
    <n v="10"/>
    <e v="#N/A"/>
  </r>
  <r>
    <n v="4205"/>
    <d v="2016-02-11T12:29:53"/>
    <d v="2016-02-11T12:44:52"/>
    <x v="1"/>
    <m/>
    <m/>
    <x v="1"/>
    <n v="70803"/>
    <n v="3.9218079372831598"/>
    <d v="2016-02-11T13:04:28"/>
    <n v="15.35"/>
    <x v="306"/>
    <n v="1"/>
    <n v="2.2999999999999998"/>
    <n v="0"/>
    <n v="0"/>
    <n v="2.2999999999999998"/>
    <x v="293"/>
    <x v="1"/>
    <x v="2117"/>
    <x v="0"/>
    <n v="14"/>
    <e v="#N/A"/>
    <e v="#N/A"/>
  </r>
  <r>
    <n v="4206"/>
    <d v="2016-02-11T11:09:37"/>
    <d v="2016-02-11T11:24:36"/>
    <x v="2"/>
    <m/>
    <m/>
    <x v="0"/>
    <n v="70805"/>
    <n v="0"/>
    <d v="2016-02-11T11:27:37"/>
    <n v="11.59"/>
    <x v="14"/>
    <n v="1"/>
    <n v="1.7"/>
    <n v="0"/>
    <n v="0"/>
    <n v="1.7"/>
    <x v="0"/>
    <x v="0"/>
    <x v="0"/>
    <x v="0"/>
    <n v="10"/>
    <e v="#N/A"/>
    <e v="#N/A"/>
  </r>
  <r>
    <n v="4207"/>
    <d v="2016-02-11T11:26:27"/>
    <d v="2016-02-11T11:41:26"/>
    <x v="2"/>
    <m/>
    <m/>
    <x v="1"/>
    <n v="70804"/>
    <n v="2.4455007785463998"/>
    <d v="2016-02-11T11:53:39"/>
    <n v="11.59"/>
    <x v="1320"/>
    <n v="1"/>
    <n v="1.7"/>
    <n v="0"/>
    <n v="0"/>
    <n v="1.7"/>
    <x v="1308"/>
    <x v="0"/>
    <x v="2118"/>
    <x v="1211"/>
    <n v="10"/>
    <e v="#N/A"/>
    <e v="#N/A"/>
  </r>
  <r>
    <n v="4208"/>
    <d v="2016-02-11T10:36:04"/>
    <d v="2016-02-11T10:51:03"/>
    <x v="0"/>
    <s v="Large"/>
    <m/>
    <x v="0"/>
    <n v="70804"/>
    <n v="0"/>
    <d v="2016-02-11T10:54:03"/>
    <n v="23.34"/>
    <x v="2"/>
    <n v="2"/>
    <n v="1"/>
    <n v="2.2999999999999998"/>
    <n v="0"/>
    <n v="3.3"/>
    <x v="0"/>
    <x v="0"/>
    <x v="0"/>
    <x v="0"/>
    <n v="7"/>
    <n v="14"/>
    <e v="#N/A"/>
  </r>
  <r>
    <n v="4209"/>
    <d v="2016-02-11T10:26:33"/>
    <d v="2016-02-11T10:41:33"/>
    <x v="0"/>
    <m/>
    <m/>
    <x v="1"/>
    <n v="70804"/>
    <n v="2.1978631360504801"/>
    <d v="2016-02-11T10:52:32"/>
    <n v="7.99"/>
    <x v="918"/>
    <n v="1"/>
    <n v="1"/>
    <n v="0"/>
    <n v="0"/>
    <n v="1"/>
    <x v="905"/>
    <x v="0"/>
    <x v="2119"/>
    <x v="1212"/>
    <n v="7"/>
    <e v="#N/A"/>
    <e v="#N/A"/>
  </r>
  <r>
    <n v="4210"/>
    <d v="2016-02-11T13:49:31"/>
    <d v="2016-02-11T14:04:29"/>
    <x v="1"/>
    <m/>
    <m/>
    <x v="1"/>
    <n v="70806"/>
    <n v="5.5126704783682099"/>
    <d v="2016-02-11T14:32:02"/>
    <n v="15.35"/>
    <x v="1321"/>
    <n v="1"/>
    <n v="2.2999999999999998"/>
    <n v="0"/>
    <n v="0"/>
    <n v="2.2999999999999998"/>
    <x v="1309"/>
    <x v="1"/>
    <x v="2120"/>
    <x v="0"/>
    <n v="14"/>
    <e v="#N/A"/>
    <e v="#N/A"/>
  </r>
  <r>
    <n v="4211"/>
    <d v="2016-02-11T12:41:39"/>
    <d v="2016-02-11T12:56:40"/>
    <x v="2"/>
    <m/>
    <m/>
    <x v="1"/>
    <n v="70805"/>
    <n v="1.94402529300992"/>
    <d v="2016-02-11T13:06:23"/>
    <n v="11.59"/>
    <x v="60"/>
    <n v="1"/>
    <n v="1.7"/>
    <n v="0"/>
    <n v="0"/>
    <n v="1.7"/>
    <x v="53"/>
    <x v="0"/>
    <x v="2121"/>
    <x v="1213"/>
    <n v="10"/>
    <e v="#N/A"/>
    <e v="#N/A"/>
  </r>
  <r>
    <n v="4212"/>
    <d v="2016-02-11T11:10:01"/>
    <d v="2016-02-11T11:25:00"/>
    <x v="0"/>
    <m/>
    <m/>
    <x v="0"/>
    <n v="70804"/>
    <n v="0"/>
    <d v="2016-02-11T11:27:59"/>
    <n v="7.99"/>
    <x v="24"/>
    <n v="1"/>
    <n v="1"/>
    <n v="0"/>
    <n v="0"/>
    <n v="1"/>
    <x v="0"/>
    <x v="0"/>
    <x v="0"/>
    <x v="0"/>
    <n v="7"/>
    <e v="#N/A"/>
    <e v="#N/A"/>
  </r>
  <r>
    <n v="4213"/>
    <d v="2016-02-11T10:30:29"/>
    <d v="2016-02-11T10:45:28"/>
    <x v="0"/>
    <s v="Medium"/>
    <m/>
    <x v="1"/>
    <n v="70807"/>
    <n v="3.48575145807086"/>
    <d v="2016-02-11T11:02:53"/>
    <n v="19.579999999999998"/>
    <x v="360"/>
    <n v="2"/>
    <n v="1"/>
    <n v="1.7"/>
    <n v="0"/>
    <n v="2.7"/>
    <x v="347"/>
    <x v="1"/>
    <x v="2122"/>
    <x v="0"/>
    <n v="7"/>
    <n v="10"/>
    <e v="#N/A"/>
  </r>
  <r>
    <n v="4214"/>
    <d v="2016-02-11T12:44:17"/>
    <d v="2016-02-11T12:59:16"/>
    <x v="2"/>
    <m/>
    <m/>
    <x v="1"/>
    <n v="70803"/>
    <n v="4.91425154269335"/>
    <d v="2016-02-11T13:23:50"/>
    <n v="11.59"/>
    <x v="1206"/>
    <n v="1"/>
    <n v="1.7"/>
    <n v="0"/>
    <n v="0"/>
    <n v="1.7"/>
    <x v="1194"/>
    <x v="1"/>
    <x v="2123"/>
    <x v="0"/>
    <n v="10"/>
    <e v="#N/A"/>
    <e v="#N/A"/>
  </r>
  <r>
    <n v="4215"/>
    <d v="2016-02-11T11:22:47"/>
    <d v="2016-02-11T11:37:48"/>
    <x v="0"/>
    <s v="Large"/>
    <m/>
    <x v="0"/>
    <n v="70804"/>
    <n v="0"/>
    <d v="2016-02-11T11:40:48"/>
    <n v="23.34"/>
    <x v="2"/>
    <n v="2"/>
    <n v="1"/>
    <n v="2.2999999999999998"/>
    <n v="0"/>
    <n v="3.3"/>
    <x v="0"/>
    <x v="0"/>
    <x v="0"/>
    <x v="0"/>
    <n v="7"/>
    <n v="14"/>
    <e v="#N/A"/>
  </r>
  <r>
    <n v="4216"/>
    <d v="2016-02-11T10:20:40"/>
    <d v="2016-02-11T10:35:40"/>
    <x v="0"/>
    <m/>
    <m/>
    <x v="1"/>
    <n v="70805"/>
    <n v="4.2836570011170396"/>
    <d v="2016-02-11T10:57:05"/>
    <n v="7.99"/>
    <x v="1068"/>
    <n v="1"/>
    <n v="1"/>
    <n v="0"/>
    <n v="0"/>
    <n v="1"/>
    <x v="1055"/>
    <x v="1"/>
    <x v="2124"/>
    <x v="0"/>
    <n v="7"/>
    <e v="#N/A"/>
    <e v="#N/A"/>
  </r>
  <r>
    <n v="4217"/>
    <d v="2016-02-11T10:48:24"/>
    <d v="2016-02-11T11:03:24"/>
    <x v="0"/>
    <m/>
    <m/>
    <x v="0"/>
    <n v="70805"/>
    <n v="0"/>
    <d v="2016-02-11T11:06:25"/>
    <n v="7.99"/>
    <x v="14"/>
    <n v="1"/>
    <n v="1"/>
    <n v="0"/>
    <n v="0"/>
    <n v="1"/>
    <x v="0"/>
    <x v="0"/>
    <x v="0"/>
    <x v="0"/>
    <n v="7"/>
    <e v="#N/A"/>
    <e v="#N/A"/>
  </r>
  <r>
    <n v="4218"/>
    <d v="2016-02-11T11:35:32"/>
    <d v="2016-02-11T11:50:30"/>
    <x v="2"/>
    <m/>
    <m/>
    <x v="1"/>
    <n v="70803"/>
    <n v="3.4594738437283299"/>
    <d v="2016-02-11T12:07:47"/>
    <n v="11.59"/>
    <x v="1261"/>
    <n v="1"/>
    <n v="1.7"/>
    <n v="0"/>
    <n v="0"/>
    <n v="1.7"/>
    <x v="1249"/>
    <x v="1"/>
    <x v="2125"/>
    <x v="0"/>
    <n v="10"/>
    <e v="#N/A"/>
    <e v="#N/A"/>
  </r>
  <r>
    <n v="4219"/>
    <d v="2016-02-11T12:43:39"/>
    <d v="2016-02-11T12:58:38"/>
    <x v="0"/>
    <s v="Medium"/>
    <m/>
    <x v="0"/>
    <n v="70808"/>
    <n v="0"/>
    <d v="2016-02-11T13:01:37"/>
    <n v="19.579999999999998"/>
    <x v="24"/>
    <n v="2"/>
    <n v="1"/>
    <n v="1.7"/>
    <n v="0"/>
    <n v="2.7"/>
    <x v="0"/>
    <x v="0"/>
    <x v="0"/>
    <x v="0"/>
    <n v="7"/>
    <n v="10"/>
    <e v="#N/A"/>
  </r>
  <r>
    <n v="4220"/>
    <d v="2016-02-11T12:27:05"/>
    <d v="2016-02-11T12:42:05"/>
    <x v="1"/>
    <m/>
    <m/>
    <x v="0"/>
    <n v="70806"/>
    <n v="0"/>
    <d v="2016-02-11T12:45:05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4221"/>
    <d v="2016-02-11T12:27:57"/>
    <d v="2016-02-11T12:42:57"/>
    <x v="0"/>
    <s v="Medium"/>
    <m/>
    <x v="0"/>
    <n v="70804"/>
    <n v="0"/>
    <d v="2016-02-11T12:45:57"/>
    <n v="19.579999999999998"/>
    <x v="2"/>
    <n v="2"/>
    <n v="1"/>
    <n v="1.7"/>
    <n v="0"/>
    <n v="2.7"/>
    <x v="0"/>
    <x v="0"/>
    <x v="0"/>
    <x v="0"/>
    <n v="7"/>
    <n v="10"/>
    <e v="#N/A"/>
  </r>
  <r>
    <n v="4222"/>
    <d v="2016-02-11T12:10:20"/>
    <d v="2016-02-11T12:25:19"/>
    <x v="2"/>
    <m/>
    <m/>
    <x v="0"/>
    <n v="70803"/>
    <n v="0"/>
    <d v="2016-02-11T12:28:21"/>
    <n v="11.59"/>
    <x v="67"/>
    <n v="1"/>
    <n v="1.7"/>
    <n v="0"/>
    <n v="0"/>
    <n v="1.7"/>
    <x v="0"/>
    <x v="0"/>
    <x v="0"/>
    <x v="0"/>
    <n v="10"/>
    <e v="#N/A"/>
    <e v="#N/A"/>
  </r>
  <r>
    <n v="4223"/>
    <d v="2016-02-11T11:29:40"/>
    <d v="2016-02-11T11:44:40"/>
    <x v="0"/>
    <m/>
    <m/>
    <x v="1"/>
    <n v="70805"/>
    <n v="2.2433098307002601"/>
    <d v="2016-02-11T11:55:52"/>
    <n v="7.99"/>
    <x v="1318"/>
    <n v="1"/>
    <n v="1"/>
    <n v="0"/>
    <n v="0"/>
    <n v="1"/>
    <x v="1306"/>
    <x v="0"/>
    <x v="2126"/>
    <x v="1214"/>
    <n v="7"/>
    <e v="#N/A"/>
    <e v="#N/A"/>
  </r>
  <r>
    <n v="4224"/>
    <d v="2016-02-11T13:22:17"/>
    <d v="2016-02-11T13:37:17"/>
    <x v="0"/>
    <s v="Medium"/>
    <m/>
    <x v="0"/>
    <n v="70806"/>
    <n v="0"/>
    <d v="2016-02-11T13:40:16"/>
    <n v="19.579999999999998"/>
    <x v="24"/>
    <n v="2"/>
    <n v="1"/>
    <n v="1.7"/>
    <n v="0"/>
    <n v="2.7"/>
    <x v="0"/>
    <x v="0"/>
    <x v="0"/>
    <x v="0"/>
    <n v="7"/>
    <n v="10"/>
    <e v="#N/A"/>
  </r>
  <r>
    <n v="4225"/>
    <d v="2016-02-11T12:28:18"/>
    <d v="2016-02-11T12:43:19"/>
    <x v="1"/>
    <m/>
    <m/>
    <x v="1"/>
    <n v="70805"/>
    <n v="2.9442575215594999"/>
    <d v="2016-02-11T12:58:02"/>
    <n v="15.35"/>
    <x v="1322"/>
    <n v="1"/>
    <n v="2.2999999999999998"/>
    <n v="0"/>
    <n v="0"/>
    <n v="2.2999999999999998"/>
    <x v="1310"/>
    <x v="0"/>
    <x v="2127"/>
    <x v="1215"/>
    <n v="14"/>
    <e v="#N/A"/>
    <e v="#N/A"/>
  </r>
  <r>
    <n v="4226"/>
    <d v="2016-02-11T11:51:57"/>
    <d v="2016-02-11T12:06:56"/>
    <x v="2"/>
    <m/>
    <m/>
    <x v="1"/>
    <n v="70808"/>
    <n v="3.3186898475143201"/>
    <d v="2016-02-11T12:23:31"/>
    <n v="11.59"/>
    <x v="1222"/>
    <n v="1"/>
    <n v="1.7"/>
    <n v="0"/>
    <n v="0"/>
    <n v="1.7"/>
    <x v="1210"/>
    <x v="1"/>
    <x v="2128"/>
    <x v="0"/>
    <n v="10"/>
    <e v="#N/A"/>
    <e v="#N/A"/>
  </r>
  <r>
    <n v="4227"/>
    <d v="2016-02-11T10:59:41"/>
    <d v="2016-02-11T11:14:41"/>
    <x v="0"/>
    <m/>
    <m/>
    <x v="0"/>
    <n v="70804"/>
    <n v="0"/>
    <d v="2016-02-11T11:17:41"/>
    <n v="7.99"/>
    <x v="2"/>
    <n v="1"/>
    <n v="1"/>
    <n v="0"/>
    <n v="0"/>
    <n v="1"/>
    <x v="0"/>
    <x v="0"/>
    <x v="0"/>
    <x v="0"/>
    <n v="7"/>
    <e v="#N/A"/>
    <e v="#N/A"/>
  </r>
  <r>
    <n v="4228"/>
    <d v="2016-02-11T10:17:37"/>
    <d v="2016-02-11T10:32:37"/>
    <x v="0"/>
    <m/>
    <m/>
    <x v="0"/>
    <n v="70805"/>
    <n v="0"/>
    <d v="2016-02-11T10:35:36"/>
    <n v="7.99"/>
    <x v="24"/>
    <n v="1"/>
    <n v="1"/>
    <n v="0"/>
    <n v="0"/>
    <n v="1"/>
    <x v="0"/>
    <x v="0"/>
    <x v="0"/>
    <x v="0"/>
    <n v="7"/>
    <e v="#N/A"/>
    <e v="#N/A"/>
  </r>
  <r>
    <n v="4229"/>
    <d v="2016-02-11T11:41:51"/>
    <d v="2016-02-11T11:56:50"/>
    <x v="1"/>
    <m/>
    <m/>
    <x v="0"/>
    <n v="70804"/>
    <n v="0"/>
    <d v="2016-02-11T11:59:51"/>
    <n v="15.35"/>
    <x v="56"/>
    <n v="1"/>
    <n v="2.2999999999999998"/>
    <n v="0"/>
    <n v="0"/>
    <n v="2.2999999999999998"/>
    <x v="0"/>
    <x v="0"/>
    <x v="0"/>
    <x v="0"/>
    <n v="14"/>
    <e v="#N/A"/>
    <e v="#N/A"/>
  </r>
  <r>
    <n v="4230"/>
    <d v="2016-02-11T11:14:15"/>
    <d v="2016-02-11T11:29:14"/>
    <x v="2"/>
    <m/>
    <m/>
    <x v="0"/>
    <n v="70804"/>
    <n v="0"/>
    <d v="2016-02-11T11:32:13"/>
    <n v="11.59"/>
    <x v="1"/>
    <n v="1"/>
    <n v="1.7"/>
    <n v="0"/>
    <n v="0"/>
    <n v="1.7"/>
    <x v="0"/>
    <x v="0"/>
    <x v="0"/>
    <x v="0"/>
    <n v="10"/>
    <e v="#N/A"/>
    <e v="#N/A"/>
  </r>
  <r>
    <n v="4231"/>
    <d v="2016-02-11T13:49:57"/>
    <d v="2016-02-11T14:04:58"/>
    <x v="0"/>
    <s v="Medium"/>
    <m/>
    <x v="0"/>
    <n v="70803"/>
    <n v="0"/>
    <d v="2016-02-11T14:07:58"/>
    <n v="19.579999999999998"/>
    <x v="2"/>
    <n v="2"/>
    <n v="1"/>
    <n v="1.7"/>
    <n v="0"/>
    <n v="2.7"/>
    <x v="0"/>
    <x v="0"/>
    <x v="0"/>
    <x v="0"/>
    <n v="7"/>
    <n v="10"/>
    <e v="#N/A"/>
  </r>
  <r>
    <n v="4232"/>
    <d v="2016-02-11T11:13:18"/>
    <d v="2016-02-11T11:28:17"/>
    <x v="1"/>
    <m/>
    <m/>
    <x v="0"/>
    <n v="70804"/>
    <n v="0"/>
    <d v="2016-02-11T11:31:19"/>
    <n v="15.35"/>
    <x v="67"/>
    <n v="1"/>
    <n v="2.2999999999999998"/>
    <n v="0"/>
    <n v="0"/>
    <n v="2.2999999999999998"/>
    <x v="0"/>
    <x v="0"/>
    <x v="0"/>
    <x v="0"/>
    <n v="14"/>
    <e v="#N/A"/>
    <e v="#N/A"/>
  </r>
  <r>
    <n v="4233"/>
    <d v="2016-02-11T11:52:38"/>
    <d v="2016-02-11T12:07:39"/>
    <x v="0"/>
    <m/>
    <m/>
    <x v="0"/>
    <n v="70806"/>
    <n v="0"/>
    <d v="2016-02-11T12:10:39"/>
    <n v="7.99"/>
    <x v="2"/>
    <n v="1"/>
    <n v="1"/>
    <n v="0"/>
    <n v="0"/>
    <n v="1"/>
    <x v="0"/>
    <x v="0"/>
    <x v="0"/>
    <x v="0"/>
    <n v="7"/>
    <e v="#N/A"/>
    <e v="#N/A"/>
  </r>
  <r>
    <n v="4234"/>
    <d v="2016-02-11T11:44:49"/>
    <d v="2016-02-11T11:59:49"/>
    <x v="0"/>
    <s v="Medium"/>
    <m/>
    <x v="0"/>
    <n v="70806"/>
    <n v="0"/>
    <d v="2016-02-11T12:02:48"/>
    <n v="19.579999999999998"/>
    <x v="1"/>
    <n v="2"/>
    <n v="1"/>
    <n v="1.7"/>
    <n v="0"/>
    <n v="2.7"/>
    <x v="0"/>
    <x v="0"/>
    <x v="0"/>
    <x v="0"/>
    <n v="7"/>
    <n v="10"/>
    <e v="#N/A"/>
  </r>
  <r>
    <n v="4235"/>
    <d v="2016-02-11T11:38:55"/>
    <d v="2016-02-11T11:53:54"/>
    <x v="2"/>
    <m/>
    <m/>
    <x v="0"/>
    <n v="70803"/>
    <n v="0"/>
    <d v="2016-02-11T11:56:56"/>
    <n v="11.59"/>
    <x v="67"/>
    <n v="1"/>
    <n v="1.7"/>
    <n v="0"/>
    <n v="0"/>
    <n v="1.7"/>
    <x v="0"/>
    <x v="0"/>
    <x v="0"/>
    <x v="0"/>
    <n v="10"/>
    <e v="#N/A"/>
    <e v="#N/A"/>
  </r>
  <r>
    <n v="4236"/>
    <d v="2016-02-11T11:48:10"/>
    <d v="2016-02-11T12:03:10"/>
    <x v="0"/>
    <m/>
    <m/>
    <x v="1"/>
    <n v="70805"/>
    <n v="4.7216806503972002"/>
    <d v="2016-02-11T12:26:46"/>
    <n v="7.99"/>
    <x v="299"/>
    <n v="1"/>
    <n v="1"/>
    <n v="0"/>
    <n v="0"/>
    <n v="1"/>
    <x v="286"/>
    <x v="1"/>
    <x v="2129"/>
    <x v="0"/>
    <n v="7"/>
    <e v="#N/A"/>
    <e v="#N/A"/>
  </r>
  <r>
    <n v="4237"/>
    <d v="2016-02-11T12:24:03"/>
    <d v="2016-02-11T12:39:05"/>
    <x v="2"/>
    <m/>
    <m/>
    <x v="1"/>
    <n v="70806"/>
    <n v="2.4307493447688899"/>
    <d v="2016-02-11T12:51:14"/>
    <n v="11.59"/>
    <x v="424"/>
    <n v="1"/>
    <n v="1.7"/>
    <n v="0"/>
    <n v="0"/>
    <n v="1.7"/>
    <x v="411"/>
    <x v="0"/>
    <x v="2130"/>
    <x v="1216"/>
    <n v="10"/>
    <e v="#N/A"/>
    <e v="#N/A"/>
  </r>
  <r>
    <n v="4238"/>
    <d v="2016-02-12T12:23:32"/>
    <d v="2016-02-12T12:38:32"/>
    <x v="2"/>
    <m/>
    <m/>
    <x v="1"/>
    <n v="70805"/>
    <n v="3.00413216482568"/>
    <d v="2016-02-12T12:53:33"/>
    <n v="11.59"/>
    <x v="723"/>
    <n v="1"/>
    <n v="1.7"/>
    <n v="0"/>
    <n v="0"/>
    <n v="1.7"/>
    <x v="710"/>
    <x v="0"/>
    <x v="2131"/>
    <x v="1217"/>
    <n v="10"/>
    <e v="#N/A"/>
    <e v="#N/A"/>
  </r>
  <r>
    <n v="4239"/>
    <d v="2016-02-12T13:54:29"/>
    <d v="2016-02-12T14:09:28"/>
    <x v="0"/>
    <m/>
    <m/>
    <x v="0"/>
    <n v="70805"/>
    <n v="0"/>
    <d v="2016-02-12T14:12:29"/>
    <n v="7.99"/>
    <x v="14"/>
    <n v="1"/>
    <n v="1"/>
    <n v="0"/>
    <n v="0"/>
    <n v="1"/>
    <x v="0"/>
    <x v="0"/>
    <x v="0"/>
    <x v="0"/>
    <n v="7"/>
    <e v="#N/A"/>
    <e v="#N/A"/>
  </r>
  <r>
    <n v="4240"/>
    <d v="2016-02-12T12:35:39"/>
    <d v="2016-02-12T12:50:37"/>
    <x v="2"/>
    <m/>
    <m/>
    <x v="1"/>
    <n v="70804"/>
    <n v="2.3757233871857801"/>
    <d v="2016-02-12T13:02:29"/>
    <n v="11.59"/>
    <x v="29"/>
    <n v="1"/>
    <n v="1.7"/>
    <n v="0"/>
    <n v="0"/>
    <n v="1.7"/>
    <x v="23"/>
    <x v="0"/>
    <x v="2132"/>
    <x v="1218"/>
    <n v="10"/>
    <e v="#N/A"/>
    <e v="#N/A"/>
  </r>
  <r>
    <n v="4241"/>
    <d v="2016-02-12T14:28:29"/>
    <d v="2016-02-12T14:43:28"/>
    <x v="2"/>
    <m/>
    <m/>
    <x v="1"/>
    <n v="70804"/>
    <n v="3.8291127569074002"/>
    <d v="2016-02-12T15:02:36"/>
    <n v="11.59"/>
    <x v="202"/>
    <n v="1"/>
    <n v="1.7"/>
    <n v="0"/>
    <n v="0"/>
    <n v="1.7"/>
    <x v="190"/>
    <x v="1"/>
    <x v="2133"/>
    <x v="0"/>
    <n v="10"/>
    <e v="#N/A"/>
    <e v="#N/A"/>
  </r>
  <r>
    <n v="4242"/>
    <d v="2016-02-12T12:54:57"/>
    <d v="2016-02-12T13:09:56"/>
    <x v="0"/>
    <s v="Medium"/>
    <m/>
    <x v="1"/>
    <n v="70807"/>
    <n v="4.3479341392344697"/>
    <d v="2016-02-12T13:31:40"/>
    <n v="19.579999999999998"/>
    <x v="1323"/>
    <n v="2"/>
    <n v="1"/>
    <n v="1.7"/>
    <n v="0"/>
    <n v="2.7"/>
    <x v="1311"/>
    <x v="1"/>
    <x v="2134"/>
    <x v="0"/>
    <n v="7"/>
    <n v="10"/>
    <e v="#N/A"/>
  </r>
  <r>
    <n v="4243"/>
    <d v="2016-02-12T10:56:07"/>
    <d v="2016-02-12T11:11:06"/>
    <x v="1"/>
    <m/>
    <m/>
    <x v="1"/>
    <n v="70806"/>
    <n v="3.53250327038459"/>
    <d v="2016-02-12T11:28:45"/>
    <n v="15.35"/>
    <x v="825"/>
    <n v="1"/>
    <n v="2.2999999999999998"/>
    <n v="0"/>
    <n v="0"/>
    <n v="2.2999999999999998"/>
    <x v="812"/>
    <x v="1"/>
    <x v="2135"/>
    <x v="0"/>
    <n v="14"/>
    <e v="#N/A"/>
    <e v="#N/A"/>
  </r>
  <r>
    <n v="4244"/>
    <d v="2016-02-12T13:07:10"/>
    <d v="2016-02-12T13:22:09"/>
    <x v="2"/>
    <m/>
    <m/>
    <x v="0"/>
    <n v="70808"/>
    <n v="0"/>
    <d v="2016-02-12T13:25:08"/>
    <n v="11.59"/>
    <x v="1"/>
    <n v="1"/>
    <n v="1.7"/>
    <n v="0"/>
    <n v="0"/>
    <n v="1.7"/>
    <x v="0"/>
    <x v="0"/>
    <x v="0"/>
    <x v="0"/>
    <n v="10"/>
    <e v="#N/A"/>
    <e v="#N/A"/>
  </r>
  <r>
    <n v="4245"/>
    <d v="2016-02-12T11:20:10"/>
    <d v="2016-02-12T11:35:09"/>
    <x v="0"/>
    <m/>
    <m/>
    <x v="0"/>
    <n v="70805"/>
    <n v="0"/>
    <d v="2016-02-12T11:38:09"/>
    <n v="7.99"/>
    <x v="2"/>
    <n v="1"/>
    <n v="1"/>
    <n v="0"/>
    <n v="0"/>
    <n v="1"/>
    <x v="0"/>
    <x v="0"/>
    <x v="0"/>
    <x v="0"/>
    <n v="7"/>
    <e v="#N/A"/>
    <e v="#N/A"/>
  </r>
  <r>
    <n v="4246"/>
    <d v="2016-02-12T13:59:41"/>
    <d v="2016-02-12T14:14:40"/>
    <x v="2"/>
    <m/>
    <m/>
    <x v="1"/>
    <n v="70803"/>
    <n v="3.5122669087300098"/>
    <d v="2016-02-12T14:32:13"/>
    <n v="11.59"/>
    <x v="1071"/>
    <n v="1"/>
    <n v="1.7"/>
    <n v="0"/>
    <n v="0"/>
    <n v="1.7"/>
    <x v="1058"/>
    <x v="1"/>
    <x v="2136"/>
    <x v="0"/>
    <n v="10"/>
    <e v="#N/A"/>
    <e v="#N/A"/>
  </r>
  <r>
    <n v="4247"/>
    <d v="2016-02-12T12:04:34"/>
    <d v="2016-02-12T12:19:34"/>
    <x v="1"/>
    <m/>
    <m/>
    <x v="1"/>
    <n v="70806"/>
    <n v="3.7917735204522298"/>
    <d v="2016-02-12T12:38:31"/>
    <n v="15.35"/>
    <x v="1085"/>
    <n v="1"/>
    <n v="2.2999999999999998"/>
    <n v="0"/>
    <n v="0"/>
    <n v="2.2999999999999998"/>
    <x v="1072"/>
    <x v="1"/>
    <x v="2137"/>
    <x v="0"/>
    <n v="14"/>
    <e v="#N/A"/>
    <e v="#N/A"/>
  </r>
  <r>
    <n v="4248"/>
    <d v="2016-02-12T14:54:37"/>
    <d v="2016-02-12T15:09:37"/>
    <x v="2"/>
    <m/>
    <m/>
    <x v="1"/>
    <n v="70803"/>
    <n v="2.5765440452677599"/>
    <d v="2016-02-12T15:22:29"/>
    <n v="11.59"/>
    <x v="16"/>
    <n v="1"/>
    <n v="1.7"/>
    <n v="0"/>
    <n v="0"/>
    <n v="1.7"/>
    <x v="13"/>
    <x v="0"/>
    <x v="2138"/>
    <x v="1219"/>
    <n v="10"/>
    <e v="#N/A"/>
    <e v="#N/A"/>
  </r>
  <r>
    <n v="4249"/>
    <d v="2016-02-12T11:21:12"/>
    <d v="2016-02-12T11:36:11"/>
    <x v="2"/>
    <s v="Large"/>
    <m/>
    <x v="1"/>
    <n v="70805"/>
    <n v="4.2329662255034997"/>
    <d v="2016-02-12T11:57:20"/>
    <n v="25.94"/>
    <x v="357"/>
    <n v="2"/>
    <n v="1.7"/>
    <n v="2.2999999999999998"/>
    <n v="0"/>
    <n v="4"/>
    <x v="344"/>
    <x v="1"/>
    <x v="2139"/>
    <x v="0"/>
    <n v="10"/>
    <n v="14"/>
    <e v="#N/A"/>
  </r>
  <r>
    <n v="4250"/>
    <d v="2016-02-12T11:29:19"/>
    <d v="2016-02-12T11:44:19"/>
    <x v="2"/>
    <m/>
    <m/>
    <x v="1"/>
    <n v="70806"/>
    <n v="1.7769444490558499"/>
    <d v="2016-02-12T11:53:12"/>
    <n v="11.59"/>
    <x v="1324"/>
    <n v="1"/>
    <n v="1.7"/>
    <n v="0"/>
    <n v="0"/>
    <n v="1.7"/>
    <x v="1312"/>
    <x v="0"/>
    <x v="2140"/>
    <x v="1220"/>
    <n v="10"/>
    <e v="#N/A"/>
    <e v="#N/A"/>
  </r>
  <r>
    <n v="4251"/>
    <d v="2016-02-12T10:50:22"/>
    <d v="2016-02-12T11:05:21"/>
    <x v="0"/>
    <m/>
    <m/>
    <x v="0"/>
    <n v="70805"/>
    <n v="0"/>
    <d v="2016-02-12T11:08:20"/>
    <n v="7.99"/>
    <x v="1"/>
    <n v="1"/>
    <n v="1"/>
    <n v="0"/>
    <n v="0"/>
    <n v="1"/>
    <x v="0"/>
    <x v="0"/>
    <x v="0"/>
    <x v="0"/>
    <n v="7"/>
    <e v="#N/A"/>
    <e v="#N/A"/>
  </r>
  <r>
    <n v="4252"/>
    <d v="2016-02-12T12:43:38"/>
    <d v="2016-02-12T12:58:38"/>
    <x v="0"/>
    <s v="Medium"/>
    <m/>
    <x v="1"/>
    <n v="70805"/>
    <n v="1.2791965976519"/>
    <d v="2016-02-12T13:05:01"/>
    <n v="19.579999999999998"/>
    <x v="1325"/>
    <n v="2"/>
    <n v="1"/>
    <n v="1.7"/>
    <n v="0"/>
    <n v="2.7"/>
    <x v="1313"/>
    <x v="0"/>
    <x v="2141"/>
    <x v="1221"/>
    <n v="7"/>
    <n v="10"/>
    <e v="#N/A"/>
  </r>
  <r>
    <n v="4253"/>
    <d v="2016-02-12T11:34:07"/>
    <d v="2016-02-12T11:49:07"/>
    <x v="2"/>
    <m/>
    <m/>
    <x v="0"/>
    <n v="70805"/>
    <n v="0"/>
    <d v="2016-02-12T11:52:07"/>
    <n v="11.59"/>
    <x v="2"/>
    <n v="1"/>
    <n v="1.7"/>
    <n v="0"/>
    <n v="0"/>
    <n v="1.7"/>
    <x v="0"/>
    <x v="0"/>
    <x v="0"/>
    <x v="0"/>
    <n v="10"/>
    <e v="#N/A"/>
    <e v="#N/A"/>
  </r>
  <r>
    <n v="4254"/>
    <d v="2016-02-12T12:22:36"/>
    <d v="2016-02-12T12:37:34"/>
    <x v="0"/>
    <s v="Medium"/>
    <m/>
    <x v="0"/>
    <n v="70803"/>
    <n v="0"/>
    <d v="2016-02-12T12:40:33"/>
    <n v="19.579999999999998"/>
    <x v="24"/>
    <n v="2"/>
    <n v="1"/>
    <n v="1.7"/>
    <n v="0"/>
    <n v="2.7"/>
    <x v="0"/>
    <x v="0"/>
    <x v="0"/>
    <x v="0"/>
    <n v="7"/>
    <n v="10"/>
    <e v="#N/A"/>
  </r>
  <r>
    <n v="4255"/>
    <d v="2016-02-12T12:07:24"/>
    <d v="2016-02-12T12:22:25"/>
    <x v="0"/>
    <s v="Large"/>
    <m/>
    <x v="0"/>
    <n v="70805"/>
    <n v="0"/>
    <d v="2016-02-12T12:25:24"/>
    <n v="23.34"/>
    <x v="24"/>
    <n v="2"/>
    <n v="1"/>
    <n v="2.2999999999999998"/>
    <n v="0"/>
    <n v="3.3"/>
    <x v="0"/>
    <x v="0"/>
    <x v="0"/>
    <x v="0"/>
    <n v="7"/>
    <n v="14"/>
    <e v="#N/A"/>
  </r>
  <r>
    <n v="4256"/>
    <d v="2016-02-12T13:51:03"/>
    <d v="2016-02-12T14:06:02"/>
    <x v="2"/>
    <m/>
    <m/>
    <x v="1"/>
    <n v="70805"/>
    <n v="4.26479348320255"/>
    <d v="2016-02-12T14:27:21"/>
    <n v="11.59"/>
    <x v="1326"/>
    <n v="1"/>
    <n v="1.7"/>
    <n v="0"/>
    <n v="0"/>
    <n v="1.7"/>
    <x v="1314"/>
    <x v="1"/>
    <x v="2142"/>
    <x v="0"/>
    <n v="10"/>
    <e v="#N/A"/>
    <e v="#N/A"/>
  </r>
  <r>
    <n v="4257"/>
    <d v="2016-02-12T12:41:25"/>
    <d v="2016-02-12T12:56:25"/>
    <x v="1"/>
    <m/>
    <m/>
    <x v="0"/>
    <n v="70805"/>
    <n v="0"/>
    <d v="2016-02-12T12:59:25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4258"/>
    <d v="2016-02-12T12:20:32"/>
    <d v="2016-02-12T12:35:33"/>
    <x v="0"/>
    <s v="Medium"/>
    <m/>
    <x v="0"/>
    <n v="70803"/>
    <n v="0"/>
    <d v="2016-02-12T12:38:33"/>
    <n v="19.579999999999998"/>
    <x v="2"/>
    <n v="2"/>
    <n v="1"/>
    <n v="1.7"/>
    <n v="0"/>
    <n v="2.7"/>
    <x v="0"/>
    <x v="0"/>
    <x v="0"/>
    <x v="0"/>
    <n v="7"/>
    <n v="10"/>
    <e v="#N/A"/>
  </r>
  <r>
    <n v="4259"/>
    <d v="2016-02-12T13:25:28"/>
    <d v="2016-02-12T13:40:25"/>
    <x v="2"/>
    <m/>
    <m/>
    <x v="1"/>
    <n v="70806"/>
    <n v="2.0997315903245801"/>
    <d v="2016-02-12T13:50:54"/>
    <n v="11.59"/>
    <x v="230"/>
    <n v="1"/>
    <n v="1.7"/>
    <n v="0"/>
    <n v="0"/>
    <n v="1.7"/>
    <x v="217"/>
    <x v="0"/>
    <x v="2143"/>
    <x v="1222"/>
    <n v="10"/>
    <e v="#N/A"/>
    <e v="#N/A"/>
  </r>
  <r>
    <n v="4260"/>
    <d v="2016-02-12T12:41:55"/>
    <d v="2016-02-12T12:56:55"/>
    <x v="0"/>
    <s v="Large"/>
    <m/>
    <x v="0"/>
    <n v="70805"/>
    <n v="0"/>
    <d v="2016-02-12T12:59:54"/>
    <n v="23.34"/>
    <x v="1"/>
    <n v="2"/>
    <n v="1"/>
    <n v="2.2999999999999998"/>
    <n v="0"/>
    <n v="3.3"/>
    <x v="0"/>
    <x v="0"/>
    <x v="0"/>
    <x v="0"/>
    <n v="7"/>
    <n v="14"/>
    <e v="#N/A"/>
  </r>
  <r>
    <n v="4261"/>
    <d v="2016-02-12T13:12:18"/>
    <d v="2016-02-12T13:27:17"/>
    <x v="0"/>
    <m/>
    <m/>
    <x v="1"/>
    <n v="70805"/>
    <n v="2.76075841164436"/>
    <d v="2016-02-12T13:41:05"/>
    <n v="7.99"/>
    <x v="1327"/>
    <n v="1"/>
    <n v="1"/>
    <n v="0"/>
    <n v="0"/>
    <n v="1"/>
    <x v="1315"/>
    <x v="0"/>
    <x v="2144"/>
    <x v="1223"/>
    <n v="7"/>
    <e v="#N/A"/>
    <e v="#N/A"/>
  </r>
  <r>
    <n v="4262"/>
    <d v="2016-02-12T11:44:09"/>
    <d v="2016-02-12T11:59:10"/>
    <x v="2"/>
    <m/>
    <m/>
    <x v="1"/>
    <n v="70805"/>
    <n v="2.7820623486618699"/>
    <d v="2016-02-12T12:13:04"/>
    <n v="11.59"/>
    <x v="1328"/>
    <n v="1"/>
    <n v="1.7"/>
    <n v="0"/>
    <n v="0"/>
    <n v="1.7"/>
    <x v="1316"/>
    <x v="0"/>
    <x v="2145"/>
    <x v="1224"/>
    <n v="10"/>
    <e v="#N/A"/>
    <e v="#N/A"/>
  </r>
  <r>
    <n v="4263"/>
    <d v="2016-02-12T11:14:14"/>
    <d v="2016-02-12T11:29:13"/>
    <x v="2"/>
    <m/>
    <m/>
    <x v="1"/>
    <n v="70805"/>
    <n v="1.37349428256835"/>
    <d v="2016-02-12T11:36:05"/>
    <n v="11.59"/>
    <x v="1026"/>
    <n v="1"/>
    <n v="1.7"/>
    <n v="0"/>
    <n v="0"/>
    <n v="1.7"/>
    <x v="1013"/>
    <x v="0"/>
    <x v="2146"/>
    <x v="1225"/>
    <n v="10"/>
    <e v="#N/A"/>
    <e v="#N/A"/>
  </r>
  <r>
    <n v="4264"/>
    <d v="2016-02-12T13:32:32"/>
    <d v="2016-02-12T13:47:31"/>
    <x v="2"/>
    <m/>
    <m/>
    <x v="1"/>
    <n v="70806"/>
    <n v="2.3652851318795598"/>
    <d v="2016-02-12T13:59:20"/>
    <n v="11.59"/>
    <x v="1329"/>
    <n v="1"/>
    <n v="1.7"/>
    <n v="0"/>
    <n v="0"/>
    <n v="1.7"/>
    <x v="1317"/>
    <x v="0"/>
    <x v="2147"/>
    <x v="1226"/>
    <n v="10"/>
    <e v="#N/A"/>
    <e v="#N/A"/>
  </r>
  <r>
    <n v="4265"/>
    <d v="2016-02-12T12:48:41"/>
    <d v="2016-02-12T13:03:41"/>
    <x v="0"/>
    <m/>
    <m/>
    <x v="0"/>
    <n v="70805"/>
    <n v="0"/>
    <d v="2016-02-12T13:06:41"/>
    <n v="7.99"/>
    <x v="2"/>
    <n v="1"/>
    <n v="1"/>
    <n v="0"/>
    <n v="0"/>
    <n v="1"/>
    <x v="0"/>
    <x v="0"/>
    <x v="0"/>
    <x v="0"/>
    <n v="7"/>
    <e v="#N/A"/>
    <e v="#N/A"/>
  </r>
  <r>
    <n v="4266"/>
    <d v="2016-02-12T11:52:56"/>
    <d v="2016-02-12T12:07:55"/>
    <x v="0"/>
    <m/>
    <m/>
    <x v="1"/>
    <n v="70806"/>
    <n v="3.3663606535868702"/>
    <d v="2016-02-12T12:24:44"/>
    <n v="7.99"/>
    <x v="1013"/>
    <n v="1"/>
    <n v="1"/>
    <n v="0"/>
    <n v="0"/>
    <n v="1"/>
    <x v="1000"/>
    <x v="1"/>
    <x v="2148"/>
    <x v="0"/>
    <n v="7"/>
    <e v="#N/A"/>
    <e v="#N/A"/>
  </r>
  <r>
    <n v="4267"/>
    <d v="2016-02-12T12:50:32"/>
    <d v="2016-02-12T13:05:32"/>
    <x v="1"/>
    <m/>
    <m/>
    <x v="0"/>
    <n v="70807"/>
    <n v="0"/>
    <d v="2016-02-12T13:08:31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4268"/>
    <d v="2016-02-12T12:14:40"/>
    <d v="2016-02-12T12:29:40"/>
    <x v="1"/>
    <m/>
    <m/>
    <x v="0"/>
    <n v="70805"/>
    <n v="0"/>
    <d v="2016-02-12T12:32:39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4269"/>
    <d v="2016-02-12T12:27:22"/>
    <d v="2016-02-12T12:42:22"/>
    <x v="2"/>
    <m/>
    <m/>
    <x v="0"/>
    <n v="70804"/>
    <n v="0"/>
    <d v="2016-02-12T12:45:20"/>
    <n v="11.59"/>
    <x v="0"/>
    <n v="1"/>
    <n v="1.7"/>
    <n v="0"/>
    <n v="0"/>
    <n v="1.7"/>
    <x v="0"/>
    <x v="0"/>
    <x v="0"/>
    <x v="0"/>
    <n v="10"/>
    <e v="#N/A"/>
    <e v="#N/A"/>
  </r>
  <r>
    <n v="4270"/>
    <d v="2016-02-12T11:03:36"/>
    <d v="2016-02-12T11:18:37"/>
    <x v="0"/>
    <m/>
    <m/>
    <x v="0"/>
    <n v="70806"/>
    <n v="0"/>
    <d v="2016-02-12T11:21:37"/>
    <n v="7.99"/>
    <x v="2"/>
    <n v="1"/>
    <n v="1"/>
    <n v="0"/>
    <n v="0"/>
    <n v="1"/>
    <x v="0"/>
    <x v="0"/>
    <x v="0"/>
    <x v="0"/>
    <n v="7"/>
    <e v="#N/A"/>
    <e v="#N/A"/>
  </r>
  <r>
    <n v="4271"/>
    <d v="2016-02-12T10:07:35"/>
    <d v="2016-02-12T10:22:35"/>
    <x v="2"/>
    <m/>
    <m/>
    <x v="1"/>
    <n v="70805"/>
    <n v="1.1762940680635601"/>
    <d v="2016-02-12T10:28:27"/>
    <n v="11.59"/>
    <x v="1330"/>
    <n v="1"/>
    <n v="1.7"/>
    <n v="0"/>
    <n v="0"/>
    <n v="1.7"/>
    <x v="1318"/>
    <x v="0"/>
    <x v="2149"/>
    <x v="1227"/>
    <n v="10"/>
    <e v="#N/A"/>
    <e v="#N/A"/>
  </r>
  <r>
    <n v="4272"/>
    <d v="2016-02-12T12:54:36"/>
    <d v="2016-02-12T13:09:35"/>
    <x v="2"/>
    <s v="Large"/>
    <m/>
    <x v="1"/>
    <n v="70804"/>
    <n v="3.3634460599096698"/>
    <d v="2016-02-12T13:26:24"/>
    <n v="25.94"/>
    <x v="1331"/>
    <n v="2"/>
    <n v="1.7"/>
    <n v="2.2999999999999998"/>
    <n v="0"/>
    <n v="4"/>
    <x v="1319"/>
    <x v="1"/>
    <x v="2150"/>
    <x v="0"/>
    <n v="10"/>
    <n v="14"/>
    <e v="#N/A"/>
  </r>
  <r>
    <n v="4273"/>
    <d v="2016-02-12T11:29:39"/>
    <d v="2016-02-12T11:44:39"/>
    <x v="1"/>
    <m/>
    <m/>
    <x v="1"/>
    <n v="70805"/>
    <n v="3.8420113420390001"/>
    <d v="2016-02-12T12:03:51"/>
    <n v="15.35"/>
    <x v="1257"/>
    <n v="1"/>
    <n v="2.2999999999999998"/>
    <n v="0"/>
    <n v="0"/>
    <n v="2.2999999999999998"/>
    <x v="1245"/>
    <x v="1"/>
    <x v="2151"/>
    <x v="0"/>
    <n v="14"/>
    <e v="#N/A"/>
    <e v="#N/A"/>
  </r>
  <r>
    <n v="4274"/>
    <d v="2016-02-12T11:29:19"/>
    <d v="2016-02-12T11:44:18"/>
    <x v="1"/>
    <m/>
    <m/>
    <x v="1"/>
    <n v="70807"/>
    <n v="3.5321177933744701"/>
    <d v="2016-02-12T12:01:57"/>
    <n v="15.35"/>
    <x v="825"/>
    <n v="1"/>
    <n v="2.2999999999999998"/>
    <n v="0"/>
    <n v="0"/>
    <n v="2.2999999999999998"/>
    <x v="812"/>
    <x v="1"/>
    <x v="2152"/>
    <x v="0"/>
    <n v="14"/>
    <e v="#N/A"/>
    <e v="#N/A"/>
  </r>
  <r>
    <n v="4275"/>
    <d v="2016-02-12T11:27:08"/>
    <d v="2016-02-12T11:42:08"/>
    <x v="1"/>
    <m/>
    <m/>
    <x v="1"/>
    <n v="70803"/>
    <n v="1.33987269663649"/>
    <d v="2016-02-12T11:48:49"/>
    <n v="15.35"/>
    <x v="1332"/>
    <n v="1"/>
    <n v="2.2999999999999998"/>
    <n v="0"/>
    <n v="0"/>
    <n v="2.2999999999999998"/>
    <x v="1320"/>
    <x v="0"/>
    <x v="2153"/>
    <x v="1228"/>
    <n v="14"/>
    <e v="#N/A"/>
    <e v="#N/A"/>
  </r>
  <r>
    <n v="4276"/>
    <d v="2016-02-12T11:45:41"/>
    <d v="2016-02-12T12:00:40"/>
    <x v="0"/>
    <m/>
    <m/>
    <x v="0"/>
    <n v="70803"/>
    <n v="0"/>
    <d v="2016-02-12T12:03:40"/>
    <n v="7.99"/>
    <x v="2"/>
    <n v="1"/>
    <n v="1"/>
    <n v="0"/>
    <n v="0"/>
    <n v="1"/>
    <x v="0"/>
    <x v="0"/>
    <x v="0"/>
    <x v="0"/>
    <n v="7"/>
    <e v="#N/A"/>
    <e v="#N/A"/>
  </r>
  <r>
    <n v="4277"/>
    <d v="2016-02-12T13:48:47"/>
    <d v="2016-02-12T14:03:44"/>
    <x v="0"/>
    <m/>
    <m/>
    <x v="0"/>
    <n v="70804"/>
    <n v="0"/>
    <d v="2016-02-12T14:06:44"/>
    <n v="7.99"/>
    <x v="2"/>
    <n v="1"/>
    <n v="1"/>
    <n v="0"/>
    <n v="0"/>
    <n v="1"/>
    <x v="0"/>
    <x v="0"/>
    <x v="0"/>
    <x v="0"/>
    <n v="7"/>
    <e v="#N/A"/>
    <e v="#N/A"/>
  </r>
  <r>
    <n v="4278"/>
    <d v="2016-02-12T11:22:31"/>
    <d v="2016-02-12T11:37:30"/>
    <x v="2"/>
    <m/>
    <m/>
    <x v="0"/>
    <n v="70804"/>
    <n v="0"/>
    <d v="2016-02-12T11:40:29"/>
    <n v="11.59"/>
    <x v="24"/>
    <n v="1"/>
    <n v="1.7"/>
    <n v="0"/>
    <n v="0"/>
    <n v="1.7"/>
    <x v="0"/>
    <x v="0"/>
    <x v="0"/>
    <x v="0"/>
    <n v="10"/>
    <e v="#N/A"/>
    <e v="#N/A"/>
  </r>
  <r>
    <n v="4279"/>
    <d v="2016-02-12T12:18:17"/>
    <d v="2016-02-12T12:33:17"/>
    <x v="0"/>
    <m/>
    <m/>
    <x v="1"/>
    <n v="70804"/>
    <n v="2.0812697194879601"/>
    <d v="2016-02-12T12:43:41"/>
    <n v="7.99"/>
    <x v="1333"/>
    <n v="1"/>
    <n v="1"/>
    <n v="0"/>
    <n v="0"/>
    <n v="1"/>
    <x v="1321"/>
    <x v="0"/>
    <x v="2154"/>
    <x v="1229"/>
    <n v="7"/>
    <e v="#N/A"/>
    <e v="#N/A"/>
  </r>
  <r>
    <n v="4280"/>
    <d v="2016-02-12T12:42:26"/>
    <d v="2016-02-12T12:57:26"/>
    <x v="0"/>
    <m/>
    <m/>
    <x v="1"/>
    <n v="70805"/>
    <n v="2.2251746607760401"/>
    <d v="2016-02-12T13:08:33"/>
    <n v="7.99"/>
    <x v="290"/>
    <n v="1"/>
    <n v="1"/>
    <n v="0"/>
    <n v="0"/>
    <n v="1"/>
    <x v="277"/>
    <x v="0"/>
    <x v="2155"/>
    <x v="1230"/>
    <n v="7"/>
    <e v="#N/A"/>
    <e v="#N/A"/>
  </r>
  <r>
    <n v="4281"/>
    <d v="2016-02-12T11:27:19"/>
    <d v="2016-02-12T11:42:20"/>
    <x v="2"/>
    <s v="Large"/>
    <m/>
    <x v="0"/>
    <n v="70803"/>
    <n v="0"/>
    <d v="2016-02-12T11:45:19"/>
    <n v="25.94"/>
    <x v="1"/>
    <n v="2"/>
    <n v="1.7"/>
    <n v="2.2999999999999998"/>
    <n v="0"/>
    <n v="4"/>
    <x v="0"/>
    <x v="0"/>
    <x v="0"/>
    <x v="0"/>
    <n v="10"/>
    <n v="14"/>
    <e v="#N/A"/>
  </r>
  <r>
    <n v="4282"/>
    <d v="2016-02-12T12:23:50"/>
    <d v="2016-02-12T12:38:49"/>
    <x v="1"/>
    <m/>
    <m/>
    <x v="0"/>
    <n v="70806"/>
    <n v="0"/>
    <d v="2016-02-12T12:41:48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4283"/>
    <d v="2016-02-12T14:21:01"/>
    <d v="2016-02-12T14:36:00"/>
    <x v="2"/>
    <m/>
    <m/>
    <x v="1"/>
    <n v="70806"/>
    <n v="3.3085374748444498"/>
    <d v="2016-02-12T14:52:32"/>
    <n v="11.59"/>
    <x v="1334"/>
    <n v="1"/>
    <n v="1.7"/>
    <n v="0"/>
    <n v="0"/>
    <n v="1.7"/>
    <x v="1322"/>
    <x v="1"/>
    <x v="2156"/>
    <x v="0"/>
    <n v="10"/>
    <e v="#N/A"/>
    <e v="#N/A"/>
  </r>
  <r>
    <n v="4284"/>
    <d v="2016-02-12T11:17:18"/>
    <d v="2016-02-12T11:32:16"/>
    <x v="1"/>
    <m/>
    <m/>
    <x v="1"/>
    <n v="70803"/>
    <n v="2.47632855319879"/>
    <d v="2016-02-12T11:44:38"/>
    <n v="15.35"/>
    <x v="931"/>
    <n v="1"/>
    <n v="2.2999999999999998"/>
    <n v="0"/>
    <n v="0"/>
    <n v="2.2999999999999998"/>
    <x v="918"/>
    <x v="0"/>
    <x v="2157"/>
    <x v="1231"/>
    <n v="14"/>
    <e v="#N/A"/>
    <e v="#N/A"/>
  </r>
  <r>
    <n v="4285"/>
    <d v="2016-02-12T11:36:36"/>
    <d v="2016-02-12T11:51:35"/>
    <x v="2"/>
    <m/>
    <m/>
    <x v="0"/>
    <n v="70804"/>
    <n v="0"/>
    <d v="2016-02-12T11:54:34"/>
    <n v="11.59"/>
    <x v="24"/>
    <n v="1"/>
    <n v="1.7"/>
    <n v="0"/>
    <n v="0"/>
    <n v="1.7"/>
    <x v="0"/>
    <x v="0"/>
    <x v="0"/>
    <x v="0"/>
    <n v="10"/>
    <e v="#N/A"/>
    <e v="#N/A"/>
  </r>
  <r>
    <n v="4286"/>
    <d v="2016-02-12T10:44:19"/>
    <d v="2016-02-12T10:59:21"/>
    <x v="2"/>
    <m/>
    <m/>
    <x v="1"/>
    <n v="70804"/>
    <n v="4.5558615379646898"/>
    <d v="2016-02-12T11:22:07"/>
    <n v="11.59"/>
    <x v="8"/>
    <n v="1"/>
    <n v="1.7"/>
    <n v="0"/>
    <n v="0"/>
    <n v="1.7"/>
    <x v="6"/>
    <x v="1"/>
    <x v="2158"/>
    <x v="0"/>
    <n v="10"/>
    <e v="#N/A"/>
    <e v="#N/A"/>
  </r>
  <r>
    <n v="4287"/>
    <d v="2016-02-12T13:33:47"/>
    <d v="2016-02-12T13:48:46"/>
    <x v="1"/>
    <m/>
    <m/>
    <x v="0"/>
    <n v="70804"/>
    <n v="0"/>
    <d v="2016-02-12T13:51:45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4288"/>
    <d v="2016-02-12T13:26:26"/>
    <d v="2016-02-12T13:41:23"/>
    <x v="2"/>
    <m/>
    <m/>
    <x v="0"/>
    <n v="70808"/>
    <n v="0"/>
    <d v="2016-02-12T13:44:23"/>
    <n v="11.59"/>
    <x v="2"/>
    <n v="1"/>
    <n v="1.7"/>
    <n v="0"/>
    <n v="0"/>
    <n v="1.7"/>
    <x v="0"/>
    <x v="0"/>
    <x v="0"/>
    <x v="0"/>
    <n v="10"/>
    <e v="#N/A"/>
    <e v="#N/A"/>
  </r>
  <r>
    <n v="4289"/>
    <d v="2016-02-12T13:45:01"/>
    <d v="2016-02-12T14:00:01"/>
    <x v="1"/>
    <m/>
    <m/>
    <x v="0"/>
    <n v="70804"/>
    <n v="0"/>
    <d v="2016-02-12T14:03:02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4290"/>
    <d v="2016-02-12T12:09:28"/>
    <d v="2016-02-12T12:24:28"/>
    <x v="2"/>
    <m/>
    <m/>
    <x v="1"/>
    <n v="70805"/>
    <n v="1.9685279704878"/>
    <d v="2016-02-12T12:34:18"/>
    <n v="11.59"/>
    <x v="18"/>
    <n v="1"/>
    <n v="1.7"/>
    <n v="0"/>
    <n v="0"/>
    <n v="1.7"/>
    <x v="15"/>
    <x v="0"/>
    <x v="2159"/>
    <x v="1232"/>
    <n v="10"/>
    <e v="#N/A"/>
    <e v="#N/A"/>
  </r>
  <r>
    <n v="4291"/>
    <d v="2016-02-12T13:27:37"/>
    <d v="2016-02-12T13:42:35"/>
    <x v="1"/>
    <m/>
    <m/>
    <x v="0"/>
    <n v="70803"/>
    <n v="0"/>
    <d v="2016-02-12T13:45:36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4292"/>
    <d v="2016-02-12T10:17:30"/>
    <d v="2016-02-12T10:32:30"/>
    <x v="0"/>
    <m/>
    <m/>
    <x v="0"/>
    <n v="70803"/>
    <n v="0"/>
    <d v="2016-02-12T10:35:30"/>
    <n v="7.99"/>
    <x v="2"/>
    <n v="1"/>
    <n v="1"/>
    <n v="0"/>
    <n v="0"/>
    <n v="1"/>
    <x v="0"/>
    <x v="0"/>
    <x v="0"/>
    <x v="0"/>
    <n v="7"/>
    <e v="#N/A"/>
    <e v="#N/A"/>
  </r>
  <r>
    <n v="4293"/>
    <d v="2016-02-12T13:20:26"/>
    <d v="2016-02-12T13:35:27"/>
    <x v="1"/>
    <m/>
    <m/>
    <x v="1"/>
    <n v="70804"/>
    <n v="4.2952259838642401"/>
    <d v="2016-02-12T13:56:55"/>
    <n v="15.35"/>
    <x v="105"/>
    <n v="1"/>
    <n v="2.2999999999999998"/>
    <n v="0"/>
    <n v="0"/>
    <n v="2.2999999999999998"/>
    <x v="95"/>
    <x v="1"/>
    <x v="2160"/>
    <x v="0"/>
    <n v="14"/>
    <e v="#N/A"/>
    <e v="#N/A"/>
  </r>
  <r>
    <n v="4294"/>
    <d v="2016-02-12T12:28:16"/>
    <d v="2016-02-12T12:43:15"/>
    <x v="1"/>
    <m/>
    <m/>
    <x v="0"/>
    <n v="70806"/>
    <n v="0"/>
    <d v="2016-02-12T12:46:14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4295"/>
    <d v="2016-02-12T12:20:44"/>
    <d v="2016-02-12T12:35:42"/>
    <x v="0"/>
    <s v="Large"/>
    <m/>
    <x v="1"/>
    <n v="70805"/>
    <n v="1.93035337798831"/>
    <d v="2016-02-12T12:45:21"/>
    <n v="23.34"/>
    <x v="407"/>
    <n v="2"/>
    <n v="1"/>
    <n v="2.2999999999999998"/>
    <n v="0"/>
    <n v="3.3"/>
    <x v="394"/>
    <x v="0"/>
    <x v="2161"/>
    <x v="1233"/>
    <n v="7"/>
    <n v="14"/>
    <e v="#N/A"/>
  </r>
  <r>
    <n v="4296"/>
    <d v="2016-02-12T10:36:19"/>
    <d v="2016-02-12T10:51:17"/>
    <x v="2"/>
    <s v="Large"/>
    <m/>
    <x v="1"/>
    <n v="70805"/>
    <n v="3.9681739198248298"/>
    <d v="2016-02-12T11:11:07"/>
    <n v="25.94"/>
    <x v="82"/>
    <n v="2"/>
    <n v="1.7"/>
    <n v="2.2999999999999998"/>
    <n v="0"/>
    <n v="4"/>
    <x v="73"/>
    <x v="1"/>
    <x v="2162"/>
    <x v="0"/>
    <n v="10"/>
    <n v="14"/>
    <e v="#N/A"/>
  </r>
  <r>
    <n v="4297"/>
    <d v="2016-02-12T12:05:34"/>
    <d v="2016-02-12T12:20:35"/>
    <x v="1"/>
    <m/>
    <m/>
    <x v="1"/>
    <n v="70805"/>
    <n v="2.5307855086184698"/>
    <d v="2016-02-12T12:33:14"/>
    <n v="15.35"/>
    <x v="119"/>
    <n v="1"/>
    <n v="2.2999999999999998"/>
    <n v="0"/>
    <n v="0"/>
    <n v="2.2999999999999998"/>
    <x v="109"/>
    <x v="0"/>
    <x v="2163"/>
    <x v="1234"/>
    <n v="14"/>
    <e v="#N/A"/>
    <e v="#N/A"/>
  </r>
  <r>
    <n v="4298"/>
    <d v="2016-02-12T10:24:32"/>
    <d v="2016-02-12T10:39:33"/>
    <x v="0"/>
    <m/>
    <m/>
    <x v="1"/>
    <n v="70803"/>
    <n v="2.8125214607281501"/>
    <d v="2016-02-12T10:53:36"/>
    <n v="7.99"/>
    <x v="1064"/>
    <n v="1"/>
    <n v="1"/>
    <n v="0"/>
    <n v="0"/>
    <n v="1"/>
    <x v="1051"/>
    <x v="0"/>
    <x v="2164"/>
    <x v="1235"/>
    <n v="7"/>
    <e v="#N/A"/>
    <e v="#N/A"/>
  </r>
  <r>
    <n v="4299"/>
    <d v="2016-02-12T10:36:42"/>
    <d v="2016-02-12T10:51:42"/>
    <x v="1"/>
    <m/>
    <m/>
    <x v="0"/>
    <n v="70804"/>
    <n v="0"/>
    <d v="2016-02-12T10:54:39"/>
    <n v="15.35"/>
    <x v="102"/>
    <n v="1"/>
    <n v="2.2999999999999998"/>
    <n v="0"/>
    <n v="0"/>
    <n v="2.2999999999999998"/>
    <x v="0"/>
    <x v="0"/>
    <x v="0"/>
    <x v="0"/>
    <n v="14"/>
    <e v="#N/A"/>
    <e v="#N/A"/>
  </r>
  <r>
    <n v="4300"/>
    <d v="2016-02-12T11:24:41"/>
    <d v="2016-02-12T11:39:42"/>
    <x v="2"/>
    <m/>
    <m/>
    <x v="1"/>
    <n v="70806"/>
    <n v="3.1535859542835798"/>
    <d v="2016-02-12T11:55:28"/>
    <n v="11.59"/>
    <x v="722"/>
    <n v="1"/>
    <n v="1.7"/>
    <n v="0"/>
    <n v="0"/>
    <n v="1.7"/>
    <x v="709"/>
    <x v="0"/>
    <x v="2165"/>
    <x v="1236"/>
    <n v="10"/>
    <e v="#N/A"/>
    <e v="#N/A"/>
  </r>
  <r>
    <n v="4301"/>
    <d v="2016-02-12T11:49:38"/>
    <d v="2016-02-12T12:04:38"/>
    <x v="0"/>
    <s v="Medium"/>
    <m/>
    <x v="0"/>
    <n v="70806"/>
    <n v="0"/>
    <d v="2016-02-12T12:07:38"/>
    <n v="19.579999999999998"/>
    <x v="2"/>
    <n v="2"/>
    <n v="1"/>
    <n v="1.7"/>
    <n v="0"/>
    <n v="2.7"/>
    <x v="0"/>
    <x v="0"/>
    <x v="0"/>
    <x v="0"/>
    <n v="7"/>
    <n v="10"/>
    <e v="#N/A"/>
  </r>
  <r>
    <n v="4302"/>
    <d v="2016-02-12T12:18:01"/>
    <d v="2016-02-12T12:33:01"/>
    <x v="2"/>
    <m/>
    <m/>
    <x v="0"/>
    <n v="70805"/>
    <n v="0"/>
    <d v="2016-02-12T12:36:02"/>
    <n v="11.59"/>
    <x v="14"/>
    <n v="1"/>
    <n v="1.7"/>
    <n v="0"/>
    <n v="0"/>
    <n v="1.7"/>
    <x v="0"/>
    <x v="0"/>
    <x v="0"/>
    <x v="0"/>
    <n v="10"/>
    <e v="#N/A"/>
    <e v="#N/A"/>
  </r>
  <r>
    <n v="4303"/>
    <d v="2016-02-12T12:02:19"/>
    <d v="2016-02-12T12:17:17"/>
    <x v="1"/>
    <m/>
    <m/>
    <x v="1"/>
    <n v="70805"/>
    <n v="3.52962606103728"/>
    <d v="2016-02-12T12:34:55"/>
    <n v="15.35"/>
    <x v="973"/>
    <n v="1"/>
    <n v="2.2999999999999998"/>
    <n v="0"/>
    <n v="0"/>
    <n v="2.2999999999999998"/>
    <x v="960"/>
    <x v="1"/>
    <x v="2166"/>
    <x v="0"/>
    <n v="14"/>
    <e v="#N/A"/>
    <e v="#N/A"/>
  </r>
  <r>
    <n v="4304"/>
    <d v="2016-02-12T12:16:16"/>
    <d v="2016-02-12T12:31:17"/>
    <x v="1"/>
    <m/>
    <m/>
    <x v="1"/>
    <n v="70805"/>
    <n v="5.0496708809151798"/>
    <d v="2016-02-12T12:56:31"/>
    <n v="15.35"/>
    <x v="1335"/>
    <n v="1"/>
    <n v="2.2999999999999998"/>
    <n v="0"/>
    <n v="0"/>
    <n v="2.2999999999999998"/>
    <x v="1323"/>
    <x v="1"/>
    <x v="2167"/>
    <x v="0"/>
    <n v="14"/>
    <e v="#N/A"/>
    <e v="#N/A"/>
  </r>
  <r>
    <n v="4305"/>
    <d v="2016-02-12T11:24:06"/>
    <d v="2016-02-12T11:39:05"/>
    <x v="2"/>
    <m/>
    <m/>
    <x v="1"/>
    <n v="70804"/>
    <n v="3.3587508124971799"/>
    <d v="2016-02-12T11:55:52"/>
    <n v="11.59"/>
    <x v="504"/>
    <n v="1"/>
    <n v="1.7"/>
    <n v="0"/>
    <n v="0"/>
    <n v="1.7"/>
    <x v="491"/>
    <x v="1"/>
    <x v="2168"/>
    <x v="0"/>
    <n v="10"/>
    <e v="#N/A"/>
    <e v="#N/A"/>
  </r>
  <r>
    <n v="4306"/>
    <d v="2016-02-12T11:12:35"/>
    <d v="2016-02-12T11:27:33"/>
    <x v="1"/>
    <m/>
    <m/>
    <x v="0"/>
    <n v="70803"/>
    <n v="0"/>
    <d v="2016-02-12T11:30:30"/>
    <n v="15.35"/>
    <x v="102"/>
    <n v="1"/>
    <n v="2.2999999999999998"/>
    <n v="0"/>
    <n v="0"/>
    <n v="2.2999999999999998"/>
    <x v="0"/>
    <x v="0"/>
    <x v="0"/>
    <x v="0"/>
    <n v="14"/>
    <e v="#N/A"/>
    <e v="#N/A"/>
  </r>
  <r>
    <n v="4307"/>
    <d v="2016-02-12T12:57:14"/>
    <d v="2016-02-12T13:12:15"/>
    <x v="0"/>
    <m/>
    <m/>
    <x v="1"/>
    <n v="70805"/>
    <n v="3.8153993403851598"/>
    <d v="2016-02-12T13:31:19"/>
    <n v="7.99"/>
    <x v="1336"/>
    <n v="1"/>
    <n v="1"/>
    <n v="0"/>
    <n v="0"/>
    <n v="1"/>
    <x v="1324"/>
    <x v="1"/>
    <x v="2169"/>
    <x v="0"/>
    <n v="7"/>
    <e v="#N/A"/>
    <e v="#N/A"/>
  </r>
  <r>
    <n v="4308"/>
    <d v="2016-02-12T12:31:43"/>
    <d v="2016-02-12T12:46:41"/>
    <x v="2"/>
    <m/>
    <m/>
    <x v="1"/>
    <n v="70807"/>
    <n v="4.5618038344093303"/>
    <d v="2016-02-12T13:09:29"/>
    <n v="11.59"/>
    <x v="1337"/>
    <n v="1"/>
    <n v="1.7"/>
    <n v="0"/>
    <n v="0"/>
    <n v="1.7"/>
    <x v="1325"/>
    <x v="1"/>
    <x v="2170"/>
    <x v="0"/>
    <n v="10"/>
    <e v="#N/A"/>
    <e v="#N/A"/>
  </r>
  <r>
    <n v="4309"/>
    <d v="2016-02-12T14:25:44"/>
    <d v="2016-02-12T14:40:43"/>
    <x v="1"/>
    <m/>
    <m/>
    <x v="0"/>
    <n v="70804"/>
    <n v="0"/>
    <d v="2016-02-12T14:43:41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4310"/>
    <d v="2016-02-12T12:35:12"/>
    <d v="2016-02-12T12:50:13"/>
    <x v="2"/>
    <m/>
    <m/>
    <x v="0"/>
    <n v="70805"/>
    <n v="0"/>
    <d v="2016-02-12T12:53:13"/>
    <n v="11.59"/>
    <x v="2"/>
    <n v="1"/>
    <n v="1.7"/>
    <n v="0"/>
    <n v="0"/>
    <n v="1.7"/>
    <x v="0"/>
    <x v="0"/>
    <x v="0"/>
    <x v="0"/>
    <n v="10"/>
    <e v="#N/A"/>
    <e v="#N/A"/>
  </r>
  <r>
    <n v="4311"/>
    <d v="2016-02-12T11:55:26"/>
    <d v="2016-02-12T12:10:26"/>
    <x v="0"/>
    <s v="Medium"/>
    <m/>
    <x v="0"/>
    <n v="70805"/>
    <n v="0"/>
    <d v="2016-02-12T12:13:26"/>
    <n v="19.579999999999998"/>
    <x v="2"/>
    <n v="2"/>
    <n v="1"/>
    <n v="1.7"/>
    <n v="0"/>
    <n v="2.7"/>
    <x v="0"/>
    <x v="0"/>
    <x v="0"/>
    <x v="0"/>
    <n v="7"/>
    <n v="10"/>
    <e v="#N/A"/>
  </r>
  <r>
    <n v="4312"/>
    <d v="2016-02-12T10:18:50"/>
    <d v="2016-02-12T10:33:51"/>
    <x v="2"/>
    <m/>
    <m/>
    <x v="0"/>
    <n v="70806"/>
    <n v="0"/>
    <d v="2016-02-12T10:36:52"/>
    <n v="11.59"/>
    <x v="14"/>
    <n v="1"/>
    <n v="1.7"/>
    <n v="0"/>
    <n v="0"/>
    <n v="1.7"/>
    <x v="0"/>
    <x v="0"/>
    <x v="0"/>
    <x v="0"/>
    <n v="10"/>
    <e v="#N/A"/>
    <e v="#N/A"/>
  </r>
  <r>
    <n v="4313"/>
    <d v="2016-02-12T12:24:41"/>
    <d v="2016-02-12T12:39:40"/>
    <x v="2"/>
    <m/>
    <m/>
    <x v="1"/>
    <n v="70807"/>
    <n v="2.7855996714356999"/>
    <d v="2016-02-12T12:53:35"/>
    <n v="11.59"/>
    <x v="274"/>
    <n v="1"/>
    <n v="1.7"/>
    <n v="0"/>
    <n v="0"/>
    <n v="1.7"/>
    <x v="261"/>
    <x v="0"/>
    <x v="2171"/>
    <x v="1237"/>
    <n v="10"/>
    <e v="#N/A"/>
    <e v="#N/A"/>
  </r>
  <r>
    <n v="4314"/>
    <d v="2016-02-12T12:52:38"/>
    <d v="2016-02-12T13:07:38"/>
    <x v="0"/>
    <s v="Large"/>
    <m/>
    <x v="0"/>
    <n v="70804"/>
    <n v="0"/>
    <d v="2016-02-12T13:10:38"/>
    <n v="23.34"/>
    <x v="2"/>
    <n v="2"/>
    <n v="1"/>
    <n v="2.2999999999999998"/>
    <n v="0"/>
    <n v="3.3"/>
    <x v="0"/>
    <x v="0"/>
    <x v="0"/>
    <x v="0"/>
    <n v="7"/>
    <n v="14"/>
    <e v="#N/A"/>
  </r>
  <r>
    <n v="4315"/>
    <d v="2016-02-12T12:42:36"/>
    <d v="2016-02-12T12:57:35"/>
    <x v="1"/>
    <m/>
    <m/>
    <x v="0"/>
    <n v="70806"/>
    <n v="0"/>
    <d v="2016-02-12T13:00:33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4316"/>
    <d v="2016-02-12T11:37:35"/>
    <d v="2016-02-12T11:52:36"/>
    <x v="1"/>
    <m/>
    <m/>
    <x v="0"/>
    <n v="70806"/>
    <n v="0"/>
    <d v="2016-02-12T11:55:37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4317"/>
    <d v="2016-02-12T12:06:33"/>
    <d v="2016-02-12T12:21:32"/>
    <x v="0"/>
    <m/>
    <m/>
    <x v="0"/>
    <n v="70805"/>
    <n v="0"/>
    <d v="2016-02-12T12:24:30"/>
    <n v="7.99"/>
    <x v="19"/>
    <n v="1"/>
    <n v="1"/>
    <n v="0"/>
    <n v="0"/>
    <n v="1"/>
    <x v="0"/>
    <x v="0"/>
    <x v="0"/>
    <x v="0"/>
    <n v="7"/>
    <e v="#N/A"/>
    <e v="#N/A"/>
  </r>
  <r>
    <n v="4318"/>
    <d v="2016-02-12T11:51:37"/>
    <d v="2016-02-12T12:06:36"/>
    <x v="0"/>
    <m/>
    <m/>
    <x v="0"/>
    <n v="70804"/>
    <n v="0"/>
    <d v="2016-02-12T12:09:36"/>
    <n v="7.99"/>
    <x v="2"/>
    <n v="1"/>
    <n v="1"/>
    <n v="0"/>
    <n v="0"/>
    <n v="1"/>
    <x v="0"/>
    <x v="0"/>
    <x v="0"/>
    <x v="0"/>
    <n v="7"/>
    <e v="#N/A"/>
    <e v="#N/A"/>
  </r>
  <r>
    <n v="4319"/>
    <d v="2016-02-12T10:46:43"/>
    <d v="2016-02-12T11:01:43"/>
    <x v="0"/>
    <s v="Large"/>
    <m/>
    <x v="0"/>
    <n v="70806"/>
    <n v="0"/>
    <d v="2016-02-12T11:04:43"/>
    <n v="23.34"/>
    <x v="2"/>
    <n v="2"/>
    <n v="1"/>
    <n v="2.2999999999999998"/>
    <n v="0"/>
    <n v="3.3"/>
    <x v="0"/>
    <x v="0"/>
    <x v="0"/>
    <x v="0"/>
    <n v="7"/>
    <n v="14"/>
    <e v="#N/A"/>
  </r>
  <r>
    <n v="4320"/>
    <d v="2016-02-12T12:04:53"/>
    <d v="2016-02-12T12:19:52"/>
    <x v="0"/>
    <m/>
    <m/>
    <x v="1"/>
    <n v="70803"/>
    <n v="3.9940808894693198"/>
    <d v="2016-02-12T12:39:50"/>
    <n v="7.99"/>
    <x v="516"/>
    <n v="1"/>
    <n v="1"/>
    <n v="0"/>
    <n v="0"/>
    <n v="1"/>
    <x v="503"/>
    <x v="1"/>
    <x v="2172"/>
    <x v="0"/>
    <n v="7"/>
    <e v="#N/A"/>
    <e v="#N/A"/>
  </r>
  <r>
    <n v="4321"/>
    <d v="2016-02-12T11:46:21"/>
    <d v="2016-02-12T12:01:21"/>
    <x v="0"/>
    <m/>
    <m/>
    <x v="1"/>
    <n v="70804"/>
    <n v="2.8150153949656702"/>
    <d v="2016-02-12T12:15:25"/>
    <n v="7.99"/>
    <x v="1232"/>
    <n v="1"/>
    <n v="1"/>
    <n v="0"/>
    <n v="0"/>
    <n v="1"/>
    <x v="1220"/>
    <x v="0"/>
    <x v="2173"/>
    <x v="1238"/>
    <n v="7"/>
    <e v="#N/A"/>
    <e v="#N/A"/>
  </r>
  <r>
    <n v="4322"/>
    <d v="2016-02-12T10:04:15"/>
    <d v="2016-02-12T10:19:16"/>
    <x v="0"/>
    <s v="Medium"/>
    <m/>
    <x v="1"/>
    <n v="70803"/>
    <n v="3.4619051606617002"/>
    <d v="2016-02-12T10:36:34"/>
    <n v="19.579999999999998"/>
    <x v="539"/>
    <n v="2"/>
    <n v="1"/>
    <n v="1.7"/>
    <n v="0"/>
    <n v="2.7"/>
    <x v="526"/>
    <x v="1"/>
    <x v="2174"/>
    <x v="0"/>
    <n v="7"/>
    <n v="10"/>
    <e v="#N/A"/>
  </r>
  <r>
    <n v="4323"/>
    <d v="2016-02-12T11:58:47"/>
    <d v="2016-02-12T12:13:45"/>
    <x v="0"/>
    <m/>
    <m/>
    <x v="0"/>
    <n v="70804"/>
    <n v="0"/>
    <d v="2016-02-12T12:16:44"/>
    <n v="7.99"/>
    <x v="1"/>
    <n v="1"/>
    <n v="1"/>
    <n v="0"/>
    <n v="0"/>
    <n v="1"/>
    <x v="0"/>
    <x v="0"/>
    <x v="0"/>
    <x v="0"/>
    <n v="7"/>
    <e v="#N/A"/>
    <e v="#N/A"/>
  </r>
  <r>
    <n v="4324"/>
    <d v="2016-02-12T13:00:31"/>
    <d v="2016-02-12T13:15:31"/>
    <x v="2"/>
    <m/>
    <m/>
    <x v="1"/>
    <n v="70805"/>
    <n v="3.27439034033045"/>
    <d v="2016-02-12T13:31:53"/>
    <n v="11.59"/>
    <x v="1009"/>
    <n v="1"/>
    <n v="1.7"/>
    <n v="0"/>
    <n v="0"/>
    <n v="1.7"/>
    <x v="996"/>
    <x v="1"/>
    <x v="2175"/>
    <x v="0"/>
    <n v="10"/>
    <e v="#N/A"/>
    <e v="#N/A"/>
  </r>
  <r>
    <n v="4325"/>
    <d v="2016-02-12T11:17:38"/>
    <d v="2016-02-12T11:32:40"/>
    <x v="0"/>
    <m/>
    <m/>
    <x v="1"/>
    <n v="70804"/>
    <n v="1.7982153082469099"/>
    <d v="2016-02-12T11:41:39"/>
    <n v="7.99"/>
    <x v="920"/>
    <n v="1"/>
    <n v="1"/>
    <n v="0"/>
    <n v="0"/>
    <n v="1"/>
    <x v="907"/>
    <x v="0"/>
    <x v="2176"/>
    <x v="1239"/>
    <n v="7"/>
    <e v="#N/A"/>
    <e v="#N/A"/>
  </r>
  <r>
    <n v="4326"/>
    <d v="2016-02-12T12:20:10"/>
    <d v="2016-02-12T12:35:11"/>
    <x v="1"/>
    <m/>
    <m/>
    <x v="0"/>
    <n v="70804"/>
    <n v="0"/>
    <d v="2016-02-12T12:38:10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4327"/>
    <d v="2016-02-12T11:15:29"/>
    <d v="2016-02-12T11:30:27"/>
    <x v="2"/>
    <m/>
    <m/>
    <x v="0"/>
    <n v="70806"/>
    <n v="0"/>
    <d v="2016-02-12T11:33:25"/>
    <n v="11.59"/>
    <x v="0"/>
    <n v="1"/>
    <n v="1.7"/>
    <n v="0"/>
    <n v="0"/>
    <n v="1.7"/>
    <x v="0"/>
    <x v="0"/>
    <x v="0"/>
    <x v="0"/>
    <n v="10"/>
    <e v="#N/A"/>
    <e v="#N/A"/>
  </r>
  <r>
    <n v="4328"/>
    <d v="2016-02-12T12:56:13"/>
    <d v="2016-02-12T13:11:15"/>
    <x v="1"/>
    <m/>
    <m/>
    <x v="0"/>
    <n v="70803"/>
    <n v="0"/>
    <d v="2016-02-12T13:14:15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4329"/>
    <d v="2016-02-12T12:02:08"/>
    <d v="2016-02-12T12:17:07"/>
    <x v="2"/>
    <m/>
    <m/>
    <x v="0"/>
    <n v="70804"/>
    <n v="0"/>
    <d v="2016-02-12T12:20:06"/>
    <n v="11.59"/>
    <x v="1"/>
    <n v="1"/>
    <n v="1.7"/>
    <n v="0"/>
    <n v="0"/>
    <n v="1.7"/>
    <x v="0"/>
    <x v="0"/>
    <x v="0"/>
    <x v="0"/>
    <n v="10"/>
    <e v="#N/A"/>
    <e v="#N/A"/>
  </r>
  <r>
    <n v="4330"/>
    <d v="2016-02-12T12:15:42"/>
    <d v="2016-02-12T12:30:42"/>
    <x v="2"/>
    <m/>
    <m/>
    <x v="1"/>
    <n v="70805"/>
    <n v="1.5221413352981401"/>
    <d v="2016-02-12T12:38:18"/>
    <n v="11.59"/>
    <x v="1338"/>
    <n v="1"/>
    <n v="1.7"/>
    <n v="0"/>
    <n v="0"/>
    <n v="1.7"/>
    <x v="1326"/>
    <x v="0"/>
    <x v="2177"/>
    <x v="1240"/>
    <n v="10"/>
    <e v="#N/A"/>
    <e v="#N/A"/>
  </r>
  <r>
    <n v="4331"/>
    <d v="2016-02-12T13:43:17"/>
    <d v="2016-02-12T13:58:18"/>
    <x v="1"/>
    <m/>
    <m/>
    <x v="1"/>
    <n v="70807"/>
    <n v="3.2317043457330699"/>
    <d v="2016-02-12T14:14:27"/>
    <n v="15.35"/>
    <x v="1339"/>
    <n v="1"/>
    <n v="2.2999999999999998"/>
    <n v="0"/>
    <n v="0"/>
    <n v="2.2999999999999998"/>
    <x v="1327"/>
    <x v="1"/>
    <x v="2178"/>
    <x v="0"/>
    <n v="14"/>
    <e v="#N/A"/>
    <e v="#N/A"/>
  </r>
  <r>
    <n v="4332"/>
    <d v="2016-02-12T13:40:43"/>
    <d v="2016-02-12T13:55:41"/>
    <x v="2"/>
    <m/>
    <m/>
    <x v="1"/>
    <n v="70805"/>
    <n v="1.8816545280022401"/>
    <d v="2016-02-12T14:05:05"/>
    <n v="11.59"/>
    <x v="444"/>
    <n v="1"/>
    <n v="1.7"/>
    <n v="0"/>
    <n v="0"/>
    <n v="1.7"/>
    <x v="431"/>
    <x v="0"/>
    <x v="2179"/>
    <x v="1241"/>
    <n v="10"/>
    <e v="#N/A"/>
    <e v="#N/A"/>
  </r>
  <r>
    <n v="4333"/>
    <d v="2016-02-12T11:30:15"/>
    <d v="2016-02-12T11:45:16"/>
    <x v="1"/>
    <m/>
    <m/>
    <x v="0"/>
    <n v="70804"/>
    <n v="0"/>
    <d v="2016-02-12T11:48:15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4334"/>
    <d v="2016-02-12T12:35:23"/>
    <d v="2016-02-12T12:50:23"/>
    <x v="0"/>
    <m/>
    <m/>
    <x v="0"/>
    <n v="70806"/>
    <n v="0"/>
    <d v="2016-02-12T12:53:22"/>
    <n v="7.99"/>
    <x v="24"/>
    <n v="1"/>
    <n v="1"/>
    <n v="0"/>
    <n v="0"/>
    <n v="1"/>
    <x v="0"/>
    <x v="0"/>
    <x v="0"/>
    <x v="0"/>
    <n v="7"/>
    <e v="#N/A"/>
    <e v="#N/A"/>
  </r>
  <r>
    <n v="4335"/>
    <d v="2016-02-12T11:17:32"/>
    <d v="2016-02-12T11:32:31"/>
    <x v="0"/>
    <s v="Medium"/>
    <s v="Large"/>
    <x v="1"/>
    <n v="70806"/>
    <n v="2.7326733669368699"/>
    <d v="2016-02-12T11:46:10"/>
    <n v="33.93"/>
    <x v="368"/>
    <n v="3"/>
    <n v="1"/>
    <n v="1.7"/>
    <n v="2.2999999999999998"/>
    <n v="5"/>
    <x v="355"/>
    <x v="0"/>
    <x v="2180"/>
    <x v="1242"/>
    <n v="7"/>
    <n v="10"/>
    <n v="14"/>
  </r>
  <r>
    <n v="4336"/>
    <d v="2016-02-12T13:12:19"/>
    <d v="2016-02-12T13:27:17"/>
    <x v="0"/>
    <m/>
    <m/>
    <x v="1"/>
    <n v="70805"/>
    <n v="0.79147347032272897"/>
    <d v="2016-02-12T13:31:14"/>
    <n v="7.99"/>
    <x v="1340"/>
    <n v="1"/>
    <n v="1"/>
    <n v="0"/>
    <n v="0"/>
    <n v="1"/>
    <x v="1328"/>
    <x v="0"/>
    <x v="2181"/>
    <x v="1243"/>
    <n v="7"/>
    <e v="#N/A"/>
    <e v="#N/A"/>
  </r>
  <r>
    <n v="4337"/>
    <d v="2016-02-12T10:48:40"/>
    <d v="2016-02-12T11:03:39"/>
    <x v="0"/>
    <m/>
    <m/>
    <x v="1"/>
    <n v="70806"/>
    <n v="4.5029249367306496"/>
    <d v="2016-02-12T11:26:09"/>
    <n v="7.99"/>
    <x v="448"/>
    <n v="1"/>
    <n v="1"/>
    <n v="0"/>
    <n v="0"/>
    <n v="1"/>
    <x v="435"/>
    <x v="1"/>
    <x v="2182"/>
    <x v="0"/>
    <n v="7"/>
    <e v="#N/A"/>
    <e v="#N/A"/>
  </r>
  <r>
    <n v="4338"/>
    <d v="2016-02-12T12:57:17"/>
    <d v="2016-02-12T13:12:16"/>
    <x v="2"/>
    <m/>
    <m/>
    <x v="0"/>
    <n v="70807"/>
    <n v="0"/>
    <d v="2016-02-12T13:15:15"/>
    <n v="11.59"/>
    <x v="24"/>
    <n v="1"/>
    <n v="1.7"/>
    <n v="0"/>
    <n v="0"/>
    <n v="1.7"/>
    <x v="0"/>
    <x v="0"/>
    <x v="0"/>
    <x v="0"/>
    <n v="10"/>
    <e v="#N/A"/>
    <e v="#N/A"/>
  </r>
  <r>
    <n v="4339"/>
    <d v="2016-02-12T12:28:39"/>
    <d v="2016-02-12T12:43:38"/>
    <x v="2"/>
    <m/>
    <m/>
    <x v="0"/>
    <n v="70805"/>
    <n v="0"/>
    <d v="2016-02-12T12:46:38"/>
    <n v="11.59"/>
    <x v="63"/>
    <n v="1"/>
    <n v="1.7"/>
    <n v="0"/>
    <n v="0"/>
    <n v="1.7"/>
    <x v="0"/>
    <x v="0"/>
    <x v="0"/>
    <x v="0"/>
    <n v="10"/>
    <e v="#N/A"/>
    <e v="#N/A"/>
  </r>
  <r>
    <n v="4340"/>
    <d v="2016-02-13T10:46:10"/>
    <d v="2016-02-13T11:01:11"/>
    <x v="2"/>
    <m/>
    <m/>
    <x v="0"/>
    <n v="70805"/>
    <n v="0"/>
    <d v="2016-02-13T11:04:10"/>
    <n v="11.59"/>
    <x v="1"/>
    <n v="1"/>
    <n v="1.7"/>
    <n v="0"/>
    <n v="0"/>
    <n v="1.7"/>
    <x v="0"/>
    <x v="0"/>
    <x v="0"/>
    <x v="0"/>
    <n v="10"/>
    <e v="#N/A"/>
    <e v="#N/A"/>
  </r>
  <r>
    <n v="4341"/>
    <d v="2016-02-13T11:47:47"/>
    <d v="2016-02-13T12:02:47"/>
    <x v="2"/>
    <m/>
    <m/>
    <x v="0"/>
    <n v="70804"/>
    <n v="0"/>
    <d v="2016-02-13T12:05:46"/>
    <n v="11.59"/>
    <x v="24"/>
    <n v="1"/>
    <n v="1.7"/>
    <n v="0"/>
    <n v="0"/>
    <n v="1.7"/>
    <x v="0"/>
    <x v="0"/>
    <x v="0"/>
    <x v="0"/>
    <n v="10"/>
    <e v="#N/A"/>
    <e v="#N/A"/>
  </r>
  <r>
    <n v="4342"/>
    <d v="2016-02-13T12:29:08"/>
    <d v="2016-02-13T12:44:07"/>
    <x v="2"/>
    <m/>
    <m/>
    <x v="0"/>
    <n v="70805"/>
    <n v="0"/>
    <d v="2016-02-13T12:47:05"/>
    <n v="11.59"/>
    <x v="0"/>
    <n v="1"/>
    <n v="1.7"/>
    <n v="0"/>
    <n v="0"/>
    <n v="1.7"/>
    <x v="0"/>
    <x v="0"/>
    <x v="0"/>
    <x v="0"/>
    <n v="10"/>
    <e v="#N/A"/>
    <e v="#N/A"/>
  </r>
  <r>
    <n v="4343"/>
    <d v="2016-02-13T11:57:05"/>
    <d v="2016-02-13T12:12:06"/>
    <x v="0"/>
    <m/>
    <m/>
    <x v="1"/>
    <n v="70804"/>
    <n v="5.5043766906274803"/>
    <d v="2016-02-13T12:39:37"/>
    <n v="7.99"/>
    <x v="1341"/>
    <n v="1"/>
    <n v="1"/>
    <n v="0"/>
    <n v="0"/>
    <n v="1"/>
    <x v="1329"/>
    <x v="1"/>
    <x v="2183"/>
    <x v="0"/>
    <n v="7"/>
    <e v="#N/A"/>
    <e v="#N/A"/>
  </r>
  <r>
    <n v="4344"/>
    <d v="2016-02-13T11:24:07"/>
    <d v="2016-02-13T11:39:07"/>
    <x v="2"/>
    <m/>
    <m/>
    <x v="0"/>
    <n v="70805"/>
    <n v="0"/>
    <d v="2016-02-13T11:42:06"/>
    <n v="11.59"/>
    <x v="24"/>
    <n v="1"/>
    <n v="1.7"/>
    <n v="0"/>
    <n v="0"/>
    <n v="1.7"/>
    <x v="0"/>
    <x v="0"/>
    <x v="0"/>
    <x v="0"/>
    <n v="10"/>
    <e v="#N/A"/>
    <e v="#N/A"/>
  </r>
  <r>
    <n v="4345"/>
    <d v="2016-02-13T11:30:01"/>
    <d v="2016-02-13T11:45:00"/>
    <x v="0"/>
    <s v="Large"/>
    <m/>
    <x v="0"/>
    <n v="70803"/>
    <n v="0"/>
    <d v="2016-02-13T11:48:01"/>
    <n v="23.34"/>
    <x v="56"/>
    <n v="2"/>
    <n v="1"/>
    <n v="2.2999999999999998"/>
    <n v="0"/>
    <n v="3.3"/>
    <x v="0"/>
    <x v="0"/>
    <x v="0"/>
    <x v="0"/>
    <n v="7"/>
    <n v="14"/>
    <e v="#N/A"/>
  </r>
  <r>
    <n v="4346"/>
    <d v="2016-02-13T10:04:28"/>
    <d v="2016-02-13T10:19:28"/>
    <x v="0"/>
    <s v="Medium"/>
    <m/>
    <x v="0"/>
    <n v="70804"/>
    <n v="0"/>
    <d v="2016-02-13T10:22:27"/>
    <n v="19.579999999999998"/>
    <x v="24"/>
    <n v="2"/>
    <n v="1"/>
    <n v="1.7"/>
    <n v="0"/>
    <n v="2.7"/>
    <x v="0"/>
    <x v="0"/>
    <x v="0"/>
    <x v="0"/>
    <n v="7"/>
    <n v="10"/>
    <e v="#N/A"/>
  </r>
  <r>
    <n v="4347"/>
    <d v="2016-02-13T12:21:10"/>
    <d v="2016-02-13T12:36:10"/>
    <x v="0"/>
    <s v="Medium"/>
    <m/>
    <x v="1"/>
    <n v="70804"/>
    <n v="2.8854731811595502"/>
    <d v="2016-02-13T12:50:35"/>
    <n v="19.579999999999998"/>
    <x v="1300"/>
    <n v="2"/>
    <n v="1"/>
    <n v="1.7"/>
    <n v="0"/>
    <n v="2.7"/>
    <x v="1288"/>
    <x v="0"/>
    <x v="2184"/>
    <x v="1244"/>
    <n v="7"/>
    <n v="10"/>
    <e v="#N/A"/>
  </r>
  <r>
    <n v="4348"/>
    <d v="2016-02-13T10:38:50"/>
    <d v="2016-02-13T10:53:50"/>
    <x v="1"/>
    <m/>
    <m/>
    <x v="1"/>
    <n v="70805"/>
    <n v="3.4043129088531399"/>
    <d v="2016-02-13T11:10:51"/>
    <n v="15.35"/>
    <x v="517"/>
    <n v="1"/>
    <n v="2.2999999999999998"/>
    <n v="0"/>
    <n v="0"/>
    <n v="2.2999999999999998"/>
    <x v="504"/>
    <x v="1"/>
    <x v="2185"/>
    <x v="0"/>
    <n v="14"/>
    <e v="#N/A"/>
    <e v="#N/A"/>
  </r>
  <r>
    <n v="4349"/>
    <d v="2016-02-13T12:20:11"/>
    <d v="2016-02-13T12:35:11"/>
    <x v="0"/>
    <s v="Medium"/>
    <m/>
    <x v="0"/>
    <n v="70804"/>
    <n v="0"/>
    <d v="2016-02-13T12:38:10"/>
    <n v="19.579999999999998"/>
    <x v="24"/>
    <n v="2"/>
    <n v="1"/>
    <n v="1.7"/>
    <n v="0"/>
    <n v="2.7"/>
    <x v="0"/>
    <x v="0"/>
    <x v="0"/>
    <x v="0"/>
    <n v="7"/>
    <n v="10"/>
    <e v="#N/A"/>
  </r>
  <r>
    <n v="4350"/>
    <d v="2016-02-13T13:22:38"/>
    <d v="2016-02-13T13:37:40"/>
    <x v="0"/>
    <m/>
    <m/>
    <x v="0"/>
    <n v="70806"/>
    <n v="0"/>
    <d v="2016-02-13T13:40:40"/>
    <n v="7.99"/>
    <x v="2"/>
    <n v="1"/>
    <n v="1"/>
    <n v="0"/>
    <n v="0"/>
    <n v="1"/>
    <x v="0"/>
    <x v="0"/>
    <x v="0"/>
    <x v="0"/>
    <n v="7"/>
    <e v="#N/A"/>
    <e v="#N/A"/>
  </r>
  <r>
    <n v="4351"/>
    <d v="2016-02-13T12:42:04"/>
    <d v="2016-02-13T12:57:04"/>
    <x v="1"/>
    <m/>
    <m/>
    <x v="0"/>
    <n v="70805"/>
    <n v="0"/>
    <d v="2016-02-13T13:00:03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4352"/>
    <d v="2016-02-13T11:31:35"/>
    <d v="2016-02-13T11:46:35"/>
    <x v="0"/>
    <m/>
    <m/>
    <x v="1"/>
    <n v="70803"/>
    <n v="2.6901934201131299"/>
    <d v="2016-02-13T12:00:02"/>
    <n v="7.99"/>
    <x v="1342"/>
    <n v="1"/>
    <n v="1"/>
    <n v="0"/>
    <n v="0"/>
    <n v="1"/>
    <x v="1330"/>
    <x v="0"/>
    <x v="2186"/>
    <x v="1245"/>
    <n v="7"/>
    <e v="#N/A"/>
    <e v="#N/A"/>
  </r>
  <r>
    <n v="4353"/>
    <d v="2016-02-13T10:55:47"/>
    <d v="2016-02-13T11:10:47"/>
    <x v="1"/>
    <m/>
    <m/>
    <x v="0"/>
    <n v="70804"/>
    <n v="0"/>
    <d v="2016-02-13T11:13:46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4354"/>
    <d v="2016-02-13T12:00:21"/>
    <d v="2016-02-13T12:15:20"/>
    <x v="0"/>
    <s v="Medium"/>
    <m/>
    <x v="0"/>
    <n v="70804"/>
    <n v="0"/>
    <d v="2016-02-13T12:18:19"/>
    <n v="19.579999999999998"/>
    <x v="24"/>
    <n v="2"/>
    <n v="1"/>
    <n v="1.7"/>
    <n v="0"/>
    <n v="2.7"/>
    <x v="0"/>
    <x v="0"/>
    <x v="0"/>
    <x v="0"/>
    <n v="7"/>
    <n v="10"/>
    <e v="#N/A"/>
  </r>
  <r>
    <n v="4355"/>
    <d v="2016-02-13T12:26:42"/>
    <d v="2016-02-13T12:41:39"/>
    <x v="1"/>
    <m/>
    <m/>
    <x v="0"/>
    <n v="70806"/>
    <n v="0"/>
    <d v="2016-02-13T12:44:38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4356"/>
    <d v="2016-02-13T12:21:45"/>
    <d v="2016-02-13T12:36:44"/>
    <x v="2"/>
    <m/>
    <m/>
    <x v="0"/>
    <n v="70803"/>
    <n v="0"/>
    <d v="2016-02-13T12:39:43"/>
    <n v="11.59"/>
    <x v="1"/>
    <n v="1"/>
    <n v="1.7"/>
    <n v="0"/>
    <n v="0"/>
    <n v="1.7"/>
    <x v="0"/>
    <x v="0"/>
    <x v="0"/>
    <x v="0"/>
    <n v="10"/>
    <e v="#N/A"/>
    <e v="#N/A"/>
  </r>
  <r>
    <n v="4357"/>
    <d v="2016-02-13T12:27:50"/>
    <d v="2016-02-13T12:42:50"/>
    <x v="2"/>
    <m/>
    <m/>
    <x v="1"/>
    <n v="70804"/>
    <n v="3.9845139176314599"/>
    <d v="2016-02-13T13:02:45"/>
    <n v="11.59"/>
    <x v="1343"/>
    <n v="1"/>
    <n v="1.7"/>
    <n v="0"/>
    <n v="0"/>
    <n v="1.7"/>
    <x v="1331"/>
    <x v="1"/>
    <x v="2187"/>
    <x v="0"/>
    <n v="10"/>
    <e v="#N/A"/>
    <e v="#N/A"/>
  </r>
  <r>
    <n v="4358"/>
    <d v="2016-02-13T10:32:02"/>
    <d v="2016-02-13T10:47:01"/>
    <x v="2"/>
    <m/>
    <m/>
    <x v="0"/>
    <n v="70804"/>
    <n v="0"/>
    <d v="2016-02-13T10:49:58"/>
    <n v="11.59"/>
    <x v="22"/>
    <n v="1"/>
    <n v="1.7"/>
    <n v="0"/>
    <n v="0"/>
    <n v="1.7"/>
    <x v="0"/>
    <x v="0"/>
    <x v="0"/>
    <x v="0"/>
    <n v="10"/>
    <e v="#N/A"/>
    <e v="#N/A"/>
  </r>
  <r>
    <n v="4359"/>
    <d v="2016-02-13T13:33:28"/>
    <d v="2016-02-13T13:48:28"/>
    <x v="0"/>
    <s v="Medium"/>
    <m/>
    <x v="1"/>
    <n v="70804"/>
    <n v="2.7954118210228902"/>
    <d v="2016-02-13T14:02:26"/>
    <n v="19.579999999999998"/>
    <x v="474"/>
    <n v="2"/>
    <n v="1"/>
    <n v="1.7"/>
    <n v="0"/>
    <n v="2.7"/>
    <x v="461"/>
    <x v="0"/>
    <x v="2188"/>
    <x v="1246"/>
    <n v="7"/>
    <n v="10"/>
    <e v="#N/A"/>
  </r>
  <r>
    <n v="4360"/>
    <d v="2016-02-13T12:20:35"/>
    <d v="2016-02-13T12:35:36"/>
    <x v="0"/>
    <s v="Medium"/>
    <m/>
    <x v="0"/>
    <n v="70806"/>
    <n v="0"/>
    <d v="2016-02-13T12:38:36"/>
    <n v="19.579999999999998"/>
    <x v="2"/>
    <n v="2"/>
    <n v="1"/>
    <n v="1.7"/>
    <n v="0"/>
    <n v="2.7"/>
    <x v="0"/>
    <x v="0"/>
    <x v="0"/>
    <x v="0"/>
    <n v="7"/>
    <n v="10"/>
    <e v="#N/A"/>
  </r>
  <r>
    <n v="4361"/>
    <d v="2016-02-13T11:31:40"/>
    <d v="2016-02-13T11:46:38"/>
    <x v="0"/>
    <s v="Medium"/>
    <m/>
    <x v="1"/>
    <n v="70803"/>
    <n v="3.2537374012789302"/>
    <d v="2016-02-13T12:02:54"/>
    <n v="19.579999999999998"/>
    <x v="164"/>
    <n v="2"/>
    <n v="1"/>
    <n v="1.7"/>
    <n v="0"/>
    <n v="2.7"/>
    <x v="154"/>
    <x v="1"/>
    <x v="2189"/>
    <x v="0"/>
    <n v="7"/>
    <n v="10"/>
    <e v="#N/A"/>
  </r>
  <r>
    <n v="4362"/>
    <d v="2016-02-13T10:08:51"/>
    <d v="2016-02-13T10:23:52"/>
    <x v="0"/>
    <m/>
    <m/>
    <x v="1"/>
    <n v="70803"/>
    <n v="2.9171834065644102"/>
    <d v="2016-02-13T10:38:27"/>
    <n v="7.99"/>
    <x v="1344"/>
    <n v="1"/>
    <n v="1"/>
    <n v="0"/>
    <n v="0"/>
    <n v="1"/>
    <x v="1332"/>
    <x v="0"/>
    <x v="2190"/>
    <x v="1247"/>
    <n v="7"/>
    <e v="#N/A"/>
    <e v="#N/A"/>
  </r>
  <r>
    <n v="4363"/>
    <d v="2016-02-13T12:15:08"/>
    <d v="2016-02-13T12:30:07"/>
    <x v="1"/>
    <m/>
    <m/>
    <x v="1"/>
    <n v="70805"/>
    <n v="2.2373137618421199"/>
    <d v="2016-02-13T12:41:18"/>
    <n v="15.35"/>
    <x v="1174"/>
    <n v="1"/>
    <n v="2.2999999999999998"/>
    <n v="0"/>
    <n v="0"/>
    <n v="2.2999999999999998"/>
    <x v="1162"/>
    <x v="0"/>
    <x v="2191"/>
    <x v="1248"/>
    <n v="14"/>
    <e v="#N/A"/>
    <e v="#N/A"/>
  </r>
  <r>
    <n v="4364"/>
    <d v="2016-02-13T12:13:27"/>
    <d v="2016-02-13T12:28:27"/>
    <x v="1"/>
    <m/>
    <m/>
    <x v="0"/>
    <n v="70805"/>
    <n v="0"/>
    <d v="2016-02-13T12:31:26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4365"/>
    <d v="2016-02-13T10:12:57"/>
    <d v="2016-02-13T10:27:58"/>
    <x v="0"/>
    <m/>
    <m/>
    <x v="0"/>
    <n v="70805"/>
    <n v="0"/>
    <d v="2016-02-13T10:30:57"/>
    <n v="7.99"/>
    <x v="1"/>
    <n v="1"/>
    <n v="1"/>
    <n v="0"/>
    <n v="0"/>
    <n v="1"/>
    <x v="0"/>
    <x v="0"/>
    <x v="0"/>
    <x v="0"/>
    <n v="7"/>
    <e v="#N/A"/>
    <e v="#N/A"/>
  </r>
  <r>
    <n v="4366"/>
    <d v="2016-02-13T12:39:18"/>
    <d v="2016-02-13T12:54:16"/>
    <x v="0"/>
    <s v="Medium"/>
    <m/>
    <x v="0"/>
    <n v="70805"/>
    <n v="0"/>
    <d v="2016-02-13T12:57:15"/>
    <n v="19.579999999999998"/>
    <x v="1"/>
    <n v="2"/>
    <n v="1"/>
    <n v="1.7"/>
    <n v="0"/>
    <n v="2.7"/>
    <x v="0"/>
    <x v="0"/>
    <x v="0"/>
    <x v="0"/>
    <n v="7"/>
    <n v="10"/>
    <e v="#N/A"/>
  </r>
  <r>
    <n v="4367"/>
    <d v="2016-02-13T11:39:55"/>
    <d v="2016-02-13T11:54:55"/>
    <x v="0"/>
    <m/>
    <m/>
    <x v="0"/>
    <n v="70805"/>
    <n v="0"/>
    <d v="2016-02-13T11:57:55"/>
    <n v="7.99"/>
    <x v="2"/>
    <n v="1"/>
    <n v="1"/>
    <n v="0"/>
    <n v="0"/>
    <n v="1"/>
    <x v="0"/>
    <x v="0"/>
    <x v="0"/>
    <x v="0"/>
    <n v="7"/>
    <e v="#N/A"/>
    <e v="#N/A"/>
  </r>
  <r>
    <n v="4368"/>
    <d v="2016-02-13T12:56:44"/>
    <d v="2016-02-13T13:11:43"/>
    <x v="0"/>
    <s v="Medium"/>
    <m/>
    <x v="1"/>
    <n v="70804"/>
    <n v="1.4499353769193799"/>
    <d v="2016-02-13T13:18:57"/>
    <n v="19.579999999999998"/>
    <x v="111"/>
    <n v="2"/>
    <n v="1"/>
    <n v="1.7"/>
    <n v="0"/>
    <n v="2.7"/>
    <x v="101"/>
    <x v="0"/>
    <x v="2192"/>
    <x v="1249"/>
    <n v="7"/>
    <n v="10"/>
    <e v="#N/A"/>
  </r>
  <r>
    <n v="4369"/>
    <d v="2016-02-13T10:43:42"/>
    <d v="2016-02-13T10:58:41"/>
    <x v="0"/>
    <m/>
    <m/>
    <x v="0"/>
    <n v="70804"/>
    <n v="0"/>
    <d v="2016-02-13T11:01:42"/>
    <n v="7.99"/>
    <x v="14"/>
    <n v="1"/>
    <n v="1"/>
    <n v="0"/>
    <n v="0"/>
    <n v="1"/>
    <x v="0"/>
    <x v="0"/>
    <x v="0"/>
    <x v="0"/>
    <n v="7"/>
    <e v="#N/A"/>
    <e v="#N/A"/>
  </r>
  <r>
    <n v="4370"/>
    <d v="2016-02-13T13:21:15"/>
    <d v="2016-02-13T13:36:15"/>
    <x v="1"/>
    <m/>
    <m/>
    <x v="0"/>
    <n v="70807"/>
    <n v="0"/>
    <d v="2016-02-13T13:39:14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4371"/>
    <d v="2016-02-13T11:34:00"/>
    <d v="2016-02-13T11:49:01"/>
    <x v="2"/>
    <m/>
    <m/>
    <x v="1"/>
    <n v="70804"/>
    <n v="3.29481013867801"/>
    <d v="2016-02-13T12:05:29"/>
    <n v="11.59"/>
    <x v="213"/>
    <n v="1"/>
    <n v="1.7"/>
    <n v="0"/>
    <n v="0"/>
    <n v="1.7"/>
    <x v="201"/>
    <x v="1"/>
    <x v="2193"/>
    <x v="0"/>
    <n v="10"/>
    <e v="#N/A"/>
    <e v="#N/A"/>
  </r>
  <r>
    <n v="4372"/>
    <d v="2016-02-13T12:10:12"/>
    <d v="2016-02-13T12:25:11"/>
    <x v="1"/>
    <m/>
    <m/>
    <x v="1"/>
    <n v="70804"/>
    <n v="0.75362986621916805"/>
    <d v="2016-02-13T12:28:57"/>
    <n v="15.35"/>
    <x v="1345"/>
    <n v="1"/>
    <n v="2.2999999999999998"/>
    <n v="0"/>
    <n v="0"/>
    <n v="2.2999999999999998"/>
    <x v="1333"/>
    <x v="0"/>
    <x v="2194"/>
    <x v="1250"/>
    <n v="14"/>
    <e v="#N/A"/>
    <e v="#N/A"/>
  </r>
  <r>
    <n v="4373"/>
    <d v="2016-02-13T10:17:57"/>
    <d v="2016-02-13T10:32:56"/>
    <x v="2"/>
    <m/>
    <m/>
    <x v="1"/>
    <n v="70803"/>
    <n v="3.4097715026903002"/>
    <d v="2016-02-13T10:49:58"/>
    <n v="11.59"/>
    <x v="1110"/>
    <n v="1"/>
    <n v="1.7"/>
    <n v="0"/>
    <n v="0"/>
    <n v="1.7"/>
    <x v="1097"/>
    <x v="1"/>
    <x v="2195"/>
    <x v="0"/>
    <n v="10"/>
    <e v="#N/A"/>
    <e v="#N/A"/>
  </r>
  <r>
    <n v="4374"/>
    <d v="2016-02-13T10:35:12"/>
    <d v="2016-02-13T10:50:12"/>
    <x v="0"/>
    <s v="Medium"/>
    <m/>
    <x v="1"/>
    <n v="70803"/>
    <n v="5.0214710150292898"/>
    <d v="2016-02-13T11:15:18"/>
    <n v="19.579999999999998"/>
    <x v="1346"/>
    <n v="2"/>
    <n v="1"/>
    <n v="1.7"/>
    <n v="0"/>
    <n v="2.7"/>
    <x v="1334"/>
    <x v="1"/>
    <x v="2196"/>
    <x v="0"/>
    <n v="7"/>
    <n v="10"/>
    <e v="#N/A"/>
  </r>
  <r>
    <n v="4375"/>
    <d v="2016-02-13T10:31:25"/>
    <d v="2016-02-13T10:46:24"/>
    <x v="0"/>
    <m/>
    <m/>
    <x v="0"/>
    <n v="70807"/>
    <n v="0"/>
    <d v="2016-02-13T10:49:24"/>
    <n v="7.99"/>
    <x v="2"/>
    <n v="1"/>
    <n v="1"/>
    <n v="0"/>
    <n v="0"/>
    <n v="1"/>
    <x v="0"/>
    <x v="0"/>
    <x v="0"/>
    <x v="0"/>
    <n v="7"/>
    <e v="#N/A"/>
    <e v="#N/A"/>
  </r>
  <r>
    <n v="4376"/>
    <d v="2016-02-13T12:00:38"/>
    <d v="2016-02-13T12:15:37"/>
    <x v="1"/>
    <m/>
    <m/>
    <x v="0"/>
    <n v="70803"/>
    <n v="0"/>
    <d v="2016-02-13T12:18:38"/>
    <n v="15.35"/>
    <x v="56"/>
    <n v="1"/>
    <n v="2.2999999999999998"/>
    <n v="0"/>
    <n v="0"/>
    <n v="2.2999999999999998"/>
    <x v="0"/>
    <x v="0"/>
    <x v="0"/>
    <x v="0"/>
    <n v="14"/>
    <e v="#N/A"/>
    <e v="#N/A"/>
  </r>
  <r>
    <n v="4377"/>
    <d v="2016-02-13T12:59:26"/>
    <d v="2016-02-13T13:14:26"/>
    <x v="0"/>
    <s v="Medium"/>
    <m/>
    <x v="1"/>
    <n v="70803"/>
    <n v="0.44627924160914301"/>
    <d v="2016-02-13T13:16:39"/>
    <n v="19.579999999999998"/>
    <x v="1347"/>
    <n v="2"/>
    <n v="1"/>
    <n v="1.7"/>
    <n v="0"/>
    <n v="2.7"/>
    <x v="1335"/>
    <x v="0"/>
    <x v="2197"/>
    <x v="1251"/>
    <n v="7"/>
    <n v="10"/>
    <e v="#N/A"/>
  </r>
  <r>
    <n v="4378"/>
    <d v="2016-02-13T12:55:57"/>
    <d v="2016-02-13T13:10:57"/>
    <x v="0"/>
    <m/>
    <m/>
    <x v="0"/>
    <n v="70803"/>
    <n v="0"/>
    <d v="2016-02-13T13:13:58"/>
    <n v="7.99"/>
    <x v="14"/>
    <n v="1"/>
    <n v="1"/>
    <n v="0"/>
    <n v="0"/>
    <n v="1"/>
    <x v="0"/>
    <x v="0"/>
    <x v="0"/>
    <x v="0"/>
    <n v="7"/>
    <e v="#N/A"/>
    <e v="#N/A"/>
  </r>
  <r>
    <n v="4379"/>
    <d v="2016-02-13T12:21:14"/>
    <d v="2016-02-13T12:36:13"/>
    <x v="1"/>
    <m/>
    <m/>
    <x v="0"/>
    <n v="70804"/>
    <n v="0"/>
    <d v="2016-02-13T12:39:14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4380"/>
    <d v="2016-02-13T11:26:34"/>
    <d v="2016-02-13T11:41:33"/>
    <x v="2"/>
    <m/>
    <m/>
    <x v="0"/>
    <n v="70803"/>
    <n v="0"/>
    <d v="2016-02-13T11:44:32"/>
    <n v="11.59"/>
    <x v="24"/>
    <n v="1"/>
    <n v="1.7"/>
    <n v="0"/>
    <n v="0"/>
    <n v="1.7"/>
    <x v="0"/>
    <x v="0"/>
    <x v="0"/>
    <x v="0"/>
    <n v="10"/>
    <e v="#N/A"/>
    <e v="#N/A"/>
  </r>
  <r>
    <n v="4381"/>
    <d v="2016-02-13T13:53:32"/>
    <d v="2016-02-13T14:08:31"/>
    <x v="2"/>
    <m/>
    <m/>
    <x v="0"/>
    <n v="70806"/>
    <n v="0"/>
    <d v="2016-02-13T14:11:31"/>
    <n v="11.59"/>
    <x v="2"/>
    <n v="1"/>
    <n v="1.7"/>
    <n v="0"/>
    <n v="0"/>
    <n v="1.7"/>
    <x v="0"/>
    <x v="0"/>
    <x v="0"/>
    <x v="0"/>
    <n v="10"/>
    <e v="#N/A"/>
    <e v="#N/A"/>
  </r>
  <r>
    <n v="4382"/>
    <d v="2016-02-13T11:48:56"/>
    <d v="2016-02-13T12:03:58"/>
    <x v="0"/>
    <s v="Medium"/>
    <m/>
    <x v="1"/>
    <n v="70804"/>
    <n v="2.524072776113"/>
    <d v="2016-02-13T12:16:35"/>
    <n v="19.579999999999998"/>
    <x v="1007"/>
    <n v="2"/>
    <n v="1"/>
    <n v="1.7"/>
    <n v="0"/>
    <n v="2.7"/>
    <x v="994"/>
    <x v="0"/>
    <x v="2198"/>
    <x v="1252"/>
    <n v="7"/>
    <n v="10"/>
    <e v="#N/A"/>
  </r>
  <r>
    <n v="4383"/>
    <d v="2016-02-13T11:30:20"/>
    <d v="2016-02-13T11:45:19"/>
    <x v="2"/>
    <s v="Large"/>
    <m/>
    <x v="1"/>
    <n v="70805"/>
    <n v="3.6194873725310002"/>
    <d v="2016-02-13T12:03:24"/>
    <n v="25.94"/>
    <x v="1348"/>
    <n v="2"/>
    <n v="1.7"/>
    <n v="2.2999999999999998"/>
    <n v="0"/>
    <n v="4"/>
    <x v="1336"/>
    <x v="1"/>
    <x v="2199"/>
    <x v="0"/>
    <n v="10"/>
    <n v="14"/>
    <e v="#N/A"/>
  </r>
  <r>
    <n v="4384"/>
    <d v="2016-02-13T11:47:02"/>
    <d v="2016-02-13T12:02:02"/>
    <x v="0"/>
    <m/>
    <m/>
    <x v="0"/>
    <n v="70803"/>
    <n v="0"/>
    <d v="2016-02-13T12:05:02"/>
    <n v="7.99"/>
    <x v="2"/>
    <n v="1"/>
    <n v="1"/>
    <n v="0"/>
    <n v="0"/>
    <n v="1"/>
    <x v="0"/>
    <x v="0"/>
    <x v="0"/>
    <x v="0"/>
    <n v="7"/>
    <e v="#N/A"/>
    <e v="#N/A"/>
  </r>
  <r>
    <n v="4385"/>
    <d v="2016-02-13T11:33:00"/>
    <d v="2016-02-13T11:48:00"/>
    <x v="2"/>
    <m/>
    <m/>
    <x v="1"/>
    <n v="70803"/>
    <n v="2.6962522990194402"/>
    <d v="2016-02-13T12:01:28"/>
    <n v="11.59"/>
    <x v="205"/>
    <n v="1"/>
    <n v="1.7"/>
    <n v="0"/>
    <n v="0"/>
    <n v="1.7"/>
    <x v="193"/>
    <x v="0"/>
    <x v="2200"/>
    <x v="1253"/>
    <n v="10"/>
    <e v="#N/A"/>
    <e v="#N/A"/>
  </r>
  <r>
    <n v="4386"/>
    <d v="2016-02-13T12:58:21"/>
    <d v="2016-02-13T13:13:21"/>
    <x v="2"/>
    <m/>
    <m/>
    <x v="0"/>
    <n v="70804"/>
    <n v="0"/>
    <d v="2016-02-13T13:16:21"/>
    <n v="11.59"/>
    <x v="63"/>
    <n v="1"/>
    <n v="1.7"/>
    <n v="0"/>
    <n v="0"/>
    <n v="1.7"/>
    <x v="0"/>
    <x v="0"/>
    <x v="0"/>
    <x v="0"/>
    <n v="10"/>
    <e v="#N/A"/>
    <e v="#N/A"/>
  </r>
  <r>
    <n v="4387"/>
    <d v="2016-02-13T10:42:03"/>
    <d v="2016-02-13T10:57:03"/>
    <x v="0"/>
    <s v="Large"/>
    <m/>
    <x v="0"/>
    <n v="70804"/>
    <n v="0"/>
    <d v="2016-02-13T11:00:02"/>
    <n v="23.34"/>
    <x v="1"/>
    <n v="2"/>
    <n v="1"/>
    <n v="2.2999999999999998"/>
    <n v="0"/>
    <n v="3.3"/>
    <x v="0"/>
    <x v="0"/>
    <x v="0"/>
    <x v="0"/>
    <n v="7"/>
    <n v="14"/>
    <e v="#N/A"/>
  </r>
  <r>
    <n v="4388"/>
    <d v="2016-02-13T10:35:24"/>
    <d v="2016-02-13T10:50:24"/>
    <x v="1"/>
    <m/>
    <m/>
    <x v="1"/>
    <n v="70804"/>
    <n v="2.9664072745004701"/>
    <d v="2016-02-13T11:05:13"/>
    <n v="15.35"/>
    <x v="1349"/>
    <n v="1"/>
    <n v="2.2999999999999998"/>
    <n v="0"/>
    <n v="0"/>
    <n v="2.2999999999999998"/>
    <x v="1337"/>
    <x v="0"/>
    <x v="2201"/>
    <x v="1254"/>
    <n v="14"/>
    <e v="#N/A"/>
    <e v="#N/A"/>
  </r>
  <r>
    <n v="4389"/>
    <d v="2016-02-13T13:46:18"/>
    <d v="2016-02-13T14:01:18"/>
    <x v="0"/>
    <m/>
    <m/>
    <x v="0"/>
    <n v="70805"/>
    <n v="0"/>
    <d v="2016-02-13T14:04:18"/>
    <n v="7.99"/>
    <x v="2"/>
    <n v="1"/>
    <n v="1"/>
    <n v="0"/>
    <n v="0"/>
    <n v="1"/>
    <x v="0"/>
    <x v="0"/>
    <x v="0"/>
    <x v="0"/>
    <n v="7"/>
    <e v="#N/A"/>
    <e v="#N/A"/>
  </r>
  <r>
    <n v="4390"/>
    <d v="2016-02-13T10:26:48"/>
    <d v="2016-02-13T10:41:48"/>
    <x v="0"/>
    <s v="Medium"/>
    <m/>
    <x v="0"/>
    <n v="70805"/>
    <n v="0"/>
    <d v="2016-02-13T10:44:49"/>
    <n v="19.579999999999998"/>
    <x v="56"/>
    <n v="2"/>
    <n v="1"/>
    <n v="1.7"/>
    <n v="0"/>
    <n v="2.7"/>
    <x v="0"/>
    <x v="0"/>
    <x v="0"/>
    <x v="0"/>
    <n v="7"/>
    <n v="10"/>
    <e v="#N/A"/>
  </r>
  <r>
    <n v="4391"/>
    <d v="2016-02-13T10:37:03"/>
    <d v="2016-02-13T10:52:04"/>
    <x v="1"/>
    <m/>
    <m/>
    <x v="1"/>
    <n v="70805"/>
    <n v="0.92079507261149895"/>
    <d v="2016-02-13T10:56:40"/>
    <n v="15.35"/>
    <x v="476"/>
    <n v="1"/>
    <n v="2.2999999999999998"/>
    <n v="0"/>
    <n v="0"/>
    <n v="2.2999999999999998"/>
    <x v="463"/>
    <x v="0"/>
    <x v="2202"/>
    <x v="1255"/>
    <n v="14"/>
    <e v="#N/A"/>
    <e v="#N/A"/>
  </r>
  <r>
    <n v="4392"/>
    <d v="2016-02-13T11:19:28"/>
    <d v="2016-02-13T11:34:27"/>
    <x v="1"/>
    <m/>
    <m/>
    <x v="0"/>
    <n v="70803"/>
    <n v="0"/>
    <d v="2016-02-13T11:37:27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4393"/>
    <d v="2016-02-13T11:31:49"/>
    <d v="2016-02-13T11:46:49"/>
    <x v="1"/>
    <m/>
    <m/>
    <x v="0"/>
    <n v="70803"/>
    <n v="0"/>
    <d v="2016-02-13T11:49:48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4394"/>
    <d v="2016-02-13T12:14:36"/>
    <d v="2016-02-13T12:29:37"/>
    <x v="1"/>
    <m/>
    <m/>
    <x v="1"/>
    <n v="70804"/>
    <n v="3.72216172319663"/>
    <d v="2016-02-13T12:48:13"/>
    <n v="15.35"/>
    <x v="221"/>
    <n v="1"/>
    <n v="2.2999999999999998"/>
    <n v="0"/>
    <n v="0"/>
    <n v="2.2999999999999998"/>
    <x v="209"/>
    <x v="1"/>
    <x v="2203"/>
    <x v="0"/>
    <n v="14"/>
    <e v="#N/A"/>
    <e v="#N/A"/>
  </r>
  <r>
    <n v="4395"/>
    <d v="2016-02-13T12:46:03"/>
    <d v="2016-02-13T13:01:04"/>
    <x v="2"/>
    <m/>
    <m/>
    <x v="0"/>
    <n v="70805"/>
    <n v="0"/>
    <d v="2016-02-13T13:04:04"/>
    <n v="11.59"/>
    <x v="2"/>
    <n v="1"/>
    <n v="1.7"/>
    <n v="0"/>
    <n v="0"/>
    <n v="1.7"/>
    <x v="0"/>
    <x v="0"/>
    <x v="0"/>
    <x v="0"/>
    <n v="10"/>
    <e v="#N/A"/>
    <e v="#N/A"/>
  </r>
  <r>
    <n v="4396"/>
    <d v="2016-02-13T11:03:40"/>
    <d v="2016-02-13T11:18:41"/>
    <x v="0"/>
    <m/>
    <m/>
    <x v="1"/>
    <n v="70804"/>
    <n v="1.5032316911224499"/>
    <d v="2016-02-13T11:26:11"/>
    <n v="7.99"/>
    <x v="198"/>
    <n v="1"/>
    <n v="1"/>
    <n v="0"/>
    <n v="0"/>
    <n v="1"/>
    <x v="186"/>
    <x v="0"/>
    <x v="2204"/>
    <x v="1256"/>
    <n v="7"/>
    <e v="#N/A"/>
    <e v="#N/A"/>
  </r>
  <r>
    <n v="4397"/>
    <d v="2016-02-13T10:00:34"/>
    <d v="2016-02-13T10:15:35"/>
    <x v="2"/>
    <m/>
    <m/>
    <x v="1"/>
    <n v="70808"/>
    <n v="1.90784997988746"/>
    <d v="2016-02-13T10:25:07"/>
    <n v="11.59"/>
    <x v="138"/>
    <n v="1"/>
    <n v="1.7"/>
    <n v="0"/>
    <n v="0"/>
    <n v="1.7"/>
    <x v="128"/>
    <x v="0"/>
    <x v="2205"/>
    <x v="1257"/>
    <n v="10"/>
    <e v="#N/A"/>
    <e v="#N/A"/>
  </r>
  <r>
    <n v="4398"/>
    <d v="2016-02-13T11:01:39"/>
    <d v="2016-02-13T11:16:39"/>
    <x v="1"/>
    <m/>
    <m/>
    <x v="1"/>
    <n v="70803"/>
    <n v="2.5895952671114801"/>
    <d v="2016-02-13T11:29:35"/>
    <n v="15.35"/>
    <x v="182"/>
    <n v="1"/>
    <n v="2.2999999999999998"/>
    <n v="0"/>
    <n v="0"/>
    <n v="2.2999999999999998"/>
    <x v="170"/>
    <x v="0"/>
    <x v="2206"/>
    <x v="1258"/>
    <n v="14"/>
    <e v="#N/A"/>
    <e v="#N/A"/>
  </r>
  <r>
    <n v="4399"/>
    <d v="2016-02-13T12:56:59"/>
    <d v="2016-02-13T13:11:57"/>
    <x v="1"/>
    <m/>
    <m/>
    <x v="1"/>
    <n v="70803"/>
    <n v="2.2735186576558202"/>
    <d v="2016-02-13T13:23:19"/>
    <n v="15.35"/>
    <x v="980"/>
    <n v="1"/>
    <n v="2.2999999999999998"/>
    <n v="0"/>
    <n v="0"/>
    <n v="2.2999999999999998"/>
    <x v="967"/>
    <x v="0"/>
    <x v="2207"/>
    <x v="1259"/>
    <n v="14"/>
    <e v="#N/A"/>
    <e v="#N/A"/>
  </r>
  <r>
    <n v="4400"/>
    <d v="2016-02-13T12:21:23"/>
    <d v="2016-02-13T12:36:23"/>
    <x v="2"/>
    <m/>
    <m/>
    <x v="1"/>
    <n v="70808"/>
    <n v="2.30777458932296"/>
    <d v="2016-02-13T12:47:55"/>
    <n v="11.59"/>
    <x v="1350"/>
    <n v="1"/>
    <n v="1.7"/>
    <n v="0"/>
    <n v="0"/>
    <n v="1.7"/>
    <x v="1338"/>
    <x v="0"/>
    <x v="2208"/>
    <x v="1260"/>
    <n v="10"/>
    <e v="#N/A"/>
    <e v="#N/A"/>
  </r>
  <r>
    <n v="4401"/>
    <d v="2016-02-13T11:17:37"/>
    <d v="2016-02-13T11:32:36"/>
    <x v="2"/>
    <m/>
    <m/>
    <x v="1"/>
    <n v="70804"/>
    <n v="4.3001059418081802"/>
    <d v="2016-02-13T11:54:06"/>
    <n v="11.59"/>
    <x v="1351"/>
    <n v="1"/>
    <n v="1.7"/>
    <n v="0"/>
    <n v="0"/>
    <n v="1.7"/>
    <x v="1339"/>
    <x v="1"/>
    <x v="2209"/>
    <x v="0"/>
    <n v="10"/>
    <e v="#N/A"/>
    <e v="#N/A"/>
  </r>
  <r>
    <n v="4402"/>
    <d v="2016-02-13T10:01:07"/>
    <d v="2016-02-13T10:16:08"/>
    <x v="2"/>
    <m/>
    <m/>
    <x v="1"/>
    <n v="70806"/>
    <n v="2.63220235253636"/>
    <d v="2016-02-13T10:29:17"/>
    <n v="11.59"/>
    <x v="824"/>
    <n v="1"/>
    <n v="1.7"/>
    <n v="0"/>
    <n v="0"/>
    <n v="1.7"/>
    <x v="811"/>
    <x v="0"/>
    <x v="2210"/>
    <x v="1261"/>
    <n v="10"/>
    <e v="#N/A"/>
    <e v="#N/A"/>
  </r>
  <r>
    <n v="4403"/>
    <d v="2016-02-13T11:33:42"/>
    <d v="2016-02-13T11:48:40"/>
    <x v="2"/>
    <m/>
    <m/>
    <x v="0"/>
    <n v="70805"/>
    <n v="0"/>
    <d v="2016-02-13T11:51:42"/>
    <n v="11.59"/>
    <x v="67"/>
    <n v="1"/>
    <n v="1.7"/>
    <n v="0"/>
    <n v="0"/>
    <n v="1.7"/>
    <x v="0"/>
    <x v="0"/>
    <x v="0"/>
    <x v="0"/>
    <n v="10"/>
    <e v="#N/A"/>
    <e v="#N/A"/>
  </r>
  <r>
    <n v="4404"/>
    <d v="2016-02-13T12:25:23"/>
    <d v="2016-02-13T12:40:22"/>
    <x v="1"/>
    <m/>
    <m/>
    <x v="0"/>
    <n v="70804"/>
    <n v="0"/>
    <d v="2016-02-13T12:43:22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4405"/>
    <d v="2016-02-13T10:32:32"/>
    <d v="2016-02-13T10:47:33"/>
    <x v="2"/>
    <m/>
    <m/>
    <x v="1"/>
    <n v="70803"/>
    <n v="3.8150352881271301"/>
    <d v="2016-02-13T11:06:37"/>
    <n v="11.59"/>
    <x v="1336"/>
    <n v="1"/>
    <n v="1.7"/>
    <n v="0"/>
    <n v="0"/>
    <n v="1.7"/>
    <x v="1324"/>
    <x v="1"/>
    <x v="2211"/>
    <x v="0"/>
    <n v="10"/>
    <e v="#N/A"/>
    <e v="#N/A"/>
  </r>
  <r>
    <n v="4406"/>
    <d v="2016-02-13T11:02:55"/>
    <d v="2016-02-13T11:17:55"/>
    <x v="1"/>
    <m/>
    <m/>
    <x v="1"/>
    <n v="70806"/>
    <n v="2.46576885346518"/>
    <d v="2016-02-13T11:30:14"/>
    <n v="15.35"/>
    <x v="544"/>
    <n v="1"/>
    <n v="2.2999999999999998"/>
    <n v="0"/>
    <n v="0"/>
    <n v="2.2999999999999998"/>
    <x v="531"/>
    <x v="0"/>
    <x v="2212"/>
    <x v="1262"/>
    <n v="14"/>
    <e v="#N/A"/>
    <e v="#N/A"/>
  </r>
  <r>
    <n v="4407"/>
    <d v="2016-02-13T12:34:05"/>
    <d v="2016-02-13T12:49:07"/>
    <x v="0"/>
    <m/>
    <m/>
    <x v="1"/>
    <n v="70805"/>
    <n v="1.55219676266127"/>
    <d v="2016-02-13T12:56:52"/>
    <n v="7.99"/>
    <x v="847"/>
    <n v="1"/>
    <n v="1"/>
    <n v="0"/>
    <n v="0"/>
    <n v="1"/>
    <x v="834"/>
    <x v="0"/>
    <x v="2213"/>
    <x v="1263"/>
    <n v="7"/>
    <e v="#N/A"/>
    <e v="#N/A"/>
  </r>
  <r>
    <n v="4408"/>
    <d v="2016-02-13T11:33:53"/>
    <d v="2016-02-13T11:48:51"/>
    <x v="1"/>
    <m/>
    <m/>
    <x v="0"/>
    <n v="70805"/>
    <n v="0"/>
    <d v="2016-02-13T11:51:52"/>
    <n v="15.35"/>
    <x v="56"/>
    <n v="1"/>
    <n v="2.2999999999999998"/>
    <n v="0"/>
    <n v="0"/>
    <n v="2.2999999999999998"/>
    <x v="0"/>
    <x v="0"/>
    <x v="0"/>
    <x v="0"/>
    <n v="14"/>
    <e v="#N/A"/>
    <e v="#N/A"/>
  </r>
  <r>
    <n v="4409"/>
    <d v="2016-02-13T11:45:16"/>
    <d v="2016-02-13T12:00:15"/>
    <x v="0"/>
    <s v="Large"/>
    <m/>
    <x v="0"/>
    <n v="70804"/>
    <n v="0"/>
    <d v="2016-02-13T12:03:13"/>
    <n v="23.34"/>
    <x v="0"/>
    <n v="2"/>
    <n v="1"/>
    <n v="2.2999999999999998"/>
    <n v="0"/>
    <n v="3.3"/>
    <x v="0"/>
    <x v="0"/>
    <x v="0"/>
    <x v="0"/>
    <n v="7"/>
    <n v="14"/>
    <e v="#N/A"/>
  </r>
  <r>
    <n v="4410"/>
    <d v="2016-02-13T11:41:03"/>
    <d v="2016-02-13T11:56:03"/>
    <x v="0"/>
    <m/>
    <m/>
    <x v="1"/>
    <n v="70805"/>
    <n v="3.4978473289435601"/>
    <d v="2016-02-13T12:13:32"/>
    <n v="7.99"/>
    <x v="107"/>
    <n v="1"/>
    <n v="1"/>
    <n v="0"/>
    <n v="0"/>
    <n v="1"/>
    <x v="97"/>
    <x v="1"/>
    <x v="2214"/>
    <x v="0"/>
    <n v="7"/>
    <e v="#N/A"/>
    <e v="#N/A"/>
  </r>
  <r>
    <n v="4411"/>
    <d v="2016-02-13T11:19:21"/>
    <d v="2016-02-13T11:34:21"/>
    <x v="0"/>
    <m/>
    <m/>
    <x v="1"/>
    <n v="70807"/>
    <n v="3.0311129921559798"/>
    <d v="2016-02-13T11:49:30"/>
    <n v="7.99"/>
    <x v="718"/>
    <n v="1"/>
    <n v="1"/>
    <n v="0"/>
    <n v="0"/>
    <n v="1"/>
    <x v="705"/>
    <x v="0"/>
    <x v="2215"/>
    <x v="1264"/>
    <n v="7"/>
    <e v="#N/A"/>
    <e v="#N/A"/>
  </r>
  <r>
    <n v="4412"/>
    <d v="2016-02-13T11:09:46"/>
    <d v="2016-02-13T11:24:43"/>
    <x v="0"/>
    <m/>
    <m/>
    <x v="0"/>
    <n v="70803"/>
    <n v="0"/>
    <d v="2016-02-13T11:27:43"/>
    <n v="7.99"/>
    <x v="2"/>
    <n v="1"/>
    <n v="1"/>
    <n v="0"/>
    <n v="0"/>
    <n v="1"/>
    <x v="0"/>
    <x v="0"/>
    <x v="0"/>
    <x v="0"/>
    <n v="7"/>
    <e v="#N/A"/>
    <e v="#N/A"/>
  </r>
  <r>
    <n v="4413"/>
    <d v="2016-02-13T10:08:42"/>
    <d v="2016-02-13T10:23:42"/>
    <x v="0"/>
    <m/>
    <m/>
    <x v="0"/>
    <n v="70805"/>
    <n v="0"/>
    <d v="2016-02-13T10:26:41"/>
    <n v="7.99"/>
    <x v="24"/>
    <n v="1"/>
    <n v="1"/>
    <n v="0"/>
    <n v="0"/>
    <n v="1"/>
    <x v="0"/>
    <x v="0"/>
    <x v="0"/>
    <x v="0"/>
    <n v="7"/>
    <e v="#N/A"/>
    <e v="#N/A"/>
  </r>
  <r>
    <n v="4414"/>
    <d v="2016-02-13T11:49:25"/>
    <d v="2016-02-13T12:04:24"/>
    <x v="2"/>
    <m/>
    <m/>
    <x v="1"/>
    <n v="70806"/>
    <n v="2.8234973642490102"/>
    <d v="2016-02-13T12:18:31"/>
    <n v="11.59"/>
    <x v="83"/>
    <n v="1"/>
    <n v="1.7"/>
    <n v="0"/>
    <n v="0"/>
    <n v="1.7"/>
    <x v="74"/>
    <x v="0"/>
    <x v="2216"/>
    <x v="1265"/>
    <n v="10"/>
    <e v="#N/A"/>
    <e v="#N/A"/>
  </r>
  <r>
    <n v="4415"/>
    <d v="2016-02-13T14:26:37"/>
    <d v="2016-02-13T14:41:37"/>
    <x v="0"/>
    <s v="Large"/>
    <m/>
    <x v="0"/>
    <n v="70804"/>
    <n v="0"/>
    <d v="2016-02-13T14:44:34"/>
    <n v="23.34"/>
    <x v="102"/>
    <n v="2"/>
    <n v="1"/>
    <n v="2.2999999999999998"/>
    <n v="0"/>
    <n v="3.3"/>
    <x v="0"/>
    <x v="0"/>
    <x v="0"/>
    <x v="0"/>
    <n v="7"/>
    <n v="14"/>
    <e v="#N/A"/>
  </r>
  <r>
    <n v="4416"/>
    <d v="2016-02-13T12:22:39"/>
    <d v="2016-02-13T12:37:37"/>
    <x v="2"/>
    <m/>
    <m/>
    <x v="1"/>
    <n v="70806"/>
    <n v="2.54049915751302"/>
    <d v="2016-02-13T12:50:19"/>
    <n v="11.59"/>
    <x v="1352"/>
    <n v="1"/>
    <n v="1.7"/>
    <n v="0"/>
    <n v="0"/>
    <n v="1.7"/>
    <x v="1340"/>
    <x v="0"/>
    <x v="2217"/>
    <x v="1266"/>
    <n v="10"/>
    <e v="#N/A"/>
    <e v="#N/A"/>
  </r>
  <r>
    <n v="4417"/>
    <d v="2016-02-13T12:37:19"/>
    <d v="2016-02-13T12:52:19"/>
    <x v="0"/>
    <m/>
    <m/>
    <x v="1"/>
    <n v="70804"/>
    <n v="4.4034134922029597"/>
    <d v="2016-02-13T13:14:20"/>
    <n v="7.99"/>
    <x v="1353"/>
    <n v="1"/>
    <n v="1"/>
    <n v="0"/>
    <n v="0"/>
    <n v="1"/>
    <x v="1341"/>
    <x v="1"/>
    <x v="2218"/>
    <x v="0"/>
    <n v="7"/>
    <e v="#N/A"/>
    <e v="#N/A"/>
  </r>
  <r>
    <n v="4418"/>
    <d v="2016-02-13T10:49:17"/>
    <d v="2016-02-13T11:04:17"/>
    <x v="0"/>
    <m/>
    <m/>
    <x v="1"/>
    <n v="70806"/>
    <n v="2.89987497891779"/>
    <d v="2016-02-13T11:18:46"/>
    <n v="7.99"/>
    <x v="779"/>
    <n v="1"/>
    <n v="1"/>
    <n v="0"/>
    <n v="0"/>
    <n v="1"/>
    <x v="766"/>
    <x v="0"/>
    <x v="2219"/>
    <x v="1267"/>
    <n v="7"/>
    <e v="#N/A"/>
    <e v="#N/A"/>
  </r>
  <r>
    <n v="4419"/>
    <d v="2016-02-13T11:54:31"/>
    <d v="2016-02-13T12:09:31"/>
    <x v="2"/>
    <m/>
    <m/>
    <x v="0"/>
    <n v="70806"/>
    <n v="0"/>
    <d v="2016-02-13T12:12:32"/>
    <n v="11.59"/>
    <x v="56"/>
    <n v="1"/>
    <n v="1.7"/>
    <n v="0"/>
    <n v="0"/>
    <n v="1.7"/>
    <x v="0"/>
    <x v="0"/>
    <x v="0"/>
    <x v="0"/>
    <n v="10"/>
    <e v="#N/A"/>
    <e v="#N/A"/>
  </r>
  <r>
    <n v="4420"/>
    <d v="2016-02-13T10:40:15"/>
    <d v="2016-02-13T10:55:15"/>
    <x v="1"/>
    <m/>
    <m/>
    <x v="0"/>
    <n v="70808"/>
    <n v="0"/>
    <d v="2016-02-13T10:58:14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4421"/>
    <d v="2016-02-13T11:45:46"/>
    <d v="2016-02-13T12:00:44"/>
    <x v="0"/>
    <s v="Large"/>
    <m/>
    <x v="1"/>
    <n v="70806"/>
    <n v="2.6327743130210299"/>
    <d v="2016-02-13T12:13:53"/>
    <n v="23.34"/>
    <x v="1039"/>
    <n v="2"/>
    <n v="1"/>
    <n v="2.2999999999999998"/>
    <n v="0"/>
    <n v="3.3"/>
    <x v="1026"/>
    <x v="0"/>
    <x v="2220"/>
    <x v="1268"/>
    <n v="7"/>
    <n v="14"/>
    <e v="#N/A"/>
  </r>
  <r>
    <n v="4422"/>
    <d v="2016-02-13T11:41:24"/>
    <d v="2016-02-13T11:56:22"/>
    <x v="2"/>
    <m/>
    <m/>
    <x v="0"/>
    <n v="70805"/>
    <n v="0"/>
    <d v="2016-02-13T11:59:21"/>
    <n v="11.59"/>
    <x v="1"/>
    <n v="1"/>
    <n v="1.7"/>
    <n v="0"/>
    <n v="0"/>
    <n v="1.7"/>
    <x v="0"/>
    <x v="0"/>
    <x v="0"/>
    <x v="0"/>
    <n v="10"/>
    <e v="#N/A"/>
    <e v="#N/A"/>
  </r>
  <r>
    <n v="4423"/>
    <d v="2016-02-13T12:33:19"/>
    <d v="2016-02-13T12:48:18"/>
    <x v="0"/>
    <s v="Medium"/>
    <m/>
    <x v="0"/>
    <n v="70805"/>
    <n v="0"/>
    <d v="2016-02-13T12:51:18"/>
    <n v="19.579999999999998"/>
    <x v="2"/>
    <n v="2"/>
    <n v="1"/>
    <n v="1.7"/>
    <n v="0"/>
    <n v="2.7"/>
    <x v="0"/>
    <x v="0"/>
    <x v="0"/>
    <x v="0"/>
    <n v="7"/>
    <n v="10"/>
    <e v="#N/A"/>
  </r>
  <r>
    <n v="4424"/>
    <d v="2016-02-13T10:13:22"/>
    <d v="2016-02-13T10:28:20"/>
    <x v="0"/>
    <s v="Medium"/>
    <m/>
    <x v="1"/>
    <n v="70806"/>
    <n v="0.96515033777861603"/>
    <d v="2016-02-13T10:33:09"/>
    <n v="19.579999999999998"/>
    <x v="1354"/>
    <n v="2"/>
    <n v="1"/>
    <n v="1.7"/>
    <n v="0"/>
    <n v="2.7"/>
    <x v="1342"/>
    <x v="0"/>
    <x v="2221"/>
    <x v="1269"/>
    <n v="7"/>
    <n v="10"/>
    <e v="#N/A"/>
  </r>
  <r>
    <n v="4425"/>
    <d v="2016-02-13T11:25:14"/>
    <d v="2016-02-13T11:40:14"/>
    <x v="2"/>
    <m/>
    <m/>
    <x v="0"/>
    <n v="70803"/>
    <n v="0"/>
    <d v="2016-02-13T11:43:13"/>
    <n v="11.59"/>
    <x v="24"/>
    <n v="1"/>
    <n v="1.7"/>
    <n v="0"/>
    <n v="0"/>
    <n v="1.7"/>
    <x v="0"/>
    <x v="0"/>
    <x v="0"/>
    <x v="0"/>
    <n v="10"/>
    <e v="#N/A"/>
    <e v="#N/A"/>
  </r>
  <r>
    <n v="4426"/>
    <d v="2016-02-13T11:51:44"/>
    <d v="2016-02-13T12:06:43"/>
    <x v="0"/>
    <s v="Medium"/>
    <m/>
    <x v="1"/>
    <n v="70807"/>
    <n v="3.0700089696213202"/>
    <d v="2016-02-13T12:22:04"/>
    <n v="19.579999999999998"/>
    <x v="598"/>
    <n v="2"/>
    <n v="1"/>
    <n v="1.7"/>
    <n v="0"/>
    <n v="2.7"/>
    <x v="585"/>
    <x v="0"/>
    <x v="2222"/>
    <x v="1270"/>
    <n v="7"/>
    <n v="10"/>
    <e v="#N/A"/>
  </r>
  <r>
    <n v="4427"/>
    <d v="2016-02-13T13:54:27"/>
    <d v="2016-02-13T14:09:28"/>
    <x v="0"/>
    <s v="Medium"/>
    <m/>
    <x v="0"/>
    <n v="70804"/>
    <n v="0"/>
    <d v="2016-02-13T14:12:30"/>
    <n v="19.579999999999998"/>
    <x v="171"/>
    <n v="2"/>
    <n v="1"/>
    <n v="1.7"/>
    <n v="0"/>
    <n v="2.7"/>
    <x v="0"/>
    <x v="0"/>
    <x v="0"/>
    <x v="0"/>
    <n v="7"/>
    <n v="10"/>
    <e v="#N/A"/>
  </r>
  <r>
    <n v="4428"/>
    <d v="2016-02-13T12:39:40"/>
    <d v="2016-02-13T12:54:40"/>
    <x v="1"/>
    <m/>
    <m/>
    <x v="0"/>
    <n v="70804"/>
    <n v="0"/>
    <d v="2016-02-13T12:57:39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4429"/>
    <d v="2016-02-13T11:24:48"/>
    <d v="2016-02-13T11:39:48"/>
    <x v="1"/>
    <m/>
    <m/>
    <x v="1"/>
    <n v="70804"/>
    <n v="3.8200439452814101"/>
    <d v="2016-02-13T11:58:54"/>
    <n v="15.35"/>
    <x v="386"/>
    <n v="1"/>
    <n v="2.2999999999999998"/>
    <n v="0"/>
    <n v="0"/>
    <n v="2.2999999999999998"/>
    <x v="373"/>
    <x v="1"/>
    <x v="2223"/>
    <x v="0"/>
    <n v="14"/>
    <e v="#N/A"/>
    <e v="#N/A"/>
  </r>
  <r>
    <n v="4430"/>
    <d v="2016-02-13T11:23:05"/>
    <d v="2016-02-13T11:38:03"/>
    <x v="0"/>
    <s v="Medium"/>
    <m/>
    <x v="0"/>
    <n v="70805"/>
    <n v="0"/>
    <d v="2016-02-13T11:41:02"/>
    <n v="19.579999999999998"/>
    <x v="24"/>
    <n v="2"/>
    <n v="1"/>
    <n v="1.7"/>
    <n v="0"/>
    <n v="2.7"/>
    <x v="0"/>
    <x v="0"/>
    <x v="0"/>
    <x v="0"/>
    <n v="7"/>
    <n v="10"/>
    <e v="#N/A"/>
  </r>
  <r>
    <n v="4431"/>
    <d v="2016-02-13T12:15:40"/>
    <d v="2016-02-13T12:30:38"/>
    <x v="1"/>
    <m/>
    <m/>
    <x v="1"/>
    <n v="70804"/>
    <n v="4.1541188796168704"/>
    <d v="2016-02-13T12:51:24"/>
    <n v="15.35"/>
    <x v="1355"/>
    <n v="1"/>
    <n v="2.2999999999999998"/>
    <n v="0"/>
    <n v="0"/>
    <n v="2.2999999999999998"/>
    <x v="1343"/>
    <x v="1"/>
    <x v="2224"/>
    <x v="0"/>
    <n v="14"/>
    <e v="#N/A"/>
    <e v="#N/A"/>
  </r>
  <r>
    <n v="4432"/>
    <d v="2016-02-13T13:23:27"/>
    <d v="2016-02-13T13:38:27"/>
    <x v="0"/>
    <s v="Medium"/>
    <m/>
    <x v="1"/>
    <n v="70805"/>
    <n v="5.0175702080987801"/>
    <d v="2016-02-13T14:03:32"/>
    <n v="19.579999999999998"/>
    <x v="1356"/>
    <n v="2"/>
    <n v="1"/>
    <n v="1.7"/>
    <n v="0"/>
    <n v="2.7"/>
    <x v="1344"/>
    <x v="1"/>
    <x v="2225"/>
    <x v="0"/>
    <n v="7"/>
    <n v="10"/>
    <e v="#N/A"/>
  </r>
  <r>
    <n v="4433"/>
    <d v="2016-02-13T11:56:50"/>
    <d v="2016-02-13T12:11:50"/>
    <x v="1"/>
    <m/>
    <m/>
    <x v="1"/>
    <n v="70803"/>
    <n v="3.0838070199968701"/>
    <d v="2016-02-13T12:27:15"/>
    <n v="15.35"/>
    <x v="206"/>
    <n v="1"/>
    <n v="2.2999999999999998"/>
    <n v="0"/>
    <n v="0"/>
    <n v="2.2999999999999998"/>
    <x v="194"/>
    <x v="0"/>
    <x v="2226"/>
    <x v="1271"/>
    <n v="14"/>
    <e v="#N/A"/>
    <e v="#N/A"/>
  </r>
  <r>
    <n v="4434"/>
    <d v="2016-02-13T12:26:23"/>
    <d v="2016-02-13T12:41:22"/>
    <x v="2"/>
    <m/>
    <m/>
    <x v="1"/>
    <n v="70804"/>
    <n v="4.0073191852730004"/>
    <d v="2016-02-13T13:01:24"/>
    <n v="11.59"/>
    <x v="746"/>
    <n v="1"/>
    <n v="1.7"/>
    <n v="0"/>
    <n v="0"/>
    <n v="1.7"/>
    <x v="733"/>
    <x v="1"/>
    <x v="2227"/>
    <x v="0"/>
    <n v="10"/>
    <e v="#N/A"/>
    <e v="#N/A"/>
  </r>
  <r>
    <n v="4435"/>
    <d v="2016-02-13T12:23:08"/>
    <d v="2016-02-13T12:38:08"/>
    <x v="0"/>
    <m/>
    <m/>
    <x v="0"/>
    <n v="70805"/>
    <n v="0"/>
    <d v="2016-02-13T12:41:09"/>
    <n v="7.99"/>
    <x v="14"/>
    <n v="1"/>
    <n v="1"/>
    <n v="0"/>
    <n v="0"/>
    <n v="1"/>
    <x v="0"/>
    <x v="0"/>
    <x v="0"/>
    <x v="0"/>
    <n v="7"/>
    <e v="#N/A"/>
    <e v="#N/A"/>
  </r>
  <r>
    <n v="4436"/>
    <d v="2016-02-13T11:23:20"/>
    <d v="2016-02-13T11:38:19"/>
    <x v="0"/>
    <s v="Medium"/>
    <m/>
    <x v="0"/>
    <n v="70806"/>
    <n v="0"/>
    <d v="2016-02-13T11:41:19"/>
    <n v="19.579999999999998"/>
    <x v="2"/>
    <n v="2"/>
    <n v="1"/>
    <n v="1.7"/>
    <n v="0"/>
    <n v="2.7"/>
    <x v="0"/>
    <x v="0"/>
    <x v="0"/>
    <x v="0"/>
    <n v="7"/>
    <n v="10"/>
    <e v="#N/A"/>
  </r>
  <r>
    <n v="4437"/>
    <d v="2016-02-14T13:50:32"/>
    <d v="2016-02-14T14:05:31"/>
    <x v="1"/>
    <m/>
    <m/>
    <x v="0"/>
    <n v="70805"/>
    <n v="0"/>
    <d v="2016-02-14T14:08:31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4438"/>
    <d v="2016-02-14T11:40:51"/>
    <d v="2016-02-14T11:55:50"/>
    <x v="1"/>
    <m/>
    <m/>
    <x v="0"/>
    <n v="70806"/>
    <n v="0"/>
    <d v="2016-02-14T11:58:48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4439"/>
    <d v="2016-02-14T11:31:32"/>
    <d v="2016-02-14T11:46:31"/>
    <x v="2"/>
    <m/>
    <m/>
    <x v="0"/>
    <n v="70804"/>
    <n v="0"/>
    <d v="2016-02-14T11:49:32"/>
    <n v="11.59"/>
    <x v="14"/>
    <n v="1"/>
    <n v="1.7"/>
    <n v="0"/>
    <n v="0"/>
    <n v="1.7"/>
    <x v="0"/>
    <x v="0"/>
    <x v="0"/>
    <x v="0"/>
    <n v="10"/>
    <e v="#N/A"/>
    <e v="#N/A"/>
  </r>
  <r>
    <n v="4440"/>
    <d v="2016-02-14T11:42:06"/>
    <d v="2016-02-14T11:57:05"/>
    <x v="1"/>
    <m/>
    <m/>
    <x v="1"/>
    <n v="70804"/>
    <n v="2.2060589202455598"/>
    <d v="2016-02-14T12:08:06"/>
    <n v="15.35"/>
    <x v="140"/>
    <n v="1"/>
    <n v="2.2999999999999998"/>
    <n v="0"/>
    <n v="0"/>
    <n v="2.2999999999999998"/>
    <x v="130"/>
    <x v="0"/>
    <x v="2228"/>
    <x v="1272"/>
    <n v="14"/>
    <e v="#N/A"/>
    <e v="#N/A"/>
  </r>
  <r>
    <n v="4441"/>
    <d v="2016-02-14T11:26:19"/>
    <d v="2016-02-14T11:41:19"/>
    <x v="0"/>
    <s v="Medium"/>
    <m/>
    <x v="1"/>
    <n v="70804"/>
    <n v="4.4568070137564098"/>
    <d v="2016-02-14T12:03:36"/>
    <n v="19.579999999999998"/>
    <x v="1041"/>
    <n v="2"/>
    <n v="1"/>
    <n v="1.7"/>
    <n v="0"/>
    <n v="2.7"/>
    <x v="1028"/>
    <x v="1"/>
    <x v="2229"/>
    <x v="0"/>
    <n v="7"/>
    <n v="10"/>
    <e v="#N/A"/>
  </r>
  <r>
    <n v="4442"/>
    <d v="2016-02-14T12:42:50"/>
    <d v="2016-02-14T12:57:51"/>
    <x v="0"/>
    <m/>
    <m/>
    <x v="1"/>
    <n v="70805"/>
    <n v="4.1718835276405004"/>
    <d v="2016-02-14T13:18:42"/>
    <n v="7.99"/>
    <x v="1357"/>
    <n v="1"/>
    <n v="1"/>
    <n v="0"/>
    <n v="0"/>
    <n v="1"/>
    <x v="1345"/>
    <x v="1"/>
    <x v="2230"/>
    <x v="0"/>
    <n v="7"/>
    <e v="#N/A"/>
    <e v="#N/A"/>
  </r>
  <r>
    <n v="4443"/>
    <d v="2016-02-14T12:29:59"/>
    <d v="2016-02-14T12:44:59"/>
    <x v="0"/>
    <s v="Medium"/>
    <m/>
    <x v="0"/>
    <n v="70804"/>
    <n v="0"/>
    <d v="2016-02-14T12:48:00"/>
    <n v="19.579999999999998"/>
    <x v="14"/>
    <n v="2"/>
    <n v="1"/>
    <n v="1.7"/>
    <n v="0"/>
    <n v="2.7"/>
    <x v="0"/>
    <x v="0"/>
    <x v="0"/>
    <x v="0"/>
    <n v="7"/>
    <n v="10"/>
    <e v="#N/A"/>
  </r>
  <r>
    <n v="4444"/>
    <d v="2016-02-14T12:43:47"/>
    <d v="2016-02-14T12:58:47"/>
    <x v="1"/>
    <m/>
    <m/>
    <x v="1"/>
    <n v="70804"/>
    <n v="2.11503415258148"/>
    <d v="2016-02-14T13:09:21"/>
    <n v="15.35"/>
    <x v="1136"/>
    <n v="1"/>
    <n v="2.2999999999999998"/>
    <n v="0"/>
    <n v="0"/>
    <n v="2.2999999999999998"/>
    <x v="1123"/>
    <x v="0"/>
    <x v="2231"/>
    <x v="1273"/>
    <n v="14"/>
    <e v="#N/A"/>
    <e v="#N/A"/>
  </r>
  <r>
    <n v="4445"/>
    <d v="2016-02-14T14:40:18"/>
    <d v="2016-02-14T14:55:17"/>
    <x v="0"/>
    <m/>
    <m/>
    <x v="0"/>
    <n v="70805"/>
    <n v="0"/>
    <d v="2016-02-14T14:58:17"/>
    <n v="7.99"/>
    <x v="2"/>
    <n v="1"/>
    <n v="1"/>
    <n v="0"/>
    <n v="0"/>
    <n v="1"/>
    <x v="0"/>
    <x v="0"/>
    <x v="0"/>
    <x v="0"/>
    <n v="7"/>
    <e v="#N/A"/>
    <e v="#N/A"/>
  </r>
  <r>
    <n v="4446"/>
    <d v="2016-02-14T12:38:41"/>
    <d v="2016-02-14T12:53:41"/>
    <x v="0"/>
    <m/>
    <m/>
    <x v="0"/>
    <n v="70804"/>
    <n v="0"/>
    <d v="2016-02-14T12:56:41"/>
    <n v="7.99"/>
    <x v="2"/>
    <n v="1"/>
    <n v="1"/>
    <n v="0"/>
    <n v="0"/>
    <n v="1"/>
    <x v="0"/>
    <x v="0"/>
    <x v="0"/>
    <x v="0"/>
    <n v="7"/>
    <e v="#N/A"/>
    <e v="#N/A"/>
  </r>
  <r>
    <n v="4447"/>
    <d v="2016-02-14T11:47:33"/>
    <d v="2016-02-14T12:02:32"/>
    <x v="2"/>
    <m/>
    <m/>
    <x v="1"/>
    <n v="70807"/>
    <n v="3.0742962363030299"/>
    <d v="2016-02-14T12:17:54"/>
    <n v="11.59"/>
    <x v="252"/>
    <n v="1"/>
    <n v="1.7"/>
    <n v="0"/>
    <n v="0"/>
    <n v="1.7"/>
    <x v="239"/>
    <x v="0"/>
    <x v="2232"/>
    <x v="1274"/>
    <n v="10"/>
    <e v="#N/A"/>
    <e v="#N/A"/>
  </r>
  <r>
    <n v="4448"/>
    <d v="2016-02-14T13:15:36"/>
    <d v="2016-02-14T13:30:35"/>
    <x v="1"/>
    <m/>
    <m/>
    <x v="0"/>
    <n v="70805"/>
    <n v="0"/>
    <d v="2016-02-14T13:33:33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4449"/>
    <d v="2016-02-14T11:05:21"/>
    <d v="2016-02-14T11:20:22"/>
    <x v="1"/>
    <m/>
    <m/>
    <x v="0"/>
    <n v="70807"/>
    <n v="0"/>
    <d v="2016-02-14T11:23:23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4450"/>
    <d v="2016-02-14T11:30:12"/>
    <d v="2016-02-14T11:45:11"/>
    <x v="1"/>
    <m/>
    <m/>
    <x v="1"/>
    <n v="70804"/>
    <n v="4.1956340874273996"/>
    <d v="2016-02-14T12:06:09"/>
    <n v="15.35"/>
    <x v="1358"/>
    <n v="1"/>
    <n v="2.2999999999999998"/>
    <n v="0"/>
    <n v="0"/>
    <n v="2.2999999999999998"/>
    <x v="1346"/>
    <x v="1"/>
    <x v="2233"/>
    <x v="0"/>
    <n v="14"/>
    <e v="#N/A"/>
    <e v="#N/A"/>
  </r>
  <r>
    <n v="4451"/>
    <d v="2016-02-14T11:26:31"/>
    <d v="2016-02-14T11:41:29"/>
    <x v="1"/>
    <m/>
    <m/>
    <x v="0"/>
    <n v="70805"/>
    <n v="0"/>
    <d v="2016-02-14T11:44:30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4452"/>
    <d v="2016-02-14T12:43:55"/>
    <d v="2016-02-14T12:58:54"/>
    <x v="2"/>
    <m/>
    <m/>
    <x v="1"/>
    <n v="70805"/>
    <n v="2.75917195062789"/>
    <d v="2016-02-14T13:12:41"/>
    <n v="11.59"/>
    <x v="151"/>
    <n v="1"/>
    <n v="1.7"/>
    <n v="0"/>
    <n v="0"/>
    <n v="1.7"/>
    <x v="141"/>
    <x v="0"/>
    <x v="2234"/>
    <x v="1275"/>
    <n v="10"/>
    <e v="#N/A"/>
    <e v="#N/A"/>
  </r>
  <r>
    <n v="4453"/>
    <d v="2016-02-14T11:42:23"/>
    <d v="2016-02-14T11:57:23"/>
    <x v="0"/>
    <m/>
    <m/>
    <x v="1"/>
    <n v="70803"/>
    <n v="2.03664800451523"/>
    <d v="2016-02-14T12:07:33"/>
    <n v="7.99"/>
    <x v="1359"/>
    <n v="1"/>
    <n v="1"/>
    <n v="0"/>
    <n v="0"/>
    <n v="1"/>
    <x v="1347"/>
    <x v="0"/>
    <x v="2235"/>
    <x v="1276"/>
    <n v="7"/>
    <e v="#N/A"/>
    <e v="#N/A"/>
  </r>
  <r>
    <n v="4454"/>
    <d v="2016-02-14T11:25:08"/>
    <d v="2016-02-14T11:40:09"/>
    <x v="0"/>
    <s v="Large"/>
    <m/>
    <x v="0"/>
    <n v="70803"/>
    <n v="0"/>
    <d v="2016-02-14T11:43:09"/>
    <n v="23.34"/>
    <x v="2"/>
    <n v="2"/>
    <n v="1"/>
    <n v="2.2999999999999998"/>
    <n v="0"/>
    <n v="3.3"/>
    <x v="0"/>
    <x v="0"/>
    <x v="0"/>
    <x v="0"/>
    <n v="7"/>
    <n v="14"/>
    <e v="#N/A"/>
  </r>
  <r>
    <n v="4455"/>
    <d v="2016-02-14T13:39:38"/>
    <d v="2016-02-14T13:54:38"/>
    <x v="2"/>
    <m/>
    <m/>
    <x v="0"/>
    <n v="70803"/>
    <n v="0"/>
    <d v="2016-02-14T13:57:37"/>
    <n v="11.59"/>
    <x v="1"/>
    <n v="1"/>
    <n v="1.7"/>
    <n v="0"/>
    <n v="0"/>
    <n v="1.7"/>
    <x v="0"/>
    <x v="0"/>
    <x v="0"/>
    <x v="0"/>
    <n v="10"/>
    <e v="#N/A"/>
    <e v="#N/A"/>
  </r>
  <r>
    <n v="4456"/>
    <d v="2016-02-14T12:37:36"/>
    <d v="2016-02-14T12:52:36"/>
    <x v="0"/>
    <s v="Medium"/>
    <m/>
    <x v="0"/>
    <n v="70806"/>
    <n v="0"/>
    <d v="2016-02-14T12:55:36"/>
    <n v="19.579999999999998"/>
    <x v="63"/>
    <n v="2"/>
    <n v="1"/>
    <n v="1.7"/>
    <n v="0"/>
    <n v="2.7"/>
    <x v="0"/>
    <x v="0"/>
    <x v="0"/>
    <x v="0"/>
    <n v="7"/>
    <n v="10"/>
    <e v="#N/A"/>
  </r>
  <r>
    <n v="4457"/>
    <d v="2016-02-14T11:27:13"/>
    <d v="2016-02-14T11:42:13"/>
    <x v="2"/>
    <s v="Large"/>
    <m/>
    <x v="0"/>
    <n v="70803"/>
    <n v="0"/>
    <d v="2016-02-14T11:45:12"/>
    <n v="25.94"/>
    <x v="24"/>
    <n v="2"/>
    <n v="1.7"/>
    <n v="2.2999999999999998"/>
    <n v="0"/>
    <n v="4"/>
    <x v="0"/>
    <x v="0"/>
    <x v="0"/>
    <x v="0"/>
    <n v="10"/>
    <n v="14"/>
    <e v="#N/A"/>
  </r>
  <r>
    <n v="4458"/>
    <d v="2016-02-14T11:00:43"/>
    <d v="2016-02-14T11:15:42"/>
    <x v="1"/>
    <m/>
    <m/>
    <x v="0"/>
    <n v="70805"/>
    <n v="0"/>
    <d v="2016-02-14T11:18:42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4459"/>
    <d v="2016-02-14T11:00:06"/>
    <d v="2016-02-14T11:15:06"/>
    <x v="2"/>
    <m/>
    <m/>
    <x v="1"/>
    <n v="70805"/>
    <n v="1.6999302261451299"/>
    <d v="2016-02-14T11:23:35"/>
    <n v="11.59"/>
    <x v="1360"/>
    <n v="1"/>
    <n v="1.7"/>
    <n v="0"/>
    <n v="0"/>
    <n v="1.7"/>
    <x v="1348"/>
    <x v="0"/>
    <x v="2236"/>
    <x v="1277"/>
    <n v="10"/>
    <e v="#N/A"/>
    <e v="#N/A"/>
  </r>
  <r>
    <n v="4460"/>
    <d v="2016-02-14T12:18:42"/>
    <d v="2016-02-14T12:33:42"/>
    <x v="0"/>
    <m/>
    <m/>
    <x v="1"/>
    <n v="70804"/>
    <n v="1.7086792552730701"/>
    <d v="2016-02-14T12:42:14"/>
    <n v="7.99"/>
    <x v="463"/>
    <n v="1"/>
    <n v="1"/>
    <n v="0"/>
    <n v="0"/>
    <n v="1"/>
    <x v="450"/>
    <x v="0"/>
    <x v="2237"/>
    <x v="1278"/>
    <n v="7"/>
    <e v="#N/A"/>
    <e v="#N/A"/>
  </r>
  <r>
    <n v="4461"/>
    <d v="2016-02-14T12:51:15"/>
    <d v="2016-02-14T13:06:16"/>
    <x v="2"/>
    <m/>
    <m/>
    <x v="0"/>
    <n v="70804"/>
    <n v="0"/>
    <d v="2016-02-14T13:09:16"/>
    <n v="11.59"/>
    <x v="2"/>
    <n v="1"/>
    <n v="1.7"/>
    <n v="0"/>
    <n v="0"/>
    <n v="1.7"/>
    <x v="0"/>
    <x v="0"/>
    <x v="0"/>
    <x v="0"/>
    <n v="10"/>
    <e v="#N/A"/>
    <e v="#N/A"/>
  </r>
  <r>
    <n v="4462"/>
    <d v="2016-02-14T13:14:56"/>
    <d v="2016-02-14T13:29:54"/>
    <x v="0"/>
    <s v="Medium"/>
    <m/>
    <x v="1"/>
    <n v="70804"/>
    <n v="5.43776070517516"/>
    <d v="2016-02-14T13:57:05"/>
    <n v="19.579999999999998"/>
    <x v="1361"/>
    <n v="2"/>
    <n v="1"/>
    <n v="1.7"/>
    <n v="0"/>
    <n v="2.7"/>
    <x v="1349"/>
    <x v="1"/>
    <x v="2238"/>
    <x v="0"/>
    <n v="7"/>
    <n v="10"/>
    <e v="#N/A"/>
  </r>
  <r>
    <n v="4463"/>
    <d v="2016-02-14T11:32:03"/>
    <d v="2016-02-14T11:47:02"/>
    <x v="2"/>
    <m/>
    <m/>
    <x v="1"/>
    <n v="70805"/>
    <n v="4.4681321438729196"/>
    <d v="2016-02-14T12:09:22"/>
    <n v="11.59"/>
    <x v="261"/>
    <n v="1"/>
    <n v="1.7"/>
    <n v="0"/>
    <n v="0"/>
    <n v="1.7"/>
    <x v="248"/>
    <x v="1"/>
    <x v="2239"/>
    <x v="0"/>
    <n v="10"/>
    <e v="#N/A"/>
    <e v="#N/A"/>
  </r>
  <r>
    <n v="4464"/>
    <d v="2016-02-14T14:38:10"/>
    <d v="2016-02-14T14:53:09"/>
    <x v="0"/>
    <s v="Medium"/>
    <m/>
    <x v="1"/>
    <n v="70806"/>
    <n v="1.29088735675488"/>
    <d v="2016-02-14T14:59:36"/>
    <n v="19.579999999999998"/>
    <x v="626"/>
    <n v="2"/>
    <n v="1"/>
    <n v="1.7"/>
    <n v="0"/>
    <n v="2.7"/>
    <x v="613"/>
    <x v="0"/>
    <x v="2240"/>
    <x v="1279"/>
    <n v="7"/>
    <n v="10"/>
    <e v="#N/A"/>
  </r>
  <r>
    <n v="4465"/>
    <d v="2016-02-14T11:20:19"/>
    <d v="2016-02-14T11:35:18"/>
    <x v="0"/>
    <m/>
    <m/>
    <x v="0"/>
    <n v="70806"/>
    <n v="0"/>
    <d v="2016-02-14T11:38:18"/>
    <n v="7.99"/>
    <x v="2"/>
    <n v="1"/>
    <n v="1"/>
    <n v="0"/>
    <n v="0"/>
    <n v="1"/>
    <x v="0"/>
    <x v="0"/>
    <x v="0"/>
    <x v="0"/>
    <n v="7"/>
    <e v="#N/A"/>
    <e v="#N/A"/>
  </r>
  <r>
    <n v="4466"/>
    <d v="2016-02-14T11:40:03"/>
    <d v="2016-02-14T11:55:04"/>
    <x v="1"/>
    <m/>
    <m/>
    <x v="1"/>
    <n v="70804"/>
    <n v="3.43142360987162"/>
    <d v="2016-02-14T12:12:13"/>
    <n v="15.35"/>
    <x v="625"/>
    <n v="1"/>
    <n v="2.2999999999999998"/>
    <n v="0"/>
    <n v="0"/>
    <n v="2.2999999999999998"/>
    <x v="612"/>
    <x v="1"/>
    <x v="2241"/>
    <x v="0"/>
    <n v="14"/>
    <e v="#N/A"/>
    <e v="#N/A"/>
  </r>
  <r>
    <n v="4467"/>
    <d v="2016-02-14T12:42:39"/>
    <d v="2016-02-14T12:57:40"/>
    <x v="1"/>
    <m/>
    <m/>
    <x v="0"/>
    <n v="70807"/>
    <n v="0"/>
    <d v="2016-02-14T13:00:37"/>
    <n v="15.35"/>
    <x v="22"/>
    <n v="1"/>
    <n v="2.2999999999999998"/>
    <n v="0"/>
    <n v="0"/>
    <n v="2.2999999999999998"/>
    <x v="0"/>
    <x v="0"/>
    <x v="0"/>
    <x v="0"/>
    <n v="14"/>
    <e v="#N/A"/>
    <e v="#N/A"/>
  </r>
  <r>
    <n v="4468"/>
    <d v="2016-02-14T11:18:49"/>
    <d v="2016-02-14T11:33:49"/>
    <x v="0"/>
    <m/>
    <m/>
    <x v="0"/>
    <n v="70803"/>
    <n v="0"/>
    <d v="2016-02-14T11:36:47"/>
    <n v="7.99"/>
    <x v="0"/>
    <n v="1"/>
    <n v="1"/>
    <n v="0"/>
    <n v="0"/>
    <n v="1"/>
    <x v="0"/>
    <x v="0"/>
    <x v="0"/>
    <x v="0"/>
    <n v="7"/>
    <e v="#N/A"/>
    <e v="#N/A"/>
  </r>
  <r>
    <n v="4469"/>
    <d v="2016-02-14T12:30:54"/>
    <d v="2016-02-14T12:45:52"/>
    <x v="1"/>
    <m/>
    <m/>
    <x v="1"/>
    <n v="70803"/>
    <n v="2.8258071407574099"/>
    <d v="2016-02-14T12:59:59"/>
    <n v="15.35"/>
    <x v="83"/>
    <n v="1"/>
    <n v="2.2999999999999998"/>
    <n v="0"/>
    <n v="0"/>
    <n v="2.2999999999999998"/>
    <x v="74"/>
    <x v="0"/>
    <x v="2242"/>
    <x v="1280"/>
    <n v="14"/>
    <e v="#N/A"/>
    <e v="#N/A"/>
  </r>
  <r>
    <n v="4470"/>
    <d v="2016-02-14T12:30:19"/>
    <d v="2016-02-14T12:45:18"/>
    <x v="1"/>
    <m/>
    <m/>
    <x v="1"/>
    <n v="70803"/>
    <n v="2.5999153048311601"/>
    <d v="2016-02-14T12:58:17"/>
    <n v="15.35"/>
    <x v="1362"/>
    <n v="1"/>
    <n v="2.2999999999999998"/>
    <n v="0"/>
    <n v="0"/>
    <n v="2.2999999999999998"/>
    <x v="1350"/>
    <x v="0"/>
    <x v="2243"/>
    <x v="1281"/>
    <n v="14"/>
    <e v="#N/A"/>
    <e v="#N/A"/>
  </r>
  <r>
    <n v="4471"/>
    <d v="2016-02-14T11:33:40"/>
    <d v="2016-02-14T11:48:38"/>
    <x v="1"/>
    <m/>
    <m/>
    <x v="1"/>
    <n v="70804"/>
    <n v="3.8000511536124701"/>
    <d v="2016-02-14T12:07:38"/>
    <n v="15.35"/>
    <x v="59"/>
    <n v="1"/>
    <n v="2.2999999999999998"/>
    <n v="0"/>
    <n v="0"/>
    <n v="2.2999999999999998"/>
    <x v="52"/>
    <x v="1"/>
    <x v="2244"/>
    <x v="0"/>
    <n v="14"/>
    <e v="#N/A"/>
    <e v="#N/A"/>
  </r>
  <r>
    <n v="4472"/>
    <d v="2016-02-14T13:23:44"/>
    <d v="2016-02-14T13:38:44"/>
    <x v="0"/>
    <m/>
    <m/>
    <x v="1"/>
    <n v="70805"/>
    <n v="0.72258422657694499"/>
    <d v="2016-02-14T13:42:20"/>
    <n v="7.99"/>
    <x v="1363"/>
    <n v="1"/>
    <n v="1"/>
    <n v="0"/>
    <n v="0"/>
    <n v="1"/>
    <x v="1351"/>
    <x v="0"/>
    <x v="2245"/>
    <x v="1282"/>
    <n v="7"/>
    <e v="#N/A"/>
    <e v="#N/A"/>
  </r>
  <r>
    <n v="4473"/>
    <d v="2016-02-14T11:00:24"/>
    <d v="2016-02-14T11:15:23"/>
    <x v="0"/>
    <s v="Medium"/>
    <m/>
    <x v="1"/>
    <n v="70805"/>
    <n v="2.7011698556336299"/>
    <d v="2016-02-14T11:28:53"/>
    <n v="19.579999999999998"/>
    <x v="66"/>
    <n v="2"/>
    <n v="1"/>
    <n v="1.7"/>
    <n v="0"/>
    <n v="2.7"/>
    <x v="58"/>
    <x v="0"/>
    <x v="2246"/>
    <x v="1283"/>
    <n v="7"/>
    <n v="10"/>
    <e v="#N/A"/>
  </r>
  <r>
    <n v="4474"/>
    <d v="2016-02-14T11:15:34"/>
    <d v="2016-02-14T11:30:34"/>
    <x v="0"/>
    <s v="Large"/>
    <m/>
    <x v="0"/>
    <n v="70804"/>
    <n v="0"/>
    <d v="2016-02-14T11:33:35"/>
    <n v="23.34"/>
    <x v="56"/>
    <n v="2"/>
    <n v="1"/>
    <n v="2.2999999999999998"/>
    <n v="0"/>
    <n v="3.3"/>
    <x v="0"/>
    <x v="0"/>
    <x v="0"/>
    <x v="0"/>
    <n v="7"/>
    <n v="14"/>
    <e v="#N/A"/>
  </r>
  <r>
    <n v="4475"/>
    <d v="2016-02-14T11:40:46"/>
    <d v="2016-02-14T11:55:47"/>
    <x v="1"/>
    <m/>
    <m/>
    <x v="0"/>
    <n v="70804"/>
    <n v="0"/>
    <d v="2016-02-14T11:58:47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4476"/>
    <d v="2016-02-14T12:28:08"/>
    <d v="2016-02-14T12:43:08"/>
    <x v="1"/>
    <m/>
    <m/>
    <x v="1"/>
    <n v="70804"/>
    <n v="2.50597919551348"/>
    <d v="2016-02-14T12:55:39"/>
    <n v="15.35"/>
    <x v="1364"/>
    <n v="1"/>
    <n v="2.2999999999999998"/>
    <n v="0"/>
    <n v="0"/>
    <n v="2.2999999999999998"/>
    <x v="1352"/>
    <x v="0"/>
    <x v="2247"/>
    <x v="1284"/>
    <n v="14"/>
    <e v="#N/A"/>
    <e v="#N/A"/>
  </r>
  <r>
    <n v="4477"/>
    <d v="2016-02-14T12:35:24"/>
    <d v="2016-02-14T12:50:24"/>
    <x v="2"/>
    <m/>
    <m/>
    <x v="1"/>
    <n v="70807"/>
    <n v="2.8510510394118702"/>
    <d v="2016-02-14T13:04:39"/>
    <n v="11.59"/>
    <x v="974"/>
    <n v="1"/>
    <n v="1.7"/>
    <n v="0"/>
    <n v="0"/>
    <n v="1.7"/>
    <x v="961"/>
    <x v="0"/>
    <x v="2248"/>
    <x v="1285"/>
    <n v="10"/>
    <e v="#N/A"/>
    <e v="#N/A"/>
  </r>
  <r>
    <n v="4478"/>
    <d v="2016-02-14T10:34:46"/>
    <d v="2016-02-14T10:49:46"/>
    <x v="2"/>
    <m/>
    <m/>
    <x v="1"/>
    <n v="70806"/>
    <n v="3.0686560327992898"/>
    <d v="2016-02-14T11:05:06"/>
    <n v="11.59"/>
    <x v="254"/>
    <n v="1"/>
    <n v="1.7"/>
    <n v="0"/>
    <n v="0"/>
    <n v="1.7"/>
    <x v="241"/>
    <x v="0"/>
    <x v="2249"/>
    <x v="1286"/>
    <n v="10"/>
    <e v="#N/A"/>
    <e v="#N/A"/>
  </r>
  <r>
    <n v="4479"/>
    <d v="2016-02-14T12:53:36"/>
    <d v="2016-02-14T13:08:36"/>
    <x v="2"/>
    <m/>
    <m/>
    <x v="1"/>
    <n v="70803"/>
    <n v="1.8379781825283199"/>
    <d v="2016-02-14T13:17:47"/>
    <n v="11.59"/>
    <x v="747"/>
    <n v="1"/>
    <n v="1.7"/>
    <n v="0"/>
    <n v="0"/>
    <n v="1.7"/>
    <x v="734"/>
    <x v="0"/>
    <x v="2250"/>
    <x v="1287"/>
    <n v="10"/>
    <e v="#N/A"/>
    <e v="#N/A"/>
  </r>
  <r>
    <n v="4480"/>
    <d v="2016-02-14T11:24:24"/>
    <d v="2016-02-14T11:39:22"/>
    <x v="0"/>
    <s v="Medium"/>
    <m/>
    <x v="0"/>
    <n v="70806"/>
    <n v="0"/>
    <d v="2016-02-14T11:42:21"/>
    <n v="19.579999999999998"/>
    <x v="1"/>
    <n v="2"/>
    <n v="1"/>
    <n v="1.7"/>
    <n v="0"/>
    <n v="2.7"/>
    <x v="0"/>
    <x v="0"/>
    <x v="0"/>
    <x v="0"/>
    <n v="7"/>
    <n v="10"/>
    <e v="#N/A"/>
  </r>
  <r>
    <n v="4481"/>
    <d v="2016-02-14T14:33:17"/>
    <d v="2016-02-14T14:48:17"/>
    <x v="0"/>
    <s v="Medium"/>
    <m/>
    <x v="0"/>
    <n v="70803"/>
    <n v="0"/>
    <d v="2016-02-14T14:51:16"/>
    <n v="19.579999999999998"/>
    <x v="1"/>
    <n v="2"/>
    <n v="1"/>
    <n v="1.7"/>
    <n v="0"/>
    <n v="2.7"/>
    <x v="0"/>
    <x v="0"/>
    <x v="0"/>
    <x v="0"/>
    <n v="7"/>
    <n v="10"/>
    <e v="#N/A"/>
  </r>
  <r>
    <n v="4482"/>
    <d v="2016-02-14T12:33:54"/>
    <d v="2016-02-14T12:48:55"/>
    <x v="1"/>
    <m/>
    <m/>
    <x v="0"/>
    <n v="70805"/>
    <n v="0"/>
    <d v="2016-02-14T12:51:54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4483"/>
    <d v="2016-02-14T11:37:36"/>
    <d v="2016-02-14T11:52:34"/>
    <x v="0"/>
    <m/>
    <m/>
    <x v="0"/>
    <n v="70805"/>
    <n v="0"/>
    <d v="2016-02-14T11:55:33"/>
    <n v="7.99"/>
    <x v="24"/>
    <n v="1"/>
    <n v="1"/>
    <n v="0"/>
    <n v="0"/>
    <n v="1"/>
    <x v="0"/>
    <x v="0"/>
    <x v="0"/>
    <x v="0"/>
    <n v="7"/>
    <e v="#N/A"/>
    <e v="#N/A"/>
  </r>
  <r>
    <n v="4484"/>
    <d v="2016-02-14T11:07:54"/>
    <d v="2016-02-14T11:22:52"/>
    <x v="0"/>
    <s v="Medium"/>
    <m/>
    <x v="1"/>
    <n v="70807"/>
    <n v="1.5907545172356501"/>
    <d v="2016-02-14T11:30:49"/>
    <n v="19.579999999999998"/>
    <x v="1365"/>
    <n v="2"/>
    <n v="1"/>
    <n v="1.7"/>
    <n v="0"/>
    <n v="2.7"/>
    <x v="1353"/>
    <x v="0"/>
    <x v="2251"/>
    <x v="1288"/>
    <n v="7"/>
    <n v="10"/>
    <e v="#N/A"/>
  </r>
  <r>
    <n v="4485"/>
    <d v="2016-02-14T10:31:07"/>
    <d v="2016-02-14T10:46:06"/>
    <x v="1"/>
    <m/>
    <m/>
    <x v="0"/>
    <n v="70807"/>
    <n v="0"/>
    <d v="2016-02-14T10:49:06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4486"/>
    <d v="2016-02-14T12:11:18"/>
    <d v="2016-02-14T12:26:18"/>
    <x v="1"/>
    <m/>
    <m/>
    <x v="1"/>
    <n v="70806"/>
    <n v="5.5954078647254502"/>
    <d v="2016-02-14T12:54:16"/>
    <n v="15.35"/>
    <x v="1366"/>
    <n v="1"/>
    <n v="2.2999999999999998"/>
    <n v="0"/>
    <n v="0"/>
    <n v="2.2999999999999998"/>
    <x v="1354"/>
    <x v="1"/>
    <x v="2252"/>
    <x v="0"/>
    <n v="14"/>
    <e v="#N/A"/>
    <e v="#N/A"/>
  </r>
  <r>
    <n v="4487"/>
    <d v="2016-02-14T12:53:34"/>
    <d v="2016-02-14T13:08:34"/>
    <x v="2"/>
    <m/>
    <m/>
    <x v="0"/>
    <n v="70804"/>
    <n v="0"/>
    <d v="2016-02-14T13:11:31"/>
    <n v="11.59"/>
    <x v="102"/>
    <n v="1"/>
    <n v="1.7"/>
    <n v="0"/>
    <n v="0"/>
    <n v="1.7"/>
    <x v="0"/>
    <x v="0"/>
    <x v="0"/>
    <x v="0"/>
    <n v="10"/>
    <e v="#N/A"/>
    <e v="#N/A"/>
  </r>
  <r>
    <n v="4488"/>
    <d v="2016-02-14T11:04:44"/>
    <d v="2016-02-14T11:19:44"/>
    <x v="1"/>
    <m/>
    <m/>
    <x v="1"/>
    <n v="70807"/>
    <n v="1.5413927767003901"/>
    <d v="2016-02-14T11:27:26"/>
    <n v="15.35"/>
    <x v="1367"/>
    <n v="1"/>
    <n v="2.2999999999999998"/>
    <n v="0"/>
    <n v="0"/>
    <n v="2.2999999999999998"/>
    <x v="1355"/>
    <x v="0"/>
    <x v="2253"/>
    <x v="1289"/>
    <n v="14"/>
    <e v="#N/A"/>
    <e v="#N/A"/>
  </r>
  <r>
    <n v="4489"/>
    <d v="2016-02-14T12:26:23"/>
    <d v="2016-02-14T12:41:23"/>
    <x v="1"/>
    <m/>
    <m/>
    <x v="1"/>
    <n v="70805"/>
    <n v="1.3848144004198999"/>
    <d v="2016-02-14T12:48:18"/>
    <n v="15.35"/>
    <x v="1368"/>
    <n v="1"/>
    <n v="2.2999999999999998"/>
    <n v="0"/>
    <n v="0"/>
    <n v="2.2999999999999998"/>
    <x v="1356"/>
    <x v="0"/>
    <x v="2254"/>
    <x v="1290"/>
    <n v="14"/>
    <e v="#N/A"/>
    <e v="#N/A"/>
  </r>
  <r>
    <n v="4490"/>
    <d v="2016-02-14T12:20:26"/>
    <d v="2016-02-14T12:35:24"/>
    <x v="2"/>
    <m/>
    <m/>
    <x v="1"/>
    <n v="70804"/>
    <n v="3.1563580456174001"/>
    <d v="2016-02-14T12:51:10"/>
    <n v="11.59"/>
    <x v="722"/>
    <n v="1"/>
    <n v="1.7"/>
    <n v="0"/>
    <n v="0"/>
    <n v="1.7"/>
    <x v="709"/>
    <x v="0"/>
    <x v="2255"/>
    <x v="1291"/>
    <n v="10"/>
    <e v="#N/A"/>
    <e v="#N/A"/>
  </r>
  <r>
    <n v="4491"/>
    <d v="2016-02-14T13:15:30"/>
    <d v="2016-02-14T13:30:29"/>
    <x v="0"/>
    <m/>
    <m/>
    <x v="0"/>
    <n v="70803"/>
    <n v="0"/>
    <d v="2016-02-14T13:33:30"/>
    <n v="7.99"/>
    <x v="14"/>
    <n v="1"/>
    <n v="1"/>
    <n v="0"/>
    <n v="0"/>
    <n v="1"/>
    <x v="0"/>
    <x v="0"/>
    <x v="0"/>
    <x v="0"/>
    <n v="7"/>
    <e v="#N/A"/>
    <e v="#N/A"/>
  </r>
  <r>
    <n v="4492"/>
    <d v="2016-02-14T11:48:37"/>
    <d v="2016-02-14T12:03:36"/>
    <x v="0"/>
    <s v="Medium"/>
    <m/>
    <x v="0"/>
    <n v="70804"/>
    <n v="0"/>
    <d v="2016-02-14T12:06:36"/>
    <n v="19.579999999999998"/>
    <x v="2"/>
    <n v="2"/>
    <n v="1"/>
    <n v="1.7"/>
    <n v="0"/>
    <n v="2.7"/>
    <x v="0"/>
    <x v="0"/>
    <x v="0"/>
    <x v="0"/>
    <n v="7"/>
    <n v="10"/>
    <e v="#N/A"/>
  </r>
  <r>
    <n v="4493"/>
    <d v="2016-02-14T13:30:26"/>
    <d v="2016-02-14T13:45:27"/>
    <x v="1"/>
    <m/>
    <m/>
    <x v="1"/>
    <n v="70807"/>
    <n v="3.3721047148918601"/>
    <d v="2016-02-14T14:02:18"/>
    <n v="15.35"/>
    <x v="514"/>
    <n v="1"/>
    <n v="2.2999999999999998"/>
    <n v="0"/>
    <n v="0"/>
    <n v="2.2999999999999998"/>
    <x v="501"/>
    <x v="1"/>
    <x v="2256"/>
    <x v="0"/>
    <n v="14"/>
    <e v="#N/A"/>
    <e v="#N/A"/>
  </r>
  <r>
    <n v="4494"/>
    <d v="2016-02-14T12:46:08"/>
    <d v="2016-02-14T13:01:06"/>
    <x v="0"/>
    <s v="Medium"/>
    <m/>
    <x v="0"/>
    <n v="70807"/>
    <n v="0"/>
    <d v="2016-02-14T13:04:06"/>
    <n v="19.579999999999998"/>
    <x v="2"/>
    <n v="2"/>
    <n v="1"/>
    <n v="1.7"/>
    <n v="0"/>
    <n v="2.7"/>
    <x v="0"/>
    <x v="0"/>
    <x v="0"/>
    <x v="0"/>
    <n v="7"/>
    <n v="10"/>
    <e v="#N/A"/>
  </r>
  <r>
    <n v="4495"/>
    <d v="2016-02-14T11:49:27"/>
    <d v="2016-02-14T12:04:26"/>
    <x v="0"/>
    <s v="Medium"/>
    <m/>
    <x v="0"/>
    <n v="70803"/>
    <n v="0"/>
    <d v="2016-02-14T12:07:26"/>
    <n v="19.579999999999998"/>
    <x v="2"/>
    <n v="2"/>
    <n v="1"/>
    <n v="1.7"/>
    <n v="0"/>
    <n v="2.7"/>
    <x v="0"/>
    <x v="0"/>
    <x v="0"/>
    <x v="0"/>
    <n v="7"/>
    <n v="10"/>
    <e v="#N/A"/>
  </r>
  <r>
    <n v="4496"/>
    <d v="2016-02-14T12:11:36"/>
    <d v="2016-02-14T12:26:35"/>
    <x v="1"/>
    <m/>
    <m/>
    <x v="0"/>
    <n v="70806"/>
    <n v="0"/>
    <d v="2016-02-14T12:29:35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4497"/>
    <d v="2016-02-14T10:50:31"/>
    <d v="2016-02-14T11:05:31"/>
    <x v="0"/>
    <s v="Large"/>
    <m/>
    <x v="1"/>
    <n v="70807"/>
    <n v="2.0484003742343999"/>
    <d v="2016-02-14T11:15:45"/>
    <n v="23.34"/>
    <x v="1369"/>
    <n v="2"/>
    <n v="1"/>
    <n v="2.2999999999999998"/>
    <n v="0"/>
    <n v="3.3"/>
    <x v="1357"/>
    <x v="0"/>
    <x v="2257"/>
    <x v="1292"/>
    <n v="7"/>
    <n v="14"/>
    <e v="#N/A"/>
  </r>
  <r>
    <n v="4498"/>
    <d v="2016-02-14T10:41:33"/>
    <d v="2016-02-14T10:56:31"/>
    <x v="0"/>
    <m/>
    <m/>
    <x v="0"/>
    <n v="70806"/>
    <n v="0"/>
    <d v="2016-02-14T10:59:31"/>
    <n v="7.99"/>
    <x v="2"/>
    <n v="1"/>
    <n v="1"/>
    <n v="0"/>
    <n v="0"/>
    <n v="1"/>
    <x v="0"/>
    <x v="0"/>
    <x v="0"/>
    <x v="0"/>
    <n v="7"/>
    <e v="#N/A"/>
    <e v="#N/A"/>
  </r>
  <r>
    <n v="4499"/>
    <d v="2016-02-14T13:19:00"/>
    <d v="2016-02-14T13:33:58"/>
    <x v="1"/>
    <m/>
    <m/>
    <x v="1"/>
    <n v="70805"/>
    <n v="0.98405269682012098"/>
    <d v="2016-02-14T13:38:53"/>
    <n v="15.35"/>
    <x v="1370"/>
    <n v="1"/>
    <n v="2.2999999999999998"/>
    <n v="0"/>
    <n v="0"/>
    <n v="2.2999999999999998"/>
    <x v="1358"/>
    <x v="0"/>
    <x v="2258"/>
    <x v="1293"/>
    <n v="14"/>
    <e v="#N/A"/>
    <e v="#N/A"/>
  </r>
  <r>
    <n v="4500"/>
    <d v="2016-02-14T12:24:16"/>
    <d v="2016-02-14T12:39:14"/>
    <x v="1"/>
    <m/>
    <m/>
    <x v="1"/>
    <n v="70805"/>
    <n v="1.58372081817799"/>
    <d v="2016-02-14T12:47:09"/>
    <n v="15.35"/>
    <x v="1130"/>
    <n v="1"/>
    <n v="2.2999999999999998"/>
    <n v="0"/>
    <n v="0"/>
    <n v="2.2999999999999998"/>
    <x v="1117"/>
    <x v="0"/>
    <x v="2259"/>
    <x v="1294"/>
    <n v="14"/>
    <e v="#N/A"/>
    <e v="#N/A"/>
  </r>
  <r>
    <n v="4501"/>
    <d v="2016-02-14T11:19:05"/>
    <d v="2016-02-14T11:34:04"/>
    <x v="0"/>
    <s v="Medium"/>
    <m/>
    <x v="0"/>
    <n v="70804"/>
    <n v="0"/>
    <d v="2016-02-14T11:37:03"/>
    <n v="19.579999999999998"/>
    <x v="24"/>
    <n v="2"/>
    <n v="1"/>
    <n v="1.7"/>
    <n v="0"/>
    <n v="2.7"/>
    <x v="0"/>
    <x v="0"/>
    <x v="0"/>
    <x v="0"/>
    <n v="7"/>
    <n v="10"/>
    <e v="#N/A"/>
  </r>
  <r>
    <n v="4502"/>
    <d v="2016-02-14T10:50:24"/>
    <d v="2016-02-14T11:05:24"/>
    <x v="0"/>
    <s v="Medium"/>
    <m/>
    <x v="0"/>
    <n v="70806"/>
    <n v="0"/>
    <d v="2016-02-14T11:08:22"/>
    <n v="19.579999999999998"/>
    <x v="0"/>
    <n v="2"/>
    <n v="1"/>
    <n v="1.7"/>
    <n v="0"/>
    <n v="2.7"/>
    <x v="0"/>
    <x v="0"/>
    <x v="0"/>
    <x v="0"/>
    <n v="7"/>
    <n v="10"/>
    <e v="#N/A"/>
  </r>
  <r>
    <n v="4503"/>
    <d v="2016-02-14T10:11:12"/>
    <d v="2016-02-14T10:26:11"/>
    <x v="2"/>
    <m/>
    <m/>
    <x v="1"/>
    <n v="70804"/>
    <n v="2.9608024249800202"/>
    <d v="2016-02-14T10:40:59"/>
    <n v="11.59"/>
    <x v="1371"/>
    <n v="1"/>
    <n v="1.7"/>
    <n v="0"/>
    <n v="0"/>
    <n v="1.7"/>
    <x v="1359"/>
    <x v="0"/>
    <x v="2260"/>
    <x v="1295"/>
    <n v="10"/>
    <e v="#N/A"/>
    <e v="#N/A"/>
  </r>
  <r>
    <n v="4504"/>
    <d v="2016-02-14T12:04:19"/>
    <d v="2016-02-14T12:19:18"/>
    <x v="2"/>
    <m/>
    <m/>
    <x v="0"/>
    <n v="70804"/>
    <n v="0"/>
    <d v="2016-02-14T12:22:17"/>
    <n v="11.59"/>
    <x v="1"/>
    <n v="1"/>
    <n v="1.7"/>
    <n v="0"/>
    <n v="0"/>
    <n v="1.7"/>
    <x v="0"/>
    <x v="0"/>
    <x v="0"/>
    <x v="0"/>
    <n v="10"/>
    <e v="#N/A"/>
    <e v="#N/A"/>
  </r>
  <r>
    <n v="4505"/>
    <d v="2016-02-14T12:40:13"/>
    <d v="2016-02-14T12:55:14"/>
    <x v="2"/>
    <m/>
    <m/>
    <x v="0"/>
    <n v="70805"/>
    <n v="0"/>
    <d v="2016-02-14T12:58:13"/>
    <n v="11.59"/>
    <x v="24"/>
    <n v="1"/>
    <n v="1.7"/>
    <n v="0"/>
    <n v="0"/>
    <n v="1.7"/>
    <x v="0"/>
    <x v="0"/>
    <x v="0"/>
    <x v="0"/>
    <n v="10"/>
    <e v="#N/A"/>
    <e v="#N/A"/>
  </r>
  <r>
    <n v="4506"/>
    <d v="2016-02-14T11:00:22"/>
    <d v="2016-02-14T11:15:20"/>
    <x v="0"/>
    <m/>
    <m/>
    <x v="0"/>
    <n v="70808"/>
    <n v="0"/>
    <d v="2016-02-14T11:18:18"/>
    <n v="7.99"/>
    <x v="19"/>
    <n v="1"/>
    <n v="1"/>
    <n v="0"/>
    <n v="0"/>
    <n v="1"/>
    <x v="0"/>
    <x v="0"/>
    <x v="0"/>
    <x v="0"/>
    <n v="7"/>
    <e v="#N/A"/>
    <e v="#N/A"/>
  </r>
  <r>
    <n v="4507"/>
    <d v="2016-02-14T13:21:13"/>
    <d v="2016-02-14T13:36:13"/>
    <x v="1"/>
    <m/>
    <m/>
    <x v="1"/>
    <n v="70806"/>
    <n v="2.0227953682436302"/>
    <d v="2016-02-14T13:46:19"/>
    <n v="15.35"/>
    <x v="347"/>
    <n v="1"/>
    <n v="2.2999999999999998"/>
    <n v="0"/>
    <n v="0"/>
    <n v="2.2999999999999998"/>
    <x v="334"/>
    <x v="0"/>
    <x v="2261"/>
    <x v="1296"/>
    <n v="14"/>
    <e v="#N/A"/>
    <e v="#N/A"/>
  </r>
  <r>
    <n v="4508"/>
    <d v="2016-02-14T12:36:51"/>
    <d v="2016-02-14T12:51:49"/>
    <x v="2"/>
    <m/>
    <m/>
    <x v="1"/>
    <n v="70805"/>
    <n v="2.51550519226257"/>
    <d v="2016-02-14T13:04:23"/>
    <n v="11.59"/>
    <x v="177"/>
    <n v="1"/>
    <n v="1.7"/>
    <n v="0"/>
    <n v="0"/>
    <n v="1.7"/>
    <x v="165"/>
    <x v="0"/>
    <x v="2262"/>
    <x v="1297"/>
    <n v="10"/>
    <e v="#N/A"/>
    <e v="#N/A"/>
  </r>
  <r>
    <n v="4509"/>
    <d v="2016-02-14T11:38:54"/>
    <d v="2016-02-14T11:53:54"/>
    <x v="1"/>
    <m/>
    <m/>
    <x v="0"/>
    <n v="70803"/>
    <n v="0"/>
    <d v="2016-02-14T11:56:54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4510"/>
    <d v="2016-02-14T13:32:12"/>
    <d v="2016-02-14T13:47:12"/>
    <x v="0"/>
    <s v="Large"/>
    <m/>
    <x v="0"/>
    <n v="70804"/>
    <n v="0"/>
    <d v="2016-02-14T13:50:12"/>
    <n v="23.34"/>
    <x v="2"/>
    <n v="2"/>
    <n v="1"/>
    <n v="2.2999999999999998"/>
    <n v="0"/>
    <n v="3.3"/>
    <x v="0"/>
    <x v="0"/>
    <x v="0"/>
    <x v="0"/>
    <n v="7"/>
    <n v="14"/>
    <e v="#N/A"/>
  </r>
  <r>
    <n v="4511"/>
    <d v="2016-02-14T11:23:16"/>
    <d v="2016-02-14T11:38:15"/>
    <x v="0"/>
    <m/>
    <m/>
    <x v="1"/>
    <n v="70808"/>
    <n v="2.2542501335187501"/>
    <d v="2016-02-14T11:49:31"/>
    <n v="7.99"/>
    <x v="633"/>
    <n v="1"/>
    <n v="1"/>
    <n v="0"/>
    <n v="0"/>
    <n v="1"/>
    <x v="620"/>
    <x v="0"/>
    <x v="2263"/>
    <x v="1298"/>
    <n v="7"/>
    <e v="#N/A"/>
    <e v="#N/A"/>
  </r>
  <r>
    <n v="4512"/>
    <d v="2016-02-14T13:07:14"/>
    <d v="2016-02-14T13:22:13"/>
    <x v="1"/>
    <m/>
    <m/>
    <x v="0"/>
    <n v="70803"/>
    <n v="0"/>
    <d v="2016-02-14T13:25:12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4513"/>
    <d v="2016-02-14T11:28:41"/>
    <d v="2016-02-14T11:43:40"/>
    <x v="0"/>
    <m/>
    <m/>
    <x v="0"/>
    <n v="70804"/>
    <n v="0"/>
    <d v="2016-02-14T11:46:40"/>
    <n v="7.99"/>
    <x v="2"/>
    <n v="1"/>
    <n v="1"/>
    <n v="0"/>
    <n v="0"/>
    <n v="1"/>
    <x v="0"/>
    <x v="0"/>
    <x v="0"/>
    <x v="0"/>
    <n v="7"/>
    <e v="#N/A"/>
    <e v="#N/A"/>
  </r>
  <r>
    <n v="4514"/>
    <d v="2016-02-14T11:20:46"/>
    <d v="2016-02-14T11:35:45"/>
    <x v="0"/>
    <s v="Medium"/>
    <m/>
    <x v="1"/>
    <n v="70804"/>
    <n v="2.50740639124334"/>
    <d v="2016-02-14T11:48:17"/>
    <n v="19.579999999999998"/>
    <x v="1372"/>
    <n v="2"/>
    <n v="1"/>
    <n v="1.7"/>
    <n v="0"/>
    <n v="2.7"/>
    <x v="1360"/>
    <x v="0"/>
    <x v="2264"/>
    <x v="1299"/>
    <n v="7"/>
    <n v="10"/>
    <e v="#N/A"/>
  </r>
  <r>
    <n v="4515"/>
    <d v="2016-02-14T11:31:54"/>
    <d v="2016-02-14T11:46:53"/>
    <x v="1"/>
    <m/>
    <m/>
    <x v="0"/>
    <n v="70803"/>
    <n v="0"/>
    <d v="2016-02-14T11:49:52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4516"/>
    <d v="2016-02-14T11:04:15"/>
    <d v="2016-02-14T11:19:15"/>
    <x v="1"/>
    <m/>
    <m/>
    <x v="1"/>
    <n v="70805"/>
    <n v="3.4634795018220501"/>
    <d v="2016-02-14T11:36:34"/>
    <n v="15.35"/>
    <x v="1228"/>
    <n v="1"/>
    <n v="2.2999999999999998"/>
    <n v="0"/>
    <n v="0"/>
    <n v="2.2999999999999998"/>
    <x v="1216"/>
    <x v="1"/>
    <x v="2265"/>
    <x v="0"/>
    <n v="14"/>
    <e v="#N/A"/>
    <e v="#N/A"/>
  </r>
  <r>
    <n v="4517"/>
    <d v="2016-02-14T13:00:14"/>
    <d v="2016-02-14T13:15:15"/>
    <x v="1"/>
    <m/>
    <m/>
    <x v="0"/>
    <n v="70803"/>
    <n v="0"/>
    <d v="2016-02-14T13:18:14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4518"/>
    <d v="2016-02-14T13:45:31"/>
    <d v="2016-02-14T14:00:30"/>
    <x v="0"/>
    <s v="Medium"/>
    <m/>
    <x v="1"/>
    <n v="70804"/>
    <n v="1.2750275776029001"/>
    <d v="2016-02-14T14:06:52"/>
    <n v="19.579999999999998"/>
    <x v="1373"/>
    <n v="2"/>
    <n v="1"/>
    <n v="1.7"/>
    <n v="0"/>
    <n v="2.7"/>
    <x v="1361"/>
    <x v="0"/>
    <x v="2266"/>
    <x v="1300"/>
    <n v="7"/>
    <n v="10"/>
    <e v="#N/A"/>
  </r>
  <r>
    <n v="4519"/>
    <d v="2016-02-14T11:42:33"/>
    <d v="2016-02-14T11:57:33"/>
    <x v="1"/>
    <m/>
    <m/>
    <x v="1"/>
    <n v="70807"/>
    <n v="3.3760069574585301"/>
    <d v="2016-02-14T12:14:25"/>
    <n v="15.35"/>
    <x v="1374"/>
    <n v="1"/>
    <n v="2.2999999999999998"/>
    <n v="0"/>
    <n v="0"/>
    <n v="2.2999999999999998"/>
    <x v="1362"/>
    <x v="1"/>
    <x v="2267"/>
    <x v="0"/>
    <n v="14"/>
    <e v="#N/A"/>
    <e v="#N/A"/>
  </r>
  <r>
    <n v="4520"/>
    <d v="2016-02-14T11:39:12"/>
    <d v="2016-02-14T11:54:11"/>
    <x v="2"/>
    <m/>
    <m/>
    <x v="0"/>
    <n v="70803"/>
    <n v="0"/>
    <d v="2016-02-14T11:57:12"/>
    <n v="11.59"/>
    <x v="56"/>
    <n v="1"/>
    <n v="1.7"/>
    <n v="0"/>
    <n v="0"/>
    <n v="1.7"/>
    <x v="0"/>
    <x v="0"/>
    <x v="0"/>
    <x v="0"/>
    <n v="10"/>
    <e v="#N/A"/>
    <e v="#N/A"/>
  </r>
  <r>
    <n v="4521"/>
    <d v="2016-02-14T12:44:26"/>
    <d v="2016-02-14T12:59:26"/>
    <x v="1"/>
    <m/>
    <m/>
    <x v="0"/>
    <n v="70803"/>
    <n v="0"/>
    <d v="2016-02-14T13:02:25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4522"/>
    <d v="2016-02-14T12:20:59"/>
    <d v="2016-02-14T12:36:00"/>
    <x v="1"/>
    <m/>
    <m/>
    <x v="0"/>
    <n v="70806"/>
    <n v="0"/>
    <d v="2016-02-14T12:39:01"/>
    <n v="15.35"/>
    <x v="56"/>
    <n v="1"/>
    <n v="2.2999999999999998"/>
    <n v="0"/>
    <n v="0"/>
    <n v="2.2999999999999998"/>
    <x v="0"/>
    <x v="0"/>
    <x v="0"/>
    <x v="0"/>
    <n v="14"/>
    <e v="#N/A"/>
    <e v="#N/A"/>
  </r>
  <r>
    <n v="4523"/>
    <d v="2016-02-14T13:42:24"/>
    <d v="2016-02-14T13:57:22"/>
    <x v="2"/>
    <m/>
    <m/>
    <x v="1"/>
    <n v="70805"/>
    <n v="2.5945281833297802"/>
    <d v="2016-02-14T14:10:20"/>
    <n v="11.59"/>
    <x v="650"/>
    <n v="1"/>
    <n v="1.7"/>
    <n v="0"/>
    <n v="0"/>
    <n v="1.7"/>
    <x v="637"/>
    <x v="0"/>
    <x v="2268"/>
    <x v="1301"/>
    <n v="10"/>
    <e v="#N/A"/>
    <e v="#N/A"/>
  </r>
  <r>
    <n v="4524"/>
    <d v="2016-02-14T11:15:25"/>
    <d v="2016-02-14T11:30:25"/>
    <x v="0"/>
    <m/>
    <m/>
    <x v="0"/>
    <n v="70803"/>
    <n v="0"/>
    <d v="2016-02-14T11:33:25"/>
    <n v="7.99"/>
    <x v="2"/>
    <n v="1"/>
    <n v="1"/>
    <n v="0"/>
    <n v="0"/>
    <n v="1"/>
    <x v="0"/>
    <x v="0"/>
    <x v="0"/>
    <x v="0"/>
    <n v="7"/>
    <e v="#N/A"/>
    <e v="#N/A"/>
  </r>
  <r>
    <n v="4525"/>
    <d v="2016-02-14T12:07:04"/>
    <d v="2016-02-14T12:22:03"/>
    <x v="0"/>
    <s v="Large"/>
    <m/>
    <x v="0"/>
    <n v="70807"/>
    <n v="0"/>
    <d v="2016-02-14T12:25:02"/>
    <n v="23.34"/>
    <x v="24"/>
    <n v="2"/>
    <n v="1"/>
    <n v="2.2999999999999998"/>
    <n v="0"/>
    <n v="3.3"/>
    <x v="0"/>
    <x v="0"/>
    <x v="0"/>
    <x v="0"/>
    <n v="7"/>
    <n v="14"/>
    <e v="#N/A"/>
  </r>
  <r>
    <n v="4526"/>
    <d v="2016-02-14T13:23:29"/>
    <d v="2016-02-14T13:38:27"/>
    <x v="0"/>
    <s v="Large"/>
    <m/>
    <x v="1"/>
    <n v="70807"/>
    <n v="1.72974780333357"/>
    <d v="2016-02-14T13:47:05"/>
    <n v="23.34"/>
    <x v="1375"/>
    <n v="2"/>
    <n v="1"/>
    <n v="2.2999999999999998"/>
    <n v="0"/>
    <n v="3.3"/>
    <x v="1363"/>
    <x v="0"/>
    <x v="2269"/>
    <x v="1302"/>
    <n v="7"/>
    <n v="14"/>
    <e v="#N/A"/>
  </r>
  <r>
    <n v="4527"/>
    <d v="2016-02-14T12:01:51"/>
    <d v="2016-02-14T12:16:52"/>
    <x v="1"/>
    <m/>
    <m/>
    <x v="0"/>
    <n v="70804"/>
    <n v="0"/>
    <d v="2016-02-14T12:19:51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4528"/>
    <d v="2016-02-14T12:54:30"/>
    <d v="2016-02-14T13:09:29"/>
    <x v="0"/>
    <s v="Large"/>
    <m/>
    <x v="1"/>
    <n v="70807"/>
    <n v="2.76751319816288"/>
    <d v="2016-02-14T13:23:19"/>
    <n v="23.34"/>
    <x v="265"/>
    <n v="2"/>
    <n v="1"/>
    <n v="2.2999999999999998"/>
    <n v="0"/>
    <n v="3.3"/>
    <x v="252"/>
    <x v="0"/>
    <x v="2270"/>
    <x v="1303"/>
    <n v="7"/>
    <n v="14"/>
    <e v="#N/A"/>
  </r>
  <r>
    <n v="4529"/>
    <d v="2016-02-14T12:32:42"/>
    <d v="2016-02-14T12:47:42"/>
    <x v="0"/>
    <s v="Large"/>
    <m/>
    <x v="1"/>
    <n v="70806"/>
    <n v="3.8987347731824702"/>
    <d v="2016-02-14T13:07:11"/>
    <n v="23.34"/>
    <x v="904"/>
    <n v="2"/>
    <n v="1"/>
    <n v="2.2999999999999998"/>
    <n v="0"/>
    <n v="3.3"/>
    <x v="891"/>
    <x v="1"/>
    <x v="2271"/>
    <x v="0"/>
    <n v="7"/>
    <n v="14"/>
    <e v="#N/A"/>
  </r>
  <r>
    <n v="4530"/>
    <d v="2016-02-14T11:10:29"/>
    <d v="2016-02-14T11:25:30"/>
    <x v="1"/>
    <m/>
    <m/>
    <x v="0"/>
    <n v="70804"/>
    <n v="0"/>
    <d v="2016-02-14T11:28:29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4531"/>
    <d v="2016-02-14T12:45:01"/>
    <d v="2016-02-14T13:00:00"/>
    <x v="0"/>
    <s v="Large"/>
    <m/>
    <x v="0"/>
    <n v="70805"/>
    <n v="0"/>
    <d v="2016-02-14T13:02:59"/>
    <n v="23.34"/>
    <x v="1"/>
    <n v="2"/>
    <n v="1"/>
    <n v="2.2999999999999998"/>
    <n v="0"/>
    <n v="3.3"/>
    <x v="0"/>
    <x v="0"/>
    <x v="0"/>
    <x v="0"/>
    <n v="7"/>
    <n v="14"/>
    <e v="#N/A"/>
  </r>
  <r>
    <n v="4532"/>
    <d v="2016-02-14T12:25:29"/>
    <d v="2016-02-14T12:40:28"/>
    <x v="0"/>
    <s v="Medium"/>
    <m/>
    <x v="1"/>
    <n v="70804"/>
    <n v="2.28857081186871"/>
    <d v="2016-02-14T12:51:54"/>
    <n v="19.579999999999998"/>
    <x v="262"/>
    <n v="2"/>
    <n v="1"/>
    <n v="1.7"/>
    <n v="0"/>
    <n v="2.7"/>
    <x v="249"/>
    <x v="0"/>
    <x v="2272"/>
    <x v="1304"/>
    <n v="7"/>
    <n v="10"/>
    <e v="#N/A"/>
  </r>
  <r>
    <n v="4533"/>
    <d v="2016-02-15T10:22:45"/>
    <d v="2016-02-15T10:37:44"/>
    <x v="2"/>
    <s v="Large"/>
    <m/>
    <x v="1"/>
    <n v="70805"/>
    <n v="5.1570023030773902"/>
    <d v="2016-02-15T11:03:31"/>
    <n v="25.94"/>
    <x v="1376"/>
    <n v="2"/>
    <n v="1.7"/>
    <n v="2.2999999999999998"/>
    <n v="0"/>
    <n v="4"/>
    <x v="1364"/>
    <x v="1"/>
    <x v="2273"/>
    <x v="0"/>
    <n v="10"/>
    <n v="14"/>
    <e v="#N/A"/>
  </r>
  <r>
    <n v="4534"/>
    <d v="2016-02-15T12:31:14"/>
    <d v="2016-02-15T12:46:15"/>
    <x v="0"/>
    <s v="Medium"/>
    <m/>
    <x v="0"/>
    <n v="70803"/>
    <n v="0"/>
    <d v="2016-02-15T12:49:15"/>
    <n v="19.579999999999998"/>
    <x v="2"/>
    <n v="2"/>
    <n v="1"/>
    <n v="1.7"/>
    <n v="0"/>
    <n v="2.7"/>
    <x v="0"/>
    <x v="0"/>
    <x v="0"/>
    <x v="0"/>
    <n v="7"/>
    <n v="10"/>
    <e v="#N/A"/>
  </r>
  <r>
    <n v="4535"/>
    <d v="2016-02-15T12:10:06"/>
    <d v="2016-02-15T12:25:04"/>
    <x v="2"/>
    <s v="Large"/>
    <m/>
    <x v="1"/>
    <n v="70805"/>
    <n v="1.2203624268583699"/>
    <d v="2016-02-15T12:31:10"/>
    <n v="25.94"/>
    <x v="296"/>
    <n v="2"/>
    <n v="1.7"/>
    <n v="2.2999999999999998"/>
    <n v="0"/>
    <n v="4"/>
    <x v="283"/>
    <x v="0"/>
    <x v="2274"/>
    <x v="1305"/>
    <n v="10"/>
    <n v="14"/>
    <e v="#N/A"/>
  </r>
  <r>
    <n v="4536"/>
    <d v="2016-02-15T10:29:01"/>
    <d v="2016-02-15T10:44:01"/>
    <x v="2"/>
    <s v="Large"/>
    <m/>
    <x v="1"/>
    <n v="70806"/>
    <n v="3.17527461894031"/>
    <d v="2016-02-15T10:59:53"/>
    <n v="25.94"/>
    <x v="259"/>
    <n v="2"/>
    <n v="1.7"/>
    <n v="2.2999999999999998"/>
    <n v="0"/>
    <n v="4"/>
    <x v="246"/>
    <x v="0"/>
    <x v="2275"/>
    <x v="1306"/>
    <n v="10"/>
    <n v="14"/>
    <e v="#N/A"/>
  </r>
  <r>
    <n v="4537"/>
    <d v="2016-02-15T12:40:57"/>
    <d v="2016-02-15T12:55:55"/>
    <x v="2"/>
    <m/>
    <m/>
    <x v="1"/>
    <n v="70804"/>
    <n v="1.27517532474545"/>
    <d v="2016-02-15T13:02:17"/>
    <n v="11.59"/>
    <x v="62"/>
    <n v="1"/>
    <n v="1.7"/>
    <n v="0"/>
    <n v="0"/>
    <n v="1.7"/>
    <x v="55"/>
    <x v="0"/>
    <x v="2276"/>
    <x v="1307"/>
    <n v="10"/>
    <e v="#N/A"/>
    <e v="#N/A"/>
  </r>
  <r>
    <n v="4538"/>
    <d v="2016-02-15T10:18:30"/>
    <d v="2016-02-15T10:33:29"/>
    <x v="2"/>
    <m/>
    <m/>
    <x v="0"/>
    <n v="70805"/>
    <n v="0"/>
    <d v="2016-02-15T10:36:26"/>
    <n v="11.59"/>
    <x v="102"/>
    <n v="1"/>
    <n v="1.7"/>
    <n v="0"/>
    <n v="0"/>
    <n v="1.7"/>
    <x v="0"/>
    <x v="0"/>
    <x v="0"/>
    <x v="0"/>
    <n v="10"/>
    <e v="#N/A"/>
    <e v="#N/A"/>
  </r>
  <r>
    <n v="4539"/>
    <d v="2016-02-15T12:42:53"/>
    <d v="2016-02-15T12:57:54"/>
    <x v="1"/>
    <m/>
    <m/>
    <x v="0"/>
    <n v="70806"/>
    <n v="0"/>
    <d v="2016-02-15T13:00:54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4540"/>
    <d v="2016-02-15T13:33:29"/>
    <d v="2016-02-15T13:48:29"/>
    <x v="0"/>
    <m/>
    <m/>
    <x v="1"/>
    <n v="70807"/>
    <n v="1.70996299302798"/>
    <d v="2016-02-15T13:57:01"/>
    <n v="7.99"/>
    <x v="1377"/>
    <n v="1"/>
    <n v="1"/>
    <n v="0"/>
    <n v="0"/>
    <n v="1"/>
    <x v="1365"/>
    <x v="0"/>
    <x v="2277"/>
    <x v="1308"/>
    <n v="7"/>
    <e v="#N/A"/>
    <e v="#N/A"/>
  </r>
  <r>
    <n v="4541"/>
    <d v="2016-02-15T11:34:13"/>
    <d v="2016-02-15T11:49:14"/>
    <x v="1"/>
    <m/>
    <m/>
    <x v="0"/>
    <n v="70805"/>
    <n v="0"/>
    <d v="2016-02-15T11:52:14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4542"/>
    <d v="2016-02-15T11:21:55"/>
    <d v="2016-02-15T11:36:55"/>
    <x v="0"/>
    <m/>
    <m/>
    <x v="1"/>
    <n v="70803"/>
    <n v="3.2931081340643198"/>
    <d v="2016-02-15T11:53:22"/>
    <n v="7.99"/>
    <x v="352"/>
    <n v="1"/>
    <n v="1"/>
    <n v="0"/>
    <n v="0"/>
    <n v="1"/>
    <x v="339"/>
    <x v="1"/>
    <x v="2278"/>
    <x v="0"/>
    <n v="7"/>
    <e v="#N/A"/>
    <e v="#N/A"/>
  </r>
  <r>
    <n v="4543"/>
    <d v="2016-02-15T12:09:40"/>
    <d v="2016-02-15T12:24:40"/>
    <x v="2"/>
    <m/>
    <m/>
    <x v="0"/>
    <n v="70804"/>
    <n v="0"/>
    <d v="2016-02-15T12:27:40"/>
    <n v="11.59"/>
    <x v="2"/>
    <n v="1"/>
    <n v="1.7"/>
    <n v="0"/>
    <n v="0"/>
    <n v="1.7"/>
    <x v="0"/>
    <x v="0"/>
    <x v="0"/>
    <x v="0"/>
    <n v="10"/>
    <e v="#N/A"/>
    <e v="#N/A"/>
  </r>
  <r>
    <n v="4544"/>
    <d v="2016-02-15T11:55:34"/>
    <d v="2016-02-15T12:10:32"/>
    <x v="1"/>
    <m/>
    <m/>
    <x v="1"/>
    <n v="70805"/>
    <n v="2.8726860837696999"/>
    <d v="2016-02-15T12:24:53"/>
    <n v="15.35"/>
    <x v="870"/>
    <n v="1"/>
    <n v="2.2999999999999998"/>
    <n v="0"/>
    <n v="0"/>
    <n v="2.2999999999999998"/>
    <x v="857"/>
    <x v="0"/>
    <x v="2279"/>
    <x v="1309"/>
    <n v="14"/>
    <e v="#N/A"/>
    <e v="#N/A"/>
  </r>
  <r>
    <n v="4545"/>
    <d v="2016-02-15T12:00:17"/>
    <d v="2016-02-15T12:15:14"/>
    <x v="2"/>
    <m/>
    <m/>
    <x v="1"/>
    <n v="70805"/>
    <n v="6.1299298225822296"/>
    <d v="2016-02-15T12:45:52"/>
    <n v="11.59"/>
    <x v="385"/>
    <n v="1"/>
    <n v="1.7"/>
    <n v="0"/>
    <n v="0"/>
    <n v="1.7"/>
    <x v="372"/>
    <x v="1"/>
    <x v="2280"/>
    <x v="0"/>
    <n v="10"/>
    <e v="#N/A"/>
    <e v="#N/A"/>
  </r>
  <r>
    <n v="4546"/>
    <d v="2016-02-15T12:52:35"/>
    <d v="2016-02-15T13:07:34"/>
    <x v="0"/>
    <m/>
    <m/>
    <x v="0"/>
    <n v="70805"/>
    <n v="0"/>
    <d v="2016-02-15T13:10:33"/>
    <n v="7.99"/>
    <x v="24"/>
    <n v="1"/>
    <n v="1"/>
    <n v="0"/>
    <n v="0"/>
    <n v="1"/>
    <x v="0"/>
    <x v="0"/>
    <x v="0"/>
    <x v="0"/>
    <n v="7"/>
    <e v="#N/A"/>
    <e v="#N/A"/>
  </r>
  <r>
    <n v="4547"/>
    <d v="2016-02-15T12:20:33"/>
    <d v="2016-02-15T12:35:34"/>
    <x v="1"/>
    <m/>
    <m/>
    <x v="1"/>
    <n v="70805"/>
    <n v="3.0911091199317502"/>
    <d v="2016-02-15T12:51:01"/>
    <n v="15.35"/>
    <x v="979"/>
    <n v="1"/>
    <n v="2.2999999999999998"/>
    <n v="0"/>
    <n v="0"/>
    <n v="2.2999999999999998"/>
    <x v="966"/>
    <x v="0"/>
    <x v="2281"/>
    <x v="1310"/>
    <n v="14"/>
    <e v="#N/A"/>
    <e v="#N/A"/>
  </r>
  <r>
    <n v="4548"/>
    <d v="2016-02-15T10:12:07"/>
    <d v="2016-02-15T10:27:06"/>
    <x v="0"/>
    <m/>
    <m/>
    <x v="0"/>
    <n v="70807"/>
    <n v="0"/>
    <d v="2016-02-15T10:30:04"/>
    <n v="7.99"/>
    <x v="0"/>
    <n v="1"/>
    <n v="1"/>
    <n v="0"/>
    <n v="0"/>
    <n v="1"/>
    <x v="0"/>
    <x v="0"/>
    <x v="0"/>
    <x v="0"/>
    <n v="7"/>
    <e v="#N/A"/>
    <e v="#N/A"/>
  </r>
  <r>
    <n v="4549"/>
    <d v="2016-02-15T11:26:40"/>
    <d v="2016-02-15T11:41:38"/>
    <x v="2"/>
    <m/>
    <m/>
    <x v="1"/>
    <n v="70805"/>
    <n v="4.5861871636614202"/>
    <d v="2016-02-15T12:04:33"/>
    <n v="11.59"/>
    <x v="1378"/>
    <n v="1"/>
    <n v="1.7"/>
    <n v="0"/>
    <n v="0"/>
    <n v="1.7"/>
    <x v="1366"/>
    <x v="1"/>
    <x v="2282"/>
    <x v="0"/>
    <n v="10"/>
    <e v="#N/A"/>
    <e v="#N/A"/>
  </r>
  <r>
    <n v="4550"/>
    <d v="2016-02-15T12:05:25"/>
    <d v="2016-02-15T12:20:25"/>
    <x v="1"/>
    <m/>
    <m/>
    <x v="1"/>
    <n v="70805"/>
    <n v="3.4725720266192299"/>
    <d v="2016-02-15T12:37:46"/>
    <n v="15.35"/>
    <x v="170"/>
    <n v="1"/>
    <n v="2.2999999999999998"/>
    <n v="0"/>
    <n v="0"/>
    <n v="2.2999999999999998"/>
    <x v="160"/>
    <x v="1"/>
    <x v="2283"/>
    <x v="0"/>
    <n v="14"/>
    <e v="#N/A"/>
    <e v="#N/A"/>
  </r>
  <r>
    <n v="4551"/>
    <d v="2016-02-15T10:22:34"/>
    <d v="2016-02-15T10:37:34"/>
    <x v="2"/>
    <m/>
    <m/>
    <x v="0"/>
    <n v="70804"/>
    <n v="0"/>
    <d v="2016-02-15T10:40:34"/>
    <n v="11.59"/>
    <x v="2"/>
    <n v="1"/>
    <n v="1.7"/>
    <n v="0"/>
    <n v="0"/>
    <n v="1.7"/>
    <x v="0"/>
    <x v="0"/>
    <x v="0"/>
    <x v="0"/>
    <n v="10"/>
    <e v="#N/A"/>
    <e v="#N/A"/>
  </r>
  <r>
    <n v="4552"/>
    <d v="2016-02-15T11:52:15"/>
    <d v="2016-02-15T12:07:14"/>
    <x v="2"/>
    <m/>
    <m/>
    <x v="1"/>
    <n v="70804"/>
    <n v="1.9664901636686001"/>
    <d v="2016-02-15T12:17:03"/>
    <n v="11.59"/>
    <x v="1379"/>
    <n v="1"/>
    <n v="1.7"/>
    <n v="0"/>
    <n v="0"/>
    <n v="1.7"/>
    <x v="1367"/>
    <x v="0"/>
    <x v="2284"/>
    <x v="1311"/>
    <n v="10"/>
    <e v="#N/A"/>
    <e v="#N/A"/>
  </r>
  <r>
    <n v="4553"/>
    <d v="2016-02-15T12:30:27"/>
    <d v="2016-02-15T12:45:28"/>
    <x v="2"/>
    <m/>
    <m/>
    <x v="0"/>
    <n v="70804"/>
    <n v="0"/>
    <d v="2016-02-15T12:48:28"/>
    <n v="11.59"/>
    <x v="2"/>
    <n v="1"/>
    <n v="1.7"/>
    <n v="0"/>
    <n v="0"/>
    <n v="1.7"/>
    <x v="0"/>
    <x v="0"/>
    <x v="0"/>
    <x v="0"/>
    <n v="10"/>
    <e v="#N/A"/>
    <e v="#N/A"/>
  </r>
  <r>
    <n v="4554"/>
    <d v="2016-02-15T12:50:50"/>
    <d v="2016-02-15T13:05:49"/>
    <x v="0"/>
    <m/>
    <m/>
    <x v="0"/>
    <n v="70804"/>
    <n v="0"/>
    <d v="2016-02-15T13:08:48"/>
    <n v="7.99"/>
    <x v="24"/>
    <n v="1"/>
    <n v="1"/>
    <n v="0"/>
    <n v="0"/>
    <n v="1"/>
    <x v="0"/>
    <x v="0"/>
    <x v="0"/>
    <x v="0"/>
    <n v="7"/>
    <e v="#N/A"/>
    <e v="#N/A"/>
  </r>
  <r>
    <n v="4555"/>
    <d v="2016-02-15T12:02:05"/>
    <d v="2016-02-15T12:17:03"/>
    <x v="0"/>
    <s v="Medium"/>
    <m/>
    <x v="0"/>
    <n v="70803"/>
    <n v="0"/>
    <d v="2016-02-15T12:20:03"/>
    <n v="19.579999999999998"/>
    <x v="2"/>
    <n v="2"/>
    <n v="1"/>
    <n v="1.7"/>
    <n v="0"/>
    <n v="2.7"/>
    <x v="0"/>
    <x v="0"/>
    <x v="0"/>
    <x v="0"/>
    <n v="7"/>
    <n v="10"/>
    <e v="#N/A"/>
  </r>
  <r>
    <n v="4556"/>
    <d v="2016-02-15T11:43:32"/>
    <d v="2016-02-15T11:58:31"/>
    <x v="2"/>
    <m/>
    <m/>
    <x v="1"/>
    <n v="70805"/>
    <n v="2.6648663572086799"/>
    <d v="2016-02-15T12:11:50"/>
    <n v="11.59"/>
    <x v="180"/>
    <n v="1"/>
    <n v="1.7"/>
    <n v="0"/>
    <n v="0"/>
    <n v="1.7"/>
    <x v="168"/>
    <x v="0"/>
    <x v="2285"/>
    <x v="1312"/>
    <n v="10"/>
    <e v="#N/A"/>
    <e v="#N/A"/>
  </r>
  <r>
    <n v="4557"/>
    <d v="2016-02-15T12:18:25"/>
    <d v="2016-02-15T12:33:26"/>
    <x v="2"/>
    <m/>
    <m/>
    <x v="1"/>
    <n v="70805"/>
    <n v="3.9713704614989398"/>
    <d v="2016-02-15T12:53:17"/>
    <n v="11.59"/>
    <x v="645"/>
    <n v="1"/>
    <n v="1.7"/>
    <n v="0"/>
    <n v="0"/>
    <n v="1.7"/>
    <x v="632"/>
    <x v="1"/>
    <x v="2286"/>
    <x v="0"/>
    <n v="10"/>
    <e v="#N/A"/>
    <e v="#N/A"/>
  </r>
  <r>
    <n v="4558"/>
    <d v="2016-02-15T13:33:41"/>
    <d v="2016-02-15T13:48:38"/>
    <x v="0"/>
    <s v="Medium"/>
    <m/>
    <x v="1"/>
    <n v="70807"/>
    <n v="3.7562723210249702"/>
    <d v="2016-02-15T14:07:24"/>
    <n v="19.579999999999998"/>
    <x v="122"/>
    <n v="2"/>
    <n v="1"/>
    <n v="1.7"/>
    <n v="0"/>
    <n v="2.7"/>
    <x v="112"/>
    <x v="1"/>
    <x v="2287"/>
    <x v="0"/>
    <n v="7"/>
    <n v="10"/>
    <e v="#N/A"/>
  </r>
  <r>
    <n v="4559"/>
    <d v="2016-02-15T11:15:45"/>
    <d v="2016-02-15T11:30:45"/>
    <x v="0"/>
    <s v="Medium"/>
    <m/>
    <x v="1"/>
    <n v="70805"/>
    <n v="4.3922107931236196"/>
    <d v="2016-02-15T11:52:42"/>
    <n v="19.579999999999998"/>
    <x v="982"/>
    <n v="2"/>
    <n v="1"/>
    <n v="1.7"/>
    <n v="0"/>
    <n v="2.7"/>
    <x v="969"/>
    <x v="1"/>
    <x v="2288"/>
    <x v="0"/>
    <n v="7"/>
    <n v="10"/>
    <e v="#N/A"/>
  </r>
  <r>
    <n v="4560"/>
    <d v="2016-02-15T11:36:31"/>
    <d v="2016-02-15T11:51:30"/>
    <x v="1"/>
    <m/>
    <m/>
    <x v="0"/>
    <n v="70806"/>
    <n v="0"/>
    <d v="2016-02-15T11:54:30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4561"/>
    <d v="2016-02-15T11:13:08"/>
    <d v="2016-02-15T11:28:07"/>
    <x v="1"/>
    <m/>
    <m/>
    <x v="1"/>
    <n v="70803"/>
    <n v="2.3561706454098399"/>
    <d v="2016-02-15T11:39:53"/>
    <n v="15.35"/>
    <x v="1380"/>
    <n v="1"/>
    <n v="2.2999999999999998"/>
    <n v="0"/>
    <n v="0"/>
    <n v="2.2999999999999998"/>
    <x v="1368"/>
    <x v="0"/>
    <x v="2289"/>
    <x v="1313"/>
    <n v="14"/>
    <e v="#N/A"/>
    <e v="#N/A"/>
  </r>
  <r>
    <n v="4562"/>
    <d v="2016-02-15T12:19:46"/>
    <d v="2016-02-15T12:34:46"/>
    <x v="2"/>
    <m/>
    <m/>
    <x v="1"/>
    <n v="70803"/>
    <n v="1.9748925077569399"/>
    <d v="2016-02-15T12:44:38"/>
    <n v="11.59"/>
    <x v="1381"/>
    <n v="1"/>
    <n v="1.7"/>
    <n v="0"/>
    <n v="0"/>
    <n v="1.7"/>
    <x v="1369"/>
    <x v="0"/>
    <x v="2290"/>
    <x v="1314"/>
    <n v="10"/>
    <e v="#N/A"/>
    <e v="#N/A"/>
  </r>
  <r>
    <n v="4563"/>
    <d v="2016-02-15T11:22:52"/>
    <d v="2016-02-15T11:37:52"/>
    <x v="1"/>
    <m/>
    <m/>
    <x v="1"/>
    <n v="70803"/>
    <n v="1.6357819599757699"/>
    <d v="2016-02-15T11:46:02"/>
    <n v="15.35"/>
    <x v="57"/>
    <n v="1"/>
    <n v="2.2999999999999998"/>
    <n v="0"/>
    <n v="0"/>
    <n v="2.2999999999999998"/>
    <x v="50"/>
    <x v="0"/>
    <x v="2291"/>
    <x v="1315"/>
    <n v="14"/>
    <e v="#N/A"/>
    <e v="#N/A"/>
  </r>
  <r>
    <n v="4564"/>
    <d v="2016-02-15T12:25:55"/>
    <d v="2016-02-15T12:40:55"/>
    <x v="2"/>
    <m/>
    <m/>
    <x v="1"/>
    <n v="70807"/>
    <n v="3.08048837466306"/>
    <d v="2016-02-15T12:56:19"/>
    <n v="11.59"/>
    <x v="87"/>
    <n v="1"/>
    <n v="1.7"/>
    <n v="0"/>
    <n v="0"/>
    <n v="1.7"/>
    <x v="78"/>
    <x v="0"/>
    <x v="2292"/>
    <x v="1316"/>
    <n v="10"/>
    <e v="#N/A"/>
    <e v="#N/A"/>
  </r>
  <r>
    <n v="4565"/>
    <d v="2016-02-15T13:51:46"/>
    <d v="2016-02-15T14:06:44"/>
    <x v="0"/>
    <m/>
    <m/>
    <x v="1"/>
    <n v="70804"/>
    <n v="3.3436934860381702"/>
    <d v="2016-02-15T14:23:27"/>
    <n v="7.99"/>
    <x v="502"/>
    <n v="1"/>
    <n v="1"/>
    <n v="0"/>
    <n v="0"/>
    <n v="1"/>
    <x v="489"/>
    <x v="1"/>
    <x v="2293"/>
    <x v="0"/>
    <n v="7"/>
    <e v="#N/A"/>
    <e v="#N/A"/>
  </r>
  <r>
    <n v="4566"/>
    <d v="2016-02-15T11:49:11"/>
    <d v="2016-02-15T12:04:09"/>
    <x v="2"/>
    <m/>
    <m/>
    <x v="1"/>
    <n v="70806"/>
    <n v="5.21714993316355"/>
    <d v="2016-02-15T12:30:14"/>
    <n v="11.59"/>
    <x v="1382"/>
    <n v="1"/>
    <n v="1.7"/>
    <n v="0"/>
    <n v="0"/>
    <n v="1.7"/>
    <x v="1370"/>
    <x v="1"/>
    <x v="2294"/>
    <x v="0"/>
    <n v="10"/>
    <e v="#N/A"/>
    <e v="#N/A"/>
  </r>
  <r>
    <n v="4567"/>
    <d v="2016-02-15T12:45:55"/>
    <d v="2016-02-15T13:00:55"/>
    <x v="1"/>
    <m/>
    <m/>
    <x v="1"/>
    <n v="70805"/>
    <n v="2.73984370138426"/>
    <d v="2016-02-15T13:14:36"/>
    <n v="15.35"/>
    <x v="664"/>
    <n v="1"/>
    <n v="2.2999999999999998"/>
    <n v="0"/>
    <n v="0"/>
    <n v="2.2999999999999998"/>
    <x v="651"/>
    <x v="0"/>
    <x v="2295"/>
    <x v="1317"/>
    <n v="14"/>
    <e v="#N/A"/>
    <e v="#N/A"/>
  </r>
  <r>
    <n v="4568"/>
    <d v="2016-02-15T11:22:39"/>
    <d v="2016-02-15T11:37:39"/>
    <x v="1"/>
    <m/>
    <m/>
    <x v="1"/>
    <n v="70805"/>
    <n v="1.30225410482896"/>
    <d v="2016-02-15T11:44:09"/>
    <n v="15.35"/>
    <x v="586"/>
    <n v="1"/>
    <n v="2.2999999999999998"/>
    <n v="0"/>
    <n v="0"/>
    <n v="2.2999999999999998"/>
    <x v="573"/>
    <x v="0"/>
    <x v="2296"/>
    <x v="1318"/>
    <n v="14"/>
    <e v="#N/A"/>
    <e v="#N/A"/>
  </r>
  <r>
    <n v="4569"/>
    <d v="2016-02-15T13:29:28"/>
    <d v="2016-02-15T13:44:28"/>
    <x v="0"/>
    <m/>
    <m/>
    <x v="0"/>
    <n v="70803"/>
    <n v="0"/>
    <d v="2016-02-15T13:47:29"/>
    <n v="7.99"/>
    <x v="14"/>
    <n v="1"/>
    <n v="1"/>
    <n v="0"/>
    <n v="0"/>
    <n v="1"/>
    <x v="0"/>
    <x v="0"/>
    <x v="0"/>
    <x v="0"/>
    <n v="7"/>
    <e v="#N/A"/>
    <e v="#N/A"/>
  </r>
  <r>
    <n v="4570"/>
    <d v="2016-02-15T12:34:28"/>
    <d v="2016-02-15T12:49:27"/>
    <x v="1"/>
    <m/>
    <m/>
    <x v="0"/>
    <n v="70806"/>
    <n v="0"/>
    <d v="2016-02-15T12:52:25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4571"/>
    <d v="2016-02-15T11:43:29"/>
    <d v="2016-02-15T11:58:27"/>
    <x v="1"/>
    <m/>
    <m/>
    <x v="0"/>
    <n v="70805"/>
    <n v="0"/>
    <d v="2016-02-15T12:01:28"/>
    <n v="15.35"/>
    <x v="56"/>
    <n v="1"/>
    <n v="2.2999999999999998"/>
    <n v="0"/>
    <n v="0"/>
    <n v="2.2999999999999998"/>
    <x v="0"/>
    <x v="0"/>
    <x v="0"/>
    <x v="0"/>
    <n v="14"/>
    <e v="#N/A"/>
    <e v="#N/A"/>
  </r>
  <r>
    <n v="4572"/>
    <d v="2016-02-15T12:53:14"/>
    <d v="2016-02-15T13:08:14"/>
    <x v="0"/>
    <m/>
    <m/>
    <x v="0"/>
    <n v="70807"/>
    <n v="0"/>
    <d v="2016-02-15T13:11:13"/>
    <n v="7.99"/>
    <x v="24"/>
    <n v="1"/>
    <n v="1"/>
    <n v="0"/>
    <n v="0"/>
    <n v="1"/>
    <x v="0"/>
    <x v="0"/>
    <x v="0"/>
    <x v="0"/>
    <n v="7"/>
    <e v="#N/A"/>
    <e v="#N/A"/>
  </r>
  <r>
    <n v="4573"/>
    <d v="2016-02-15T11:38:42"/>
    <d v="2016-02-15T11:53:42"/>
    <x v="2"/>
    <m/>
    <m/>
    <x v="1"/>
    <n v="70806"/>
    <n v="3.8027696482331299"/>
    <d v="2016-02-15T12:12:42"/>
    <n v="11.59"/>
    <x v="59"/>
    <n v="1"/>
    <n v="1.7"/>
    <n v="0"/>
    <n v="0"/>
    <n v="1.7"/>
    <x v="52"/>
    <x v="1"/>
    <x v="2297"/>
    <x v="0"/>
    <n v="10"/>
    <e v="#N/A"/>
    <e v="#N/A"/>
  </r>
  <r>
    <n v="4574"/>
    <d v="2016-02-15T11:23:25"/>
    <d v="2016-02-15T11:38:24"/>
    <x v="2"/>
    <m/>
    <m/>
    <x v="1"/>
    <n v="70807"/>
    <n v="2.2764112463217598"/>
    <d v="2016-02-15T11:49:46"/>
    <n v="11.59"/>
    <x v="980"/>
    <n v="1"/>
    <n v="1.7"/>
    <n v="0"/>
    <n v="0"/>
    <n v="1.7"/>
    <x v="967"/>
    <x v="0"/>
    <x v="2298"/>
    <x v="1319"/>
    <n v="10"/>
    <e v="#N/A"/>
    <e v="#N/A"/>
  </r>
  <r>
    <n v="4575"/>
    <d v="2016-02-15T13:29:08"/>
    <d v="2016-02-15T13:44:08"/>
    <x v="2"/>
    <m/>
    <m/>
    <x v="1"/>
    <n v="70803"/>
    <n v="2.4375513228660699"/>
    <d v="2016-02-15T13:56:19"/>
    <n v="11.59"/>
    <x v="1065"/>
    <n v="1"/>
    <n v="1.7"/>
    <n v="0"/>
    <n v="0"/>
    <n v="1.7"/>
    <x v="1052"/>
    <x v="0"/>
    <x v="2299"/>
    <x v="1320"/>
    <n v="10"/>
    <e v="#N/A"/>
    <e v="#N/A"/>
  </r>
  <r>
    <n v="4576"/>
    <d v="2016-02-15T11:53:55"/>
    <d v="2016-02-15T12:08:54"/>
    <x v="0"/>
    <m/>
    <m/>
    <x v="1"/>
    <n v="70803"/>
    <n v="2.8520430098009601"/>
    <d v="2016-02-15T12:23:09"/>
    <n v="7.99"/>
    <x v="974"/>
    <n v="1"/>
    <n v="1"/>
    <n v="0"/>
    <n v="0"/>
    <n v="1"/>
    <x v="961"/>
    <x v="0"/>
    <x v="2300"/>
    <x v="1321"/>
    <n v="7"/>
    <e v="#N/A"/>
    <e v="#N/A"/>
  </r>
  <r>
    <n v="4577"/>
    <d v="2016-02-15T12:34:14"/>
    <d v="2016-02-15T12:49:15"/>
    <x v="0"/>
    <s v="Large"/>
    <m/>
    <x v="0"/>
    <n v="70806"/>
    <n v="0"/>
    <d v="2016-02-15T12:52:15"/>
    <n v="23.34"/>
    <x v="2"/>
    <n v="2"/>
    <n v="1"/>
    <n v="2.2999999999999998"/>
    <n v="0"/>
    <n v="3.3"/>
    <x v="0"/>
    <x v="0"/>
    <x v="0"/>
    <x v="0"/>
    <n v="7"/>
    <n v="14"/>
    <e v="#N/A"/>
  </r>
  <r>
    <n v="4578"/>
    <d v="2016-02-15T12:28:15"/>
    <d v="2016-02-15T12:43:16"/>
    <x v="2"/>
    <m/>
    <m/>
    <x v="1"/>
    <n v="70804"/>
    <n v="4.1964680519070896"/>
    <d v="2016-02-15T13:04:14"/>
    <n v="11.59"/>
    <x v="1358"/>
    <n v="1"/>
    <n v="1.7"/>
    <n v="0"/>
    <n v="0"/>
    <n v="1.7"/>
    <x v="1346"/>
    <x v="1"/>
    <x v="2301"/>
    <x v="0"/>
    <n v="10"/>
    <e v="#N/A"/>
    <e v="#N/A"/>
  </r>
  <r>
    <n v="4579"/>
    <d v="2016-02-15T11:16:23"/>
    <d v="2016-02-15T11:31:22"/>
    <x v="2"/>
    <m/>
    <m/>
    <x v="0"/>
    <n v="70804"/>
    <n v="0"/>
    <d v="2016-02-15T11:34:22"/>
    <n v="11.59"/>
    <x v="2"/>
    <n v="1"/>
    <n v="1.7"/>
    <n v="0"/>
    <n v="0"/>
    <n v="1.7"/>
    <x v="0"/>
    <x v="0"/>
    <x v="0"/>
    <x v="0"/>
    <n v="10"/>
    <e v="#N/A"/>
    <e v="#N/A"/>
  </r>
  <r>
    <n v="4580"/>
    <d v="2016-02-15T11:40:01"/>
    <d v="2016-02-15T11:55:02"/>
    <x v="0"/>
    <m/>
    <m/>
    <x v="1"/>
    <n v="70808"/>
    <n v="5.006765211996"/>
    <d v="2016-02-15T12:20:04"/>
    <n v="7.99"/>
    <x v="808"/>
    <n v="1"/>
    <n v="1"/>
    <n v="0"/>
    <n v="0"/>
    <n v="1"/>
    <x v="795"/>
    <x v="1"/>
    <x v="2302"/>
    <x v="0"/>
    <n v="7"/>
    <e v="#N/A"/>
    <e v="#N/A"/>
  </r>
  <r>
    <n v="4581"/>
    <d v="2016-02-15T13:56:29"/>
    <d v="2016-02-15T14:11:30"/>
    <x v="0"/>
    <s v="Medium"/>
    <m/>
    <x v="1"/>
    <n v="70808"/>
    <n v="4.1757416790627397"/>
    <d v="2016-02-15T14:32:22"/>
    <n v="19.579999999999998"/>
    <x v="1383"/>
    <n v="2"/>
    <n v="1"/>
    <n v="1.7"/>
    <n v="0"/>
    <n v="2.7"/>
    <x v="1371"/>
    <x v="1"/>
    <x v="2303"/>
    <x v="0"/>
    <n v="7"/>
    <n v="10"/>
    <e v="#N/A"/>
  </r>
  <r>
    <n v="4582"/>
    <d v="2016-02-15T11:01:19"/>
    <d v="2016-02-15T11:16:17"/>
    <x v="2"/>
    <m/>
    <m/>
    <x v="1"/>
    <n v="70805"/>
    <n v="3.2317187856753602"/>
    <d v="2016-02-15T11:32:26"/>
    <n v="11.59"/>
    <x v="987"/>
    <n v="1"/>
    <n v="1.7"/>
    <n v="0"/>
    <n v="0"/>
    <n v="1.7"/>
    <x v="974"/>
    <x v="1"/>
    <x v="2304"/>
    <x v="0"/>
    <n v="10"/>
    <e v="#N/A"/>
    <e v="#N/A"/>
  </r>
  <r>
    <n v="4583"/>
    <d v="2016-02-15T11:29:25"/>
    <d v="2016-02-15T11:44:25"/>
    <x v="2"/>
    <m/>
    <m/>
    <x v="1"/>
    <n v="70804"/>
    <n v="2.1423388897924802"/>
    <d v="2016-02-15T11:55:07"/>
    <n v="11.59"/>
    <x v="939"/>
    <n v="1"/>
    <n v="1.7"/>
    <n v="0"/>
    <n v="0"/>
    <n v="1.7"/>
    <x v="926"/>
    <x v="0"/>
    <x v="2305"/>
    <x v="1322"/>
    <n v="10"/>
    <e v="#N/A"/>
    <e v="#N/A"/>
  </r>
  <r>
    <n v="4584"/>
    <d v="2016-02-15T11:26:59"/>
    <d v="2016-02-15T11:42:00"/>
    <x v="1"/>
    <m/>
    <m/>
    <x v="1"/>
    <n v="70805"/>
    <n v="0.800762950901446"/>
    <d v="2016-02-15T11:46:00"/>
    <n v="15.35"/>
    <x v="1384"/>
    <n v="1"/>
    <n v="2.2999999999999998"/>
    <n v="0"/>
    <n v="0"/>
    <n v="2.2999999999999998"/>
    <x v="1372"/>
    <x v="0"/>
    <x v="2306"/>
    <x v="1323"/>
    <n v="14"/>
    <e v="#N/A"/>
    <e v="#N/A"/>
  </r>
  <r>
    <n v="4585"/>
    <d v="2016-02-15T12:15:42"/>
    <d v="2016-02-15T12:30:41"/>
    <x v="0"/>
    <m/>
    <m/>
    <x v="1"/>
    <n v="70804"/>
    <n v="3.1626369545006598"/>
    <d v="2016-02-15T12:46:29"/>
    <n v="7.99"/>
    <x v="43"/>
    <n v="1"/>
    <n v="1"/>
    <n v="0"/>
    <n v="0"/>
    <n v="1"/>
    <x v="37"/>
    <x v="0"/>
    <x v="2307"/>
    <x v="1324"/>
    <n v="7"/>
    <e v="#N/A"/>
    <e v="#N/A"/>
  </r>
  <r>
    <n v="4586"/>
    <d v="2016-02-15T11:22:37"/>
    <d v="2016-02-15T11:37:37"/>
    <x v="0"/>
    <s v="Medium"/>
    <m/>
    <x v="0"/>
    <n v="70806"/>
    <n v="0"/>
    <d v="2016-02-15T11:40:37"/>
    <n v="19.579999999999998"/>
    <x v="2"/>
    <n v="2"/>
    <n v="1"/>
    <n v="1.7"/>
    <n v="0"/>
    <n v="2.7"/>
    <x v="0"/>
    <x v="0"/>
    <x v="0"/>
    <x v="0"/>
    <n v="7"/>
    <n v="10"/>
    <e v="#N/A"/>
  </r>
  <r>
    <n v="4587"/>
    <d v="2016-02-15T13:17:39"/>
    <d v="2016-02-15T13:32:38"/>
    <x v="2"/>
    <m/>
    <m/>
    <x v="1"/>
    <n v="70804"/>
    <n v="3.0868793074234802"/>
    <d v="2016-02-15T13:48:04"/>
    <n v="11.59"/>
    <x v="309"/>
    <n v="1"/>
    <n v="1.7"/>
    <n v="0"/>
    <n v="0"/>
    <n v="1.7"/>
    <x v="296"/>
    <x v="0"/>
    <x v="2308"/>
    <x v="1325"/>
    <n v="10"/>
    <e v="#N/A"/>
    <e v="#N/A"/>
  </r>
  <r>
    <n v="4588"/>
    <d v="2016-02-15T11:34:44"/>
    <d v="2016-02-15T11:49:43"/>
    <x v="2"/>
    <s v="Large"/>
    <m/>
    <x v="0"/>
    <n v="70803"/>
    <n v="0"/>
    <d v="2016-02-15T11:52:42"/>
    <n v="25.94"/>
    <x v="1"/>
    <n v="2"/>
    <n v="1.7"/>
    <n v="2.2999999999999998"/>
    <n v="0"/>
    <n v="4"/>
    <x v="0"/>
    <x v="0"/>
    <x v="0"/>
    <x v="0"/>
    <n v="10"/>
    <n v="14"/>
    <e v="#N/A"/>
  </r>
  <r>
    <n v="4589"/>
    <d v="2016-02-15T11:47:25"/>
    <d v="2016-02-15T12:02:26"/>
    <x v="0"/>
    <m/>
    <m/>
    <x v="1"/>
    <n v="70804"/>
    <n v="0.55444944036463895"/>
    <d v="2016-02-15T12:05:12"/>
    <n v="7.99"/>
    <x v="1385"/>
    <n v="1"/>
    <n v="1"/>
    <n v="0"/>
    <n v="0"/>
    <n v="1"/>
    <x v="1373"/>
    <x v="0"/>
    <x v="2309"/>
    <x v="1326"/>
    <n v="7"/>
    <e v="#N/A"/>
    <e v="#N/A"/>
  </r>
  <r>
    <n v="4590"/>
    <d v="2016-02-15T13:33:55"/>
    <d v="2016-02-15T13:48:55"/>
    <x v="2"/>
    <m/>
    <m/>
    <x v="0"/>
    <n v="70807"/>
    <n v="0"/>
    <d v="2016-02-15T13:51:55"/>
    <n v="11.59"/>
    <x v="2"/>
    <n v="1"/>
    <n v="1.7"/>
    <n v="0"/>
    <n v="0"/>
    <n v="1.7"/>
    <x v="0"/>
    <x v="0"/>
    <x v="0"/>
    <x v="0"/>
    <n v="10"/>
    <e v="#N/A"/>
    <e v="#N/A"/>
  </r>
  <r>
    <n v="4591"/>
    <d v="2016-02-15T12:02:19"/>
    <d v="2016-02-15T12:17:19"/>
    <x v="1"/>
    <m/>
    <m/>
    <x v="1"/>
    <n v="70805"/>
    <n v="3.7589192468475399"/>
    <d v="2016-02-15T12:36:06"/>
    <n v="15.35"/>
    <x v="117"/>
    <n v="1"/>
    <n v="2.2999999999999998"/>
    <n v="0"/>
    <n v="0"/>
    <n v="2.2999999999999998"/>
    <x v="107"/>
    <x v="1"/>
    <x v="2310"/>
    <x v="0"/>
    <n v="14"/>
    <e v="#N/A"/>
    <e v="#N/A"/>
  </r>
  <r>
    <n v="4592"/>
    <d v="2016-02-15T12:56:09"/>
    <d v="2016-02-15T13:11:07"/>
    <x v="0"/>
    <s v="Medium"/>
    <m/>
    <x v="0"/>
    <n v="70806"/>
    <n v="0"/>
    <d v="2016-02-15T13:14:05"/>
    <n v="19.579999999999998"/>
    <x v="0"/>
    <n v="2"/>
    <n v="1"/>
    <n v="1.7"/>
    <n v="0"/>
    <n v="2.7"/>
    <x v="0"/>
    <x v="0"/>
    <x v="0"/>
    <x v="0"/>
    <n v="7"/>
    <n v="10"/>
    <e v="#N/A"/>
  </r>
  <r>
    <n v="4593"/>
    <d v="2016-02-15T12:18:02"/>
    <d v="2016-02-15T12:33:02"/>
    <x v="2"/>
    <m/>
    <m/>
    <x v="1"/>
    <n v="70806"/>
    <n v="6.3831970176421402"/>
    <d v="2016-02-15T13:04:56"/>
    <n v="11.59"/>
    <x v="1386"/>
    <n v="1"/>
    <n v="1.7"/>
    <n v="0"/>
    <n v="0"/>
    <n v="1.7"/>
    <x v="1374"/>
    <x v="1"/>
    <x v="2311"/>
    <x v="0"/>
    <n v="10"/>
    <e v="#N/A"/>
    <e v="#N/A"/>
  </r>
  <r>
    <n v="4594"/>
    <d v="2016-02-15T10:15:55"/>
    <d v="2016-02-15T10:30:54"/>
    <x v="0"/>
    <s v="Large"/>
    <m/>
    <x v="1"/>
    <n v="70806"/>
    <n v="2.8612810902047401"/>
    <d v="2016-02-15T10:45:12"/>
    <n v="23.34"/>
    <x v="289"/>
    <n v="2"/>
    <n v="1"/>
    <n v="2.2999999999999998"/>
    <n v="0"/>
    <n v="3.3"/>
    <x v="276"/>
    <x v="0"/>
    <x v="2312"/>
    <x v="1327"/>
    <n v="7"/>
    <n v="14"/>
    <e v="#N/A"/>
  </r>
  <r>
    <n v="4595"/>
    <d v="2016-02-15T12:25:32"/>
    <d v="2016-02-15T12:40:31"/>
    <x v="1"/>
    <m/>
    <m/>
    <x v="1"/>
    <n v="70803"/>
    <n v="4.33675629293257"/>
    <d v="2016-02-15T13:02:12"/>
    <n v="15.35"/>
    <x v="1387"/>
    <n v="1"/>
    <n v="2.2999999999999998"/>
    <n v="0"/>
    <n v="0"/>
    <n v="2.2999999999999998"/>
    <x v="1375"/>
    <x v="1"/>
    <x v="2313"/>
    <x v="0"/>
    <n v="14"/>
    <e v="#N/A"/>
    <e v="#N/A"/>
  </r>
  <r>
    <n v="4596"/>
    <d v="2016-02-15T11:36:14"/>
    <d v="2016-02-15T11:51:13"/>
    <x v="2"/>
    <m/>
    <m/>
    <x v="1"/>
    <n v="70806"/>
    <n v="2.0411699551866"/>
    <d v="2016-02-15T12:01:25"/>
    <n v="11.59"/>
    <x v="706"/>
    <n v="1"/>
    <n v="1.7"/>
    <n v="0"/>
    <n v="0"/>
    <n v="1.7"/>
    <x v="693"/>
    <x v="0"/>
    <x v="2314"/>
    <x v="1328"/>
    <n v="10"/>
    <e v="#N/A"/>
    <e v="#N/A"/>
  </r>
  <r>
    <n v="4597"/>
    <d v="2016-02-15T12:38:19"/>
    <d v="2016-02-15T12:53:18"/>
    <x v="0"/>
    <m/>
    <m/>
    <x v="0"/>
    <n v="70806"/>
    <n v="0"/>
    <d v="2016-02-15T12:56:18"/>
    <n v="7.99"/>
    <x v="2"/>
    <n v="1"/>
    <n v="1"/>
    <n v="0"/>
    <n v="0"/>
    <n v="1"/>
    <x v="0"/>
    <x v="0"/>
    <x v="0"/>
    <x v="0"/>
    <n v="7"/>
    <e v="#N/A"/>
    <e v="#N/A"/>
  </r>
  <r>
    <n v="4598"/>
    <d v="2016-02-15T12:01:23"/>
    <d v="2016-02-15T12:16:22"/>
    <x v="2"/>
    <m/>
    <m/>
    <x v="1"/>
    <n v="70805"/>
    <n v="5.88267879401754"/>
    <d v="2016-02-15T12:45:46"/>
    <n v="11.59"/>
    <x v="1388"/>
    <n v="1"/>
    <n v="1.7"/>
    <n v="0"/>
    <n v="0"/>
    <n v="1.7"/>
    <x v="1376"/>
    <x v="1"/>
    <x v="2315"/>
    <x v="0"/>
    <n v="10"/>
    <e v="#N/A"/>
    <e v="#N/A"/>
  </r>
  <r>
    <n v="4599"/>
    <d v="2016-02-15T11:40:06"/>
    <d v="2016-02-15T11:55:08"/>
    <x v="2"/>
    <m/>
    <m/>
    <x v="0"/>
    <n v="70806"/>
    <n v="0"/>
    <d v="2016-02-15T11:58:09"/>
    <n v="11.59"/>
    <x v="56"/>
    <n v="1"/>
    <n v="1.7"/>
    <n v="0"/>
    <n v="0"/>
    <n v="1.7"/>
    <x v="0"/>
    <x v="0"/>
    <x v="0"/>
    <x v="0"/>
    <n v="10"/>
    <e v="#N/A"/>
    <e v="#N/A"/>
  </r>
  <r>
    <n v="4600"/>
    <d v="2016-02-15T11:38:03"/>
    <d v="2016-02-15T11:53:02"/>
    <x v="2"/>
    <m/>
    <m/>
    <x v="1"/>
    <n v="70806"/>
    <n v="3.5482170580208998"/>
    <d v="2016-02-15T12:10:46"/>
    <n v="11.59"/>
    <x v="433"/>
    <n v="1"/>
    <n v="1.7"/>
    <n v="0"/>
    <n v="0"/>
    <n v="1.7"/>
    <x v="420"/>
    <x v="1"/>
    <x v="2316"/>
    <x v="0"/>
    <n v="10"/>
    <e v="#N/A"/>
    <e v="#N/A"/>
  </r>
  <r>
    <n v="4601"/>
    <d v="2016-02-15T11:53:48"/>
    <d v="2016-02-15T12:08:47"/>
    <x v="2"/>
    <m/>
    <m/>
    <x v="0"/>
    <n v="70803"/>
    <n v="0"/>
    <d v="2016-02-15T12:11:46"/>
    <n v="11.59"/>
    <x v="24"/>
    <n v="1"/>
    <n v="1.7"/>
    <n v="0"/>
    <n v="0"/>
    <n v="1.7"/>
    <x v="0"/>
    <x v="0"/>
    <x v="0"/>
    <x v="0"/>
    <n v="10"/>
    <e v="#N/A"/>
    <e v="#N/A"/>
  </r>
  <r>
    <n v="4602"/>
    <d v="2016-02-15T12:09:48"/>
    <d v="2016-02-15T12:24:47"/>
    <x v="2"/>
    <m/>
    <m/>
    <x v="0"/>
    <n v="70805"/>
    <n v="0"/>
    <d v="2016-02-15T12:27:47"/>
    <n v="11.59"/>
    <x v="2"/>
    <n v="1"/>
    <n v="1.7"/>
    <n v="0"/>
    <n v="0"/>
    <n v="1.7"/>
    <x v="0"/>
    <x v="0"/>
    <x v="0"/>
    <x v="0"/>
    <n v="10"/>
    <e v="#N/A"/>
    <e v="#N/A"/>
  </r>
  <r>
    <n v="4603"/>
    <d v="2016-02-15T10:43:53"/>
    <d v="2016-02-15T10:58:55"/>
    <x v="0"/>
    <m/>
    <m/>
    <x v="0"/>
    <n v="70804"/>
    <n v="0"/>
    <d v="2016-02-15T11:01:54"/>
    <n v="7.99"/>
    <x v="24"/>
    <n v="1"/>
    <n v="1"/>
    <n v="0"/>
    <n v="0"/>
    <n v="1"/>
    <x v="0"/>
    <x v="0"/>
    <x v="0"/>
    <x v="0"/>
    <n v="7"/>
    <e v="#N/A"/>
    <e v="#N/A"/>
  </r>
  <r>
    <n v="4604"/>
    <d v="2016-02-15T10:50:37"/>
    <d v="2016-02-15T11:05:36"/>
    <x v="0"/>
    <m/>
    <m/>
    <x v="1"/>
    <n v="70804"/>
    <n v="2.1942156328610101"/>
    <d v="2016-02-15T11:16:34"/>
    <n v="7.99"/>
    <x v="33"/>
    <n v="1"/>
    <n v="1"/>
    <n v="0"/>
    <n v="0"/>
    <n v="1"/>
    <x v="27"/>
    <x v="0"/>
    <x v="2317"/>
    <x v="1329"/>
    <n v="7"/>
    <e v="#N/A"/>
    <e v="#N/A"/>
  </r>
  <r>
    <n v="4605"/>
    <d v="2016-02-15T11:45:30"/>
    <d v="2016-02-15T12:00:28"/>
    <x v="0"/>
    <s v="Medium"/>
    <m/>
    <x v="0"/>
    <n v="70803"/>
    <n v="0"/>
    <d v="2016-02-15T12:03:28"/>
    <n v="19.579999999999998"/>
    <x v="2"/>
    <n v="2"/>
    <n v="1"/>
    <n v="1.7"/>
    <n v="0"/>
    <n v="2.7"/>
    <x v="0"/>
    <x v="0"/>
    <x v="0"/>
    <x v="0"/>
    <n v="7"/>
    <n v="10"/>
    <e v="#N/A"/>
  </r>
  <r>
    <n v="4606"/>
    <d v="2016-02-15T13:57:46"/>
    <d v="2016-02-15T14:12:45"/>
    <x v="2"/>
    <m/>
    <m/>
    <x v="1"/>
    <n v="70803"/>
    <n v="1.64647356614871"/>
    <d v="2016-02-15T14:20:58"/>
    <n v="11.59"/>
    <x v="1389"/>
    <n v="1"/>
    <n v="1.7"/>
    <n v="0"/>
    <n v="0"/>
    <n v="1.7"/>
    <x v="1377"/>
    <x v="0"/>
    <x v="2318"/>
    <x v="1330"/>
    <n v="10"/>
    <e v="#N/A"/>
    <e v="#N/A"/>
  </r>
  <r>
    <n v="4607"/>
    <d v="2016-02-15T13:28:20"/>
    <d v="2016-02-15T13:43:22"/>
    <x v="1"/>
    <m/>
    <m/>
    <x v="0"/>
    <n v="70804"/>
    <n v="0"/>
    <d v="2016-02-15T13:46:21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4608"/>
    <d v="2016-02-15T12:19:06"/>
    <d v="2016-02-15T12:34:07"/>
    <x v="1"/>
    <m/>
    <m/>
    <x v="1"/>
    <n v="70805"/>
    <n v="4.2983010061268097"/>
    <d v="2016-02-15T12:55:36"/>
    <n v="15.35"/>
    <x v="1278"/>
    <n v="1"/>
    <n v="2.2999999999999998"/>
    <n v="0"/>
    <n v="0"/>
    <n v="2.2999999999999998"/>
    <x v="1266"/>
    <x v="1"/>
    <x v="2319"/>
    <x v="0"/>
    <n v="14"/>
    <e v="#N/A"/>
    <e v="#N/A"/>
  </r>
  <r>
    <n v="4609"/>
    <d v="2016-02-15T11:26:09"/>
    <d v="2016-02-15T11:41:09"/>
    <x v="1"/>
    <m/>
    <m/>
    <x v="0"/>
    <n v="70804"/>
    <n v="0"/>
    <d v="2016-02-15T11:44:10"/>
    <n v="15.35"/>
    <x v="56"/>
    <n v="1"/>
    <n v="2.2999999999999998"/>
    <n v="0"/>
    <n v="0"/>
    <n v="2.2999999999999998"/>
    <x v="0"/>
    <x v="0"/>
    <x v="0"/>
    <x v="0"/>
    <n v="14"/>
    <e v="#N/A"/>
    <e v="#N/A"/>
  </r>
  <r>
    <n v="4610"/>
    <d v="2016-02-15T10:45:13"/>
    <d v="2016-02-15T11:00:12"/>
    <x v="1"/>
    <m/>
    <m/>
    <x v="0"/>
    <n v="70803"/>
    <n v="0"/>
    <d v="2016-02-15T11:03:11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4611"/>
    <d v="2016-02-15T12:46:58"/>
    <d v="2016-02-15T13:01:58"/>
    <x v="1"/>
    <m/>
    <m/>
    <x v="0"/>
    <n v="70808"/>
    <n v="0"/>
    <d v="2016-02-15T13:04:59"/>
    <n v="15.35"/>
    <x v="14"/>
    <n v="1"/>
    <n v="2.2999999999999998"/>
    <n v="0"/>
    <n v="0"/>
    <n v="2.2999999999999998"/>
    <x v="0"/>
    <x v="0"/>
    <x v="0"/>
    <x v="0"/>
    <n v="14"/>
    <e v="#N/A"/>
    <e v="#N/A"/>
  </r>
  <r>
    <n v="4612"/>
    <d v="2016-02-15T10:17:29"/>
    <d v="2016-02-15T10:32:28"/>
    <x v="1"/>
    <m/>
    <m/>
    <x v="0"/>
    <n v="70806"/>
    <n v="0"/>
    <d v="2016-02-15T10:35:28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4613"/>
    <d v="2016-02-15T12:37:17"/>
    <d v="2016-02-15T12:52:15"/>
    <x v="0"/>
    <m/>
    <m/>
    <x v="0"/>
    <n v="70803"/>
    <n v="0"/>
    <d v="2016-02-15T12:55:15"/>
    <n v="7.99"/>
    <x v="2"/>
    <n v="1"/>
    <n v="1"/>
    <n v="0"/>
    <n v="0"/>
    <n v="1"/>
    <x v="0"/>
    <x v="0"/>
    <x v="0"/>
    <x v="0"/>
    <n v="7"/>
    <e v="#N/A"/>
    <e v="#N/A"/>
  </r>
  <r>
    <n v="4614"/>
    <d v="2016-02-15T12:48:44"/>
    <d v="2016-02-15T13:03:43"/>
    <x v="0"/>
    <m/>
    <m/>
    <x v="1"/>
    <n v="70805"/>
    <n v="2.1677385441029999"/>
    <d v="2016-02-15T13:14:33"/>
    <n v="7.99"/>
    <x v="739"/>
    <n v="1"/>
    <n v="1"/>
    <n v="0"/>
    <n v="0"/>
    <n v="1"/>
    <x v="726"/>
    <x v="0"/>
    <x v="2320"/>
    <x v="1331"/>
    <n v="7"/>
    <e v="#N/A"/>
    <e v="#N/A"/>
  </r>
  <r>
    <n v="4615"/>
    <d v="2016-02-15T13:51:37"/>
    <d v="2016-02-15T14:06:36"/>
    <x v="2"/>
    <m/>
    <m/>
    <x v="0"/>
    <n v="70805"/>
    <n v="0"/>
    <d v="2016-02-15T14:09:34"/>
    <n v="11.59"/>
    <x v="0"/>
    <n v="1"/>
    <n v="1.7"/>
    <n v="0"/>
    <n v="0"/>
    <n v="1.7"/>
    <x v="0"/>
    <x v="0"/>
    <x v="0"/>
    <x v="0"/>
    <n v="10"/>
    <e v="#N/A"/>
    <e v="#N/A"/>
  </r>
  <r>
    <n v="4616"/>
    <d v="2016-02-15T12:10:22"/>
    <d v="2016-02-15T12:25:22"/>
    <x v="0"/>
    <s v="Large"/>
    <m/>
    <x v="0"/>
    <n v="70804"/>
    <n v="0"/>
    <d v="2016-02-15T12:28:22"/>
    <n v="23.34"/>
    <x v="2"/>
    <n v="2"/>
    <n v="1"/>
    <n v="2.2999999999999998"/>
    <n v="0"/>
    <n v="3.3"/>
    <x v="0"/>
    <x v="0"/>
    <x v="0"/>
    <x v="0"/>
    <n v="7"/>
    <n v="14"/>
    <e v="#N/A"/>
  </r>
  <r>
    <n v="4617"/>
    <d v="2016-02-15T12:11:58"/>
    <d v="2016-02-15T12:26:58"/>
    <x v="0"/>
    <m/>
    <m/>
    <x v="0"/>
    <n v="70803"/>
    <n v="0"/>
    <d v="2016-02-15T12:29:57"/>
    <n v="7.99"/>
    <x v="1"/>
    <n v="1"/>
    <n v="1"/>
    <n v="0"/>
    <n v="0"/>
    <n v="1"/>
    <x v="0"/>
    <x v="0"/>
    <x v="0"/>
    <x v="0"/>
    <n v="7"/>
    <e v="#N/A"/>
    <e v="#N/A"/>
  </r>
  <r>
    <n v="4618"/>
    <d v="2016-02-15T10:26:08"/>
    <d v="2016-02-15T10:41:08"/>
    <x v="2"/>
    <m/>
    <m/>
    <x v="0"/>
    <n v="70804"/>
    <n v="0"/>
    <d v="2016-02-15T10:44:08"/>
    <n v="11.59"/>
    <x v="2"/>
    <n v="1"/>
    <n v="1.7"/>
    <n v="0"/>
    <n v="0"/>
    <n v="1.7"/>
    <x v="0"/>
    <x v="0"/>
    <x v="0"/>
    <x v="0"/>
    <n v="10"/>
    <e v="#N/A"/>
    <e v="#N/A"/>
  </r>
  <r>
    <n v="4619"/>
    <d v="2016-02-15T11:39:41"/>
    <d v="2016-02-15T11:54:42"/>
    <x v="0"/>
    <s v="Medium"/>
    <m/>
    <x v="1"/>
    <n v="70804"/>
    <n v="3.2162057019607899"/>
    <d v="2016-02-15T12:10:46"/>
    <n v="19.579999999999998"/>
    <x v="1062"/>
    <n v="2"/>
    <n v="1"/>
    <n v="1.7"/>
    <n v="0"/>
    <n v="2.7"/>
    <x v="1049"/>
    <x v="1"/>
    <x v="2321"/>
    <x v="0"/>
    <n v="7"/>
    <n v="10"/>
    <e v="#N/A"/>
  </r>
  <r>
    <n v="4620"/>
    <d v="2016-02-15T10:24:45"/>
    <d v="2016-02-15T10:39:44"/>
    <x v="0"/>
    <s v="Large"/>
    <m/>
    <x v="0"/>
    <n v="70804"/>
    <n v="0"/>
    <d v="2016-02-15T10:42:44"/>
    <n v="23.34"/>
    <x v="2"/>
    <n v="2"/>
    <n v="1"/>
    <n v="2.2999999999999998"/>
    <n v="0"/>
    <n v="3.3"/>
    <x v="0"/>
    <x v="0"/>
    <x v="0"/>
    <x v="0"/>
    <n v="7"/>
    <n v="14"/>
    <e v="#N/A"/>
  </r>
  <r>
    <n v="4621"/>
    <d v="2016-02-15T12:05:51"/>
    <d v="2016-02-15T12:20:50"/>
    <x v="0"/>
    <s v="Large"/>
    <m/>
    <x v="0"/>
    <n v="70804"/>
    <n v="0"/>
    <d v="2016-02-15T12:23:49"/>
    <n v="23.34"/>
    <x v="1"/>
    <n v="2"/>
    <n v="1"/>
    <n v="2.2999999999999998"/>
    <n v="0"/>
    <n v="3.3"/>
    <x v="0"/>
    <x v="0"/>
    <x v="0"/>
    <x v="0"/>
    <n v="7"/>
    <n v="14"/>
    <e v="#N/A"/>
  </r>
  <r>
    <n v="4622"/>
    <d v="2016-02-15T13:41:32"/>
    <d v="2016-02-15T13:56:31"/>
    <x v="2"/>
    <m/>
    <m/>
    <x v="1"/>
    <n v="70804"/>
    <n v="2.3145516210571402"/>
    <d v="2016-02-15T14:08:05"/>
    <n v="11.59"/>
    <x v="551"/>
    <n v="1"/>
    <n v="1.7"/>
    <n v="0"/>
    <n v="0"/>
    <n v="1.7"/>
    <x v="538"/>
    <x v="0"/>
    <x v="2322"/>
    <x v="1332"/>
    <n v="10"/>
    <e v="#N/A"/>
    <e v="#N/A"/>
  </r>
  <r>
    <n v="4623"/>
    <d v="2016-02-15T12:53:35"/>
    <d v="2016-02-15T13:08:36"/>
    <x v="0"/>
    <m/>
    <m/>
    <x v="1"/>
    <n v="70807"/>
    <n v="3.5298605058648702"/>
    <d v="2016-02-15T13:26:14"/>
    <n v="7.99"/>
    <x v="973"/>
    <n v="1"/>
    <n v="1"/>
    <n v="0"/>
    <n v="0"/>
    <n v="1"/>
    <x v="960"/>
    <x v="1"/>
    <x v="2323"/>
    <x v="0"/>
    <n v="7"/>
    <e v="#N/A"/>
    <e v="#N/A"/>
  </r>
  <r>
    <n v="4624"/>
    <d v="2016-02-15T10:29:10"/>
    <d v="2016-02-15T10:44:08"/>
    <x v="2"/>
    <m/>
    <m/>
    <x v="1"/>
    <n v="70804"/>
    <n v="2.8701362766364902"/>
    <d v="2016-02-15T10:58:29"/>
    <n v="11.59"/>
    <x v="870"/>
    <n v="1"/>
    <n v="1.7"/>
    <n v="0"/>
    <n v="0"/>
    <n v="1.7"/>
    <x v="857"/>
    <x v="0"/>
    <x v="2324"/>
    <x v="1333"/>
    <n v="10"/>
    <e v="#N/A"/>
    <e v="#N/A"/>
  </r>
  <r>
    <n v="4625"/>
    <d v="2016-02-15T11:35:02"/>
    <d v="2016-02-15T11:50:02"/>
    <x v="1"/>
    <m/>
    <m/>
    <x v="0"/>
    <n v="70805"/>
    <n v="0"/>
    <d v="2016-02-15T11:53:01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4626"/>
    <d v="2016-02-15T11:38:25"/>
    <d v="2016-02-15T11:53:25"/>
    <x v="2"/>
    <m/>
    <m/>
    <x v="0"/>
    <n v="70804"/>
    <n v="0"/>
    <d v="2016-02-15T11:56:24"/>
    <n v="11.59"/>
    <x v="24"/>
    <n v="1"/>
    <n v="1.7"/>
    <n v="0"/>
    <n v="0"/>
    <n v="1.7"/>
    <x v="0"/>
    <x v="0"/>
    <x v="0"/>
    <x v="0"/>
    <n v="10"/>
    <e v="#N/A"/>
    <e v="#N/A"/>
  </r>
  <r>
    <n v="4627"/>
    <d v="2016-02-15T10:33:35"/>
    <d v="2016-02-15T10:48:34"/>
    <x v="0"/>
    <s v="Medium"/>
    <m/>
    <x v="1"/>
    <n v="70806"/>
    <n v="3.0987137580091302"/>
    <d v="2016-02-15T11:04:03"/>
    <n v="19.579999999999998"/>
    <x v="1390"/>
    <n v="2"/>
    <n v="1"/>
    <n v="1.7"/>
    <n v="0"/>
    <n v="2.7"/>
    <x v="1378"/>
    <x v="0"/>
    <x v="2325"/>
    <x v="1334"/>
    <n v="7"/>
    <n v="10"/>
    <e v="#N/A"/>
  </r>
  <r>
    <n v="4628"/>
    <d v="2016-02-16T12:06:16"/>
    <d v="2016-02-16T12:21:15"/>
    <x v="1"/>
    <m/>
    <m/>
    <x v="1"/>
    <n v="70805"/>
    <n v="4.2512326975347401"/>
    <d v="2016-02-16T12:42:30"/>
    <n v="15.35"/>
    <x v="406"/>
    <n v="1"/>
    <n v="2.2999999999999998"/>
    <n v="0"/>
    <n v="0"/>
    <n v="2.2999999999999998"/>
    <x v="393"/>
    <x v="1"/>
    <x v="2326"/>
    <x v="0"/>
    <n v="14"/>
    <e v="#N/A"/>
    <e v="#N/A"/>
  </r>
  <r>
    <n v="4629"/>
    <d v="2016-02-16T12:43:40"/>
    <d v="2016-02-16T12:58:38"/>
    <x v="0"/>
    <s v="Large"/>
    <m/>
    <x v="1"/>
    <n v="70804"/>
    <n v="1.74343567733516"/>
    <d v="2016-02-16T13:07:21"/>
    <n v="23.34"/>
    <x v="1391"/>
    <n v="2"/>
    <n v="1"/>
    <n v="2.2999999999999998"/>
    <n v="0"/>
    <n v="3.3"/>
    <x v="1379"/>
    <x v="0"/>
    <x v="2327"/>
    <x v="1335"/>
    <n v="7"/>
    <n v="14"/>
    <e v="#N/A"/>
  </r>
  <r>
    <n v="4630"/>
    <d v="2016-02-16T11:31:55"/>
    <d v="2016-02-16T11:46:54"/>
    <x v="1"/>
    <m/>
    <m/>
    <x v="1"/>
    <n v="70805"/>
    <n v="2.2749512624043602"/>
    <d v="2016-02-16T11:58:16"/>
    <n v="15.35"/>
    <x v="1392"/>
    <n v="1"/>
    <n v="2.2999999999999998"/>
    <n v="0"/>
    <n v="0"/>
    <n v="2.2999999999999998"/>
    <x v="1380"/>
    <x v="0"/>
    <x v="2328"/>
    <x v="1336"/>
    <n v="14"/>
    <e v="#N/A"/>
    <e v="#N/A"/>
  </r>
  <r>
    <n v="4631"/>
    <d v="2016-02-16T12:32:47"/>
    <d v="2016-02-16T12:47:48"/>
    <x v="1"/>
    <m/>
    <m/>
    <x v="1"/>
    <n v="70805"/>
    <n v="2.80376426112189"/>
    <d v="2016-02-16T13:01:49"/>
    <n v="15.35"/>
    <x v="1393"/>
    <n v="1"/>
    <n v="2.2999999999999998"/>
    <n v="0"/>
    <n v="0"/>
    <n v="2.2999999999999998"/>
    <x v="1381"/>
    <x v="0"/>
    <x v="2329"/>
    <x v="1337"/>
    <n v="14"/>
    <e v="#N/A"/>
    <e v="#N/A"/>
  </r>
  <r>
    <n v="4632"/>
    <d v="2016-02-16T12:40:50"/>
    <d v="2016-02-16T12:55:49"/>
    <x v="2"/>
    <m/>
    <m/>
    <x v="1"/>
    <n v="70803"/>
    <n v="2.1901196674893799"/>
    <d v="2016-02-16T13:06:46"/>
    <n v="11.59"/>
    <x v="1150"/>
    <n v="1"/>
    <n v="1.7"/>
    <n v="0"/>
    <n v="0"/>
    <n v="1.7"/>
    <x v="1138"/>
    <x v="0"/>
    <x v="2330"/>
    <x v="1338"/>
    <n v="10"/>
    <e v="#N/A"/>
    <e v="#N/A"/>
  </r>
  <r>
    <n v="4633"/>
    <d v="2016-02-16T13:39:41"/>
    <d v="2016-02-16T13:54:43"/>
    <x v="0"/>
    <s v="Medium"/>
    <m/>
    <x v="1"/>
    <n v="70806"/>
    <n v="5.4037286451827597"/>
    <d v="2016-02-16T14:21:44"/>
    <n v="19.579999999999998"/>
    <x v="1394"/>
    <n v="2"/>
    <n v="1"/>
    <n v="1.7"/>
    <n v="0"/>
    <n v="2.7"/>
    <x v="1382"/>
    <x v="1"/>
    <x v="2331"/>
    <x v="0"/>
    <n v="7"/>
    <n v="10"/>
    <e v="#N/A"/>
  </r>
  <r>
    <n v="4634"/>
    <d v="2016-02-16T11:21:22"/>
    <d v="2016-02-16T11:36:23"/>
    <x v="1"/>
    <m/>
    <m/>
    <x v="1"/>
    <n v="70805"/>
    <n v="2.15956295777612"/>
    <d v="2016-02-16T11:47:10"/>
    <n v="15.35"/>
    <x v="1145"/>
    <n v="1"/>
    <n v="2.2999999999999998"/>
    <n v="0"/>
    <n v="0"/>
    <n v="2.2999999999999998"/>
    <x v="1132"/>
    <x v="0"/>
    <x v="2332"/>
    <x v="1339"/>
    <n v="14"/>
    <e v="#N/A"/>
    <e v="#N/A"/>
  </r>
  <r>
    <n v="4635"/>
    <d v="2016-02-16T12:09:28"/>
    <d v="2016-02-16T12:24:27"/>
    <x v="0"/>
    <s v="Medium"/>
    <m/>
    <x v="1"/>
    <n v="70804"/>
    <n v="4.5659289420377602"/>
    <d v="2016-02-16T12:47:16"/>
    <n v="19.579999999999998"/>
    <x v="1395"/>
    <n v="2"/>
    <n v="1"/>
    <n v="1.7"/>
    <n v="0"/>
    <n v="2.7"/>
    <x v="1383"/>
    <x v="1"/>
    <x v="2333"/>
    <x v="0"/>
    <n v="7"/>
    <n v="10"/>
    <e v="#N/A"/>
  </r>
  <r>
    <n v="4636"/>
    <d v="2016-02-16T10:20:57"/>
    <d v="2016-02-16T10:35:58"/>
    <x v="0"/>
    <s v="Medium"/>
    <m/>
    <x v="0"/>
    <n v="70806"/>
    <n v="0"/>
    <d v="2016-02-16T10:38:56"/>
    <n v="19.579999999999998"/>
    <x v="0"/>
    <n v="2"/>
    <n v="1"/>
    <n v="1.7"/>
    <n v="0"/>
    <n v="2.7"/>
    <x v="0"/>
    <x v="0"/>
    <x v="0"/>
    <x v="0"/>
    <n v="7"/>
    <n v="10"/>
    <e v="#N/A"/>
  </r>
  <r>
    <n v="4637"/>
    <d v="2016-02-16T12:40:23"/>
    <d v="2016-02-16T12:55:22"/>
    <x v="0"/>
    <s v="Large"/>
    <m/>
    <x v="1"/>
    <n v="70805"/>
    <n v="2.8766817864499798"/>
    <d v="2016-02-16T13:09:45"/>
    <n v="23.34"/>
    <x v="149"/>
    <n v="2"/>
    <n v="1"/>
    <n v="2.2999999999999998"/>
    <n v="0"/>
    <n v="3.3"/>
    <x v="139"/>
    <x v="0"/>
    <x v="2334"/>
    <x v="1340"/>
    <n v="7"/>
    <n v="14"/>
    <e v="#N/A"/>
  </r>
  <r>
    <n v="4638"/>
    <d v="2016-02-16T12:26:40"/>
    <d v="2016-02-16T12:41:39"/>
    <x v="1"/>
    <m/>
    <m/>
    <x v="1"/>
    <n v="70806"/>
    <n v="3.3329749484410498"/>
    <d v="2016-02-16T12:58:18"/>
    <n v="15.35"/>
    <x v="193"/>
    <n v="1"/>
    <n v="2.2999999999999998"/>
    <n v="0"/>
    <n v="0"/>
    <n v="2.2999999999999998"/>
    <x v="181"/>
    <x v="1"/>
    <x v="2335"/>
    <x v="0"/>
    <n v="14"/>
    <e v="#N/A"/>
    <e v="#N/A"/>
  </r>
  <r>
    <n v="4639"/>
    <d v="2016-02-16T11:37:11"/>
    <d v="2016-02-16T11:52:10"/>
    <x v="1"/>
    <m/>
    <m/>
    <x v="1"/>
    <n v="70805"/>
    <n v="4.6409994618065298"/>
    <d v="2016-02-16T12:15:22"/>
    <n v="15.35"/>
    <x v="482"/>
    <n v="1"/>
    <n v="2.2999999999999998"/>
    <n v="0"/>
    <n v="0"/>
    <n v="2.2999999999999998"/>
    <x v="469"/>
    <x v="1"/>
    <x v="2336"/>
    <x v="0"/>
    <n v="14"/>
    <e v="#N/A"/>
    <e v="#N/A"/>
  </r>
  <r>
    <n v="4640"/>
    <d v="2016-02-16T12:31:35"/>
    <d v="2016-02-16T12:46:37"/>
    <x v="0"/>
    <s v="Medium"/>
    <m/>
    <x v="0"/>
    <n v="70804"/>
    <n v="0"/>
    <d v="2016-02-16T12:49:36"/>
    <n v="19.579999999999998"/>
    <x v="24"/>
    <n v="2"/>
    <n v="1"/>
    <n v="1.7"/>
    <n v="0"/>
    <n v="2.7"/>
    <x v="0"/>
    <x v="0"/>
    <x v="0"/>
    <x v="0"/>
    <n v="7"/>
    <n v="10"/>
    <e v="#N/A"/>
  </r>
  <r>
    <n v="4641"/>
    <d v="2016-02-16T12:12:37"/>
    <d v="2016-02-16T12:27:36"/>
    <x v="0"/>
    <s v="Medium"/>
    <m/>
    <x v="0"/>
    <n v="70806"/>
    <n v="0"/>
    <d v="2016-02-16T12:30:36"/>
    <n v="19.579999999999998"/>
    <x v="2"/>
    <n v="2"/>
    <n v="1"/>
    <n v="1.7"/>
    <n v="0"/>
    <n v="2.7"/>
    <x v="0"/>
    <x v="0"/>
    <x v="0"/>
    <x v="0"/>
    <n v="7"/>
    <n v="10"/>
    <e v="#N/A"/>
  </r>
  <r>
    <n v="4642"/>
    <d v="2016-02-16T13:20:13"/>
    <d v="2016-02-16T13:35:13"/>
    <x v="0"/>
    <s v="Large"/>
    <m/>
    <x v="1"/>
    <n v="70804"/>
    <n v="1.93322626415361"/>
    <d v="2016-02-16T13:44:52"/>
    <n v="23.34"/>
    <x v="1396"/>
    <n v="2"/>
    <n v="1"/>
    <n v="2.2999999999999998"/>
    <n v="0"/>
    <n v="3.3"/>
    <x v="1384"/>
    <x v="0"/>
    <x v="2337"/>
    <x v="1341"/>
    <n v="7"/>
    <n v="14"/>
    <e v="#N/A"/>
  </r>
  <r>
    <n v="4643"/>
    <d v="2016-02-16T11:37:45"/>
    <d v="2016-02-16T11:52:45"/>
    <x v="2"/>
    <m/>
    <m/>
    <x v="0"/>
    <n v="70804"/>
    <n v="0"/>
    <d v="2016-02-16T11:55:43"/>
    <n v="11.59"/>
    <x v="0"/>
    <n v="1"/>
    <n v="1.7"/>
    <n v="0"/>
    <n v="0"/>
    <n v="1.7"/>
    <x v="0"/>
    <x v="0"/>
    <x v="0"/>
    <x v="0"/>
    <n v="10"/>
    <e v="#N/A"/>
    <e v="#N/A"/>
  </r>
  <r>
    <n v="4644"/>
    <d v="2016-02-16T15:05:45"/>
    <d v="2016-02-16T15:20:44"/>
    <x v="1"/>
    <m/>
    <m/>
    <x v="0"/>
    <n v="70804"/>
    <n v="0"/>
    <d v="2016-02-16T15:23:44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4645"/>
    <d v="2016-02-16T11:35:34"/>
    <d v="2016-02-16T11:50:34"/>
    <x v="0"/>
    <m/>
    <m/>
    <x v="0"/>
    <n v="70807"/>
    <n v="0"/>
    <d v="2016-02-16T11:53:34"/>
    <n v="7.99"/>
    <x v="63"/>
    <n v="1"/>
    <n v="1"/>
    <n v="0"/>
    <n v="0"/>
    <n v="1"/>
    <x v="0"/>
    <x v="0"/>
    <x v="0"/>
    <x v="0"/>
    <n v="7"/>
    <e v="#N/A"/>
    <e v="#N/A"/>
  </r>
  <r>
    <n v="4646"/>
    <d v="2016-02-16T12:42:27"/>
    <d v="2016-02-16T12:57:28"/>
    <x v="0"/>
    <s v="Medium"/>
    <m/>
    <x v="0"/>
    <n v="70805"/>
    <n v="0"/>
    <d v="2016-02-16T13:00:27"/>
    <n v="19.579999999999998"/>
    <x v="24"/>
    <n v="2"/>
    <n v="1"/>
    <n v="1.7"/>
    <n v="0"/>
    <n v="2.7"/>
    <x v="0"/>
    <x v="0"/>
    <x v="0"/>
    <x v="0"/>
    <n v="7"/>
    <n v="10"/>
    <e v="#N/A"/>
  </r>
  <r>
    <n v="4647"/>
    <d v="2016-02-16T11:35:05"/>
    <d v="2016-02-16T11:50:03"/>
    <x v="0"/>
    <s v="Medium"/>
    <m/>
    <x v="1"/>
    <n v="70804"/>
    <n v="3.0858968653507701"/>
    <d v="2016-02-16T12:05:28"/>
    <n v="19.579999999999998"/>
    <x v="206"/>
    <n v="2"/>
    <n v="1"/>
    <n v="1.7"/>
    <n v="0"/>
    <n v="2.7"/>
    <x v="194"/>
    <x v="0"/>
    <x v="2338"/>
    <x v="1342"/>
    <n v="7"/>
    <n v="10"/>
    <e v="#N/A"/>
  </r>
  <r>
    <n v="4648"/>
    <d v="2016-02-16T11:36:29"/>
    <d v="2016-02-16T11:51:29"/>
    <x v="2"/>
    <m/>
    <m/>
    <x v="0"/>
    <n v="70808"/>
    <n v="0"/>
    <d v="2016-02-16T11:54:28"/>
    <n v="11.59"/>
    <x v="24"/>
    <n v="1"/>
    <n v="1.7"/>
    <n v="0"/>
    <n v="0"/>
    <n v="1.7"/>
    <x v="0"/>
    <x v="0"/>
    <x v="0"/>
    <x v="0"/>
    <n v="10"/>
    <e v="#N/A"/>
    <e v="#N/A"/>
  </r>
  <r>
    <n v="4649"/>
    <d v="2016-02-16T12:24:00"/>
    <d v="2016-02-16T12:39:01"/>
    <x v="0"/>
    <m/>
    <m/>
    <x v="1"/>
    <n v="70805"/>
    <n v="1.58913192719244"/>
    <d v="2016-02-16T12:46:57"/>
    <n v="7.99"/>
    <x v="253"/>
    <n v="1"/>
    <n v="1"/>
    <n v="0"/>
    <n v="0"/>
    <n v="1"/>
    <x v="240"/>
    <x v="0"/>
    <x v="2339"/>
    <x v="1343"/>
    <n v="7"/>
    <e v="#N/A"/>
    <e v="#N/A"/>
  </r>
  <r>
    <n v="4650"/>
    <d v="2016-02-16T12:02:45"/>
    <d v="2016-02-16T12:17:45"/>
    <x v="2"/>
    <m/>
    <m/>
    <x v="1"/>
    <n v="70804"/>
    <n v="3.7896025981440098"/>
    <d v="2016-02-16T12:36:41"/>
    <n v="11.59"/>
    <x v="1282"/>
    <n v="1"/>
    <n v="1.7"/>
    <n v="0"/>
    <n v="0"/>
    <n v="1.7"/>
    <x v="1270"/>
    <x v="1"/>
    <x v="2340"/>
    <x v="0"/>
    <n v="10"/>
    <e v="#N/A"/>
    <e v="#N/A"/>
  </r>
  <r>
    <n v="4651"/>
    <d v="2016-02-16T11:39:09"/>
    <d v="2016-02-16T11:54:09"/>
    <x v="1"/>
    <m/>
    <m/>
    <x v="1"/>
    <n v="70806"/>
    <n v="2.4023225774835599"/>
    <d v="2016-02-16T12:06:09"/>
    <n v="15.35"/>
    <x v="775"/>
    <n v="1"/>
    <n v="2.2999999999999998"/>
    <n v="0"/>
    <n v="0"/>
    <n v="2.2999999999999998"/>
    <x v="762"/>
    <x v="0"/>
    <x v="2341"/>
    <x v="1344"/>
    <n v="14"/>
    <e v="#N/A"/>
    <e v="#N/A"/>
  </r>
  <r>
    <n v="4652"/>
    <d v="2016-02-16T14:32:27"/>
    <d v="2016-02-16T14:47:28"/>
    <x v="2"/>
    <m/>
    <m/>
    <x v="1"/>
    <n v="70806"/>
    <n v="3.53360528855191"/>
    <d v="2016-02-16T15:05:08"/>
    <n v="11.59"/>
    <x v="367"/>
    <n v="1"/>
    <n v="1.7"/>
    <n v="0"/>
    <n v="0"/>
    <n v="1.7"/>
    <x v="354"/>
    <x v="1"/>
    <x v="2342"/>
    <x v="0"/>
    <n v="10"/>
    <e v="#N/A"/>
    <e v="#N/A"/>
  </r>
  <r>
    <n v="4653"/>
    <d v="2016-02-16T11:04:34"/>
    <d v="2016-02-16T11:19:35"/>
    <x v="1"/>
    <m/>
    <m/>
    <x v="1"/>
    <n v="70804"/>
    <n v="2.9715492676200301"/>
    <d v="2016-02-16T11:34:26"/>
    <n v="15.35"/>
    <x v="251"/>
    <n v="1"/>
    <n v="2.2999999999999998"/>
    <n v="0"/>
    <n v="0"/>
    <n v="2.2999999999999998"/>
    <x v="238"/>
    <x v="0"/>
    <x v="2343"/>
    <x v="1345"/>
    <n v="14"/>
    <e v="#N/A"/>
    <e v="#N/A"/>
  </r>
  <r>
    <n v="4654"/>
    <d v="2016-02-16T11:56:36"/>
    <d v="2016-02-16T12:11:34"/>
    <x v="0"/>
    <m/>
    <m/>
    <x v="0"/>
    <n v="70806"/>
    <n v="0"/>
    <d v="2016-02-16T12:14:33"/>
    <n v="7.99"/>
    <x v="24"/>
    <n v="1"/>
    <n v="1"/>
    <n v="0"/>
    <n v="0"/>
    <n v="1"/>
    <x v="0"/>
    <x v="0"/>
    <x v="0"/>
    <x v="0"/>
    <n v="7"/>
    <e v="#N/A"/>
    <e v="#N/A"/>
  </r>
  <r>
    <n v="4655"/>
    <d v="2016-02-16T11:41:27"/>
    <d v="2016-02-16T11:56:26"/>
    <x v="2"/>
    <m/>
    <m/>
    <x v="1"/>
    <n v="70803"/>
    <n v="4.1827677231209996"/>
    <d v="2016-02-16T12:17:20"/>
    <n v="11.59"/>
    <x v="1397"/>
    <n v="1"/>
    <n v="1.7"/>
    <n v="0"/>
    <n v="0"/>
    <n v="1.7"/>
    <x v="1385"/>
    <x v="1"/>
    <x v="2344"/>
    <x v="0"/>
    <n v="10"/>
    <e v="#N/A"/>
    <e v="#N/A"/>
  </r>
  <r>
    <n v="4656"/>
    <d v="2016-02-16T12:08:37"/>
    <d v="2016-02-16T12:23:37"/>
    <x v="1"/>
    <m/>
    <m/>
    <x v="1"/>
    <n v="70803"/>
    <n v="1.91605252850262"/>
    <d v="2016-02-16T12:33:11"/>
    <n v="15.35"/>
    <x v="409"/>
    <n v="1"/>
    <n v="2.2999999999999998"/>
    <n v="0"/>
    <n v="0"/>
    <n v="2.2999999999999998"/>
    <x v="396"/>
    <x v="0"/>
    <x v="2345"/>
    <x v="1346"/>
    <n v="14"/>
    <e v="#N/A"/>
    <e v="#N/A"/>
  </r>
  <r>
    <n v="4657"/>
    <d v="2016-02-16T13:18:03"/>
    <d v="2016-02-16T13:33:02"/>
    <x v="1"/>
    <m/>
    <m/>
    <x v="0"/>
    <n v="70807"/>
    <n v="0"/>
    <d v="2016-02-16T13:36:00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4658"/>
    <d v="2016-02-16T13:11:58"/>
    <d v="2016-02-16T13:26:57"/>
    <x v="1"/>
    <m/>
    <m/>
    <x v="0"/>
    <n v="70804"/>
    <n v="0"/>
    <d v="2016-02-16T13:29:56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4659"/>
    <d v="2016-02-16T13:25:35"/>
    <d v="2016-02-16T13:40:35"/>
    <x v="1"/>
    <m/>
    <m/>
    <x v="1"/>
    <n v="70805"/>
    <n v="1.85537847975299"/>
    <d v="2016-02-16T13:49:51"/>
    <n v="15.35"/>
    <x v="1202"/>
    <n v="1"/>
    <n v="2.2999999999999998"/>
    <n v="0"/>
    <n v="0"/>
    <n v="2.2999999999999998"/>
    <x v="1190"/>
    <x v="0"/>
    <x v="2346"/>
    <x v="1347"/>
    <n v="14"/>
    <e v="#N/A"/>
    <e v="#N/A"/>
  </r>
  <r>
    <n v="4660"/>
    <d v="2016-02-16T11:48:06"/>
    <d v="2016-02-16T12:03:05"/>
    <x v="0"/>
    <m/>
    <m/>
    <x v="1"/>
    <n v="70804"/>
    <n v="3.97166979248555"/>
    <d v="2016-02-16T12:22:56"/>
    <n v="7.99"/>
    <x v="645"/>
    <n v="1"/>
    <n v="1"/>
    <n v="0"/>
    <n v="0"/>
    <n v="1"/>
    <x v="632"/>
    <x v="1"/>
    <x v="2347"/>
    <x v="0"/>
    <n v="7"/>
    <e v="#N/A"/>
    <e v="#N/A"/>
  </r>
  <r>
    <n v="4661"/>
    <d v="2016-02-16T12:33:40"/>
    <d v="2016-02-16T12:48:38"/>
    <x v="0"/>
    <s v="Medium"/>
    <m/>
    <x v="1"/>
    <n v="70803"/>
    <n v="1.1393555880552899"/>
    <d v="2016-02-16T12:54:19"/>
    <n v="19.579999999999998"/>
    <x v="1398"/>
    <n v="2"/>
    <n v="1"/>
    <n v="1.7"/>
    <n v="0"/>
    <n v="2.7"/>
    <x v="1386"/>
    <x v="0"/>
    <x v="2348"/>
    <x v="1348"/>
    <n v="7"/>
    <n v="10"/>
    <e v="#N/A"/>
  </r>
  <r>
    <n v="4662"/>
    <d v="2016-02-16T12:29:40"/>
    <d v="2016-02-16T12:44:39"/>
    <x v="1"/>
    <m/>
    <m/>
    <x v="1"/>
    <n v="70804"/>
    <n v="4.0844559986195899"/>
    <d v="2016-02-16T13:05:04"/>
    <n v="15.35"/>
    <x v="1399"/>
    <n v="1"/>
    <n v="2.2999999999999998"/>
    <n v="0"/>
    <n v="0"/>
    <n v="2.2999999999999998"/>
    <x v="1387"/>
    <x v="1"/>
    <x v="2349"/>
    <x v="0"/>
    <n v="14"/>
    <e v="#N/A"/>
    <e v="#N/A"/>
  </r>
  <r>
    <n v="4663"/>
    <d v="2016-02-16T13:27:38"/>
    <d v="2016-02-16T13:42:38"/>
    <x v="2"/>
    <m/>
    <m/>
    <x v="0"/>
    <n v="70805"/>
    <n v="0"/>
    <d v="2016-02-16T13:45:37"/>
    <n v="11.59"/>
    <x v="1"/>
    <n v="1"/>
    <n v="1.7"/>
    <n v="0"/>
    <n v="0"/>
    <n v="1.7"/>
    <x v="0"/>
    <x v="0"/>
    <x v="0"/>
    <x v="0"/>
    <n v="10"/>
    <e v="#N/A"/>
    <e v="#N/A"/>
  </r>
  <r>
    <n v="4664"/>
    <d v="2016-02-16T11:35:39"/>
    <d v="2016-02-16T11:50:37"/>
    <x v="0"/>
    <m/>
    <m/>
    <x v="1"/>
    <n v="70805"/>
    <n v="2.6050528354647202"/>
    <d v="2016-02-16T12:03:38"/>
    <n v="7.99"/>
    <x v="1047"/>
    <n v="1"/>
    <n v="1"/>
    <n v="0"/>
    <n v="0"/>
    <n v="1"/>
    <x v="1034"/>
    <x v="0"/>
    <x v="2350"/>
    <x v="1349"/>
    <n v="7"/>
    <e v="#N/A"/>
    <e v="#N/A"/>
  </r>
  <r>
    <n v="4665"/>
    <d v="2016-02-16T14:26:15"/>
    <d v="2016-02-16T14:41:16"/>
    <x v="0"/>
    <s v="Large"/>
    <m/>
    <x v="0"/>
    <n v="70805"/>
    <n v="0"/>
    <d v="2016-02-16T14:44:15"/>
    <n v="23.34"/>
    <x v="24"/>
    <n v="2"/>
    <n v="1"/>
    <n v="2.2999999999999998"/>
    <n v="0"/>
    <n v="3.3"/>
    <x v="0"/>
    <x v="0"/>
    <x v="0"/>
    <x v="0"/>
    <n v="7"/>
    <n v="14"/>
    <e v="#N/A"/>
  </r>
  <r>
    <n v="4666"/>
    <d v="2016-02-16T12:58:14"/>
    <d v="2016-02-16T13:13:14"/>
    <x v="2"/>
    <m/>
    <m/>
    <x v="0"/>
    <n v="70806"/>
    <n v="0"/>
    <d v="2016-02-16T13:16:12"/>
    <n v="11.59"/>
    <x v="0"/>
    <n v="1"/>
    <n v="1.7"/>
    <n v="0"/>
    <n v="0"/>
    <n v="1.7"/>
    <x v="0"/>
    <x v="0"/>
    <x v="0"/>
    <x v="0"/>
    <n v="10"/>
    <e v="#N/A"/>
    <e v="#N/A"/>
  </r>
  <r>
    <n v="4667"/>
    <d v="2016-02-16T11:58:31"/>
    <d v="2016-02-16T12:13:30"/>
    <x v="0"/>
    <s v="Medium"/>
    <m/>
    <x v="1"/>
    <n v="70804"/>
    <n v="2.6457516371810299"/>
    <d v="2016-02-16T12:26:43"/>
    <n v="19.579999999999998"/>
    <x v="689"/>
    <n v="2"/>
    <n v="1"/>
    <n v="1.7"/>
    <n v="0"/>
    <n v="2.7"/>
    <x v="676"/>
    <x v="0"/>
    <x v="2351"/>
    <x v="1350"/>
    <n v="7"/>
    <n v="10"/>
    <e v="#N/A"/>
  </r>
  <r>
    <n v="4668"/>
    <d v="2016-02-16T11:03:45"/>
    <d v="2016-02-16T11:18:44"/>
    <x v="2"/>
    <m/>
    <m/>
    <x v="1"/>
    <n v="70805"/>
    <n v="2.2930768390686098"/>
    <d v="2016-02-16T11:30:11"/>
    <n v="11.59"/>
    <x v="1400"/>
    <n v="1"/>
    <n v="1.7"/>
    <n v="0"/>
    <n v="0"/>
    <n v="1.7"/>
    <x v="1388"/>
    <x v="0"/>
    <x v="2352"/>
    <x v="1351"/>
    <n v="10"/>
    <e v="#N/A"/>
    <e v="#N/A"/>
  </r>
  <r>
    <n v="4669"/>
    <d v="2016-02-16T10:25:19"/>
    <d v="2016-02-16T10:40:19"/>
    <x v="0"/>
    <m/>
    <m/>
    <x v="1"/>
    <n v="70804"/>
    <n v="2.6527107760437301"/>
    <d v="2016-02-16T10:53:34"/>
    <n v="7.99"/>
    <x v="1178"/>
    <n v="1"/>
    <n v="1"/>
    <n v="0"/>
    <n v="0"/>
    <n v="1"/>
    <x v="1166"/>
    <x v="0"/>
    <x v="2353"/>
    <x v="1352"/>
    <n v="7"/>
    <e v="#N/A"/>
    <e v="#N/A"/>
  </r>
  <r>
    <n v="4670"/>
    <d v="2016-02-16T12:00:04"/>
    <d v="2016-02-16T12:15:04"/>
    <x v="0"/>
    <m/>
    <m/>
    <x v="0"/>
    <n v="70804"/>
    <n v="0"/>
    <d v="2016-02-16T12:18:04"/>
    <n v="7.99"/>
    <x v="2"/>
    <n v="1"/>
    <n v="1"/>
    <n v="0"/>
    <n v="0"/>
    <n v="1"/>
    <x v="0"/>
    <x v="0"/>
    <x v="0"/>
    <x v="0"/>
    <n v="7"/>
    <e v="#N/A"/>
    <e v="#N/A"/>
  </r>
  <r>
    <n v="4671"/>
    <d v="2016-02-16T11:13:49"/>
    <d v="2016-02-16T11:28:48"/>
    <x v="1"/>
    <m/>
    <m/>
    <x v="0"/>
    <n v="70804"/>
    <n v="0"/>
    <d v="2016-02-16T11:31:48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4672"/>
    <d v="2016-02-16T13:31:16"/>
    <d v="2016-02-16T13:46:16"/>
    <x v="2"/>
    <m/>
    <m/>
    <x v="0"/>
    <n v="70808"/>
    <n v="0"/>
    <d v="2016-02-16T13:49:15"/>
    <n v="11.59"/>
    <x v="1"/>
    <n v="1"/>
    <n v="1.7"/>
    <n v="0"/>
    <n v="0"/>
    <n v="1.7"/>
    <x v="0"/>
    <x v="0"/>
    <x v="0"/>
    <x v="0"/>
    <n v="10"/>
    <e v="#N/A"/>
    <e v="#N/A"/>
  </r>
  <r>
    <n v="4673"/>
    <d v="2016-02-16T12:50:06"/>
    <d v="2016-02-16T13:05:05"/>
    <x v="2"/>
    <m/>
    <m/>
    <x v="0"/>
    <n v="70804"/>
    <n v="0"/>
    <d v="2016-02-16T13:08:03"/>
    <n v="11.59"/>
    <x v="0"/>
    <n v="1"/>
    <n v="1.7"/>
    <n v="0"/>
    <n v="0"/>
    <n v="1.7"/>
    <x v="0"/>
    <x v="0"/>
    <x v="0"/>
    <x v="0"/>
    <n v="10"/>
    <e v="#N/A"/>
    <e v="#N/A"/>
  </r>
  <r>
    <n v="4674"/>
    <d v="2016-02-16T11:24:28"/>
    <d v="2016-02-16T11:39:27"/>
    <x v="2"/>
    <m/>
    <m/>
    <x v="0"/>
    <n v="70804"/>
    <n v="0"/>
    <d v="2016-02-16T11:42:26"/>
    <n v="11.59"/>
    <x v="1"/>
    <n v="1"/>
    <n v="1.7"/>
    <n v="0"/>
    <n v="0"/>
    <n v="1.7"/>
    <x v="0"/>
    <x v="0"/>
    <x v="0"/>
    <x v="0"/>
    <n v="10"/>
    <e v="#N/A"/>
    <e v="#N/A"/>
  </r>
  <r>
    <n v="4675"/>
    <d v="2016-02-16T11:21:24"/>
    <d v="2016-02-16T11:36:24"/>
    <x v="0"/>
    <s v="Large"/>
    <m/>
    <x v="1"/>
    <n v="70804"/>
    <n v="4.2589452842363302"/>
    <d v="2016-02-16T11:57:41"/>
    <n v="23.34"/>
    <x v="735"/>
    <n v="2"/>
    <n v="1"/>
    <n v="2.2999999999999998"/>
    <n v="0"/>
    <n v="3.3"/>
    <x v="722"/>
    <x v="1"/>
    <x v="2354"/>
    <x v="0"/>
    <n v="7"/>
    <n v="14"/>
    <e v="#N/A"/>
  </r>
  <r>
    <n v="4676"/>
    <d v="2016-02-16T11:55:21"/>
    <d v="2016-02-16T12:10:18"/>
    <x v="1"/>
    <m/>
    <m/>
    <x v="0"/>
    <n v="70806"/>
    <n v="0"/>
    <d v="2016-02-16T12:13:18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4677"/>
    <d v="2016-02-16T11:21:14"/>
    <d v="2016-02-16T11:36:12"/>
    <x v="2"/>
    <m/>
    <m/>
    <x v="1"/>
    <n v="70806"/>
    <n v="3.2829558424176701"/>
    <d v="2016-02-16T11:52:36"/>
    <n v="11.59"/>
    <x v="108"/>
    <n v="1"/>
    <n v="1.7"/>
    <n v="0"/>
    <n v="0"/>
    <n v="1.7"/>
    <x v="98"/>
    <x v="1"/>
    <x v="2355"/>
    <x v="0"/>
    <n v="10"/>
    <e v="#N/A"/>
    <e v="#N/A"/>
  </r>
  <r>
    <n v="4678"/>
    <d v="2016-02-16T11:07:58"/>
    <d v="2016-02-16T11:22:57"/>
    <x v="2"/>
    <m/>
    <m/>
    <x v="1"/>
    <n v="70806"/>
    <n v="4.28924611979276"/>
    <d v="2016-02-16T11:44:23"/>
    <n v="11.59"/>
    <x v="1401"/>
    <n v="1"/>
    <n v="1.7"/>
    <n v="0"/>
    <n v="0"/>
    <n v="1.7"/>
    <x v="1389"/>
    <x v="1"/>
    <x v="2356"/>
    <x v="0"/>
    <n v="10"/>
    <e v="#N/A"/>
    <e v="#N/A"/>
  </r>
  <r>
    <n v="4679"/>
    <d v="2016-02-16T12:38:02"/>
    <d v="2016-02-16T12:53:01"/>
    <x v="0"/>
    <s v="Large"/>
    <m/>
    <x v="1"/>
    <n v="70806"/>
    <n v="1.8140256631554399"/>
    <d v="2016-02-16T13:02:05"/>
    <n v="23.34"/>
    <x v="279"/>
    <n v="2"/>
    <n v="1"/>
    <n v="2.2999999999999998"/>
    <n v="0"/>
    <n v="3.3"/>
    <x v="266"/>
    <x v="0"/>
    <x v="2357"/>
    <x v="1353"/>
    <n v="7"/>
    <n v="14"/>
    <e v="#N/A"/>
  </r>
  <r>
    <n v="4680"/>
    <d v="2016-02-16T12:33:46"/>
    <d v="2016-02-16T12:48:46"/>
    <x v="0"/>
    <s v="Medium"/>
    <m/>
    <x v="1"/>
    <n v="70804"/>
    <n v="5.0154309599326101"/>
    <d v="2016-02-16T13:13:50"/>
    <n v="19.579999999999998"/>
    <x v="1402"/>
    <n v="2"/>
    <n v="1"/>
    <n v="1.7"/>
    <n v="0"/>
    <n v="2.7"/>
    <x v="1390"/>
    <x v="1"/>
    <x v="2358"/>
    <x v="0"/>
    <n v="7"/>
    <n v="10"/>
    <e v="#N/A"/>
  </r>
  <r>
    <n v="4681"/>
    <d v="2016-02-16T12:18:51"/>
    <d v="2016-02-16T12:33:51"/>
    <x v="2"/>
    <m/>
    <m/>
    <x v="0"/>
    <n v="70804"/>
    <n v="0"/>
    <d v="2016-02-16T12:36:53"/>
    <n v="11.59"/>
    <x v="67"/>
    <n v="1"/>
    <n v="1.7"/>
    <n v="0"/>
    <n v="0"/>
    <n v="1.7"/>
    <x v="0"/>
    <x v="0"/>
    <x v="0"/>
    <x v="0"/>
    <n v="10"/>
    <e v="#N/A"/>
    <e v="#N/A"/>
  </r>
  <r>
    <n v="4682"/>
    <d v="2016-02-16T11:49:45"/>
    <d v="2016-02-16T12:04:45"/>
    <x v="2"/>
    <m/>
    <m/>
    <x v="0"/>
    <n v="70804"/>
    <n v="0"/>
    <d v="2016-02-16T12:07:44"/>
    <n v="11.59"/>
    <x v="24"/>
    <n v="1"/>
    <n v="1.7"/>
    <n v="0"/>
    <n v="0"/>
    <n v="1.7"/>
    <x v="0"/>
    <x v="0"/>
    <x v="0"/>
    <x v="0"/>
    <n v="10"/>
    <e v="#N/A"/>
    <e v="#N/A"/>
  </r>
  <r>
    <n v="4683"/>
    <d v="2016-02-16T12:12:29"/>
    <d v="2016-02-16T12:27:29"/>
    <x v="1"/>
    <m/>
    <m/>
    <x v="0"/>
    <n v="70805"/>
    <n v="0"/>
    <d v="2016-02-16T12:30:27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4684"/>
    <d v="2016-02-16T11:56:29"/>
    <d v="2016-02-16T12:11:28"/>
    <x v="0"/>
    <m/>
    <m/>
    <x v="1"/>
    <n v="70806"/>
    <n v="2.6922603047308198"/>
    <d v="2016-02-16T12:24:55"/>
    <n v="7.99"/>
    <x v="1342"/>
    <n v="1"/>
    <n v="1"/>
    <n v="0"/>
    <n v="0"/>
    <n v="1"/>
    <x v="1330"/>
    <x v="0"/>
    <x v="2359"/>
    <x v="1354"/>
    <n v="7"/>
    <e v="#N/A"/>
    <e v="#N/A"/>
  </r>
  <r>
    <n v="4685"/>
    <d v="2016-02-16T11:08:45"/>
    <d v="2016-02-16T11:23:43"/>
    <x v="1"/>
    <m/>
    <m/>
    <x v="0"/>
    <n v="70804"/>
    <n v="0"/>
    <d v="2016-02-16T11:26:44"/>
    <n v="15.35"/>
    <x v="56"/>
    <n v="1"/>
    <n v="2.2999999999999998"/>
    <n v="0"/>
    <n v="0"/>
    <n v="2.2999999999999998"/>
    <x v="0"/>
    <x v="0"/>
    <x v="0"/>
    <x v="0"/>
    <n v="14"/>
    <e v="#N/A"/>
    <e v="#N/A"/>
  </r>
  <r>
    <n v="4686"/>
    <d v="2016-02-16T10:25:27"/>
    <d v="2016-02-16T10:40:26"/>
    <x v="2"/>
    <m/>
    <m/>
    <x v="0"/>
    <n v="70807"/>
    <n v="0"/>
    <d v="2016-02-16T10:43:27"/>
    <n v="11.59"/>
    <x v="14"/>
    <n v="1"/>
    <n v="1.7"/>
    <n v="0"/>
    <n v="0"/>
    <n v="1.7"/>
    <x v="0"/>
    <x v="0"/>
    <x v="0"/>
    <x v="0"/>
    <n v="10"/>
    <e v="#N/A"/>
    <e v="#N/A"/>
  </r>
  <r>
    <n v="4687"/>
    <d v="2016-02-16T13:34:54"/>
    <d v="2016-02-16T13:49:52"/>
    <x v="0"/>
    <m/>
    <m/>
    <x v="1"/>
    <n v="70803"/>
    <n v="4.1562608833745802"/>
    <d v="2016-02-16T14:10:38"/>
    <n v="7.99"/>
    <x v="1355"/>
    <n v="1"/>
    <n v="1"/>
    <n v="0"/>
    <n v="0"/>
    <n v="1"/>
    <x v="1343"/>
    <x v="1"/>
    <x v="2360"/>
    <x v="0"/>
    <n v="7"/>
    <e v="#N/A"/>
    <e v="#N/A"/>
  </r>
  <r>
    <n v="4688"/>
    <d v="2016-02-16T13:28:48"/>
    <d v="2016-02-16T13:43:50"/>
    <x v="0"/>
    <s v="Medium"/>
    <m/>
    <x v="1"/>
    <n v="70804"/>
    <n v="2.3574680801560901"/>
    <d v="2016-02-16T13:55:37"/>
    <n v="19.579999999999998"/>
    <x v="4"/>
    <n v="2"/>
    <n v="1"/>
    <n v="1.7"/>
    <n v="0"/>
    <n v="2.7"/>
    <x v="2"/>
    <x v="0"/>
    <x v="2361"/>
    <x v="1355"/>
    <n v="7"/>
    <n v="10"/>
    <e v="#N/A"/>
  </r>
  <r>
    <n v="4689"/>
    <d v="2016-02-16T14:47:19"/>
    <d v="2016-02-16T15:02:17"/>
    <x v="2"/>
    <m/>
    <m/>
    <x v="1"/>
    <n v="70803"/>
    <n v="2.5419462116852598"/>
    <d v="2016-02-16T15:14:59"/>
    <n v="11.59"/>
    <x v="74"/>
    <n v="1"/>
    <n v="1.7"/>
    <n v="0"/>
    <n v="0"/>
    <n v="1.7"/>
    <x v="65"/>
    <x v="0"/>
    <x v="2362"/>
    <x v="1356"/>
    <n v="10"/>
    <e v="#N/A"/>
    <e v="#N/A"/>
  </r>
  <r>
    <n v="4690"/>
    <d v="2016-02-16T11:29:47"/>
    <d v="2016-02-16T11:44:46"/>
    <x v="2"/>
    <m/>
    <m/>
    <x v="1"/>
    <n v="70804"/>
    <n v="3.4493479656344199"/>
    <d v="2016-02-16T12:02:00"/>
    <n v="11.59"/>
    <x v="1403"/>
    <n v="1"/>
    <n v="1.7"/>
    <n v="0"/>
    <n v="0"/>
    <n v="1.7"/>
    <x v="1391"/>
    <x v="1"/>
    <x v="2363"/>
    <x v="0"/>
    <n v="10"/>
    <e v="#N/A"/>
    <e v="#N/A"/>
  </r>
  <r>
    <n v="4691"/>
    <d v="2016-02-16T11:20:26"/>
    <d v="2016-02-16T11:35:27"/>
    <x v="0"/>
    <m/>
    <m/>
    <x v="1"/>
    <n v="70806"/>
    <n v="3.4161371630280701"/>
    <d v="2016-02-16T11:52:31"/>
    <n v="7.99"/>
    <x v="10"/>
    <n v="1"/>
    <n v="1"/>
    <n v="0"/>
    <n v="0"/>
    <n v="1"/>
    <x v="8"/>
    <x v="1"/>
    <x v="2364"/>
    <x v="0"/>
    <n v="7"/>
    <e v="#N/A"/>
    <e v="#N/A"/>
  </r>
  <r>
    <n v="4692"/>
    <d v="2016-02-16T11:40:47"/>
    <d v="2016-02-16T11:55:48"/>
    <x v="2"/>
    <m/>
    <m/>
    <x v="1"/>
    <n v="70803"/>
    <n v="2.5367509605356098"/>
    <d v="2016-02-16T12:08:29"/>
    <n v="11.59"/>
    <x v="1404"/>
    <n v="1"/>
    <n v="1.7"/>
    <n v="0"/>
    <n v="0"/>
    <n v="1.7"/>
    <x v="1392"/>
    <x v="0"/>
    <x v="2365"/>
    <x v="1357"/>
    <n v="10"/>
    <e v="#N/A"/>
    <e v="#N/A"/>
  </r>
  <r>
    <n v="4693"/>
    <d v="2016-02-16T11:48:14"/>
    <d v="2016-02-16T12:03:14"/>
    <x v="2"/>
    <m/>
    <m/>
    <x v="0"/>
    <n v="70804"/>
    <n v="0"/>
    <d v="2016-02-16T12:06:15"/>
    <n v="11.59"/>
    <x v="14"/>
    <n v="1"/>
    <n v="1.7"/>
    <n v="0"/>
    <n v="0"/>
    <n v="1.7"/>
    <x v="0"/>
    <x v="0"/>
    <x v="0"/>
    <x v="0"/>
    <n v="10"/>
    <e v="#N/A"/>
    <e v="#N/A"/>
  </r>
  <r>
    <n v="4694"/>
    <d v="2016-02-16T11:39:03"/>
    <d v="2016-02-16T11:54:03"/>
    <x v="1"/>
    <m/>
    <m/>
    <x v="0"/>
    <n v="70805"/>
    <n v="0"/>
    <d v="2016-02-16T11:57:03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4695"/>
    <d v="2016-02-16T12:53:08"/>
    <d v="2016-02-16T13:08:07"/>
    <x v="1"/>
    <m/>
    <m/>
    <x v="0"/>
    <n v="70803"/>
    <n v="0"/>
    <d v="2016-02-16T13:11:05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4696"/>
    <d v="2016-02-16T12:39:38"/>
    <d v="2016-02-16T12:54:37"/>
    <x v="0"/>
    <m/>
    <m/>
    <x v="1"/>
    <n v="70805"/>
    <n v="1.9014212146743401"/>
    <d v="2016-02-16T13:04:07"/>
    <n v="7.99"/>
    <x v="1405"/>
    <n v="1"/>
    <n v="1"/>
    <n v="0"/>
    <n v="0"/>
    <n v="1"/>
    <x v="1393"/>
    <x v="0"/>
    <x v="2366"/>
    <x v="1358"/>
    <n v="7"/>
    <e v="#N/A"/>
    <e v="#N/A"/>
  </r>
  <r>
    <n v="4697"/>
    <d v="2016-02-16T12:43:11"/>
    <d v="2016-02-16T12:58:09"/>
    <x v="0"/>
    <m/>
    <m/>
    <x v="0"/>
    <n v="70805"/>
    <n v="0"/>
    <d v="2016-02-16T13:01:10"/>
    <n v="7.99"/>
    <x v="56"/>
    <n v="1"/>
    <n v="1"/>
    <n v="0"/>
    <n v="0"/>
    <n v="1"/>
    <x v="0"/>
    <x v="0"/>
    <x v="0"/>
    <x v="0"/>
    <n v="7"/>
    <e v="#N/A"/>
    <e v="#N/A"/>
  </r>
  <r>
    <n v="4698"/>
    <d v="2016-02-16T11:20:21"/>
    <d v="2016-02-16T11:35:23"/>
    <x v="1"/>
    <m/>
    <m/>
    <x v="1"/>
    <n v="70808"/>
    <n v="2.7418599031694999"/>
    <d v="2016-02-16T11:49:05"/>
    <n v="15.35"/>
    <x v="1406"/>
    <n v="1"/>
    <n v="2.2999999999999998"/>
    <n v="0"/>
    <n v="0"/>
    <n v="2.2999999999999998"/>
    <x v="1394"/>
    <x v="0"/>
    <x v="2367"/>
    <x v="1359"/>
    <n v="14"/>
    <e v="#N/A"/>
    <e v="#N/A"/>
  </r>
  <r>
    <n v="4699"/>
    <d v="2016-02-16T12:16:34"/>
    <d v="2016-02-16T12:31:35"/>
    <x v="0"/>
    <s v="Medium"/>
    <m/>
    <x v="0"/>
    <n v="70804"/>
    <n v="0"/>
    <d v="2016-02-16T12:34:34"/>
    <n v="19.579999999999998"/>
    <x v="1"/>
    <n v="2"/>
    <n v="1"/>
    <n v="1.7"/>
    <n v="0"/>
    <n v="2.7"/>
    <x v="0"/>
    <x v="0"/>
    <x v="0"/>
    <x v="0"/>
    <n v="7"/>
    <n v="10"/>
    <e v="#N/A"/>
  </r>
  <r>
    <n v="4700"/>
    <d v="2016-02-16T13:14:30"/>
    <d v="2016-02-16T13:29:30"/>
    <x v="0"/>
    <m/>
    <m/>
    <x v="1"/>
    <n v="70804"/>
    <n v="2.20897063464002"/>
    <d v="2016-02-16T13:40:32"/>
    <n v="7.99"/>
    <x v="1216"/>
    <n v="1"/>
    <n v="1"/>
    <n v="0"/>
    <n v="0"/>
    <n v="1"/>
    <x v="1204"/>
    <x v="0"/>
    <x v="2368"/>
    <x v="1360"/>
    <n v="7"/>
    <e v="#N/A"/>
    <e v="#N/A"/>
  </r>
  <r>
    <n v="4701"/>
    <d v="2016-02-16T13:09:27"/>
    <d v="2016-02-16T13:24:28"/>
    <x v="0"/>
    <m/>
    <m/>
    <x v="1"/>
    <n v="70805"/>
    <n v="1.19233905851024"/>
    <d v="2016-02-16T13:30:25"/>
    <n v="7.99"/>
    <x v="1407"/>
    <n v="1"/>
    <n v="1"/>
    <n v="0"/>
    <n v="0"/>
    <n v="1"/>
    <x v="1395"/>
    <x v="0"/>
    <x v="2369"/>
    <x v="1361"/>
    <n v="7"/>
    <e v="#N/A"/>
    <e v="#N/A"/>
  </r>
  <r>
    <n v="4702"/>
    <d v="2016-02-16T11:37:27"/>
    <d v="2016-02-16T11:52:26"/>
    <x v="1"/>
    <m/>
    <m/>
    <x v="1"/>
    <n v="70805"/>
    <n v="4.8758718479359899"/>
    <d v="2016-02-16T12:16:48"/>
    <n v="15.35"/>
    <x v="1408"/>
    <n v="1"/>
    <n v="2.2999999999999998"/>
    <n v="0"/>
    <n v="0"/>
    <n v="2.2999999999999998"/>
    <x v="1396"/>
    <x v="1"/>
    <x v="2370"/>
    <x v="0"/>
    <n v="14"/>
    <e v="#N/A"/>
    <e v="#N/A"/>
  </r>
  <r>
    <n v="4703"/>
    <d v="2016-02-16T11:19:19"/>
    <d v="2016-02-16T11:34:19"/>
    <x v="2"/>
    <m/>
    <m/>
    <x v="0"/>
    <n v="70803"/>
    <n v="0"/>
    <d v="2016-02-16T11:37:20"/>
    <n v="11.59"/>
    <x v="14"/>
    <n v="1"/>
    <n v="1.7"/>
    <n v="0"/>
    <n v="0"/>
    <n v="1.7"/>
    <x v="0"/>
    <x v="0"/>
    <x v="0"/>
    <x v="0"/>
    <n v="10"/>
    <e v="#N/A"/>
    <e v="#N/A"/>
  </r>
  <r>
    <n v="4704"/>
    <d v="2016-02-16T12:34:14"/>
    <d v="2016-02-16T12:49:14"/>
    <x v="0"/>
    <s v="Large"/>
    <m/>
    <x v="0"/>
    <n v="70805"/>
    <n v="0"/>
    <d v="2016-02-16T12:52:13"/>
    <n v="23.34"/>
    <x v="24"/>
    <n v="2"/>
    <n v="1"/>
    <n v="2.2999999999999998"/>
    <n v="0"/>
    <n v="3.3"/>
    <x v="0"/>
    <x v="0"/>
    <x v="0"/>
    <x v="0"/>
    <n v="7"/>
    <n v="14"/>
    <e v="#N/A"/>
  </r>
  <r>
    <n v="4705"/>
    <d v="2016-02-16T11:25:03"/>
    <d v="2016-02-16T11:40:02"/>
    <x v="2"/>
    <m/>
    <m/>
    <x v="1"/>
    <n v="70804"/>
    <n v="1.0669076428164499"/>
    <d v="2016-02-16T11:45:22"/>
    <n v="11.59"/>
    <x v="1409"/>
    <n v="1"/>
    <n v="1.7"/>
    <n v="0"/>
    <n v="0"/>
    <n v="1.7"/>
    <x v="1397"/>
    <x v="0"/>
    <x v="2371"/>
    <x v="1362"/>
    <n v="10"/>
    <e v="#N/A"/>
    <e v="#N/A"/>
  </r>
  <r>
    <n v="4706"/>
    <d v="2016-02-16T10:14:06"/>
    <d v="2016-02-16T10:29:08"/>
    <x v="2"/>
    <m/>
    <m/>
    <x v="0"/>
    <n v="70805"/>
    <n v="0"/>
    <d v="2016-02-16T10:32:08"/>
    <n v="11.59"/>
    <x v="2"/>
    <n v="1"/>
    <n v="1.7"/>
    <n v="0"/>
    <n v="0"/>
    <n v="1.7"/>
    <x v="0"/>
    <x v="0"/>
    <x v="0"/>
    <x v="0"/>
    <n v="10"/>
    <e v="#N/A"/>
    <e v="#N/A"/>
  </r>
  <r>
    <n v="4707"/>
    <d v="2016-02-16T11:35:07"/>
    <d v="2016-02-16T11:50:08"/>
    <x v="0"/>
    <m/>
    <m/>
    <x v="0"/>
    <n v="70805"/>
    <n v="0"/>
    <d v="2016-02-16T11:53:05"/>
    <n v="7.99"/>
    <x v="102"/>
    <n v="1"/>
    <n v="1"/>
    <n v="0"/>
    <n v="0"/>
    <n v="1"/>
    <x v="0"/>
    <x v="0"/>
    <x v="0"/>
    <x v="0"/>
    <n v="7"/>
    <e v="#N/A"/>
    <e v="#N/A"/>
  </r>
  <r>
    <n v="4708"/>
    <d v="2016-02-16T13:23:09"/>
    <d v="2016-02-16T13:38:07"/>
    <x v="1"/>
    <m/>
    <m/>
    <x v="0"/>
    <n v="70805"/>
    <n v="0"/>
    <d v="2016-02-16T13:41:07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4709"/>
    <d v="2016-02-16T12:39:10"/>
    <d v="2016-02-16T12:54:10"/>
    <x v="0"/>
    <s v="Medium"/>
    <m/>
    <x v="0"/>
    <n v="70803"/>
    <n v="0"/>
    <d v="2016-02-16T12:57:10"/>
    <n v="19.579999999999998"/>
    <x v="63"/>
    <n v="2"/>
    <n v="1"/>
    <n v="1.7"/>
    <n v="0"/>
    <n v="2.7"/>
    <x v="0"/>
    <x v="0"/>
    <x v="0"/>
    <x v="0"/>
    <n v="7"/>
    <n v="10"/>
    <e v="#N/A"/>
  </r>
  <r>
    <n v="4710"/>
    <d v="2016-02-16T12:50:32"/>
    <d v="2016-02-16T13:05:33"/>
    <x v="0"/>
    <s v="Medium"/>
    <m/>
    <x v="1"/>
    <n v="70805"/>
    <n v="2.2760842425866401"/>
    <d v="2016-02-16T13:16:55"/>
    <n v="19.579999999999998"/>
    <x v="980"/>
    <n v="2"/>
    <n v="1"/>
    <n v="1.7"/>
    <n v="0"/>
    <n v="2.7"/>
    <x v="967"/>
    <x v="0"/>
    <x v="2372"/>
    <x v="1363"/>
    <n v="7"/>
    <n v="10"/>
    <e v="#N/A"/>
  </r>
  <r>
    <n v="4711"/>
    <d v="2016-02-16T11:26:14"/>
    <d v="2016-02-16T11:41:13"/>
    <x v="0"/>
    <m/>
    <m/>
    <x v="0"/>
    <n v="70805"/>
    <n v="0"/>
    <d v="2016-02-16T11:44:12"/>
    <n v="7.99"/>
    <x v="1"/>
    <n v="1"/>
    <n v="1"/>
    <n v="0"/>
    <n v="0"/>
    <n v="1"/>
    <x v="0"/>
    <x v="0"/>
    <x v="0"/>
    <x v="0"/>
    <n v="7"/>
    <e v="#N/A"/>
    <e v="#N/A"/>
  </r>
  <r>
    <n v="4712"/>
    <d v="2016-02-16T11:49:59"/>
    <d v="2016-02-16T12:04:59"/>
    <x v="0"/>
    <m/>
    <m/>
    <x v="0"/>
    <n v="70806"/>
    <n v="0"/>
    <d v="2016-02-16T12:07:58"/>
    <n v="7.99"/>
    <x v="24"/>
    <n v="1"/>
    <n v="1"/>
    <n v="0"/>
    <n v="0"/>
    <n v="1"/>
    <x v="0"/>
    <x v="0"/>
    <x v="0"/>
    <x v="0"/>
    <n v="7"/>
    <e v="#N/A"/>
    <e v="#N/A"/>
  </r>
  <r>
    <n v="4713"/>
    <d v="2016-02-16T11:38:33"/>
    <d v="2016-02-16T11:53:33"/>
    <x v="1"/>
    <m/>
    <m/>
    <x v="0"/>
    <n v="70804"/>
    <n v="0"/>
    <d v="2016-02-16T11:56:33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4714"/>
    <d v="2016-02-16T12:11:25"/>
    <d v="2016-02-16T12:26:24"/>
    <x v="1"/>
    <m/>
    <m/>
    <x v="1"/>
    <n v="70804"/>
    <n v="1.47205281053601"/>
    <d v="2016-02-16T12:33:45"/>
    <n v="15.35"/>
    <x v="478"/>
    <n v="1"/>
    <n v="2.2999999999999998"/>
    <n v="0"/>
    <n v="0"/>
    <n v="2.2999999999999998"/>
    <x v="465"/>
    <x v="0"/>
    <x v="2373"/>
    <x v="1364"/>
    <n v="14"/>
    <e v="#N/A"/>
    <e v="#N/A"/>
  </r>
  <r>
    <n v="4715"/>
    <d v="2016-02-16T11:07:26"/>
    <d v="2016-02-16T11:22:25"/>
    <x v="2"/>
    <m/>
    <m/>
    <x v="0"/>
    <n v="70804"/>
    <n v="0"/>
    <d v="2016-02-16T11:25:24"/>
    <n v="11.59"/>
    <x v="24"/>
    <n v="1"/>
    <n v="1.7"/>
    <n v="0"/>
    <n v="0"/>
    <n v="1.7"/>
    <x v="0"/>
    <x v="0"/>
    <x v="0"/>
    <x v="0"/>
    <n v="10"/>
    <e v="#N/A"/>
    <e v="#N/A"/>
  </r>
  <r>
    <n v="4716"/>
    <d v="2016-02-16T11:24:30"/>
    <d v="2016-02-16T11:39:30"/>
    <x v="2"/>
    <m/>
    <m/>
    <x v="1"/>
    <n v="70804"/>
    <n v="2.8206250655465599"/>
    <d v="2016-02-16T11:53:36"/>
    <n v="11.59"/>
    <x v="964"/>
    <n v="1"/>
    <n v="1.7"/>
    <n v="0"/>
    <n v="0"/>
    <n v="1.7"/>
    <x v="951"/>
    <x v="0"/>
    <x v="2374"/>
    <x v="1365"/>
    <n v="10"/>
    <e v="#N/A"/>
    <e v="#N/A"/>
  </r>
  <r>
    <n v="4717"/>
    <d v="2016-02-16T12:25:44"/>
    <d v="2016-02-16T12:40:43"/>
    <x v="0"/>
    <s v="Medium"/>
    <m/>
    <x v="0"/>
    <n v="70804"/>
    <n v="0"/>
    <d v="2016-02-16T12:43:42"/>
    <n v="19.579999999999998"/>
    <x v="24"/>
    <n v="2"/>
    <n v="1"/>
    <n v="1.7"/>
    <n v="0"/>
    <n v="2.7"/>
    <x v="0"/>
    <x v="0"/>
    <x v="0"/>
    <x v="0"/>
    <n v="7"/>
    <n v="10"/>
    <e v="#N/A"/>
  </r>
  <r>
    <n v="4718"/>
    <d v="2016-02-16T11:18:04"/>
    <d v="2016-02-16T11:33:04"/>
    <x v="1"/>
    <m/>
    <m/>
    <x v="0"/>
    <n v="70803"/>
    <n v="0"/>
    <d v="2016-02-16T11:36:03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4719"/>
    <d v="2016-02-16T12:16:35"/>
    <d v="2016-02-16T12:31:33"/>
    <x v="1"/>
    <m/>
    <m/>
    <x v="1"/>
    <n v="70807"/>
    <n v="2.8568834700854802"/>
    <d v="2016-02-16T12:45:50"/>
    <n v="15.35"/>
    <x v="162"/>
    <n v="1"/>
    <n v="2.2999999999999998"/>
    <n v="0"/>
    <n v="0"/>
    <n v="2.2999999999999998"/>
    <x v="152"/>
    <x v="0"/>
    <x v="2375"/>
    <x v="1366"/>
    <n v="14"/>
    <e v="#N/A"/>
    <e v="#N/A"/>
  </r>
  <r>
    <n v="4720"/>
    <d v="2016-02-16T11:19:01"/>
    <d v="2016-02-16T11:34:01"/>
    <x v="0"/>
    <m/>
    <m/>
    <x v="1"/>
    <n v="70805"/>
    <n v="3.78155982342729"/>
    <d v="2016-02-16T11:52:55"/>
    <n v="7.99"/>
    <x v="1410"/>
    <n v="1"/>
    <n v="1"/>
    <n v="0"/>
    <n v="0"/>
    <n v="1"/>
    <x v="1398"/>
    <x v="1"/>
    <x v="2376"/>
    <x v="0"/>
    <n v="7"/>
    <e v="#N/A"/>
    <e v="#N/A"/>
  </r>
  <r>
    <n v="4721"/>
    <d v="2016-02-16T13:46:25"/>
    <d v="2016-02-16T14:01:25"/>
    <x v="2"/>
    <m/>
    <m/>
    <x v="0"/>
    <n v="70806"/>
    <n v="0"/>
    <d v="2016-02-16T14:04:24"/>
    <n v="11.59"/>
    <x v="24"/>
    <n v="1"/>
    <n v="1.7"/>
    <n v="0"/>
    <n v="0"/>
    <n v="1.7"/>
    <x v="0"/>
    <x v="0"/>
    <x v="0"/>
    <x v="0"/>
    <n v="10"/>
    <e v="#N/A"/>
    <e v="#N/A"/>
  </r>
  <r>
    <n v="4722"/>
    <d v="2016-02-16T11:39:48"/>
    <d v="2016-02-16T11:54:47"/>
    <x v="0"/>
    <s v="Large"/>
    <m/>
    <x v="1"/>
    <n v="70807"/>
    <n v="3.3715958972028099"/>
    <d v="2016-02-16T12:11:38"/>
    <n v="23.34"/>
    <x v="514"/>
    <n v="2"/>
    <n v="1"/>
    <n v="2.2999999999999998"/>
    <n v="0"/>
    <n v="3.3"/>
    <x v="501"/>
    <x v="1"/>
    <x v="2377"/>
    <x v="0"/>
    <n v="7"/>
    <n v="14"/>
    <e v="#N/A"/>
  </r>
  <r>
    <n v="4723"/>
    <d v="2016-02-16T13:54:12"/>
    <d v="2016-02-16T14:09:13"/>
    <x v="0"/>
    <m/>
    <m/>
    <x v="0"/>
    <n v="70806"/>
    <n v="0"/>
    <d v="2016-02-16T14:12:13"/>
    <n v="7.99"/>
    <x v="2"/>
    <n v="1"/>
    <n v="1"/>
    <n v="0"/>
    <n v="0"/>
    <n v="1"/>
    <x v="0"/>
    <x v="0"/>
    <x v="0"/>
    <x v="0"/>
    <n v="7"/>
    <e v="#N/A"/>
    <e v="#N/A"/>
  </r>
  <r>
    <n v="4724"/>
    <d v="2016-02-16T13:43:06"/>
    <d v="2016-02-16T13:58:05"/>
    <x v="2"/>
    <m/>
    <m/>
    <x v="0"/>
    <n v="70807"/>
    <n v="0"/>
    <d v="2016-02-16T14:01:04"/>
    <n v="11.59"/>
    <x v="1"/>
    <n v="1"/>
    <n v="1.7"/>
    <n v="0"/>
    <n v="0"/>
    <n v="1.7"/>
    <x v="0"/>
    <x v="0"/>
    <x v="0"/>
    <x v="0"/>
    <n v="10"/>
    <e v="#N/A"/>
    <e v="#N/A"/>
  </r>
  <r>
    <n v="4725"/>
    <d v="2016-02-16T12:34:26"/>
    <d v="2016-02-16T12:49:26"/>
    <x v="0"/>
    <m/>
    <m/>
    <x v="0"/>
    <n v="70806"/>
    <n v="0"/>
    <d v="2016-02-16T12:52:26"/>
    <n v="7.99"/>
    <x v="2"/>
    <n v="1"/>
    <n v="1"/>
    <n v="0"/>
    <n v="0"/>
    <n v="1"/>
    <x v="0"/>
    <x v="0"/>
    <x v="0"/>
    <x v="0"/>
    <n v="7"/>
    <e v="#N/A"/>
    <e v="#N/A"/>
  </r>
  <r>
    <n v="4726"/>
    <d v="2016-02-16T12:20:41"/>
    <d v="2016-02-16T12:35:39"/>
    <x v="2"/>
    <m/>
    <m/>
    <x v="0"/>
    <n v="70805"/>
    <n v="0"/>
    <d v="2016-02-16T12:38:38"/>
    <n v="11.59"/>
    <x v="24"/>
    <n v="1"/>
    <n v="1.7"/>
    <n v="0"/>
    <n v="0"/>
    <n v="1.7"/>
    <x v="0"/>
    <x v="0"/>
    <x v="0"/>
    <x v="0"/>
    <n v="10"/>
    <e v="#N/A"/>
    <e v="#N/A"/>
  </r>
  <r>
    <n v="4727"/>
    <d v="2016-02-16T12:34:51"/>
    <d v="2016-02-16T12:49:49"/>
    <x v="0"/>
    <s v="Large"/>
    <m/>
    <x v="1"/>
    <n v="70803"/>
    <n v="0.80315729924528301"/>
    <d v="2016-02-16T12:53:49"/>
    <n v="23.34"/>
    <x v="1384"/>
    <n v="2"/>
    <n v="1"/>
    <n v="2.2999999999999998"/>
    <n v="0"/>
    <n v="3.3"/>
    <x v="1372"/>
    <x v="0"/>
    <x v="2378"/>
    <x v="1367"/>
    <n v="7"/>
    <n v="14"/>
    <e v="#N/A"/>
  </r>
  <r>
    <n v="4728"/>
    <d v="2016-02-17T11:42:37"/>
    <d v="2016-02-17T11:57:35"/>
    <x v="0"/>
    <s v="Medium"/>
    <m/>
    <x v="0"/>
    <n v="70805"/>
    <n v="0"/>
    <d v="2016-02-17T12:00:35"/>
    <n v="19.579999999999998"/>
    <x v="2"/>
    <n v="2"/>
    <n v="1"/>
    <n v="1.7"/>
    <n v="0"/>
    <n v="2.7"/>
    <x v="0"/>
    <x v="0"/>
    <x v="0"/>
    <x v="0"/>
    <n v="7"/>
    <n v="10"/>
    <e v="#N/A"/>
  </r>
  <r>
    <n v="4729"/>
    <d v="2016-02-17T11:25:38"/>
    <d v="2016-02-17T11:40:36"/>
    <x v="0"/>
    <s v="Medium"/>
    <m/>
    <x v="1"/>
    <n v="70806"/>
    <n v="2.8064319874758601"/>
    <d v="2016-02-17T11:54:37"/>
    <n v="19.579999999999998"/>
    <x v="1393"/>
    <n v="2"/>
    <n v="1"/>
    <n v="1.7"/>
    <n v="0"/>
    <n v="2.7"/>
    <x v="1381"/>
    <x v="0"/>
    <x v="2379"/>
    <x v="1368"/>
    <n v="7"/>
    <n v="10"/>
    <e v="#N/A"/>
  </r>
  <r>
    <n v="4730"/>
    <d v="2016-02-17T13:46:35"/>
    <d v="2016-02-17T14:01:34"/>
    <x v="2"/>
    <m/>
    <m/>
    <x v="0"/>
    <n v="70804"/>
    <n v="0"/>
    <d v="2016-02-17T14:04:35"/>
    <n v="11.59"/>
    <x v="56"/>
    <n v="1"/>
    <n v="1.7"/>
    <n v="0"/>
    <n v="0"/>
    <n v="1.7"/>
    <x v="0"/>
    <x v="0"/>
    <x v="0"/>
    <x v="0"/>
    <n v="10"/>
    <e v="#N/A"/>
    <e v="#N/A"/>
  </r>
  <r>
    <n v="4731"/>
    <d v="2016-02-17T11:04:48"/>
    <d v="2016-02-17T11:19:47"/>
    <x v="0"/>
    <s v="Medium"/>
    <m/>
    <x v="1"/>
    <n v="70803"/>
    <n v="4.15945175486456"/>
    <d v="2016-02-17T11:40:34"/>
    <n v="19.579999999999998"/>
    <x v="997"/>
    <n v="2"/>
    <n v="1"/>
    <n v="1.7"/>
    <n v="0"/>
    <n v="2.7"/>
    <x v="984"/>
    <x v="1"/>
    <x v="2380"/>
    <x v="0"/>
    <n v="7"/>
    <n v="10"/>
    <e v="#N/A"/>
  </r>
  <r>
    <n v="4732"/>
    <d v="2016-02-17T11:40:12"/>
    <d v="2016-02-17T11:55:10"/>
    <x v="1"/>
    <m/>
    <m/>
    <x v="1"/>
    <n v="70804"/>
    <n v="4.2960515032103697"/>
    <d v="2016-02-17T12:16:38"/>
    <n v="15.35"/>
    <x v="105"/>
    <n v="1"/>
    <n v="2.2999999999999998"/>
    <n v="0"/>
    <n v="0"/>
    <n v="2.2999999999999998"/>
    <x v="95"/>
    <x v="1"/>
    <x v="2381"/>
    <x v="0"/>
    <n v="14"/>
    <e v="#N/A"/>
    <e v="#N/A"/>
  </r>
  <r>
    <n v="4733"/>
    <d v="2016-02-17T12:11:32"/>
    <d v="2016-02-17T12:26:30"/>
    <x v="1"/>
    <m/>
    <m/>
    <x v="0"/>
    <n v="70805"/>
    <n v="0"/>
    <d v="2016-02-17T12:29:30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4734"/>
    <d v="2016-02-17T13:11:33"/>
    <d v="2016-02-17T13:26:35"/>
    <x v="0"/>
    <s v="Medium"/>
    <m/>
    <x v="0"/>
    <n v="70805"/>
    <n v="0"/>
    <d v="2016-02-17T13:29:33"/>
    <n v="19.579999999999998"/>
    <x v="0"/>
    <n v="2"/>
    <n v="1"/>
    <n v="1.7"/>
    <n v="0"/>
    <n v="2.7"/>
    <x v="0"/>
    <x v="0"/>
    <x v="0"/>
    <x v="0"/>
    <n v="7"/>
    <n v="10"/>
    <e v="#N/A"/>
  </r>
  <r>
    <n v="4735"/>
    <d v="2016-02-17T11:13:54"/>
    <d v="2016-02-17T11:28:55"/>
    <x v="0"/>
    <s v="Medium"/>
    <m/>
    <x v="1"/>
    <n v="70803"/>
    <n v="2.2674649221231502"/>
    <d v="2016-02-17T11:40:15"/>
    <n v="19.579999999999998"/>
    <x v="1411"/>
    <n v="2"/>
    <n v="1"/>
    <n v="1.7"/>
    <n v="0"/>
    <n v="2.7"/>
    <x v="1399"/>
    <x v="0"/>
    <x v="2382"/>
    <x v="1369"/>
    <n v="7"/>
    <n v="10"/>
    <e v="#N/A"/>
  </r>
  <r>
    <n v="4736"/>
    <d v="2016-02-17T12:24:40"/>
    <d v="2016-02-17T12:39:39"/>
    <x v="0"/>
    <s v="Medium"/>
    <m/>
    <x v="0"/>
    <n v="70804"/>
    <n v="0"/>
    <d v="2016-02-17T12:42:37"/>
    <n v="19.579999999999998"/>
    <x v="0"/>
    <n v="2"/>
    <n v="1"/>
    <n v="1.7"/>
    <n v="0"/>
    <n v="2.7"/>
    <x v="0"/>
    <x v="0"/>
    <x v="0"/>
    <x v="0"/>
    <n v="7"/>
    <n v="10"/>
    <e v="#N/A"/>
  </r>
  <r>
    <n v="4737"/>
    <d v="2016-02-17T12:24:15"/>
    <d v="2016-02-17T12:39:16"/>
    <x v="2"/>
    <m/>
    <m/>
    <x v="0"/>
    <n v="70806"/>
    <n v="0"/>
    <d v="2016-02-17T12:42:14"/>
    <n v="11.59"/>
    <x v="0"/>
    <n v="1"/>
    <n v="1.7"/>
    <n v="0"/>
    <n v="0"/>
    <n v="1.7"/>
    <x v="0"/>
    <x v="0"/>
    <x v="0"/>
    <x v="0"/>
    <n v="10"/>
    <e v="#N/A"/>
    <e v="#N/A"/>
  </r>
  <r>
    <n v="4738"/>
    <d v="2016-02-17T12:57:42"/>
    <d v="2016-02-17T13:12:42"/>
    <x v="0"/>
    <s v="Large"/>
    <m/>
    <x v="1"/>
    <n v="70805"/>
    <n v="2.99183110677202"/>
    <d v="2016-02-17T13:27:39"/>
    <n v="23.34"/>
    <x v="53"/>
    <n v="2"/>
    <n v="1"/>
    <n v="2.2999999999999998"/>
    <n v="0"/>
    <n v="3.3"/>
    <x v="47"/>
    <x v="0"/>
    <x v="2383"/>
    <x v="1370"/>
    <n v="7"/>
    <n v="14"/>
    <e v="#N/A"/>
  </r>
  <r>
    <n v="4739"/>
    <d v="2016-02-17T10:45:30"/>
    <d v="2016-02-17T11:00:28"/>
    <x v="1"/>
    <m/>
    <m/>
    <x v="1"/>
    <n v="70804"/>
    <n v="3.3316867500188199"/>
    <d v="2016-02-17T11:17:07"/>
    <n v="15.35"/>
    <x v="1412"/>
    <n v="1"/>
    <n v="2.2999999999999998"/>
    <n v="0"/>
    <n v="0"/>
    <n v="2.2999999999999998"/>
    <x v="1400"/>
    <x v="1"/>
    <x v="2384"/>
    <x v="0"/>
    <n v="14"/>
    <e v="#N/A"/>
    <e v="#N/A"/>
  </r>
  <r>
    <n v="4740"/>
    <d v="2016-02-17T11:58:19"/>
    <d v="2016-02-17T12:13:18"/>
    <x v="2"/>
    <m/>
    <m/>
    <x v="1"/>
    <n v="70806"/>
    <n v="4.34478558952594"/>
    <d v="2016-02-17T12:35:01"/>
    <n v="11.59"/>
    <x v="188"/>
    <n v="1"/>
    <n v="1.7"/>
    <n v="0"/>
    <n v="0"/>
    <n v="1.7"/>
    <x v="176"/>
    <x v="1"/>
    <x v="2385"/>
    <x v="0"/>
    <n v="10"/>
    <e v="#N/A"/>
    <e v="#N/A"/>
  </r>
  <r>
    <n v="4741"/>
    <d v="2016-02-17T11:33:30"/>
    <d v="2016-02-17T11:48:29"/>
    <x v="0"/>
    <m/>
    <m/>
    <x v="0"/>
    <n v="70803"/>
    <n v="0"/>
    <d v="2016-02-17T11:51:27"/>
    <n v="7.99"/>
    <x v="0"/>
    <n v="1"/>
    <n v="1"/>
    <n v="0"/>
    <n v="0"/>
    <n v="1"/>
    <x v="0"/>
    <x v="0"/>
    <x v="0"/>
    <x v="0"/>
    <n v="7"/>
    <e v="#N/A"/>
    <e v="#N/A"/>
  </r>
  <r>
    <n v="4742"/>
    <d v="2016-02-17T13:22:24"/>
    <d v="2016-02-17T13:37:22"/>
    <x v="2"/>
    <m/>
    <m/>
    <x v="0"/>
    <n v="70804"/>
    <n v="0"/>
    <d v="2016-02-17T13:40:22"/>
    <n v="11.59"/>
    <x v="2"/>
    <n v="1"/>
    <n v="1.7"/>
    <n v="0"/>
    <n v="0"/>
    <n v="1.7"/>
    <x v="0"/>
    <x v="0"/>
    <x v="0"/>
    <x v="0"/>
    <n v="10"/>
    <e v="#N/A"/>
    <e v="#N/A"/>
  </r>
  <r>
    <n v="4743"/>
    <d v="2016-02-17T12:14:21"/>
    <d v="2016-02-17T12:29:20"/>
    <x v="0"/>
    <s v="Large"/>
    <m/>
    <x v="1"/>
    <n v="70805"/>
    <n v="5.2248088142314204"/>
    <d v="2016-02-17T12:55:27"/>
    <n v="23.34"/>
    <x v="734"/>
    <n v="2"/>
    <n v="1"/>
    <n v="2.2999999999999998"/>
    <n v="0"/>
    <n v="3.3"/>
    <x v="721"/>
    <x v="1"/>
    <x v="2386"/>
    <x v="0"/>
    <n v="7"/>
    <n v="14"/>
    <e v="#N/A"/>
  </r>
  <r>
    <n v="4744"/>
    <d v="2016-02-17T10:27:17"/>
    <d v="2016-02-17T10:42:17"/>
    <x v="0"/>
    <m/>
    <m/>
    <x v="1"/>
    <n v="70803"/>
    <n v="3.8691076043326"/>
    <d v="2016-02-17T11:01:37"/>
    <n v="7.99"/>
    <x v="1413"/>
    <n v="1"/>
    <n v="1"/>
    <n v="0"/>
    <n v="0"/>
    <n v="1"/>
    <x v="1401"/>
    <x v="1"/>
    <x v="2387"/>
    <x v="0"/>
    <n v="7"/>
    <e v="#N/A"/>
    <e v="#N/A"/>
  </r>
  <r>
    <n v="4745"/>
    <d v="2016-02-17T10:07:28"/>
    <d v="2016-02-17T10:22:28"/>
    <x v="2"/>
    <m/>
    <m/>
    <x v="0"/>
    <n v="70805"/>
    <n v="0"/>
    <d v="2016-02-17T10:25:27"/>
    <n v="11.59"/>
    <x v="1"/>
    <n v="1"/>
    <n v="1.7"/>
    <n v="0"/>
    <n v="0"/>
    <n v="1.7"/>
    <x v="0"/>
    <x v="0"/>
    <x v="0"/>
    <x v="0"/>
    <n v="10"/>
    <e v="#N/A"/>
    <e v="#N/A"/>
  </r>
  <r>
    <n v="4746"/>
    <d v="2016-02-17T12:03:09"/>
    <d v="2016-02-17T12:18:10"/>
    <x v="0"/>
    <s v="Medium"/>
    <m/>
    <x v="0"/>
    <n v="70805"/>
    <n v="0"/>
    <d v="2016-02-17T12:21:10"/>
    <n v="19.579999999999998"/>
    <x v="2"/>
    <n v="2"/>
    <n v="1"/>
    <n v="1.7"/>
    <n v="0"/>
    <n v="2.7"/>
    <x v="0"/>
    <x v="0"/>
    <x v="0"/>
    <x v="0"/>
    <n v="7"/>
    <n v="10"/>
    <e v="#N/A"/>
  </r>
  <r>
    <n v="4747"/>
    <d v="2016-02-17T12:13:39"/>
    <d v="2016-02-17T12:28:39"/>
    <x v="0"/>
    <s v="Large"/>
    <m/>
    <x v="0"/>
    <n v="70806"/>
    <n v="0"/>
    <d v="2016-02-17T12:31:37"/>
    <n v="23.34"/>
    <x v="0"/>
    <n v="2"/>
    <n v="1"/>
    <n v="2.2999999999999998"/>
    <n v="0"/>
    <n v="3.3"/>
    <x v="0"/>
    <x v="0"/>
    <x v="0"/>
    <x v="0"/>
    <n v="7"/>
    <n v="14"/>
    <e v="#N/A"/>
  </r>
  <r>
    <n v="4748"/>
    <d v="2016-02-17T12:49:38"/>
    <d v="2016-02-17T13:04:37"/>
    <x v="0"/>
    <m/>
    <m/>
    <x v="0"/>
    <n v="70803"/>
    <n v="0"/>
    <d v="2016-02-17T13:07:38"/>
    <n v="7.99"/>
    <x v="14"/>
    <n v="1"/>
    <n v="1"/>
    <n v="0"/>
    <n v="0"/>
    <n v="1"/>
    <x v="0"/>
    <x v="0"/>
    <x v="0"/>
    <x v="0"/>
    <n v="7"/>
    <e v="#N/A"/>
    <e v="#N/A"/>
  </r>
  <r>
    <n v="4749"/>
    <d v="2016-02-17T11:28:59"/>
    <d v="2016-02-17T11:43:58"/>
    <x v="0"/>
    <s v="Medium"/>
    <m/>
    <x v="0"/>
    <n v="70804"/>
    <n v="0"/>
    <d v="2016-02-17T11:46:57"/>
    <n v="19.579999999999998"/>
    <x v="24"/>
    <n v="2"/>
    <n v="1"/>
    <n v="1.7"/>
    <n v="0"/>
    <n v="2.7"/>
    <x v="0"/>
    <x v="0"/>
    <x v="0"/>
    <x v="0"/>
    <n v="7"/>
    <n v="10"/>
    <e v="#N/A"/>
  </r>
  <r>
    <n v="4750"/>
    <d v="2016-02-17T11:54:29"/>
    <d v="2016-02-17T12:09:30"/>
    <x v="1"/>
    <m/>
    <m/>
    <x v="1"/>
    <n v="70803"/>
    <n v="2.9581771320749599"/>
    <d v="2016-02-17T12:24:17"/>
    <n v="15.35"/>
    <x v="752"/>
    <n v="1"/>
    <n v="2.2999999999999998"/>
    <n v="0"/>
    <n v="0"/>
    <n v="2.2999999999999998"/>
    <x v="739"/>
    <x v="0"/>
    <x v="2388"/>
    <x v="1371"/>
    <n v="14"/>
    <e v="#N/A"/>
    <e v="#N/A"/>
  </r>
  <r>
    <n v="4751"/>
    <d v="2016-02-17T13:39:46"/>
    <d v="2016-02-17T13:54:46"/>
    <x v="2"/>
    <m/>
    <m/>
    <x v="1"/>
    <n v="70805"/>
    <n v="1.3356291125012301"/>
    <d v="2016-02-17T14:01:26"/>
    <n v="11.59"/>
    <x v="1414"/>
    <n v="1"/>
    <n v="1.7"/>
    <n v="0"/>
    <n v="0"/>
    <n v="1.7"/>
    <x v="1402"/>
    <x v="0"/>
    <x v="2389"/>
    <x v="1372"/>
    <n v="10"/>
    <e v="#N/A"/>
    <e v="#N/A"/>
  </r>
  <r>
    <n v="4752"/>
    <d v="2016-02-17T11:42:59"/>
    <d v="2016-02-17T11:57:58"/>
    <x v="1"/>
    <m/>
    <m/>
    <x v="0"/>
    <n v="70807"/>
    <n v="0"/>
    <d v="2016-02-17T12:00:58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4753"/>
    <d v="2016-02-17T12:18:13"/>
    <d v="2016-02-17T12:33:12"/>
    <x v="0"/>
    <m/>
    <m/>
    <x v="0"/>
    <n v="70806"/>
    <n v="0"/>
    <d v="2016-02-17T12:36:10"/>
    <n v="7.99"/>
    <x v="0"/>
    <n v="1"/>
    <n v="1"/>
    <n v="0"/>
    <n v="0"/>
    <n v="1"/>
    <x v="0"/>
    <x v="0"/>
    <x v="0"/>
    <x v="0"/>
    <n v="7"/>
    <e v="#N/A"/>
    <e v="#N/A"/>
  </r>
  <r>
    <n v="4754"/>
    <d v="2016-02-17T11:38:03"/>
    <d v="2016-02-17T11:53:02"/>
    <x v="0"/>
    <m/>
    <m/>
    <x v="1"/>
    <n v="70804"/>
    <n v="4.8427838571149904"/>
    <d v="2016-02-17T12:17:14"/>
    <n v="7.99"/>
    <x v="1415"/>
    <n v="1"/>
    <n v="1"/>
    <n v="0"/>
    <n v="0"/>
    <n v="1"/>
    <x v="1403"/>
    <x v="1"/>
    <x v="2390"/>
    <x v="0"/>
    <n v="7"/>
    <e v="#N/A"/>
    <e v="#N/A"/>
  </r>
  <r>
    <n v="4755"/>
    <d v="2016-02-17T10:02:47"/>
    <d v="2016-02-17T10:17:47"/>
    <x v="0"/>
    <s v="Medium"/>
    <m/>
    <x v="0"/>
    <n v="70804"/>
    <n v="0"/>
    <d v="2016-02-17T10:20:46"/>
    <n v="19.579999999999998"/>
    <x v="24"/>
    <n v="2"/>
    <n v="1"/>
    <n v="1.7"/>
    <n v="0"/>
    <n v="2.7"/>
    <x v="0"/>
    <x v="0"/>
    <x v="0"/>
    <x v="0"/>
    <n v="7"/>
    <n v="10"/>
    <e v="#N/A"/>
  </r>
  <r>
    <n v="4756"/>
    <d v="2016-02-17T11:23:40"/>
    <d v="2016-02-17T11:38:41"/>
    <x v="0"/>
    <m/>
    <m/>
    <x v="1"/>
    <n v="70806"/>
    <n v="1.3268801483344601"/>
    <d v="2016-02-17T11:45:19"/>
    <n v="7.99"/>
    <x v="1416"/>
    <n v="1"/>
    <n v="1"/>
    <n v="0"/>
    <n v="0"/>
    <n v="1"/>
    <x v="1404"/>
    <x v="0"/>
    <x v="2391"/>
    <x v="1373"/>
    <n v="7"/>
    <e v="#N/A"/>
    <e v="#N/A"/>
  </r>
  <r>
    <n v="4757"/>
    <d v="2016-02-17T12:47:40"/>
    <d v="2016-02-17T13:02:41"/>
    <x v="2"/>
    <m/>
    <m/>
    <x v="1"/>
    <n v="70806"/>
    <n v="2.8582439205856001"/>
    <d v="2016-02-17T13:16:58"/>
    <n v="11.59"/>
    <x v="1059"/>
    <n v="1"/>
    <n v="1.7"/>
    <n v="0"/>
    <n v="0"/>
    <n v="1.7"/>
    <x v="1046"/>
    <x v="0"/>
    <x v="2392"/>
    <x v="1374"/>
    <n v="10"/>
    <e v="#N/A"/>
    <e v="#N/A"/>
  </r>
  <r>
    <n v="4758"/>
    <d v="2016-02-17T13:58:48"/>
    <d v="2016-02-17T14:13:49"/>
    <x v="2"/>
    <m/>
    <m/>
    <x v="0"/>
    <n v="70804"/>
    <n v="0"/>
    <d v="2016-02-17T14:16:48"/>
    <n v="11.59"/>
    <x v="1"/>
    <n v="1"/>
    <n v="1.7"/>
    <n v="0"/>
    <n v="0"/>
    <n v="1.7"/>
    <x v="0"/>
    <x v="0"/>
    <x v="0"/>
    <x v="0"/>
    <n v="10"/>
    <e v="#N/A"/>
    <e v="#N/A"/>
  </r>
  <r>
    <n v="4759"/>
    <d v="2016-02-17T10:36:44"/>
    <d v="2016-02-17T10:51:42"/>
    <x v="0"/>
    <m/>
    <m/>
    <x v="0"/>
    <n v="70805"/>
    <n v="0"/>
    <d v="2016-02-17T10:54:41"/>
    <n v="7.99"/>
    <x v="24"/>
    <n v="1"/>
    <n v="1"/>
    <n v="0"/>
    <n v="0"/>
    <n v="1"/>
    <x v="0"/>
    <x v="0"/>
    <x v="0"/>
    <x v="0"/>
    <n v="7"/>
    <e v="#N/A"/>
    <e v="#N/A"/>
  </r>
  <r>
    <n v="4760"/>
    <d v="2016-02-17T13:37:36"/>
    <d v="2016-02-17T13:52:37"/>
    <x v="0"/>
    <s v="Large"/>
    <m/>
    <x v="0"/>
    <n v="70804"/>
    <n v="0"/>
    <d v="2016-02-17T13:55:36"/>
    <n v="23.34"/>
    <x v="1"/>
    <n v="2"/>
    <n v="1"/>
    <n v="2.2999999999999998"/>
    <n v="0"/>
    <n v="3.3"/>
    <x v="0"/>
    <x v="0"/>
    <x v="0"/>
    <x v="0"/>
    <n v="7"/>
    <n v="14"/>
    <e v="#N/A"/>
  </r>
  <r>
    <n v="4761"/>
    <d v="2016-02-17T13:41:16"/>
    <d v="2016-02-17T13:56:16"/>
    <x v="0"/>
    <m/>
    <m/>
    <x v="0"/>
    <n v="70806"/>
    <n v="0"/>
    <d v="2016-02-17T13:59:14"/>
    <n v="7.99"/>
    <x v="0"/>
    <n v="1"/>
    <n v="1"/>
    <n v="0"/>
    <n v="0"/>
    <n v="1"/>
    <x v="0"/>
    <x v="0"/>
    <x v="0"/>
    <x v="0"/>
    <n v="7"/>
    <e v="#N/A"/>
    <e v="#N/A"/>
  </r>
  <r>
    <n v="4762"/>
    <d v="2016-02-17T11:42:11"/>
    <d v="2016-02-17T11:57:12"/>
    <x v="0"/>
    <m/>
    <m/>
    <x v="0"/>
    <n v="70804"/>
    <n v="0"/>
    <d v="2016-02-17T12:00:11"/>
    <n v="7.99"/>
    <x v="1"/>
    <n v="1"/>
    <n v="1"/>
    <n v="0"/>
    <n v="0"/>
    <n v="1"/>
    <x v="0"/>
    <x v="0"/>
    <x v="0"/>
    <x v="0"/>
    <n v="7"/>
    <e v="#N/A"/>
    <e v="#N/A"/>
  </r>
  <r>
    <n v="4763"/>
    <d v="2016-02-17T12:41:40"/>
    <d v="2016-02-17T12:56:40"/>
    <x v="2"/>
    <m/>
    <m/>
    <x v="0"/>
    <n v="70805"/>
    <n v="0"/>
    <d v="2016-02-17T12:59:39"/>
    <n v="11.59"/>
    <x v="24"/>
    <n v="1"/>
    <n v="1.7"/>
    <n v="0"/>
    <n v="0"/>
    <n v="1.7"/>
    <x v="0"/>
    <x v="0"/>
    <x v="0"/>
    <x v="0"/>
    <n v="10"/>
    <e v="#N/A"/>
    <e v="#N/A"/>
  </r>
  <r>
    <n v="4764"/>
    <d v="2016-02-17T12:17:43"/>
    <d v="2016-02-17T12:32:43"/>
    <x v="0"/>
    <s v="Medium"/>
    <m/>
    <x v="0"/>
    <n v="70803"/>
    <n v="0"/>
    <d v="2016-02-17T12:35:44"/>
    <n v="19.579999999999998"/>
    <x v="14"/>
    <n v="2"/>
    <n v="1"/>
    <n v="1.7"/>
    <n v="0"/>
    <n v="2.7"/>
    <x v="0"/>
    <x v="0"/>
    <x v="0"/>
    <x v="0"/>
    <n v="7"/>
    <n v="10"/>
    <e v="#N/A"/>
  </r>
  <r>
    <n v="4765"/>
    <d v="2016-02-17T10:14:48"/>
    <d v="2016-02-17T10:29:46"/>
    <x v="0"/>
    <s v="Medium"/>
    <m/>
    <x v="1"/>
    <n v="70806"/>
    <n v="4.5554393244110498"/>
    <d v="2016-02-17T10:52:32"/>
    <n v="19.579999999999998"/>
    <x v="8"/>
    <n v="2"/>
    <n v="1"/>
    <n v="1.7"/>
    <n v="0"/>
    <n v="2.7"/>
    <x v="6"/>
    <x v="1"/>
    <x v="2393"/>
    <x v="0"/>
    <n v="7"/>
    <n v="10"/>
    <e v="#N/A"/>
  </r>
  <r>
    <n v="4766"/>
    <d v="2016-02-17T12:34:37"/>
    <d v="2016-02-17T12:49:36"/>
    <x v="2"/>
    <m/>
    <m/>
    <x v="0"/>
    <n v="70805"/>
    <n v="0"/>
    <d v="2016-02-17T12:52:35"/>
    <n v="11.59"/>
    <x v="1"/>
    <n v="1"/>
    <n v="1.7"/>
    <n v="0"/>
    <n v="0"/>
    <n v="1.7"/>
    <x v="0"/>
    <x v="0"/>
    <x v="0"/>
    <x v="0"/>
    <n v="10"/>
    <e v="#N/A"/>
    <e v="#N/A"/>
  </r>
  <r>
    <n v="4767"/>
    <d v="2016-02-17T10:54:19"/>
    <d v="2016-02-17T11:09:20"/>
    <x v="1"/>
    <m/>
    <m/>
    <x v="1"/>
    <n v="70803"/>
    <n v="4.1766124085932104"/>
    <d v="2016-02-17T11:30:12"/>
    <n v="15.35"/>
    <x v="1383"/>
    <n v="1"/>
    <n v="2.2999999999999998"/>
    <n v="0"/>
    <n v="0"/>
    <n v="2.2999999999999998"/>
    <x v="1371"/>
    <x v="1"/>
    <x v="2394"/>
    <x v="0"/>
    <n v="14"/>
    <e v="#N/A"/>
    <e v="#N/A"/>
  </r>
  <r>
    <n v="4768"/>
    <d v="2016-02-17T12:01:48"/>
    <d v="2016-02-17T12:16:47"/>
    <x v="1"/>
    <m/>
    <m/>
    <x v="1"/>
    <n v="70803"/>
    <n v="3.82153519935965"/>
    <d v="2016-02-17T12:35:53"/>
    <n v="15.35"/>
    <x v="714"/>
    <n v="1"/>
    <n v="2.2999999999999998"/>
    <n v="0"/>
    <n v="0"/>
    <n v="2.2999999999999998"/>
    <x v="701"/>
    <x v="1"/>
    <x v="2395"/>
    <x v="0"/>
    <n v="14"/>
    <e v="#N/A"/>
    <e v="#N/A"/>
  </r>
  <r>
    <n v="4769"/>
    <d v="2016-02-17T12:54:36"/>
    <d v="2016-02-17T13:09:35"/>
    <x v="1"/>
    <m/>
    <m/>
    <x v="1"/>
    <n v="70804"/>
    <n v="4.5482613744603304"/>
    <d v="2016-02-17T13:32:19"/>
    <n v="15.35"/>
    <x v="1135"/>
    <n v="1"/>
    <n v="2.2999999999999998"/>
    <n v="0"/>
    <n v="0"/>
    <n v="2.2999999999999998"/>
    <x v="1122"/>
    <x v="1"/>
    <x v="2396"/>
    <x v="0"/>
    <n v="14"/>
    <e v="#N/A"/>
    <e v="#N/A"/>
  </r>
  <r>
    <n v="4770"/>
    <d v="2016-02-17T13:51:12"/>
    <d v="2016-02-17T14:06:11"/>
    <x v="1"/>
    <m/>
    <m/>
    <x v="1"/>
    <n v="70804"/>
    <n v="3.9730538069555998"/>
    <d v="2016-02-17T14:26:02"/>
    <n v="15.35"/>
    <x v="645"/>
    <n v="1"/>
    <n v="2.2999999999999998"/>
    <n v="0"/>
    <n v="0"/>
    <n v="2.2999999999999998"/>
    <x v="632"/>
    <x v="1"/>
    <x v="2397"/>
    <x v="0"/>
    <n v="14"/>
    <e v="#N/A"/>
    <e v="#N/A"/>
  </r>
  <r>
    <n v="4771"/>
    <d v="2016-02-17T13:22:12"/>
    <d v="2016-02-17T13:37:13"/>
    <x v="0"/>
    <s v="Large"/>
    <m/>
    <x v="1"/>
    <n v="70805"/>
    <n v="3.03392519482657"/>
    <d v="2016-02-17T13:52:23"/>
    <n v="23.34"/>
    <x v="1417"/>
    <n v="2"/>
    <n v="1"/>
    <n v="2.2999999999999998"/>
    <n v="0"/>
    <n v="3.3"/>
    <x v="1405"/>
    <x v="0"/>
    <x v="2398"/>
    <x v="1375"/>
    <n v="7"/>
    <n v="14"/>
    <e v="#N/A"/>
  </r>
  <r>
    <n v="4772"/>
    <d v="2016-02-17T11:42:31"/>
    <d v="2016-02-17T11:57:29"/>
    <x v="1"/>
    <m/>
    <m/>
    <x v="1"/>
    <n v="70805"/>
    <n v="1.94842927630054"/>
    <d v="2016-02-17T12:07:13"/>
    <n v="15.35"/>
    <x v="1055"/>
    <n v="1"/>
    <n v="2.2999999999999998"/>
    <n v="0"/>
    <n v="0"/>
    <n v="2.2999999999999998"/>
    <x v="1042"/>
    <x v="0"/>
    <x v="2399"/>
    <x v="1376"/>
    <n v="14"/>
    <e v="#N/A"/>
    <e v="#N/A"/>
  </r>
  <r>
    <n v="4773"/>
    <d v="2016-02-17T14:36:55"/>
    <d v="2016-02-17T14:51:55"/>
    <x v="0"/>
    <m/>
    <m/>
    <x v="0"/>
    <n v="70803"/>
    <n v="0"/>
    <d v="2016-02-17T14:54:54"/>
    <n v="7.99"/>
    <x v="1"/>
    <n v="1"/>
    <n v="1"/>
    <n v="0"/>
    <n v="0"/>
    <n v="1"/>
    <x v="0"/>
    <x v="0"/>
    <x v="0"/>
    <x v="0"/>
    <n v="7"/>
    <e v="#N/A"/>
    <e v="#N/A"/>
  </r>
  <r>
    <n v="4774"/>
    <d v="2016-02-17T10:04:32"/>
    <d v="2016-02-17T10:19:33"/>
    <x v="2"/>
    <m/>
    <m/>
    <x v="1"/>
    <n v="70805"/>
    <n v="2.06846094588755"/>
    <d v="2016-02-17T10:29:53"/>
    <n v="11.59"/>
    <x v="1418"/>
    <n v="1"/>
    <n v="1.7"/>
    <n v="0"/>
    <n v="0"/>
    <n v="1.7"/>
    <x v="1406"/>
    <x v="0"/>
    <x v="2400"/>
    <x v="1377"/>
    <n v="10"/>
    <e v="#N/A"/>
    <e v="#N/A"/>
  </r>
  <r>
    <n v="4775"/>
    <d v="2016-02-17T12:26:31"/>
    <d v="2016-02-17T12:41:30"/>
    <x v="0"/>
    <s v="Medium"/>
    <m/>
    <x v="0"/>
    <n v="70806"/>
    <n v="0"/>
    <d v="2016-02-17T12:44:30"/>
    <n v="19.579999999999998"/>
    <x v="2"/>
    <n v="2"/>
    <n v="1"/>
    <n v="1.7"/>
    <n v="0"/>
    <n v="2.7"/>
    <x v="0"/>
    <x v="0"/>
    <x v="0"/>
    <x v="0"/>
    <n v="7"/>
    <n v="10"/>
    <e v="#N/A"/>
  </r>
  <r>
    <n v="4776"/>
    <d v="2016-02-17T13:15:40"/>
    <d v="2016-02-17T13:30:39"/>
    <x v="0"/>
    <s v="Large"/>
    <m/>
    <x v="0"/>
    <n v="70805"/>
    <n v="0"/>
    <d v="2016-02-17T13:33:39"/>
    <n v="23.34"/>
    <x v="63"/>
    <n v="2"/>
    <n v="1"/>
    <n v="2.2999999999999998"/>
    <n v="0"/>
    <n v="3.3"/>
    <x v="0"/>
    <x v="0"/>
    <x v="0"/>
    <x v="0"/>
    <n v="7"/>
    <n v="14"/>
    <e v="#N/A"/>
  </r>
  <r>
    <n v="4777"/>
    <d v="2016-02-17T11:30:58"/>
    <d v="2016-02-17T11:45:56"/>
    <x v="0"/>
    <m/>
    <m/>
    <x v="0"/>
    <n v="70805"/>
    <n v="0"/>
    <d v="2016-02-17T11:48:54"/>
    <n v="7.99"/>
    <x v="0"/>
    <n v="1"/>
    <n v="1"/>
    <n v="0"/>
    <n v="0"/>
    <n v="1"/>
    <x v="0"/>
    <x v="0"/>
    <x v="0"/>
    <x v="0"/>
    <n v="7"/>
    <e v="#N/A"/>
    <e v="#N/A"/>
  </r>
  <r>
    <n v="4778"/>
    <d v="2016-02-17T11:33:21"/>
    <d v="2016-02-17T11:48:20"/>
    <x v="2"/>
    <m/>
    <m/>
    <x v="0"/>
    <n v="70806"/>
    <n v="0"/>
    <d v="2016-02-17T11:51:21"/>
    <n v="11.59"/>
    <x v="14"/>
    <n v="1"/>
    <n v="1.7"/>
    <n v="0"/>
    <n v="0"/>
    <n v="1.7"/>
    <x v="0"/>
    <x v="0"/>
    <x v="0"/>
    <x v="0"/>
    <n v="10"/>
    <e v="#N/A"/>
    <e v="#N/A"/>
  </r>
  <r>
    <n v="4779"/>
    <d v="2016-02-17T11:18:29"/>
    <d v="2016-02-17T11:33:29"/>
    <x v="1"/>
    <m/>
    <m/>
    <x v="0"/>
    <n v="70805"/>
    <n v="0"/>
    <d v="2016-02-17T11:36:30"/>
    <n v="15.35"/>
    <x v="56"/>
    <n v="1"/>
    <n v="2.2999999999999998"/>
    <n v="0"/>
    <n v="0"/>
    <n v="2.2999999999999998"/>
    <x v="0"/>
    <x v="0"/>
    <x v="0"/>
    <x v="0"/>
    <n v="14"/>
    <e v="#N/A"/>
    <e v="#N/A"/>
  </r>
  <r>
    <n v="4780"/>
    <d v="2016-02-17T12:27:19"/>
    <d v="2016-02-17T12:42:17"/>
    <x v="1"/>
    <m/>
    <m/>
    <x v="1"/>
    <n v="70805"/>
    <n v="3.9811934452115301"/>
    <d v="2016-02-17T13:02:11"/>
    <n v="15.35"/>
    <x v="844"/>
    <n v="1"/>
    <n v="2.2999999999999998"/>
    <n v="0"/>
    <n v="0"/>
    <n v="2.2999999999999998"/>
    <x v="831"/>
    <x v="1"/>
    <x v="2401"/>
    <x v="0"/>
    <n v="14"/>
    <e v="#N/A"/>
    <e v="#N/A"/>
  </r>
  <r>
    <n v="4781"/>
    <d v="2016-02-17T14:31:54"/>
    <d v="2016-02-17T14:46:52"/>
    <x v="1"/>
    <m/>
    <m/>
    <x v="1"/>
    <n v="70806"/>
    <n v="4.0870230629879298"/>
    <d v="2016-02-17T15:07:18"/>
    <n v="15.35"/>
    <x v="1419"/>
    <n v="1"/>
    <n v="2.2999999999999998"/>
    <n v="0"/>
    <n v="0"/>
    <n v="2.2999999999999998"/>
    <x v="1407"/>
    <x v="1"/>
    <x v="2402"/>
    <x v="0"/>
    <n v="14"/>
    <e v="#N/A"/>
    <e v="#N/A"/>
  </r>
  <r>
    <n v="4782"/>
    <d v="2016-02-17T10:59:42"/>
    <d v="2016-02-17T11:14:41"/>
    <x v="2"/>
    <m/>
    <m/>
    <x v="1"/>
    <n v="70807"/>
    <n v="4.7041662788849097"/>
    <d v="2016-02-17T11:38:12"/>
    <n v="11.59"/>
    <x v="1420"/>
    <n v="1"/>
    <n v="1.7"/>
    <n v="0"/>
    <n v="0"/>
    <n v="1.7"/>
    <x v="1408"/>
    <x v="1"/>
    <x v="2403"/>
    <x v="0"/>
    <n v="10"/>
    <e v="#N/A"/>
    <e v="#N/A"/>
  </r>
  <r>
    <n v="4783"/>
    <d v="2016-02-17T12:14:08"/>
    <d v="2016-02-17T12:29:08"/>
    <x v="1"/>
    <m/>
    <m/>
    <x v="1"/>
    <n v="70804"/>
    <n v="3.3136222456754498"/>
    <d v="2016-02-17T12:45:42"/>
    <n v="15.35"/>
    <x v="1190"/>
    <n v="1"/>
    <n v="2.2999999999999998"/>
    <n v="0"/>
    <n v="0"/>
    <n v="2.2999999999999998"/>
    <x v="1178"/>
    <x v="1"/>
    <x v="2404"/>
    <x v="0"/>
    <n v="14"/>
    <e v="#N/A"/>
    <e v="#N/A"/>
  </r>
  <r>
    <n v="4784"/>
    <d v="2016-02-17T12:07:39"/>
    <d v="2016-02-17T12:22:39"/>
    <x v="0"/>
    <m/>
    <m/>
    <x v="1"/>
    <n v="70804"/>
    <n v="5.2393989262241201"/>
    <d v="2016-02-17T12:48:50"/>
    <n v="7.99"/>
    <x v="1421"/>
    <n v="1"/>
    <n v="1"/>
    <n v="0"/>
    <n v="0"/>
    <n v="1"/>
    <x v="1409"/>
    <x v="1"/>
    <x v="2405"/>
    <x v="0"/>
    <n v="7"/>
    <e v="#N/A"/>
    <e v="#N/A"/>
  </r>
  <r>
    <n v="4785"/>
    <d v="2016-02-17T13:51:16"/>
    <d v="2016-02-17T14:06:17"/>
    <x v="1"/>
    <m/>
    <m/>
    <x v="1"/>
    <n v="70807"/>
    <n v="3.8232581443785398"/>
    <d v="2016-02-17T14:25:23"/>
    <n v="15.35"/>
    <x v="386"/>
    <n v="1"/>
    <n v="2.2999999999999998"/>
    <n v="0"/>
    <n v="0"/>
    <n v="2.2999999999999998"/>
    <x v="373"/>
    <x v="1"/>
    <x v="2406"/>
    <x v="0"/>
    <n v="14"/>
    <e v="#N/A"/>
    <e v="#N/A"/>
  </r>
  <r>
    <n v="4786"/>
    <d v="2016-02-17T12:32:13"/>
    <d v="2016-02-17T12:47:13"/>
    <x v="2"/>
    <m/>
    <m/>
    <x v="0"/>
    <n v="70805"/>
    <n v="0"/>
    <d v="2016-02-17T12:50:13"/>
    <n v="11.59"/>
    <x v="2"/>
    <n v="1"/>
    <n v="1.7"/>
    <n v="0"/>
    <n v="0"/>
    <n v="1.7"/>
    <x v="0"/>
    <x v="0"/>
    <x v="0"/>
    <x v="0"/>
    <n v="10"/>
    <e v="#N/A"/>
    <e v="#N/A"/>
  </r>
  <r>
    <n v="4787"/>
    <d v="2016-02-17T11:56:42"/>
    <d v="2016-02-17T12:11:43"/>
    <x v="0"/>
    <s v="Medium"/>
    <m/>
    <x v="1"/>
    <n v="70804"/>
    <n v="2.0901499831276902"/>
    <d v="2016-02-17T12:22:10"/>
    <n v="19.579999999999998"/>
    <x v="1048"/>
    <n v="2"/>
    <n v="1"/>
    <n v="1.7"/>
    <n v="0"/>
    <n v="2.7"/>
    <x v="1035"/>
    <x v="0"/>
    <x v="2407"/>
    <x v="1378"/>
    <n v="7"/>
    <n v="10"/>
    <e v="#N/A"/>
  </r>
  <r>
    <n v="4788"/>
    <d v="2016-02-17T12:26:28"/>
    <d v="2016-02-17T12:41:29"/>
    <x v="0"/>
    <m/>
    <m/>
    <x v="0"/>
    <n v="70804"/>
    <n v="0"/>
    <d v="2016-02-17T12:44:30"/>
    <n v="7.99"/>
    <x v="14"/>
    <n v="1"/>
    <n v="1"/>
    <n v="0"/>
    <n v="0"/>
    <n v="1"/>
    <x v="0"/>
    <x v="0"/>
    <x v="0"/>
    <x v="0"/>
    <n v="7"/>
    <e v="#N/A"/>
    <e v="#N/A"/>
  </r>
  <r>
    <n v="4789"/>
    <d v="2016-02-17T11:13:17"/>
    <d v="2016-02-17T11:28:15"/>
    <x v="0"/>
    <s v="Medium"/>
    <m/>
    <x v="0"/>
    <n v="70803"/>
    <n v="0"/>
    <d v="2016-02-17T11:31:15"/>
    <n v="19.579999999999998"/>
    <x v="2"/>
    <n v="2"/>
    <n v="1"/>
    <n v="1.7"/>
    <n v="0"/>
    <n v="2.7"/>
    <x v="0"/>
    <x v="0"/>
    <x v="0"/>
    <x v="0"/>
    <n v="7"/>
    <n v="10"/>
    <e v="#N/A"/>
  </r>
  <r>
    <n v="4790"/>
    <d v="2016-02-17T12:38:34"/>
    <d v="2016-02-17T12:53:34"/>
    <x v="0"/>
    <m/>
    <m/>
    <x v="1"/>
    <n v="70805"/>
    <n v="3.9809417491120702"/>
    <d v="2016-02-17T13:13:28"/>
    <n v="7.99"/>
    <x v="844"/>
    <n v="1"/>
    <n v="1"/>
    <n v="0"/>
    <n v="0"/>
    <n v="1"/>
    <x v="831"/>
    <x v="1"/>
    <x v="2408"/>
    <x v="0"/>
    <n v="7"/>
    <e v="#N/A"/>
    <e v="#N/A"/>
  </r>
  <r>
    <n v="4791"/>
    <d v="2016-02-17T11:41:46"/>
    <d v="2016-02-17T11:56:45"/>
    <x v="0"/>
    <m/>
    <m/>
    <x v="1"/>
    <n v="70803"/>
    <n v="3.8295442271312701"/>
    <d v="2016-02-17T12:15:53"/>
    <n v="7.99"/>
    <x v="202"/>
    <n v="1"/>
    <n v="1"/>
    <n v="0"/>
    <n v="0"/>
    <n v="1"/>
    <x v="190"/>
    <x v="1"/>
    <x v="2409"/>
    <x v="0"/>
    <n v="7"/>
    <e v="#N/A"/>
    <e v="#N/A"/>
  </r>
  <r>
    <n v="4792"/>
    <d v="2016-02-17T11:15:04"/>
    <d v="2016-02-17T11:30:04"/>
    <x v="2"/>
    <m/>
    <m/>
    <x v="1"/>
    <n v="70804"/>
    <n v="4.0362450626274899"/>
    <d v="2016-02-17T11:50:14"/>
    <n v="11.59"/>
    <x v="990"/>
    <n v="1"/>
    <n v="1.7"/>
    <n v="0"/>
    <n v="0"/>
    <n v="1.7"/>
    <x v="977"/>
    <x v="1"/>
    <x v="2410"/>
    <x v="0"/>
    <n v="10"/>
    <e v="#N/A"/>
    <e v="#N/A"/>
  </r>
  <r>
    <n v="4793"/>
    <d v="2016-02-17T10:38:27"/>
    <d v="2016-02-17T10:53:27"/>
    <x v="1"/>
    <m/>
    <m/>
    <x v="0"/>
    <n v="70805"/>
    <n v="0"/>
    <d v="2016-02-17T10:56:26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4794"/>
    <d v="2016-02-17T12:37:38"/>
    <d v="2016-02-17T12:52:38"/>
    <x v="1"/>
    <m/>
    <m/>
    <x v="1"/>
    <n v="70805"/>
    <n v="2.3656605129542498"/>
    <d v="2016-02-17T13:04:27"/>
    <n v="15.35"/>
    <x v="1422"/>
    <n v="1"/>
    <n v="2.2999999999999998"/>
    <n v="0"/>
    <n v="0"/>
    <n v="2.2999999999999998"/>
    <x v="1410"/>
    <x v="0"/>
    <x v="2411"/>
    <x v="1379"/>
    <n v="14"/>
    <e v="#N/A"/>
    <e v="#N/A"/>
  </r>
  <r>
    <n v="4795"/>
    <d v="2016-02-17T12:34:43"/>
    <d v="2016-02-17T12:49:40"/>
    <x v="2"/>
    <m/>
    <m/>
    <x v="0"/>
    <n v="70803"/>
    <n v="0"/>
    <d v="2016-02-17T12:52:40"/>
    <n v="11.59"/>
    <x v="2"/>
    <n v="1"/>
    <n v="1.7"/>
    <n v="0"/>
    <n v="0"/>
    <n v="1.7"/>
    <x v="0"/>
    <x v="0"/>
    <x v="0"/>
    <x v="0"/>
    <n v="10"/>
    <e v="#N/A"/>
    <e v="#N/A"/>
  </r>
  <r>
    <n v="4796"/>
    <d v="2016-02-17T12:18:33"/>
    <d v="2016-02-17T12:33:34"/>
    <x v="2"/>
    <m/>
    <m/>
    <x v="0"/>
    <n v="70804"/>
    <n v="0"/>
    <d v="2016-02-17T12:36:32"/>
    <n v="11.59"/>
    <x v="0"/>
    <n v="1"/>
    <n v="1.7"/>
    <n v="0"/>
    <n v="0"/>
    <n v="1.7"/>
    <x v="0"/>
    <x v="0"/>
    <x v="0"/>
    <x v="0"/>
    <n v="10"/>
    <e v="#N/A"/>
    <e v="#N/A"/>
  </r>
  <r>
    <n v="4797"/>
    <d v="2016-02-17T13:35:23"/>
    <d v="2016-02-17T13:50:21"/>
    <x v="2"/>
    <m/>
    <m/>
    <x v="0"/>
    <n v="70807"/>
    <n v="0"/>
    <d v="2016-02-17T13:53:21"/>
    <n v="11.59"/>
    <x v="2"/>
    <n v="1"/>
    <n v="1.7"/>
    <n v="0"/>
    <n v="0"/>
    <n v="1.7"/>
    <x v="0"/>
    <x v="0"/>
    <x v="0"/>
    <x v="0"/>
    <n v="10"/>
    <e v="#N/A"/>
    <e v="#N/A"/>
  </r>
  <r>
    <n v="4798"/>
    <d v="2016-02-17T12:01:15"/>
    <d v="2016-02-17T12:16:14"/>
    <x v="1"/>
    <m/>
    <m/>
    <x v="0"/>
    <n v="70803"/>
    <n v="0"/>
    <d v="2016-02-17T12:19:13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4799"/>
    <d v="2016-02-17T12:35:35"/>
    <d v="2016-02-17T12:50:35"/>
    <x v="1"/>
    <m/>
    <m/>
    <x v="0"/>
    <n v="70807"/>
    <n v="0"/>
    <d v="2016-02-17T12:53:33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4800"/>
    <d v="2016-02-17T10:16:26"/>
    <d v="2016-02-17T10:31:27"/>
    <x v="0"/>
    <s v="Medium"/>
    <m/>
    <x v="0"/>
    <n v="70804"/>
    <n v="0"/>
    <d v="2016-02-17T10:34:27"/>
    <n v="19.579999999999998"/>
    <x v="2"/>
    <n v="2"/>
    <n v="1"/>
    <n v="1.7"/>
    <n v="0"/>
    <n v="2.7"/>
    <x v="0"/>
    <x v="0"/>
    <x v="0"/>
    <x v="0"/>
    <n v="7"/>
    <n v="10"/>
    <e v="#N/A"/>
  </r>
  <r>
    <n v="4801"/>
    <d v="2016-02-17T10:03:06"/>
    <d v="2016-02-17T10:18:05"/>
    <x v="2"/>
    <m/>
    <m/>
    <x v="0"/>
    <n v="70804"/>
    <n v="0"/>
    <d v="2016-02-17T10:21:03"/>
    <n v="11.59"/>
    <x v="0"/>
    <n v="1"/>
    <n v="1.7"/>
    <n v="0"/>
    <n v="0"/>
    <n v="1.7"/>
    <x v="0"/>
    <x v="0"/>
    <x v="0"/>
    <x v="0"/>
    <n v="10"/>
    <e v="#N/A"/>
    <e v="#N/A"/>
  </r>
  <r>
    <n v="4802"/>
    <d v="2016-02-17T11:35:13"/>
    <d v="2016-02-17T11:50:13"/>
    <x v="0"/>
    <s v="Medium"/>
    <m/>
    <x v="0"/>
    <n v="70807"/>
    <n v="0"/>
    <d v="2016-02-17T11:53:12"/>
    <n v="19.579999999999998"/>
    <x v="1"/>
    <n v="2"/>
    <n v="1"/>
    <n v="1.7"/>
    <n v="0"/>
    <n v="2.7"/>
    <x v="0"/>
    <x v="0"/>
    <x v="0"/>
    <x v="0"/>
    <n v="7"/>
    <n v="10"/>
    <e v="#N/A"/>
  </r>
  <r>
    <n v="4803"/>
    <d v="2016-02-17T12:49:16"/>
    <d v="2016-02-17T13:04:16"/>
    <x v="0"/>
    <m/>
    <m/>
    <x v="0"/>
    <n v="70805"/>
    <n v="0"/>
    <d v="2016-02-17T13:07:15"/>
    <n v="7.99"/>
    <x v="1"/>
    <n v="1"/>
    <n v="1"/>
    <n v="0"/>
    <n v="0"/>
    <n v="1"/>
    <x v="0"/>
    <x v="0"/>
    <x v="0"/>
    <x v="0"/>
    <n v="7"/>
    <e v="#N/A"/>
    <e v="#N/A"/>
  </r>
  <r>
    <n v="4804"/>
    <d v="2016-02-17T13:02:57"/>
    <d v="2016-02-17T13:17:56"/>
    <x v="1"/>
    <m/>
    <m/>
    <x v="1"/>
    <n v="70806"/>
    <n v="4.0292616907720902"/>
    <d v="2016-02-17T13:38:04"/>
    <n v="15.35"/>
    <x v="390"/>
    <n v="1"/>
    <n v="2.2999999999999998"/>
    <n v="0"/>
    <n v="0"/>
    <n v="2.2999999999999998"/>
    <x v="377"/>
    <x v="1"/>
    <x v="2412"/>
    <x v="0"/>
    <n v="14"/>
    <e v="#N/A"/>
    <e v="#N/A"/>
  </r>
  <r>
    <n v="4805"/>
    <d v="2016-02-17T12:12:29"/>
    <d v="2016-02-17T12:27:28"/>
    <x v="1"/>
    <m/>
    <m/>
    <x v="1"/>
    <n v="70803"/>
    <n v="2.7626516818928599"/>
    <d v="2016-02-17T12:41:16"/>
    <n v="15.35"/>
    <x v="1327"/>
    <n v="1"/>
    <n v="2.2999999999999998"/>
    <n v="0"/>
    <n v="0"/>
    <n v="2.2999999999999998"/>
    <x v="1315"/>
    <x v="0"/>
    <x v="2413"/>
    <x v="1380"/>
    <n v="14"/>
    <e v="#N/A"/>
    <e v="#N/A"/>
  </r>
  <r>
    <n v="4806"/>
    <d v="2016-02-17T11:19:52"/>
    <d v="2016-02-17T11:34:51"/>
    <x v="0"/>
    <s v="Large"/>
    <m/>
    <x v="1"/>
    <n v="70806"/>
    <n v="2.56135487784635"/>
    <d v="2016-02-17T11:47:39"/>
    <n v="23.34"/>
    <x v="1423"/>
    <n v="2"/>
    <n v="1"/>
    <n v="2.2999999999999998"/>
    <n v="0"/>
    <n v="3.3"/>
    <x v="1411"/>
    <x v="0"/>
    <x v="2414"/>
    <x v="1381"/>
    <n v="7"/>
    <n v="14"/>
    <e v="#N/A"/>
  </r>
  <r>
    <n v="4807"/>
    <d v="2016-02-17T11:02:27"/>
    <d v="2016-02-17T11:17:26"/>
    <x v="0"/>
    <s v="Medium"/>
    <s v="Large"/>
    <x v="1"/>
    <n v="70804"/>
    <n v="4.6793827186898804"/>
    <d v="2016-02-17T11:40:49"/>
    <n v="33.93"/>
    <x v="837"/>
    <n v="3"/>
    <n v="1"/>
    <n v="1.7"/>
    <n v="2.2999999999999998"/>
    <n v="5"/>
    <x v="824"/>
    <x v="1"/>
    <x v="2415"/>
    <x v="0"/>
    <n v="7"/>
    <n v="10"/>
    <n v="14"/>
  </r>
  <r>
    <n v="4808"/>
    <d v="2016-02-17T11:26:51"/>
    <d v="2016-02-17T11:41:50"/>
    <x v="2"/>
    <m/>
    <m/>
    <x v="0"/>
    <n v="70805"/>
    <n v="0"/>
    <d v="2016-02-17T11:44:49"/>
    <n v="11.59"/>
    <x v="1"/>
    <n v="1"/>
    <n v="1.7"/>
    <n v="0"/>
    <n v="0"/>
    <n v="1.7"/>
    <x v="0"/>
    <x v="0"/>
    <x v="0"/>
    <x v="0"/>
    <n v="10"/>
    <e v="#N/A"/>
    <e v="#N/A"/>
  </r>
  <r>
    <n v="4809"/>
    <d v="2016-02-17T14:51:56"/>
    <d v="2016-02-17T15:06:54"/>
    <x v="1"/>
    <m/>
    <m/>
    <x v="0"/>
    <n v="70804"/>
    <n v="0"/>
    <d v="2016-02-17T15:09:53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4810"/>
    <d v="2016-02-17T13:41:17"/>
    <d v="2016-02-17T13:56:16"/>
    <x v="0"/>
    <s v="Large"/>
    <m/>
    <x v="0"/>
    <n v="70806"/>
    <n v="0"/>
    <d v="2016-02-17T13:59:15"/>
    <n v="23.34"/>
    <x v="24"/>
    <n v="2"/>
    <n v="1"/>
    <n v="2.2999999999999998"/>
    <n v="0"/>
    <n v="3.3"/>
    <x v="0"/>
    <x v="0"/>
    <x v="0"/>
    <x v="0"/>
    <n v="7"/>
    <n v="14"/>
    <e v="#N/A"/>
  </r>
  <r>
    <n v="4811"/>
    <d v="2016-02-17T11:36:21"/>
    <d v="2016-02-17T11:51:20"/>
    <x v="0"/>
    <m/>
    <m/>
    <x v="0"/>
    <n v="70803"/>
    <n v="0"/>
    <d v="2016-02-17T11:54:19"/>
    <n v="7.99"/>
    <x v="1"/>
    <n v="1"/>
    <n v="1"/>
    <n v="0"/>
    <n v="0"/>
    <n v="1"/>
    <x v="0"/>
    <x v="0"/>
    <x v="0"/>
    <x v="0"/>
    <n v="7"/>
    <e v="#N/A"/>
    <e v="#N/A"/>
  </r>
  <r>
    <n v="4812"/>
    <d v="2016-02-17T11:26:37"/>
    <d v="2016-02-17T11:41:36"/>
    <x v="1"/>
    <m/>
    <m/>
    <x v="1"/>
    <n v="70805"/>
    <n v="4.0981984039982304"/>
    <d v="2016-02-17T12:02:05"/>
    <n v="15.35"/>
    <x v="659"/>
    <n v="1"/>
    <n v="2.2999999999999998"/>
    <n v="0"/>
    <n v="0"/>
    <n v="2.2999999999999998"/>
    <x v="646"/>
    <x v="1"/>
    <x v="2416"/>
    <x v="0"/>
    <n v="14"/>
    <e v="#N/A"/>
    <e v="#N/A"/>
  </r>
  <r>
    <n v="4813"/>
    <d v="2016-02-17T11:08:40"/>
    <d v="2016-02-17T11:23:40"/>
    <x v="2"/>
    <m/>
    <m/>
    <x v="1"/>
    <n v="70804"/>
    <n v="3.0105687844549398"/>
    <d v="2016-02-17T11:38:43"/>
    <n v="11.59"/>
    <x v="1204"/>
    <n v="1"/>
    <n v="1.7"/>
    <n v="0"/>
    <n v="0"/>
    <n v="1.7"/>
    <x v="1192"/>
    <x v="0"/>
    <x v="2417"/>
    <x v="1382"/>
    <n v="10"/>
    <e v="#N/A"/>
    <e v="#N/A"/>
  </r>
  <r>
    <n v="4814"/>
    <d v="2016-02-17T12:19:23"/>
    <d v="2016-02-17T12:34:21"/>
    <x v="0"/>
    <s v="Medium"/>
    <m/>
    <x v="0"/>
    <n v="70803"/>
    <n v="0"/>
    <d v="2016-02-17T12:37:21"/>
    <n v="19.579999999999998"/>
    <x v="2"/>
    <n v="2"/>
    <n v="1"/>
    <n v="1.7"/>
    <n v="0"/>
    <n v="2.7"/>
    <x v="0"/>
    <x v="0"/>
    <x v="0"/>
    <x v="0"/>
    <n v="7"/>
    <n v="10"/>
    <e v="#N/A"/>
  </r>
  <r>
    <n v="4815"/>
    <d v="2016-02-17T11:43:09"/>
    <d v="2016-02-17T11:58:09"/>
    <x v="1"/>
    <m/>
    <m/>
    <x v="1"/>
    <n v="70806"/>
    <n v="3.3627382689490899"/>
    <d v="2016-02-17T12:14:57"/>
    <n v="15.35"/>
    <x v="233"/>
    <n v="1"/>
    <n v="2.2999999999999998"/>
    <n v="0"/>
    <n v="0"/>
    <n v="2.2999999999999998"/>
    <x v="220"/>
    <x v="1"/>
    <x v="2418"/>
    <x v="0"/>
    <n v="14"/>
    <e v="#N/A"/>
    <e v="#N/A"/>
  </r>
  <r>
    <n v="4816"/>
    <d v="2016-02-17T13:03:28"/>
    <d v="2016-02-17T13:18:28"/>
    <x v="2"/>
    <m/>
    <m/>
    <x v="1"/>
    <n v="70803"/>
    <n v="1.6274916592252899"/>
    <d v="2016-02-17T13:26:36"/>
    <n v="11.59"/>
    <x v="1424"/>
    <n v="1"/>
    <n v="1.7"/>
    <n v="0"/>
    <n v="0"/>
    <n v="1.7"/>
    <x v="1412"/>
    <x v="0"/>
    <x v="2419"/>
    <x v="1383"/>
    <n v="10"/>
    <e v="#N/A"/>
    <e v="#N/A"/>
  </r>
  <r>
    <n v="4817"/>
    <d v="2016-02-17T12:30:24"/>
    <d v="2016-02-17T12:45:23"/>
    <x v="2"/>
    <m/>
    <m/>
    <x v="1"/>
    <n v="70804"/>
    <n v="1.7735696641316601"/>
    <d v="2016-02-17T12:54:15"/>
    <n v="11.59"/>
    <x v="1425"/>
    <n v="1"/>
    <n v="1.7"/>
    <n v="0"/>
    <n v="0"/>
    <n v="1.7"/>
    <x v="1413"/>
    <x v="0"/>
    <x v="2420"/>
    <x v="1384"/>
    <n v="10"/>
    <e v="#N/A"/>
    <e v="#N/A"/>
  </r>
  <r>
    <n v="4818"/>
    <d v="2016-02-17T12:53:39"/>
    <d v="2016-02-17T13:08:39"/>
    <x v="2"/>
    <m/>
    <m/>
    <x v="1"/>
    <n v="70807"/>
    <n v="3.7142166628672002"/>
    <d v="2016-02-17T13:27:13"/>
    <n v="11.59"/>
    <x v="926"/>
    <n v="1"/>
    <n v="1.7"/>
    <n v="0"/>
    <n v="0"/>
    <n v="1.7"/>
    <x v="913"/>
    <x v="1"/>
    <x v="2421"/>
    <x v="0"/>
    <n v="10"/>
    <e v="#N/A"/>
    <e v="#N/A"/>
  </r>
  <r>
    <n v="4819"/>
    <d v="2016-02-17T11:26:16"/>
    <d v="2016-02-17T11:41:16"/>
    <x v="0"/>
    <s v="Medium"/>
    <m/>
    <x v="0"/>
    <n v="70804"/>
    <n v="0"/>
    <d v="2016-02-17T11:44:16"/>
    <n v="19.579999999999998"/>
    <x v="2"/>
    <n v="2"/>
    <n v="1"/>
    <n v="1.7"/>
    <n v="0"/>
    <n v="2.7"/>
    <x v="0"/>
    <x v="0"/>
    <x v="0"/>
    <x v="0"/>
    <n v="7"/>
    <n v="10"/>
    <e v="#N/A"/>
  </r>
  <r>
    <n v="4820"/>
    <d v="2016-02-17T12:07:27"/>
    <d v="2016-02-17T12:22:26"/>
    <x v="0"/>
    <s v="Medium"/>
    <m/>
    <x v="0"/>
    <n v="70803"/>
    <n v="0"/>
    <d v="2016-02-17T12:25:25"/>
    <n v="19.579999999999998"/>
    <x v="1"/>
    <n v="2"/>
    <n v="1"/>
    <n v="1.7"/>
    <n v="0"/>
    <n v="2.7"/>
    <x v="0"/>
    <x v="0"/>
    <x v="0"/>
    <x v="0"/>
    <n v="7"/>
    <n v="10"/>
    <e v="#N/A"/>
  </r>
  <r>
    <n v="4821"/>
    <d v="2016-02-17T11:55:57"/>
    <d v="2016-02-17T12:10:56"/>
    <x v="1"/>
    <m/>
    <m/>
    <x v="1"/>
    <n v="70804"/>
    <n v="4.9752056879289999"/>
    <d v="2016-02-17T12:35:48"/>
    <n v="15.35"/>
    <x v="1426"/>
    <n v="1"/>
    <n v="2.2999999999999998"/>
    <n v="0"/>
    <n v="0"/>
    <n v="2.2999999999999998"/>
    <x v="1414"/>
    <x v="1"/>
    <x v="2422"/>
    <x v="0"/>
    <n v="14"/>
    <e v="#N/A"/>
    <e v="#N/A"/>
  </r>
  <r>
    <n v="4822"/>
    <d v="2016-02-17T12:27:31"/>
    <d v="2016-02-17T12:42:30"/>
    <x v="0"/>
    <m/>
    <m/>
    <x v="1"/>
    <n v="70805"/>
    <n v="2.2192030379168202"/>
    <d v="2016-02-17T12:53:35"/>
    <n v="7.99"/>
    <x v="1427"/>
    <n v="1"/>
    <n v="1"/>
    <n v="0"/>
    <n v="0"/>
    <n v="1"/>
    <x v="1415"/>
    <x v="0"/>
    <x v="2423"/>
    <x v="1385"/>
    <n v="7"/>
    <e v="#N/A"/>
    <e v="#N/A"/>
  </r>
  <r>
    <n v="4823"/>
    <d v="2016-02-17T12:38:54"/>
    <d v="2016-02-17T12:53:53"/>
    <x v="0"/>
    <s v="Medium"/>
    <m/>
    <x v="0"/>
    <n v="70804"/>
    <n v="0"/>
    <d v="2016-02-17T12:56:53"/>
    <n v="19.579999999999998"/>
    <x v="2"/>
    <n v="2"/>
    <n v="1"/>
    <n v="1.7"/>
    <n v="0"/>
    <n v="2.7"/>
    <x v="0"/>
    <x v="0"/>
    <x v="0"/>
    <x v="0"/>
    <n v="7"/>
    <n v="10"/>
    <e v="#N/A"/>
  </r>
  <r>
    <n v="4824"/>
    <d v="2016-02-17T12:52:10"/>
    <d v="2016-02-17T13:07:09"/>
    <x v="0"/>
    <m/>
    <m/>
    <x v="0"/>
    <n v="70803"/>
    <n v="0"/>
    <d v="2016-02-17T13:10:07"/>
    <n v="7.99"/>
    <x v="0"/>
    <n v="1"/>
    <n v="1"/>
    <n v="0"/>
    <n v="0"/>
    <n v="1"/>
    <x v="0"/>
    <x v="0"/>
    <x v="0"/>
    <x v="0"/>
    <n v="7"/>
    <e v="#N/A"/>
    <e v="#N/A"/>
  </r>
  <r>
    <n v="4825"/>
    <d v="2016-02-17T13:37:20"/>
    <d v="2016-02-17T13:52:22"/>
    <x v="0"/>
    <s v="Medium"/>
    <m/>
    <x v="0"/>
    <n v="70805"/>
    <n v="0"/>
    <d v="2016-02-17T13:55:22"/>
    <n v="19.579999999999998"/>
    <x v="2"/>
    <n v="2"/>
    <n v="1"/>
    <n v="1.7"/>
    <n v="0"/>
    <n v="2.7"/>
    <x v="0"/>
    <x v="0"/>
    <x v="0"/>
    <x v="0"/>
    <n v="7"/>
    <n v="10"/>
    <e v="#N/A"/>
  </r>
  <r>
    <n v="4826"/>
    <d v="2016-02-17T12:13:37"/>
    <d v="2016-02-17T12:28:37"/>
    <x v="1"/>
    <m/>
    <m/>
    <x v="1"/>
    <n v="70803"/>
    <n v="4.0499287153211503"/>
    <d v="2016-02-17T12:48:51"/>
    <n v="15.35"/>
    <x v="1160"/>
    <n v="1"/>
    <n v="2.2999999999999998"/>
    <n v="0"/>
    <n v="0"/>
    <n v="2.2999999999999998"/>
    <x v="1148"/>
    <x v="1"/>
    <x v="2424"/>
    <x v="0"/>
    <n v="14"/>
    <e v="#N/A"/>
    <e v="#N/A"/>
  </r>
  <r>
    <n v="4827"/>
    <d v="2016-02-17T12:40:20"/>
    <d v="2016-02-17T12:55:17"/>
    <x v="1"/>
    <m/>
    <m/>
    <x v="1"/>
    <n v="70805"/>
    <n v="3.3546923983173298"/>
    <d v="2016-02-17T13:12:03"/>
    <n v="15.35"/>
    <x v="1428"/>
    <n v="1"/>
    <n v="2.2999999999999998"/>
    <n v="0"/>
    <n v="0"/>
    <n v="2.2999999999999998"/>
    <x v="1416"/>
    <x v="1"/>
    <x v="2425"/>
    <x v="0"/>
    <n v="14"/>
    <e v="#N/A"/>
    <e v="#N/A"/>
  </r>
  <r>
    <n v="4828"/>
    <d v="2016-02-17T11:23:42"/>
    <d v="2016-02-17T11:38:42"/>
    <x v="1"/>
    <m/>
    <m/>
    <x v="1"/>
    <n v="70804"/>
    <n v="4.5406070652150801"/>
    <d v="2016-02-17T12:01:24"/>
    <n v="15.35"/>
    <x v="1429"/>
    <n v="1"/>
    <n v="2.2999999999999998"/>
    <n v="0"/>
    <n v="0"/>
    <n v="2.2999999999999998"/>
    <x v="1417"/>
    <x v="1"/>
    <x v="2426"/>
    <x v="0"/>
    <n v="14"/>
    <e v="#N/A"/>
    <e v="#N/A"/>
  </r>
  <r>
    <n v="4829"/>
    <d v="2016-02-17T11:40:10"/>
    <d v="2016-02-17T11:55:11"/>
    <x v="2"/>
    <s v="Large"/>
    <m/>
    <x v="0"/>
    <n v="70806"/>
    <n v="0"/>
    <d v="2016-02-17T11:58:10"/>
    <n v="25.94"/>
    <x v="1"/>
    <n v="2"/>
    <n v="1.7"/>
    <n v="2.2999999999999998"/>
    <n v="0"/>
    <n v="4"/>
    <x v="0"/>
    <x v="0"/>
    <x v="0"/>
    <x v="0"/>
    <n v="10"/>
    <n v="14"/>
    <e v="#N/A"/>
  </r>
  <r>
    <n v="4830"/>
    <d v="2016-02-18T13:12:10"/>
    <d v="2016-02-18T13:27:10"/>
    <x v="1"/>
    <m/>
    <m/>
    <x v="1"/>
    <n v="70806"/>
    <n v="3.9238744262603902"/>
    <d v="2016-02-18T13:46:47"/>
    <n v="15.35"/>
    <x v="612"/>
    <n v="1"/>
    <n v="2.2999999999999998"/>
    <n v="0"/>
    <n v="0"/>
    <n v="2.2999999999999998"/>
    <x v="599"/>
    <x v="1"/>
    <x v="2427"/>
    <x v="0"/>
    <n v="14"/>
    <e v="#N/A"/>
    <e v="#N/A"/>
  </r>
  <r>
    <n v="4831"/>
    <d v="2016-02-18T12:19:42"/>
    <d v="2016-02-18T12:34:41"/>
    <x v="2"/>
    <m/>
    <m/>
    <x v="1"/>
    <n v="70804"/>
    <n v="3.1726228672254302"/>
    <d v="2016-02-18T12:50:32"/>
    <n v="11.59"/>
    <x v="1430"/>
    <n v="1"/>
    <n v="1.7"/>
    <n v="0"/>
    <n v="0"/>
    <n v="1.7"/>
    <x v="1418"/>
    <x v="0"/>
    <x v="2428"/>
    <x v="1386"/>
    <n v="10"/>
    <e v="#N/A"/>
    <e v="#N/A"/>
  </r>
  <r>
    <n v="4832"/>
    <d v="2016-02-18T11:50:27"/>
    <d v="2016-02-18T12:05:26"/>
    <x v="1"/>
    <m/>
    <m/>
    <x v="1"/>
    <n v="70805"/>
    <n v="2.7988039331424699"/>
    <d v="2016-02-18T12:19:25"/>
    <n v="15.35"/>
    <x v="564"/>
    <n v="1"/>
    <n v="2.2999999999999998"/>
    <n v="0"/>
    <n v="0"/>
    <n v="2.2999999999999998"/>
    <x v="551"/>
    <x v="0"/>
    <x v="2429"/>
    <x v="1387"/>
    <n v="14"/>
    <e v="#N/A"/>
    <e v="#N/A"/>
  </r>
  <r>
    <n v="4833"/>
    <d v="2016-02-18T12:53:52"/>
    <d v="2016-02-18T13:08:50"/>
    <x v="2"/>
    <m/>
    <m/>
    <x v="0"/>
    <n v="70804"/>
    <n v="0"/>
    <d v="2016-02-18T13:11:50"/>
    <n v="11.59"/>
    <x v="2"/>
    <n v="1"/>
    <n v="1.7"/>
    <n v="0"/>
    <n v="0"/>
    <n v="1.7"/>
    <x v="0"/>
    <x v="0"/>
    <x v="0"/>
    <x v="0"/>
    <n v="10"/>
    <e v="#N/A"/>
    <e v="#N/A"/>
  </r>
  <r>
    <n v="4834"/>
    <d v="2016-02-18T13:37:39"/>
    <d v="2016-02-18T13:52:39"/>
    <x v="1"/>
    <m/>
    <m/>
    <x v="1"/>
    <n v="70803"/>
    <n v="3.9550558507754801"/>
    <d v="2016-02-18T14:12:25"/>
    <n v="15.35"/>
    <x v="1431"/>
    <n v="1"/>
    <n v="2.2999999999999998"/>
    <n v="0"/>
    <n v="0"/>
    <n v="2.2999999999999998"/>
    <x v="1419"/>
    <x v="1"/>
    <x v="2430"/>
    <x v="0"/>
    <n v="14"/>
    <e v="#N/A"/>
    <e v="#N/A"/>
  </r>
  <r>
    <n v="4835"/>
    <d v="2016-02-18T11:07:29"/>
    <d v="2016-02-18T11:22:30"/>
    <x v="0"/>
    <m/>
    <m/>
    <x v="1"/>
    <n v="70806"/>
    <n v="2.9184327403950698"/>
    <d v="2016-02-18T11:37:05"/>
    <n v="7.99"/>
    <x v="1344"/>
    <n v="1"/>
    <n v="1"/>
    <n v="0"/>
    <n v="0"/>
    <n v="1"/>
    <x v="1332"/>
    <x v="0"/>
    <x v="2431"/>
    <x v="1388"/>
    <n v="7"/>
    <e v="#N/A"/>
    <e v="#N/A"/>
  </r>
  <r>
    <n v="4836"/>
    <d v="2016-02-18T11:37:43"/>
    <d v="2016-02-18T11:52:43"/>
    <x v="1"/>
    <m/>
    <m/>
    <x v="1"/>
    <n v="70804"/>
    <n v="4.0519862260853703"/>
    <d v="2016-02-18T12:12:58"/>
    <n v="15.35"/>
    <x v="1432"/>
    <n v="1"/>
    <n v="2.2999999999999998"/>
    <n v="0"/>
    <n v="0"/>
    <n v="2.2999999999999998"/>
    <x v="1420"/>
    <x v="1"/>
    <x v="2432"/>
    <x v="0"/>
    <n v="14"/>
    <e v="#N/A"/>
    <e v="#N/A"/>
  </r>
  <r>
    <n v="4837"/>
    <d v="2016-02-18T13:30:33"/>
    <d v="2016-02-18T13:45:32"/>
    <x v="2"/>
    <m/>
    <m/>
    <x v="1"/>
    <n v="70806"/>
    <n v="2.5939711557618499"/>
    <d v="2016-02-18T13:58:30"/>
    <n v="11.59"/>
    <x v="650"/>
    <n v="1"/>
    <n v="1.7"/>
    <n v="0"/>
    <n v="0"/>
    <n v="1.7"/>
    <x v="637"/>
    <x v="0"/>
    <x v="2433"/>
    <x v="1389"/>
    <n v="10"/>
    <e v="#N/A"/>
    <e v="#N/A"/>
  </r>
  <r>
    <n v="4838"/>
    <d v="2016-02-18T15:06:45"/>
    <d v="2016-02-18T15:21:46"/>
    <x v="2"/>
    <m/>
    <m/>
    <x v="1"/>
    <n v="70806"/>
    <n v="4.6411237438547897"/>
    <d v="2016-02-18T15:44:58"/>
    <n v="11.59"/>
    <x v="1433"/>
    <n v="1"/>
    <n v="1.7"/>
    <n v="0"/>
    <n v="0"/>
    <n v="1.7"/>
    <x v="1421"/>
    <x v="1"/>
    <x v="2434"/>
    <x v="0"/>
    <n v="10"/>
    <e v="#N/A"/>
    <e v="#N/A"/>
  </r>
  <r>
    <n v="4839"/>
    <d v="2016-02-18T11:41:12"/>
    <d v="2016-02-18T11:56:13"/>
    <x v="2"/>
    <m/>
    <m/>
    <x v="1"/>
    <n v="70807"/>
    <n v="2.9272219641102599"/>
    <d v="2016-02-18T12:10:51"/>
    <n v="11.59"/>
    <x v="751"/>
    <n v="1"/>
    <n v="1.7"/>
    <n v="0"/>
    <n v="0"/>
    <n v="1.7"/>
    <x v="738"/>
    <x v="0"/>
    <x v="2435"/>
    <x v="1390"/>
    <n v="10"/>
    <e v="#N/A"/>
    <e v="#N/A"/>
  </r>
  <r>
    <n v="4840"/>
    <d v="2016-02-18T11:31:42"/>
    <d v="2016-02-18T11:46:42"/>
    <x v="0"/>
    <m/>
    <m/>
    <x v="1"/>
    <n v="70805"/>
    <n v="4.1210483771217001"/>
    <d v="2016-02-18T12:07:18"/>
    <n v="7.99"/>
    <x v="858"/>
    <n v="1"/>
    <n v="1"/>
    <n v="0"/>
    <n v="0"/>
    <n v="1"/>
    <x v="845"/>
    <x v="1"/>
    <x v="2436"/>
    <x v="0"/>
    <n v="7"/>
    <e v="#N/A"/>
    <e v="#N/A"/>
  </r>
  <r>
    <n v="4841"/>
    <d v="2016-02-18T11:19:31"/>
    <d v="2016-02-18T11:34:31"/>
    <x v="2"/>
    <s v="Large"/>
    <m/>
    <x v="0"/>
    <n v="70805"/>
    <n v="0"/>
    <d v="2016-02-18T11:37:32"/>
    <n v="25.94"/>
    <x v="56"/>
    <n v="2"/>
    <n v="1.7"/>
    <n v="2.2999999999999998"/>
    <n v="0"/>
    <n v="4"/>
    <x v="0"/>
    <x v="0"/>
    <x v="0"/>
    <x v="0"/>
    <n v="10"/>
    <n v="14"/>
    <e v="#N/A"/>
  </r>
  <r>
    <n v="4842"/>
    <d v="2016-02-18T12:39:18"/>
    <d v="2016-02-18T12:54:17"/>
    <x v="0"/>
    <s v="Medium"/>
    <m/>
    <x v="0"/>
    <n v="70805"/>
    <n v="0"/>
    <d v="2016-02-18T12:57:17"/>
    <n v="19.579999999999998"/>
    <x v="2"/>
    <n v="2"/>
    <n v="1"/>
    <n v="1.7"/>
    <n v="0"/>
    <n v="2.7"/>
    <x v="0"/>
    <x v="0"/>
    <x v="0"/>
    <x v="0"/>
    <n v="7"/>
    <n v="10"/>
    <e v="#N/A"/>
  </r>
  <r>
    <n v="4843"/>
    <d v="2016-02-18T10:17:29"/>
    <d v="2016-02-18T10:32:30"/>
    <x v="0"/>
    <s v="Large"/>
    <m/>
    <x v="0"/>
    <n v="70805"/>
    <n v="0"/>
    <d v="2016-02-18T10:35:30"/>
    <n v="23.34"/>
    <x v="2"/>
    <n v="2"/>
    <n v="1"/>
    <n v="2.2999999999999998"/>
    <n v="0"/>
    <n v="3.3"/>
    <x v="0"/>
    <x v="0"/>
    <x v="0"/>
    <x v="0"/>
    <n v="7"/>
    <n v="14"/>
    <e v="#N/A"/>
  </r>
  <r>
    <n v="4844"/>
    <d v="2016-02-18T12:42:59"/>
    <d v="2016-02-18T12:57:59"/>
    <x v="0"/>
    <s v="Medium"/>
    <m/>
    <x v="0"/>
    <n v="70805"/>
    <n v="0"/>
    <d v="2016-02-18T13:00:56"/>
    <n v="19.579999999999998"/>
    <x v="22"/>
    <n v="2"/>
    <n v="1"/>
    <n v="1.7"/>
    <n v="0"/>
    <n v="2.7"/>
    <x v="0"/>
    <x v="0"/>
    <x v="0"/>
    <x v="0"/>
    <n v="7"/>
    <n v="10"/>
    <e v="#N/A"/>
  </r>
  <r>
    <n v="4845"/>
    <d v="2016-02-18T12:41:29"/>
    <d v="2016-02-18T12:56:28"/>
    <x v="2"/>
    <m/>
    <m/>
    <x v="0"/>
    <n v="70806"/>
    <n v="0"/>
    <d v="2016-02-18T12:59:26"/>
    <n v="11.59"/>
    <x v="0"/>
    <n v="1"/>
    <n v="1.7"/>
    <n v="0"/>
    <n v="0"/>
    <n v="1.7"/>
    <x v="0"/>
    <x v="0"/>
    <x v="0"/>
    <x v="0"/>
    <n v="10"/>
    <e v="#N/A"/>
    <e v="#N/A"/>
  </r>
  <r>
    <n v="4846"/>
    <d v="2016-02-18T13:44:42"/>
    <d v="2016-02-18T13:59:40"/>
    <x v="2"/>
    <s v="Large"/>
    <m/>
    <x v="0"/>
    <n v="70805"/>
    <n v="0"/>
    <d v="2016-02-18T14:02:38"/>
    <n v="25.94"/>
    <x v="0"/>
    <n v="2"/>
    <n v="1.7"/>
    <n v="2.2999999999999998"/>
    <n v="0"/>
    <n v="4"/>
    <x v="0"/>
    <x v="0"/>
    <x v="0"/>
    <x v="0"/>
    <n v="10"/>
    <n v="14"/>
    <e v="#N/A"/>
  </r>
  <r>
    <n v="4847"/>
    <d v="2016-02-18T12:31:08"/>
    <d v="2016-02-18T12:46:07"/>
    <x v="0"/>
    <s v="Medium"/>
    <m/>
    <x v="1"/>
    <n v="70806"/>
    <n v="4.6477593694286403"/>
    <d v="2016-02-18T13:09:21"/>
    <n v="19.579999999999998"/>
    <x v="1434"/>
    <n v="2"/>
    <n v="1"/>
    <n v="1.7"/>
    <n v="0"/>
    <n v="2.7"/>
    <x v="1422"/>
    <x v="1"/>
    <x v="2437"/>
    <x v="0"/>
    <n v="7"/>
    <n v="10"/>
    <e v="#N/A"/>
  </r>
  <r>
    <n v="4848"/>
    <d v="2016-02-18T13:53:57"/>
    <d v="2016-02-18T14:08:59"/>
    <x v="2"/>
    <m/>
    <m/>
    <x v="1"/>
    <n v="70803"/>
    <n v="1.34778564053937"/>
    <d v="2016-02-18T14:15:43"/>
    <n v="11.59"/>
    <x v="1435"/>
    <n v="1"/>
    <n v="1.7"/>
    <n v="0"/>
    <n v="0"/>
    <n v="1.7"/>
    <x v="1423"/>
    <x v="0"/>
    <x v="2438"/>
    <x v="1391"/>
    <n v="10"/>
    <e v="#N/A"/>
    <e v="#N/A"/>
  </r>
  <r>
    <n v="4849"/>
    <d v="2016-02-18T13:47:11"/>
    <d v="2016-02-18T14:02:11"/>
    <x v="1"/>
    <m/>
    <m/>
    <x v="1"/>
    <n v="70804"/>
    <n v="4.3168922098564604"/>
    <d v="2016-02-18T14:23:46"/>
    <n v="15.35"/>
    <x v="1436"/>
    <n v="1"/>
    <n v="2.2999999999999998"/>
    <n v="0"/>
    <n v="0"/>
    <n v="2.2999999999999998"/>
    <x v="1424"/>
    <x v="1"/>
    <x v="2439"/>
    <x v="0"/>
    <n v="14"/>
    <e v="#N/A"/>
    <e v="#N/A"/>
  </r>
  <r>
    <n v="4850"/>
    <d v="2016-02-18T13:35:53"/>
    <d v="2016-02-18T13:50:50"/>
    <x v="1"/>
    <m/>
    <m/>
    <x v="1"/>
    <n v="70805"/>
    <n v="3.08301982697385"/>
    <d v="2016-02-18T14:06:14"/>
    <n v="15.35"/>
    <x v="87"/>
    <n v="1"/>
    <n v="2.2999999999999998"/>
    <n v="0"/>
    <n v="0"/>
    <n v="2.2999999999999998"/>
    <x v="78"/>
    <x v="0"/>
    <x v="2440"/>
    <x v="1392"/>
    <n v="14"/>
    <e v="#N/A"/>
    <e v="#N/A"/>
  </r>
  <r>
    <n v="4851"/>
    <d v="2016-02-18T13:01:14"/>
    <d v="2016-02-18T13:16:13"/>
    <x v="1"/>
    <m/>
    <m/>
    <x v="1"/>
    <n v="70806"/>
    <n v="2.95192525974571"/>
    <d v="2016-02-18T13:30:58"/>
    <n v="15.35"/>
    <x v="1437"/>
    <n v="1"/>
    <n v="2.2999999999999998"/>
    <n v="0"/>
    <n v="0"/>
    <n v="2.2999999999999998"/>
    <x v="1425"/>
    <x v="0"/>
    <x v="2441"/>
    <x v="1393"/>
    <n v="14"/>
    <e v="#N/A"/>
    <e v="#N/A"/>
  </r>
  <r>
    <n v="4852"/>
    <d v="2016-02-18T12:47:25"/>
    <d v="2016-02-18T13:02:25"/>
    <x v="1"/>
    <m/>
    <m/>
    <x v="0"/>
    <n v="70805"/>
    <n v="0"/>
    <d v="2016-02-18T13:05:24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4853"/>
    <d v="2016-02-18T11:45:53"/>
    <d v="2016-02-18T12:00:53"/>
    <x v="0"/>
    <m/>
    <m/>
    <x v="0"/>
    <n v="70804"/>
    <n v="0"/>
    <d v="2016-02-18T12:03:53"/>
    <n v="7.99"/>
    <x v="2"/>
    <n v="1"/>
    <n v="1"/>
    <n v="0"/>
    <n v="0"/>
    <n v="1"/>
    <x v="0"/>
    <x v="0"/>
    <x v="0"/>
    <x v="0"/>
    <n v="7"/>
    <e v="#N/A"/>
    <e v="#N/A"/>
  </r>
  <r>
    <n v="4854"/>
    <d v="2016-02-18T10:15:39"/>
    <d v="2016-02-18T10:30:38"/>
    <x v="0"/>
    <m/>
    <m/>
    <x v="1"/>
    <n v="70807"/>
    <n v="1.4255266599901799"/>
    <d v="2016-02-18T10:37:45"/>
    <n v="7.99"/>
    <x v="98"/>
    <n v="1"/>
    <n v="1"/>
    <n v="0"/>
    <n v="0"/>
    <n v="1"/>
    <x v="89"/>
    <x v="0"/>
    <x v="2442"/>
    <x v="1394"/>
    <n v="7"/>
    <e v="#N/A"/>
    <e v="#N/A"/>
  </r>
  <r>
    <n v="4855"/>
    <d v="2016-02-18T13:46:44"/>
    <d v="2016-02-18T14:01:44"/>
    <x v="1"/>
    <m/>
    <m/>
    <x v="0"/>
    <n v="70803"/>
    <n v="0"/>
    <d v="2016-02-18T14:04:44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4856"/>
    <d v="2016-02-18T12:19:51"/>
    <d v="2016-02-18T12:34:50"/>
    <x v="1"/>
    <m/>
    <m/>
    <x v="0"/>
    <n v="70806"/>
    <n v="0"/>
    <d v="2016-02-18T12:37:49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4857"/>
    <d v="2016-02-18T12:14:30"/>
    <d v="2016-02-18T12:29:28"/>
    <x v="2"/>
    <m/>
    <m/>
    <x v="1"/>
    <n v="70805"/>
    <n v="1.6524226355253999"/>
    <d v="2016-02-18T12:37:43"/>
    <n v="11.59"/>
    <x v="1438"/>
    <n v="1"/>
    <n v="1.7"/>
    <n v="0"/>
    <n v="0"/>
    <n v="1.7"/>
    <x v="1426"/>
    <x v="0"/>
    <x v="2443"/>
    <x v="1395"/>
    <n v="10"/>
    <e v="#N/A"/>
    <e v="#N/A"/>
  </r>
  <r>
    <n v="4858"/>
    <d v="2016-02-18T13:12:40"/>
    <d v="2016-02-18T13:27:40"/>
    <x v="1"/>
    <m/>
    <m/>
    <x v="1"/>
    <n v="70806"/>
    <n v="2.91466145885494"/>
    <d v="2016-02-18T13:42:14"/>
    <n v="15.35"/>
    <x v="820"/>
    <n v="1"/>
    <n v="2.2999999999999998"/>
    <n v="0"/>
    <n v="0"/>
    <n v="2.2999999999999998"/>
    <x v="807"/>
    <x v="0"/>
    <x v="2444"/>
    <x v="1396"/>
    <n v="14"/>
    <e v="#N/A"/>
    <e v="#N/A"/>
  </r>
  <r>
    <n v="4859"/>
    <d v="2016-02-18T11:25:09"/>
    <d v="2016-02-18T11:40:09"/>
    <x v="1"/>
    <m/>
    <m/>
    <x v="1"/>
    <n v="70807"/>
    <n v="2.6227996473895598"/>
    <d v="2016-02-18T11:53:15"/>
    <n v="15.35"/>
    <x v="1313"/>
    <n v="1"/>
    <n v="2.2999999999999998"/>
    <n v="0"/>
    <n v="0"/>
    <n v="2.2999999999999998"/>
    <x v="1301"/>
    <x v="0"/>
    <x v="2445"/>
    <x v="1397"/>
    <n v="14"/>
    <e v="#N/A"/>
    <e v="#N/A"/>
  </r>
  <r>
    <n v="4860"/>
    <d v="2016-02-18T13:03:33"/>
    <d v="2016-02-18T13:18:31"/>
    <x v="0"/>
    <m/>
    <m/>
    <x v="0"/>
    <n v="70804"/>
    <n v="0"/>
    <d v="2016-02-18T13:21:32"/>
    <n v="7.99"/>
    <x v="14"/>
    <n v="1"/>
    <n v="1"/>
    <n v="0"/>
    <n v="0"/>
    <n v="1"/>
    <x v="0"/>
    <x v="0"/>
    <x v="0"/>
    <x v="0"/>
    <n v="7"/>
    <e v="#N/A"/>
    <e v="#N/A"/>
  </r>
  <r>
    <n v="4861"/>
    <d v="2016-02-18T11:11:04"/>
    <d v="2016-02-18T11:26:04"/>
    <x v="2"/>
    <m/>
    <m/>
    <x v="0"/>
    <n v="70807"/>
    <n v="0"/>
    <d v="2016-02-18T11:29:03"/>
    <n v="11.59"/>
    <x v="1"/>
    <n v="1"/>
    <n v="1.7"/>
    <n v="0"/>
    <n v="0"/>
    <n v="1.7"/>
    <x v="0"/>
    <x v="0"/>
    <x v="0"/>
    <x v="0"/>
    <n v="10"/>
    <e v="#N/A"/>
    <e v="#N/A"/>
  </r>
  <r>
    <n v="4862"/>
    <d v="2016-02-18T10:29:13"/>
    <d v="2016-02-18T10:44:13"/>
    <x v="1"/>
    <m/>
    <m/>
    <x v="0"/>
    <n v="70803"/>
    <n v="0"/>
    <d v="2016-02-18T10:47:11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4863"/>
    <d v="2016-02-18T11:26:09"/>
    <d v="2016-02-18T11:41:07"/>
    <x v="2"/>
    <m/>
    <m/>
    <x v="0"/>
    <n v="70803"/>
    <n v="0"/>
    <d v="2016-02-18T11:44:07"/>
    <n v="11.59"/>
    <x v="2"/>
    <n v="1"/>
    <n v="1.7"/>
    <n v="0"/>
    <n v="0"/>
    <n v="1.7"/>
    <x v="0"/>
    <x v="0"/>
    <x v="0"/>
    <x v="0"/>
    <n v="10"/>
    <e v="#N/A"/>
    <e v="#N/A"/>
  </r>
  <r>
    <n v="4864"/>
    <d v="2016-02-18T13:12:36"/>
    <d v="2016-02-18T13:27:36"/>
    <x v="1"/>
    <m/>
    <m/>
    <x v="0"/>
    <n v="70803"/>
    <n v="0"/>
    <d v="2016-02-18T13:30:35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4865"/>
    <d v="2016-02-18T12:19:39"/>
    <d v="2016-02-18T12:34:38"/>
    <x v="0"/>
    <s v="Medium"/>
    <m/>
    <x v="0"/>
    <n v="70805"/>
    <n v="0"/>
    <d v="2016-02-18T12:37:37"/>
    <n v="19.579999999999998"/>
    <x v="1"/>
    <n v="2"/>
    <n v="1"/>
    <n v="1.7"/>
    <n v="0"/>
    <n v="2.7"/>
    <x v="0"/>
    <x v="0"/>
    <x v="0"/>
    <x v="0"/>
    <n v="7"/>
    <n v="10"/>
    <e v="#N/A"/>
  </r>
  <r>
    <n v="4866"/>
    <d v="2016-02-18T10:29:48"/>
    <d v="2016-02-18T10:44:47"/>
    <x v="2"/>
    <m/>
    <m/>
    <x v="1"/>
    <n v="70804"/>
    <n v="5.2623068676797002"/>
    <d v="2016-02-18T11:11:05"/>
    <n v="11.59"/>
    <x v="1439"/>
    <n v="1"/>
    <n v="1.7"/>
    <n v="0"/>
    <n v="0"/>
    <n v="1.7"/>
    <x v="1427"/>
    <x v="1"/>
    <x v="2446"/>
    <x v="0"/>
    <n v="10"/>
    <e v="#N/A"/>
    <e v="#N/A"/>
  </r>
  <r>
    <n v="4867"/>
    <d v="2016-02-18T13:43:33"/>
    <d v="2016-02-18T13:58:33"/>
    <x v="0"/>
    <s v="Large"/>
    <m/>
    <x v="0"/>
    <n v="70805"/>
    <n v="0"/>
    <d v="2016-02-18T14:01:34"/>
    <n v="23.34"/>
    <x v="14"/>
    <n v="2"/>
    <n v="1"/>
    <n v="2.2999999999999998"/>
    <n v="0"/>
    <n v="3.3"/>
    <x v="0"/>
    <x v="0"/>
    <x v="0"/>
    <x v="0"/>
    <n v="7"/>
    <n v="14"/>
    <e v="#N/A"/>
  </r>
  <r>
    <n v="4868"/>
    <d v="2016-02-18T10:38:22"/>
    <d v="2016-02-18T10:53:23"/>
    <x v="0"/>
    <s v="Large"/>
    <m/>
    <x v="1"/>
    <n v="70806"/>
    <n v="3.7433167756094301"/>
    <d v="2016-02-18T11:12:05"/>
    <n v="23.34"/>
    <x v="1440"/>
    <n v="2"/>
    <n v="1"/>
    <n v="2.2999999999999998"/>
    <n v="0"/>
    <n v="3.3"/>
    <x v="1428"/>
    <x v="1"/>
    <x v="2447"/>
    <x v="0"/>
    <n v="7"/>
    <n v="14"/>
    <e v="#N/A"/>
  </r>
  <r>
    <n v="4869"/>
    <d v="2016-02-18T13:14:01"/>
    <d v="2016-02-18T13:29:01"/>
    <x v="2"/>
    <m/>
    <m/>
    <x v="0"/>
    <n v="70806"/>
    <n v="0"/>
    <d v="2016-02-18T13:32:02"/>
    <n v="11.59"/>
    <x v="14"/>
    <n v="1"/>
    <n v="1.7"/>
    <n v="0"/>
    <n v="0"/>
    <n v="1.7"/>
    <x v="0"/>
    <x v="0"/>
    <x v="0"/>
    <x v="0"/>
    <n v="10"/>
    <e v="#N/A"/>
    <e v="#N/A"/>
  </r>
  <r>
    <n v="4870"/>
    <d v="2016-02-18T10:31:08"/>
    <d v="2016-02-18T10:46:08"/>
    <x v="2"/>
    <m/>
    <m/>
    <x v="1"/>
    <n v="70805"/>
    <n v="0.805678129129066"/>
    <d v="2016-02-18T10:50:09"/>
    <n v="11.59"/>
    <x v="1441"/>
    <n v="1"/>
    <n v="1.7"/>
    <n v="0"/>
    <n v="0"/>
    <n v="1.7"/>
    <x v="1429"/>
    <x v="0"/>
    <x v="2448"/>
    <x v="1398"/>
    <n v="10"/>
    <e v="#N/A"/>
    <e v="#N/A"/>
  </r>
  <r>
    <n v="4871"/>
    <d v="2016-02-18T12:01:31"/>
    <d v="2016-02-18T12:16:31"/>
    <x v="0"/>
    <s v="Medium"/>
    <m/>
    <x v="1"/>
    <n v="70803"/>
    <n v="2.7881943613623599"/>
    <d v="2016-02-18T12:30:27"/>
    <n v="19.579999999999998"/>
    <x v="1442"/>
    <n v="2"/>
    <n v="1"/>
    <n v="1.7"/>
    <n v="0"/>
    <n v="2.7"/>
    <x v="1430"/>
    <x v="0"/>
    <x v="2449"/>
    <x v="1399"/>
    <n v="7"/>
    <n v="10"/>
    <e v="#N/A"/>
  </r>
  <r>
    <n v="4872"/>
    <d v="2016-02-18T11:24:31"/>
    <d v="2016-02-18T11:39:31"/>
    <x v="0"/>
    <m/>
    <m/>
    <x v="0"/>
    <n v="70805"/>
    <n v="0"/>
    <d v="2016-02-18T11:42:33"/>
    <n v="7.99"/>
    <x v="67"/>
    <n v="1"/>
    <n v="1"/>
    <n v="0"/>
    <n v="0"/>
    <n v="1"/>
    <x v="0"/>
    <x v="0"/>
    <x v="0"/>
    <x v="0"/>
    <n v="7"/>
    <e v="#N/A"/>
    <e v="#N/A"/>
  </r>
  <r>
    <n v="4873"/>
    <d v="2016-02-18T10:35:23"/>
    <d v="2016-02-18T10:50:23"/>
    <x v="1"/>
    <m/>
    <m/>
    <x v="0"/>
    <n v="70805"/>
    <n v="0"/>
    <d v="2016-02-18T10:53:25"/>
    <n v="15.35"/>
    <x v="171"/>
    <n v="1"/>
    <n v="2.2999999999999998"/>
    <n v="0"/>
    <n v="0"/>
    <n v="2.2999999999999998"/>
    <x v="0"/>
    <x v="0"/>
    <x v="0"/>
    <x v="0"/>
    <n v="14"/>
    <e v="#N/A"/>
    <e v="#N/A"/>
  </r>
  <r>
    <n v="4874"/>
    <d v="2016-02-18T11:46:31"/>
    <d v="2016-02-18T12:01:30"/>
    <x v="1"/>
    <m/>
    <m/>
    <x v="1"/>
    <n v="70805"/>
    <n v="3.58056016610134"/>
    <d v="2016-02-18T12:19:24"/>
    <n v="15.35"/>
    <x v="384"/>
    <n v="1"/>
    <n v="2.2999999999999998"/>
    <n v="0"/>
    <n v="0"/>
    <n v="2.2999999999999998"/>
    <x v="371"/>
    <x v="1"/>
    <x v="2450"/>
    <x v="0"/>
    <n v="14"/>
    <e v="#N/A"/>
    <e v="#N/A"/>
  </r>
  <r>
    <n v="4875"/>
    <d v="2016-02-18T13:23:54"/>
    <d v="2016-02-18T13:38:54"/>
    <x v="1"/>
    <m/>
    <m/>
    <x v="1"/>
    <n v="70805"/>
    <n v="3.7958029671036502"/>
    <d v="2016-02-18T13:57:52"/>
    <n v="15.35"/>
    <x v="881"/>
    <n v="1"/>
    <n v="2.2999999999999998"/>
    <n v="0"/>
    <n v="0"/>
    <n v="2.2999999999999998"/>
    <x v="868"/>
    <x v="1"/>
    <x v="2451"/>
    <x v="0"/>
    <n v="14"/>
    <e v="#N/A"/>
    <e v="#N/A"/>
  </r>
  <r>
    <n v="4876"/>
    <d v="2016-02-18T12:40:26"/>
    <d v="2016-02-18T12:55:25"/>
    <x v="1"/>
    <m/>
    <m/>
    <x v="1"/>
    <n v="70805"/>
    <n v="3.5056907680735301"/>
    <d v="2016-02-18T13:12:56"/>
    <n v="15.35"/>
    <x v="1443"/>
    <n v="1"/>
    <n v="2.2999999999999998"/>
    <n v="0"/>
    <n v="0"/>
    <n v="2.2999999999999998"/>
    <x v="1431"/>
    <x v="1"/>
    <x v="2452"/>
    <x v="0"/>
    <n v="14"/>
    <e v="#N/A"/>
    <e v="#N/A"/>
  </r>
  <r>
    <n v="4877"/>
    <d v="2016-02-18T11:44:30"/>
    <d v="2016-02-18T11:59:30"/>
    <x v="0"/>
    <m/>
    <m/>
    <x v="1"/>
    <n v="70805"/>
    <n v="3.10649913351785"/>
    <d v="2016-02-18T12:15:01"/>
    <n v="7.99"/>
    <x v="120"/>
    <n v="1"/>
    <n v="1"/>
    <n v="0"/>
    <n v="0"/>
    <n v="1"/>
    <x v="110"/>
    <x v="0"/>
    <x v="2453"/>
    <x v="1400"/>
    <n v="7"/>
    <e v="#N/A"/>
    <e v="#N/A"/>
  </r>
  <r>
    <n v="4878"/>
    <d v="2016-02-18T11:56:27"/>
    <d v="2016-02-18T12:11:27"/>
    <x v="2"/>
    <m/>
    <m/>
    <x v="1"/>
    <n v="70806"/>
    <n v="3.4252720461611199"/>
    <d v="2016-02-18T12:28:34"/>
    <n v="11.59"/>
    <x v="826"/>
    <n v="1"/>
    <n v="1.7"/>
    <n v="0"/>
    <n v="0"/>
    <n v="1.7"/>
    <x v="813"/>
    <x v="1"/>
    <x v="2454"/>
    <x v="0"/>
    <n v="10"/>
    <e v="#N/A"/>
    <e v="#N/A"/>
  </r>
  <r>
    <n v="4879"/>
    <d v="2016-02-18T11:56:35"/>
    <d v="2016-02-18T12:11:36"/>
    <x v="2"/>
    <m/>
    <m/>
    <x v="1"/>
    <n v="70806"/>
    <n v="4.3496766387993002"/>
    <d v="2016-02-18T12:33:20"/>
    <n v="11.59"/>
    <x v="1323"/>
    <n v="1"/>
    <n v="1.7"/>
    <n v="0"/>
    <n v="0"/>
    <n v="1.7"/>
    <x v="1311"/>
    <x v="1"/>
    <x v="2455"/>
    <x v="0"/>
    <n v="10"/>
    <e v="#N/A"/>
    <e v="#N/A"/>
  </r>
  <r>
    <n v="4880"/>
    <d v="2016-02-18T10:58:08"/>
    <d v="2016-02-18T11:13:08"/>
    <x v="1"/>
    <m/>
    <m/>
    <x v="1"/>
    <n v="70804"/>
    <n v="2.8654039853518301"/>
    <d v="2016-02-18T11:27:27"/>
    <n v="15.35"/>
    <x v="1444"/>
    <n v="1"/>
    <n v="2.2999999999999998"/>
    <n v="0"/>
    <n v="0"/>
    <n v="2.2999999999999998"/>
    <x v="1432"/>
    <x v="0"/>
    <x v="2456"/>
    <x v="1401"/>
    <n v="14"/>
    <e v="#N/A"/>
    <e v="#N/A"/>
  </r>
  <r>
    <n v="4881"/>
    <d v="2016-02-18T12:28:11"/>
    <d v="2016-02-18T12:43:11"/>
    <x v="2"/>
    <m/>
    <m/>
    <x v="1"/>
    <n v="70804"/>
    <n v="2.26896110243668"/>
    <d v="2016-02-18T12:54:31"/>
    <n v="11.59"/>
    <x v="1411"/>
    <n v="1"/>
    <n v="1.7"/>
    <n v="0"/>
    <n v="0"/>
    <n v="1.7"/>
    <x v="1399"/>
    <x v="0"/>
    <x v="2457"/>
    <x v="1402"/>
    <n v="10"/>
    <e v="#N/A"/>
    <e v="#N/A"/>
  </r>
  <r>
    <n v="4882"/>
    <d v="2016-02-18T10:34:35"/>
    <d v="2016-02-18T10:49:34"/>
    <x v="0"/>
    <s v="Medium"/>
    <m/>
    <x v="1"/>
    <n v="70805"/>
    <n v="4.9062933289870099"/>
    <d v="2016-02-18T11:14:05"/>
    <n v="19.579999999999998"/>
    <x v="1445"/>
    <n v="2"/>
    <n v="1"/>
    <n v="1.7"/>
    <n v="0"/>
    <n v="2.7"/>
    <x v="1433"/>
    <x v="1"/>
    <x v="2458"/>
    <x v="0"/>
    <n v="7"/>
    <n v="10"/>
    <e v="#N/A"/>
  </r>
  <r>
    <n v="4883"/>
    <d v="2016-02-18T10:45:00"/>
    <d v="2016-02-18T11:00:00"/>
    <x v="0"/>
    <m/>
    <m/>
    <x v="0"/>
    <n v="70804"/>
    <n v="0"/>
    <d v="2016-02-18T11:03:00"/>
    <n v="7.99"/>
    <x v="2"/>
    <n v="1"/>
    <n v="1"/>
    <n v="0"/>
    <n v="0"/>
    <n v="1"/>
    <x v="0"/>
    <x v="0"/>
    <x v="0"/>
    <x v="0"/>
    <n v="7"/>
    <e v="#N/A"/>
    <e v="#N/A"/>
  </r>
  <r>
    <n v="4884"/>
    <d v="2016-02-18T12:35:02"/>
    <d v="2016-02-18T12:50:02"/>
    <x v="2"/>
    <m/>
    <m/>
    <x v="1"/>
    <n v="70804"/>
    <n v="4.9597190078748499"/>
    <d v="2016-02-18T13:14:49"/>
    <n v="11.59"/>
    <x v="1446"/>
    <n v="1"/>
    <n v="1.7"/>
    <n v="0"/>
    <n v="0"/>
    <n v="1.7"/>
    <x v="1434"/>
    <x v="1"/>
    <x v="2459"/>
    <x v="0"/>
    <n v="10"/>
    <e v="#N/A"/>
    <e v="#N/A"/>
  </r>
  <r>
    <n v="4885"/>
    <d v="2016-02-18T13:07:24"/>
    <d v="2016-02-18T13:22:24"/>
    <x v="1"/>
    <m/>
    <m/>
    <x v="0"/>
    <n v="70804"/>
    <n v="0"/>
    <d v="2016-02-18T13:25:24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4886"/>
    <d v="2016-02-18T12:19:09"/>
    <d v="2016-02-18T12:34:10"/>
    <x v="2"/>
    <m/>
    <m/>
    <x v="0"/>
    <n v="70806"/>
    <n v="0"/>
    <d v="2016-02-18T12:37:11"/>
    <n v="11.59"/>
    <x v="56"/>
    <n v="1"/>
    <n v="1.7"/>
    <n v="0"/>
    <n v="0"/>
    <n v="1.7"/>
    <x v="0"/>
    <x v="0"/>
    <x v="0"/>
    <x v="0"/>
    <n v="10"/>
    <e v="#N/A"/>
    <e v="#N/A"/>
  </r>
  <r>
    <n v="4887"/>
    <d v="2016-02-18T13:26:11"/>
    <d v="2016-02-18T13:41:09"/>
    <x v="0"/>
    <m/>
    <m/>
    <x v="0"/>
    <n v="70803"/>
    <n v="0"/>
    <d v="2016-02-18T13:44:10"/>
    <n v="7.99"/>
    <x v="14"/>
    <n v="1"/>
    <n v="1"/>
    <n v="0"/>
    <n v="0"/>
    <n v="1"/>
    <x v="0"/>
    <x v="0"/>
    <x v="0"/>
    <x v="0"/>
    <n v="7"/>
    <e v="#N/A"/>
    <e v="#N/A"/>
  </r>
  <r>
    <n v="4888"/>
    <d v="2016-02-18T11:36:47"/>
    <d v="2016-02-18T11:51:47"/>
    <x v="0"/>
    <s v="Medium"/>
    <m/>
    <x v="1"/>
    <n v="70807"/>
    <n v="0.966701206551276"/>
    <d v="2016-02-18T11:56:37"/>
    <n v="19.579999999999998"/>
    <x v="1447"/>
    <n v="2"/>
    <n v="1"/>
    <n v="1.7"/>
    <n v="0"/>
    <n v="2.7"/>
    <x v="1435"/>
    <x v="0"/>
    <x v="2460"/>
    <x v="1403"/>
    <n v="7"/>
    <n v="10"/>
    <e v="#N/A"/>
  </r>
  <r>
    <n v="4889"/>
    <d v="2016-02-18T11:22:56"/>
    <d v="2016-02-18T11:37:55"/>
    <x v="2"/>
    <m/>
    <m/>
    <x v="0"/>
    <n v="70804"/>
    <n v="0"/>
    <d v="2016-02-18T11:40:54"/>
    <n v="11.59"/>
    <x v="24"/>
    <n v="1"/>
    <n v="1.7"/>
    <n v="0"/>
    <n v="0"/>
    <n v="1.7"/>
    <x v="0"/>
    <x v="0"/>
    <x v="0"/>
    <x v="0"/>
    <n v="10"/>
    <e v="#N/A"/>
    <e v="#N/A"/>
  </r>
  <r>
    <n v="4890"/>
    <d v="2016-02-18T12:36:24"/>
    <d v="2016-02-18T12:51:23"/>
    <x v="0"/>
    <s v="Medium"/>
    <m/>
    <x v="1"/>
    <n v="70804"/>
    <n v="5.0904176641624597"/>
    <d v="2016-02-18T13:16:50"/>
    <n v="19.579999999999998"/>
    <x v="1448"/>
    <n v="2"/>
    <n v="1"/>
    <n v="1.7"/>
    <n v="0"/>
    <n v="2.7"/>
    <x v="1436"/>
    <x v="1"/>
    <x v="2461"/>
    <x v="0"/>
    <n v="7"/>
    <n v="10"/>
    <e v="#N/A"/>
  </r>
  <r>
    <n v="4891"/>
    <d v="2016-02-18T12:42:15"/>
    <d v="2016-02-18T12:57:15"/>
    <x v="0"/>
    <m/>
    <m/>
    <x v="1"/>
    <n v="70804"/>
    <n v="2.6674848246155198"/>
    <d v="2016-02-18T13:10:35"/>
    <n v="7.99"/>
    <x v="114"/>
    <n v="1"/>
    <n v="1"/>
    <n v="0"/>
    <n v="0"/>
    <n v="1"/>
    <x v="104"/>
    <x v="0"/>
    <x v="2462"/>
    <x v="1404"/>
    <n v="7"/>
    <e v="#N/A"/>
    <e v="#N/A"/>
  </r>
  <r>
    <n v="4892"/>
    <d v="2016-02-18T11:31:15"/>
    <d v="2016-02-18T11:46:15"/>
    <x v="0"/>
    <s v="Medium"/>
    <m/>
    <x v="0"/>
    <n v="70804"/>
    <n v="0"/>
    <d v="2016-02-18T11:49:13"/>
    <n v="19.579999999999998"/>
    <x v="0"/>
    <n v="2"/>
    <n v="1"/>
    <n v="1.7"/>
    <n v="0"/>
    <n v="2.7"/>
    <x v="0"/>
    <x v="0"/>
    <x v="0"/>
    <x v="0"/>
    <n v="7"/>
    <n v="10"/>
    <e v="#N/A"/>
  </r>
  <r>
    <n v="4893"/>
    <d v="2016-02-18T11:07:01"/>
    <d v="2016-02-18T11:22:00"/>
    <x v="0"/>
    <s v="Medium"/>
    <m/>
    <x v="1"/>
    <n v="70804"/>
    <n v="3.6937767924985301"/>
    <d v="2016-02-18T11:40:28"/>
    <n v="19.579999999999998"/>
    <x v="976"/>
    <n v="2"/>
    <n v="1"/>
    <n v="1.7"/>
    <n v="0"/>
    <n v="2.7"/>
    <x v="963"/>
    <x v="1"/>
    <x v="2463"/>
    <x v="0"/>
    <n v="7"/>
    <n v="10"/>
    <e v="#N/A"/>
  </r>
  <r>
    <n v="4894"/>
    <d v="2016-02-18T10:37:29"/>
    <d v="2016-02-18T10:52:30"/>
    <x v="0"/>
    <s v="Medium"/>
    <m/>
    <x v="0"/>
    <n v="70806"/>
    <n v="0"/>
    <d v="2016-02-18T10:55:29"/>
    <n v="19.579999999999998"/>
    <x v="24"/>
    <n v="2"/>
    <n v="1"/>
    <n v="1.7"/>
    <n v="0"/>
    <n v="2.7"/>
    <x v="0"/>
    <x v="0"/>
    <x v="0"/>
    <x v="0"/>
    <n v="7"/>
    <n v="10"/>
    <e v="#N/A"/>
  </r>
  <r>
    <n v="4895"/>
    <d v="2016-02-18T11:25:06"/>
    <d v="2016-02-18T11:40:05"/>
    <x v="1"/>
    <m/>
    <m/>
    <x v="1"/>
    <n v="70807"/>
    <n v="0.84395463142483995"/>
    <d v="2016-02-18T11:44:18"/>
    <n v="15.35"/>
    <x v="1449"/>
    <n v="1"/>
    <n v="2.2999999999999998"/>
    <n v="0"/>
    <n v="0"/>
    <n v="2.2999999999999998"/>
    <x v="1437"/>
    <x v="0"/>
    <x v="2464"/>
    <x v="1405"/>
    <n v="14"/>
    <e v="#N/A"/>
    <e v="#N/A"/>
  </r>
  <r>
    <n v="4896"/>
    <d v="2016-02-18T12:13:29"/>
    <d v="2016-02-18T12:28:28"/>
    <x v="1"/>
    <m/>
    <m/>
    <x v="1"/>
    <n v="70805"/>
    <n v="2.4175005151310498"/>
    <d v="2016-02-18T12:40:33"/>
    <n v="15.35"/>
    <x v="403"/>
    <n v="1"/>
    <n v="2.2999999999999998"/>
    <n v="0"/>
    <n v="0"/>
    <n v="2.2999999999999998"/>
    <x v="390"/>
    <x v="0"/>
    <x v="2465"/>
    <x v="1406"/>
    <n v="14"/>
    <e v="#N/A"/>
    <e v="#N/A"/>
  </r>
  <r>
    <n v="4897"/>
    <d v="2016-02-18T13:08:40"/>
    <d v="2016-02-18T13:23:40"/>
    <x v="1"/>
    <m/>
    <m/>
    <x v="0"/>
    <n v="70805"/>
    <n v="0"/>
    <d v="2016-02-18T13:26:38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4898"/>
    <d v="2016-02-18T11:07:28"/>
    <d v="2016-02-18T11:22:27"/>
    <x v="1"/>
    <m/>
    <m/>
    <x v="0"/>
    <n v="70803"/>
    <n v="0"/>
    <d v="2016-02-18T11:25:27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4899"/>
    <d v="2016-02-18T11:52:13"/>
    <d v="2016-02-18T12:07:13"/>
    <x v="2"/>
    <m/>
    <m/>
    <x v="0"/>
    <n v="70803"/>
    <n v="0"/>
    <d v="2016-02-18T12:10:13"/>
    <n v="11.59"/>
    <x v="2"/>
    <n v="1"/>
    <n v="1.7"/>
    <n v="0"/>
    <n v="0"/>
    <n v="1.7"/>
    <x v="0"/>
    <x v="0"/>
    <x v="0"/>
    <x v="0"/>
    <n v="10"/>
    <e v="#N/A"/>
    <e v="#N/A"/>
  </r>
  <r>
    <n v="4900"/>
    <d v="2016-02-18T11:19:16"/>
    <d v="2016-02-18T11:34:15"/>
    <x v="0"/>
    <s v="Large"/>
    <m/>
    <x v="1"/>
    <n v="70804"/>
    <n v="3.0153938151502802"/>
    <d v="2016-02-18T11:49:19"/>
    <n v="23.34"/>
    <x v="1450"/>
    <n v="2"/>
    <n v="1"/>
    <n v="2.2999999999999998"/>
    <n v="0"/>
    <n v="3.3"/>
    <x v="1438"/>
    <x v="0"/>
    <x v="2466"/>
    <x v="1407"/>
    <n v="7"/>
    <n v="14"/>
    <e v="#N/A"/>
  </r>
  <r>
    <n v="4901"/>
    <d v="2016-02-18T12:42:28"/>
    <d v="2016-02-18T12:57:26"/>
    <x v="0"/>
    <s v="Medium"/>
    <m/>
    <x v="1"/>
    <n v="70803"/>
    <n v="3.8535091521449698"/>
    <d v="2016-02-18T13:16:42"/>
    <n v="19.579999999999998"/>
    <x v="1451"/>
    <n v="2"/>
    <n v="1"/>
    <n v="1.7"/>
    <n v="0"/>
    <n v="2.7"/>
    <x v="1439"/>
    <x v="1"/>
    <x v="2467"/>
    <x v="0"/>
    <n v="7"/>
    <n v="10"/>
    <e v="#N/A"/>
  </r>
  <r>
    <n v="4902"/>
    <d v="2016-02-18T13:00:58"/>
    <d v="2016-02-18T13:15:58"/>
    <x v="2"/>
    <m/>
    <m/>
    <x v="1"/>
    <n v="70806"/>
    <n v="4.8998355204607202"/>
    <d v="2016-02-18T13:40:27"/>
    <n v="11.59"/>
    <x v="1452"/>
    <n v="1"/>
    <n v="1.7"/>
    <n v="0"/>
    <n v="0"/>
    <n v="1.7"/>
    <x v="1440"/>
    <x v="1"/>
    <x v="2468"/>
    <x v="0"/>
    <n v="10"/>
    <e v="#N/A"/>
    <e v="#N/A"/>
  </r>
  <r>
    <n v="4903"/>
    <d v="2016-02-18T11:39:58"/>
    <d v="2016-02-18T11:54:59"/>
    <x v="0"/>
    <s v="Medium"/>
    <m/>
    <x v="0"/>
    <n v="70805"/>
    <n v="0"/>
    <d v="2016-02-18T11:57:59"/>
    <n v="19.579999999999998"/>
    <x v="2"/>
    <n v="2"/>
    <n v="1"/>
    <n v="1.7"/>
    <n v="0"/>
    <n v="2.7"/>
    <x v="0"/>
    <x v="0"/>
    <x v="0"/>
    <x v="0"/>
    <n v="7"/>
    <n v="10"/>
    <e v="#N/A"/>
  </r>
  <r>
    <n v="4904"/>
    <d v="2016-02-18T11:41:34"/>
    <d v="2016-02-18T11:56:34"/>
    <x v="1"/>
    <m/>
    <m/>
    <x v="0"/>
    <n v="70803"/>
    <n v="0"/>
    <d v="2016-02-18T11:59:33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4905"/>
    <d v="2016-02-18T10:49:50"/>
    <d v="2016-02-18T11:04:50"/>
    <x v="1"/>
    <m/>
    <m/>
    <x v="1"/>
    <n v="70805"/>
    <n v="2.7254478367723198"/>
    <d v="2016-02-18T11:18:27"/>
    <n v="15.35"/>
    <x v="453"/>
    <n v="1"/>
    <n v="2.2999999999999998"/>
    <n v="0"/>
    <n v="0"/>
    <n v="2.2999999999999998"/>
    <x v="440"/>
    <x v="0"/>
    <x v="2469"/>
    <x v="1408"/>
    <n v="14"/>
    <e v="#N/A"/>
    <e v="#N/A"/>
  </r>
  <r>
    <n v="4906"/>
    <d v="2016-02-18T11:51:31"/>
    <d v="2016-02-18T12:06:29"/>
    <x v="0"/>
    <s v="Large"/>
    <m/>
    <x v="0"/>
    <n v="70805"/>
    <n v="0"/>
    <d v="2016-02-18T12:09:30"/>
    <n v="23.34"/>
    <x v="14"/>
    <n v="2"/>
    <n v="1"/>
    <n v="2.2999999999999998"/>
    <n v="0"/>
    <n v="3.3"/>
    <x v="0"/>
    <x v="0"/>
    <x v="0"/>
    <x v="0"/>
    <n v="7"/>
    <n v="14"/>
    <e v="#N/A"/>
  </r>
  <r>
    <n v="4907"/>
    <d v="2016-02-18T14:31:06"/>
    <d v="2016-02-18T14:46:05"/>
    <x v="1"/>
    <m/>
    <m/>
    <x v="1"/>
    <n v="70807"/>
    <n v="4.6246623803022597"/>
    <d v="2016-02-18T15:09:12"/>
    <n v="15.35"/>
    <x v="1127"/>
    <n v="1"/>
    <n v="2.2999999999999998"/>
    <n v="0"/>
    <n v="0"/>
    <n v="2.2999999999999998"/>
    <x v="1114"/>
    <x v="1"/>
    <x v="2470"/>
    <x v="0"/>
    <n v="14"/>
    <e v="#N/A"/>
    <e v="#N/A"/>
  </r>
  <r>
    <n v="4908"/>
    <d v="2016-02-18T12:32:21"/>
    <d v="2016-02-18T12:47:20"/>
    <x v="1"/>
    <m/>
    <m/>
    <x v="0"/>
    <n v="70804"/>
    <n v="0"/>
    <d v="2016-02-18T12:50:20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4909"/>
    <d v="2016-02-18T12:54:49"/>
    <d v="2016-02-18T13:09:50"/>
    <x v="1"/>
    <m/>
    <m/>
    <x v="0"/>
    <n v="70804"/>
    <n v="0"/>
    <d v="2016-02-18T13:12:48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4910"/>
    <d v="2016-02-18T12:22:38"/>
    <d v="2016-02-18T12:37:38"/>
    <x v="1"/>
    <m/>
    <m/>
    <x v="1"/>
    <n v="70804"/>
    <n v="1.5403294454030201"/>
    <d v="2016-02-18T12:45:20"/>
    <n v="15.35"/>
    <x v="1367"/>
    <n v="1"/>
    <n v="2.2999999999999998"/>
    <n v="0"/>
    <n v="0"/>
    <n v="2.2999999999999998"/>
    <x v="1355"/>
    <x v="0"/>
    <x v="2471"/>
    <x v="1409"/>
    <n v="14"/>
    <e v="#N/A"/>
    <e v="#N/A"/>
  </r>
  <r>
    <n v="4911"/>
    <d v="2016-02-18T12:08:04"/>
    <d v="2016-02-18T12:23:03"/>
    <x v="1"/>
    <m/>
    <m/>
    <x v="0"/>
    <n v="70808"/>
    <n v="0"/>
    <d v="2016-02-18T12:26:03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4912"/>
    <d v="2016-02-18T13:22:08"/>
    <d v="2016-02-18T13:37:08"/>
    <x v="0"/>
    <m/>
    <m/>
    <x v="1"/>
    <n v="70803"/>
    <n v="3.5571854338645399"/>
    <d v="2016-02-18T13:54:55"/>
    <n v="7.99"/>
    <x v="909"/>
    <n v="1"/>
    <n v="1"/>
    <n v="0"/>
    <n v="0"/>
    <n v="1"/>
    <x v="896"/>
    <x v="1"/>
    <x v="2472"/>
    <x v="0"/>
    <n v="7"/>
    <e v="#N/A"/>
    <e v="#N/A"/>
  </r>
  <r>
    <n v="4913"/>
    <d v="2016-02-18T11:38:14"/>
    <d v="2016-02-18T11:53:15"/>
    <x v="0"/>
    <s v="Large"/>
    <m/>
    <x v="1"/>
    <n v="70804"/>
    <n v="1.60045198533452"/>
    <d v="2016-02-18T12:01:15"/>
    <n v="23.34"/>
    <x v="1453"/>
    <n v="2"/>
    <n v="1"/>
    <n v="2.2999999999999998"/>
    <n v="0"/>
    <n v="3.3"/>
    <x v="1441"/>
    <x v="0"/>
    <x v="2473"/>
    <x v="1410"/>
    <n v="7"/>
    <n v="14"/>
    <e v="#N/A"/>
  </r>
  <r>
    <n v="4914"/>
    <d v="2016-02-18T11:24:05"/>
    <d v="2016-02-18T11:39:05"/>
    <x v="0"/>
    <s v="Medium"/>
    <m/>
    <x v="0"/>
    <n v="70806"/>
    <n v="0"/>
    <d v="2016-02-18T11:42:05"/>
    <n v="19.579999999999998"/>
    <x v="2"/>
    <n v="2"/>
    <n v="1"/>
    <n v="1.7"/>
    <n v="0"/>
    <n v="2.7"/>
    <x v="0"/>
    <x v="0"/>
    <x v="0"/>
    <x v="0"/>
    <n v="7"/>
    <n v="10"/>
    <e v="#N/A"/>
  </r>
  <r>
    <n v="4915"/>
    <d v="2016-02-18T12:56:05"/>
    <d v="2016-02-18T13:11:03"/>
    <x v="0"/>
    <m/>
    <m/>
    <x v="0"/>
    <n v="70805"/>
    <n v="0"/>
    <d v="2016-02-18T13:14:02"/>
    <n v="7.99"/>
    <x v="24"/>
    <n v="1"/>
    <n v="1"/>
    <n v="0"/>
    <n v="0"/>
    <n v="1"/>
    <x v="0"/>
    <x v="0"/>
    <x v="0"/>
    <x v="0"/>
    <n v="7"/>
    <e v="#N/A"/>
    <e v="#N/A"/>
  </r>
  <r>
    <n v="4916"/>
    <d v="2016-02-18T13:14:19"/>
    <d v="2016-02-18T13:29:18"/>
    <x v="1"/>
    <m/>
    <m/>
    <x v="1"/>
    <n v="70806"/>
    <n v="4.52606558266082"/>
    <d v="2016-02-18T13:51:55"/>
    <n v="15.35"/>
    <x v="334"/>
    <n v="1"/>
    <n v="2.2999999999999998"/>
    <n v="0"/>
    <n v="0"/>
    <n v="2.2999999999999998"/>
    <x v="321"/>
    <x v="1"/>
    <x v="2474"/>
    <x v="0"/>
    <n v="14"/>
    <e v="#N/A"/>
    <e v="#N/A"/>
  </r>
  <r>
    <n v="4917"/>
    <d v="2016-02-18T11:37:42"/>
    <d v="2016-02-18T11:52:42"/>
    <x v="1"/>
    <m/>
    <m/>
    <x v="0"/>
    <n v="70806"/>
    <n v="0"/>
    <d v="2016-02-18T11:55:41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4918"/>
    <d v="2016-02-18T10:27:59"/>
    <d v="2016-02-18T10:42:58"/>
    <x v="0"/>
    <s v="Large"/>
    <m/>
    <x v="0"/>
    <n v="70807"/>
    <n v="0"/>
    <d v="2016-02-18T10:45:59"/>
    <n v="23.34"/>
    <x v="56"/>
    <n v="2"/>
    <n v="1"/>
    <n v="2.2999999999999998"/>
    <n v="0"/>
    <n v="3.3"/>
    <x v="0"/>
    <x v="0"/>
    <x v="0"/>
    <x v="0"/>
    <n v="7"/>
    <n v="14"/>
    <e v="#N/A"/>
  </r>
  <r>
    <n v="4919"/>
    <d v="2016-02-18T11:33:43"/>
    <d v="2016-02-18T11:48:42"/>
    <x v="0"/>
    <s v="Medium"/>
    <m/>
    <x v="1"/>
    <n v="70806"/>
    <n v="1.8282711659191999"/>
    <d v="2016-02-18T11:57:50"/>
    <n v="19.579999999999998"/>
    <x v="1454"/>
    <n v="2"/>
    <n v="1"/>
    <n v="1.7"/>
    <n v="0"/>
    <n v="2.7"/>
    <x v="1442"/>
    <x v="0"/>
    <x v="2475"/>
    <x v="1411"/>
    <n v="7"/>
    <n v="10"/>
    <e v="#N/A"/>
  </r>
  <r>
    <n v="4920"/>
    <d v="2016-02-18T11:18:38"/>
    <d v="2016-02-18T11:33:37"/>
    <x v="2"/>
    <m/>
    <m/>
    <x v="1"/>
    <n v="70807"/>
    <n v="2.4122264887744902"/>
    <d v="2016-02-18T11:45:40"/>
    <n v="11.59"/>
    <x v="467"/>
    <n v="1"/>
    <n v="1.7"/>
    <n v="0"/>
    <n v="0"/>
    <n v="1.7"/>
    <x v="454"/>
    <x v="0"/>
    <x v="2476"/>
    <x v="1412"/>
    <n v="10"/>
    <e v="#N/A"/>
    <e v="#N/A"/>
  </r>
  <r>
    <n v="4921"/>
    <d v="2016-02-18T12:40:13"/>
    <d v="2016-02-18T12:55:12"/>
    <x v="0"/>
    <s v="Medium"/>
    <m/>
    <x v="0"/>
    <n v="70807"/>
    <n v="0"/>
    <d v="2016-02-18T12:58:13"/>
    <n v="19.579999999999998"/>
    <x v="14"/>
    <n v="2"/>
    <n v="1"/>
    <n v="1.7"/>
    <n v="0"/>
    <n v="2.7"/>
    <x v="0"/>
    <x v="0"/>
    <x v="0"/>
    <x v="0"/>
    <n v="7"/>
    <n v="10"/>
    <e v="#N/A"/>
  </r>
  <r>
    <n v="4922"/>
    <d v="2016-02-18T12:17:49"/>
    <d v="2016-02-18T12:32:50"/>
    <x v="2"/>
    <m/>
    <m/>
    <x v="0"/>
    <n v="70803"/>
    <n v="0"/>
    <d v="2016-02-18T12:35:47"/>
    <n v="11.59"/>
    <x v="22"/>
    <n v="1"/>
    <n v="1.7"/>
    <n v="0"/>
    <n v="0"/>
    <n v="1.7"/>
    <x v="0"/>
    <x v="0"/>
    <x v="0"/>
    <x v="0"/>
    <n v="10"/>
    <e v="#N/A"/>
    <e v="#N/A"/>
  </r>
  <r>
    <n v="4923"/>
    <d v="2016-02-18T11:12:02"/>
    <d v="2016-02-18T11:27:01"/>
    <x v="1"/>
    <m/>
    <m/>
    <x v="0"/>
    <n v="70805"/>
    <n v="0"/>
    <d v="2016-02-18T11:30:00"/>
    <n v="15.35"/>
    <x v="24"/>
    <n v="1"/>
    <n v="2.2999999999999998"/>
    <n v="0"/>
    <n v="0"/>
    <n v="2.2999999999999998"/>
    <x v="0"/>
    <x v="0"/>
    <x v="0"/>
    <x v="0"/>
    <n v="14"/>
    <e v="#N/A"/>
    <e v="#N/A"/>
  </r>
  <r>
    <n v="4924"/>
    <d v="2016-02-18T14:05:40"/>
    <d v="2016-02-18T14:20:40"/>
    <x v="1"/>
    <m/>
    <m/>
    <x v="1"/>
    <n v="70805"/>
    <n v="3.7248732316797302"/>
    <d v="2016-02-18T14:39:17"/>
    <n v="15.35"/>
    <x v="500"/>
    <n v="1"/>
    <n v="2.2999999999999998"/>
    <n v="0"/>
    <n v="0"/>
    <n v="2.2999999999999998"/>
    <x v="487"/>
    <x v="1"/>
    <x v="2477"/>
    <x v="0"/>
    <n v="14"/>
    <e v="#N/A"/>
    <e v="#N/A"/>
  </r>
  <r>
    <n v="4925"/>
    <d v="2016-02-18T12:53:33"/>
    <d v="2016-02-18T13:08:33"/>
    <x v="0"/>
    <m/>
    <m/>
    <x v="0"/>
    <n v="70805"/>
    <n v="0"/>
    <d v="2016-02-18T13:11:32"/>
    <n v="7.99"/>
    <x v="24"/>
    <n v="1"/>
    <n v="1"/>
    <n v="0"/>
    <n v="0"/>
    <n v="1"/>
    <x v="0"/>
    <x v="0"/>
    <x v="0"/>
    <x v="0"/>
    <n v="7"/>
    <e v="#N/A"/>
    <e v="#N/A"/>
  </r>
  <r>
    <n v="4926"/>
    <d v="2016-02-18T10:39:19"/>
    <d v="2016-02-18T10:54:17"/>
    <x v="2"/>
    <m/>
    <m/>
    <x v="1"/>
    <n v="70806"/>
    <n v="3.3352280417046498"/>
    <d v="2016-02-18T11:10:57"/>
    <n v="11.59"/>
    <x v="145"/>
    <n v="1"/>
    <n v="1.7"/>
    <n v="0"/>
    <n v="0"/>
    <n v="1.7"/>
    <x v="135"/>
    <x v="1"/>
    <x v="2478"/>
    <x v="0"/>
    <n v="10"/>
    <e v="#N/A"/>
    <e v="#N/A"/>
  </r>
  <r>
    <n v="4927"/>
    <d v="2016-02-18T10:11:54"/>
    <d v="2016-02-18T10:26:55"/>
    <x v="0"/>
    <m/>
    <m/>
    <x v="1"/>
    <n v="70805"/>
    <n v="3.4059645726470502"/>
    <d v="2016-02-18T10:43:56"/>
    <n v="7.99"/>
    <x v="942"/>
    <n v="1"/>
    <n v="1"/>
    <n v="0"/>
    <n v="0"/>
    <n v="1"/>
    <x v="929"/>
    <x v="1"/>
    <x v="2479"/>
    <x v="0"/>
    <n v="7"/>
    <e v="#N/A"/>
    <e v="#N/A"/>
  </r>
  <r>
    <n v="4928"/>
    <d v="2016-02-18T12:16:54"/>
    <d v="2016-02-18T12:31:53"/>
    <x v="1"/>
    <m/>
    <m/>
    <x v="1"/>
    <n v="70803"/>
    <n v="2.2984036937647199"/>
    <d v="2016-02-18T12:43:22"/>
    <n v="15.35"/>
    <x v="1455"/>
    <n v="1"/>
    <n v="2.2999999999999998"/>
    <n v="0"/>
    <n v="0"/>
    <n v="2.2999999999999998"/>
    <x v="1443"/>
    <x v="0"/>
    <x v="2480"/>
    <x v="1413"/>
    <n v="14"/>
    <e v="#N/A"/>
    <e v="#N/A"/>
  </r>
  <r>
    <n v="4929"/>
    <d v="2016-02-18T14:23:29"/>
    <d v="2016-02-18T14:38:26"/>
    <x v="2"/>
    <m/>
    <m/>
    <x v="1"/>
    <n v="70806"/>
    <n v="4.4091738005245098"/>
    <d v="2016-02-18T15:00:28"/>
    <n v="11.59"/>
    <x v="1456"/>
    <n v="1"/>
    <n v="1.7"/>
    <n v="0"/>
    <n v="0"/>
    <n v="1.7"/>
    <x v="1444"/>
    <x v="1"/>
    <x v="2481"/>
    <x v="0"/>
    <n v="10"/>
    <e v="#N/A"/>
    <e v="#N/A"/>
  </r>
  <r>
    <n v="4930"/>
    <d v="2016-02-18T11:27:10"/>
    <d v="2016-02-18T11:42:10"/>
    <x v="1"/>
    <m/>
    <m/>
    <x v="1"/>
    <n v="70804"/>
    <n v="3.3786931157689599"/>
    <d v="2016-02-18T11:59:03"/>
    <n v="15.35"/>
    <x v="488"/>
    <n v="1"/>
    <n v="2.2999999999999998"/>
    <n v="0"/>
    <n v="0"/>
    <n v="2.2999999999999998"/>
    <x v="475"/>
    <x v="1"/>
    <x v="2482"/>
    <x v="0"/>
    <n v="14"/>
    <e v="#N/A"/>
    <e v="#N/A"/>
  </r>
  <r>
    <n v="4931"/>
    <d v="2016-02-18T10:15:27"/>
    <d v="2016-02-18T10:30:25"/>
    <x v="0"/>
    <m/>
    <m/>
    <x v="0"/>
    <n v="70805"/>
    <n v="0"/>
    <d v="2016-02-18T10:33:24"/>
    <n v="7.99"/>
    <x v="24"/>
    <n v="1"/>
    <n v="1"/>
    <n v="0"/>
    <n v="0"/>
    <n v="1"/>
    <x v="0"/>
    <x v="0"/>
    <x v="0"/>
    <x v="0"/>
    <n v="7"/>
    <e v="#N/A"/>
    <e v="#N/A"/>
  </r>
  <r>
    <n v="4932"/>
    <d v="2016-02-19T11:14:08"/>
    <d v="2016-02-19T11:29:08"/>
    <x v="0"/>
    <m/>
    <m/>
    <x v="0"/>
    <n v="70806"/>
    <n v="0"/>
    <d v="2016-02-19T11:32:09"/>
    <n v="7.99"/>
    <x v="56"/>
    <n v="1"/>
    <n v="1"/>
    <n v="0"/>
    <n v="0"/>
    <n v="1"/>
    <x v="0"/>
    <x v="0"/>
    <x v="0"/>
    <x v="0"/>
    <n v="7"/>
    <e v="#N/A"/>
    <e v="#N/A"/>
  </r>
  <r>
    <n v="4933"/>
    <d v="2016-02-19T11:53:35"/>
    <d v="2016-02-19T12:08:34"/>
    <x v="1"/>
    <m/>
    <m/>
    <x v="0"/>
    <n v="70806"/>
    <n v="0"/>
    <d v="2016-02-19T12:11:34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4934"/>
    <d v="2016-02-19T11:12:33"/>
    <d v="2016-02-19T11:27:33"/>
    <x v="2"/>
    <m/>
    <m/>
    <x v="0"/>
    <n v="70806"/>
    <n v="0"/>
    <d v="2016-02-19T11:30:32"/>
    <n v="11.59"/>
    <x v="24"/>
    <n v="1"/>
    <n v="1.7"/>
    <n v="0"/>
    <n v="0"/>
    <n v="1.7"/>
    <x v="0"/>
    <x v="0"/>
    <x v="0"/>
    <x v="0"/>
    <n v="10"/>
    <e v="#N/A"/>
    <e v="#N/A"/>
  </r>
  <r>
    <n v="4935"/>
    <d v="2016-02-19T13:31:51"/>
    <d v="2016-02-19T13:46:50"/>
    <x v="2"/>
    <s v="Large"/>
    <m/>
    <x v="0"/>
    <n v="70806"/>
    <n v="0"/>
    <d v="2016-02-19T13:49:51"/>
    <n v="25.94"/>
    <x v="14"/>
    <n v="2"/>
    <n v="1.7"/>
    <n v="2.2999999999999998"/>
    <n v="0"/>
    <n v="4"/>
    <x v="0"/>
    <x v="0"/>
    <x v="0"/>
    <x v="0"/>
    <n v="10"/>
    <n v="14"/>
    <e v="#N/A"/>
  </r>
  <r>
    <n v="4936"/>
    <d v="2016-02-19T14:19:58"/>
    <d v="2016-02-19T14:34:59"/>
    <x v="0"/>
    <s v="Medium"/>
    <m/>
    <x v="1"/>
    <n v="70805"/>
    <n v="2.4178262271156399"/>
    <d v="2016-02-19T14:47:04"/>
    <n v="19.579999999999998"/>
    <x v="295"/>
    <n v="2"/>
    <n v="1"/>
    <n v="1.7"/>
    <n v="0"/>
    <n v="2.7"/>
    <x v="282"/>
    <x v="0"/>
    <x v="2483"/>
    <x v="1414"/>
    <n v="7"/>
    <n v="10"/>
    <e v="#N/A"/>
  </r>
  <r>
    <n v="4937"/>
    <d v="2016-02-19T10:15:07"/>
    <d v="2016-02-19T10:30:07"/>
    <x v="0"/>
    <s v="Medium"/>
    <m/>
    <x v="1"/>
    <n v="70804"/>
    <n v="1.9962220618451301"/>
    <d v="2016-02-19T10:40:05"/>
    <n v="19.579999999999998"/>
    <x v="1457"/>
    <n v="2"/>
    <n v="1"/>
    <n v="1.7"/>
    <n v="0"/>
    <n v="2.7"/>
    <x v="1445"/>
    <x v="0"/>
    <x v="2484"/>
    <x v="1415"/>
    <n v="7"/>
    <n v="10"/>
    <e v="#N/A"/>
  </r>
  <r>
    <n v="4938"/>
    <d v="2016-02-19T12:12:15"/>
    <d v="2016-02-19T12:27:15"/>
    <x v="1"/>
    <m/>
    <m/>
    <x v="1"/>
    <n v="70806"/>
    <n v="3.0644383074463701"/>
    <d v="2016-02-19T12:42:34"/>
    <n v="15.35"/>
    <x v="584"/>
    <n v="1"/>
    <n v="2.2999999999999998"/>
    <n v="0"/>
    <n v="0"/>
    <n v="2.2999999999999998"/>
    <x v="571"/>
    <x v="0"/>
    <x v="2485"/>
    <x v="1416"/>
    <n v="14"/>
    <e v="#N/A"/>
    <e v="#N/A"/>
  </r>
  <r>
    <n v="4939"/>
    <d v="2016-02-19T10:36:23"/>
    <d v="2016-02-19T10:51:23"/>
    <x v="0"/>
    <m/>
    <m/>
    <x v="1"/>
    <n v="70805"/>
    <n v="3.07463367068434"/>
    <d v="2016-02-19T11:06:45"/>
    <n v="7.99"/>
    <x v="275"/>
    <n v="1"/>
    <n v="1"/>
    <n v="0"/>
    <n v="0"/>
    <n v="1"/>
    <x v="262"/>
    <x v="0"/>
    <x v="2486"/>
    <x v="1417"/>
    <n v="7"/>
    <e v="#N/A"/>
    <e v="#N/A"/>
  </r>
  <r>
    <n v="4940"/>
    <d v="2016-02-19T10:08:29"/>
    <d v="2016-02-19T10:23:28"/>
    <x v="0"/>
    <m/>
    <m/>
    <x v="0"/>
    <n v="70806"/>
    <n v="0"/>
    <d v="2016-02-19T10:26:30"/>
    <n v="7.99"/>
    <x v="67"/>
    <n v="1"/>
    <n v="1"/>
    <n v="0"/>
    <n v="0"/>
    <n v="1"/>
    <x v="0"/>
    <x v="0"/>
    <x v="0"/>
    <x v="0"/>
    <n v="7"/>
    <e v="#N/A"/>
    <e v="#N/A"/>
  </r>
  <r>
    <n v="4941"/>
    <d v="2016-02-19T12:56:38"/>
    <d v="2016-02-19T13:11:37"/>
    <x v="0"/>
    <m/>
    <m/>
    <x v="1"/>
    <n v="70806"/>
    <n v="3.4900726594556701"/>
    <d v="2016-02-19T13:29:04"/>
    <n v="7.99"/>
    <x v="1061"/>
    <n v="1"/>
    <n v="1"/>
    <n v="0"/>
    <n v="0"/>
    <n v="1"/>
    <x v="1048"/>
    <x v="1"/>
    <x v="2487"/>
    <x v="0"/>
    <n v="7"/>
    <e v="#N/A"/>
    <e v="#N/A"/>
  </r>
  <r>
    <n v="4942"/>
    <d v="2016-02-19T12:21:33"/>
    <d v="2016-02-19T12:36:31"/>
    <x v="2"/>
    <s v="Large"/>
    <m/>
    <x v="0"/>
    <n v="70805"/>
    <n v="0"/>
    <d v="2016-02-19T12:39:31"/>
    <n v="25.94"/>
    <x v="2"/>
    <n v="2"/>
    <n v="1.7"/>
    <n v="2.2999999999999998"/>
    <n v="0"/>
    <n v="4"/>
    <x v="0"/>
    <x v="0"/>
    <x v="0"/>
    <x v="0"/>
    <n v="10"/>
    <n v="14"/>
    <e v="#N/A"/>
  </r>
  <r>
    <n v="4943"/>
    <d v="2016-02-19T12:11:43"/>
    <d v="2016-02-19T12:26:44"/>
    <x v="2"/>
    <m/>
    <m/>
    <x v="1"/>
    <n v="70806"/>
    <n v="3.7764163841191301"/>
    <d v="2016-02-19T12:45:36"/>
    <n v="11.59"/>
    <x v="440"/>
    <n v="1"/>
    <n v="1.7"/>
    <n v="0"/>
    <n v="0"/>
    <n v="1.7"/>
    <x v="427"/>
    <x v="1"/>
    <x v="2488"/>
    <x v="0"/>
    <n v="10"/>
    <e v="#N/A"/>
    <e v="#N/A"/>
  </r>
  <r>
    <n v="4944"/>
    <d v="2016-02-19T11:29:25"/>
    <d v="2016-02-19T11:44:25"/>
    <x v="2"/>
    <m/>
    <m/>
    <x v="1"/>
    <n v="70804"/>
    <n v="3.2754097686690802"/>
    <d v="2016-02-19T12:00:47"/>
    <n v="11.59"/>
    <x v="1009"/>
    <n v="1"/>
    <n v="1.7"/>
    <n v="0"/>
    <n v="0"/>
    <n v="1.7"/>
    <x v="996"/>
    <x v="1"/>
    <x v="2489"/>
    <x v="0"/>
    <n v="10"/>
    <e v="#N/A"/>
    <e v="#N/A"/>
  </r>
  <r>
    <n v="4945"/>
    <d v="2016-02-19T12:31:33"/>
    <d v="2016-02-19T12:46:32"/>
    <x v="2"/>
    <m/>
    <m/>
    <x v="1"/>
    <n v="70804"/>
    <n v="3.8443841909479701"/>
    <d v="2016-02-19T13:05:45"/>
    <n v="11.59"/>
    <x v="1458"/>
    <n v="1"/>
    <n v="1.7"/>
    <n v="0"/>
    <n v="0"/>
    <n v="1.7"/>
    <x v="1446"/>
    <x v="1"/>
    <x v="2490"/>
    <x v="0"/>
    <n v="10"/>
    <e v="#N/A"/>
    <e v="#N/A"/>
  </r>
  <r>
    <n v="4946"/>
    <d v="2016-02-19T10:11:52"/>
    <d v="2016-02-19T10:26:50"/>
    <x v="0"/>
    <s v="Medium"/>
    <m/>
    <x v="1"/>
    <n v="70806"/>
    <n v="1.57713153144013"/>
    <d v="2016-02-19T10:34:43"/>
    <n v="19.579999999999998"/>
    <x v="128"/>
    <n v="2"/>
    <n v="1"/>
    <n v="1.7"/>
    <n v="0"/>
    <n v="2.7"/>
    <x v="118"/>
    <x v="0"/>
    <x v="2491"/>
    <x v="1418"/>
    <n v="7"/>
    <n v="10"/>
    <e v="#N/A"/>
  </r>
  <r>
    <n v="4947"/>
    <d v="2016-02-19T12:23:46"/>
    <d v="2016-02-19T12:38:43"/>
    <x v="1"/>
    <m/>
    <m/>
    <x v="0"/>
    <n v="70803"/>
    <n v="0"/>
    <d v="2016-02-19T12:41:42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4948"/>
    <d v="2016-02-19T13:10:03"/>
    <d v="2016-02-19T13:25:04"/>
    <x v="1"/>
    <m/>
    <m/>
    <x v="0"/>
    <n v="70804"/>
    <n v="0"/>
    <d v="2016-02-19T13:28:02"/>
    <n v="15.35"/>
    <x v="0"/>
    <n v="1"/>
    <n v="2.2999999999999998"/>
    <n v="0"/>
    <n v="0"/>
    <n v="2.2999999999999998"/>
    <x v="0"/>
    <x v="0"/>
    <x v="0"/>
    <x v="0"/>
    <n v="14"/>
    <e v="#N/A"/>
    <e v="#N/A"/>
  </r>
  <r>
    <n v="4949"/>
    <d v="2016-02-19T12:59:38"/>
    <d v="2016-02-19T13:14:39"/>
    <x v="1"/>
    <m/>
    <m/>
    <x v="0"/>
    <n v="70808"/>
    <n v="0"/>
    <d v="2016-02-19T13:17:38"/>
    <n v="15.35"/>
    <x v="1"/>
    <n v="1"/>
    <n v="2.2999999999999998"/>
    <n v="0"/>
    <n v="0"/>
    <n v="2.2999999999999998"/>
    <x v="0"/>
    <x v="0"/>
    <x v="0"/>
    <x v="0"/>
    <n v="14"/>
    <e v="#N/A"/>
    <e v="#N/A"/>
  </r>
  <r>
    <n v="4950"/>
    <d v="2016-02-19T12:59:18"/>
    <d v="2016-02-19T13:14:17"/>
    <x v="1"/>
    <m/>
    <m/>
    <x v="1"/>
    <n v="70805"/>
    <n v="5.0871128273819597"/>
    <d v="2016-02-19T13:39:43"/>
    <n v="15.35"/>
    <x v="190"/>
    <n v="1"/>
    <n v="2.2999999999999998"/>
    <n v="0"/>
    <n v="0"/>
    <n v="2.2999999999999998"/>
    <x v="178"/>
    <x v="1"/>
    <x v="2492"/>
    <x v="0"/>
    <n v="14"/>
    <e v="#N/A"/>
    <e v="#N/A"/>
  </r>
  <r>
    <n v="4951"/>
    <d v="2016-02-19T12:08:45"/>
    <d v="2016-02-19T12:23:47"/>
    <x v="0"/>
    <m/>
    <m/>
    <x v="0"/>
    <n v="70803"/>
    <n v="0"/>
    <d v="2016-02-19T12:26:44"/>
    <n v="7.99"/>
    <x v="22"/>
    <n v="1"/>
    <n v="1"/>
    <n v="0"/>
    <n v="0"/>
    <n v="1"/>
    <x v="0"/>
    <x v="0"/>
    <x v="0"/>
    <x v="0"/>
    <n v="7"/>
    <e v="#N/A"/>
    <e v="#N/A"/>
  </r>
  <r>
    <n v="4952"/>
    <d v="2016-02-19T12:46:15"/>
    <d v="2016-02-19T13:01:15"/>
    <x v="2"/>
    <m/>
    <m/>
    <x v="1"/>
    <n v="70808"/>
    <n v="3.29085886639528"/>
    <d v="2016-02-19T13:17:42"/>
    <n v="11.59"/>
    <x v="352"/>
    <n v="1"/>
    <n v="1.7"/>
    <n v="0"/>
    <n v="0"/>
    <n v="1.7"/>
    <x v="339"/>
    <x v="1"/>
    <x v="2493"/>
    <x v="0"/>
    <n v="10"/>
    <e v="#N/A"/>
    <e v="#N/A"/>
  </r>
  <r>
    <n v="4953"/>
    <d v="2016-02-19T11:35:22"/>
    <d v="2016-02-19T11:50:21"/>
    <x v="0"/>
    <m/>
    <m/>
    <x v="1"/>
    <n v="70805"/>
    <n v="3.7388025855836098"/>
    <d v="2016-02-19T12:09:02"/>
    <n v="7.99"/>
    <x v="570"/>
    <n v="1"/>
    <n v="1"/>
    <n v="0"/>
    <n v="0"/>
    <n v="1"/>
    <x v="557"/>
    <x v="1"/>
    <x v="2494"/>
    <x v="0"/>
    <n v="7"/>
    <e v="#N/A"/>
    <e v="#N/A"/>
  </r>
  <r>
    <n v="4954"/>
    <d v="2016-02-19T11:47:18"/>
    <d v="2016-02-19T12:02:17"/>
    <x v="1"/>
    <m/>
    <m/>
    <x v="1"/>
    <n v="70804"/>
    <n v="3.1926067906501898"/>
    <d v="2016-02-19T12:18:14"/>
    <n v="15.35"/>
    <x v="257"/>
    <n v="1"/>
    <n v="2.2999999999999998"/>
    <n v="0"/>
    <n v="0"/>
    <n v="2.2999999999999998"/>
    <x v="244"/>
    <x v="0"/>
    <x v="2495"/>
    <x v="1419"/>
    <n v="14"/>
    <e v="#N/A"/>
    <e v="#N/A"/>
  </r>
  <r>
    <n v="4955"/>
    <d v="2016-02-19T12:53:14"/>
    <d v="2016-02-19T13:08:15"/>
    <x v="0"/>
    <m/>
    <m/>
    <x v="0"/>
    <n v="70805"/>
    <n v="0"/>
    <d v="2016-02-19T13:11:16"/>
    <n v="7.99"/>
    <x v="14"/>
    <n v="1"/>
    <n v="1"/>
    <n v="0"/>
    <n v="0"/>
    <n v="1"/>
    <x v="0"/>
    <x v="0"/>
    <x v="0"/>
    <x v="0"/>
    <n v="7"/>
    <e v="#N/A"/>
    <e v="#N/A"/>
  </r>
  <r>
    <n v="4956"/>
    <d v="2016-02-19T12:43:03"/>
    <d v="2016-02-19T12:58:02"/>
    <x v="0"/>
    <m/>
    <m/>
    <x v="0"/>
    <n v="70804"/>
    <n v="0"/>
    <d v="2016-02-19T13:01:02"/>
    <n v="7.99"/>
    <x v="2"/>
    <n v="1"/>
    <n v="1"/>
    <n v="0"/>
    <n v="0"/>
    <n v="1"/>
    <x v="0"/>
    <x v="0"/>
    <x v="0"/>
    <x v="0"/>
    <n v="7"/>
    <e v="#N/A"/>
    <e v="#N/A"/>
  </r>
  <r>
    <n v="4957"/>
    <d v="2016-02-19T14:27:20"/>
    <d v="2016-02-19T14:42:19"/>
    <x v="2"/>
    <m/>
    <m/>
    <x v="0"/>
    <n v="70807"/>
    <n v="0"/>
    <d v="2016-02-19T14:45:18"/>
    <n v="11.59"/>
    <x v="24"/>
    <n v="1"/>
    <n v="1.7"/>
    <n v="0"/>
    <n v="0"/>
    <n v="1.7"/>
    <x v="0"/>
    <x v="0"/>
    <x v="0"/>
    <x v="0"/>
    <n v="10"/>
    <e v="#N/A"/>
    <e v="#N/A"/>
  </r>
  <r>
    <n v="4958"/>
    <d v="2016-02-19T12:44:18"/>
    <d v="2016-02-19T12:59:17"/>
    <x v="0"/>
    <m/>
    <m/>
    <x v="0"/>
    <n v="70804"/>
    <n v="0"/>
    <d v="2016-02-19T13:02:17"/>
    <n v="7.99"/>
    <x v="2"/>
    <n v="1"/>
    <n v="1"/>
    <n v="0"/>
    <n v="0"/>
    <n v="1"/>
    <x v="0"/>
    <x v="0"/>
    <x v="0"/>
    <x v="0"/>
    <n v="7"/>
    <e v="#N/A"/>
    <e v="#N/A"/>
  </r>
  <r>
    <n v="4959"/>
    <d v="2016-02-19T12:21:44"/>
    <d v="2016-02-19T12:36:45"/>
    <x v="0"/>
    <s v="Medium"/>
    <m/>
    <x v="0"/>
    <n v="70804"/>
    <n v="0"/>
    <d v="2016-02-19T12:39:45"/>
    <n v="19.579999999999998"/>
    <x v="2"/>
    <n v="2"/>
    <n v="1"/>
    <n v="1.7"/>
    <n v="0"/>
    <n v="2.7"/>
    <x v="0"/>
    <x v="0"/>
    <x v="0"/>
    <x v="0"/>
    <n v="7"/>
    <n v="10"/>
    <e v="#N/A"/>
  </r>
  <r>
    <n v="4960"/>
    <d v="2016-02-19T12:41:03"/>
    <d v="2016-02-19T12:56:02"/>
    <x v="0"/>
    <m/>
    <m/>
    <x v="1"/>
    <n v="70804"/>
    <n v="2.8439086407054699"/>
    <d v="2016-02-19T13:10:15"/>
    <n v="7.99"/>
    <x v="839"/>
    <n v="1"/>
    <n v="1"/>
    <n v="0"/>
    <n v="0"/>
    <n v="1"/>
    <x v="826"/>
    <x v="0"/>
    <x v="2496"/>
    <x v="1420"/>
    <n v="7"/>
    <e v="#N/A"/>
    <e v="#N/A"/>
  </r>
  <r>
    <n v="4961"/>
    <d v="2016-02-19T12:26:20"/>
    <d v="2016-02-19T12:41:20"/>
    <x v="0"/>
    <m/>
    <m/>
    <x v="0"/>
    <n v="70806"/>
    <n v="0"/>
    <d v="2016-02-19T12:44:19"/>
    <n v="7.99"/>
    <x v="24"/>
    <n v="1"/>
    <n v="1"/>
    <n v="0"/>
    <n v="0"/>
    <n v="1"/>
    <x v="0"/>
    <x v="0"/>
    <x v="0"/>
    <x v="0"/>
    <n v="7"/>
    <e v="#N/A"/>
    <e v="#N/A"/>
  </r>
  <r>
    <n v="4962"/>
    <d v="2016-02-19T10:04:44"/>
    <d v="2016-02-19T10:19:42"/>
    <x v="2"/>
    <m/>
    <m/>
    <x v="0"/>
    <n v="70804"/>
    <n v="0"/>
    <d v="2016-02-19T10:22:41"/>
    <n v="11.59"/>
    <x v="24"/>
    <n v="1"/>
    <n v="1.7"/>
    <n v="0"/>
    <n v="0"/>
    <n v="1.7"/>
    <x v="0"/>
    <x v="0"/>
    <x v="0"/>
    <x v="0"/>
    <n v="10"/>
    <e v="#N/A"/>
    <e v="#N/A"/>
  </r>
  <r>
    <n v="4963"/>
    <d v="2016-02-19T11:40:21"/>
    <d v="2016-02-19T11:55:21"/>
    <x v="0"/>
    <m/>
    <m/>
    <x v="1"/>
    <n v="70806"/>
    <n v="5.0949633328805897"/>
    <d v="2016-02-19T12:20:49"/>
    <n v="7.99"/>
    <x v="1303"/>
    <n v="1"/>
    <n v="1"/>
    <n v="0"/>
    <n v="0"/>
    <n v="1"/>
    <x v="1291"/>
    <x v="1"/>
    <x v="2497"/>
    <x v="0"/>
    <n v="7"/>
    <e v="#N/A"/>
    <e v="#N/A"/>
  </r>
  <r>
    <n v="4964"/>
    <d v="2016-02-19T13:40:01"/>
    <d v="2016-02-19T13:55:02"/>
    <x v="0"/>
    <m/>
    <m/>
    <x v="1"/>
    <n v="70806"/>
    <n v="2.5417112662871602"/>
    <d v="2016-02-19T14:07:44"/>
    <n v="7.99"/>
    <x v="74"/>
    <n v="1"/>
    <n v="1"/>
    <n v="0"/>
    <n v="0"/>
    <n v="1"/>
    <x v="65"/>
    <x v="0"/>
    <x v="2498"/>
    <x v="1421"/>
    <n v="7"/>
    <e v="#N/A"/>
    <e v="#N/A"/>
  </r>
  <r>
    <n v="4965"/>
    <d v="2016-02-19T10:42:22"/>
    <d v="2016-02-19T10:57:21"/>
    <x v="0"/>
    <s v="Large"/>
    <m/>
    <x v="0"/>
    <n v="70805"/>
    <n v="0"/>
    <d v="2016-02-19T11:00:21"/>
    <n v="23.34"/>
    <x v="2"/>
    <n v="2"/>
    <n v="1"/>
    <n v="2.2999999999999998"/>
    <n v="0"/>
    <n v="3.3"/>
    <x v="0"/>
    <x v="0"/>
    <x v="0"/>
    <x v="0"/>
    <n v="7"/>
    <n v="14"/>
    <e v="#N/A"/>
  </r>
  <r>
    <n v="4966"/>
    <d v="2016-02-19T11:32:49"/>
    <d v="2016-02-19T11:47:49"/>
    <x v="1"/>
    <m/>
    <m/>
    <x v="1"/>
    <n v="70804"/>
    <n v="4.6959470839778898"/>
    <d v="2016-02-19T12:11:17"/>
    <n v="15.35"/>
    <x v="1459"/>
    <n v="1"/>
    <n v="2.2999999999999998"/>
    <n v="0"/>
    <n v="0"/>
    <n v="2.2999999999999998"/>
    <x v="1447"/>
    <x v="1"/>
    <x v="2499"/>
    <x v="0"/>
    <n v="14"/>
    <e v="#N/A"/>
    <e v="#N/A"/>
  </r>
  <r>
    <n v="4967"/>
    <d v="2016-02-19T11:25:37"/>
    <d v="2016-02-19T11:40:37"/>
    <x v="0"/>
    <s v="Medium"/>
    <m/>
    <x v="0"/>
    <n v="70806"/>
    <n v="0"/>
    <d v="2016-02-19T11:43:36"/>
    <n v="19.579999999999998"/>
    <x v="1"/>
    <n v="2"/>
    <n v="1"/>
    <n v="1.7"/>
    <n v="0"/>
    <n v="2.7"/>
    <x v="0"/>
    <x v="0"/>
    <x v="0"/>
    <x v="0"/>
    <n v="7"/>
    <n v="10"/>
    <e v="#N/A"/>
  </r>
  <r>
    <n v="4968"/>
    <d v="2016-02-19T12:44:34"/>
    <d v="2016-02-19T12:59:33"/>
    <x v="2"/>
    <m/>
    <m/>
    <x v="1"/>
    <n v="70805"/>
    <n v="2.4624141643511699"/>
    <d v="2016-02-19T13:11:51"/>
    <n v="11.59"/>
    <x v="1460"/>
    <n v="1"/>
    <n v="1.7"/>
    <n v="0"/>
    <n v="0"/>
    <n v="1.7"/>
    <x v="1448"/>
    <x v="0"/>
    <x v="2500"/>
    <x v="1422"/>
    <n v="10"/>
    <e v="#N/A"/>
    <e v="#N/A"/>
  </r>
  <r>
    <n v="4969"/>
    <d v="2016-02-19T11:11:54"/>
    <d v="2016-02-19T11:26:54"/>
    <x v="1"/>
    <m/>
    <m/>
    <x v="1"/>
    <n v="70804"/>
    <n v="4.7037674014029198"/>
    <d v="2016-02-19T11:50:25"/>
    <n v="15.35"/>
    <x v="1161"/>
    <n v="1"/>
    <n v="2.2999999999999998"/>
    <n v="0"/>
    <n v="0"/>
    <n v="2.2999999999999998"/>
    <x v="1149"/>
    <x v="1"/>
    <x v="2501"/>
    <x v="0"/>
    <n v="14"/>
    <e v="#N/A"/>
    <e v="#N/A"/>
  </r>
  <r>
    <n v="4970"/>
    <d v="2016-02-19T12:29:16"/>
    <d v="2016-02-19T12:44:15"/>
    <x v="0"/>
    <m/>
    <m/>
    <x v="0"/>
    <n v="70803"/>
    <n v="0"/>
    <d v="2016-02-19T12:47:15"/>
    <n v="7.99"/>
    <x v="2"/>
    <n v="1"/>
    <n v="1"/>
    <n v="0"/>
    <n v="0"/>
    <n v="1"/>
    <x v="0"/>
    <x v="0"/>
    <x v="0"/>
    <x v="0"/>
    <n v="7"/>
    <e v="#N/A"/>
    <e v="#N/A"/>
  </r>
  <r>
    <n v="4971"/>
    <d v="2016-02-19T10:27:22"/>
    <d v="2016-02-19T10:42:23"/>
    <x v="0"/>
    <s v="Large"/>
    <m/>
    <x v="0"/>
    <n v="70806"/>
    <n v="0"/>
    <d v="2016-02-19T10:45:22"/>
    <n v="23.34"/>
    <x v="24"/>
    <n v="2"/>
    <n v="1"/>
    <n v="2.2999999999999998"/>
    <n v="0"/>
    <n v="3.3"/>
    <x v="0"/>
    <x v="0"/>
    <x v="0"/>
    <x v="0"/>
    <n v="7"/>
    <n v="14"/>
    <e v="#N/A"/>
  </r>
  <r>
    <n v="4972"/>
    <d v="2016-02-19T11:05:26"/>
    <d v="2016-02-19T11:20:26"/>
    <x v="2"/>
    <m/>
    <m/>
    <x v="0"/>
    <n v="70807"/>
    <n v="0"/>
    <d v="2016-02-19T11:23:25"/>
    <n v="11.59"/>
    <x v="24"/>
    <n v="1"/>
    <n v="1.7"/>
    <n v="0"/>
    <n v="0"/>
    <n v="1.7"/>
    <x v="0"/>
    <x v="0"/>
    <x v="0"/>
    <x v="0"/>
    <n v="10"/>
    <e v="#N/A"/>
    <e v="#N/A"/>
  </r>
  <r>
    <n v="4973"/>
    <d v="2016-02-19T13:57:41"/>
    <d v="2016-02-19T14:12:40"/>
    <x v="2"/>
    <m/>
    <m/>
    <x v="1"/>
    <n v="70804"/>
    <n v="2.16724691790552"/>
    <d v="2016-02-19T14:23:30"/>
    <n v="11.59"/>
    <x v="1461"/>
    <n v="1"/>
    <n v="1.7"/>
    <n v="0"/>
    <n v="0"/>
    <n v="1.7"/>
    <x v="1449"/>
    <x v="0"/>
    <x v="2502"/>
    <x v="1423"/>
    <n v="10"/>
    <e v="#N/A"/>
    <e v="#N/A"/>
  </r>
  <r>
    <n v="4974"/>
    <d v="2016-02-19T13:54:19"/>
    <d v="2016-02-19T14:09:17"/>
    <x v="0"/>
    <m/>
    <m/>
    <x v="0"/>
    <n v="70806"/>
    <n v="0"/>
    <d v="2016-02-19T14:12:17"/>
    <n v="7.99"/>
    <x v="2"/>
    <n v="1"/>
    <n v="1"/>
    <n v="0"/>
    <n v="0"/>
    <n v="1"/>
    <x v="0"/>
    <x v="0"/>
    <x v="0"/>
    <x v="0"/>
    <n v="7"/>
    <e v="#N/A"/>
    <e v="#N/A"/>
  </r>
  <r>
    <n v="4975"/>
    <d v="2016-02-19T12:11:47"/>
    <d v="2016-02-19T12:26:47"/>
    <x v="0"/>
    <s v="Medium"/>
    <m/>
    <x v="1"/>
    <n v="70805"/>
    <n v="1.57501893049188"/>
    <d v="2016-02-19T12:34:39"/>
    <n v="19.579999999999998"/>
    <x v="1462"/>
    <n v="2"/>
    <n v="1"/>
    <n v="1.7"/>
    <n v="0"/>
    <n v="2.7"/>
    <x v="1450"/>
    <x v="0"/>
    <x v="2503"/>
    <x v="1424"/>
    <n v="7"/>
    <n v="10"/>
    <e v="#N/A"/>
  </r>
  <r>
    <n v="4976"/>
    <d v="2016-02-19T12:00:33"/>
    <d v="2016-02-19T12:15:33"/>
    <x v="0"/>
    <s v="Medium"/>
    <m/>
    <x v="0"/>
    <n v="70806"/>
    <n v="0"/>
    <d v="2016-02-19T12:18:33"/>
    <n v="19.579999999999998"/>
    <x v="2"/>
    <n v="2"/>
    <n v="1"/>
    <n v="1.7"/>
    <n v="0"/>
    <n v="2.7"/>
    <x v="0"/>
    <x v="0"/>
    <x v="0"/>
    <x v="0"/>
    <n v="7"/>
    <n v="10"/>
    <e v="#N/A"/>
  </r>
  <r>
    <n v="4977"/>
    <d v="2016-02-19T10:13:04"/>
    <d v="2016-02-19T10:28:03"/>
    <x v="0"/>
    <s v="Medium"/>
    <m/>
    <x v="0"/>
    <n v="70806"/>
    <n v="0"/>
    <d v="2016-02-19T10:31:02"/>
    <n v="19.579999999999998"/>
    <x v="24"/>
    <n v="2"/>
    <n v="1"/>
    <n v="1.7"/>
    <n v="0"/>
    <n v="2.7"/>
    <x v="0"/>
    <x v="0"/>
    <x v="0"/>
    <x v="0"/>
    <n v="7"/>
    <n v="10"/>
    <e v="#N/A"/>
  </r>
  <r>
    <n v="4978"/>
    <d v="2016-02-19T11:58:47"/>
    <d v="2016-02-19T12:13:47"/>
    <x v="0"/>
    <s v="Large"/>
    <m/>
    <x v="0"/>
    <n v="70805"/>
    <n v="0"/>
    <d v="2016-02-19T12:16:45"/>
    <n v="23.34"/>
    <x v="0"/>
    <n v="2"/>
    <n v="1"/>
    <n v="2.2999999999999998"/>
    <n v="0"/>
    <n v="3.3"/>
    <x v="0"/>
    <x v="0"/>
    <x v="0"/>
    <x v="0"/>
    <n v="7"/>
    <n v="14"/>
    <e v="#N/A"/>
  </r>
  <r>
    <n v="4979"/>
    <d v="2016-02-19T13:31:15"/>
    <d v="2016-02-19T13:46:15"/>
    <x v="2"/>
    <m/>
    <m/>
    <x v="0"/>
    <n v="70806"/>
    <n v="0"/>
    <d v="2016-02-19T13:49:16"/>
    <n v="11.59"/>
    <x v="14"/>
    <n v="1"/>
    <n v="1.7"/>
    <n v="0"/>
    <n v="0"/>
    <n v="1.7"/>
    <x v="0"/>
    <x v="0"/>
    <x v="0"/>
    <x v="0"/>
    <n v="10"/>
    <e v="#N/A"/>
    <e v="#N/A"/>
  </r>
  <r>
    <n v="4980"/>
    <d v="2016-02-19T11:59:29"/>
    <d v="2016-02-19T12:14:30"/>
    <x v="0"/>
    <m/>
    <m/>
    <x v="1"/>
    <n v="70806"/>
    <n v="3.9231144276412699"/>
    <d v="2016-02-19T12:34:06"/>
    <n v="7.99"/>
    <x v="306"/>
    <n v="1"/>
    <n v="1"/>
    <n v="0"/>
    <n v="0"/>
    <n v="1"/>
    <x v="293"/>
    <x v="1"/>
    <x v="2504"/>
    <x v="0"/>
    <n v="7"/>
    <e v="#N/A"/>
    <e v="#N/A"/>
  </r>
  <r>
    <n v="4981"/>
    <d v="2016-02-19T13:26:17"/>
    <d v="2016-02-19T13:41:17"/>
    <x v="0"/>
    <m/>
    <m/>
    <x v="0"/>
    <n v="70804"/>
    <n v="0"/>
    <d v="2016-02-19T13:44:17"/>
    <n v="7.99"/>
    <x v="2"/>
    <n v="1"/>
    <n v="1"/>
    <n v="0"/>
    <n v="0"/>
    <n v="1"/>
    <x v="0"/>
    <x v="0"/>
    <x v="0"/>
    <x v="0"/>
    <n v="7"/>
    <e v="#N/A"/>
    <e v="#N/A"/>
  </r>
  <r>
    <n v="4982"/>
    <d v="2016-02-19T13:42:17"/>
    <d v="2016-02-19T13:57:18"/>
    <x v="2"/>
    <m/>
    <m/>
    <x v="0"/>
    <n v="70805"/>
    <n v="0"/>
    <d v="2016-02-19T14:00:17"/>
    <n v="11.59"/>
    <x v="24"/>
    <n v="1"/>
    <n v="1.7"/>
    <n v="0"/>
    <n v="0"/>
    <n v="1.7"/>
    <x v="0"/>
    <x v="0"/>
    <x v="0"/>
    <x v="0"/>
    <n v="10"/>
    <e v="#N/A"/>
    <e v="#N/A"/>
  </r>
  <r>
    <n v="4983"/>
    <d v="2016-02-19T12:30:57"/>
    <d v="2016-02-19T12:45:56"/>
    <x v="0"/>
    <s v="Medium"/>
    <m/>
    <x v="0"/>
    <n v="70803"/>
    <n v="0"/>
    <d v="2016-02-19T12:48:54"/>
    <n v="19.579999999999998"/>
    <x v="0"/>
    <n v="2"/>
    <n v="1"/>
    <n v="1.7"/>
    <n v="0"/>
    <n v="2.7"/>
    <x v="0"/>
    <x v="0"/>
    <x v="0"/>
    <x v="0"/>
    <n v="7"/>
    <n v="10"/>
    <e v="#N/A"/>
  </r>
  <r>
    <n v="4984"/>
    <d v="2016-02-19T13:52:11"/>
    <d v="2016-02-19T14:07:12"/>
    <x v="1"/>
    <m/>
    <m/>
    <x v="1"/>
    <n v="70806"/>
    <n v="2.94426554173983"/>
    <d v="2016-02-19T14:21:55"/>
    <n v="15.35"/>
    <x v="1463"/>
    <n v="1"/>
    <n v="2.2999999999999998"/>
    <n v="0"/>
    <n v="0"/>
    <n v="2.2999999999999998"/>
    <x v="1451"/>
    <x v="0"/>
    <x v="2505"/>
    <x v="1425"/>
    <n v="14"/>
    <e v="#N/A"/>
    <e v="#N/A"/>
  </r>
  <r>
    <n v="4985"/>
    <d v="2016-02-19T11:40:02"/>
    <d v="2016-02-19T11:55:02"/>
    <x v="0"/>
    <s v="Large"/>
    <m/>
    <x v="1"/>
    <n v="70803"/>
    <n v="1.91807726629426"/>
    <d v="2016-02-19T12:04:37"/>
    <n v="23.34"/>
    <x v="1464"/>
    <n v="2"/>
    <n v="1"/>
    <n v="2.2999999999999998"/>
    <n v="0"/>
    <n v="3.3"/>
    <x v="1452"/>
    <x v="0"/>
    <x v="2506"/>
    <x v="1426"/>
    <n v="7"/>
    <n v="14"/>
    <e v="#N/A"/>
  </r>
  <r>
    <n v="4986"/>
    <d v="2016-02-19T13:54:02"/>
    <d v="2016-02-19T14:09:03"/>
    <x v="0"/>
    <s v="Large"/>
    <m/>
    <x v="0"/>
    <n v="70804"/>
    <n v="0"/>
    <d v="2016-02-19T14:12:04"/>
    <n v="23.34"/>
    <x v="56"/>
    <n v="2"/>
    <n v="1"/>
    <n v="2.2999999999999998"/>
    <n v="0"/>
    <n v="3.3"/>
    <x v="0"/>
    <x v="0"/>
    <x v="0"/>
    <x v="0"/>
    <n v="7"/>
    <n v="14"/>
    <e v="#N/A"/>
  </r>
  <r>
    <n v="4987"/>
    <d v="2016-02-19T12:17:27"/>
    <d v="2016-02-19T12:32:27"/>
    <x v="1"/>
    <m/>
    <m/>
    <x v="0"/>
    <n v="70803"/>
    <n v="0"/>
    <d v="2016-02-19T12:35:27"/>
    <n v="15.35"/>
    <x v="2"/>
    <n v="1"/>
    <n v="2.2999999999999998"/>
    <n v="0"/>
    <n v="0"/>
    <n v="2.2999999999999998"/>
    <x v="0"/>
    <x v="0"/>
    <x v="0"/>
    <x v="0"/>
    <n v="14"/>
    <e v="#N/A"/>
    <e v="#N/A"/>
  </r>
  <r>
    <n v="4988"/>
    <d v="2016-02-19T12:11:07"/>
    <d v="2016-02-19T12:26:06"/>
    <x v="2"/>
    <s v="Large"/>
    <m/>
    <x v="0"/>
    <n v="70805"/>
    <n v="0"/>
    <d v="2016-02-19T12:29:06"/>
    <n v="25.94"/>
    <x v="2"/>
    <n v="2"/>
    <n v="1.7"/>
    <n v="2.2999999999999998"/>
    <n v="0"/>
    <n v="4"/>
    <x v="0"/>
    <x v="0"/>
    <x v="0"/>
    <x v="0"/>
    <n v="10"/>
    <n v="14"/>
    <e v="#N/A"/>
  </r>
  <r>
    <n v="4989"/>
    <d v="2016-02-19T13:22:42"/>
    <d v="2016-02-19T13:37:42"/>
    <x v="0"/>
    <m/>
    <m/>
    <x v="1"/>
    <n v="70804"/>
    <n v="2.27629459879621"/>
    <d v="2016-02-19T13:49:04"/>
    <n v="7.99"/>
    <x v="1392"/>
    <n v="1"/>
    <n v="1"/>
    <n v="0"/>
    <n v="0"/>
    <n v="1"/>
    <x v="1380"/>
    <x v="0"/>
    <x v="2507"/>
    <x v="1427"/>
    <n v="7"/>
    <e v="#N/A"/>
    <e v="#N/A"/>
  </r>
  <r>
    <n v="4990"/>
    <d v="2016-02-19T12:50:30"/>
    <d v="2016-02-19T13:05:29"/>
    <x v="2"/>
    <m/>
    <m/>
    <x v="1"/>
    <n v="70804"/>
    <n v="3.6269430964312499"/>
    <d v="2016-02-19T13:23:37"/>
    <n v="11.59"/>
    <x v="788"/>
    <n v="1"/>
    <n v="1.7"/>
    <n v="0"/>
    <n v="0"/>
    <n v="1.7"/>
    <x v="775"/>
    <x v="1"/>
    <x v="2508"/>
    <x v="0"/>
    <n v="10"/>
    <e v="#N/A"/>
    <e v="#N/A"/>
  </r>
  <r>
    <n v="4991"/>
    <d v="2016-02-19T12:13:18"/>
    <d v="2016-02-19T12:28:19"/>
    <x v="2"/>
    <m/>
    <m/>
    <x v="0"/>
    <n v="70807"/>
    <n v="0"/>
    <d v="2016-02-19T12:31:19"/>
    <n v="11.59"/>
    <x v="2"/>
    <n v="1"/>
    <n v="1.7"/>
    <n v="0"/>
    <n v="0"/>
    <n v="1.7"/>
    <x v="0"/>
    <x v="0"/>
    <x v="0"/>
    <x v="0"/>
    <n v="10"/>
    <e v="#N/A"/>
    <e v="#N/A"/>
  </r>
  <r>
    <n v="4992"/>
    <d v="2016-02-19T12:09:10"/>
    <d v="2016-02-19T12:24:10"/>
    <x v="0"/>
    <m/>
    <m/>
    <x v="0"/>
    <n v="70804"/>
    <n v="0"/>
    <d v="2016-02-19T12:27:10"/>
    <n v="7.99"/>
    <x v="2"/>
    <n v="1"/>
    <n v="1"/>
    <n v="0"/>
    <n v="0"/>
    <n v="1"/>
    <x v="0"/>
    <x v="0"/>
    <x v="0"/>
    <x v="0"/>
    <n v="7"/>
    <e v="#N/A"/>
    <e v="#N/A"/>
  </r>
  <r>
    <n v="4993"/>
    <d v="2016-02-19T11:07:45"/>
    <d v="2016-02-19T11:22:44"/>
    <x v="1"/>
    <m/>
    <m/>
    <x v="1"/>
    <n v="70806"/>
    <n v="2.95115520390303"/>
    <d v="2016-02-19T11:37:29"/>
    <n v="15.35"/>
    <x v="346"/>
    <n v="1"/>
    <n v="2.2999999999999998"/>
    <n v="0"/>
    <n v="0"/>
    <n v="2.2999999999999998"/>
    <x v="333"/>
    <x v="0"/>
    <x v="2509"/>
    <x v="1428"/>
    <n v="14"/>
    <e v="#N/A"/>
    <e v="#N/A"/>
  </r>
  <r>
    <n v="4994"/>
    <d v="2016-02-19T11:10:16"/>
    <d v="2016-02-19T11:25:15"/>
    <x v="0"/>
    <s v="Medium"/>
    <m/>
    <x v="1"/>
    <n v="70805"/>
    <n v="2.8899848623221001"/>
    <d v="2016-02-19T11:39:41"/>
    <n v="19.579999999999998"/>
    <x v="1082"/>
    <n v="2"/>
    <n v="1"/>
    <n v="1.7"/>
    <n v="0"/>
    <n v="2.7"/>
    <x v="1069"/>
    <x v="0"/>
    <x v="2510"/>
    <x v="1429"/>
    <n v="7"/>
    <n v="10"/>
    <e v="#N/A"/>
  </r>
  <r>
    <n v="4995"/>
    <d v="2016-02-19T11:44:38"/>
    <d v="2016-02-19T11:59:35"/>
    <x v="0"/>
    <s v="Medium"/>
    <m/>
    <x v="1"/>
    <n v="70803"/>
    <n v="2.8743090853287598"/>
    <d v="2016-02-19T12:13:57"/>
    <n v="19.579999999999998"/>
    <x v="430"/>
    <n v="2"/>
    <n v="1"/>
    <n v="1.7"/>
    <n v="0"/>
    <n v="2.7"/>
    <x v="417"/>
    <x v="0"/>
    <x v="2511"/>
    <x v="1430"/>
    <n v="7"/>
    <n v="10"/>
    <e v="#N/A"/>
  </r>
  <r>
    <n v="4996"/>
    <d v="2016-02-19T13:59:38"/>
    <d v="2016-02-19T14:14:36"/>
    <x v="0"/>
    <m/>
    <m/>
    <x v="1"/>
    <n v="70804"/>
    <n v="1.1337629197010499"/>
    <d v="2016-02-19T14:20:16"/>
    <n v="7.99"/>
    <x v="905"/>
    <n v="1"/>
    <n v="1"/>
    <n v="0"/>
    <n v="0"/>
    <n v="1"/>
    <x v="892"/>
    <x v="0"/>
    <x v="2512"/>
    <x v="1431"/>
    <n v="7"/>
    <e v="#N/A"/>
    <e v="#N/A"/>
  </r>
  <r>
    <n v="4997"/>
    <d v="2016-02-19T13:22:08"/>
    <d v="2016-02-19T13:37:06"/>
    <x v="2"/>
    <m/>
    <m/>
    <x v="0"/>
    <n v="70804"/>
    <n v="0"/>
    <d v="2016-02-19T13:40:06"/>
    <n v="11.59"/>
    <x v="2"/>
    <n v="1"/>
    <n v="1.7"/>
    <n v="0"/>
    <n v="0"/>
    <n v="1.7"/>
    <x v="0"/>
    <x v="0"/>
    <x v="0"/>
    <x v="0"/>
    <n v="10"/>
    <e v="#N/A"/>
    <e v="#N/A"/>
  </r>
  <r>
    <n v="4998"/>
    <d v="2016-02-19T12:22:08"/>
    <d v="2016-02-19T12:37:09"/>
    <x v="2"/>
    <m/>
    <m/>
    <x v="0"/>
    <n v="70804"/>
    <n v="0"/>
    <d v="2016-02-19T12:40:10"/>
    <n v="11.59"/>
    <x v="14"/>
    <n v="1"/>
    <n v="1.7"/>
    <n v="0"/>
    <n v="0"/>
    <n v="1.7"/>
    <x v="0"/>
    <x v="0"/>
    <x v="0"/>
    <x v="0"/>
    <n v="10"/>
    <e v="#N/A"/>
    <e v="#N/A"/>
  </r>
  <r>
    <n v="4999"/>
    <d v="2016-02-19T10:04:12"/>
    <d v="2016-02-19T10:19:12"/>
    <x v="2"/>
    <m/>
    <m/>
    <x v="0"/>
    <n v="70804"/>
    <n v="0"/>
    <d v="2016-02-19T10:22:14"/>
    <n v="11.59"/>
    <x v="67"/>
    <n v="1"/>
    <n v="1.7"/>
    <n v="0"/>
    <n v="0"/>
    <n v="1.7"/>
    <x v="0"/>
    <x v="0"/>
    <x v="0"/>
    <x v="0"/>
    <n v="10"/>
    <e v="#N/A"/>
    <e v="#N/A"/>
  </r>
  <r>
    <n v="5000"/>
    <d v="2016-02-19T12:33:11"/>
    <d v="2016-02-19T12:48:11"/>
    <x v="0"/>
    <m/>
    <m/>
    <x v="1"/>
    <n v="70806"/>
    <n v="3.16647499801969"/>
    <d v="2016-02-19T13:04:00"/>
    <n v="7.99"/>
    <x v="675"/>
    <n v="1"/>
    <n v="1"/>
    <n v="0"/>
    <n v="0"/>
    <n v="1"/>
    <x v="662"/>
    <x v="0"/>
    <x v="2513"/>
    <x v="1432"/>
    <n v="7"/>
    <e v="#N/A"/>
    <e v="#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1F17DA-F65F-3D44-86AF-90908836BD61}" name="PivotTable4" cacheId="3" dataOnRows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7:D15" firstHeaderRow="1" firstDataRow="2" firstDataCol="1" rowPageCount="1" colPageCount="1"/>
  <pivotFields count="24">
    <pivotField showAll="0"/>
    <pivotField numFmtId="14" showAll="0"/>
    <pivotField numFmtId="14" showAll="0"/>
    <pivotField dataField="1" showAll="0">
      <items count="4">
        <item x="1"/>
        <item x="2"/>
        <item x="0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dataField="1" numFmtId="2" showAll="0"/>
    <pivotField numFmtId="14" showAll="0"/>
    <pivotField showAll="0"/>
    <pivotField dataField="1" numFmtId="2" showAll="0">
      <items count="1466">
        <item x="1250"/>
        <item x="260"/>
        <item x="1189"/>
        <item x="907"/>
        <item x="760"/>
        <item x="649"/>
        <item x="353"/>
        <item x="1091"/>
        <item x="1347"/>
        <item x="736"/>
        <item x="1186"/>
        <item x="647"/>
        <item x="1015"/>
        <item x="898"/>
        <item x="886"/>
        <item x="653"/>
        <item x="754"/>
        <item x="742"/>
        <item x="1385"/>
        <item x="501"/>
        <item x="518"/>
        <item x="172"/>
        <item x="102"/>
        <item x="22"/>
        <item x="19"/>
        <item x="0"/>
        <item x="24"/>
        <item x="1"/>
        <item x="2"/>
        <item x="63"/>
        <item x="56"/>
        <item x="14"/>
        <item x="67"/>
        <item x="171"/>
        <item x="227"/>
        <item x="165"/>
        <item x="1092"/>
        <item x="325"/>
        <item x="1081"/>
        <item x="661"/>
        <item x="565"/>
        <item x="641"/>
        <item x="849"/>
        <item x="962"/>
        <item x="214"/>
        <item x="1253"/>
        <item x="1363"/>
        <item x="1345"/>
        <item x="1306"/>
        <item x="1170"/>
        <item x="610"/>
        <item x="192"/>
        <item x="1340"/>
        <item x="888"/>
        <item x="848"/>
        <item x="1384"/>
        <item x="1309"/>
        <item x="1441"/>
        <item x="1286"/>
        <item x="1166"/>
        <item x="978"/>
        <item x="219"/>
        <item x="1449"/>
        <item x="313"/>
        <item x="150"/>
        <item x="1107"/>
        <item x="389"/>
        <item x="835"/>
        <item x="1315"/>
        <item x="1004"/>
        <item x="246"/>
        <item x="1067"/>
        <item x="967"/>
        <item x="158"/>
        <item x="476"/>
        <item x="361"/>
        <item x="333"/>
        <item x="758"/>
        <item x="1181"/>
        <item x="841"/>
        <item x="1238"/>
        <item x="1087"/>
        <item x="1354"/>
        <item x="1447"/>
        <item x="441"/>
        <item x="864"/>
        <item x="1370"/>
        <item x="331"/>
        <item x="895"/>
        <item x="1231"/>
        <item x="200"/>
        <item x="958"/>
        <item x="943"/>
        <item x="703"/>
        <item x="359"/>
        <item x="1409"/>
        <item x="1023"/>
        <item x="660"/>
        <item x="1270"/>
        <item x="203"/>
        <item x="721"/>
        <item x="954"/>
        <item x="548"/>
        <item x="41"/>
        <item x="457"/>
        <item x="905"/>
        <item x="1398"/>
        <item x="1066"/>
        <item x="880"/>
        <item x="1275"/>
        <item x="264"/>
        <item x="759"/>
        <item x="1273"/>
        <item x="899"/>
        <item x="1264"/>
        <item x="957"/>
        <item x="1330"/>
        <item x="1214"/>
        <item x="129"/>
        <item x="1108"/>
        <item x="1407"/>
        <item x="600"/>
        <item x="838"/>
        <item x="296"/>
        <item x="560"/>
        <item x="302"/>
        <item x="1276"/>
        <item x="677"/>
        <item x="576"/>
        <item x="688"/>
        <item x="769"/>
        <item x="1373"/>
        <item x="62"/>
        <item x="1325"/>
        <item x="740"/>
        <item x="966"/>
        <item x="626"/>
        <item x="1134"/>
        <item x="586"/>
        <item x="1265"/>
        <item x="1162"/>
        <item x="285"/>
        <item x="1089"/>
        <item x="1416"/>
        <item x="1414"/>
        <item x="249"/>
        <item x="1332"/>
        <item x="832"/>
        <item x="1435"/>
        <item x="375"/>
        <item x="1292"/>
        <item x="535"/>
        <item x="109"/>
        <item x="1084"/>
        <item x="1026"/>
        <item x="1037"/>
        <item x="1368"/>
        <item x="1143"/>
        <item x="1032"/>
        <item x="748"/>
        <item x="495"/>
        <item x="582"/>
        <item x="1022"/>
        <item x="307"/>
        <item x="507"/>
        <item x="98"/>
        <item x="1272"/>
        <item x="226"/>
        <item x="130"/>
        <item x="716"/>
        <item x="144"/>
        <item x="111"/>
        <item x="970"/>
        <item x="1093"/>
        <item x="1183"/>
        <item x="1310"/>
        <item x="478"/>
        <item x="1242"/>
        <item x="851"/>
        <item x="863"/>
        <item x="1025"/>
        <item x="639"/>
        <item x="765"/>
        <item x="156"/>
        <item x="473"/>
        <item x="198"/>
        <item x="719"/>
        <item x="1182"/>
        <item x="65"/>
        <item x="100"/>
        <item x="637"/>
        <item x="1338"/>
        <item x="377"/>
        <item x="729"/>
        <item x="896"/>
        <item x="986"/>
        <item x="1367"/>
        <item x="796"/>
        <item x="1010"/>
        <item x="847"/>
        <item x="766"/>
        <item x="157"/>
        <item x="519"/>
        <item x="1114"/>
        <item x="1462"/>
        <item x="128"/>
        <item x="629"/>
        <item x="1130"/>
        <item x="253"/>
        <item x="1365"/>
        <item x="960"/>
        <item x="499"/>
        <item x="1453"/>
        <item x="994"/>
        <item x="554"/>
        <item x="1424"/>
        <item x="1194"/>
        <item x="57"/>
        <item x="466"/>
        <item x="276"/>
        <item x="1389"/>
        <item x="1438"/>
        <item x="381"/>
        <item x="1293"/>
        <item x="282"/>
        <item x="536"/>
        <item x="54"/>
        <item x="771"/>
        <item x="493"/>
        <item x="1018"/>
        <item x="655"/>
        <item x="1248"/>
        <item x="1167"/>
        <item x="1049"/>
        <item x="669"/>
        <item x="830"/>
        <item x="1360"/>
        <item x="345"/>
        <item x="446"/>
        <item x="1377"/>
        <item x="463"/>
        <item x="697"/>
        <item x="763"/>
        <item x="477"/>
        <item x="961"/>
        <item x="365"/>
        <item x="1213"/>
        <item x="737"/>
        <item x="1375"/>
        <item x="330"/>
        <item x="798"/>
        <item x="1101"/>
        <item x="1391"/>
        <item x="1027"/>
        <item x="397"/>
        <item x="398"/>
        <item x="1147"/>
        <item x="623"/>
        <item x="1105"/>
        <item x="597"/>
        <item x="1298"/>
        <item x="914"/>
        <item x="1425"/>
        <item x="1324"/>
        <item x="137"/>
        <item x="376"/>
        <item x="104"/>
        <item x="731"/>
        <item x="920"/>
        <item x="1217"/>
        <item x="113"/>
        <item x="308"/>
        <item x="420"/>
        <item x="163"/>
        <item x="279"/>
        <item x="999"/>
        <item x="382"/>
        <item x="336"/>
        <item x="680"/>
        <item x="1057"/>
        <item x="1454"/>
        <item x="658"/>
        <item x="32"/>
        <item x="969"/>
        <item x="747"/>
        <item x="730"/>
        <item x="437"/>
        <item x="900"/>
        <item x="248"/>
        <item x="1202"/>
        <item x="908"/>
        <item x="1088"/>
        <item x="534"/>
        <item x="804"/>
        <item x="23"/>
        <item x="1203"/>
        <item x="938"/>
        <item x="444"/>
        <item x="709"/>
        <item x="169"/>
        <item x="853"/>
        <item x="1184"/>
        <item x="1038"/>
        <item x="1405"/>
        <item x="138"/>
        <item x="1133"/>
        <item x="243"/>
        <item x="409"/>
        <item x="1464"/>
        <item x="850"/>
        <item x="854"/>
        <item x="294"/>
        <item x="913"/>
        <item x="1396"/>
        <item x="407"/>
        <item x="827"/>
        <item x="778"/>
        <item x="60"/>
        <item x="1240"/>
        <item x="1055"/>
        <item x="64"/>
        <item x="538"/>
        <item x="692"/>
        <item x="475"/>
        <item x="483"/>
        <item x="733"/>
        <item x="408"/>
        <item x="1379"/>
        <item x="525"/>
        <item x="18"/>
        <item x="250"/>
        <item x="1140"/>
        <item x="1381"/>
        <item x="1263"/>
        <item x="123"/>
        <item x="1274"/>
        <item x="1121"/>
        <item x="977"/>
        <item x="418"/>
        <item x="589"/>
        <item x="1457"/>
        <item x="115"/>
        <item x="852"/>
        <item x="894"/>
        <item x="44"/>
        <item x="524"/>
        <item x="68"/>
        <item x="358"/>
        <item x="1056"/>
        <item x="347"/>
        <item x="699"/>
        <item x="663"/>
        <item x="1096"/>
        <item x="121"/>
        <item x="34"/>
        <item x="1359"/>
        <item x="549"/>
        <item x="706"/>
        <item x="668"/>
        <item x="1254"/>
        <item x="1369"/>
        <item x="184"/>
        <item x="657"/>
        <item x="413"/>
        <item x="5"/>
        <item x="207"/>
        <item x="681"/>
        <item x="950"/>
        <item x="1418"/>
        <item x="843"/>
        <item x="985"/>
        <item x="823"/>
        <item x="78"/>
        <item x="1333"/>
        <item x="320"/>
        <item x="1058"/>
        <item x="787"/>
        <item x="1048"/>
        <item x="468"/>
        <item x="230"/>
        <item x="15"/>
        <item x="1073"/>
        <item x="741"/>
        <item x="515"/>
        <item x="339"/>
        <item x="662"/>
        <item x="1295"/>
        <item x="1136"/>
        <item x="561"/>
        <item x="286"/>
        <item x="220"/>
        <item x="925"/>
        <item x="124"/>
        <item x="160"/>
        <item x="822"/>
        <item x="939"/>
        <item x="1125"/>
        <item x="341"/>
        <item x="312"/>
        <item x="874"/>
        <item x="922"/>
        <item x="764"/>
        <item x="1145"/>
        <item x="1102"/>
        <item x="1461"/>
        <item x="739"/>
        <item x="828"/>
        <item x="311"/>
        <item x="71"/>
        <item x="323"/>
        <item x="1116"/>
        <item x="1150"/>
        <item x="33"/>
        <item x="228"/>
        <item x="918"/>
        <item x="1106"/>
        <item x="140"/>
        <item x="1216"/>
        <item x="231"/>
        <item x="417"/>
        <item x="1006"/>
        <item x="1427"/>
        <item x="1210"/>
        <item x="998"/>
        <item x="290"/>
        <item x="753"/>
        <item x="744"/>
        <item x="935"/>
        <item x="1174"/>
        <item x="1318"/>
        <item x="451"/>
        <item x="983"/>
        <item x="873"/>
        <item x="862"/>
        <item x="633"/>
        <item x="800"/>
        <item x="27"/>
        <item x="176"/>
        <item x="1411"/>
        <item x="707"/>
        <item x="980"/>
        <item x="1392"/>
        <item x="494"/>
        <item x="1158"/>
        <item x="963"/>
        <item x="262"/>
        <item x="1400"/>
        <item x="298"/>
        <item x="301"/>
        <item x="1455"/>
        <item x="154"/>
        <item x="952"/>
        <item x="1199"/>
        <item x="1350"/>
        <item x="112"/>
        <item x="1031"/>
        <item x="551"/>
        <item x="806"/>
        <item x="929"/>
        <item x="1012"/>
        <item x="356"/>
        <item x="1283"/>
        <item x="273"/>
        <item x="431"/>
        <item x="546"/>
        <item x="595"/>
        <item x="1019"/>
        <item x="1021"/>
        <item x="185"/>
        <item x="349"/>
        <item x="1380"/>
        <item x="4"/>
        <item x="829"/>
        <item x="1422"/>
        <item x="1329"/>
        <item x="782"/>
        <item x="29"/>
        <item x="73"/>
        <item x="666"/>
        <item x="559"/>
        <item x="656"/>
        <item x="267"/>
        <item x="1227"/>
        <item x="599"/>
        <item x="775"/>
        <item x="425"/>
        <item x="530"/>
        <item x="467"/>
        <item x="611"/>
        <item x="403"/>
        <item x="295"/>
        <item x="644"/>
        <item x="283"/>
        <item x="355"/>
        <item x="424"/>
        <item x="613"/>
        <item x="1065"/>
        <item x="317"/>
        <item x="1076"/>
        <item x="1280"/>
        <item x="1320"/>
        <item x="573"/>
        <item x="593"/>
        <item x="217"/>
        <item x="563"/>
        <item x="235"/>
        <item x="392"/>
        <item x="1460"/>
        <item x="544"/>
        <item x="373"/>
        <item x="486"/>
        <item x="1115"/>
        <item x="931"/>
        <item x="3"/>
        <item x="696"/>
        <item x="774"/>
        <item x="887"/>
        <item x="1001"/>
        <item x="781"/>
        <item x="472"/>
        <item x="191"/>
        <item x="210"/>
        <item x="762"/>
        <item x="1364"/>
        <item x="118"/>
        <item x="1372"/>
        <item x="818"/>
        <item x="1168"/>
        <item x="177"/>
        <item x="208"/>
        <item x="86"/>
        <item x="590"/>
        <item x="810"/>
        <item x="1007"/>
        <item x="640"/>
        <item x="119"/>
        <item x="237"/>
        <item x="1404"/>
        <item x="1352"/>
        <item x="74"/>
        <item x="529"/>
        <item x="988"/>
        <item x="1075"/>
        <item x="571"/>
        <item x="76"/>
        <item x="166"/>
        <item x="461"/>
        <item x="1423"/>
        <item x="11"/>
        <item x="139"/>
        <item x="135"/>
        <item x="16"/>
        <item x="218"/>
        <item x="1212"/>
        <item x="1011"/>
        <item x="877"/>
        <item x="182"/>
        <item x="447"/>
        <item x="531"/>
        <item x="650"/>
        <item x="927"/>
        <item x="1362"/>
        <item x="1047"/>
        <item x="1118"/>
        <item x="1050"/>
        <item x="58"/>
        <item x="1209"/>
        <item x="1218"/>
        <item x="209"/>
        <item x="819"/>
        <item x="1313"/>
        <item x="1154"/>
        <item x="1284"/>
        <item x="1226"/>
        <item x="1039"/>
        <item x="824"/>
        <item x="374"/>
        <item x="690"/>
        <item x="689"/>
        <item x="652"/>
        <item x="1178"/>
        <item x="1119"/>
        <item x="526"/>
        <item x="606"/>
        <item x="319"/>
        <item x="532"/>
        <item x="180"/>
        <item x="114"/>
        <item x="25"/>
        <item x="720"/>
        <item x="1179"/>
        <item x="654"/>
        <item x="811"/>
        <item x="1165"/>
        <item x="429"/>
        <item x="222"/>
        <item x="1342"/>
        <item x="205"/>
        <item x="241"/>
        <item x="995"/>
        <item x="891"/>
        <item x="66"/>
        <item x="452"/>
        <item x="91"/>
        <item x="1053"/>
        <item x="761"/>
        <item x="1024"/>
        <item x="1117"/>
        <item x="624"/>
        <item x="453"/>
        <item x="36"/>
        <item x="1268"/>
        <item x="368"/>
        <item x="664"/>
        <item x="161"/>
        <item x="1406"/>
        <item x="630"/>
        <item x="996"/>
        <item x="187"/>
        <item x="682"/>
        <item x="151"/>
        <item x="1327"/>
        <item x="1014"/>
        <item x="153"/>
        <item x="265"/>
        <item x="1123"/>
        <item x="490"/>
        <item x="700"/>
        <item x="772"/>
        <item x="1328"/>
        <item x="604"/>
        <item x="274"/>
        <item x="676"/>
        <item x="379"/>
        <item x="1442"/>
        <item x="522"/>
        <item x="474"/>
        <item x="564"/>
        <item x="833"/>
        <item x="1285"/>
        <item x="421"/>
        <item x="1393"/>
        <item x="1249"/>
        <item x="400"/>
        <item x="1064"/>
        <item x="70"/>
        <item x="1232"/>
        <item x="1095"/>
        <item x="30"/>
        <item x="964"/>
        <item x="83"/>
        <item x="512"/>
        <item x="812"/>
        <item x="1034"/>
        <item x="328"/>
        <item x="955"/>
        <item x="542"/>
        <item x="291"/>
        <item x="1148"/>
        <item x="422"/>
        <item x="839"/>
        <item x="558"/>
        <item x="395"/>
        <item x="974"/>
        <item x="1042"/>
        <item x="162"/>
        <item x="1059"/>
        <item x="289"/>
        <item x="1444"/>
        <item x="523"/>
        <item x="95"/>
        <item x="870"/>
        <item x="981"/>
        <item x="430"/>
        <item x="149"/>
        <item x="492"/>
        <item x="506"/>
        <item x="1300"/>
        <item x="817"/>
        <item x="1082"/>
        <item x="698"/>
        <item x="1003"/>
        <item x="779"/>
        <item x="872"/>
        <item x="327"/>
        <item x="372"/>
        <item x="40"/>
        <item x="256"/>
        <item x="820"/>
        <item x="1344"/>
        <item x="305"/>
        <item x="326"/>
        <item x="173"/>
        <item x="751"/>
        <item x="1191"/>
        <item x="975"/>
        <item x="362"/>
        <item x="797"/>
        <item x="404"/>
        <item x="1307"/>
        <item x="1112"/>
        <item x="1322"/>
        <item x="1463"/>
        <item x="993"/>
        <item x="1437"/>
        <item x="346"/>
        <item x="752"/>
        <item x="343"/>
        <item x="1078"/>
        <item x="1371"/>
        <item x="1349"/>
        <item x="1207"/>
        <item x="251"/>
        <item x="201"/>
        <item x="303"/>
        <item x="236"/>
        <item x="635"/>
        <item x="37"/>
        <item x="101"/>
        <item x="21"/>
        <item x="53"/>
        <item x="615"/>
        <item x="287"/>
        <item x="723"/>
        <item x="674"/>
        <item x="1204"/>
        <item x="387"/>
        <item x="1450"/>
        <item x="685"/>
        <item x="856"/>
        <item x="460"/>
        <item x="489"/>
        <item x="968"/>
        <item x="718"/>
        <item x="428"/>
        <item x="1417"/>
        <item x="1040"/>
        <item x="1233"/>
        <item x="240"/>
        <item x="1016"/>
        <item x="77"/>
        <item x="244"/>
        <item x="1069"/>
        <item x="693"/>
        <item x="614"/>
        <item x="465"/>
        <item x="1312"/>
        <item x="584"/>
        <item x="846"/>
        <item x="254"/>
        <item x="598"/>
        <item x="275"/>
        <item x="252"/>
        <item x="727"/>
        <item x="87"/>
        <item x="206"/>
        <item x="309"/>
        <item x="814"/>
        <item x="979"/>
        <item x="1390"/>
        <item x="470"/>
        <item x="439"/>
        <item x="120"/>
        <item x="9"/>
        <item x="7"/>
        <item x="258"/>
        <item x="941"/>
        <item x="85"/>
        <item x="1144"/>
        <item x="223"/>
        <item x="126"/>
        <item x="1299"/>
        <item x="1304"/>
        <item x="204"/>
        <item x="380"/>
        <item x="426"/>
        <item x="574"/>
        <item x="394"/>
        <item x="174"/>
        <item x="42"/>
        <item x="281"/>
        <item x="1247"/>
        <item x="722"/>
        <item x="566"/>
        <item x="484"/>
        <item x="991"/>
        <item x="43"/>
        <item x="675"/>
        <item x="318"/>
        <item x="38"/>
        <item x="1430"/>
        <item x="259"/>
        <item x="1201"/>
        <item x="884"/>
        <item x="705"/>
        <item x="1137"/>
        <item x="271"/>
        <item x="257"/>
        <item x="773"/>
        <item x="543"/>
        <item x="1175"/>
        <item x="335"/>
        <item x="601"/>
        <item x="35"/>
        <item x="627"/>
        <item x="1062"/>
        <item x="1237"/>
        <item x="834"/>
        <item x="31"/>
        <item x="767"/>
        <item x="1339"/>
        <item x="987"/>
        <item x="99"/>
        <item x="378"/>
        <item x="1267"/>
        <item x="50"/>
        <item x="393"/>
        <item x="1163"/>
        <item x="1205"/>
        <item x="164"/>
        <item x="186"/>
        <item x="710"/>
        <item x="79"/>
        <item x="596"/>
        <item x="1200"/>
        <item x="594"/>
        <item x="715"/>
        <item x="1009"/>
        <item x="1030"/>
        <item x="108"/>
        <item x="673"/>
        <item x="215"/>
        <item x="352"/>
        <item x="213"/>
        <item x="1244"/>
        <item x="297"/>
        <item x="1104"/>
        <item x="242"/>
        <item x="1334"/>
        <item x="487"/>
        <item x="1190"/>
        <item x="1222"/>
        <item x="1219"/>
        <item x="1155"/>
        <item x="383"/>
        <item x="1291"/>
        <item x="702"/>
        <item x="193"/>
        <item x="1412"/>
        <item x="145"/>
        <item x="1288"/>
        <item x="351"/>
        <item x="284"/>
        <item x="502"/>
        <item x="322"/>
        <item x="845"/>
        <item x="458"/>
        <item x="1428"/>
        <item x="504"/>
        <item x="363"/>
        <item x="233"/>
        <item x="1331"/>
        <item x="1013"/>
        <item x="1301"/>
        <item x="1074"/>
        <item x="514"/>
        <item x="871"/>
        <item x="1374"/>
        <item x="678"/>
        <item x="488"/>
        <item x="125"/>
        <item x="840"/>
        <item x="585"/>
        <item x="1245"/>
        <item x="1176"/>
        <item x="1316"/>
        <item x="1193"/>
        <item x="575"/>
        <item x="580"/>
        <item x="934"/>
        <item x="97"/>
        <item x="942"/>
        <item x="517"/>
        <item x="1110"/>
        <item x="1294"/>
        <item x="10"/>
        <item x="143"/>
        <item x="540"/>
        <item x="826"/>
        <item x="625"/>
        <item x="946"/>
        <item x="581"/>
        <item x="805"/>
        <item x="342"/>
        <item x="1113"/>
        <item x="1403"/>
        <item x="292"/>
        <item x="364"/>
        <item x="528"/>
        <item x="1261"/>
        <item x="435"/>
        <item x="539"/>
        <item x="1124"/>
        <item x="821"/>
        <item x="1228"/>
        <item x="879"/>
        <item x="170"/>
        <item x="632"/>
        <item x="224"/>
        <item x="785"/>
        <item x="1157"/>
        <item x="360"/>
        <item x="836"/>
        <item x="175"/>
        <item x="103"/>
        <item x="1061"/>
        <item x="344"/>
        <item x="107"/>
        <item x="618"/>
        <item x="726"/>
        <item x="1443"/>
        <item x="579"/>
        <item x="1051"/>
        <item x="1071"/>
        <item x="903"/>
        <item x="1129"/>
        <item x="90"/>
        <item x="686"/>
        <item x="527"/>
        <item x="973"/>
        <item x="825"/>
        <item x="367"/>
        <item x="314"/>
        <item x="513"/>
        <item x="89"/>
        <item x="865"/>
        <item x="708"/>
        <item x="433"/>
        <item x="622"/>
        <item x="909"/>
        <item x="340"/>
        <item x="1308"/>
        <item x="1277"/>
        <item x="1221"/>
        <item x="691"/>
        <item x="545"/>
        <item x="384"/>
        <item x="84"/>
        <item x="780"/>
        <item x="679"/>
        <item x="1099"/>
        <item x="272"/>
        <item x="792"/>
        <item x="717"/>
        <item x="1132"/>
        <item x="959"/>
        <item x="20"/>
        <item x="1149"/>
        <item x="55"/>
        <item x="1348"/>
        <item x="868"/>
        <item x="687"/>
        <item x="788"/>
        <item x="1296"/>
        <item x="1035"/>
        <item x="1097"/>
        <item x="1171"/>
        <item x="860"/>
        <item x="648"/>
        <item x="416"/>
        <item x="619"/>
        <item x="1252"/>
        <item x="1305"/>
        <item x="910"/>
        <item x="80"/>
        <item x="712"/>
        <item x="72"/>
        <item x="724"/>
        <item x="155"/>
        <item x="278"/>
        <item x="901"/>
        <item x="178"/>
        <item x="401"/>
        <item x="51"/>
        <item x="976"/>
        <item x="1152"/>
        <item x="628"/>
        <item x="1246"/>
        <item x="1131"/>
        <item x="616"/>
        <item x="790"/>
        <item x="1180"/>
        <item x="926"/>
        <item x="221"/>
        <item x="500"/>
        <item x="937"/>
        <item x="511"/>
        <item x="550"/>
        <item x="570"/>
        <item x="329"/>
        <item x="1440"/>
        <item x="498"/>
        <item x="1177"/>
        <item x="471"/>
        <item x="940"/>
        <item x="520"/>
        <item x="122"/>
        <item x="1287"/>
        <item x="117"/>
        <item x="1266"/>
        <item x="745"/>
        <item x="713"/>
        <item x="181"/>
        <item x="949"/>
        <item x="743"/>
        <item x="304"/>
        <item x="440"/>
        <item x="1122"/>
        <item x="1410"/>
        <item x="234"/>
        <item x="1282"/>
        <item x="496"/>
        <item x="1085"/>
        <item x="889"/>
        <item x="881"/>
        <item x="992"/>
        <item x="189"/>
        <item x="59"/>
        <item x="683"/>
        <item x="883"/>
        <item x="670"/>
        <item x="537"/>
        <item x="1336"/>
        <item x="1094"/>
        <item x="714"/>
        <item x="386"/>
        <item x="202"/>
        <item x="427"/>
        <item x="412"/>
        <item x="1257"/>
        <item x="1458"/>
        <item x="1146"/>
        <item x="1005"/>
        <item x="902"/>
        <item x="509"/>
        <item x="1451"/>
        <item x="28"/>
        <item x="953"/>
        <item x="411"/>
        <item x="1413"/>
        <item x="1139"/>
        <item x="989"/>
        <item x="885"/>
        <item x="605"/>
        <item x="225"/>
        <item x="904"/>
        <item x="694"/>
        <item x="132"/>
        <item x="756"/>
        <item x="915"/>
        <item x="454"/>
        <item x="876"/>
        <item x="212"/>
        <item x="306"/>
        <item x="612"/>
        <item x="485"/>
        <item x="183"/>
        <item x="588"/>
        <item x="569"/>
        <item x="1126"/>
        <item x="947"/>
        <item x="310"/>
        <item x="1198"/>
        <item x="480"/>
        <item x="26"/>
        <item x="1192"/>
        <item x="293"/>
        <item x="878"/>
        <item x="1431"/>
        <item x="462"/>
        <item x="547"/>
        <item x="917"/>
        <item x="48"/>
        <item x="82"/>
        <item x="645"/>
        <item x="332"/>
        <item x="1002"/>
        <item x="436"/>
        <item x="844"/>
        <item x="1343"/>
        <item x="508"/>
        <item x="516"/>
        <item x="369"/>
        <item x="324"/>
        <item x="263"/>
        <item x="127"/>
        <item x="1100"/>
        <item x="746"/>
        <item x="638"/>
        <item x="621"/>
        <item x="695"/>
        <item x="510"/>
        <item x="1289"/>
        <item x="1188"/>
        <item x="390"/>
        <item x="990"/>
        <item x="553"/>
        <item x="134"/>
        <item x="533"/>
        <item x="1160"/>
        <item x="1017"/>
        <item x="1432"/>
        <item x="795"/>
        <item x="801"/>
        <item x="777"/>
        <item x="179"/>
        <item x="866"/>
        <item x="106"/>
        <item x="110"/>
        <item x="911"/>
        <item x="749"/>
        <item x="928"/>
        <item x="1399"/>
        <item x="1419"/>
        <item x="136"/>
        <item x="39"/>
        <item x="503"/>
        <item x="659"/>
        <item x="1196"/>
        <item x="1052"/>
        <item x="469"/>
        <item x="784"/>
        <item x="147"/>
        <item x="867"/>
        <item x="146"/>
        <item x="1243"/>
        <item x="858"/>
        <item x="449"/>
        <item x="608"/>
        <item x="167"/>
        <item x="92"/>
        <item x="13"/>
        <item x="366"/>
        <item x="577"/>
        <item x="1355"/>
        <item x="919"/>
        <item x="997"/>
        <item x="1142"/>
        <item x="116"/>
        <item x="906"/>
        <item x="266"/>
        <item x="47"/>
        <item x="17"/>
        <item x="1120"/>
        <item x="1357"/>
        <item x="1383"/>
        <item x="1397"/>
        <item x="1028"/>
        <item x="414"/>
        <item x="197"/>
        <item x="1090"/>
        <item x="1358"/>
        <item x="131"/>
        <item x="247"/>
        <item x="88"/>
        <item x="603"/>
        <item x="288"/>
        <item x="556"/>
        <item x="1279"/>
        <item x="52"/>
        <item x="1060"/>
        <item x="803"/>
        <item x="916"/>
        <item x="459"/>
        <item x="357"/>
        <item x="196"/>
        <item x="1008"/>
        <item x="671"/>
        <item x="406"/>
        <item x="735"/>
        <item x="948"/>
        <item x="1326"/>
        <item x="1072"/>
        <item x="1086"/>
        <item x="371"/>
        <item x="750"/>
        <item x="1068"/>
        <item x="1401"/>
        <item x="1159"/>
        <item x="956"/>
        <item x="105"/>
        <item x="951"/>
        <item x="1278"/>
        <item x="61"/>
        <item x="1351"/>
        <item x="194"/>
        <item x="631"/>
        <item x="1045"/>
        <item x="1436"/>
        <item x="337"/>
        <item x="1111"/>
        <item x="1036"/>
        <item x="1387"/>
        <item x="1229"/>
        <item x="188"/>
        <item x="1323"/>
        <item x="410"/>
        <item x="148"/>
        <item x="1281"/>
        <item x="1033"/>
        <item x="807"/>
        <item x="1138"/>
        <item x="195"/>
        <item x="667"/>
        <item x="497"/>
        <item x="350"/>
        <item x="1230"/>
        <item x="75"/>
        <item x="982"/>
        <item x="402"/>
        <item x="634"/>
        <item x="1353"/>
        <item x="1456"/>
        <item x="972"/>
        <item x="770"/>
        <item x="479"/>
        <item x="481"/>
        <item x="269"/>
        <item x="875"/>
        <item x="46"/>
        <item x="1151"/>
        <item x="268"/>
        <item x="12"/>
        <item x="232"/>
        <item x="1041"/>
        <item x="912"/>
        <item x="602"/>
        <item x="261"/>
        <item x="1077"/>
        <item x="893"/>
        <item x="1020"/>
        <item x="1225"/>
        <item x="432"/>
        <item x="711"/>
        <item x="1271"/>
        <item x="965"/>
        <item x="1169"/>
        <item x="448"/>
        <item x="1269"/>
        <item x="142"/>
        <item x="936"/>
        <item x="405"/>
        <item x="897"/>
        <item x="334"/>
        <item x="445"/>
        <item x="141"/>
        <item x="587"/>
        <item x="1429"/>
        <item x="890"/>
        <item x="1135"/>
        <item x="591"/>
        <item x="8"/>
        <item x="567"/>
        <item x="1337"/>
        <item x="1395"/>
        <item x="354"/>
        <item x="199"/>
        <item x="1239"/>
        <item x="1378"/>
        <item x="1063"/>
        <item x="802"/>
        <item x="944"/>
        <item x="229"/>
        <item x="861"/>
        <item x="552"/>
        <item x="238"/>
        <item x="704"/>
        <item x="646"/>
        <item x="216"/>
        <item x="923"/>
        <item x="620"/>
        <item x="245"/>
        <item x="1127"/>
        <item x="882"/>
        <item x="578"/>
        <item x="456"/>
        <item x="482"/>
        <item x="1433"/>
        <item x="1434"/>
        <item x="617"/>
        <item x="1290"/>
        <item x="837"/>
        <item x="1297"/>
        <item x="738"/>
        <item x="391"/>
        <item x="1459"/>
        <item x="338"/>
        <item x="316"/>
        <item x="1420"/>
        <item x="1161"/>
        <item x="1172"/>
        <item x="1029"/>
        <item x="672"/>
        <item x="1079"/>
        <item x="299"/>
        <item x="1185"/>
        <item x="793"/>
        <item x="1044"/>
        <item x="1256"/>
        <item x="438"/>
        <item x="855"/>
        <item x="300"/>
        <item x="239"/>
        <item x="701"/>
        <item x="1260"/>
        <item x="270"/>
        <item x="396"/>
        <item x="277"/>
        <item x="932"/>
        <item x="6"/>
        <item x="1000"/>
        <item x="728"/>
        <item x="69"/>
        <item x="831"/>
        <item x="1415"/>
        <item x="1211"/>
        <item x="869"/>
        <item x="809"/>
        <item x="1109"/>
        <item x="1408"/>
        <item x="1452"/>
        <item x="1445"/>
        <item x="732"/>
        <item x="1206"/>
        <item x="321"/>
        <item x="464"/>
        <item x="255"/>
        <item x="315"/>
        <item x="442"/>
        <item x="1197"/>
        <item x="415"/>
        <item x="443"/>
        <item x="81"/>
        <item x="1446"/>
        <item x="1426"/>
        <item x="45"/>
        <item x="684"/>
        <item x="1173"/>
        <item x="423"/>
        <item x="607"/>
        <item x="455"/>
        <item x="808"/>
        <item x="1402"/>
        <item x="1356"/>
        <item x="1346"/>
        <item x="1258"/>
        <item x="1335"/>
        <item x="1251"/>
        <item x="93"/>
        <item x="1234"/>
        <item x="921"/>
        <item x="1164"/>
        <item x="815"/>
        <item x="190"/>
        <item x="1448"/>
        <item x="1303"/>
        <item x="1311"/>
        <item x="1043"/>
        <item x="1236"/>
        <item x="665"/>
        <item x="1262"/>
        <item x="505"/>
        <item x="642"/>
        <item x="1080"/>
        <item x="1083"/>
        <item x="557"/>
        <item x="1376"/>
        <item x="1141"/>
        <item x="933"/>
        <item x="434"/>
        <item x="419"/>
        <item x="776"/>
        <item x="491"/>
        <item x="1103"/>
        <item x="857"/>
        <item x="1382"/>
        <item x="791"/>
        <item x="734"/>
        <item x="1255"/>
        <item x="1421"/>
        <item x="1128"/>
        <item x="1153"/>
        <item x="1319"/>
        <item x="859"/>
        <item x="1439"/>
        <item x="813"/>
        <item x="541"/>
        <item x="971"/>
        <item x="49"/>
        <item x="572"/>
        <item x="450"/>
        <item x="794"/>
        <item x="725"/>
        <item x="1317"/>
        <item x="521"/>
        <item x="1220"/>
        <item x="399"/>
        <item x="592"/>
        <item x="1394"/>
        <item x="348"/>
        <item x="1046"/>
        <item x="892"/>
        <item x="1361"/>
        <item x="152"/>
        <item x="1241"/>
        <item x="651"/>
        <item x="583"/>
        <item x="1098"/>
        <item x="1341"/>
        <item x="768"/>
        <item x="1321"/>
        <item x="568"/>
        <item x="159"/>
        <item x="168"/>
        <item x="133"/>
        <item x="945"/>
        <item x="757"/>
        <item x="783"/>
        <item x="1366"/>
        <item x="370"/>
        <item x="211"/>
        <item x="1314"/>
        <item x="786"/>
        <item x="636"/>
        <item x="609"/>
        <item x="1195"/>
        <item x="1259"/>
        <item x="1156"/>
        <item x="1054"/>
        <item x="1235"/>
        <item x="94"/>
        <item x="924"/>
        <item x="1302"/>
        <item x="1388"/>
        <item x="388"/>
        <item x="1208"/>
        <item x="96"/>
        <item x="930"/>
        <item x="842"/>
        <item x="799"/>
        <item x="984"/>
        <item x="555"/>
        <item x="643"/>
        <item x="1223"/>
        <item x="385"/>
        <item x="1215"/>
        <item x="789"/>
        <item x="1224"/>
        <item x="816"/>
        <item x="280"/>
        <item x="1386"/>
        <item x="1187"/>
        <item x="755"/>
        <item x="1070"/>
        <item x="562"/>
        <item t="default"/>
      </items>
    </pivotField>
    <pivotField showAll="0"/>
    <pivotField showAll="0"/>
    <pivotField showAll="0"/>
    <pivotField showAll="0"/>
    <pivotField showAll="0"/>
    <pivotField dataField="1" numFmtId="44" showAll="0">
      <items count="1454">
        <item x="0"/>
        <item x="1238"/>
        <item x="247"/>
        <item x="1177"/>
        <item x="894"/>
        <item x="747"/>
        <item x="636"/>
        <item x="340"/>
        <item x="1078"/>
        <item x="1335"/>
        <item x="723"/>
        <item x="1174"/>
        <item x="634"/>
        <item x="1002"/>
        <item x="885"/>
        <item x="873"/>
        <item x="640"/>
        <item x="741"/>
        <item x="729"/>
        <item x="1373"/>
        <item x="488"/>
        <item x="505"/>
        <item x="1135"/>
        <item x="155"/>
        <item x="1079"/>
        <item x="312"/>
        <item x="1068"/>
        <item x="648"/>
        <item x="552"/>
        <item x="628"/>
        <item x="836"/>
        <item x="949"/>
        <item x="202"/>
        <item x="1241"/>
        <item x="1351"/>
        <item x="1333"/>
        <item x="1294"/>
        <item x="1158"/>
        <item x="597"/>
        <item x="180"/>
        <item x="1328"/>
        <item x="875"/>
        <item x="835"/>
        <item x="1372"/>
        <item x="1297"/>
        <item x="1429"/>
        <item x="1274"/>
        <item x="1154"/>
        <item x="965"/>
        <item x="207"/>
        <item x="1437"/>
        <item x="300"/>
        <item x="140"/>
        <item x="1094"/>
        <item x="376"/>
        <item x="822"/>
        <item x="1303"/>
        <item x="991"/>
        <item x="233"/>
        <item x="1054"/>
        <item x="954"/>
        <item x="148"/>
        <item x="463"/>
        <item x="348"/>
        <item x="320"/>
        <item x="745"/>
        <item x="1169"/>
        <item x="828"/>
        <item x="1226"/>
        <item x="1074"/>
        <item x="1342"/>
        <item x="1435"/>
        <item x="428"/>
        <item x="851"/>
        <item x="1358"/>
        <item x="318"/>
        <item x="882"/>
        <item x="1219"/>
        <item x="188"/>
        <item x="945"/>
        <item x="930"/>
        <item x="690"/>
        <item x="346"/>
        <item x="1397"/>
        <item x="1010"/>
        <item x="647"/>
        <item x="1258"/>
        <item x="191"/>
        <item x="708"/>
        <item x="941"/>
        <item x="535"/>
        <item x="35"/>
        <item x="444"/>
        <item x="892"/>
        <item x="1386"/>
        <item x="1053"/>
        <item x="867"/>
        <item x="1263"/>
        <item x="251"/>
        <item x="746"/>
        <item x="1261"/>
        <item x="886"/>
        <item x="1252"/>
        <item x="944"/>
        <item x="1318"/>
        <item x="1202"/>
        <item x="119"/>
        <item x="1095"/>
        <item x="1395"/>
        <item x="587"/>
        <item x="825"/>
        <item x="283"/>
        <item x="547"/>
        <item x="289"/>
        <item x="1264"/>
        <item x="664"/>
        <item x="563"/>
        <item x="675"/>
        <item x="756"/>
        <item x="1361"/>
        <item x="55"/>
        <item x="1313"/>
        <item x="727"/>
        <item x="953"/>
        <item x="613"/>
        <item x="1121"/>
        <item x="573"/>
        <item x="1253"/>
        <item x="1150"/>
        <item x="272"/>
        <item x="1076"/>
        <item x="1404"/>
        <item x="1402"/>
        <item x="236"/>
        <item x="1320"/>
        <item x="819"/>
        <item x="1423"/>
        <item x="362"/>
        <item x="1280"/>
        <item x="522"/>
        <item x="99"/>
        <item x="1071"/>
        <item x="1013"/>
        <item x="1024"/>
        <item x="1356"/>
        <item x="1130"/>
        <item x="1019"/>
        <item x="735"/>
        <item x="482"/>
        <item x="569"/>
        <item x="1009"/>
        <item x="294"/>
        <item x="494"/>
        <item x="89"/>
        <item x="1260"/>
        <item x="214"/>
        <item x="120"/>
        <item x="703"/>
        <item x="134"/>
        <item x="101"/>
        <item x="957"/>
        <item x="1080"/>
        <item x="1171"/>
        <item x="1298"/>
        <item x="465"/>
        <item x="1230"/>
        <item x="838"/>
        <item x="850"/>
        <item x="1012"/>
        <item x="626"/>
        <item x="752"/>
        <item x="146"/>
        <item x="460"/>
        <item x="186"/>
        <item x="706"/>
        <item x="1170"/>
        <item x="57"/>
        <item x="91"/>
        <item x="624"/>
        <item x="1326"/>
        <item x="364"/>
        <item x="716"/>
        <item x="883"/>
        <item x="973"/>
        <item x="1355"/>
        <item x="783"/>
        <item x="997"/>
        <item x="834"/>
        <item x="753"/>
        <item x="147"/>
        <item x="506"/>
        <item x="1101"/>
        <item x="1450"/>
        <item x="118"/>
        <item x="616"/>
        <item x="1117"/>
        <item x="240"/>
        <item x="1353"/>
        <item x="947"/>
        <item x="486"/>
        <item x="1441"/>
        <item x="981"/>
        <item x="541"/>
        <item x="1412"/>
        <item x="1182"/>
        <item x="50"/>
        <item x="453"/>
        <item x="263"/>
        <item x="1377"/>
        <item x="1426"/>
        <item x="368"/>
        <item x="1281"/>
        <item x="269"/>
        <item x="523"/>
        <item x="48"/>
        <item x="758"/>
        <item x="480"/>
        <item x="1005"/>
        <item x="642"/>
        <item x="1236"/>
        <item x="1155"/>
        <item x="1036"/>
        <item x="656"/>
        <item x="817"/>
        <item x="1348"/>
        <item x="332"/>
        <item x="433"/>
        <item x="1365"/>
        <item x="450"/>
        <item x="684"/>
        <item x="750"/>
        <item x="464"/>
        <item x="948"/>
        <item x="352"/>
        <item x="1201"/>
        <item x="724"/>
        <item x="1363"/>
        <item x="317"/>
        <item x="785"/>
        <item x="1088"/>
        <item x="1379"/>
        <item x="1014"/>
        <item x="384"/>
        <item x="385"/>
        <item x="1134"/>
        <item x="610"/>
        <item x="1092"/>
        <item x="584"/>
        <item x="1286"/>
        <item x="901"/>
        <item x="1413"/>
        <item x="1312"/>
        <item x="127"/>
        <item x="363"/>
        <item x="94"/>
        <item x="718"/>
        <item x="907"/>
        <item x="1205"/>
        <item x="103"/>
        <item x="295"/>
        <item x="407"/>
        <item x="153"/>
        <item x="266"/>
        <item x="986"/>
        <item x="369"/>
        <item x="323"/>
        <item x="667"/>
        <item x="1044"/>
        <item x="1442"/>
        <item x="645"/>
        <item x="26"/>
        <item x="956"/>
        <item x="734"/>
        <item x="717"/>
        <item x="424"/>
        <item x="887"/>
        <item x="235"/>
        <item x="1190"/>
        <item x="895"/>
        <item x="1075"/>
        <item x="521"/>
        <item x="791"/>
        <item x="18"/>
        <item x="1191"/>
        <item x="925"/>
        <item x="431"/>
        <item x="696"/>
        <item x="159"/>
        <item x="840"/>
        <item x="1172"/>
        <item x="1025"/>
        <item x="1393"/>
        <item x="128"/>
        <item x="1120"/>
        <item x="230"/>
        <item x="396"/>
        <item x="1452"/>
        <item x="837"/>
        <item x="841"/>
        <item x="281"/>
        <item x="900"/>
        <item x="1384"/>
        <item x="394"/>
        <item x="814"/>
        <item x="765"/>
        <item x="53"/>
        <item x="1228"/>
        <item x="1042"/>
        <item x="56"/>
        <item x="525"/>
        <item x="679"/>
        <item x="462"/>
        <item x="470"/>
        <item x="720"/>
        <item x="395"/>
        <item x="1367"/>
        <item x="512"/>
        <item x="15"/>
        <item x="237"/>
        <item x="1127"/>
        <item x="1369"/>
        <item x="1251"/>
        <item x="113"/>
        <item x="1262"/>
        <item x="1108"/>
        <item x="964"/>
        <item x="405"/>
        <item x="576"/>
        <item x="1445"/>
        <item x="105"/>
        <item x="839"/>
        <item x="881"/>
        <item x="38"/>
        <item x="511"/>
        <item x="59"/>
        <item x="345"/>
        <item x="1043"/>
        <item x="334"/>
        <item x="686"/>
        <item x="650"/>
        <item x="1083"/>
        <item x="111"/>
        <item x="28"/>
        <item x="1347"/>
        <item x="536"/>
        <item x="693"/>
        <item x="655"/>
        <item x="1242"/>
        <item x="1357"/>
        <item x="172"/>
        <item x="644"/>
        <item x="400"/>
        <item x="3"/>
        <item x="195"/>
        <item x="668"/>
        <item x="937"/>
        <item x="1406"/>
        <item x="830"/>
        <item x="972"/>
        <item x="810"/>
        <item x="69"/>
        <item x="1321"/>
        <item x="307"/>
        <item x="1045"/>
        <item x="774"/>
        <item x="1035"/>
        <item x="455"/>
        <item x="217"/>
        <item x="12"/>
        <item x="1060"/>
        <item x="728"/>
        <item x="502"/>
        <item x="326"/>
        <item x="649"/>
        <item x="1283"/>
        <item x="1123"/>
        <item x="548"/>
        <item x="273"/>
        <item x="208"/>
        <item x="912"/>
        <item x="114"/>
        <item x="150"/>
        <item x="809"/>
        <item x="926"/>
        <item x="1112"/>
        <item x="328"/>
        <item x="299"/>
        <item x="861"/>
        <item x="909"/>
        <item x="751"/>
        <item x="1132"/>
        <item x="1089"/>
        <item x="1449"/>
        <item x="726"/>
        <item x="815"/>
        <item x="298"/>
        <item x="62"/>
        <item x="310"/>
        <item x="1103"/>
        <item x="1138"/>
        <item x="27"/>
        <item x="215"/>
        <item x="905"/>
        <item x="1093"/>
        <item x="130"/>
        <item x="1204"/>
        <item x="218"/>
        <item x="404"/>
        <item x="993"/>
        <item x="1415"/>
        <item x="1198"/>
        <item x="985"/>
        <item x="277"/>
        <item x="740"/>
        <item x="731"/>
        <item x="922"/>
        <item x="1162"/>
        <item x="1306"/>
        <item x="438"/>
        <item x="970"/>
        <item x="860"/>
        <item x="849"/>
        <item x="620"/>
        <item x="787"/>
        <item x="21"/>
        <item x="164"/>
        <item x="1399"/>
        <item x="694"/>
        <item x="967"/>
        <item x="1380"/>
        <item x="481"/>
        <item x="1146"/>
        <item x="950"/>
        <item x="249"/>
        <item x="1388"/>
        <item x="285"/>
        <item x="288"/>
        <item x="1443"/>
        <item x="144"/>
        <item x="939"/>
        <item x="1187"/>
        <item x="1338"/>
        <item x="102"/>
        <item x="1018"/>
        <item x="538"/>
        <item x="793"/>
        <item x="916"/>
        <item x="999"/>
        <item x="343"/>
        <item x="1271"/>
        <item x="260"/>
        <item x="418"/>
        <item x="533"/>
        <item x="582"/>
        <item x="1006"/>
        <item x="1008"/>
        <item x="173"/>
        <item x="336"/>
        <item x="1368"/>
        <item x="2"/>
        <item x="816"/>
        <item x="1410"/>
        <item x="1317"/>
        <item x="769"/>
        <item x="23"/>
        <item x="64"/>
        <item x="653"/>
        <item x="546"/>
        <item x="643"/>
        <item x="254"/>
        <item x="1215"/>
        <item x="586"/>
        <item x="762"/>
        <item x="412"/>
        <item x="517"/>
        <item x="454"/>
        <item x="598"/>
        <item x="390"/>
        <item x="282"/>
        <item x="631"/>
        <item x="270"/>
        <item x="342"/>
        <item x="411"/>
        <item x="600"/>
        <item x="1052"/>
        <item x="304"/>
        <item x="1063"/>
        <item x="1268"/>
        <item x="1308"/>
        <item x="560"/>
        <item x="580"/>
        <item x="205"/>
        <item x="550"/>
        <item x="222"/>
        <item x="379"/>
        <item x="1448"/>
        <item x="531"/>
        <item x="360"/>
        <item x="473"/>
        <item x="1102"/>
        <item x="918"/>
        <item x="1"/>
        <item x="683"/>
        <item x="761"/>
        <item x="874"/>
        <item x="988"/>
        <item x="768"/>
        <item x="459"/>
        <item x="179"/>
        <item x="198"/>
        <item x="749"/>
        <item x="1352"/>
        <item x="108"/>
        <item x="1360"/>
        <item x="805"/>
        <item x="1156"/>
        <item x="165"/>
        <item x="196"/>
        <item x="77"/>
        <item x="577"/>
        <item x="797"/>
        <item x="994"/>
        <item x="627"/>
        <item x="109"/>
        <item x="224"/>
        <item x="1392"/>
        <item x="1340"/>
        <item x="65"/>
        <item x="516"/>
        <item x="975"/>
        <item x="1062"/>
        <item x="558"/>
        <item x="67"/>
        <item x="156"/>
        <item x="448"/>
        <item x="1411"/>
        <item x="9"/>
        <item x="129"/>
        <item x="125"/>
        <item x="13"/>
        <item x="206"/>
        <item x="1200"/>
        <item x="998"/>
        <item x="864"/>
        <item x="170"/>
        <item x="434"/>
        <item x="518"/>
        <item x="637"/>
        <item x="914"/>
        <item x="1350"/>
        <item x="1034"/>
        <item x="1105"/>
        <item x="1037"/>
        <item x="51"/>
        <item x="1197"/>
        <item x="1206"/>
        <item x="197"/>
        <item x="806"/>
        <item x="1301"/>
        <item x="1142"/>
        <item x="1272"/>
        <item x="1214"/>
        <item x="1026"/>
        <item x="811"/>
        <item x="361"/>
        <item x="677"/>
        <item x="676"/>
        <item x="639"/>
        <item x="1166"/>
        <item x="1106"/>
        <item x="513"/>
        <item x="593"/>
        <item x="306"/>
        <item x="519"/>
        <item x="168"/>
        <item x="104"/>
        <item x="19"/>
        <item x="707"/>
        <item x="1167"/>
        <item x="641"/>
        <item x="798"/>
        <item x="1153"/>
        <item x="416"/>
        <item x="210"/>
        <item x="1330"/>
        <item x="193"/>
        <item x="228"/>
        <item x="982"/>
        <item x="878"/>
        <item x="58"/>
        <item x="439"/>
        <item x="82"/>
        <item x="1040"/>
        <item x="748"/>
        <item x="1011"/>
        <item x="1104"/>
        <item x="611"/>
        <item x="440"/>
        <item x="30"/>
        <item x="1256"/>
        <item x="355"/>
        <item x="651"/>
        <item x="151"/>
        <item x="1394"/>
        <item x="617"/>
        <item x="983"/>
        <item x="175"/>
        <item x="669"/>
        <item x="141"/>
        <item x="1315"/>
        <item x="1001"/>
        <item x="143"/>
        <item x="252"/>
        <item x="1110"/>
        <item x="477"/>
        <item x="687"/>
        <item x="759"/>
        <item x="1316"/>
        <item x="591"/>
        <item x="261"/>
        <item x="663"/>
        <item x="366"/>
        <item x="1430"/>
        <item x="509"/>
        <item x="461"/>
        <item x="551"/>
        <item x="820"/>
        <item x="1273"/>
        <item x="408"/>
        <item x="1381"/>
        <item x="1237"/>
        <item x="387"/>
        <item x="1051"/>
        <item x="61"/>
        <item x="1220"/>
        <item x="1082"/>
        <item x="24"/>
        <item x="951"/>
        <item x="74"/>
        <item x="499"/>
        <item x="799"/>
        <item x="1021"/>
        <item x="315"/>
        <item x="942"/>
        <item x="529"/>
        <item x="278"/>
        <item x="1136"/>
        <item x="409"/>
        <item x="826"/>
        <item x="545"/>
        <item x="382"/>
        <item x="961"/>
        <item x="1029"/>
        <item x="152"/>
        <item x="1046"/>
        <item x="276"/>
        <item x="1432"/>
        <item x="510"/>
        <item x="86"/>
        <item x="857"/>
        <item x="968"/>
        <item x="417"/>
        <item x="139"/>
        <item x="479"/>
        <item x="493"/>
        <item x="1288"/>
        <item x="804"/>
        <item x="1069"/>
        <item x="685"/>
        <item x="990"/>
        <item x="766"/>
        <item x="859"/>
        <item x="314"/>
        <item x="359"/>
        <item x="34"/>
        <item x="243"/>
        <item x="807"/>
        <item x="1332"/>
        <item x="292"/>
        <item x="313"/>
        <item x="161"/>
        <item x="738"/>
        <item x="1179"/>
        <item x="962"/>
        <item x="349"/>
        <item x="784"/>
        <item x="391"/>
        <item x="1295"/>
        <item x="1099"/>
        <item x="1310"/>
        <item x="1451"/>
        <item x="980"/>
        <item x="1425"/>
        <item x="333"/>
        <item x="739"/>
        <item x="330"/>
        <item x="1065"/>
        <item x="1359"/>
        <item x="1337"/>
        <item x="1195"/>
        <item x="238"/>
        <item x="189"/>
        <item x="290"/>
        <item x="223"/>
        <item x="622"/>
        <item x="31"/>
        <item x="92"/>
        <item x="17"/>
        <item x="47"/>
        <item x="602"/>
        <item x="274"/>
        <item x="710"/>
        <item x="661"/>
        <item x="1192"/>
        <item x="374"/>
        <item x="1438"/>
        <item x="672"/>
        <item x="843"/>
        <item x="447"/>
        <item x="476"/>
        <item x="955"/>
        <item x="705"/>
        <item x="415"/>
        <item x="1405"/>
        <item x="1027"/>
        <item x="1221"/>
        <item x="227"/>
        <item x="1003"/>
        <item x="68"/>
        <item x="231"/>
        <item x="1056"/>
        <item x="680"/>
        <item x="601"/>
        <item x="452"/>
        <item x="1300"/>
        <item x="571"/>
        <item x="833"/>
        <item x="241"/>
        <item x="585"/>
        <item x="262"/>
        <item x="239"/>
        <item x="714"/>
        <item x="78"/>
        <item x="194"/>
        <item x="296"/>
        <item x="801"/>
        <item x="966"/>
        <item x="1378"/>
        <item x="457"/>
        <item x="426"/>
        <item x="110"/>
        <item x="7"/>
        <item x="5"/>
        <item x="245"/>
        <item x="928"/>
        <item x="76"/>
        <item x="1131"/>
        <item x="211"/>
        <item x="116"/>
        <item x="1287"/>
        <item x="1292"/>
        <item x="192"/>
        <item x="367"/>
        <item x="413"/>
        <item x="561"/>
        <item x="381"/>
        <item x="162"/>
        <item x="36"/>
        <item x="268"/>
        <item x="1235"/>
        <item x="709"/>
        <item x="553"/>
        <item x="471"/>
        <item x="978"/>
        <item x="37"/>
        <item x="662"/>
        <item x="305"/>
        <item x="32"/>
        <item x="1418"/>
        <item x="246"/>
        <item x="1189"/>
        <item x="871"/>
        <item x="692"/>
        <item x="1124"/>
        <item x="258"/>
        <item x="244"/>
        <item x="760"/>
        <item x="530"/>
        <item x="1163"/>
        <item x="322"/>
        <item x="588"/>
        <item x="29"/>
        <item x="614"/>
        <item x="1049"/>
        <item x="1225"/>
        <item x="821"/>
        <item x="25"/>
        <item x="754"/>
        <item x="1327"/>
        <item x="974"/>
        <item x="90"/>
        <item x="365"/>
        <item x="1255"/>
        <item x="44"/>
        <item x="380"/>
        <item x="1151"/>
        <item x="1193"/>
        <item x="154"/>
        <item x="174"/>
        <item x="697"/>
        <item x="70"/>
        <item x="583"/>
        <item x="1188"/>
        <item x="581"/>
        <item x="702"/>
        <item x="996"/>
        <item x="1017"/>
        <item x="98"/>
        <item x="660"/>
        <item x="203"/>
        <item x="339"/>
        <item x="201"/>
        <item x="1232"/>
        <item x="284"/>
        <item x="1091"/>
        <item x="229"/>
        <item x="1322"/>
        <item x="474"/>
        <item x="1178"/>
        <item x="1210"/>
        <item x="1207"/>
        <item x="1143"/>
        <item x="370"/>
        <item x="1279"/>
        <item x="689"/>
        <item x="181"/>
        <item x="1400"/>
        <item x="135"/>
        <item x="1276"/>
        <item x="338"/>
        <item x="271"/>
        <item x="489"/>
        <item x="309"/>
        <item x="832"/>
        <item x="445"/>
        <item x="1416"/>
        <item x="491"/>
        <item x="350"/>
        <item x="220"/>
        <item x="1319"/>
        <item x="1000"/>
        <item x="1289"/>
        <item x="1061"/>
        <item x="501"/>
        <item x="858"/>
        <item x="1362"/>
        <item x="665"/>
        <item x="475"/>
        <item x="115"/>
        <item x="827"/>
        <item x="572"/>
        <item x="1233"/>
        <item x="1164"/>
        <item x="1304"/>
        <item x="1181"/>
        <item x="562"/>
        <item x="567"/>
        <item x="921"/>
        <item x="88"/>
        <item x="929"/>
        <item x="504"/>
        <item x="1097"/>
        <item x="1282"/>
        <item x="8"/>
        <item x="133"/>
        <item x="527"/>
        <item x="813"/>
        <item x="612"/>
        <item x="933"/>
        <item x="568"/>
        <item x="792"/>
        <item x="329"/>
        <item x="1100"/>
        <item x="1391"/>
        <item x="279"/>
        <item x="351"/>
        <item x="515"/>
        <item x="1249"/>
        <item x="422"/>
        <item x="526"/>
        <item x="1111"/>
        <item x="808"/>
        <item x="1216"/>
        <item x="866"/>
        <item x="160"/>
        <item x="619"/>
        <item x="212"/>
        <item x="772"/>
        <item x="1145"/>
        <item x="347"/>
        <item x="823"/>
        <item x="163"/>
        <item x="93"/>
        <item x="1048"/>
        <item x="331"/>
        <item x="97"/>
        <item x="605"/>
        <item x="713"/>
        <item x="1431"/>
        <item x="566"/>
        <item x="1038"/>
        <item x="1058"/>
        <item x="890"/>
        <item x="1116"/>
        <item x="81"/>
        <item x="673"/>
        <item x="514"/>
        <item x="960"/>
        <item x="812"/>
        <item x="354"/>
        <item x="301"/>
        <item x="500"/>
        <item x="80"/>
        <item x="852"/>
        <item x="695"/>
        <item x="420"/>
        <item x="609"/>
        <item x="896"/>
        <item x="327"/>
        <item x="1296"/>
        <item x="1265"/>
        <item x="1209"/>
        <item x="678"/>
        <item x="532"/>
        <item x="371"/>
        <item x="75"/>
        <item x="767"/>
        <item x="666"/>
        <item x="1086"/>
        <item x="259"/>
        <item x="779"/>
        <item x="704"/>
        <item x="1119"/>
        <item x="946"/>
        <item x="16"/>
        <item x="1137"/>
        <item x="49"/>
        <item x="1336"/>
        <item x="855"/>
        <item x="674"/>
        <item x="775"/>
        <item x="1284"/>
        <item x="1022"/>
        <item x="1084"/>
        <item x="1159"/>
        <item x="847"/>
        <item x="635"/>
        <item x="403"/>
        <item x="606"/>
        <item x="1240"/>
        <item x="1293"/>
        <item x="897"/>
        <item x="71"/>
        <item x="699"/>
        <item x="63"/>
        <item x="711"/>
        <item x="145"/>
        <item x="265"/>
        <item x="888"/>
        <item x="166"/>
        <item x="388"/>
        <item x="45"/>
        <item x="963"/>
        <item x="1140"/>
        <item x="615"/>
        <item x="1234"/>
        <item x="1118"/>
        <item x="603"/>
        <item x="777"/>
        <item x="1168"/>
        <item x="913"/>
        <item x="209"/>
        <item x="487"/>
        <item x="924"/>
        <item x="498"/>
        <item x="537"/>
        <item x="557"/>
        <item x="316"/>
        <item x="1428"/>
        <item x="485"/>
        <item x="1165"/>
        <item x="458"/>
        <item x="927"/>
        <item x="507"/>
        <item x="112"/>
        <item x="1275"/>
        <item x="107"/>
        <item x="1254"/>
        <item x="732"/>
        <item x="700"/>
        <item x="169"/>
        <item x="936"/>
        <item x="730"/>
        <item x="291"/>
        <item x="427"/>
        <item x="1109"/>
        <item x="1398"/>
        <item x="221"/>
        <item x="1270"/>
        <item x="483"/>
        <item x="1072"/>
        <item x="876"/>
        <item x="868"/>
        <item x="979"/>
        <item x="177"/>
        <item x="52"/>
        <item x="670"/>
        <item x="870"/>
        <item x="657"/>
        <item x="524"/>
        <item x="1324"/>
        <item x="1081"/>
        <item x="701"/>
        <item x="373"/>
        <item x="190"/>
        <item x="414"/>
        <item x="399"/>
        <item x="1245"/>
        <item x="1446"/>
        <item x="1133"/>
        <item x="992"/>
        <item x="889"/>
        <item x="496"/>
        <item x="1439"/>
        <item x="22"/>
        <item x="940"/>
        <item x="398"/>
        <item x="1401"/>
        <item x="1126"/>
        <item x="976"/>
        <item x="872"/>
        <item x="592"/>
        <item x="213"/>
        <item x="891"/>
        <item x="681"/>
        <item x="122"/>
        <item x="743"/>
        <item x="902"/>
        <item x="441"/>
        <item x="863"/>
        <item x="200"/>
        <item x="293"/>
        <item x="599"/>
        <item x="472"/>
        <item x="171"/>
        <item x="575"/>
        <item x="556"/>
        <item x="1113"/>
        <item x="934"/>
        <item x="297"/>
        <item x="1186"/>
        <item x="467"/>
        <item x="20"/>
        <item x="1180"/>
        <item x="280"/>
        <item x="865"/>
        <item x="1419"/>
        <item x="449"/>
        <item x="534"/>
        <item x="904"/>
        <item x="42"/>
        <item x="73"/>
        <item x="632"/>
        <item x="319"/>
        <item x="989"/>
        <item x="423"/>
        <item x="831"/>
        <item x="1331"/>
        <item x="495"/>
        <item x="503"/>
        <item x="356"/>
        <item x="311"/>
        <item x="250"/>
        <item x="117"/>
        <item x="1087"/>
        <item x="733"/>
        <item x="625"/>
        <item x="608"/>
        <item x="682"/>
        <item x="497"/>
        <item x="1277"/>
        <item x="1176"/>
        <item x="377"/>
        <item x="977"/>
        <item x="540"/>
        <item x="124"/>
        <item x="520"/>
        <item x="1148"/>
        <item x="1004"/>
        <item x="1420"/>
        <item x="782"/>
        <item x="788"/>
        <item x="764"/>
        <item x="167"/>
        <item x="853"/>
        <item x="96"/>
        <item x="100"/>
        <item x="898"/>
        <item x="736"/>
        <item x="915"/>
        <item x="1387"/>
        <item x="1407"/>
        <item x="126"/>
        <item x="33"/>
        <item x="490"/>
        <item x="646"/>
        <item x="1184"/>
        <item x="1039"/>
        <item x="456"/>
        <item x="771"/>
        <item x="137"/>
        <item x="854"/>
        <item x="136"/>
        <item x="1231"/>
        <item x="845"/>
        <item x="436"/>
        <item x="595"/>
        <item x="157"/>
        <item x="83"/>
        <item x="11"/>
        <item x="353"/>
        <item x="564"/>
        <item x="1343"/>
        <item x="906"/>
        <item x="984"/>
        <item x="1129"/>
        <item x="106"/>
        <item x="893"/>
        <item x="253"/>
        <item x="41"/>
        <item x="14"/>
        <item x="1107"/>
        <item x="1345"/>
        <item x="1371"/>
        <item x="1385"/>
        <item x="1015"/>
        <item x="401"/>
        <item x="185"/>
        <item x="1077"/>
        <item x="1346"/>
        <item x="121"/>
        <item x="234"/>
        <item x="79"/>
        <item x="590"/>
        <item x="275"/>
        <item x="543"/>
        <item x="1267"/>
        <item x="46"/>
        <item x="1047"/>
        <item x="790"/>
        <item x="903"/>
        <item x="446"/>
        <item x="344"/>
        <item x="184"/>
        <item x="995"/>
        <item x="658"/>
        <item x="393"/>
        <item x="722"/>
        <item x="935"/>
        <item x="1314"/>
        <item x="1059"/>
        <item x="1073"/>
        <item x="358"/>
        <item x="737"/>
        <item x="1055"/>
        <item x="1389"/>
        <item x="1147"/>
        <item x="943"/>
        <item x="95"/>
        <item x="938"/>
        <item x="1266"/>
        <item x="54"/>
        <item x="1339"/>
        <item x="182"/>
        <item x="618"/>
        <item x="1032"/>
        <item x="1424"/>
        <item x="324"/>
        <item x="1098"/>
        <item x="1023"/>
        <item x="1375"/>
        <item x="1217"/>
        <item x="176"/>
        <item x="1311"/>
        <item x="397"/>
        <item x="138"/>
        <item x="1269"/>
        <item x="1020"/>
        <item x="794"/>
        <item x="1125"/>
        <item x="183"/>
        <item x="654"/>
        <item x="484"/>
        <item x="337"/>
        <item x="1218"/>
        <item x="66"/>
        <item x="969"/>
        <item x="389"/>
        <item x="621"/>
        <item x="1341"/>
        <item x="1444"/>
        <item x="959"/>
        <item x="757"/>
        <item x="466"/>
        <item x="468"/>
        <item x="256"/>
        <item x="862"/>
        <item x="40"/>
        <item x="1139"/>
        <item x="255"/>
        <item x="10"/>
        <item x="219"/>
        <item x="1028"/>
        <item x="899"/>
        <item x="589"/>
        <item x="248"/>
        <item x="1064"/>
        <item x="880"/>
        <item x="1007"/>
        <item x="1213"/>
        <item x="419"/>
        <item x="698"/>
        <item x="1259"/>
        <item x="952"/>
        <item x="1157"/>
        <item x="435"/>
        <item x="1257"/>
        <item x="132"/>
        <item x="923"/>
        <item x="392"/>
        <item x="884"/>
        <item x="321"/>
        <item x="432"/>
        <item x="131"/>
        <item x="574"/>
        <item x="1417"/>
        <item x="877"/>
        <item x="1122"/>
        <item x="578"/>
        <item x="6"/>
        <item x="554"/>
        <item x="1325"/>
        <item x="1383"/>
        <item x="341"/>
        <item x="187"/>
        <item x="1227"/>
        <item x="1366"/>
        <item x="1050"/>
        <item x="789"/>
        <item x="931"/>
        <item x="216"/>
        <item x="848"/>
        <item x="539"/>
        <item x="225"/>
        <item x="691"/>
        <item x="633"/>
        <item x="204"/>
        <item x="910"/>
        <item x="607"/>
        <item x="232"/>
        <item x="1114"/>
        <item x="869"/>
        <item x="565"/>
        <item x="443"/>
        <item x="469"/>
        <item x="1421"/>
        <item x="1422"/>
        <item x="604"/>
        <item x="1278"/>
        <item x="824"/>
        <item x="1285"/>
        <item x="725"/>
        <item x="378"/>
        <item x="1447"/>
        <item x="325"/>
        <item x="303"/>
        <item x="1408"/>
        <item x="1149"/>
        <item x="1160"/>
        <item x="1016"/>
        <item x="659"/>
        <item x="1066"/>
        <item x="286"/>
        <item x="1173"/>
        <item x="780"/>
        <item x="1031"/>
        <item x="1244"/>
        <item x="425"/>
        <item x="842"/>
        <item x="287"/>
        <item x="226"/>
        <item x="688"/>
        <item x="1248"/>
        <item x="257"/>
        <item x="383"/>
        <item x="264"/>
        <item x="919"/>
        <item x="4"/>
        <item x="987"/>
        <item x="715"/>
        <item x="60"/>
        <item x="818"/>
        <item x="1403"/>
        <item x="1199"/>
        <item x="856"/>
        <item x="796"/>
        <item x="1096"/>
        <item x="1396"/>
        <item x="1440"/>
        <item x="1433"/>
        <item x="719"/>
        <item x="1194"/>
        <item x="308"/>
        <item x="451"/>
        <item x="242"/>
        <item x="302"/>
        <item x="429"/>
        <item x="1185"/>
        <item x="402"/>
        <item x="430"/>
        <item x="72"/>
        <item x="1434"/>
        <item x="1414"/>
        <item x="39"/>
        <item x="671"/>
        <item x="1161"/>
        <item x="410"/>
        <item x="594"/>
        <item x="442"/>
        <item x="795"/>
        <item x="1390"/>
        <item x="1344"/>
        <item x="1334"/>
        <item x="1246"/>
        <item x="1323"/>
        <item x="1239"/>
        <item x="84"/>
        <item x="1222"/>
        <item x="908"/>
        <item x="1152"/>
        <item x="802"/>
        <item x="178"/>
        <item x="1436"/>
        <item x="1291"/>
        <item x="1299"/>
        <item x="1030"/>
        <item x="1224"/>
        <item x="652"/>
        <item x="1250"/>
        <item x="492"/>
        <item x="629"/>
        <item x="1067"/>
        <item x="1070"/>
        <item x="544"/>
        <item x="1364"/>
        <item x="1128"/>
        <item x="920"/>
        <item x="421"/>
        <item x="406"/>
        <item x="763"/>
        <item x="478"/>
        <item x="1090"/>
        <item x="844"/>
        <item x="1370"/>
        <item x="778"/>
        <item x="721"/>
        <item x="1243"/>
        <item x="1409"/>
        <item x="1115"/>
        <item x="1141"/>
        <item x="1307"/>
        <item x="846"/>
        <item x="1427"/>
        <item x="800"/>
        <item x="528"/>
        <item x="958"/>
        <item x="43"/>
        <item x="559"/>
        <item x="437"/>
        <item x="781"/>
        <item x="712"/>
        <item x="1305"/>
        <item x="508"/>
        <item x="1208"/>
        <item x="386"/>
        <item x="579"/>
        <item x="1382"/>
        <item x="335"/>
        <item x="1033"/>
        <item x="879"/>
        <item x="1349"/>
        <item x="142"/>
        <item x="1229"/>
        <item x="638"/>
        <item x="570"/>
        <item x="1085"/>
        <item x="1329"/>
        <item x="755"/>
        <item x="1309"/>
        <item x="555"/>
        <item x="149"/>
        <item x="158"/>
        <item x="123"/>
        <item x="932"/>
        <item x="744"/>
        <item x="770"/>
        <item x="1354"/>
        <item x="357"/>
        <item x="199"/>
        <item x="1302"/>
        <item x="773"/>
        <item x="623"/>
        <item x="596"/>
        <item x="1183"/>
        <item x="1247"/>
        <item x="1144"/>
        <item x="1041"/>
        <item x="1223"/>
        <item x="85"/>
        <item x="911"/>
        <item x="1290"/>
        <item x="1376"/>
        <item x="375"/>
        <item x="1196"/>
        <item x="87"/>
        <item x="917"/>
        <item x="829"/>
        <item x="786"/>
        <item x="971"/>
        <item x="542"/>
        <item x="630"/>
        <item x="1211"/>
        <item x="372"/>
        <item x="1203"/>
        <item x="776"/>
        <item x="1212"/>
        <item x="803"/>
        <item x="267"/>
        <item x="1374"/>
        <item x="1175"/>
        <item x="742"/>
        <item x="1057"/>
        <item x="549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dataField="1" numFmtId="2" showAll="0">
      <items count="2515">
        <item x="0"/>
        <item x="1973"/>
        <item x="254"/>
        <item x="1821"/>
        <item x="1221"/>
        <item x="950"/>
        <item x="770"/>
        <item x="364"/>
        <item x="1620"/>
        <item x="2197"/>
        <item x="904"/>
        <item x="1815"/>
        <item x="764"/>
        <item x="1466"/>
        <item x="1204"/>
        <item x="1175"/>
        <item x="777"/>
        <item x="1250"/>
        <item x="936"/>
        <item x="910"/>
        <item x="2309"/>
        <item x="556"/>
        <item x="579"/>
        <item x="1725"/>
        <item x="156"/>
        <item x="1622"/>
        <item x="1737"/>
        <item x="331"/>
        <item x="1601"/>
        <item x="786"/>
        <item x="645"/>
        <item x="753"/>
        <item x="1097"/>
        <item x="1346"/>
        <item x="205"/>
        <item x="1980"/>
        <item x="2245"/>
        <item x="2194"/>
        <item x="2087"/>
        <item x="1769"/>
        <item x="701"/>
        <item x="2044"/>
        <item x="181"/>
        <item x="2181"/>
        <item x="1178"/>
        <item x="1095"/>
        <item x="2306"/>
        <item x="2092"/>
        <item x="2378"/>
        <item x="2448"/>
        <item x="2048"/>
        <item x="1762"/>
        <item x="1377"/>
        <item x="211"/>
        <item x="2464"/>
        <item x="319"/>
        <item x="141"/>
        <item x="1649"/>
        <item x="408"/>
        <item x="1071"/>
        <item x="1441"/>
        <item x="2104"/>
        <item x="239"/>
        <item x="497"/>
        <item x="1570"/>
        <item x="1355"/>
        <item x="1196"/>
        <item x="149"/>
        <item x="2202"/>
        <item x="516"/>
        <item x="375"/>
        <item x="339"/>
        <item x="942"/>
        <item x="1803"/>
        <item x="1083"/>
        <item x="2061"/>
        <item x="1943"/>
        <item x="1612"/>
        <item x="2221"/>
        <item x="2460"/>
        <item x="470"/>
        <item x="1127"/>
        <item x="2258"/>
        <item x="1225"/>
        <item x="337"/>
        <item x="1198"/>
        <item x="1518"/>
        <item x="1923"/>
        <item x="191"/>
        <item x="1338"/>
        <item x="1303"/>
        <item x="1337"/>
        <item x="371"/>
        <item x="847"/>
        <item x="2371"/>
        <item x="1489"/>
        <item x="785"/>
        <item x="194"/>
        <item x="2014"/>
        <item x="873"/>
        <item x="1324"/>
        <item x="622"/>
        <item x="35"/>
        <item x="490"/>
        <item x="2512"/>
        <item x="1216"/>
        <item x="2348"/>
        <item x="1568"/>
        <item x="2068"/>
        <item x="1160"/>
        <item x="2019"/>
        <item x="258"/>
        <item x="948"/>
        <item x="1483"/>
        <item x="1205"/>
        <item x="2017"/>
        <item x="2000"/>
        <item x="1333"/>
        <item x="1382"/>
        <item x="2149"/>
        <item x="1873"/>
        <item x="120"/>
        <item x="1652"/>
        <item x="2369"/>
        <item x="1074"/>
        <item x="688"/>
        <item x="2274"/>
        <item x="300"/>
        <item x="1406"/>
        <item x="638"/>
        <item x="941"/>
        <item x="307"/>
        <item x="2024"/>
        <item x="807"/>
        <item x="657"/>
        <item x="796"/>
        <item x="820"/>
        <item x="966"/>
        <item x="2266"/>
        <item x="2276"/>
        <item x="55"/>
        <item x="2059"/>
        <item x="908"/>
        <item x="2141"/>
        <item x="1354"/>
        <item x="1681"/>
        <item x="1712"/>
        <item x="2240"/>
        <item x="731"/>
        <item x="1707"/>
        <item x="943"/>
        <item x="668"/>
        <item x="1165"/>
        <item x="2296"/>
        <item x="2002"/>
        <item x="1756"/>
        <item x="284"/>
        <item x="1615"/>
        <item x="2391"/>
        <item x="2389"/>
        <item x="242"/>
        <item x="924"/>
        <item x="2153"/>
        <item x="2438"/>
        <item x="1350"/>
        <item x="1067"/>
        <item x="390"/>
        <item x="2058"/>
        <item x="767"/>
        <item x="605"/>
        <item x="100"/>
        <item x="1607"/>
        <item x="2146"/>
        <item x="1495"/>
        <item x="1514"/>
        <item x="1824"/>
        <item x="2254"/>
        <item x="1720"/>
        <item x="1504"/>
        <item x="921"/>
        <item x="1779"/>
        <item x="544"/>
        <item x="664"/>
        <item x="1488"/>
        <item x="1656"/>
        <item x="312"/>
        <item x="564"/>
        <item x="2442"/>
        <item x="90"/>
        <item x="1664"/>
        <item x="2016"/>
        <item x="2108"/>
        <item x="121"/>
        <item x="218"/>
        <item x="865"/>
        <item x="102"/>
        <item x="135"/>
        <item x="2075"/>
        <item x="2192"/>
        <item x="1361"/>
        <item x="1919"/>
        <item x="1623"/>
        <item x="1805"/>
        <item x="2096"/>
        <item x="522"/>
        <item x="2373"/>
        <item x="1955"/>
        <item x="1099"/>
        <item x="1123"/>
        <item x="1494"/>
        <item x="747"/>
        <item x="147"/>
        <item x="955"/>
        <item x="510"/>
        <item x="1330"/>
        <item x="1232"/>
        <item x="189"/>
        <item x="1136"/>
        <item x="870"/>
        <item x="2204"/>
        <item x="1804"/>
        <item x="92"/>
        <item x="913"/>
        <item x="57"/>
        <item x="1042"/>
        <item x="743"/>
        <item x="2177"/>
        <item x="392"/>
        <item x="1200"/>
        <item x="887"/>
        <item x="1398"/>
        <item x="2471"/>
        <item x="2253"/>
        <item x="2039"/>
        <item x="1455"/>
        <item x="1010"/>
        <item x="1093"/>
        <item x="2213"/>
        <item x="957"/>
        <item x="148"/>
        <item x="1965"/>
        <item x="1807"/>
        <item x="581"/>
        <item x="2503"/>
        <item x="1668"/>
        <item x="119"/>
        <item x="2491"/>
        <item x="734"/>
        <item x="1701"/>
        <item x="2259"/>
        <item x="892"/>
        <item x="2339"/>
        <item x="247"/>
        <item x="2251"/>
        <item x="1344"/>
        <item x="669"/>
        <item x="554"/>
        <item x="2473"/>
        <item x="1419"/>
        <item x="630"/>
        <item x="2419"/>
        <item x="1836"/>
        <item x="1996"/>
        <item x="380"/>
        <item x="2291"/>
        <item x="50"/>
        <item x="503"/>
        <item x="1921"/>
        <item x="1078"/>
        <item x="271"/>
        <item x="2318"/>
        <item x="398"/>
        <item x="2443"/>
        <item x="813"/>
        <item x="851"/>
        <item x="2062"/>
        <item x="278"/>
        <item x="1107"/>
        <item x="606"/>
        <item x="1748"/>
        <item x="693"/>
        <item x="48"/>
        <item x="1460"/>
        <item x="973"/>
        <item x="549"/>
        <item x="542"/>
        <item x="1396"/>
        <item x="1630"/>
        <item x="1540"/>
        <item x="1475"/>
        <item x="779"/>
        <item x="1971"/>
        <item x="1766"/>
        <item x="1541"/>
        <item x="797"/>
        <item x="1065"/>
        <item x="2236"/>
        <item x="354"/>
        <item x="1619"/>
        <item x="478"/>
        <item x="499"/>
        <item x="2237"/>
        <item x="2277"/>
        <item x="959"/>
        <item x="836"/>
        <item x="1407"/>
        <item x="953"/>
        <item x="517"/>
        <item x="1302"/>
        <item x="1345"/>
        <item x="379"/>
        <item x="1872"/>
        <item x="905"/>
        <item x="2269"/>
        <item x="1395"/>
        <item x="1500"/>
        <item x="336"/>
        <item x="411"/>
        <item x="1014"/>
        <item x="1410"/>
        <item x="1641"/>
        <item x="2327"/>
        <item x="1496"/>
        <item x="417"/>
        <item x="614"/>
        <item x="502"/>
        <item x="418"/>
        <item x="1724"/>
        <item x="726"/>
        <item x="1765"/>
        <item x="1647"/>
        <item x="684"/>
        <item x="2071"/>
        <item x="2420"/>
        <item x="1374"/>
        <item x="1235"/>
        <item x="2140"/>
        <item x="128"/>
        <item x="1340"/>
        <item x="901"/>
        <item x="391"/>
        <item x="473"/>
        <item x="1486"/>
        <item x="526"/>
        <item x="95"/>
        <item x="1775"/>
        <item x="1926"/>
        <item x="891"/>
        <item x="1878"/>
        <item x="2176"/>
        <item x="1248"/>
        <item x="1213"/>
        <item x="313"/>
        <item x="519"/>
        <item x="104"/>
        <item x="443"/>
        <item x="2357"/>
        <item x="274"/>
        <item x="154"/>
        <item x="1400"/>
        <item x="399"/>
        <item x="1434"/>
        <item x="964"/>
        <item x="1584"/>
        <item x="705"/>
        <item x="343"/>
        <item x="1557"/>
        <item x="811"/>
        <item x="1905"/>
        <item x="2475"/>
        <item x="1476"/>
        <item x="783"/>
        <item x="26"/>
        <item x="1359"/>
        <item x="1833"/>
        <item x="1390"/>
        <item x="920"/>
        <item x="2250"/>
        <item x="889"/>
        <item x="465"/>
        <item x="1207"/>
        <item x="1371"/>
        <item x="241"/>
        <item x="1851"/>
        <item x="2346"/>
        <item x="1882"/>
        <item x="1223"/>
        <item x="1613"/>
        <item x="1929"/>
        <item x="604"/>
        <item x="1219"/>
        <item x="1024"/>
        <item x="1424"/>
        <item x="514"/>
        <item x="18"/>
        <item x="1920"/>
        <item x="1852"/>
        <item x="1295"/>
        <item x="1961"/>
        <item x="856"/>
        <item x="2179"/>
        <item x="476"/>
        <item x="1912"/>
        <item x="160"/>
        <item x="1218"/>
        <item x="837"/>
        <item x="374"/>
        <item x="1808"/>
        <item x="1168"/>
        <item x="1102"/>
        <item x="1515"/>
        <item x="2366"/>
        <item x="2205"/>
        <item x="129"/>
        <item x="2043"/>
        <item x="1970"/>
        <item x="1706"/>
        <item x="430"/>
        <item x="2105"/>
        <item x="1292"/>
        <item x="2085"/>
        <item x="1850"/>
        <item x="235"/>
        <item x="2345"/>
        <item x="1556"/>
        <item x="1650"/>
        <item x="2506"/>
        <item x="1098"/>
        <item x="1104"/>
        <item x="1569"/>
        <item x="1234"/>
        <item x="296"/>
        <item x="2161"/>
        <item x="1353"/>
        <item x="428"/>
        <item x="2337"/>
        <item x="1062"/>
        <item x="1245"/>
        <item x="984"/>
        <item x="2121"/>
        <item x="494"/>
        <item x="53"/>
        <item x="1773"/>
        <item x="1554"/>
        <item x="1950"/>
        <item x="2399"/>
        <item x="1490"/>
        <item x="608"/>
        <item x="56"/>
        <item x="1423"/>
        <item x="826"/>
        <item x="1959"/>
        <item x="513"/>
        <item x="528"/>
        <item x="896"/>
        <item x="429"/>
        <item x="2284"/>
        <item x="591"/>
        <item x="15"/>
        <item x="2060"/>
        <item x="2159"/>
        <item x="771"/>
        <item x="1715"/>
        <item x="1636"/>
        <item x="244"/>
        <item x="2290"/>
        <item x="1998"/>
        <item x="1147"/>
        <item x="1660"/>
        <item x="1274"/>
        <item x="1786"/>
        <item x="2018"/>
        <item x="114"/>
        <item x="1680"/>
        <item x="1375"/>
        <item x="441"/>
        <item x="673"/>
        <item x="2484"/>
        <item x="106"/>
        <item x="1266"/>
        <item x="2076"/>
        <item x="1397"/>
        <item x="1100"/>
        <item x="1194"/>
        <item x="1084"/>
        <item x="38"/>
        <item x="590"/>
        <item x="59"/>
        <item x="1201"/>
        <item x="1776"/>
        <item x="370"/>
        <item x="922"/>
        <item x="1555"/>
        <item x="356"/>
        <item x="2261"/>
        <item x="621"/>
        <item x="842"/>
        <item x="1426"/>
        <item x="788"/>
        <item x="1022"/>
        <item x="1918"/>
        <item x="112"/>
        <item x="1629"/>
        <item x="182"/>
        <item x="28"/>
        <item x="2235"/>
        <item x="1008"/>
        <item x="623"/>
        <item x="1870"/>
        <item x="2314"/>
        <item x="852"/>
        <item x="1043"/>
        <item x="795"/>
        <item x="1531"/>
        <item x="1981"/>
        <item x="2257"/>
        <item x="173"/>
        <item x="1915"/>
        <item x="782"/>
        <item x="435"/>
        <item x="3"/>
        <item x="198"/>
        <item x="1315"/>
        <item x="812"/>
        <item x="1262"/>
        <item x="2400"/>
        <item x="1089"/>
        <item x="1056"/>
        <item x="1394"/>
        <item x="1614"/>
        <item x="2113"/>
        <item x="69"/>
        <item x="2154"/>
        <item x="890"/>
        <item x="1363"/>
        <item x="326"/>
        <item x="1251"/>
        <item x="1558"/>
        <item x="995"/>
        <item x="2407"/>
        <item x="1539"/>
        <item x="505"/>
        <item x="1602"/>
        <item x="12"/>
        <item x="221"/>
        <item x="691"/>
        <item x="2143"/>
        <item x="1586"/>
        <item x="572"/>
        <item x="1741"/>
        <item x="678"/>
        <item x="909"/>
        <item x="347"/>
        <item x="1252"/>
        <item x="1632"/>
        <item x="1902"/>
        <item x="737"/>
        <item x="1139"/>
        <item x="787"/>
        <item x="2056"/>
        <item x="1992"/>
        <item x="1710"/>
        <item x="2231"/>
        <item x="2065"/>
        <item x="947"/>
        <item x="639"/>
        <item x="285"/>
        <item x="1544"/>
        <item x="1125"/>
        <item x="445"/>
        <item x="1037"/>
        <item x="212"/>
        <item x="366"/>
        <item x="115"/>
        <item x="1259"/>
        <item x="151"/>
        <item x="1055"/>
        <item x="1418"/>
        <item x="1688"/>
        <item x="1296"/>
        <item x="2305"/>
        <item x="440"/>
        <item x="2084"/>
        <item x="1220"/>
        <item x="349"/>
        <item x="1149"/>
        <item x="318"/>
        <item x="2050"/>
        <item x="954"/>
        <item x="1254"/>
        <item x="1545"/>
        <item x="1722"/>
        <item x="1642"/>
        <item x="2332"/>
        <item x="2502"/>
        <item x="2320"/>
        <item x="907"/>
        <item x="1063"/>
        <item x="317"/>
        <item x="1512"/>
        <item x="329"/>
        <item x="62"/>
        <item x="675"/>
        <item x="1348"/>
        <item x="396"/>
        <item x="1670"/>
        <item x="2330"/>
        <item x="1731"/>
        <item x="219"/>
        <item x="2317"/>
        <item x="27"/>
        <item x="1244"/>
        <item x="2119"/>
        <item x="1847"/>
        <item x="1648"/>
        <item x="131"/>
        <item x="2228"/>
        <item x="1877"/>
        <item x="2368"/>
        <item x="580"/>
        <item x="439"/>
        <item x="222"/>
        <item x="1444"/>
        <item x="2423"/>
        <item x="1862"/>
        <item x="1432"/>
        <item x="1126"/>
        <item x="2155"/>
        <item x="292"/>
        <item x="934"/>
        <item x="1858"/>
        <item x="1945"/>
        <item x="914"/>
        <item x="1289"/>
        <item x="2191"/>
        <item x="1781"/>
        <item x="2112"/>
        <item x="2126"/>
        <item x="835"/>
        <item x="483"/>
        <item x="1388"/>
        <item x="1148"/>
        <item x="1122"/>
        <item x="1871"/>
        <item x="1179"/>
        <item x="2263"/>
        <item x="739"/>
        <item x="1057"/>
        <item x="1016"/>
        <item x="1360"/>
        <item x="21"/>
        <item x="2004"/>
        <item x="713"/>
        <item x="1120"/>
        <item x="165"/>
        <item x="2382"/>
        <item x="2457"/>
        <item x="854"/>
        <item x="2207"/>
        <item x="2328"/>
        <item x="1380"/>
        <item x="2372"/>
        <item x="2507"/>
        <item x="2298"/>
        <item x="543"/>
        <item x="1576"/>
        <item x="1347"/>
        <item x="1747"/>
        <item x="2272"/>
        <item x="256"/>
        <item x="2352"/>
        <item x="302"/>
        <item x="1897"/>
        <item x="305"/>
        <item x="145"/>
        <item x="2480"/>
        <item x="1863"/>
        <item x="1319"/>
        <item x="2208"/>
        <item x="1843"/>
        <item x="1503"/>
        <item x="103"/>
        <item x="1155"/>
        <item x="972"/>
        <item x="2322"/>
        <item x="626"/>
        <item x="1027"/>
        <item x="1268"/>
        <item x="1458"/>
        <item x="1699"/>
        <item x="763"/>
        <item x="2041"/>
        <item x="1034"/>
        <item x="1755"/>
        <item x="806"/>
        <item x="368"/>
        <item x="1236"/>
        <item x="268"/>
        <item x="620"/>
        <item x="457"/>
        <item x="1231"/>
        <item x="618"/>
        <item x="682"/>
        <item x="893"/>
        <item x="1477"/>
        <item x="1484"/>
        <item x="280"/>
        <item x="1704"/>
        <item x="1890"/>
        <item x="174"/>
        <item x="359"/>
        <item x="2289"/>
        <item x="2361"/>
        <item x="2"/>
        <item x="237"/>
        <item x="1750"/>
        <item x="1678"/>
        <item x="824"/>
        <item x="1182"/>
        <item x="1666"/>
        <item x="1064"/>
        <item x="1470"/>
        <item x="2147"/>
        <item x="2411"/>
        <item x="988"/>
        <item x="432"/>
        <item x="546"/>
        <item x="23"/>
        <item x="1054"/>
        <item x="2132"/>
        <item x="1516"/>
        <item x="403"/>
        <item x="64"/>
        <item x="577"/>
        <item x="869"/>
        <item x="791"/>
        <item x="1356"/>
        <item x="637"/>
        <item x="781"/>
        <item x="1370"/>
        <item x="282"/>
        <item x="261"/>
        <item x="967"/>
        <item x="687"/>
        <item x="1828"/>
        <item x="1910"/>
        <item x="2341"/>
        <item x="979"/>
        <item x="1405"/>
        <item x="449"/>
        <item x="597"/>
        <item x="2476"/>
        <item x="504"/>
        <item x="1825"/>
        <item x="704"/>
        <item x="1284"/>
        <item x="2465"/>
        <item x="297"/>
        <item x="2483"/>
        <item x="423"/>
        <item x="1463"/>
        <item x="758"/>
        <item x="367"/>
        <item x="279"/>
        <item x="970"/>
        <item x="2130"/>
        <item x="757"/>
        <item x="448"/>
        <item x="707"/>
        <item x="1119"/>
        <item x="1567"/>
        <item x="775"/>
        <item x="1844"/>
        <item x="2299"/>
        <item x="323"/>
        <item x="1814"/>
        <item x="1594"/>
        <item x="2093"/>
        <item x="2032"/>
        <item x="2118"/>
        <item x="2102"/>
        <item x="653"/>
        <item x="1522"/>
        <item x="1857"/>
        <item x="679"/>
        <item x="208"/>
        <item x="1306"/>
        <item x="862"/>
        <item x="642"/>
        <item x="226"/>
        <item x="878"/>
        <item x="1117"/>
        <item x="617"/>
        <item x="451"/>
        <item x="412"/>
        <item x="2500"/>
        <item x="388"/>
        <item x="2212"/>
        <item x="724"/>
        <item x="615"/>
        <item x="531"/>
        <item x="1669"/>
        <item x="1272"/>
        <item x="2157"/>
        <item x="267"/>
        <item x="1"/>
        <item x="834"/>
        <item x="978"/>
        <item x="1450"/>
        <item x="1176"/>
        <item x="1753"/>
        <item x="1436"/>
        <item x="987"/>
        <item x="2107"/>
        <item x="1829"/>
        <item x="509"/>
        <item x="1425"/>
        <item x="180"/>
        <item x="1528"/>
        <item x="201"/>
        <item x="1075"/>
        <item x="952"/>
        <item x="109"/>
        <item x="2247"/>
        <item x="2264"/>
        <item x="1543"/>
        <item x="1045"/>
        <item x="2023"/>
        <item x="1810"/>
        <item x="1767"/>
        <item x="166"/>
        <item x="2262"/>
        <item x="199"/>
        <item x="1588"/>
        <item x="872"/>
        <item x="1901"/>
        <item x="1795"/>
        <item x="1312"/>
        <item x="674"/>
        <item x="1940"/>
        <item x="78"/>
        <item x="2198"/>
        <item x="1031"/>
        <item x="2116"/>
        <item x="1197"/>
        <item x="1445"/>
        <item x="110"/>
        <item x="1592"/>
        <item x="2163"/>
        <item x="751"/>
        <item x="895"/>
        <item x="1764"/>
        <item x="229"/>
        <item x="2365"/>
        <item x="2217"/>
        <item x="2498"/>
        <item x="2362"/>
        <item x="65"/>
        <item x="912"/>
        <item x="596"/>
        <item x="1403"/>
        <item x="1438"/>
        <item x="651"/>
        <item x="1590"/>
        <item x="1339"/>
        <item x="67"/>
        <item x="157"/>
        <item x="1953"/>
        <item x="2414"/>
        <item x="496"/>
        <item x="1094"/>
        <item x="643"/>
        <item x="1373"/>
        <item x="9"/>
        <item x="933"/>
        <item x="956"/>
        <item x="126"/>
        <item x="130"/>
        <item x="13"/>
        <item x="1018"/>
        <item x="425"/>
        <item x="2138"/>
        <item x="210"/>
        <item x="1868"/>
        <item x="1456"/>
        <item x="1692"/>
        <item x="1152"/>
        <item x="171"/>
        <item x="2206"/>
        <item x="493"/>
        <item x="1389"/>
        <item x="479"/>
        <item x="1574"/>
        <item x="1708"/>
        <item x="2433"/>
        <item x="598"/>
        <item x="2268"/>
        <item x="773"/>
        <item x="1088"/>
        <item x="1263"/>
        <item x="2243"/>
        <item x="2350"/>
        <item x="1538"/>
        <item x="1789"/>
        <item x="1672"/>
        <item x="1542"/>
        <item x="51"/>
        <item x="1861"/>
        <item x="2034"/>
        <item x="200"/>
        <item x="1879"/>
        <item x="1927"/>
        <item x="1047"/>
        <item x="2099"/>
        <item x="2445"/>
        <item x="1740"/>
        <item x="1899"/>
        <item x="2057"/>
        <item x="2045"/>
        <item x="1519"/>
        <item x="1058"/>
        <item x="1994"/>
        <item x="2210"/>
        <item x="2220"/>
        <item x="1782"/>
        <item x="389"/>
        <item x="823"/>
        <item x="1492"/>
        <item x="1591"/>
        <item x="2351"/>
        <item x="821"/>
        <item x="1580"/>
        <item x="776"/>
        <item x="1968"/>
        <item x="1796"/>
        <item x="1793"/>
        <item x="2353"/>
        <item x="1675"/>
        <item x="592"/>
        <item x="2003"/>
        <item x="974"/>
        <item x="697"/>
        <item x="1746"/>
        <item x="1869"/>
        <item x="325"/>
        <item x="755"/>
        <item x="169"/>
        <item x="518"/>
        <item x="2285"/>
        <item x="601"/>
        <item x="858"/>
        <item x="1261"/>
        <item x="1320"/>
        <item x="2462"/>
        <item x="717"/>
        <item x="19"/>
        <item x="838"/>
        <item x="105"/>
        <item x="804"/>
        <item x="1153"/>
        <item x="871"/>
        <item x="1988"/>
        <item x="1335"/>
        <item x="1605"/>
        <item x="1794"/>
        <item x="778"/>
        <item x="1032"/>
        <item x="1761"/>
        <item x="2021"/>
        <item x="1790"/>
        <item x="1908"/>
        <item x="1509"/>
        <item x="1003"/>
        <item x="454"/>
        <item x="841"/>
        <item x="214"/>
        <item x="2186"/>
        <item x="521"/>
        <item x="2359"/>
        <item x="196"/>
        <item x="2200"/>
        <item x="1719"/>
        <item x="1420"/>
        <item x="281"/>
        <item x="233"/>
        <item x="576"/>
        <item x="586"/>
        <item x="1190"/>
        <item x="2246"/>
        <item x="463"/>
        <item x="58"/>
        <item x="1784"/>
        <item x="1417"/>
        <item x="484"/>
        <item x="624"/>
        <item x="1141"/>
        <item x="83"/>
        <item x="287"/>
        <item x="363"/>
        <item x="1550"/>
        <item x="2072"/>
        <item x="951"/>
        <item x="1685"/>
        <item x="1491"/>
        <item x="1046"/>
        <item x="1671"/>
        <item x="1180"/>
        <item x="728"/>
        <item x="1691"/>
        <item x="2469"/>
        <item x="750"/>
        <item x="485"/>
        <item x="557"/>
        <item x="30"/>
        <item x="345"/>
        <item x="1129"/>
        <item x="383"/>
        <item x="2012"/>
        <item x="2180"/>
        <item x="789"/>
        <item x="1195"/>
        <item x="1446"/>
        <item x="2295"/>
        <item x="2367"/>
        <item x="152"/>
        <item x="553"/>
        <item x="1886"/>
        <item x="735"/>
        <item x="961"/>
        <item x="999"/>
        <item x="1448"/>
        <item x="1206"/>
        <item x="1427"/>
        <item x="1917"/>
        <item x="176"/>
        <item x="1409"/>
        <item x="814"/>
        <item x="142"/>
        <item x="968"/>
        <item x="2234"/>
        <item x="2144"/>
        <item x="2413"/>
        <item x="1464"/>
        <item x="144"/>
        <item x="259"/>
        <item x="2270"/>
        <item x="1683"/>
        <item x="538"/>
        <item x="843"/>
        <item x="1493"/>
        <item x="1880"/>
        <item x="874"/>
        <item x="1481"/>
        <item x="976"/>
        <item x="694"/>
        <item x="1351"/>
        <item x="2145"/>
        <item x="578"/>
        <item x="1997"/>
        <item x="269"/>
        <item x="2171"/>
        <item x="805"/>
        <item x="2042"/>
        <item x="395"/>
        <item x="2449"/>
        <item x="1051"/>
        <item x="1087"/>
        <item x="587"/>
        <item x="1325"/>
        <item x="2025"/>
        <item x="2188"/>
        <item x="1935"/>
        <item x="512"/>
        <item x="1069"/>
        <item x="832"/>
        <item x="828"/>
        <item x="644"/>
        <item x="672"/>
        <item x="2429"/>
        <item x="2063"/>
        <item x="444"/>
        <item x="2046"/>
        <item x="1948"/>
        <item x="1972"/>
        <item x="2329"/>
        <item x="2379"/>
        <item x="420"/>
        <item x="1294"/>
        <item x="603"/>
        <item x="61"/>
        <item x="2164"/>
        <item x="1900"/>
        <item x="1565"/>
        <item x="2173"/>
        <item x="1924"/>
        <item x="1626"/>
        <item x="2374"/>
        <item x="24"/>
        <item x="1349"/>
        <item x="1999"/>
        <item x="1903"/>
        <item x="2216"/>
        <item x="75"/>
        <item x="1402"/>
        <item x="2242"/>
        <item x="760"/>
        <item x="761"/>
        <item x="1033"/>
        <item x="569"/>
        <item x="1506"/>
        <item x="334"/>
        <item x="1326"/>
        <item x="1559"/>
        <item x="1687"/>
        <item x="1827"/>
        <item x="612"/>
        <item x="293"/>
        <item x="1381"/>
        <item x="1726"/>
        <item x="2496"/>
        <item x="446"/>
        <item x="1079"/>
        <item x="1717"/>
        <item x="415"/>
        <item x="636"/>
        <item x="1253"/>
        <item x="1686"/>
        <item x="1368"/>
        <item x="2248"/>
        <item x="2300"/>
        <item x="1832"/>
        <item x="1524"/>
        <item x="1834"/>
        <item x="2375"/>
        <item x="153"/>
        <item x="2392"/>
        <item x="1560"/>
        <item x="1229"/>
        <item x="2073"/>
        <item x="2312"/>
        <item x="1202"/>
        <item x="290"/>
        <item x="1076"/>
        <item x="1835"/>
        <item x="2111"/>
        <item x="2456"/>
        <item x="588"/>
        <item x="87"/>
        <item x="1366"/>
        <item x="2324"/>
        <item x="1142"/>
        <item x="1838"/>
        <item x="1925"/>
        <item x="2279"/>
        <item x="1399"/>
        <item x="2511"/>
        <item x="456"/>
        <item x="1385"/>
        <item x="2334"/>
        <item x="1702"/>
        <item x="140"/>
        <item x="1763"/>
        <item x="540"/>
        <item x="563"/>
        <item x="1625"/>
        <item x="2078"/>
        <item x="1044"/>
        <item x="1467"/>
        <item x="2184"/>
        <item x="1787"/>
        <item x="1603"/>
        <item x="2510"/>
        <item x="839"/>
        <item x="1440"/>
        <item x="985"/>
        <item x="1462"/>
        <item x="1105"/>
        <item x="2219"/>
        <item x="1631"/>
        <item x="1146"/>
        <item x="333"/>
        <item x="1967"/>
        <item x="387"/>
        <item x="916"/>
        <item x="1627"/>
        <item x="533"/>
        <item x="1273"/>
        <item x="1957"/>
        <item x="1163"/>
        <item x="34"/>
        <item x="250"/>
        <item x="752"/>
        <item x="2444"/>
        <item x="1975"/>
        <item x="1048"/>
        <item x="2190"/>
        <item x="1732"/>
        <item x="2431"/>
        <item x="310"/>
        <item x="332"/>
        <item x="2069"/>
        <item x="1633"/>
        <item x="2094"/>
        <item x="162"/>
        <item x="2028"/>
        <item x="2435"/>
        <item x="930"/>
        <item x="1170"/>
        <item x="935"/>
        <item x="1369"/>
        <item x="1826"/>
        <item x="2027"/>
        <item x="1011"/>
        <item x="376"/>
        <item x="424"/>
        <item x="1240"/>
        <item x="2090"/>
        <item x="1665"/>
        <item x="1989"/>
        <item x="2127"/>
        <item x="2505"/>
        <item x="1415"/>
        <item x="2509"/>
        <item x="1416"/>
        <item x="355"/>
        <item x="2441"/>
        <item x="1646"/>
        <item x="1059"/>
        <item x="931"/>
        <item x="2388"/>
        <item x="351"/>
        <item x="1598"/>
        <item x="1596"/>
        <item x="2260"/>
        <item x="2201"/>
        <item x="1859"/>
        <item x="245"/>
        <item x="2343"/>
        <item x="2008"/>
        <item x="192"/>
        <item x="844"/>
        <item x="227"/>
        <item x="1657"/>
        <item x="308"/>
        <item x="1867"/>
        <item x="741"/>
        <item x="1944"/>
        <item x="1189"/>
        <item x="31"/>
        <item x="1113"/>
        <item x="461"/>
        <item x="17"/>
        <item x="1166"/>
        <item x="1654"/>
        <item x="93"/>
        <item x="47"/>
        <item x="2383"/>
        <item x="593"/>
        <item x="1659"/>
        <item x="1283"/>
        <item x="1841"/>
        <item x="963"/>
        <item x="709"/>
        <item x="1751"/>
        <item x="286"/>
        <item x="1328"/>
        <item x="2131"/>
        <item x="1526"/>
        <item x="876"/>
        <item x="928"/>
        <item x="802"/>
        <item x="971"/>
        <item x="2417"/>
        <item x="1854"/>
        <item x="406"/>
        <item x="822"/>
        <item x="2466"/>
        <item x="817"/>
        <item x="1110"/>
        <item x="1916"/>
        <item x="1593"/>
        <item x="1696"/>
        <item x="495"/>
        <item x="537"/>
        <item x="1357"/>
        <item x="2215"/>
        <item x="868"/>
        <item x="1799"/>
        <item x="2398"/>
        <item x="453"/>
        <item x="1520"/>
        <item x="1931"/>
        <item x="1443"/>
        <item x="1816"/>
        <item x="232"/>
        <item x="1469"/>
        <item x="68"/>
        <item x="1392"/>
        <item x="582"/>
        <item x="1068"/>
        <item x="236"/>
        <item x="455"/>
        <item x="827"/>
        <item x="1575"/>
        <item x="708"/>
        <item x="1757"/>
        <item x="1321"/>
        <item x="730"/>
        <item x="794"/>
        <item x="501"/>
        <item x="2098"/>
        <item x="2485"/>
        <item x="666"/>
        <item x="710"/>
        <item x="248"/>
        <item x="2249"/>
        <item x="840"/>
        <item x="1092"/>
        <item x="2222"/>
        <item x="685"/>
        <item x="270"/>
        <item x="1454"/>
        <item x="2232"/>
        <item x="246"/>
        <item x="1898"/>
        <item x="2486"/>
        <item x="780"/>
        <item x="277"/>
        <item x="1770"/>
        <item x="1798"/>
        <item x="883"/>
        <item x="79"/>
        <item x="2292"/>
        <item x="2440"/>
        <item x="2226"/>
        <item x="2338"/>
        <item x="965"/>
        <item x="1930"/>
        <item x="197"/>
        <item x="2308"/>
        <item x="314"/>
        <item x="1391"/>
        <item x="1849"/>
        <item x="2281"/>
        <item x="1039"/>
        <item x="1378"/>
        <item x="507"/>
        <item x="2325"/>
        <item x="532"/>
        <item x="1797"/>
        <item x="467"/>
        <item x="1982"/>
        <item x="641"/>
        <item x="111"/>
        <item x="2453"/>
        <item x="1128"/>
        <item x="5"/>
        <item x="1013"/>
        <item x="1085"/>
        <item x="7"/>
        <item x="1342"/>
        <item x="2115"/>
        <item x="252"/>
        <item x="1610"/>
        <item x="1300"/>
        <item x="77"/>
        <item x="1721"/>
        <item x="215"/>
        <item x="2077"/>
        <item x="117"/>
        <item x="1017"/>
        <item x="2083"/>
        <item x="1336"/>
        <item x="195"/>
        <item x="397"/>
        <item x="1323"/>
        <item x="1537"/>
        <item x="450"/>
        <item x="655"/>
        <item x="945"/>
        <item x="1020"/>
        <item x="414"/>
        <item x="1267"/>
        <item x="163"/>
        <item x="36"/>
        <item x="1498"/>
        <item x="276"/>
        <item x="1969"/>
        <item x="2165"/>
        <item x="2255"/>
        <item x="875"/>
        <item x="923"/>
        <item x="1551"/>
        <item x="646"/>
        <item x="1864"/>
        <item x="529"/>
        <item x="1513"/>
        <item x="1529"/>
        <item x="37"/>
        <item x="2307"/>
        <item x="1413"/>
        <item x="803"/>
        <item x="944"/>
        <item x="2513"/>
        <item x="998"/>
        <item x="324"/>
        <item x="186"/>
        <item x="902"/>
        <item x="32"/>
        <item x="2428"/>
        <item x="1334"/>
        <item x="2275"/>
        <item x="253"/>
        <item x="1846"/>
        <item x="1904"/>
        <item x="1532"/>
        <item x="1172"/>
        <item x="850"/>
        <item x="946"/>
        <item x="1791"/>
        <item x="1939"/>
        <item x="265"/>
        <item x="1711"/>
        <item x="486"/>
        <item x="288"/>
        <item x="2074"/>
        <item x="1876"/>
        <item x="251"/>
        <item x="2495"/>
        <item x="613"/>
        <item x="977"/>
        <item x="1694"/>
        <item x="1783"/>
        <item x="341"/>
        <item x="29"/>
        <item x="848"/>
        <item x="689"/>
        <item x="732"/>
        <item x="833"/>
        <item x="1343"/>
        <item x="2321"/>
        <item x="1563"/>
        <item x="1936"/>
        <item x="1070"/>
        <item x="2052"/>
        <item x="958"/>
        <item x="25"/>
        <item x="1661"/>
        <item x="2178"/>
        <item x="2304"/>
        <item x="1587"/>
        <item x="1401"/>
        <item x="1663"/>
        <item x="91"/>
        <item x="291"/>
        <item x="393"/>
        <item x="2011"/>
        <item x="1156"/>
        <item x="535"/>
        <item x="73"/>
        <item x="44"/>
        <item x="1758"/>
        <item x="413"/>
        <item x="1855"/>
        <item x="2189"/>
        <item x="155"/>
        <item x="867"/>
        <item x="175"/>
        <item x="1600"/>
        <item x="857"/>
        <item x="1121"/>
        <item x="70"/>
        <item x="1845"/>
        <item x="683"/>
        <item x="1177"/>
        <item x="929"/>
        <item x="681"/>
        <item x="1239"/>
        <item x="864"/>
        <item x="2175"/>
        <item x="2489"/>
        <item x="1453"/>
        <item x="1502"/>
        <item x="1993"/>
        <item x="1604"/>
        <item x="575"/>
        <item x="99"/>
        <item x="2355"/>
        <item x="206"/>
        <item x="1132"/>
        <item x="801"/>
        <item x="1966"/>
        <item x="2493"/>
        <item x="1429"/>
        <item x="702"/>
        <item x="1421"/>
        <item x="362"/>
        <item x="2278"/>
        <item x="1143"/>
        <item x="2193"/>
        <item x="1077"/>
        <item x="204"/>
        <item x="1960"/>
        <item x="301"/>
        <item x="722"/>
        <item x="1645"/>
        <item x="1813"/>
        <item x="2156"/>
        <item x="234"/>
        <item x="551"/>
        <item x="1760"/>
        <item x="809"/>
        <item x="2088"/>
        <item x="1472"/>
        <item x="534"/>
        <item x="2404"/>
        <item x="1822"/>
        <item x="1891"/>
        <item x="2128"/>
        <item x="1885"/>
        <item x="1742"/>
        <item x="1700"/>
        <item x="400"/>
        <item x="1459"/>
        <item x="846"/>
        <item x="2055"/>
        <item x="183"/>
        <item x="2384"/>
        <item x="2335"/>
        <item x="243"/>
        <item x="2478"/>
        <item x="136"/>
        <item x="888"/>
        <item x="361"/>
        <item x="2051"/>
        <item x="283"/>
        <item x="545"/>
        <item x="1299"/>
        <item x="2293"/>
        <item x="1124"/>
        <item x="1317"/>
        <item x="712"/>
        <item x="559"/>
        <item x="1819"/>
        <item x="1091"/>
        <item x="328"/>
        <item x="1050"/>
        <item x="491"/>
        <item x="1566"/>
        <item x="2425"/>
        <item x="1222"/>
        <item x="561"/>
        <item x="377"/>
        <item x="2168"/>
        <item x="1525"/>
        <item x="224"/>
        <item x="358"/>
        <item x="1106"/>
        <item x="2418"/>
        <item x="2150"/>
        <item x="1937"/>
        <item x="1461"/>
        <item x="2148"/>
        <item x="2079"/>
        <item x="1589"/>
        <item x="1144"/>
        <item x="2377"/>
        <item x="2256"/>
        <item x="571"/>
        <item x="727"/>
        <item x="1242"/>
        <item x="2267"/>
        <item x="808"/>
        <item x="536"/>
        <item x="2482"/>
        <item x="1621"/>
        <item x="299"/>
        <item x="116"/>
        <item x="316"/>
        <item x="1082"/>
        <item x="667"/>
        <item x="1785"/>
        <item x="2005"/>
        <item x="1962"/>
        <item x="2106"/>
        <item x="1853"/>
        <item x="1831"/>
        <item x="656"/>
        <item x="662"/>
        <item x="1523"/>
        <item x="1281"/>
        <item x="1909"/>
        <item x="89"/>
        <item x="1928"/>
        <item x="1301"/>
        <item x="2185"/>
        <item x="1907"/>
        <item x="1383"/>
        <item x="574"/>
        <item x="2479"/>
        <item x="1655"/>
        <item x="1865"/>
        <item x="2195"/>
        <item x="2064"/>
        <item x="8"/>
        <item x="134"/>
        <item x="2031"/>
        <item x="2364"/>
        <item x="1288"/>
        <item x="1952"/>
        <item x="610"/>
        <item x="695"/>
        <item x="1061"/>
        <item x="1673"/>
        <item x="2454"/>
        <item x="1167"/>
        <item x="1888"/>
        <item x="729"/>
        <item x="2241"/>
        <item x="1307"/>
        <item x="1026"/>
        <item x="663"/>
        <item x="1101"/>
        <item x="350"/>
        <item x="629"/>
        <item x="1667"/>
        <item x="294"/>
        <item x="793"/>
        <item x="2363"/>
        <item x="378"/>
        <item x="991"/>
        <item x="595"/>
        <item x="1287"/>
        <item x="462"/>
        <item x="1991"/>
        <item x="2125"/>
        <item x="1684"/>
        <item x="2174"/>
        <item x="609"/>
        <item x="2265"/>
        <item x="1911"/>
        <item x="1052"/>
        <item x="1159"/>
        <item x="1214"/>
        <item x="520"/>
        <item x="2283"/>
        <item x="161"/>
        <item x="1210"/>
        <item x="738"/>
        <item x="1329"/>
        <item x="342"/>
        <item x="216"/>
        <item x="1949"/>
        <item x="992"/>
        <item x="1745"/>
        <item x="373"/>
        <item x="1109"/>
        <item x="2122"/>
        <item x="1114"/>
        <item x="1072"/>
        <item x="164"/>
        <item x="686"/>
        <item x="1693"/>
        <item x="2487"/>
        <item x="1562"/>
        <item x="209"/>
        <item x="1578"/>
        <item x="94"/>
        <item x="881"/>
        <item x="353"/>
        <item x="1171"/>
        <item x="1739"/>
        <item x="2214"/>
        <item x="98"/>
        <item x="882"/>
        <item x="715"/>
        <item x="2452"/>
        <item x="661"/>
        <item x="1546"/>
        <item x="1964"/>
        <item x="1582"/>
        <item x="2136"/>
        <item x="1451"/>
        <item x="1211"/>
        <item x="1698"/>
        <item x="82"/>
        <item x="1553"/>
        <item x="1036"/>
        <item x="818"/>
        <item x="1635"/>
        <item x="1367"/>
        <item x="2166"/>
        <item x="594"/>
        <item x="2323"/>
        <item x="2152"/>
        <item x="2135"/>
        <item x="1060"/>
        <item x="2342"/>
        <item x="1237"/>
        <item x="320"/>
        <item x="382"/>
        <item x="570"/>
        <item x="1145"/>
        <item x="81"/>
        <item x="1130"/>
        <item x="459"/>
        <item x="2316"/>
        <item x="855"/>
        <item x="723"/>
        <item x="1735"/>
        <item x="2472"/>
        <item x="1437"/>
        <item x="1224"/>
        <item x="1162"/>
        <item x="348"/>
        <item x="2091"/>
        <item x="2026"/>
        <item x="1889"/>
        <item x="1974"/>
        <item x="2001"/>
        <item x="825"/>
        <item x="616"/>
        <item x="2450"/>
        <item x="1527"/>
        <item x="402"/>
        <item x="76"/>
        <item x="960"/>
        <item x="810"/>
        <item x="986"/>
        <item x="2095"/>
        <item x="1638"/>
        <item x="266"/>
        <item x="372"/>
        <item x="1256"/>
        <item x="1004"/>
        <item x="866"/>
        <item x="1976"/>
        <item x="1884"/>
        <item x="1705"/>
        <item x="1341"/>
        <item x="16"/>
        <item x="1729"/>
        <item x="1812"/>
        <item x="49"/>
        <item x="1275"/>
        <item x="2199"/>
        <item x="1806"/>
        <item x="1135"/>
        <item x="819"/>
        <item x="2508"/>
        <item x="2066"/>
        <item x="997"/>
        <item x="1634"/>
        <item x="1674"/>
        <item x="1774"/>
        <item x="1508"/>
        <item x="1777"/>
        <item x="1116"/>
        <item x="765"/>
        <item x="937"/>
        <item x="438"/>
        <item x="716"/>
        <item x="1730"/>
        <item x="1979"/>
        <item x="2086"/>
        <item x="2035"/>
        <item x="1226"/>
        <item x="1548"/>
        <item x="1173"/>
        <item x="860"/>
        <item x="749"/>
        <item x="71"/>
        <item x="63"/>
        <item x="1431"/>
        <item x="949"/>
        <item x="877"/>
        <item x="1473"/>
        <item x="146"/>
        <item x="306"/>
        <item x="273"/>
        <item x="1208"/>
        <item x="996"/>
        <item x="167"/>
        <item x="903"/>
        <item x="421"/>
        <item x="45"/>
        <item x="1372"/>
        <item x="2463"/>
        <item x="1734"/>
        <item x="733"/>
        <item x="1963"/>
        <item x="1792"/>
        <item x="1703"/>
        <item x="711"/>
        <item x="1001"/>
        <item x="1801"/>
        <item x="2421"/>
        <item x="1260"/>
        <item x="880"/>
        <item x="2203"/>
        <item x="213"/>
        <item x="1331"/>
        <item x="555"/>
        <item x="2477"/>
        <item x="2109"/>
        <item x="1311"/>
        <item x="1293"/>
        <item x="1358"/>
        <item x="600"/>
        <item x="568"/>
        <item x="625"/>
        <item x="2494"/>
        <item x="650"/>
        <item x="335"/>
        <item x="1215"/>
        <item x="2447"/>
        <item x="1038"/>
        <item x="1788"/>
        <item x="552"/>
        <item x="508"/>
        <item x="1736"/>
        <item x="1906"/>
        <item x="1297"/>
        <item x="583"/>
        <item x="113"/>
        <item x="2287"/>
        <item x="853"/>
        <item x="2049"/>
        <item x="108"/>
        <item x="2310"/>
        <item x="1511"/>
        <item x="769"/>
        <item x="915"/>
        <item x="1278"/>
        <item x="2010"/>
        <item x="1140"/>
        <item x="170"/>
        <item x="861"/>
        <item x="1314"/>
        <item x="911"/>
        <item x="309"/>
        <item x="1379"/>
        <item x="469"/>
        <item x="1507"/>
        <item x="2007"/>
        <item x="1081"/>
        <item x="471"/>
        <item x="2488"/>
        <item x="1049"/>
        <item x="1682"/>
        <item x="2376"/>
        <item x="225"/>
        <item x="2340"/>
        <item x="2038"/>
        <item x="932"/>
        <item x="2137"/>
        <item x="1258"/>
        <item x="1608"/>
        <item x="2022"/>
        <item x="584"/>
        <item x="547"/>
        <item x="1185"/>
        <item x="1161"/>
        <item x="2451"/>
        <item x="1316"/>
        <item x="1772"/>
        <item x="178"/>
        <item x="1414"/>
        <item x="2244"/>
        <item x="718"/>
        <item x="52"/>
        <item x="2297"/>
        <item x="815"/>
        <item x="1270"/>
        <item x="2101"/>
        <item x="1169"/>
        <item x="798"/>
        <item x="1188"/>
        <item x="607"/>
        <item x="2211"/>
        <item x="2169"/>
        <item x="1624"/>
        <item x="2223"/>
        <item x="863"/>
        <item x="2395"/>
        <item x="405"/>
        <item x="1080"/>
        <item x="2406"/>
        <item x="1573"/>
        <item x="2133"/>
        <item x="1640"/>
        <item x="193"/>
        <item x="2409"/>
        <item x="983"/>
        <item x="452"/>
        <item x="1985"/>
        <item x="2151"/>
        <item x="1181"/>
        <item x="434"/>
        <item x="654"/>
        <item x="2490"/>
        <item x="1723"/>
        <item x="1442"/>
        <item x="1727"/>
        <item x="1209"/>
        <item x="1658"/>
        <item x="566"/>
        <item x="1228"/>
        <item x="2467"/>
        <item x="22"/>
        <item x="1322"/>
        <item x="1384"/>
        <item x="746"/>
        <item x="1643"/>
        <item x="433"/>
        <item x="766"/>
        <item x="2387"/>
        <item x="1714"/>
        <item x="1411"/>
        <item x="1457"/>
        <item x="1174"/>
        <item x="1468"/>
        <item x="1823"/>
        <item x="696"/>
        <item x="772"/>
        <item x="1422"/>
        <item x="515"/>
        <item x="511"/>
        <item x="217"/>
        <item x="1212"/>
        <item x="829"/>
        <item x="1376"/>
        <item x="2271"/>
        <item x="1157"/>
        <item x="1183"/>
        <item x="725"/>
        <item x="1193"/>
        <item x="1978"/>
        <item x="123"/>
        <item x="939"/>
        <item x="1238"/>
        <item x="487"/>
        <item x="203"/>
        <item x="1151"/>
        <item x="1271"/>
        <item x="589"/>
        <item x="1184"/>
        <item x="1103"/>
        <item x="311"/>
        <item x="2117"/>
        <item x="2504"/>
        <item x="706"/>
        <item x="2427"/>
        <item x="1577"/>
        <item x="530"/>
        <item x="1298"/>
        <item x="1265"/>
        <item x="885"/>
        <item x="671"/>
        <item x="172"/>
        <item x="2009"/>
        <item x="1811"/>
        <item x="1689"/>
        <item x="649"/>
        <item x="315"/>
        <item x="1308"/>
        <item x="352"/>
        <item x="1842"/>
        <item x="524"/>
        <item x="20"/>
        <item x="1025"/>
        <item x="1830"/>
        <item x="295"/>
        <item x="1158"/>
        <item x="2430"/>
        <item x="498"/>
        <item x="619"/>
        <item x="42"/>
        <item x="1199"/>
        <item x="680"/>
        <item x="228"/>
        <item x="1243"/>
        <item x="1279"/>
        <item x="2047"/>
        <item x="2162"/>
        <item x="74"/>
        <item x="759"/>
        <item x="1430"/>
        <item x="2286"/>
        <item x="1611"/>
        <item x="1246"/>
        <item x="2347"/>
        <item x="338"/>
        <item x="1487"/>
        <item x="2397"/>
        <item x="1690"/>
        <item x="1439"/>
        <item x="464"/>
        <item x="1479"/>
        <item x="919"/>
        <item x="1090"/>
        <item x="1485"/>
        <item x="2408"/>
        <item x="2401"/>
        <item x="1227"/>
        <item x="2187"/>
        <item x="1449"/>
        <item x="565"/>
        <item x="925"/>
        <item x="2040"/>
        <item x="384"/>
        <item x="573"/>
        <item x="2172"/>
        <item x="975"/>
        <item x="330"/>
        <item x="257"/>
        <item x="1639"/>
        <item x="118"/>
        <item x="2227"/>
        <item x="917"/>
        <item x="745"/>
        <item x="1499"/>
        <item x="721"/>
        <item x="830"/>
        <item x="567"/>
        <item x="1186"/>
        <item x="2053"/>
        <item x="1951"/>
        <item x="409"/>
        <item x="1547"/>
        <item x="2412"/>
        <item x="1818"/>
        <item x="1412"/>
        <item x="2410"/>
        <item x="125"/>
        <item x="628"/>
        <item x="2070"/>
        <item x="602"/>
        <item x="1471"/>
        <item x="1752"/>
        <item x="2424"/>
        <item x="2432"/>
        <item x="1482"/>
        <item x="1019"/>
        <item x="1007"/>
        <item x="982"/>
        <item x="168"/>
        <item x="401"/>
        <item x="1131"/>
        <item x="97"/>
        <item x="101"/>
        <item x="632"/>
        <item x="472"/>
        <item x="1230"/>
        <item x="926"/>
        <item x="1264"/>
        <item x="1365"/>
        <item x="1012"/>
        <item x="2349"/>
        <item x="2402"/>
        <item x="127"/>
        <item x="768"/>
        <item x="33"/>
        <item x="560"/>
        <item x="2416"/>
        <item x="784"/>
        <item x="1839"/>
        <item x="1549"/>
        <item x="506"/>
        <item x="990"/>
        <item x="138"/>
        <item x="1053"/>
        <item x="1134"/>
        <item x="1096"/>
        <item x="137"/>
        <item x="1956"/>
        <item x="2081"/>
        <item x="2436"/>
        <item x="1112"/>
        <item x="481"/>
        <item x="1285"/>
        <item x="699"/>
        <item x="541"/>
        <item x="158"/>
        <item x="84"/>
        <item x="1408"/>
        <item x="2036"/>
        <item x="381"/>
        <item x="11"/>
        <item x="658"/>
        <item x="2224"/>
        <item x="2360"/>
        <item x="1771"/>
        <item x="1247"/>
        <item x="1428"/>
        <item x="2380"/>
        <item x="107"/>
        <item x="1718"/>
        <item x="1217"/>
        <item x="1313"/>
        <item x="1728"/>
        <item x="260"/>
        <item x="41"/>
        <item x="14"/>
        <item x="1676"/>
        <item x="2230"/>
        <item x="2303"/>
        <item x="2394"/>
        <item x="1497"/>
        <item x="2344"/>
        <item x="1447"/>
        <item x="436"/>
        <item x="1628"/>
        <item x="1616"/>
        <item x="188"/>
        <item x="980"/>
        <item x="2233"/>
        <item x="122"/>
        <item x="2301"/>
        <item x="240"/>
        <item x="548"/>
        <item x="692"/>
        <item x="80"/>
        <item x="1404"/>
        <item x="2020"/>
        <item x="289"/>
        <item x="634"/>
        <item x="2030"/>
        <item x="46"/>
        <item x="1561"/>
        <item x="1241"/>
        <item x="1023"/>
        <item x="1309"/>
        <item x="492"/>
        <item x="1802"/>
        <item x="369"/>
        <item x="2139"/>
        <item x="187"/>
        <item x="1280"/>
        <item x="1946"/>
        <item x="1452"/>
        <item x="799"/>
        <item x="2326"/>
        <item x="427"/>
        <item x="900"/>
        <item x="2354"/>
        <item x="1679"/>
        <item x="1310"/>
        <item x="2142"/>
        <item x="1583"/>
        <item x="1958"/>
        <item x="1609"/>
        <item x="1291"/>
        <item x="386"/>
        <item x="927"/>
        <item x="1572"/>
        <item x="2124"/>
        <item x="2356"/>
        <item x="1332"/>
        <item x="1749"/>
        <item x="2160"/>
        <item x="96"/>
        <item x="2381"/>
        <item x="2319"/>
        <item x="2029"/>
        <item x="1318"/>
        <item x="2209"/>
        <item x="631"/>
        <item x="54"/>
        <item x="184"/>
        <item x="1585"/>
        <item x="1535"/>
        <item x="1938"/>
        <item x="736"/>
        <item x="2439"/>
        <item x="344"/>
        <item x="748"/>
        <item x="1662"/>
        <item x="1510"/>
        <item x="2006"/>
        <item x="1618"/>
        <item x="2313"/>
        <item x="1913"/>
        <item x="2385"/>
        <item x="1133"/>
        <item x="1137"/>
        <item x="177"/>
        <item x="2134"/>
        <item x="2455"/>
        <item x="599"/>
        <item x="431"/>
        <item x="394"/>
        <item x="139"/>
        <item x="2033"/>
        <item x="1505"/>
        <item x="1028"/>
        <item x="1713"/>
        <item x="185"/>
        <item x="1286"/>
        <item x="1874"/>
        <item x="792"/>
        <item x="550"/>
        <item x="360"/>
        <item x="897"/>
        <item x="1914"/>
        <item x="66"/>
        <item x="1386"/>
        <item x="1922"/>
        <item x="2288"/>
        <item x="740"/>
        <item x="422"/>
        <item x="2218"/>
        <item x="2481"/>
        <item x="1364"/>
        <item x="969"/>
        <item x="525"/>
        <item x="1883"/>
        <item x="558"/>
        <item x="1881"/>
        <item x="523"/>
        <item x="263"/>
        <item x="1150"/>
        <item x="40"/>
        <item x="1617"/>
        <item x="1733"/>
        <item x="262"/>
        <item x="10"/>
        <item x="744"/>
        <item x="2229"/>
        <item x="223"/>
        <item x="1895"/>
        <item x="2089"/>
        <item x="1521"/>
        <item x="690"/>
        <item x="1848"/>
        <item x="1233"/>
        <item x="918"/>
        <item x="255"/>
        <item x="2239"/>
        <item x="1595"/>
        <item x="1192"/>
        <item x="1896"/>
        <item x="1480"/>
        <item x="458"/>
        <item x="859"/>
        <item x="2015"/>
        <item x="1352"/>
        <item x="1768"/>
        <item x="1942"/>
        <item x="1533"/>
        <item x="480"/>
        <item x="2182"/>
        <item x="2013"/>
        <item x="133"/>
        <item x="298"/>
        <item x="1290"/>
        <item x="426"/>
        <item x="1203"/>
        <item x="2474"/>
        <item x="340"/>
        <item x="994"/>
        <item x="132"/>
        <item x="1820"/>
        <item x="477"/>
        <item x="670"/>
        <item x="2426"/>
        <item x="1187"/>
        <item x="1154"/>
        <item x="2396"/>
        <item x="676"/>
        <item x="1709"/>
        <item x="1282"/>
        <item x="1009"/>
        <item x="2393"/>
        <item x="2158"/>
        <item x="6"/>
        <item x="2170"/>
        <item x="647"/>
        <item x="2333"/>
        <item x="365"/>
        <item x="1947"/>
        <item x="190"/>
        <item x="1564"/>
        <item x="2282"/>
        <item x="1021"/>
        <item x="1941"/>
        <item x="1651"/>
        <item x="1304"/>
        <item x="220"/>
        <item x="1800"/>
        <item x="1118"/>
        <item x="627"/>
        <item x="230"/>
        <item x="849"/>
        <item x="1571"/>
        <item x="1465"/>
        <item x="762"/>
        <item x="207"/>
        <item x="1255"/>
        <item x="719"/>
        <item x="2470"/>
        <item x="238"/>
        <item x="1695"/>
        <item x="1164"/>
        <item x="831"/>
        <item x="1327"/>
        <item x="659"/>
        <item x="489"/>
        <item x="2336"/>
        <item x="2434"/>
        <item x="527"/>
        <item x="2437"/>
        <item x="714"/>
        <item x="2054"/>
        <item x="1073"/>
        <item x="1387"/>
        <item x="2067"/>
        <item x="2415"/>
        <item x="1579"/>
        <item x="906"/>
        <item x="410"/>
        <item x="2499"/>
        <item x="346"/>
        <item x="660"/>
        <item x="322"/>
        <item x="2501"/>
        <item x="2403"/>
        <item x="1754"/>
        <item x="1778"/>
        <item x="800"/>
        <item x="1501"/>
        <item x="1597"/>
        <item x="303"/>
        <item x="2129"/>
        <item x="1809"/>
        <item x="2100"/>
        <item x="1005"/>
        <item x="1534"/>
        <item x="1984"/>
        <item x="466"/>
        <item x="1108"/>
        <item x="898"/>
        <item x="304"/>
        <item x="1474"/>
        <item x="231"/>
        <item x="845"/>
        <item x="1990"/>
        <item x="1893"/>
        <item x="264"/>
        <item x="416"/>
        <item x="272"/>
        <item x="1276"/>
        <item x="4"/>
        <item x="1677"/>
        <item x="1435"/>
        <item x="884"/>
        <item x="60"/>
        <item x="1066"/>
        <item x="2390"/>
        <item x="1866"/>
        <item x="1138"/>
        <item x="1030"/>
        <item x="1653"/>
        <item x="2370"/>
        <item x="2468"/>
        <item x="2458"/>
        <item x="894"/>
        <item x="1856"/>
        <item x="2123"/>
        <item x="2037"/>
        <item x="327"/>
        <item x="500"/>
        <item x="249"/>
        <item x="321"/>
        <item x="474"/>
        <item x="886"/>
        <item x="720"/>
        <item x="1840"/>
        <item x="437"/>
        <item x="475"/>
        <item x="72"/>
        <item x="2459"/>
        <item x="2422"/>
        <item x="1478"/>
        <item x="39"/>
        <item x="816"/>
        <item x="1780"/>
        <item x="447"/>
        <item x="698"/>
        <item x="488"/>
        <item x="1029"/>
        <item x="2302"/>
        <item x="2358"/>
        <item x="2225"/>
        <item x="2196"/>
        <item x="1986"/>
        <item x="2167"/>
        <item x="1977"/>
        <item x="85"/>
        <item x="1932"/>
        <item x="1249"/>
        <item x="1759"/>
        <item x="1040"/>
        <item x="2492"/>
        <item x="179"/>
        <item x="2461"/>
        <item x="2082"/>
        <item x="2497"/>
        <item x="1530"/>
        <item x="2097"/>
        <item x="1934"/>
        <item x="790"/>
        <item x="1995"/>
        <item x="562"/>
        <item x="754"/>
        <item x="1599"/>
        <item x="635"/>
        <item x="1606"/>
        <item x="2273"/>
        <item x="1716"/>
        <item x="1277"/>
        <item x="468"/>
        <item x="460"/>
        <item x="442"/>
        <item x="981"/>
        <item x="539"/>
        <item x="1644"/>
        <item x="1111"/>
        <item x="2294"/>
        <item x="1002"/>
        <item x="899"/>
        <item x="2386"/>
        <item x="1983"/>
        <item x="1743"/>
        <item x="1697"/>
        <item x="2405"/>
        <item x="1738"/>
        <item x="2114"/>
        <item x="1115"/>
        <item x="2446"/>
        <item x="1035"/>
        <item x="611"/>
        <item x="1362"/>
        <item x="43"/>
        <item x="652"/>
        <item x="482"/>
        <item x="1006"/>
        <item x="2110"/>
        <item x="879"/>
        <item x="585"/>
        <item x="1887"/>
        <item x="419"/>
        <item x="703"/>
        <item x="677"/>
        <item x="2331"/>
        <item x="357"/>
        <item x="1536"/>
        <item x="1191"/>
        <item x="2238"/>
        <item x="1517"/>
        <item x="143"/>
        <item x="1954"/>
        <item x="774"/>
        <item x="665"/>
        <item x="1637"/>
        <item x="2183"/>
        <item x="962"/>
        <item x="1433"/>
        <item x="2120"/>
        <item x="648"/>
        <item x="150"/>
        <item x="159"/>
        <item x="124"/>
        <item x="1305"/>
        <item x="940"/>
        <item x="989"/>
        <item x="2252"/>
        <item x="385"/>
        <item x="202"/>
        <item x="2103"/>
        <item x="993"/>
        <item x="742"/>
        <item x="700"/>
        <item x="1837"/>
        <item x="1987"/>
        <item x="1744"/>
        <item x="1552"/>
        <item x="1933"/>
        <item x="86"/>
        <item x="1257"/>
        <item x="2080"/>
        <item x="2315"/>
        <item x="407"/>
        <item x="1860"/>
        <item x="88"/>
        <item x="1269"/>
        <item x="1086"/>
        <item x="1015"/>
        <item x="1393"/>
        <item x="633"/>
        <item x="756"/>
        <item x="1892"/>
        <item x="404"/>
        <item x="2280"/>
        <item x="1875"/>
        <item x="1000"/>
        <item x="1894"/>
        <item x="1041"/>
        <item x="275"/>
        <item x="2311"/>
        <item x="1817"/>
        <item x="938"/>
        <item x="1581"/>
        <item x="640"/>
        <item t="default"/>
      </items>
    </pivotField>
    <pivotField dataField="1" numFmtId="44" showAll="0">
      <items count="1434">
        <item x="0"/>
        <item x="1130"/>
        <item x="146"/>
        <item x="1038"/>
        <item x="691"/>
        <item x="540"/>
        <item x="427"/>
        <item x="209"/>
        <item x="921"/>
        <item x="1251"/>
        <item x="510"/>
        <item x="1036"/>
        <item x="425"/>
        <item x="832"/>
        <item x="682"/>
        <item x="666"/>
        <item x="432"/>
        <item x="704"/>
        <item x="531"/>
        <item x="515"/>
        <item x="1326"/>
        <item x="319"/>
        <item x="328"/>
        <item x="984"/>
        <item x="88"/>
        <item x="922"/>
        <item x="988"/>
        <item x="192"/>
        <item x="910"/>
        <item x="440"/>
        <item x="369"/>
        <item x="418"/>
        <item x="628"/>
        <item x="752"/>
        <item x="115"/>
        <item x="1132"/>
        <item x="1282"/>
        <item x="1250"/>
        <item x="1193"/>
        <item x="1007"/>
        <item x="394"/>
        <item x="1166"/>
        <item x="101"/>
        <item x="1243"/>
        <item x="668"/>
        <item x="627"/>
        <item x="1323"/>
        <item x="1195"/>
        <item x="1367"/>
        <item x="1398"/>
        <item x="1169"/>
        <item x="1001"/>
        <item x="775"/>
        <item x="118"/>
        <item x="1405"/>
        <item x="186"/>
        <item x="77"/>
        <item x="938"/>
        <item x="234"/>
        <item x="612"/>
        <item x="817"/>
        <item x="1202"/>
        <item x="134"/>
        <item x="284"/>
        <item x="895"/>
        <item x="760"/>
        <item x="676"/>
        <item x="83"/>
        <item x="1255"/>
        <item x="297"/>
        <item x="216"/>
        <item x="198"/>
        <item x="533"/>
        <item x="1029"/>
        <item x="618"/>
        <item x="1176"/>
        <item x="1113"/>
        <item x="916"/>
        <item x="1269"/>
        <item x="1403"/>
        <item x="270"/>
        <item x="645"/>
        <item x="1293"/>
        <item x="693"/>
        <item x="197"/>
        <item x="678"/>
        <item x="863"/>
        <item x="1102"/>
        <item x="105"/>
        <item x="746"/>
        <item x="728"/>
        <item x="745"/>
        <item x="214"/>
        <item x="480"/>
        <item x="1362"/>
        <item x="844"/>
        <item x="439"/>
        <item x="107"/>
        <item x="1149"/>
        <item x="494"/>
        <item x="736"/>
        <item x="356"/>
        <item x="23"/>
        <item x="279"/>
        <item x="1431"/>
        <item x="687"/>
        <item x="1348"/>
        <item x="893"/>
        <item x="1180"/>
        <item x="659"/>
        <item x="1153"/>
        <item x="148"/>
        <item x="539"/>
        <item x="840"/>
        <item x="683"/>
        <item x="1151"/>
        <item x="1143"/>
        <item x="741"/>
        <item x="779"/>
        <item x="1227"/>
        <item x="1074"/>
        <item x="68"/>
        <item x="940"/>
        <item x="1361"/>
        <item x="613"/>
        <item x="389"/>
        <item x="1305"/>
        <item x="175"/>
        <item x="796"/>
        <item x="363"/>
        <item x="532"/>
        <item x="178"/>
        <item x="1156"/>
        <item x="454"/>
        <item x="374"/>
        <item x="447"/>
        <item x="460"/>
        <item x="553"/>
        <item x="1300"/>
        <item x="1307"/>
        <item x="32"/>
        <item x="1174"/>
        <item x="513"/>
        <item x="1221"/>
        <item x="759"/>
        <item x="957"/>
        <item x="976"/>
        <item x="1279"/>
        <item x="407"/>
        <item x="972"/>
        <item x="534"/>
        <item x="377"/>
        <item x="661"/>
        <item x="1318"/>
        <item x="1144"/>
        <item x="998"/>
        <item x="165"/>
        <item x="919"/>
        <item x="1373"/>
        <item x="1372"/>
        <item x="136"/>
        <item x="524"/>
        <item x="1228"/>
        <item x="1391"/>
        <item x="756"/>
        <item x="609"/>
        <item x="224"/>
        <item x="1173"/>
        <item x="426"/>
        <item x="345"/>
        <item x="54"/>
        <item x="914"/>
        <item x="1225"/>
        <item x="850"/>
        <item x="860"/>
        <item x="1039"/>
        <item x="1290"/>
        <item x="980"/>
        <item x="855"/>
        <item x="521"/>
        <item x="1012"/>
        <item x="314"/>
        <item x="375"/>
        <item x="843"/>
        <item x="942"/>
        <item x="181"/>
        <item x="322"/>
        <item x="1394"/>
        <item x="50"/>
        <item x="946"/>
        <item x="1150"/>
        <item x="1205"/>
        <item x="69"/>
        <item x="122"/>
        <item x="488"/>
        <item x="55"/>
        <item x="75"/>
        <item x="1186"/>
        <item x="1249"/>
        <item x="765"/>
        <item x="1099"/>
        <item x="923"/>
        <item x="1031"/>
        <item x="1198"/>
        <item x="302"/>
        <item x="1364"/>
        <item x="1119"/>
        <item x="630"/>
        <item x="642"/>
        <item x="849"/>
        <item x="414"/>
        <item x="81"/>
        <item x="545"/>
        <item x="293"/>
        <item x="740"/>
        <item x="696"/>
        <item x="104"/>
        <item x="648"/>
        <item x="491"/>
        <item x="1256"/>
        <item x="1030"/>
        <item x="51"/>
        <item x="517"/>
        <item x="34"/>
        <item x="591"/>
        <item x="413"/>
        <item x="1240"/>
        <item x="226"/>
        <item x="679"/>
        <item x="500"/>
        <item x="790"/>
        <item x="1409"/>
        <item x="1289"/>
        <item x="1162"/>
        <item x="825"/>
        <item x="574"/>
        <item x="625"/>
        <item x="1263"/>
        <item x="547"/>
        <item x="82"/>
        <item x="1123"/>
        <item x="1032"/>
        <item x="330"/>
        <item x="1424"/>
        <item x="949"/>
        <item x="67"/>
        <item x="1418"/>
        <item x="408"/>
        <item x="968"/>
        <item x="1294"/>
        <item x="504"/>
        <item x="1343"/>
        <item x="140"/>
        <item x="1288"/>
        <item x="750"/>
        <item x="378"/>
        <item x="318"/>
        <item x="1410"/>
        <item x="805"/>
        <item x="360"/>
        <item x="1383"/>
        <item x="1049"/>
        <item x="1139"/>
        <item x="219"/>
        <item x="1315"/>
        <item x="29"/>
        <item x="288"/>
        <item x="1101"/>
        <item x="616"/>
        <item x="156"/>
        <item x="1330"/>
        <item x="230"/>
        <item x="1395"/>
        <item x="457"/>
        <item x="482"/>
        <item x="1177"/>
        <item x="160"/>
        <item x="635"/>
        <item x="346"/>
        <item x="993"/>
        <item x="391"/>
        <item x="28"/>
        <item x="828"/>
        <item x="559"/>
        <item x="316"/>
        <item x="312"/>
        <item x="788"/>
        <item x="928"/>
        <item x="876"/>
        <item x="836"/>
        <item x="434"/>
        <item x="1128"/>
        <item x="1005"/>
        <item x="877"/>
        <item x="448"/>
        <item x="608"/>
        <item x="1277"/>
        <item x="204"/>
        <item x="920"/>
        <item x="273"/>
        <item x="285"/>
        <item x="1278"/>
        <item x="1308"/>
        <item x="548"/>
        <item x="471"/>
        <item x="797"/>
        <item x="543"/>
        <item x="298"/>
        <item x="727"/>
        <item x="751"/>
        <item x="218"/>
        <item x="1073"/>
        <item x="511"/>
        <item x="1302"/>
        <item x="787"/>
        <item x="853"/>
        <item x="196"/>
        <item x="235"/>
        <item x="577"/>
        <item x="799"/>
        <item x="933"/>
        <item x="1335"/>
        <item x="851"/>
        <item x="239"/>
        <item x="350"/>
        <item x="287"/>
        <item x="240"/>
        <item x="983"/>
        <item x="404"/>
        <item x="1004"/>
        <item x="936"/>
        <item x="386"/>
        <item x="1182"/>
        <item x="1384"/>
        <item x="773"/>
        <item x="698"/>
        <item x="1220"/>
        <item x="71"/>
        <item x="748"/>
        <item x="508"/>
        <item x="225"/>
        <item x="271"/>
        <item x="842"/>
        <item x="303"/>
        <item x="53"/>
        <item x="1010"/>
        <item x="1105"/>
        <item x="503"/>
        <item x="1077"/>
        <item x="1239"/>
        <item x="703"/>
        <item x="686"/>
        <item x="182"/>
        <item x="300"/>
        <item x="57"/>
        <item x="253"/>
        <item x="1353"/>
        <item x="157"/>
        <item x="87"/>
        <item x="792"/>
        <item x="231"/>
        <item x="813"/>
        <item x="551"/>
        <item x="900"/>
        <item x="396"/>
        <item x="199"/>
        <item x="887"/>
        <item x="455"/>
        <item x="1091"/>
        <item x="1411"/>
        <item x="837"/>
        <item x="438"/>
        <item x="16"/>
        <item x="763"/>
        <item x="1046"/>
        <item x="783"/>
        <item x="520"/>
        <item x="1287"/>
        <item x="501"/>
        <item x="268"/>
        <item x="685"/>
        <item x="771"/>
        <item x="135"/>
        <item x="1058"/>
        <item x="1347"/>
        <item x="1080"/>
        <item x="692"/>
        <item x="917"/>
        <item x="1107"/>
        <item x="344"/>
        <item x="689"/>
        <item x="583"/>
        <item x="808"/>
        <item x="296"/>
        <item x="11"/>
        <item x="1100"/>
        <item x="1059"/>
        <item x="724"/>
        <item x="1122"/>
        <item x="485"/>
        <item x="1241"/>
        <item x="272"/>
        <item x="1094"/>
        <item x="90"/>
        <item x="688"/>
        <item x="472"/>
        <item x="215"/>
        <item x="1033"/>
        <item x="663"/>
        <item x="632"/>
        <item x="861"/>
        <item x="1358"/>
        <item x="1257"/>
        <item x="72"/>
        <item x="1165"/>
        <item x="1127"/>
        <item x="971"/>
        <item x="247"/>
        <item x="1203"/>
        <item x="722"/>
        <item x="1192"/>
        <item x="1057"/>
        <item x="131"/>
        <item x="1346"/>
        <item x="886"/>
        <item x="939"/>
        <item x="1426"/>
        <item x="629"/>
        <item x="633"/>
        <item x="894"/>
        <item x="697"/>
        <item x="173"/>
        <item x="1233"/>
        <item x="758"/>
        <item x="245"/>
        <item x="1341"/>
        <item x="605"/>
        <item x="702"/>
        <item x="565"/>
        <item x="1213"/>
        <item x="281"/>
        <item x="31"/>
        <item x="1009"/>
        <item x="884"/>
        <item x="1117"/>
        <item x="1376"/>
        <item x="845"/>
        <item x="347"/>
        <item x="33"/>
        <item x="807"/>
        <item x="465"/>
        <item x="1121"/>
        <item x="295"/>
        <item x="304"/>
        <item x="507"/>
        <item x="246"/>
        <item x="1311"/>
        <item x="336"/>
        <item x="9"/>
        <item x="1175"/>
        <item x="1232"/>
        <item x="428"/>
        <item x="977"/>
        <item x="932"/>
        <item x="137"/>
        <item x="1314"/>
        <item x="1141"/>
        <item x="653"/>
        <item x="945"/>
        <item x="718"/>
        <item x="1017"/>
        <item x="1152"/>
        <item x="64"/>
        <item x="956"/>
        <item x="774"/>
        <item x="252"/>
        <item x="380"/>
        <item x="1415"/>
        <item x="59"/>
        <item x="713"/>
        <item x="1187"/>
        <item x="789"/>
        <item x="631"/>
        <item x="674"/>
        <item x="619"/>
        <item x="26"/>
        <item x="335"/>
        <item x="36"/>
        <item x="680"/>
        <item x="1011"/>
        <item x="213"/>
        <item x="522"/>
        <item x="885"/>
        <item x="206"/>
        <item x="1296"/>
        <item x="355"/>
        <item x="477"/>
        <item x="810"/>
        <item x="442"/>
        <item x="582"/>
        <item x="1098"/>
        <item x="63"/>
        <item x="927"/>
        <item x="102"/>
        <item x="18"/>
        <item x="1276"/>
        <item x="573"/>
        <item x="357"/>
        <item x="1071"/>
        <item x="1328"/>
        <item x="483"/>
        <item x="592"/>
        <item x="446"/>
        <item x="871"/>
        <item x="1133"/>
        <item x="1292"/>
        <item x="97"/>
        <item x="1095"/>
        <item x="437"/>
        <item x="249"/>
        <item x="3"/>
        <item x="111"/>
        <item x="731"/>
        <item x="456"/>
        <item x="711"/>
        <item x="1377"/>
        <item x="623"/>
        <item x="601"/>
        <item x="786"/>
        <item x="918"/>
        <item x="1208"/>
        <item x="43"/>
        <item x="1229"/>
        <item x="502"/>
        <item x="766"/>
        <item x="190"/>
        <item x="705"/>
        <item x="888"/>
        <item x="569"/>
        <item x="1378"/>
        <item x="875"/>
        <item x="290"/>
        <item x="911"/>
        <item x="7"/>
        <item x="124"/>
        <item x="390"/>
        <item x="1222"/>
        <item x="901"/>
        <item x="324"/>
        <item x="990"/>
        <item x="383"/>
        <item x="514"/>
        <item x="201"/>
        <item x="706"/>
        <item x="930"/>
        <item x="1088"/>
        <item x="410"/>
        <item x="649"/>
        <item x="441"/>
        <item x="1171"/>
        <item x="1137"/>
        <item x="974"/>
        <item x="1273"/>
        <item x="1179"/>
        <item x="538"/>
        <item x="364"/>
        <item x="166"/>
        <item x="880"/>
        <item x="643"/>
        <item x="255"/>
        <item x="589"/>
        <item x="119"/>
        <item x="210"/>
        <item x="65"/>
        <item x="709"/>
        <item x="84"/>
        <item x="600"/>
        <item x="804"/>
        <item x="962"/>
        <item x="725"/>
        <item x="1322"/>
        <item x="251"/>
        <item x="1191"/>
        <item x="690"/>
        <item x="202"/>
        <item x="655"/>
        <item x="185"/>
        <item x="1170"/>
        <item x="544"/>
        <item x="708"/>
        <item x="881"/>
        <item x="982"/>
        <item x="934"/>
        <item x="1339"/>
        <item x="1423"/>
        <item x="1331"/>
        <item x="512"/>
        <item x="606"/>
        <item x="184"/>
        <item x="858"/>
        <item x="191"/>
        <item x="38"/>
        <item x="382"/>
        <item x="754"/>
        <item x="228"/>
        <item x="951"/>
        <item x="1338"/>
        <item x="986"/>
        <item x="123"/>
        <item x="1329"/>
        <item x="17"/>
        <item x="701"/>
        <item x="1212"/>
        <item x="1055"/>
        <item x="937"/>
        <item x="74"/>
        <item x="1272"/>
        <item x="1076"/>
        <item x="1360"/>
        <item x="329"/>
        <item x="250"/>
        <item x="125"/>
        <item x="819"/>
        <item x="1385"/>
        <item x="1065"/>
        <item x="812"/>
        <item x="644"/>
        <item x="1230"/>
        <item x="171"/>
        <item x="529"/>
        <item x="1062"/>
        <item x="1115"/>
        <item x="518"/>
        <item x="721"/>
        <item x="1248"/>
        <item x="1013"/>
        <item x="1207"/>
        <item x="1214"/>
        <item x="470"/>
        <item x="275"/>
        <item x="781"/>
        <item x="654"/>
        <item x="641"/>
        <item x="1072"/>
        <item x="669"/>
        <item x="1298"/>
        <item x="411"/>
        <item x="602"/>
        <item x="578"/>
        <item x="764"/>
        <item x="13"/>
        <item x="1146"/>
        <item x="401"/>
        <item x="640"/>
        <item x="93"/>
        <item x="1369"/>
        <item x="1402"/>
        <item x="484"/>
        <item x="1259"/>
        <item x="1336"/>
        <item x="777"/>
        <item x="1363"/>
        <item x="1427"/>
        <item x="1319"/>
        <item x="313"/>
        <item x="898"/>
        <item x="753"/>
        <item x="992"/>
        <item x="1304"/>
        <item x="147"/>
        <item x="1351"/>
        <item x="176"/>
        <item x="1083"/>
        <item x="177"/>
        <item x="80"/>
        <item x="1413"/>
        <item x="1066"/>
        <item x="732"/>
        <item x="1260"/>
        <item x="1052"/>
        <item x="854"/>
        <item x="56"/>
        <item x="658"/>
        <item x="558"/>
        <item x="1332"/>
        <item x="359"/>
        <item x="584"/>
        <item x="715"/>
        <item x="827"/>
        <item x="967"/>
        <item x="424"/>
        <item x="1163"/>
        <item x="588"/>
        <item x="997"/>
        <item x="453"/>
        <item x="212"/>
        <item x="699"/>
        <item x="153"/>
        <item x="354"/>
        <item x="265"/>
        <item x="695"/>
        <item x="353"/>
        <item x="385"/>
        <item x="505"/>
        <item x="838"/>
        <item x="841"/>
        <item x="162"/>
        <item x="970"/>
        <item x="1082"/>
        <item x="98"/>
        <item x="207"/>
        <item x="1313"/>
        <item x="1355"/>
        <item x="2"/>
        <item x="133"/>
        <item x="994"/>
        <item x="955"/>
        <item x="464"/>
        <item x="671"/>
        <item x="948"/>
        <item x="607"/>
        <item x="835"/>
        <item x="1226"/>
        <item x="1379"/>
        <item x="568"/>
        <item x="248"/>
        <item x="315"/>
        <item x="14"/>
        <item x="599"/>
        <item x="1218"/>
        <item x="862"/>
        <item x="232"/>
        <item x="39"/>
        <item x="326"/>
        <item x="490"/>
        <item x="444"/>
        <item x="761"/>
        <item x="362"/>
        <item x="436"/>
        <item x="770"/>
        <item x="164"/>
        <item x="150"/>
        <item x="554"/>
        <item x="388"/>
        <item x="1043"/>
        <item x="1093"/>
        <item x="1344"/>
        <item x="564"/>
        <item x="795"/>
        <item x="258"/>
        <item x="340"/>
        <item x="1412"/>
        <item x="289"/>
        <item x="1040"/>
        <item x="395"/>
        <item x="720"/>
        <item x="1406"/>
        <item x="174"/>
        <item x="1414"/>
        <item x="242"/>
        <item x="830"/>
        <item x="421"/>
        <item x="211"/>
        <item x="161"/>
        <item x="556"/>
        <item x="1216"/>
        <item x="420"/>
        <item x="257"/>
        <item x="397"/>
        <item x="639"/>
        <item x="892"/>
        <item x="430"/>
        <item x="1053"/>
        <item x="1320"/>
        <item x="187"/>
        <item x="1035"/>
        <item x="907"/>
        <item x="1196"/>
        <item x="1160"/>
        <item x="1211"/>
        <item x="1201"/>
        <item x="372"/>
        <item x="866"/>
        <item x="1061"/>
        <item x="384"/>
        <item x="116"/>
        <item x="729"/>
        <item x="487"/>
        <item x="366"/>
        <item x="126"/>
        <item x="498"/>
        <item x="638"/>
        <item x="352"/>
        <item x="260"/>
        <item x="236"/>
        <item x="1422"/>
        <item x="222"/>
        <item x="1262"/>
        <item x="403"/>
        <item x="351"/>
        <item x="306"/>
        <item x="950"/>
        <item x="716"/>
        <item x="1231"/>
        <item x="152"/>
        <item x="1"/>
        <item x="469"/>
        <item x="563"/>
        <item x="823"/>
        <item x="667"/>
        <item x="996"/>
        <item x="814"/>
        <item x="567"/>
        <item x="1204"/>
        <item x="1044"/>
        <item x="292"/>
        <item x="809"/>
        <item x="100"/>
        <item x="869"/>
        <item x="114"/>
        <item x="614"/>
        <item x="542"/>
        <item x="60"/>
        <item x="1284"/>
        <item x="1299"/>
        <item x="879"/>
        <item x="594"/>
        <item x="1155"/>
        <item x="1034"/>
        <item x="1006"/>
        <item x="94"/>
        <item x="1297"/>
        <item x="112"/>
        <item x="902"/>
        <item x="493"/>
        <item x="1087"/>
        <item x="1024"/>
        <item x="730"/>
        <item x="381"/>
        <item x="1112"/>
        <item x="46"/>
        <item x="1252"/>
        <item x="585"/>
        <item x="1210"/>
        <item x="677"/>
        <item x="820"/>
        <item x="61"/>
        <item x="905"/>
        <item x="1234"/>
        <item x="416"/>
        <item x="506"/>
        <item x="1003"/>
        <item x="128"/>
        <item x="1357"/>
        <item x="1266"/>
        <item x="1421"/>
        <item x="1356"/>
        <item x="40"/>
        <item x="516"/>
        <item x="339"/>
        <item x="794"/>
        <item x="815"/>
        <item x="371"/>
        <item x="903"/>
        <item x="747"/>
        <item x="41"/>
        <item x="89"/>
        <item x="1118"/>
        <item x="1381"/>
        <item x="283"/>
        <item x="626"/>
        <item x="367"/>
        <item x="772"/>
        <item x="6"/>
        <item x="528"/>
        <item x="546"/>
        <item x="70"/>
        <item x="73"/>
        <item x="8"/>
        <item x="580"/>
        <item x="244"/>
        <item x="1219"/>
        <item x="117"/>
        <item x="1069"/>
        <item x="826"/>
        <item x="964"/>
        <item x="656"/>
        <item x="96"/>
        <item x="1258"/>
        <item x="280"/>
        <item x="782"/>
        <item x="274"/>
        <item x="896"/>
        <item x="973"/>
        <item x="1389"/>
        <item x="341"/>
        <item x="1301"/>
        <item x="429"/>
        <item x="622"/>
        <item x="712"/>
        <item x="1281"/>
        <item x="1349"/>
        <item x="874"/>
        <item x="1019"/>
        <item x="953"/>
        <item x="878"/>
        <item x="30"/>
        <item x="1064"/>
        <item x="1161"/>
        <item x="113"/>
        <item x="1078"/>
        <item x="1106"/>
        <item x="596"/>
        <item x="1200"/>
        <item x="1397"/>
        <item x="989"/>
        <item x="1085"/>
        <item x="1172"/>
        <item x="1167"/>
        <item x="864"/>
        <item x="603"/>
        <item x="1138"/>
        <item x="1261"/>
        <item x="1268"/>
        <item x="1014"/>
        <item x="223"/>
        <item x="463"/>
        <item x="847"/>
        <item x="904"/>
        <item x="1350"/>
        <item x="461"/>
        <item x="899"/>
        <item x="431"/>
        <item x="1125"/>
        <item x="1025"/>
        <item x="1022"/>
        <item x="1352"/>
        <item x="954"/>
        <item x="337"/>
        <item x="1145"/>
        <item x="560"/>
        <item x="393"/>
        <item x="991"/>
        <item x="1070"/>
        <item x="189"/>
        <item x="419"/>
        <item x="95"/>
        <item x="299"/>
        <item x="1312"/>
        <item x="342"/>
        <item x="486"/>
        <item x="710"/>
        <item x="733"/>
        <item x="1404"/>
        <item x="402"/>
        <item x="12"/>
        <item x="473"/>
        <item x="58"/>
        <item x="451"/>
        <item x="657"/>
        <item x="492"/>
        <item x="1135"/>
        <item x="743"/>
        <item x="913"/>
        <item x="1023"/>
        <item x="433"/>
        <item x="586"/>
        <item x="1000"/>
        <item x="1154"/>
        <item x="1020"/>
        <item x="1092"/>
        <item x="857"/>
        <item x="572"/>
        <item x="262"/>
        <item x="476"/>
        <item x="120"/>
        <item x="1245"/>
        <item x="301"/>
        <item x="1354"/>
        <item x="109"/>
        <item x="1253"/>
        <item x="979"/>
        <item x="806"/>
        <item x="163"/>
        <item x="130"/>
        <item x="325"/>
        <item x="332"/>
        <item x="673"/>
        <item x="1283"/>
        <item x="267"/>
        <item x="35"/>
        <item x="1016"/>
        <item x="803"/>
        <item x="276"/>
        <item x="358"/>
        <item x="650"/>
        <item x="48"/>
        <item x="168"/>
        <item x="208"/>
        <item x="882"/>
        <item x="1183"/>
        <item x="541"/>
        <item x="959"/>
        <item x="846"/>
        <item x="595"/>
        <item x="952"/>
        <item x="670"/>
        <item x="405"/>
        <item x="963"/>
        <item x="1408"/>
        <item x="415"/>
        <item x="277"/>
        <item x="320"/>
        <item x="19"/>
        <item x="200"/>
        <item x="647"/>
        <item x="220"/>
        <item x="1148"/>
        <item x="1242"/>
        <item x="443"/>
        <item x="675"/>
        <item x="821"/>
        <item x="1317"/>
        <item x="1359"/>
        <item x="85"/>
        <item x="317"/>
        <item x="1081"/>
        <item x="409"/>
        <item x="549"/>
        <item x="571"/>
        <item x="822"/>
        <item x="684"/>
        <item x="811"/>
        <item x="1097"/>
        <item x="99"/>
        <item x="798"/>
        <item x="458"/>
        <item x="78"/>
        <item x="555"/>
        <item x="1275"/>
        <item x="1223"/>
        <item x="1380"/>
        <item x="831"/>
        <item x="79"/>
        <item x="149"/>
        <item x="1303"/>
        <item x="958"/>
        <item x="310"/>
        <item x="478"/>
        <item x="848"/>
        <item x="1079"/>
        <item x="495"/>
        <item x="839"/>
        <item x="561"/>
        <item x="392"/>
        <item x="757"/>
        <item x="1224"/>
        <item x="327"/>
        <item x="1140"/>
        <item x="154"/>
        <item x="1237"/>
        <item x="452"/>
        <item x="1164"/>
        <item x="227"/>
        <item x="1399"/>
        <item x="598"/>
        <item x="621"/>
        <item x="333"/>
        <item x="737"/>
        <item x="1157"/>
        <item x="1246"/>
        <item x="1110"/>
        <item x="294"/>
        <item x="611"/>
        <item x="468"/>
        <item x="467"/>
        <item x="368"/>
        <item x="379"/>
        <item x="1387"/>
        <item x="1178"/>
        <item x="254"/>
        <item x="1168"/>
        <item x="1116"/>
        <item x="1129"/>
        <item x="1337"/>
        <item x="1368"/>
        <item x="241"/>
        <item x="723"/>
        <item x="343"/>
        <item x="37"/>
        <item x="1235"/>
        <item x="1086"/>
        <item x="891"/>
        <item x="1238"/>
        <item x="1103"/>
        <item x="925"/>
        <item x="1365"/>
        <item x="15"/>
        <item x="755"/>
        <item x="1142"/>
        <item x="1089"/>
        <item x="1265"/>
        <item x="44"/>
        <item x="793"/>
        <item x="1280"/>
        <item x="422"/>
        <item x="423"/>
        <item x="587"/>
        <item x="323"/>
        <item x="856"/>
        <item x="195"/>
        <item x="738"/>
        <item x="889"/>
        <item x="961"/>
        <item x="1042"/>
        <item x="348"/>
        <item x="172"/>
        <item x="778"/>
        <item x="985"/>
        <item x="1420"/>
        <item x="256"/>
        <item x="617"/>
        <item x="978"/>
        <item x="238"/>
        <item x="361"/>
        <item x="707"/>
        <item x="960"/>
        <item x="768"/>
        <item x="1285"/>
        <item x="1321"/>
        <item x="1045"/>
        <item x="867"/>
        <item x="1047"/>
        <item x="1366"/>
        <item x="86"/>
        <item x="1374"/>
        <item x="890"/>
        <item x="694"/>
        <item x="1184"/>
        <item x="1327"/>
        <item x="681"/>
        <item x="170"/>
        <item x="615"/>
        <item x="1048"/>
        <item x="1206"/>
        <item x="1401"/>
        <item x="334"/>
        <item x="49"/>
        <item x="767"/>
        <item x="1333"/>
        <item x="651"/>
        <item x="1050"/>
        <item x="1104"/>
        <item x="1309"/>
        <item x="791"/>
        <item x="1430"/>
        <item x="264"/>
        <item x="780"/>
        <item x="1340"/>
        <item x="969"/>
        <item x="76"/>
        <item x="1002"/>
        <item x="311"/>
        <item x="321"/>
        <item x="924"/>
        <item x="1189"/>
        <item x="593"/>
        <item x="833"/>
        <item x="1244"/>
        <item x="1018"/>
        <item x="912"/>
        <item x="1429"/>
        <item x="474"/>
        <item x="816"/>
        <item x="566"/>
        <item x="829"/>
        <item x="634"/>
        <item x="1267"/>
        <item x="929"/>
        <item x="652"/>
        <item x="194"/>
        <item x="1124"/>
        <item x="221"/>
        <item x="519"/>
        <item x="926"/>
        <item x="308"/>
        <item x="717"/>
        <item x="1120"/>
        <item x="660"/>
        <item x="22"/>
        <item x="142"/>
        <item x="417"/>
        <item x="1396"/>
        <item x="1131"/>
        <item x="597"/>
        <item x="1247"/>
        <item x="987"/>
        <item x="1388"/>
        <item x="180"/>
        <item x="193"/>
        <item x="1181"/>
        <item x="931"/>
        <item x="1197"/>
        <item x="91"/>
        <item x="1159"/>
        <item x="1390"/>
        <item x="526"/>
        <item x="664"/>
        <item x="530"/>
        <item x="769"/>
        <item x="1041"/>
        <item x="1158"/>
        <item x="575"/>
        <item x="217"/>
        <item x="243"/>
        <item x="700"/>
        <item x="1194"/>
        <item x="947"/>
        <item x="1136"/>
        <item x="1215"/>
        <item x="1425"/>
        <item x="801"/>
        <item x="1428"/>
        <item x="802"/>
        <item x="205"/>
        <item x="1393"/>
        <item x="935"/>
        <item x="604"/>
        <item x="527"/>
        <item x="1371"/>
        <item x="203"/>
        <item x="909"/>
        <item x="908"/>
        <item x="1295"/>
        <item x="1254"/>
        <item x="1063"/>
        <item x="138"/>
        <item x="1345"/>
        <item x="1147"/>
        <item x="106"/>
        <item x="479"/>
        <item x="127"/>
        <item x="943"/>
        <item x="179"/>
        <item x="1068"/>
        <item x="412"/>
        <item x="1114"/>
        <item x="672"/>
        <item x="20"/>
        <item x="637"/>
        <item x="266"/>
        <item x="10"/>
        <item x="662"/>
        <item x="941"/>
        <item x="52"/>
        <item x="27"/>
        <item x="1370"/>
        <item x="338"/>
        <item x="944"/>
        <item x="719"/>
        <item x="1051"/>
        <item x="550"/>
        <item x="399"/>
        <item x="995"/>
        <item x="167"/>
        <item x="739"/>
        <item x="1217"/>
        <item x="868"/>
        <item x="497"/>
        <item x="525"/>
        <item x="449"/>
        <item x="557"/>
        <item x="1382"/>
        <item x="1060"/>
        <item x="233"/>
        <item x="462"/>
        <item x="1407"/>
        <item x="459"/>
        <item x="636"/>
        <item x="1096"/>
        <item x="906"/>
        <item x="966"/>
        <item x="282"/>
        <item x="309"/>
        <item x="762"/>
        <item x="1264"/>
        <item x="489"/>
        <item x="1028"/>
        <item x="1375"/>
        <item x="261"/>
        <item x="865"/>
        <item x="1109"/>
        <item x="818"/>
        <item x="1037"/>
        <item x="129"/>
        <item x="834"/>
        <item x="42"/>
        <item x="785"/>
        <item x="331"/>
        <item x="610"/>
        <item x="132"/>
        <item x="263"/>
        <item x="466"/>
        <item x="897"/>
        <item x="398"/>
        <item x="999"/>
        <item x="734"/>
        <item x="406"/>
        <item x="445"/>
        <item x="286"/>
        <item x="1199"/>
        <item x="1416"/>
        <item x="376"/>
        <item x="400"/>
        <item x="141"/>
        <item x="1286"/>
        <item x="475"/>
        <item x="624"/>
        <item x="1270"/>
        <item x="387"/>
        <item x="155"/>
        <item x="824"/>
        <item x="1274"/>
        <item x="139"/>
        <item x="1084"/>
        <item x="1417"/>
        <item x="435"/>
        <item x="159"/>
        <item x="1008"/>
        <item x="1027"/>
        <item x="499"/>
        <item x="47"/>
        <item x="1316"/>
        <item x="1392"/>
        <item x="1271"/>
        <item x="1342"/>
        <item x="552"/>
        <item x="1108"/>
        <item x="110"/>
        <item x="1325"/>
        <item x="183"/>
        <item x="784"/>
        <item x="1056"/>
        <item x="1310"/>
        <item x="590"/>
        <item x="776"/>
        <item x="291"/>
        <item x="1334"/>
        <item x="307"/>
        <item x="1026"/>
        <item x="269"/>
        <item x="1134"/>
        <item x="365"/>
        <item x="62"/>
        <item x="1400"/>
        <item x="646"/>
        <item x="4"/>
        <item x="576"/>
        <item x="620"/>
        <item x="5"/>
        <item x="749"/>
        <item x="1209"/>
        <item x="144"/>
        <item x="915"/>
        <item x="726"/>
        <item x="45"/>
        <item x="981"/>
        <item x="121"/>
        <item x="1188"/>
        <item x="66"/>
        <item x="579"/>
        <item x="1190"/>
        <item x="744"/>
        <item x="108"/>
        <item x="229"/>
        <item x="735"/>
        <item x="873"/>
        <item x="259"/>
        <item x="373"/>
        <item x="536"/>
        <item x="581"/>
        <item x="237"/>
        <item x="714"/>
        <item x="92"/>
        <item x="24"/>
        <item x="852"/>
        <item x="158"/>
        <item x="1126"/>
        <item x="1236"/>
        <item x="1291"/>
        <item x="496"/>
        <item x="523"/>
        <item x="883"/>
        <item x="370"/>
        <item x="1067"/>
        <item x="305"/>
        <item x="859"/>
        <item x="870"/>
        <item x="25"/>
        <item x="1324"/>
        <item x="800"/>
        <item x="450"/>
        <item x="535"/>
        <item x="1432"/>
        <item x="570"/>
        <item x="188"/>
        <item x="103"/>
        <item x="509"/>
        <item x="21"/>
        <item x="1386"/>
        <item x="742"/>
        <item x="1306"/>
        <item x="145"/>
        <item x="1054"/>
        <item x="1090"/>
        <item x="872"/>
        <item x="665"/>
        <item x="481"/>
        <item x="537"/>
        <item x="1021"/>
        <item x="1111"/>
        <item x="151"/>
        <item x="975"/>
        <item x="278"/>
        <item x="169"/>
        <item x="1185"/>
        <item x="1075"/>
        <item x="143"/>
        <item x="1419"/>
        <item x="349"/>
        <item x="562"/>
        <item x="965"/>
        <item x="1015"/>
        <item t="default"/>
      </items>
    </pivotField>
    <pivotField showAll="0"/>
    <pivotField showAll="0"/>
    <pivotField showAll="0"/>
  </pivotFields>
  <rowFields count="1">
    <field x="-2"/>
  </rowFields>
  <row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rowItems>
  <colFields count="1">
    <field x="6"/>
  </colFields>
  <colItems count="3">
    <i>
      <x/>
    </i>
    <i>
      <x v="1"/>
    </i>
    <i t="grand">
      <x/>
    </i>
  </colItems>
  <pageFields count="1">
    <pageField fld="18" hier="-1"/>
  </pageFields>
  <dataFields count="7">
    <dataField name="Average of CostTraditionalDelivery" fld="17" subtotal="average" baseField="0" baseItem="0"/>
    <dataField name="Average of  CostDroneDelivery " fld="20" subtotal="average" baseField="0" baseItem="0"/>
    <dataField name="Average of DeliveryDuration" fld="11" subtotal="average" baseField="0" baseItem="0"/>
    <dataField name="Average of DroneDeliveryDuration" fld="19" subtotal="average" baseField="0" baseItem="0"/>
    <dataField name="Average of DeliveryDistance" fld="8" subtotal="average" baseField="0" baseItem="0"/>
    <dataField name="Count of ItemOrdered1" fld="3" subtotal="count" showDataAs="percentOfTotal" baseField="0" baseItem="0" numFmtId="10"/>
    <dataField name="Count of ItemOrdered1_2" fld="3" subtotal="count" baseField="0" baseItem="0"/>
  </dataFields>
  <formats count="2">
    <format dxfId="1">
      <pivotArea collapsedLevelsAreSubtotals="1" fieldPosition="0">
        <references count="1">
          <reference field="4294967294" count="2">
            <x v="0"/>
            <x v="1"/>
          </reference>
        </references>
      </pivotArea>
    </format>
    <format dxfId="0">
      <pivotArea collapsedLevelsAreSubtotals="1" fieldPosition="0">
        <references count="1">
          <reference field="4294967294" count="3">
            <x v="2"/>
            <x v="3"/>
            <x v="4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PapaDrone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Celestial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elestial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lumMod val="110000"/>
              </a:schemeClr>
            </a:gs>
            <a:gs pos="100000">
              <a:schemeClr val="phClr">
                <a:tint val="82000"/>
                <a:alpha val="74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00000"/>
              </a:schemeClr>
            </a:gs>
            <a:gs pos="100000">
              <a:schemeClr val="phClr">
                <a:shade val="88000"/>
                <a:lumMod val="88000"/>
              </a:schemeClr>
            </a:gs>
          </a:gsLst>
          <a:lin ang="5400000" scaled="1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5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127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6000"/>
                <a:hueMod val="100000"/>
                <a:satMod val="180000"/>
                <a:lumMod val="110000"/>
              </a:schemeClr>
            </a:gs>
            <a:gs pos="100000">
              <a:schemeClr val="phClr">
                <a:shade val="96000"/>
                <a:satMod val="160000"/>
                <a:lumMod val="100000"/>
              </a:schemeClr>
            </a:gs>
          </a:gsLst>
          <a:lin ang="4740000" scaled="1"/>
        </a:gradFill>
        <a:blipFill>
          <a:blip xmlns:r="http://schemas.openxmlformats.org/officeDocument/2006/relationships" r:embed="rId1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elestial" id="{C4BB2A3D-0E93-4C5F-B0D2-9D3FCE089CC5}" vid="{42E5908D-19A2-46FD-89FA-638B126129EF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8657F-FD3E-DE48-ADCA-F15D7857693B}">
  <dimension ref="A2:H45"/>
  <sheetViews>
    <sheetView zoomScale="99" workbookViewId="0">
      <selection activeCell="B8" sqref="B8"/>
    </sheetView>
  </sheetViews>
  <sheetFormatPr defaultColWidth="11.19921875" defaultRowHeight="15.6" x14ac:dyDescent="0.3"/>
  <cols>
    <col min="1" max="1" width="42" bestFit="1" customWidth="1"/>
  </cols>
  <sheetData>
    <row r="2" spans="1:3" x14ac:dyDescent="0.3">
      <c r="A2" s="1" t="s">
        <v>8</v>
      </c>
      <c r="B2" s="2" t="s">
        <v>2</v>
      </c>
      <c r="C2" t="s">
        <v>3</v>
      </c>
    </row>
    <row r="3" spans="1:3" x14ac:dyDescent="0.3">
      <c r="A3" t="s">
        <v>0</v>
      </c>
      <c r="B3">
        <v>7</v>
      </c>
      <c r="C3">
        <v>1</v>
      </c>
    </row>
    <row r="4" spans="1:3" x14ac:dyDescent="0.3">
      <c r="A4" t="s">
        <v>1</v>
      </c>
      <c r="B4">
        <v>10</v>
      </c>
      <c r="C4">
        <v>1.7</v>
      </c>
    </row>
    <row r="5" spans="1:3" x14ac:dyDescent="0.3">
      <c r="A5" t="s">
        <v>34</v>
      </c>
      <c r="B5">
        <v>14</v>
      </c>
      <c r="C5">
        <v>2.2999999999999998</v>
      </c>
    </row>
    <row r="7" spans="1:3" x14ac:dyDescent="0.3">
      <c r="A7" t="s">
        <v>27</v>
      </c>
      <c r="B7">
        <v>6</v>
      </c>
    </row>
    <row r="8" spans="1:3" x14ac:dyDescent="0.3">
      <c r="A8" t="s">
        <v>30</v>
      </c>
      <c r="B8" s="9">
        <f>GETPIVOTDATA("Average of DeliveryDistance",'Drone Delivery '!$A$7,"Delivery",TRUE)</f>
        <v>2.2451994212736395</v>
      </c>
    </row>
    <row r="9" spans="1:3" x14ac:dyDescent="0.3">
      <c r="A9" t="s">
        <v>29</v>
      </c>
      <c r="B9" s="9">
        <f>GETPIVOTDATA("Count of ItemOrdered1_2",'Drone Delivery '!$A$7,"Delivery",TRUE)</f>
        <v>1432</v>
      </c>
    </row>
    <row r="10" spans="1:3" x14ac:dyDescent="0.3">
      <c r="A10" t="s">
        <v>23</v>
      </c>
      <c r="B10">
        <v>3</v>
      </c>
    </row>
    <row r="13" spans="1:3" x14ac:dyDescent="0.3">
      <c r="A13" s="1" t="s">
        <v>14</v>
      </c>
      <c r="B13" t="s">
        <v>15</v>
      </c>
    </row>
    <row r="14" spans="1:3" x14ac:dyDescent="0.3">
      <c r="A14" t="s">
        <v>9</v>
      </c>
      <c r="B14" s="13">
        <f>7+1</f>
        <v>8</v>
      </c>
    </row>
    <row r="15" spans="1:3" x14ac:dyDescent="0.3">
      <c r="A15" t="s">
        <v>10</v>
      </c>
      <c r="B15" s="13">
        <v>0.5</v>
      </c>
    </row>
    <row r="16" spans="1:3" x14ac:dyDescent="0.3">
      <c r="A16" t="s">
        <v>22</v>
      </c>
      <c r="B16" s="13">
        <v>2</v>
      </c>
    </row>
    <row r="17" spans="1:8" x14ac:dyDescent="0.3">
      <c r="A17" t="s">
        <v>26</v>
      </c>
      <c r="B17" s="13">
        <f>(B14+B15)/60</f>
        <v>0.14166666666666666</v>
      </c>
    </row>
    <row r="18" spans="1:8" x14ac:dyDescent="0.3">
      <c r="B18" s="13"/>
    </row>
    <row r="20" spans="1:8" x14ac:dyDescent="0.3">
      <c r="A20" s="1" t="s">
        <v>12</v>
      </c>
      <c r="B20" t="s">
        <v>13</v>
      </c>
      <c r="H20" t="s">
        <v>17</v>
      </c>
    </row>
    <row r="21" spans="1:8" x14ac:dyDescent="0.3">
      <c r="A21" t="s">
        <v>7</v>
      </c>
      <c r="B21">
        <v>3.2</v>
      </c>
    </row>
    <row r="22" spans="1:8" x14ac:dyDescent="0.3">
      <c r="A22" t="s">
        <v>11</v>
      </c>
      <c r="B22">
        <v>32</v>
      </c>
    </row>
    <row r="23" spans="1:8" x14ac:dyDescent="0.3">
      <c r="A23" t="s">
        <v>5</v>
      </c>
      <c r="B23">
        <v>13.23</v>
      </c>
    </row>
    <row r="24" spans="1:8" x14ac:dyDescent="0.3">
      <c r="A24" t="s">
        <v>6</v>
      </c>
      <c r="B24">
        <v>38</v>
      </c>
    </row>
    <row r="25" spans="1:8" x14ac:dyDescent="0.3">
      <c r="A25" t="s">
        <v>25</v>
      </c>
      <c r="B25">
        <v>30</v>
      </c>
    </row>
    <row r="26" spans="1:8" x14ac:dyDescent="0.3">
      <c r="A26" t="s">
        <v>4</v>
      </c>
      <c r="B26" s="10">
        <v>5000</v>
      </c>
    </row>
    <row r="27" spans="1:8" x14ac:dyDescent="0.3">
      <c r="A27" t="s">
        <v>21</v>
      </c>
      <c r="B27" s="10">
        <v>500</v>
      </c>
    </row>
    <row r="28" spans="1:8" x14ac:dyDescent="0.3">
      <c r="B28" s="10"/>
    </row>
    <row r="29" spans="1:8" x14ac:dyDescent="0.3">
      <c r="A29" t="s">
        <v>16</v>
      </c>
      <c r="B29" s="3">
        <f>(B8*2)/B25</f>
        <v>0.14967996141824264</v>
      </c>
    </row>
    <row r="30" spans="1:8" x14ac:dyDescent="0.3">
      <c r="A30" t="s">
        <v>24</v>
      </c>
      <c r="B30" s="5">
        <f>1/B29</f>
        <v>6.6809210165798616</v>
      </c>
    </row>
    <row r="33" spans="1:2" x14ac:dyDescent="0.3">
      <c r="A33" s="1" t="s">
        <v>18</v>
      </c>
    </row>
    <row r="34" spans="1:2" x14ac:dyDescent="0.3">
      <c r="A34" t="s">
        <v>19</v>
      </c>
      <c r="B34" s="13">
        <v>10</v>
      </c>
    </row>
    <row r="35" spans="1:2" x14ac:dyDescent="0.3">
      <c r="A35" t="s">
        <v>20</v>
      </c>
      <c r="B35">
        <v>12</v>
      </c>
    </row>
    <row r="36" spans="1:2" x14ac:dyDescent="0.3">
      <c r="A36" t="s">
        <v>28</v>
      </c>
      <c r="B36" s="7">
        <f>0.05/60</f>
        <v>8.3333333333333339E-4</v>
      </c>
    </row>
    <row r="38" spans="1:2" x14ac:dyDescent="0.3">
      <c r="A38" t="s">
        <v>31</v>
      </c>
      <c r="B38" s="15">
        <f>((B34/B35)/60)+B36</f>
        <v>1.4722222222222223E-2</v>
      </c>
    </row>
    <row r="39" spans="1:2" x14ac:dyDescent="0.3">
      <c r="A39" t="s">
        <v>32</v>
      </c>
      <c r="B39" s="8">
        <f>((B26/3)+B27)/365/B7/60</f>
        <v>1.6489091831557588E-2</v>
      </c>
    </row>
    <row r="40" spans="1:2" x14ac:dyDescent="0.3">
      <c r="A40" t="s">
        <v>33</v>
      </c>
      <c r="B40" s="8">
        <f>B38+B39</f>
        <v>3.1211314053779811E-2</v>
      </c>
    </row>
    <row r="42" spans="1:2" x14ac:dyDescent="0.3">
      <c r="A42" s="6" t="s">
        <v>35</v>
      </c>
      <c r="B42">
        <v>100</v>
      </c>
    </row>
    <row r="43" spans="1:2" x14ac:dyDescent="0.3">
      <c r="A43" t="s">
        <v>36</v>
      </c>
      <c r="B43" s="16">
        <f>GETPIVOTDATA("Count of ItemOrdered1",'Drone Delivery '!$A$7,"Delivery",TRUE)</f>
        <v>0.36539933656545037</v>
      </c>
    </row>
    <row r="44" spans="1:2" x14ac:dyDescent="0.3">
      <c r="A44" t="s">
        <v>66</v>
      </c>
      <c r="B44" s="17">
        <f>GETPIVOTDATA("Average of CostTraditionalDelivery",'Drone Delivery '!$A$7,"Delivery",TRUE)</f>
        <v>3.1782764975335103</v>
      </c>
    </row>
    <row r="45" spans="1:2" x14ac:dyDescent="0.3">
      <c r="A45" t="s">
        <v>37</v>
      </c>
      <c r="B45" s="17">
        <f>GETPIVOTDATA("Average of  CostDroneDelivery ",'Drone Delivery '!$A$7,"Delivery",TRUE)</f>
        <v>0.14015124850147243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4C873-9004-2143-85E7-98717067E57A}">
  <dimension ref="A5:D15"/>
  <sheetViews>
    <sheetView topLeftCell="A2" workbookViewId="0">
      <selection activeCell="E9" sqref="E9"/>
    </sheetView>
  </sheetViews>
  <sheetFormatPr defaultColWidth="11.19921875" defaultRowHeight="15.6" x14ac:dyDescent="0.3"/>
  <cols>
    <col min="1" max="1" width="29.796875" bestFit="1" customWidth="1"/>
    <col min="2" max="2" width="15.5" bestFit="1" customWidth="1"/>
    <col min="3" max="3" width="7.19921875" bestFit="1" customWidth="1"/>
    <col min="4" max="4" width="10.796875" bestFit="1" customWidth="1"/>
    <col min="5" max="14" width="29.796875" bestFit="1" customWidth="1"/>
    <col min="15" max="15" width="34.69921875" bestFit="1" customWidth="1"/>
    <col min="16" max="16" width="31.5" bestFit="1" customWidth="1"/>
    <col min="17" max="17" width="29.19921875" bestFit="1" customWidth="1"/>
    <col min="18" max="18" width="34.19921875" bestFit="1" customWidth="1"/>
    <col min="19" max="19" width="29.19921875" bestFit="1" customWidth="1"/>
    <col min="20" max="20" width="25" bestFit="1" customWidth="1"/>
    <col min="21" max="21" width="27.19921875" bestFit="1" customWidth="1"/>
  </cols>
  <sheetData>
    <row r="5" spans="1:4" x14ac:dyDescent="0.3">
      <c r="A5" s="11" t="s">
        <v>38</v>
      </c>
      <c r="B5" t="s">
        <v>60</v>
      </c>
    </row>
    <row r="7" spans="1:4" x14ac:dyDescent="0.3">
      <c r="B7" s="11" t="s">
        <v>61</v>
      </c>
    </row>
    <row r="8" spans="1:4" x14ac:dyDescent="0.3">
      <c r="A8" s="11" t="s">
        <v>62</v>
      </c>
      <c r="B8" t="s">
        <v>59</v>
      </c>
      <c r="C8" t="s">
        <v>60</v>
      </c>
      <c r="D8" t="s">
        <v>50</v>
      </c>
    </row>
    <row r="9" spans="1:4" x14ac:dyDescent="0.3">
      <c r="A9" s="12" t="s">
        <v>52</v>
      </c>
      <c r="B9" s="6">
        <v>0</v>
      </c>
      <c r="C9" s="6">
        <v>3.1782764975335103</v>
      </c>
      <c r="D9" s="6">
        <v>1.1613401236203078</v>
      </c>
    </row>
    <row r="10" spans="1:4" x14ac:dyDescent="0.3">
      <c r="A10" s="12" t="s">
        <v>53</v>
      </c>
      <c r="B10" s="6">
        <v>0</v>
      </c>
      <c r="C10" s="6">
        <v>0.14015124850147243</v>
      </c>
      <c r="D10" s="6">
        <v>5.1211173221257594E-2</v>
      </c>
    </row>
    <row r="11" spans="1:4" x14ac:dyDescent="0.3">
      <c r="A11" s="12" t="s">
        <v>54</v>
      </c>
      <c r="B11" s="3">
        <v>2.99179734613306</v>
      </c>
      <c r="C11" s="3">
        <v>11.217446461882977</v>
      </c>
      <c r="D11" s="3">
        <v>5.9974440758482634</v>
      </c>
    </row>
    <row r="12" spans="1:4" x14ac:dyDescent="0.3">
      <c r="A12" s="12" t="s">
        <v>55</v>
      </c>
      <c r="B12" s="3">
        <v>0</v>
      </c>
      <c r="C12" s="3">
        <v>4.4903988425472789</v>
      </c>
      <c r="D12" s="3">
        <v>1.6407887579810421</v>
      </c>
    </row>
    <row r="13" spans="1:4" x14ac:dyDescent="0.3">
      <c r="A13" s="12" t="s">
        <v>56</v>
      </c>
      <c r="B13" s="3">
        <v>0</v>
      </c>
      <c r="C13" s="3">
        <v>2.2451994212736395</v>
      </c>
      <c r="D13" s="3">
        <v>0.82039437899052103</v>
      </c>
    </row>
    <row r="14" spans="1:4" x14ac:dyDescent="0.3">
      <c r="A14" s="12" t="s">
        <v>57</v>
      </c>
      <c r="B14" s="14">
        <v>0.63460066343454968</v>
      </c>
      <c r="C14" s="14">
        <v>0.36539933656545037</v>
      </c>
      <c r="D14" s="14">
        <v>1</v>
      </c>
    </row>
    <row r="15" spans="1:4" x14ac:dyDescent="0.3">
      <c r="A15" s="12" t="s">
        <v>58</v>
      </c>
      <c r="B15" s="4">
        <v>2487</v>
      </c>
      <c r="C15" s="4">
        <v>1432</v>
      </c>
      <c r="D15" s="4">
        <v>3919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97BF8-A3DC-2B4E-A570-A06CF3BEDCC0}">
  <dimension ref="A1:B2"/>
  <sheetViews>
    <sheetView workbookViewId="0">
      <selection activeCell="N15" sqref="N15"/>
    </sheetView>
  </sheetViews>
  <sheetFormatPr defaultColWidth="11.19921875" defaultRowHeight="15.6" x14ac:dyDescent="0.3"/>
  <cols>
    <col min="2" max="2" width="16" bestFit="1" customWidth="1"/>
  </cols>
  <sheetData>
    <row r="1" spans="1:2" x14ac:dyDescent="0.3">
      <c r="A1" t="s">
        <v>51</v>
      </c>
      <c r="B1" s="6">
        <v>250449070.47815359</v>
      </c>
    </row>
    <row r="2" spans="1:2" x14ac:dyDescent="0.3">
      <c r="A2" t="s">
        <v>40</v>
      </c>
      <c r="B2" s="6">
        <v>30189413.083385248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3D75D-7220-C647-AF26-6A38F96CC18D}">
  <dimension ref="A2:C12"/>
  <sheetViews>
    <sheetView tabSelected="1" zoomScaleNormal="100" workbookViewId="0">
      <selection activeCell="S26" sqref="S26"/>
    </sheetView>
  </sheetViews>
  <sheetFormatPr defaultColWidth="11.19921875" defaultRowHeight="15.6" x14ac:dyDescent="0.3"/>
  <cols>
    <col min="1" max="1" width="20.296875" bestFit="1" customWidth="1"/>
    <col min="2" max="2" width="14" bestFit="1" customWidth="1"/>
  </cols>
  <sheetData>
    <row r="2" spans="1:3" x14ac:dyDescent="0.3">
      <c r="A2" s="1" t="s">
        <v>63</v>
      </c>
      <c r="B2" s="1" t="s">
        <v>64</v>
      </c>
      <c r="C2" s="1" t="s">
        <v>65</v>
      </c>
    </row>
    <row r="3" spans="1:3" x14ac:dyDescent="0.3">
      <c r="A3" t="s">
        <v>39</v>
      </c>
      <c r="B3" s="6">
        <v>5510000</v>
      </c>
      <c r="C3">
        <v>7799</v>
      </c>
    </row>
    <row r="4" spans="1:3" x14ac:dyDescent="0.3">
      <c r="A4" t="s">
        <v>41</v>
      </c>
      <c r="B4" s="6">
        <v>4708587</v>
      </c>
      <c r="C4">
        <v>5200</v>
      </c>
    </row>
    <row r="5" spans="1:3" x14ac:dyDescent="0.3">
      <c r="A5" t="s">
        <v>42</v>
      </c>
      <c r="B5" s="6">
        <v>3743000</v>
      </c>
      <c r="C5">
        <v>841</v>
      </c>
    </row>
    <row r="6" spans="1:3" x14ac:dyDescent="0.3">
      <c r="A6" t="s">
        <v>43</v>
      </c>
      <c r="B6" s="6">
        <v>3500000</v>
      </c>
      <c r="C6">
        <v>4250</v>
      </c>
    </row>
    <row r="7" spans="1:3" x14ac:dyDescent="0.3">
      <c r="A7" t="s">
        <v>44</v>
      </c>
      <c r="B7" s="6">
        <v>2816017</v>
      </c>
      <c r="C7">
        <v>3290</v>
      </c>
    </row>
    <row r="8" spans="1:3" x14ac:dyDescent="0.3">
      <c r="A8" t="s">
        <v>45</v>
      </c>
      <c r="B8" s="6">
        <v>880429</v>
      </c>
      <c r="C8">
        <v>1496</v>
      </c>
    </row>
    <row r="9" spans="1:3" x14ac:dyDescent="0.3">
      <c r="A9" t="s">
        <v>46</v>
      </c>
      <c r="B9" s="6">
        <v>742500</v>
      </c>
      <c r="C9">
        <v>228</v>
      </c>
    </row>
    <row r="10" spans="1:3" x14ac:dyDescent="0.3">
      <c r="A10" t="s">
        <v>47</v>
      </c>
      <c r="B10" s="6">
        <v>729000</v>
      </c>
      <c r="C10">
        <v>247</v>
      </c>
    </row>
    <row r="11" spans="1:3" x14ac:dyDescent="0.3">
      <c r="A11" t="s">
        <v>48</v>
      </c>
      <c r="B11" s="6">
        <v>430000</v>
      </c>
      <c r="C11">
        <v>445</v>
      </c>
    </row>
    <row r="12" spans="1:3" x14ac:dyDescent="0.3">
      <c r="A12" t="s">
        <v>49</v>
      </c>
      <c r="B12" s="6">
        <v>424107</v>
      </c>
      <c r="C12">
        <v>437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Parameters</vt:lpstr>
      <vt:lpstr>Drone Delivery </vt:lpstr>
      <vt:lpstr>Market Size</vt:lpstr>
      <vt:lpstr>Pizza Chains by Sales and 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Marcin Bartosiak</cp:lastModifiedBy>
  <dcterms:created xsi:type="dcterms:W3CDTF">2017-03-24T14:42:09Z</dcterms:created>
  <dcterms:modified xsi:type="dcterms:W3CDTF">2020-06-26T11:17:59Z</dcterms:modified>
</cp:coreProperties>
</file>