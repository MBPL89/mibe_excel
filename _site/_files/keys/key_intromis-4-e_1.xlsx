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Biagio/Desktop/excel4/"/>
    </mc:Choice>
  </mc:AlternateContent>
  <workbookProtection lockStructure="1"/>
  <bookViews>
    <workbookView xWindow="28800" yWindow="0" windowWidth="38400" windowHeight="21600" tabRatio="500" activeTab="3"/>
  </bookViews>
  <sheets>
    <sheet name="Calculations" sheetId="2" r:id="rId1"/>
    <sheet name="Top Chains by Sales" sheetId="3" r:id="rId2"/>
    <sheet name="Top Chains by Units" sheetId="4" r:id="rId3"/>
    <sheet name="Results" sheetId="1" r:id="rId4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20" i="1" l="1"/>
  <c r="A18" i="1"/>
  <c r="A16" i="1"/>
  <c r="A9" i="1"/>
  <c r="A7" i="1"/>
  <c r="A5" i="1"/>
</calcChain>
</file>

<file path=xl/sharedStrings.xml><?xml version="1.0" encoding="utf-8"?>
<sst xmlns="http://schemas.openxmlformats.org/spreadsheetml/2006/main" count="81" uniqueCount="61">
  <si>
    <t>Results Page</t>
  </si>
  <si>
    <t xml:space="preserve">Pizza Chains Sales Statistics </t>
  </si>
  <si>
    <t>Average gross sales</t>
  </si>
  <si>
    <t>Minimum gross sales</t>
  </si>
  <si>
    <t>Maximum gross sales</t>
  </si>
  <si>
    <t>The lowest grossing chain is:</t>
  </si>
  <si>
    <t>The largest grossing chain is:</t>
  </si>
  <si>
    <t>Chains grossing more than:</t>
  </si>
  <si>
    <t>Total</t>
  </si>
  <si>
    <t>Average</t>
  </si>
  <si>
    <t>Min</t>
  </si>
  <si>
    <t>Max</t>
  </si>
  <si>
    <t>Ranksort descending</t>
  </si>
  <si>
    <t>Chain</t>
  </si>
  <si>
    <t>2015 US Sales ($000)</t>
  </si>
  <si>
    <t>2015 US Units</t>
  </si>
  <si>
    <t>Pizza Hut</t>
  </si>
  <si>
    <t>Domino's</t>
  </si>
  <si>
    <t>Little Caesars</t>
  </si>
  <si>
    <t>Papa John's</t>
  </si>
  <si>
    <t>Papa Murphy's Pizza</t>
  </si>
  <si>
    <t>Cicis Pizza</t>
  </si>
  <si>
    <t>Round Table Pizza</t>
  </si>
  <si>
    <t>Marco's Pizza</t>
  </si>
  <si>
    <t>Chuck E. Cheese's</t>
  </si>
  <si>
    <t>Hungry Howie's Pizza</t>
  </si>
  <si>
    <t>Jet's Pizza</t>
  </si>
  <si>
    <t>Godfather's Pizza</t>
  </si>
  <si>
    <t>Sbarro</t>
  </si>
  <si>
    <t>Pizza Ranch</t>
  </si>
  <si>
    <t>Peter Piper Pizza</t>
  </si>
  <si>
    <t>Donatos Pizza</t>
  </si>
  <si>
    <t>Villa Fresh Italian Kitchen</t>
  </si>
  <si>
    <t>Papa Gino's Pizzeria</t>
  </si>
  <si>
    <t>Mazzio's Italian Eatery</t>
  </si>
  <si>
    <t>Fox's Pizza Den</t>
  </si>
  <si>
    <t>Mountain Mike's Pizza</t>
  </si>
  <si>
    <t>Aesthetic Bug</t>
  </si>
  <si>
    <t>After Giggle</t>
  </si>
  <si>
    <t>Alluvia</t>
  </si>
  <si>
    <t>Angel Walk</t>
  </si>
  <si>
    <t>Bagel Bandit</t>
  </si>
  <si>
    <t>Beluga Banjo</t>
  </si>
  <si>
    <t>Beluga Joe’s</t>
  </si>
  <si>
    <t>Bengal Bagel</t>
  </si>
  <si>
    <t>Bingo Bingo</t>
  </si>
  <si>
    <t>Bleeko</t>
  </si>
  <si>
    <t>Blind Carbos</t>
  </si>
  <si>
    <t>Bourbon Bliss</t>
  </si>
  <si>
    <t>Bug Gloss</t>
  </si>
  <si>
    <t>Cafe Brood</t>
  </si>
  <si>
    <t>Caffeine Serene</t>
  </si>
  <si>
    <t>Cajun-Sation</t>
  </si>
  <si>
    <t>Cellular Cafe</t>
  </si>
  <si>
    <t>Cheeky</t>
  </si>
  <si>
    <t>Choo Choo</t>
  </si>
  <si>
    <t>Chorus</t>
  </si>
  <si>
    <t>Ciàobama</t>
  </si>
  <si>
    <t>lowest grossing chain</t>
  </si>
  <si>
    <t>largest grossing chain</t>
  </si>
  <si>
    <t>Tops and Flops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</si>
</sst>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7030A0"/>
      <name val="Tahoma"/>
      <family val="2"/>
    </font>
    <font>
      <b/>
      <sz val="26"/>
      <color theme="1"/>
      <name val="Tahoma"/>
      <family val="2"/>
    </font>
    <font>
      <i/>
      <sz val="14"/>
      <color theme="1"/>
      <name val="Calibri"/>
      <family val="2"/>
      <scheme val="minor"/>
    </font>
    <font>
      <sz val="14"/>
      <color theme="1"/>
      <name val="Century Gothic"/>
      <family val="1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5" fillId="0" borderId="2" xfId="0" applyFont="1" applyBorder="1"/>
    <xf numFmtId="0" fontId="6" fillId="0" borderId="0" xfId="0" applyFont="1"/>
    <xf numFmtId="44" fontId="0" fillId="0" borderId="0" xfId="0" applyNumberFormat="1"/>
    <xf numFmtId="2" fontId="0" fillId="0" borderId="0" xfId="0" applyNumberFormat="1"/>
    <xf numFmtId="0" fontId="7" fillId="0" borderId="0" xfId="0" applyFont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1" fontId="0" fillId="0" borderId="0" xfId="0" applyNumberFormat="1"/>
    <xf numFmtId="0" fontId="4" fillId="0" borderId="0" xfId="0" applyFont="1"/>
    <xf numFmtId="44" fontId="6" fillId="0" borderId="0" xfId="0" applyNumberFormat="1" applyFo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Sales Top 5 Performers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'Top Chains by Sales'!$A$1:$A$5</c:f>
              <c:strCache>
                <c:ptCount val="5"/>
                <c:pt idx="0">
                  <c:v>Pizza Hut</c:v>
                </c:pt>
                <c:pt idx="1">
                  <c:v>Domino's</c:v>
                </c:pt>
                <c:pt idx="2">
                  <c:v>Little Caesars</c:v>
                </c:pt>
                <c:pt idx="3">
                  <c:v>Papa John's</c:v>
                </c:pt>
                <c:pt idx="4">
                  <c:v>Papa Murphy's Pizza</c:v>
                </c:pt>
              </c:strCache>
            </c:strRef>
          </c:cat>
          <c:val>
            <c:numRef>
              <c:f>'Top Chains by Sales'!$B$1:$B$5</c:f>
              <c:numCache>
                <c:formatCode>_("$"* #,##0.00_);_("$"* \(#,##0.00\);_("$"* "-"??_);_(@_)</c:formatCode>
                <c:ptCount val="5"/>
                <c:pt idx="0">
                  <c:v>5.51E6</c:v>
                </c:pt>
                <c:pt idx="1">
                  <c:v>4.708587E6</c:v>
                </c:pt>
                <c:pt idx="2">
                  <c:v>3.5E6</c:v>
                </c:pt>
                <c:pt idx="3">
                  <c:v>2.816017E6</c:v>
                </c:pt>
                <c:pt idx="4">
                  <c:v>880429.0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803905808"/>
        <c:axId val="-1741398512"/>
      </c:barChart>
      <c:catAx>
        <c:axId val="-1803905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41398512"/>
        <c:crosses val="autoZero"/>
        <c:auto val="1"/>
        <c:lblAlgn val="ctr"/>
        <c:lblOffset val="100"/>
        <c:noMultiLvlLbl val="0"/>
      </c:catAx>
      <c:valAx>
        <c:axId val="-174139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0390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Top 10 Chains by units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'Top Chains by Units'!$A$2:$A$12</c:f>
              <c:strCache>
                <c:ptCount val="11"/>
                <c:pt idx="0">
                  <c:v>Pizza Hut</c:v>
                </c:pt>
                <c:pt idx="1">
                  <c:v>Domino's</c:v>
                </c:pt>
                <c:pt idx="2">
                  <c:v>Little Caesars</c:v>
                </c:pt>
                <c:pt idx="3">
                  <c:v>Papa John's</c:v>
                </c:pt>
                <c:pt idx="4">
                  <c:v>Papa Murphy's Pizza</c:v>
                </c:pt>
                <c:pt idx="5">
                  <c:v>Marco's Pizza</c:v>
                </c:pt>
                <c:pt idx="6">
                  <c:v>Bengal Bagel</c:v>
                </c:pt>
                <c:pt idx="7">
                  <c:v>Chuck E. Cheese's</c:v>
                </c:pt>
                <c:pt idx="8">
                  <c:v>Godfather's Pizza</c:v>
                </c:pt>
                <c:pt idx="9">
                  <c:v>Hungry Howie's Pizza</c:v>
                </c:pt>
                <c:pt idx="10">
                  <c:v>Cicis Pizza</c:v>
                </c:pt>
              </c:strCache>
            </c:strRef>
          </c:cat>
          <c:val>
            <c:numRef>
              <c:f>'Top Chains by Units'!$B$2:$B$12</c:f>
              <c:numCache>
                <c:formatCode>General</c:formatCode>
                <c:ptCount val="11"/>
                <c:pt idx="0">
                  <c:v>7799.0</c:v>
                </c:pt>
                <c:pt idx="1">
                  <c:v>5200.0</c:v>
                </c:pt>
                <c:pt idx="2">
                  <c:v>4250.0</c:v>
                </c:pt>
                <c:pt idx="3">
                  <c:v>3290.0</c:v>
                </c:pt>
                <c:pt idx="4">
                  <c:v>1496.0</c:v>
                </c:pt>
                <c:pt idx="5">
                  <c:v>667.0</c:v>
                </c:pt>
                <c:pt idx="6" formatCode="0">
                  <c:v>608.8700000000001</c:v>
                </c:pt>
                <c:pt idx="7">
                  <c:v>553.0</c:v>
                </c:pt>
                <c:pt idx="8">
                  <c:v>550.0</c:v>
                </c:pt>
                <c:pt idx="9">
                  <c:v>548.0</c:v>
                </c:pt>
                <c:pt idx="10">
                  <c:v>445.0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04042464"/>
        <c:axId val="-1804040144"/>
      </c:barChart>
      <c:catAx>
        <c:axId val="-180404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04040144"/>
        <c:crosses val="autoZero"/>
        <c:auto val="1"/>
        <c:lblAlgn val="ctr"/>
        <c:lblOffset val="100"/>
        <c:noMultiLvlLbl val="0"/>
      </c:catAx>
      <c:valAx>
        <c:axId val="-180404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0404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Top 10 Chains by units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'Top Chains by Units'!$A$2:$A$12</c:f>
              <c:strCache>
                <c:ptCount val="11"/>
                <c:pt idx="0">
                  <c:v>Pizza Hut</c:v>
                </c:pt>
                <c:pt idx="1">
                  <c:v>Domino's</c:v>
                </c:pt>
                <c:pt idx="2">
                  <c:v>Little Caesars</c:v>
                </c:pt>
                <c:pt idx="3">
                  <c:v>Papa John's</c:v>
                </c:pt>
                <c:pt idx="4">
                  <c:v>Papa Murphy's Pizza</c:v>
                </c:pt>
                <c:pt idx="5">
                  <c:v>Marco's Pizza</c:v>
                </c:pt>
                <c:pt idx="6">
                  <c:v>Bengal Bagel</c:v>
                </c:pt>
                <c:pt idx="7">
                  <c:v>Chuck E. Cheese's</c:v>
                </c:pt>
                <c:pt idx="8">
                  <c:v>Godfather's Pizza</c:v>
                </c:pt>
                <c:pt idx="9">
                  <c:v>Hungry Howie's Pizza</c:v>
                </c:pt>
                <c:pt idx="10">
                  <c:v>Cicis Pizza</c:v>
                </c:pt>
              </c:strCache>
            </c:strRef>
          </c:cat>
          <c:val>
            <c:numRef>
              <c:f>'Top Chains by Units'!$B$2:$B$12</c:f>
              <c:numCache>
                <c:formatCode>General</c:formatCode>
                <c:ptCount val="11"/>
                <c:pt idx="0">
                  <c:v>7799.0</c:v>
                </c:pt>
                <c:pt idx="1">
                  <c:v>5200.0</c:v>
                </c:pt>
                <c:pt idx="2">
                  <c:v>4250.0</c:v>
                </c:pt>
                <c:pt idx="3">
                  <c:v>3290.0</c:v>
                </c:pt>
                <c:pt idx="4">
                  <c:v>1496.0</c:v>
                </c:pt>
                <c:pt idx="5">
                  <c:v>667.0</c:v>
                </c:pt>
                <c:pt idx="6" formatCode="0">
                  <c:v>608.8700000000001</c:v>
                </c:pt>
                <c:pt idx="7">
                  <c:v>553.0</c:v>
                </c:pt>
                <c:pt idx="8">
                  <c:v>550.0</c:v>
                </c:pt>
                <c:pt idx="9">
                  <c:v>548.0</c:v>
                </c:pt>
                <c:pt idx="10">
                  <c:v>445.0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740904784"/>
        <c:axId val="-1804386976"/>
      </c:barChart>
      <c:catAx>
        <c:axId val="-174090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04386976"/>
        <c:crosses val="autoZero"/>
        <c:auto val="1"/>
        <c:lblAlgn val="ctr"/>
        <c:lblOffset val="100"/>
        <c:noMultiLvlLbl val="0"/>
      </c:catAx>
      <c:valAx>
        <c:axId val="-180438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4090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101600</xdr:colOff>
      <xdr:row>0</xdr:row>
      <xdr:rowOff>38100</xdr:rowOff>
    </xdr:from>
    <xdr:to>
      <xdr:col>11</xdr:col>
      <xdr:colOff>355600</xdr:colOff>
      <xdr:row>13</xdr:row>
      <xdr:rowOff>139700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0</xdr:row>
      <xdr:rowOff>38100</xdr:rowOff>
    </xdr:from>
    <xdr:to>
      <xdr:col>9</xdr:col>
      <xdr:colOff>495300</xdr:colOff>
      <xdr:row>17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139700</xdr:colOff>
      <xdr:row>2</xdr:row>
      <xdr:rowOff>50800</xdr:rowOff>
    </xdr:from>
    <xdr:to>
      <xdr:col>8</xdr:col>
      <xdr:colOff>698500</xdr:colOff>
      <xdr:row>11</xdr:row>
      <xdr:rowOff>4294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4300" y="660400"/>
          <a:ext cx="4686300" cy="2087094"/>
        </a:xfrm>
        <a:prstGeom prst="rect">
          <a:avLst/>
        </a:prstGeom>
      </xdr:spPr>
    </xdr:pic>
    <xdr:clientData/>
  </xdr:twoCellAnchor>
  <xdr:twoCellAnchor>
    <xdr:from>
      <xdr:col>3</xdr:col>
      <xdr:colOff>139700</xdr:colOff>
      <xdr:row>13</xdr:row>
      <xdr:rowOff>88900</xdr:rowOff>
    </xdr:from>
    <xdr:to>
      <xdr:col>8</xdr:col>
      <xdr:colOff>558800</xdr:colOff>
      <xdr:row>24</xdr:row>
      <xdr:rowOff>63500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selection activeCell="B53" sqref="B53"/>
    </sheetView>
  </sheetViews>
  <sheetFormatPr baseColWidth="10" defaultRowHeight="16" x14ac:dyDescent="0.2"/>
  <cols>
    <col min="1" max="1" width="24.1640625" bestFit="1" customWidth="1"/>
    <col min="2" max="2" width="21.5" bestFit="1" customWidth="1"/>
    <col min="3" max="3" width="24" bestFit="1" customWidth="1"/>
    <col min="4" max="4" width="16.5" bestFit="1" customWidth="1"/>
  </cols>
  <sheetData>
    <row r="1" spans="1:4" ht="21" x14ac:dyDescent="0.25">
      <c r="A1" s="2" t="s">
        <v>12</v>
      </c>
      <c r="B1" s="2" t="s">
        <v>13</v>
      </c>
      <c r="C1" s="2" t="s">
        <v>14</v>
      </c>
      <c r="D1" s="2" t="s">
        <v>15</v>
      </c>
    </row>
    <row r="2" spans="1:4" x14ac:dyDescent="0.2">
      <c r="A2">
        <v>9</v>
      </c>
      <c r="B2" t="s">
        <v>16</v>
      </c>
      <c r="C2" s="6">
        <v>5510000</v>
      </c>
      <c r="D2" s="7">
        <v>7799</v>
      </c>
    </row>
    <row r="3" spans="1:4" x14ac:dyDescent="0.2">
      <c r="A3">
        <v>12</v>
      </c>
      <c r="B3" t="s">
        <v>17</v>
      </c>
      <c r="C3" s="6">
        <v>4708587</v>
      </c>
      <c r="D3" s="7">
        <v>5200</v>
      </c>
    </row>
    <row r="4" spans="1:4" x14ac:dyDescent="0.2">
      <c r="A4">
        <v>19</v>
      </c>
      <c r="B4" t="s">
        <v>18</v>
      </c>
      <c r="C4" s="6">
        <v>3500000</v>
      </c>
      <c r="D4" s="7">
        <v>4250</v>
      </c>
    </row>
    <row r="5" spans="1:4" x14ac:dyDescent="0.2">
      <c r="A5">
        <v>24</v>
      </c>
      <c r="B5" t="s">
        <v>19</v>
      </c>
      <c r="C5" s="6">
        <v>2816017</v>
      </c>
      <c r="D5" s="7">
        <v>3290</v>
      </c>
    </row>
    <row r="6" spans="1:4" x14ac:dyDescent="0.2">
      <c r="A6">
        <v>51</v>
      </c>
      <c r="B6" t="s">
        <v>20</v>
      </c>
      <c r="C6" s="6">
        <v>880429</v>
      </c>
      <c r="D6" s="7">
        <v>1496</v>
      </c>
    </row>
    <row r="7" spans="1:4" x14ac:dyDescent="0.2">
      <c r="A7">
        <v>89</v>
      </c>
      <c r="B7" t="s">
        <v>21</v>
      </c>
      <c r="C7" s="6">
        <v>430000</v>
      </c>
      <c r="D7" s="7">
        <v>445</v>
      </c>
    </row>
    <row r="8" spans="1:4" x14ac:dyDescent="0.2">
      <c r="A8">
        <v>90</v>
      </c>
      <c r="B8" t="s">
        <v>22</v>
      </c>
      <c r="C8" s="6">
        <v>424107</v>
      </c>
      <c r="D8" s="7">
        <v>437</v>
      </c>
    </row>
    <row r="9" spans="1:4" x14ac:dyDescent="0.2">
      <c r="A9">
        <v>92</v>
      </c>
      <c r="B9" t="s">
        <v>23</v>
      </c>
      <c r="C9" s="6">
        <v>417632</v>
      </c>
      <c r="D9" s="7">
        <v>667</v>
      </c>
    </row>
    <row r="10" spans="1:4" x14ac:dyDescent="0.2">
      <c r="A10">
        <v>101</v>
      </c>
      <c r="B10" t="s">
        <v>24</v>
      </c>
      <c r="C10" s="6">
        <v>364294</v>
      </c>
      <c r="D10" s="7">
        <v>553</v>
      </c>
    </row>
    <row r="11" spans="1:4" x14ac:dyDescent="0.2">
      <c r="A11">
        <v>107</v>
      </c>
      <c r="B11" t="s">
        <v>25</v>
      </c>
      <c r="C11" s="6">
        <v>342478</v>
      </c>
      <c r="D11" s="7">
        <v>548</v>
      </c>
    </row>
    <row r="12" spans="1:4" x14ac:dyDescent="0.2">
      <c r="A12">
        <v>108</v>
      </c>
      <c r="B12" t="s">
        <v>26</v>
      </c>
      <c r="C12" s="6">
        <v>339500</v>
      </c>
      <c r="D12" s="7">
        <v>384</v>
      </c>
    </row>
    <row r="13" spans="1:4" x14ac:dyDescent="0.2">
      <c r="A13">
        <v>122</v>
      </c>
      <c r="B13" t="s">
        <v>27</v>
      </c>
      <c r="C13" s="6">
        <v>299200</v>
      </c>
      <c r="D13" s="7">
        <v>550</v>
      </c>
    </row>
    <row r="14" spans="1:4" x14ac:dyDescent="0.2">
      <c r="A14">
        <v>140</v>
      </c>
      <c r="B14" t="s">
        <v>28</v>
      </c>
      <c r="C14" s="6">
        <v>250900</v>
      </c>
      <c r="D14" s="7">
        <v>305</v>
      </c>
    </row>
    <row r="15" spans="1:4" x14ac:dyDescent="0.2">
      <c r="A15">
        <v>156</v>
      </c>
      <c r="B15" t="s">
        <v>29</v>
      </c>
      <c r="C15" s="6">
        <v>228618</v>
      </c>
      <c r="D15" s="7">
        <v>192</v>
      </c>
    </row>
    <row r="16" spans="1:4" x14ac:dyDescent="0.2">
      <c r="A16">
        <v>179</v>
      </c>
      <c r="B16" t="s">
        <v>30</v>
      </c>
      <c r="C16" s="6">
        <v>190500</v>
      </c>
      <c r="D16" s="7">
        <v>94</v>
      </c>
    </row>
    <row r="17" spans="1:4" x14ac:dyDescent="0.2">
      <c r="A17">
        <v>183</v>
      </c>
      <c r="B17" t="s">
        <v>31</v>
      </c>
      <c r="C17" s="6">
        <v>183600</v>
      </c>
      <c r="D17" s="7">
        <v>153</v>
      </c>
    </row>
    <row r="18" spans="1:4" x14ac:dyDescent="0.2">
      <c r="A18">
        <v>211</v>
      </c>
      <c r="B18" t="s">
        <v>32</v>
      </c>
      <c r="C18" s="6">
        <v>148612</v>
      </c>
      <c r="D18" s="7">
        <v>245</v>
      </c>
    </row>
    <row r="19" spans="1:4" x14ac:dyDescent="0.2">
      <c r="A19">
        <v>217</v>
      </c>
      <c r="B19" t="s">
        <v>33</v>
      </c>
      <c r="C19" s="6">
        <v>144680</v>
      </c>
      <c r="D19" s="7">
        <v>163</v>
      </c>
    </row>
    <row r="20" spans="1:4" x14ac:dyDescent="0.2">
      <c r="A20">
        <v>237</v>
      </c>
      <c r="B20" t="s">
        <v>34</v>
      </c>
      <c r="C20" s="6">
        <v>124600</v>
      </c>
      <c r="D20" s="7">
        <v>133</v>
      </c>
    </row>
    <row r="21" spans="1:4" x14ac:dyDescent="0.2">
      <c r="A21">
        <v>238</v>
      </c>
      <c r="B21" t="s">
        <v>35</v>
      </c>
      <c r="C21" s="6">
        <v>124200</v>
      </c>
      <c r="D21" s="7">
        <v>242</v>
      </c>
    </row>
    <row r="22" spans="1:4" x14ac:dyDescent="0.2">
      <c r="A22">
        <v>246</v>
      </c>
      <c r="B22" t="s">
        <v>36</v>
      </c>
      <c r="C22" s="6">
        <v>122054</v>
      </c>
      <c r="D22" s="7">
        <v>164</v>
      </c>
    </row>
    <row r="23" spans="1:4" x14ac:dyDescent="0.2">
      <c r="A23">
        <v>259</v>
      </c>
      <c r="B23" t="s">
        <v>37</v>
      </c>
      <c r="C23" s="6">
        <v>109648.01452379179</v>
      </c>
      <c r="D23" s="7">
        <v>72.2</v>
      </c>
    </row>
    <row r="24" spans="1:4" x14ac:dyDescent="0.2">
      <c r="A24">
        <v>262</v>
      </c>
      <c r="B24" t="s">
        <v>38</v>
      </c>
      <c r="C24" s="6">
        <v>106400.26914442064</v>
      </c>
      <c r="D24" s="7">
        <v>48.800000000000004</v>
      </c>
    </row>
    <row r="25" spans="1:4" x14ac:dyDescent="0.2">
      <c r="A25">
        <v>269</v>
      </c>
      <c r="B25" t="s">
        <v>39</v>
      </c>
      <c r="C25" s="6">
        <v>99192.384273119693</v>
      </c>
      <c r="D25" s="7">
        <v>43.4</v>
      </c>
    </row>
    <row r="26" spans="1:4" x14ac:dyDescent="0.2">
      <c r="A26">
        <v>274</v>
      </c>
      <c r="B26" t="s">
        <v>40</v>
      </c>
      <c r="C26" s="6">
        <v>94345.673454624077</v>
      </c>
      <c r="D26" s="7">
        <v>63.2</v>
      </c>
    </row>
    <row r="27" spans="1:4" x14ac:dyDescent="0.2">
      <c r="A27">
        <v>301</v>
      </c>
      <c r="B27" t="s">
        <v>41</v>
      </c>
      <c r="C27" s="6">
        <v>71995.033973999438</v>
      </c>
      <c r="D27" s="7">
        <v>31.7</v>
      </c>
    </row>
    <row r="28" spans="1:4" x14ac:dyDescent="0.2">
      <c r="A28">
        <v>339</v>
      </c>
      <c r="B28" t="s">
        <v>42</v>
      </c>
      <c r="C28" s="6">
        <v>49235.774878379103</v>
      </c>
      <c r="D28" s="7">
        <v>135.83000000000001</v>
      </c>
    </row>
    <row r="29" spans="1:4" x14ac:dyDescent="0.2">
      <c r="A29">
        <v>340</v>
      </c>
      <c r="B29" t="s">
        <v>43</v>
      </c>
      <c r="C29" s="6">
        <v>48746.417129595313</v>
      </c>
      <c r="D29" s="7">
        <v>57.26</v>
      </c>
    </row>
    <row r="30" spans="1:4" x14ac:dyDescent="0.2">
      <c r="A30">
        <v>342</v>
      </c>
      <c r="B30" t="s">
        <v>44</v>
      </c>
      <c r="C30" s="6">
        <v>47782.33342871636</v>
      </c>
      <c r="D30" s="7">
        <v>608.87000000000012</v>
      </c>
    </row>
    <row r="31" spans="1:4" x14ac:dyDescent="0.2">
      <c r="A31">
        <v>351</v>
      </c>
      <c r="B31" t="s">
        <v>45</v>
      </c>
      <c r="C31" s="6">
        <v>43675.93053790144</v>
      </c>
      <c r="D31" s="7">
        <v>60.5</v>
      </c>
    </row>
    <row r="32" spans="1:4" x14ac:dyDescent="0.2">
      <c r="A32">
        <v>357</v>
      </c>
      <c r="B32" t="s">
        <v>46</v>
      </c>
      <c r="C32" s="6">
        <v>41137.577563230851</v>
      </c>
      <c r="D32" s="7">
        <v>31.340000000000003</v>
      </c>
    </row>
    <row r="33" spans="1:4" x14ac:dyDescent="0.2">
      <c r="A33">
        <v>358</v>
      </c>
      <c r="B33" t="s">
        <v>47</v>
      </c>
      <c r="C33" s="6">
        <v>40729.20178759854</v>
      </c>
      <c r="D33" s="7">
        <v>27.290000000000003</v>
      </c>
    </row>
    <row r="34" spans="1:4" x14ac:dyDescent="0.2">
      <c r="A34">
        <v>372</v>
      </c>
      <c r="B34" t="s">
        <v>48</v>
      </c>
      <c r="C34" s="6">
        <v>35422.699766568316</v>
      </c>
      <c r="D34" s="7">
        <v>96.95</v>
      </c>
    </row>
    <row r="35" spans="1:4" x14ac:dyDescent="0.2">
      <c r="A35">
        <v>390</v>
      </c>
      <c r="B35" t="s">
        <v>49</v>
      </c>
      <c r="C35" s="6">
        <v>29610.376294481037</v>
      </c>
      <c r="D35" s="7">
        <v>73.217000000000013</v>
      </c>
    </row>
    <row r="36" spans="1:4" x14ac:dyDescent="0.2">
      <c r="A36">
        <v>406</v>
      </c>
      <c r="B36" t="s">
        <v>50</v>
      </c>
      <c r="C36" s="6">
        <v>25256.547669650899</v>
      </c>
      <c r="D36" s="7">
        <v>54.992000000000004</v>
      </c>
    </row>
    <row r="37" spans="1:4" x14ac:dyDescent="0.2">
      <c r="A37">
        <v>429</v>
      </c>
      <c r="B37" t="s">
        <v>51</v>
      </c>
      <c r="C37" s="6">
        <v>20105.872701068733</v>
      </c>
      <c r="D37" s="7">
        <v>124.97599999999998</v>
      </c>
    </row>
    <row r="38" spans="1:4" x14ac:dyDescent="0.2">
      <c r="A38">
        <v>433</v>
      </c>
      <c r="B38" t="s">
        <v>52</v>
      </c>
      <c r="C38" s="6">
        <v>19325.442291214546</v>
      </c>
      <c r="D38" s="7">
        <v>89.25500000000001</v>
      </c>
    </row>
    <row r="39" spans="1:4" x14ac:dyDescent="0.2">
      <c r="A39">
        <v>461</v>
      </c>
      <c r="B39" t="s">
        <v>53</v>
      </c>
      <c r="C39" s="6">
        <v>14803.907317938678</v>
      </c>
      <c r="D39" s="7">
        <v>113.82230000000001</v>
      </c>
    </row>
    <row r="40" spans="1:4" x14ac:dyDescent="0.2">
      <c r="A40">
        <v>467</v>
      </c>
      <c r="B40" t="s">
        <v>54</v>
      </c>
      <c r="C40" s="6">
        <v>13955.140828591164</v>
      </c>
      <c r="D40" s="7">
        <v>51.492800000000003</v>
      </c>
    </row>
    <row r="41" spans="1:4" x14ac:dyDescent="0.2">
      <c r="A41">
        <v>487</v>
      </c>
      <c r="B41" t="s">
        <v>55</v>
      </c>
      <c r="C41" s="6">
        <v>11468.634417571911</v>
      </c>
      <c r="D41" s="7">
        <v>58.053800000000003</v>
      </c>
    </row>
    <row r="42" spans="1:4" x14ac:dyDescent="0.2">
      <c r="A42">
        <v>488</v>
      </c>
      <c r="B42" t="s">
        <v>56</v>
      </c>
      <c r="C42" s="6">
        <v>11356.948073396192</v>
      </c>
      <c r="D42" s="7">
        <v>222.0788</v>
      </c>
    </row>
    <row r="43" spans="1:4" x14ac:dyDescent="0.2">
      <c r="A43">
        <v>496</v>
      </c>
      <c r="B43" t="s">
        <v>57</v>
      </c>
      <c r="C43" s="6">
        <v>10502.740171291347</v>
      </c>
      <c r="D43" s="7">
        <v>170.57495000000003</v>
      </c>
    </row>
    <row r="45" spans="1:4" x14ac:dyDescent="0.2">
      <c r="A45" s="1" t="s">
        <v>8</v>
      </c>
      <c r="C45" s="6">
        <v>22494704.920227148</v>
      </c>
      <c r="D45" s="7">
        <v>29545.802650000001</v>
      </c>
    </row>
    <row r="46" spans="1:4" x14ac:dyDescent="0.2">
      <c r="A46" s="1" t="s">
        <v>9</v>
      </c>
      <c r="C46" s="6">
        <v>535588.21238636062</v>
      </c>
      <c r="D46" s="7">
        <v>703.47149166666668</v>
      </c>
    </row>
    <row r="47" spans="1:4" x14ac:dyDescent="0.2">
      <c r="A47" s="1" t="s">
        <v>10</v>
      </c>
      <c r="C47" s="6">
        <v>10502.740171291347</v>
      </c>
      <c r="D47" s="7">
        <v>27.290000000000003</v>
      </c>
    </row>
    <row r="48" spans="1:4" x14ac:dyDescent="0.2">
      <c r="A48" s="1" t="s">
        <v>11</v>
      </c>
      <c r="C48" s="6">
        <v>5510000</v>
      </c>
      <c r="D48" s="7">
        <v>7799</v>
      </c>
    </row>
    <row r="50" spans="2:3" x14ac:dyDescent="0.2">
      <c r="B50" s="9" t="s">
        <v>57</v>
      </c>
      <c r="C50" s="10" t="s">
        <v>58</v>
      </c>
    </row>
    <row r="51" spans="2:3" x14ac:dyDescent="0.2">
      <c r="B51" s="11" t="s">
        <v>16</v>
      </c>
      <c r="C51" s="1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33" sqref="B33"/>
    </sheetView>
  </sheetViews>
  <sheetFormatPr baseColWidth="10" defaultRowHeight="16" x14ac:dyDescent="0.2"/>
  <cols>
    <col min="1" max="1" width="17.6640625" bestFit="1" customWidth="1"/>
    <col min="2" max="2" width="14" bestFit="1" customWidth="1"/>
  </cols>
  <sheetData>
    <row r="1" spans="1:2" x14ac:dyDescent="0.2">
      <c r="A1" t="s">
        <v>16</v>
      </c>
      <c r="B1" s="6">
        <v>5510000</v>
      </c>
    </row>
    <row r="2" spans="1:2" x14ac:dyDescent="0.2">
      <c r="A2" t="s">
        <v>17</v>
      </c>
      <c r="B2" s="6">
        <v>4708587</v>
      </c>
    </row>
    <row r="3" spans="1:2" x14ac:dyDescent="0.2">
      <c r="A3" t="s">
        <v>18</v>
      </c>
      <c r="B3" s="6">
        <v>3500000</v>
      </c>
    </row>
    <row r="4" spans="1:2" x14ac:dyDescent="0.2">
      <c r="A4" t="s">
        <v>19</v>
      </c>
      <c r="B4" s="6">
        <v>2816017</v>
      </c>
    </row>
    <row r="5" spans="1:2" x14ac:dyDescent="0.2">
      <c r="A5" t="s">
        <v>20</v>
      </c>
      <c r="B5" s="6">
        <v>880429</v>
      </c>
    </row>
  </sheetData>
  <pageMargins left="0.7" right="0.7" top="0.75" bottom="0.75" header="0.3" footer="0.3"/>
  <pageSetup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4" sqref="B4"/>
    </sheetView>
  </sheetViews>
  <sheetFormatPr baseColWidth="10" defaultRowHeight="16" x14ac:dyDescent="0.2"/>
  <cols>
    <col min="1" max="1" width="18.33203125" bestFit="1" customWidth="1"/>
    <col min="2" max="2" width="14.5" bestFit="1" customWidth="1"/>
  </cols>
  <sheetData>
    <row r="1" spans="1:2" ht="19" x14ac:dyDescent="0.25">
      <c r="A1" s="8" t="s">
        <v>13</v>
      </c>
      <c r="B1" s="8" t="s">
        <v>15</v>
      </c>
    </row>
    <row r="2" spans="1:2" x14ac:dyDescent="0.2">
      <c r="A2" t="s">
        <v>16</v>
      </c>
      <c r="B2">
        <v>7799</v>
      </c>
    </row>
    <row r="3" spans="1:2" x14ac:dyDescent="0.2">
      <c r="A3" t="s">
        <v>17</v>
      </c>
      <c r="B3">
        <v>5200</v>
      </c>
    </row>
    <row r="4" spans="1:2" x14ac:dyDescent="0.2">
      <c r="A4" t="s">
        <v>18</v>
      </c>
      <c r="B4">
        <v>4250</v>
      </c>
    </row>
    <row r="5" spans="1:2" x14ac:dyDescent="0.2">
      <c r="A5" t="s">
        <v>19</v>
      </c>
      <c r="B5">
        <v>3290</v>
      </c>
    </row>
    <row r="6" spans="1:2" x14ac:dyDescent="0.2">
      <c r="A6" t="s">
        <v>20</v>
      </c>
      <c r="B6">
        <v>1496</v>
      </c>
    </row>
    <row r="7" spans="1:2" x14ac:dyDescent="0.2">
      <c r="A7" t="s">
        <v>23</v>
      </c>
      <c r="B7">
        <v>667</v>
      </c>
    </row>
    <row r="8" spans="1:2" x14ac:dyDescent="0.2">
      <c r="A8" t="s">
        <v>44</v>
      </c>
      <c r="B8" s="13">
        <v>608.87000000000012</v>
      </c>
    </row>
    <row r="9" spans="1:2" x14ac:dyDescent="0.2">
      <c r="A9" t="s">
        <v>24</v>
      </c>
      <c r="B9">
        <v>553</v>
      </c>
    </row>
    <row r="10" spans="1:2" x14ac:dyDescent="0.2">
      <c r="A10" t="s">
        <v>27</v>
      </c>
      <c r="B10">
        <v>550</v>
      </c>
    </row>
    <row r="11" spans="1:2" x14ac:dyDescent="0.2">
      <c r="A11" t="s">
        <v>25</v>
      </c>
      <c r="B11">
        <v>548</v>
      </c>
    </row>
    <row r="12" spans="1:2" x14ac:dyDescent="0.2">
      <c r="A12" t="s">
        <v>21</v>
      </c>
      <c r="B12">
        <v>445</v>
      </c>
    </row>
  </sheetData>
  <pageMargins left="0.7" right="0.7" top="0.75" bottom="0.75" header="0.3" footer="0.3"/>
  <pageSetup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G20"/>
  <sheetViews>
    <sheetView tabSelected="1" workbookViewId="0">
      <selection activeCell="C28" sqref="C28"/>
    </sheetView>
  </sheetViews>
  <sheetFormatPr baseColWidth="10" defaultRowHeight="16" x14ac:dyDescent="0.2"/>
  <cols>
    <col min="1" max="1" width="44.6640625" bestFit="1" customWidth="1"/>
  </cols>
  <sheetData>
    <row r="1" spans="1:7" ht="32" x14ac:dyDescent="0.3">
      <c r="A1" s="14" t="s">
        <v>0</v>
      </c>
      <c r="B1" s="14"/>
      <c r="C1" s="14"/>
      <c r="D1" s="14"/>
      <c r="E1" s="14"/>
      <c r="F1" s="14"/>
      <c r="G1" s="14"/>
    </row>
    <row r="3" spans="1:7" ht="24" thickBot="1" x14ac:dyDescent="0.3">
      <c r="A3" s="3" t="s">
        <v>1</v>
      </c>
    </row>
    <row r="4" spans="1:7" ht="20" thickTop="1" x14ac:dyDescent="0.25">
      <c r="A4" s="4" t="s">
        <v>2</v>
      </c>
    </row>
    <row r="5" spans="1:7" ht="18" x14ac:dyDescent="0.2">
      <c r="A5" s="15">
        <f>Calculations!C46</f>
        <v>535588.21238636062</v>
      </c>
    </row>
    <row r="6" spans="1:7" ht="19" x14ac:dyDescent="0.25">
      <c r="A6" s="4" t="s">
        <v>3</v>
      </c>
    </row>
    <row r="7" spans="1:7" ht="18" x14ac:dyDescent="0.2">
      <c r="A7" s="15">
        <f>Calculations!C47</f>
        <v>10502.740171291347</v>
      </c>
    </row>
    <row r="8" spans="1:7" ht="19" x14ac:dyDescent="0.25">
      <c r="A8" s="4" t="s">
        <v>4</v>
      </c>
    </row>
    <row r="9" spans="1:7" ht="18" x14ac:dyDescent="0.2">
      <c r="A9" s="15">
        <f>Calculations!C48</f>
        <v>5510000</v>
      </c>
    </row>
    <row r="14" spans="1:7" ht="24" thickBot="1" x14ac:dyDescent="0.3">
      <c r="A14" s="3" t="s">
        <v>60</v>
      </c>
    </row>
    <row r="15" spans="1:7" ht="20" thickTop="1" x14ac:dyDescent="0.25">
      <c r="A15" s="4" t="s">
        <v>5</v>
      </c>
    </row>
    <row r="16" spans="1:7" ht="18" x14ac:dyDescent="0.2">
      <c r="A16" s="5" t="str">
        <f>Calculations!B50</f>
        <v>Ciàobama</v>
      </c>
    </row>
    <row r="17" spans="1:2" ht="19" x14ac:dyDescent="0.25">
      <c r="A17" s="4" t="s">
        <v>6</v>
      </c>
    </row>
    <row r="18" spans="1:2" ht="18" x14ac:dyDescent="0.2">
      <c r="A18" s="5" t="str">
        <f>Calculations!B51</f>
        <v>Pizza Hut</v>
      </c>
    </row>
    <row r="19" spans="1:2" ht="19" x14ac:dyDescent="0.25">
      <c r="A19" s="4" t="s">
        <v>7</v>
      </c>
      <c r="B19" s="16">
        <v>500000</v>
      </c>
    </row>
    <row r="20" spans="1:2" ht="18" x14ac:dyDescent="0.2">
      <c r="A20" s="5">
        <f>COUNTIF(Calculations!C2:C43,"&gt;" &amp; B19)</f>
        <v>5</v>
      </c>
    </row>
  </sheetData>
  <sheetProtection sheet="1" objects="1" scenarios="1"/>
  <mergeCells count="1">
    <mergeCell ref="A1:G1"/>
  </mergeCells>
  <phoneticPr fontId="9" type="noConversion"/>
  <pageMargins left="0.7" right="0.7" top="0.75" bottom="0.75" header="0.3" footer="0.3"/>
  <pageSetup scale="87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Calculations</vt:lpstr>
      <vt:lpstr>Top Chains by Sales</vt:lpstr>
      <vt:lpstr>Top Chains by Units</vt:lpstr>
      <vt:lpstr>Results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2018-01-15T21:31:55Z</cp:lastPrinted>
  <dcterms:created xsi:type="dcterms:W3CDTF">2018-01-14T18:15:17Z</dcterms:created>
  <dcterms:modified xsi:type="dcterms:W3CDTF">2018-01-15T21:32:09Z</dcterms:modified>
</cp:coreProperties>
</file>