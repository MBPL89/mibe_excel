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dmin\OneDrive\For_git_changes\excel-grader-content\Keys\intromis\"/>
    </mc:Choice>
  </mc:AlternateContent>
  <xr:revisionPtr revIDLastSave="0" documentId="13_ncr:1_{420D0B2F-75B1-4838-B3A9-CCA64EEF2670}" xr6:coauthVersionLast="45" xr6:coauthVersionMax="45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All Chains" sheetId="4" r:id="rId1"/>
    <sheet name="Calculations" sheetId="5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5" l="1"/>
  <c r="E22" i="5" s="1"/>
  <c r="D24" i="5"/>
  <c r="F22" i="5" s="1"/>
  <c r="D23" i="5"/>
  <c r="D25" i="5"/>
  <c r="D26" i="5"/>
  <c r="C26" i="5"/>
  <c r="C25" i="5"/>
  <c r="C23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" i="4"/>
  <c r="E5" i="5" l="1"/>
  <c r="E11" i="5"/>
  <c r="E17" i="5"/>
  <c r="F5" i="5"/>
  <c r="F11" i="5"/>
  <c r="F17" i="5"/>
  <c r="E6" i="5"/>
  <c r="E12" i="5"/>
  <c r="E18" i="5"/>
  <c r="F6" i="5"/>
  <c r="F12" i="5"/>
  <c r="F18" i="5"/>
  <c r="E7" i="5"/>
  <c r="E13" i="5"/>
  <c r="E19" i="5"/>
  <c r="F7" i="5"/>
  <c r="F13" i="5"/>
  <c r="F19" i="5"/>
  <c r="E2" i="5"/>
  <c r="E8" i="5"/>
  <c r="E14" i="5"/>
  <c r="E20" i="5"/>
  <c r="F2" i="5"/>
  <c r="F8" i="5"/>
  <c r="F14" i="5"/>
  <c r="F20" i="5"/>
  <c r="E3" i="5"/>
  <c r="E9" i="5"/>
  <c r="E15" i="5"/>
  <c r="E21" i="5"/>
  <c r="F3" i="5"/>
  <c r="F9" i="5"/>
  <c r="F15" i="5"/>
  <c r="F21" i="5"/>
  <c r="E4" i="5"/>
  <c r="E10" i="5"/>
  <c r="E16" i="5"/>
  <c r="F4" i="5"/>
  <c r="F10" i="5"/>
  <c r="F16" i="5"/>
</calcChain>
</file>

<file path=xl/sharedStrings.xml><?xml version="1.0" encoding="utf-8"?>
<sst xmlns="http://schemas.openxmlformats.org/spreadsheetml/2006/main" count="788" uniqueCount="286">
  <si>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</si>
  <si>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</si>
  <si>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</si>
  <si>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</si>
  <si>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</si>
  <si>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</si>
  <si>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</si>
  <si>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</si>
  <si>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</si>
  <si>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</si>
  <si>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</si>
  <si>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</si>
  <si>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</si>
  <si>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</si>
  <si>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</si>
  <si>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</si>
  <si>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</si>
  <si>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</si>
  <si>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</si>
  <si>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</si>
  <si>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</si>
  <si>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</si>
  <si>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</si>
  <si>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</si>
  <si>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</si>
  <si>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</si>
  <si>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</si>
  <si>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</si>
  <si>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</si>
  <si>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</si>
  <si>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</si>
  <si>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</si>
  <si>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</si>
  <si>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</si>
  <si>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</si>
  <si>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</si>
  <si>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</si>
  <si>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</si>
  <si>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</si>
  <si>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</si>
  <si>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</si>
  <si>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</si>
  <si>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</si>
  <si>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</si>
  <si>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</si>
  <si>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</si>
  <si>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</si>
  <si>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</si>
  <si>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</si>
  <si>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</si>
  <si>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</si>
  <si>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</si>
  <si>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</si>
  <si>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</si>
  <si>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</si>
  <si>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</si>
  <si>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</si>
  <si>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</si>
  <si>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</si>
  <si>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</si>
  <si>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</si>
  <si>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</si>
  <si>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</si>
  <si>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</si>
  <si>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</si>
  <si>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</si>
  <si>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</si>
  <si>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</si>
  <si>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</si>
  <si>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</si>
  <si>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</si>
  <si>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</si>
  <si>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</si>
  <si>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</si>
  <si>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</si>
  <si>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</si>
  <si>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</si>
  <si>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</si>
  <si>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</si>
  <si>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</si>
  <si>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</si>
  <si>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</si>
  <si>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</si>
  <si>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</si>
  <si>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</si>
  <si>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</si>
  <si>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</si>
  <si>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</si>
  <si>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</si>
  <si>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</si>
  <si>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</si>
  <si>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</si>
  <si>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</si>
  <si>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</si>
  <si>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</si>
  <si>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</si>
  <si>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</si>
  <si>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</si>
  <si>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</si>
  <si>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</si>
  <si>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</si>
  <si>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</si>
  <si>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</si>
  <si>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</si>
  <si>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</si>
  <si>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</si>
  <si>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</si>
  <si>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</si>
  <si>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</si>
  <si>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</si>
  <si>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</si>
  <si>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</si>
  <si>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</si>
  <si>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</si>
  <si>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</si>
  <si>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</si>
  <si>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</si>
  <si>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</si>
  <si>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</si>
  <si>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</si>
  <si>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</si>
  <si>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</si>
  <si>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</si>
  <si>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</si>
  <si>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Chain Name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</si>
  <si>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</si>
  <si>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</si>
  <si>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</si>
  <si>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</si>
  <si>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</si>
  <si>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</si>
  <si>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</si>
  <si>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</si>
  <si>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</si>
  <si>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</si>
  <si>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</si>
  <si>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</si>
  <si>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</si>
  <si>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</si>
  <si>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</si>
  <si>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</si>
  <si>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</si>
  <si>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</si>
  <si>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</si>
  <si>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</si>
  <si>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</si>
  <si>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</si>
  <si>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</si>
  <si>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</si>
  <si>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</si>
  <si>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</si>
  <si>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</si>
  <si>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</si>
  <si>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</si>
  <si>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</si>
  <si>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</si>
  <si>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</si>
  <si>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</si>
  <si>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</si>
  <si>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</si>
  <si>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</si>
  <si>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</si>
  <si>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</si>
  <si>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</si>
  <si>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</si>
  <si>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</si>
  <si>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</si>
  <si>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</si>
  <si>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</si>
  <si>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</si>
  <si>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</si>
  <si>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</si>
  <si>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</si>
  <si>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</si>
  <si>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</si>
  <si>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</si>
  <si>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</si>
  <si>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</si>
  <si>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</si>
  <si>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</si>
  <si>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</si>
  <si>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</si>
  <si>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</si>
  <si>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</si>
  <si>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</si>
  <si>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</si>
  <si>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</si>
  <si>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</si>
  <si>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</si>
  <si>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</si>
  <si>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</si>
  <si>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</si>
  <si>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</si>
  <si>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</si>
  <si>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</si>
  <si>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</si>
  <si>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</si>
  <si>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</si>
  <si>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</si>
  <si>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</si>
  <si>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</si>
  <si>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</si>
  <si>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</si>
  <si>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</si>
  <si>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</si>
  <si>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</si>
  <si>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</si>
  <si>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</si>
  <si>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</si>
  <si>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</si>
  <si>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</si>
  <si>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</si>
  <si>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</si>
  <si>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</si>
  <si>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</si>
  <si>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</si>
  <si>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</si>
  <si>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</si>
  <si>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</si>
  <si>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</si>
  <si>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</si>
  <si>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</si>
  <si>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</si>
  <si>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</si>
  <si>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</si>
  <si>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</si>
  <si>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</si>
  <si>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</si>
  <si>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</si>
  <si>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</si>
  <si>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</si>
  <si>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</si>
  <si>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</si>
  <si>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</si>
  <si>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</si>
  <si>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</si>
  <si>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</si>
  <si>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</si>
  <si>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</si>
  <si>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</si>
  <si>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</si>
  <si>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</si>
  <si>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</si>
  <si>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</si>
  <si>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</si>
  <si>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</si>
  <si>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</si>
  <si>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</si>
  <si>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</si>
  <si>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</si>
  <si>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</si>
  <si>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</si>
  <si>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</si>
  <si>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</si>
  <si>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</si>
  <si>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</si>
  <si>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</si>
  <si>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</si>
  <si>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</si>
  <si>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</si>
  <si>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</si>
  <si>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</si>
  <si>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</si>
  <si>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</si>
  <si>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</si>
  <si>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</si>
  <si>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</si>
  <si>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</si>
  <si>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</si>
  <si>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</si>
  <si>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</si>
  <si>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</si>
  <si>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</si>
  <si>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</si>
  <si>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</si>
  <si>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</si>
  <si>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Total</t>
  </si>
  <si>
    <t>Average</t>
  </si>
  <si>
    <t>Min</t>
  </si>
  <si>
    <t>Max</t>
  </si>
  <si>
    <t>Above Average Sales</t>
  </si>
  <si>
    <t>Pizza Chains</t>
  </si>
  <si>
    <t>Rank</t>
  </si>
  <si>
    <t>Sales</t>
  </si>
  <si>
    <t>Units</t>
  </si>
  <si>
    <t>Above Average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</si>
</sst>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4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workbookViewId="0"/>
  </sheetViews>
  <sheetFormatPr defaultColWidth="11.19921875" defaultRowHeight="15.6" x14ac:dyDescent="0.3"/>
  <cols>
    <col min="2" max="2" width="38.5" bestFit="1" customWidth="1"/>
    <col min="3" max="3" width="24" bestFit="1" customWidth="1"/>
    <col min="4" max="4" width="16.5" bestFit="1" customWidth="1"/>
    <col min="5" max="5" width="12" bestFit="1" customWidth="1"/>
    <col min="6" max="6" width="18.19921875" bestFit="1" customWidth="1"/>
    <col min="7" max="7" width="14.5" bestFit="1" customWidth="1"/>
  </cols>
  <sheetData>
    <row r="1" spans="1:7" ht="21" x14ac:dyDescent="0.4">
      <c r="A1" s="1" t="s">
        <v>282</v>
      </c>
      <c r="B1" s="1" t="s">
        <v>124</v>
      </c>
      <c r="C1" s="1" t="s">
        <v>283</v>
      </c>
      <c r="D1" s="1" t="s">
        <v>284</v>
      </c>
      <c r="E1" s="1" t="s">
        <v>0</v>
      </c>
      <c r="F1" s="1" t="s">
        <v>1</v>
      </c>
      <c r="G1" s="1" t="s">
        <v>281</v>
      </c>
    </row>
    <row r="2" spans="1:7" x14ac:dyDescent="0.3">
      <c r="A2">
        <v>1</v>
      </c>
      <c r="B2" t="s">
        <v>2</v>
      </c>
      <c r="C2" s="2">
        <v>35837200</v>
      </c>
      <c r="D2" s="4">
        <v>14259</v>
      </c>
      <c r="E2" t="s">
        <v>3</v>
      </c>
      <c r="F2" t="s">
        <v>4</v>
      </c>
      <c r="G2" t="str">
        <f>IF(F2= "Pizza","Pizza","Other")</f>
        <v>Other</v>
      </c>
    </row>
    <row r="3" spans="1:7" x14ac:dyDescent="0.3">
      <c r="A3">
        <v>2</v>
      </c>
      <c r="B3" t="s">
        <v>5</v>
      </c>
      <c r="C3" s="2">
        <v>13936114</v>
      </c>
      <c r="D3" s="4">
        <v>13066</v>
      </c>
      <c r="E3" t="s">
        <v>3</v>
      </c>
      <c r="F3" t="s">
        <v>6</v>
      </c>
      <c r="G3" t="str">
        <f t="shared" ref="G3:G66" si="0">IF(F3= "Pizza","Pizza","Other")</f>
        <v>Other</v>
      </c>
    </row>
    <row r="4" spans="1:7" x14ac:dyDescent="0.3">
      <c r="A4">
        <v>3</v>
      </c>
      <c r="B4" t="s">
        <v>7</v>
      </c>
      <c r="C4" s="2">
        <v>11500000</v>
      </c>
      <c r="D4" s="4">
        <v>27103</v>
      </c>
      <c r="E4" t="s">
        <v>3</v>
      </c>
      <c r="F4" t="s">
        <v>8</v>
      </c>
      <c r="G4" t="str">
        <f t="shared" si="0"/>
        <v>Other</v>
      </c>
    </row>
    <row r="5" spans="1:7" x14ac:dyDescent="0.3">
      <c r="A5">
        <v>4</v>
      </c>
      <c r="B5" t="s">
        <v>9</v>
      </c>
      <c r="C5" s="2">
        <v>9100000</v>
      </c>
      <c r="D5" s="4">
        <v>6121</v>
      </c>
      <c r="E5" t="s">
        <v>3</v>
      </c>
      <c r="F5" t="s">
        <v>10</v>
      </c>
      <c r="G5" t="str">
        <f t="shared" si="0"/>
        <v>Other</v>
      </c>
    </row>
    <row r="6" spans="1:7" x14ac:dyDescent="0.3">
      <c r="A6">
        <v>5</v>
      </c>
      <c r="B6" t="s">
        <v>11</v>
      </c>
      <c r="C6" s="2">
        <v>9000000</v>
      </c>
      <c r="D6" s="4">
        <v>7086</v>
      </c>
      <c r="E6" t="s">
        <v>3</v>
      </c>
      <c r="F6" t="s">
        <v>4</v>
      </c>
      <c r="G6" t="str">
        <f t="shared" si="0"/>
        <v>Other</v>
      </c>
    </row>
    <row r="7" spans="1:7" x14ac:dyDescent="0.3">
      <c r="A7">
        <v>6</v>
      </c>
      <c r="B7" t="s">
        <v>12</v>
      </c>
      <c r="C7" s="2">
        <v>8777400</v>
      </c>
      <c r="D7" s="4">
        <v>5722</v>
      </c>
      <c r="E7" t="s">
        <v>3</v>
      </c>
      <c r="F7" t="s">
        <v>4</v>
      </c>
      <c r="G7" t="str">
        <f t="shared" si="0"/>
        <v>Other</v>
      </c>
    </row>
    <row r="8" spans="1:7" x14ac:dyDescent="0.3">
      <c r="A8">
        <v>7</v>
      </c>
      <c r="B8" t="s">
        <v>13</v>
      </c>
      <c r="C8" s="2">
        <v>7624140</v>
      </c>
      <c r="D8" s="4">
        <v>8431</v>
      </c>
      <c r="E8" t="s">
        <v>3</v>
      </c>
      <c r="F8" t="s">
        <v>6</v>
      </c>
      <c r="G8" t="str">
        <f t="shared" si="0"/>
        <v>Other</v>
      </c>
    </row>
    <row r="9" spans="1:7" x14ac:dyDescent="0.3">
      <c r="A9">
        <v>8</v>
      </c>
      <c r="B9" t="s">
        <v>14</v>
      </c>
      <c r="C9" s="2">
        <v>6291000</v>
      </c>
      <c r="D9" s="4">
        <v>1950</v>
      </c>
      <c r="E9" t="s">
        <v>3</v>
      </c>
      <c r="F9" t="s">
        <v>15</v>
      </c>
      <c r="G9" t="str">
        <f t="shared" si="0"/>
        <v>Other</v>
      </c>
    </row>
    <row r="10" spans="1:7" x14ac:dyDescent="0.3">
      <c r="A10">
        <v>9</v>
      </c>
      <c r="B10" t="s">
        <v>16</v>
      </c>
      <c r="C10" s="2">
        <v>5510000</v>
      </c>
      <c r="D10" s="4">
        <v>7799</v>
      </c>
      <c r="E10" t="s">
        <v>3</v>
      </c>
      <c r="F10" t="s">
        <v>17</v>
      </c>
      <c r="G10" t="str">
        <f t="shared" si="0"/>
        <v>Pizza</v>
      </c>
    </row>
    <row r="11" spans="1:7" x14ac:dyDescent="0.3">
      <c r="A11">
        <v>10</v>
      </c>
      <c r="B11" t="s">
        <v>18</v>
      </c>
      <c r="C11" s="2">
        <v>4795900</v>
      </c>
      <c r="D11" s="4">
        <v>1955</v>
      </c>
      <c r="E11" t="s">
        <v>19</v>
      </c>
      <c r="F11" t="s">
        <v>20</v>
      </c>
      <c r="G11" t="str">
        <f t="shared" si="0"/>
        <v>Other</v>
      </c>
    </row>
    <row r="12" spans="1:7" x14ac:dyDescent="0.3">
      <c r="A12">
        <v>11</v>
      </c>
      <c r="B12" t="s">
        <v>21</v>
      </c>
      <c r="C12" s="2">
        <v>4739442</v>
      </c>
      <c r="D12" s="4">
        <v>1878</v>
      </c>
      <c r="E12" t="s">
        <v>22</v>
      </c>
      <c r="F12" t="s">
        <v>23</v>
      </c>
      <c r="G12" t="str">
        <f t="shared" si="0"/>
        <v>Other</v>
      </c>
    </row>
    <row r="13" spans="1:7" x14ac:dyDescent="0.3">
      <c r="A13">
        <v>12</v>
      </c>
      <c r="B13" t="s">
        <v>24</v>
      </c>
      <c r="C13" s="2">
        <v>4708587</v>
      </c>
      <c r="D13" s="4">
        <v>5200</v>
      </c>
      <c r="E13" t="s">
        <v>3</v>
      </c>
      <c r="F13" t="s">
        <v>17</v>
      </c>
      <c r="G13" t="str">
        <f t="shared" si="0"/>
        <v>Pizza</v>
      </c>
    </row>
    <row r="14" spans="1:7" x14ac:dyDescent="0.3">
      <c r="A14">
        <v>13</v>
      </c>
      <c r="B14" t="s">
        <v>25</v>
      </c>
      <c r="C14" s="2">
        <v>4419590</v>
      </c>
      <c r="D14" s="4">
        <v>1987</v>
      </c>
      <c r="E14" t="s">
        <v>19</v>
      </c>
      <c r="F14" t="s">
        <v>10</v>
      </c>
      <c r="G14" t="str">
        <f t="shared" si="0"/>
        <v>Other</v>
      </c>
    </row>
    <row r="15" spans="1:7" x14ac:dyDescent="0.3">
      <c r="A15">
        <v>14</v>
      </c>
      <c r="B15" t="s">
        <v>26</v>
      </c>
      <c r="C15" s="2">
        <v>4413661</v>
      </c>
      <c r="D15" s="4">
        <v>3529</v>
      </c>
      <c r="E15" t="s">
        <v>3</v>
      </c>
      <c r="F15" t="s">
        <v>4</v>
      </c>
      <c r="G15" t="str">
        <f t="shared" si="0"/>
        <v>Other</v>
      </c>
    </row>
    <row r="16" spans="1:7" x14ac:dyDescent="0.3">
      <c r="A16">
        <v>15</v>
      </c>
      <c r="B16" t="s">
        <v>27</v>
      </c>
      <c r="C16" s="2">
        <v>4001490</v>
      </c>
      <c r="D16" s="4">
        <v>4270</v>
      </c>
      <c r="E16" t="s">
        <v>3</v>
      </c>
      <c r="F16" t="s">
        <v>15</v>
      </c>
      <c r="G16" t="str">
        <f t="shared" si="0"/>
        <v>Other</v>
      </c>
    </row>
    <row r="17" spans="1:7" x14ac:dyDescent="0.3">
      <c r="A17">
        <v>16</v>
      </c>
      <c r="B17" t="s">
        <v>28</v>
      </c>
      <c r="C17" s="2">
        <v>3743000</v>
      </c>
      <c r="D17" s="4">
        <v>841</v>
      </c>
      <c r="E17" t="s">
        <v>22</v>
      </c>
      <c r="F17" t="s">
        <v>29</v>
      </c>
      <c r="G17" t="str">
        <f t="shared" si="0"/>
        <v>Other</v>
      </c>
    </row>
    <row r="18" spans="1:7" x14ac:dyDescent="0.3">
      <c r="A18">
        <v>17</v>
      </c>
      <c r="B18" t="s">
        <v>30</v>
      </c>
      <c r="C18" s="2">
        <v>3567155</v>
      </c>
      <c r="D18" s="4">
        <v>1145</v>
      </c>
      <c r="E18" t="s">
        <v>22</v>
      </c>
      <c r="F18" t="s">
        <v>31</v>
      </c>
      <c r="G18" t="str">
        <f t="shared" si="0"/>
        <v>Other</v>
      </c>
    </row>
    <row r="19" spans="1:7" x14ac:dyDescent="0.3">
      <c r="A19">
        <v>18</v>
      </c>
      <c r="B19" t="s">
        <v>32</v>
      </c>
      <c r="C19" s="2">
        <v>3531186</v>
      </c>
      <c r="D19" s="4">
        <v>4506</v>
      </c>
      <c r="E19" t="s">
        <v>3</v>
      </c>
      <c r="F19" t="s">
        <v>33</v>
      </c>
      <c r="G19" t="str">
        <f t="shared" si="0"/>
        <v>Other</v>
      </c>
    </row>
    <row r="20" spans="1:7" x14ac:dyDescent="0.3">
      <c r="A20">
        <v>19</v>
      </c>
      <c r="B20" t="s">
        <v>34</v>
      </c>
      <c r="C20" s="2">
        <v>3500000</v>
      </c>
      <c r="D20" s="4">
        <v>4250</v>
      </c>
      <c r="E20" t="s">
        <v>3</v>
      </c>
      <c r="F20" t="s">
        <v>17</v>
      </c>
      <c r="G20" t="str">
        <f t="shared" si="0"/>
        <v>Pizza</v>
      </c>
    </row>
    <row r="21" spans="1:7" x14ac:dyDescent="0.3">
      <c r="A21">
        <v>20</v>
      </c>
      <c r="B21" t="s">
        <v>35</v>
      </c>
      <c r="C21" s="2">
        <v>3450855</v>
      </c>
      <c r="D21" s="4">
        <v>3214</v>
      </c>
      <c r="E21" t="s">
        <v>3</v>
      </c>
      <c r="F21" t="s">
        <v>8</v>
      </c>
      <c r="G21" t="str">
        <f t="shared" si="0"/>
        <v>Other</v>
      </c>
    </row>
    <row r="22" spans="1:7" x14ac:dyDescent="0.3">
      <c r="A22">
        <v>21</v>
      </c>
      <c r="B22" t="s">
        <v>36</v>
      </c>
      <c r="C22" s="2">
        <v>3405547</v>
      </c>
      <c r="D22" s="4">
        <v>1261</v>
      </c>
      <c r="E22" t="s">
        <v>22</v>
      </c>
      <c r="F22" t="s">
        <v>23</v>
      </c>
      <c r="G22" t="str">
        <f t="shared" si="0"/>
        <v>Other</v>
      </c>
    </row>
    <row r="23" spans="1:7" x14ac:dyDescent="0.3">
      <c r="A23">
        <v>22</v>
      </c>
      <c r="B23" t="s">
        <v>37</v>
      </c>
      <c r="C23" s="2">
        <v>3338150</v>
      </c>
      <c r="D23" s="4">
        <v>2252</v>
      </c>
      <c r="E23" t="s">
        <v>3</v>
      </c>
      <c r="F23" t="s">
        <v>4</v>
      </c>
      <c r="G23" t="str">
        <f t="shared" si="0"/>
        <v>Other</v>
      </c>
    </row>
    <row r="24" spans="1:7" x14ac:dyDescent="0.3">
      <c r="A24">
        <v>23</v>
      </c>
      <c r="B24" t="s">
        <v>38</v>
      </c>
      <c r="C24" s="2">
        <v>3255000</v>
      </c>
      <c r="D24" s="4">
        <v>1604</v>
      </c>
      <c r="E24" t="s">
        <v>39</v>
      </c>
      <c r="F24" t="s">
        <v>40</v>
      </c>
      <c r="G24" t="str">
        <f t="shared" si="0"/>
        <v>Other</v>
      </c>
    </row>
    <row r="25" spans="1:7" x14ac:dyDescent="0.3">
      <c r="A25">
        <v>24</v>
      </c>
      <c r="B25" t="s">
        <v>41</v>
      </c>
      <c r="C25" s="2">
        <v>2816017</v>
      </c>
      <c r="D25" s="4">
        <v>3290</v>
      </c>
      <c r="E25" t="s">
        <v>3</v>
      </c>
      <c r="F25" t="s">
        <v>17</v>
      </c>
      <c r="G25" t="str">
        <f t="shared" si="0"/>
        <v>Pizza</v>
      </c>
    </row>
    <row r="26" spans="1:7" x14ac:dyDescent="0.3">
      <c r="A26">
        <v>25</v>
      </c>
      <c r="B26" t="s">
        <v>138</v>
      </c>
      <c r="C26" s="2">
        <v>2720250</v>
      </c>
      <c r="D26" s="4">
        <v>1970</v>
      </c>
      <c r="E26" t="s">
        <v>3</v>
      </c>
      <c r="F26" t="s">
        <v>15</v>
      </c>
      <c r="G26" t="str">
        <f t="shared" si="0"/>
        <v>Other</v>
      </c>
    </row>
    <row r="27" spans="1:7" x14ac:dyDescent="0.3">
      <c r="A27">
        <v>26</v>
      </c>
      <c r="B27" t="s">
        <v>42</v>
      </c>
      <c r="C27" s="2">
        <v>2566000</v>
      </c>
      <c r="D27" s="4">
        <v>755</v>
      </c>
      <c r="E27" t="s">
        <v>22</v>
      </c>
      <c r="F27" t="s">
        <v>43</v>
      </c>
      <c r="G27" t="str">
        <f t="shared" si="0"/>
        <v>Other</v>
      </c>
    </row>
    <row r="28" spans="1:7" x14ac:dyDescent="0.3">
      <c r="A28">
        <v>27</v>
      </c>
      <c r="B28" t="s">
        <v>44</v>
      </c>
      <c r="C28" s="2">
        <v>2550184</v>
      </c>
      <c r="D28" s="4">
        <v>1790</v>
      </c>
      <c r="E28" t="s">
        <v>19</v>
      </c>
      <c r="F28" t="s">
        <v>45</v>
      </c>
      <c r="G28" t="str">
        <f t="shared" si="0"/>
        <v>Other</v>
      </c>
    </row>
    <row r="29" spans="1:7" x14ac:dyDescent="0.3">
      <c r="A29">
        <v>28</v>
      </c>
      <c r="B29" t="s">
        <v>46</v>
      </c>
      <c r="C29" s="2">
        <v>2548000</v>
      </c>
      <c r="D29" s="4">
        <v>1599</v>
      </c>
      <c r="E29" t="s">
        <v>39</v>
      </c>
      <c r="F29" t="s">
        <v>40</v>
      </c>
      <c r="G29" t="str">
        <f t="shared" si="0"/>
        <v>Other</v>
      </c>
    </row>
    <row r="30" spans="1:7" x14ac:dyDescent="0.3">
      <c r="A30">
        <v>29</v>
      </c>
      <c r="B30" t="s">
        <v>47</v>
      </c>
      <c r="C30" s="2">
        <v>2410900</v>
      </c>
      <c r="D30" s="4">
        <v>662</v>
      </c>
      <c r="E30" t="s">
        <v>22</v>
      </c>
      <c r="F30" t="s">
        <v>48</v>
      </c>
      <c r="G30" t="str">
        <f t="shared" si="0"/>
        <v>Other</v>
      </c>
    </row>
    <row r="31" spans="1:7" x14ac:dyDescent="0.3">
      <c r="A31">
        <v>30</v>
      </c>
      <c r="B31" t="s">
        <v>49</v>
      </c>
      <c r="C31" s="2">
        <v>2288542</v>
      </c>
      <c r="D31" s="4">
        <v>635</v>
      </c>
      <c r="E31" t="s">
        <v>39</v>
      </c>
      <c r="F31" t="s">
        <v>40</v>
      </c>
      <c r="G31" t="str">
        <f t="shared" si="0"/>
        <v>Other</v>
      </c>
    </row>
    <row r="32" spans="1:7" x14ac:dyDescent="0.3">
      <c r="A32">
        <v>31</v>
      </c>
      <c r="B32" t="s">
        <v>50</v>
      </c>
      <c r="C32" s="2">
        <v>2164807</v>
      </c>
      <c r="D32" s="4">
        <v>1805</v>
      </c>
      <c r="E32" t="s">
        <v>3</v>
      </c>
      <c r="F32" t="s">
        <v>4</v>
      </c>
      <c r="G32" t="str">
        <f t="shared" si="0"/>
        <v>Other</v>
      </c>
    </row>
    <row r="33" spans="1:7" x14ac:dyDescent="0.3">
      <c r="A33">
        <v>32</v>
      </c>
      <c r="B33" t="s">
        <v>51</v>
      </c>
      <c r="C33" s="2">
        <v>2145385</v>
      </c>
      <c r="D33" s="4">
        <v>473</v>
      </c>
      <c r="E33" t="s">
        <v>22</v>
      </c>
      <c r="F33" t="s">
        <v>43</v>
      </c>
      <c r="G33" t="str">
        <f t="shared" si="0"/>
        <v>Other</v>
      </c>
    </row>
    <row r="34" spans="1:7" x14ac:dyDescent="0.3">
      <c r="A34">
        <v>33</v>
      </c>
      <c r="B34" t="s">
        <v>52</v>
      </c>
      <c r="C34" s="2">
        <v>2018700</v>
      </c>
      <c r="D34" s="4">
        <v>2450</v>
      </c>
      <c r="E34" t="s">
        <v>19</v>
      </c>
      <c r="F34" t="s">
        <v>8</v>
      </c>
      <c r="G34" t="str">
        <f t="shared" si="0"/>
        <v>Other</v>
      </c>
    </row>
    <row r="35" spans="1:7" x14ac:dyDescent="0.3">
      <c r="A35">
        <v>34</v>
      </c>
      <c r="B35" t="s">
        <v>53</v>
      </c>
      <c r="C35" s="2">
        <v>2001306</v>
      </c>
      <c r="D35" s="4">
        <v>791</v>
      </c>
      <c r="E35" t="s">
        <v>3</v>
      </c>
      <c r="F35" t="s">
        <v>4</v>
      </c>
      <c r="G35" t="str">
        <f t="shared" si="0"/>
        <v>Other</v>
      </c>
    </row>
    <row r="36" spans="1:7" x14ac:dyDescent="0.3">
      <c r="A36">
        <v>35</v>
      </c>
      <c r="B36" t="s">
        <v>54</v>
      </c>
      <c r="C36" s="2">
        <v>1913758</v>
      </c>
      <c r="D36" s="4">
        <v>187</v>
      </c>
      <c r="E36" t="s">
        <v>22</v>
      </c>
      <c r="F36" t="s">
        <v>23</v>
      </c>
      <c r="G36" t="str">
        <f t="shared" si="0"/>
        <v>Other</v>
      </c>
    </row>
    <row r="37" spans="1:7" x14ac:dyDescent="0.3">
      <c r="A37">
        <v>36</v>
      </c>
      <c r="B37" t="s">
        <v>55</v>
      </c>
      <c r="C37" s="2">
        <v>1740189</v>
      </c>
      <c r="D37" s="4">
        <v>484</v>
      </c>
      <c r="E37" t="s">
        <v>3</v>
      </c>
      <c r="F37" t="s">
        <v>56</v>
      </c>
      <c r="G37" t="str">
        <f t="shared" si="0"/>
        <v>Other</v>
      </c>
    </row>
    <row r="38" spans="1:7" x14ac:dyDescent="0.3">
      <c r="A38">
        <v>37</v>
      </c>
      <c r="B38" t="s">
        <v>57</v>
      </c>
      <c r="C38" s="2">
        <v>1570000</v>
      </c>
      <c r="D38" s="4">
        <v>487</v>
      </c>
      <c r="E38" t="s">
        <v>22</v>
      </c>
      <c r="F38" t="s">
        <v>43</v>
      </c>
      <c r="G38" t="str">
        <f t="shared" si="0"/>
        <v>Other</v>
      </c>
    </row>
    <row r="39" spans="1:7" x14ac:dyDescent="0.3">
      <c r="A39">
        <v>38</v>
      </c>
      <c r="B39" t="s">
        <v>58</v>
      </c>
      <c r="C39" s="2">
        <v>1567000</v>
      </c>
      <c r="D39" s="4">
        <v>485</v>
      </c>
      <c r="E39" t="s">
        <v>22</v>
      </c>
      <c r="F39" t="s">
        <v>23</v>
      </c>
      <c r="G39" t="str">
        <f t="shared" si="0"/>
        <v>Other</v>
      </c>
    </row>
    <row r="40" spans="1:7" x14ac:dyDescent="0.3">
      <c r="A40">
        <v>39</v>
      </c>
      <c r="B40" t="s">
        <v>59</v>
      </c>
      <c r="C40" s="2">
        <v>1501080</v>
      </c>
      <c r="D40" s="4">
        <v>510</v>
      </c>
      <c r="E40" t="s">
        <v>22</v>
      </c>
      <c r="F40" t="s">
        <v>23</v>
      </c>
      <c r="G40" t="str">
        <f t="shared" si="0"/>
        <v>Other</v>
      </c>
    </row>
    <row r="41" spans="1:7" x14ac:dyDescent="0.3">
      <c r="A41">
        <v>40</v>
      </c>
      <c r="B41" t="s">
        <v>60</v>
      </c>
      <c r="C41" s="2">
        <v>1496489</v>
      </c>
      <c r="D41" s="4">
        <v>1153</v>
      </c>
      <c r="E41" t="s">
        <v>3</v>
      </c>
      <c r="F41" t="s">
        <v>4</v>
      </c>
      <c r="G41" t="str">
        <f t="shared" si="0"/>
        <v>Other</v>
      </c>
    </row>
    <row r="42" spans="1:7" x14ac:dyDescent="0.3">
      <c r="A42">
        <v>41</v>
      </c>
      <c r="B42" t="s">
        <v>61</v>
      </c>
      <c r="C42" s="2">
        <v>1478400</v>
      </c>
      <c r="D42" s="4">
        <v>748</v>
      </c>
      <c r="E42" t="s">
        <v>19</v>
      </c>
      <c r="F42" t="s">
        <v>15</v>
      </c>
      <c r="G42" t="str">
        <f t="shared" si="0"/>
        <v>Other</v>
      </c>
    </row>
    <row r="43" spans="1:7" x14ac:dyDescent="0.3">
      <c r="A43">
        <v>42</v>
      </c>
      <c r="B43" t="s">
        <v>62</v>
      </c>
      <c r="C43" s="2">
        <v>1319491</v>
      </c>
      <c r="D43" s="4">
        <v>1215</v>
      </c>
      <c r="E43" t="s">
        <v>19</v>
      </c>
      <c r="F43" t="s">
        <v>4</v>
      </c>
      <c r="G43" t="str">
        <f t="shared" si="0"/>
        <v>Other</v>
      </c>
    </row>
    <row r="44" spans="1:7" x14ac:dyDescent="0.3">
      <c r="A44">
        <v>43</v>
      </c>
      <c r="B44" t="s">
        <v>63</v>
      </c>
      <c r="C44" s="2">
        <v>1196038</v>
      </c>
      <c r="D44" s="4">
        <v>559</v>
      </c>
      <c r="E44" t="s">
        <v>3</v>
      </c>
      <c r="F44" t="s">
        <v>4</v>
      </c>
      <c r="G44" t="str">
        <f t="shared" si="0"/>
        <v>Other</v>
      </c>
    </row>
    <row r="45" spans="1:7" x14ac:dyDescent="0.3">
      <c r="A45">
        <v>44</v>
      </c>
      <c r="B45" t="s">
        <v>64</v>
      </c>
      <c r="C45" s="2">
        <v>1179029</v>
      </c>
      <c r="D45" s="4">
        <v>684</v>
      </c>
      <c r="E45" t="s">
        <v>22</v>
      </c>
      <c r="F45" t="s">
        <v>23</v>
      </c>
      <c r="G45" t="str">
        <f t="shared" si="0"/>
        <v>Other</v>
      </c>
    </row>
    <row r="46" spans="1:7" x14ac:dyDescent="0.3">
      <c r="A46">
        <v>45</v>
      </c>
      <c r="B46" t="s">
        <v>65</v>
      </c>
      <c r="C46" s="2">
        <v>1150651</v>
      </c>
      <c r="D46" s="4">
        <v>659</v>
      </c>
      <c r="E46" t="s">
        <v>3</v>
      </c>
      <c r="F46" t="s">
        <v>15</v>
      </c>
      <c r="G46" t="str">
        <f t="shared" si="0"/>
        <v>Other</v>
      </c>
    </row>
    <row r="47" spans="1:7" x14ac:dyDescent="0.3">
      <c r="A47">
        <v>46</v>
      </c>
      <c r="B47" t="s">
        <v>66</v>
      </c>
      <c r="C47" s="2">
        <v>1035637</v>
      </c>
      <c r="D47" s="4">
        <v>557</v>
      </c>
      <c r="E47" t="s">
        <v>3</v>
      </c>
      <c r="F47" t="s">
        <v>4</v>
      </c>
      <c r="G47" t="str">
        <f t="shared" si="0"/>
        <v>Other</v>
      </c>
    </row>
    <row r="48" spans="1:7" x14ac:dyDescent="0.3">
      <c r="A48">
        <v>47</v>
      </c>
      <c r="B48" t="s">
        <v>67</v>
      </c>
      <c r="C48" s="2">
        <v>1030700</v>
      </c>
      <c r="D48" s="4">
        <v>1805</v>
      </c>
      <c r="E48" t="s">
        <v>39</v>
      </c>
      <c r="F48" t="s">
        <v>40</v>
      </c>
      <c r="G48" t="str">
        <f t="shared" si="0"/>
        <v>Other</v>
      </c>
    </row>
    <row r="49" spans="1:7" x14ac:dyDescent="0.3">
      <c r="A49">
        <v>48</v>
      </c>
      <c r="B49" t="s">
        <v>68</v>
      </c>
      <c r="C49" s="2">
        <v>946205</v>
      </c>
      <c r="D49" s="4">
        <v>548</v>
      </c>
      <c r="E49" t="s">
        <v>39</v>
      </c>
      <c r="F49" t="s">
        <v>40</v>
      </c>
      <c r="G49" t="str">
        <f t="shared" si="0"/>
        <v>Other</v>
      </c>
    </row>
    <row r="50" spans="1:7" x14ac:dyDescent="0.3">
      <c r="A50">
        <v>49</v>
      </c>
      <c r="B50" t="s">
        <v>69</v>
      </c>
      <c r="C50" s="2">
        <v>919597</v>
      </c>
      <c r="D50" s="4">
        <v>171</v>
      </c>
      <c r="E50" t="s">
        <v>22</v>
      </c>
      <c r="F50" t="s">
        <v>23</v>
      </c>
      <c r="G50" t="str">
        <f t="shared" si="0"/>
        <v>Other</v>
      </c>
    </row>
    <row r="51" spans="1:7" x14ac:dyDescent="0.3">
      <c r="A51">
        <v>50</v>
      </c>
      <c r="B51" t="s">
        <v>70</v>
      </c>
      <c r="C51" s="2">
        <v>892300</v>
      </c>
      <c r="D51" s="4">
        <v>214</v>
      </c>
      <c r="E51" t="s">
        <v>22</v>
      </c>
      <c r="F51" t="s">
        <v>71</v>
      </c>
      <c r="G51" t="str">
        <f t="shared" si="0"/>
        <v>Other</v>
      </c>
    </row>
    <row r="52" spans="1:7" x14ac:dyDescent="0.3">
      <c r="A52">
        <v>51</v>
      </c>
      <c r="B52" t="s">
        <v>72</v>
      </c>
      <c r="C52" s="2">
        <v>880429</v>
      </c>
      <c r="D52" s="4">
        <v>1496</v>
      </c>
      <c r="E52" t="s">
        <v>3</v>
      </c>
      <c r="F52" t="s">
        <v>17</v>
      </c>
      <c r="G52" t="str">
        <f t="shared" si="0"/>
        <v>Pizza</v>
      </c>
    </row>
    <row r="53" spans="1:7" x14ac:dyDescent="0.3">
      <c r="A53">
        <v>52</v>
      </c>
      <c r="B53" t="s">
        <v>73</v>
      </c>
      <c r="C53" s="2">
        <v>855800</v>
      </c>
      <c r="D53" s="4">
        <v>1145</v>
      </c>
      <c r="E53" t="s">
        <v>3</v>
      </c>
      <c r="F53" t="s">
        <v>15</v>
      </c>
      <c r="G53" t="str">
        <f t="shared" si="0"/>
        <v>Other</v>
      </c>
    </row>
    <row r="54" spans="1:7" x14ac:dyDescent="0.3">
      <c r="A54">
        <v>53</v>
      </c>
      <c r="B54" t="s">
        <v>74</v>
      </c>
      <c r="C54" s="2">
        <v>829300</v>
      </c>
      <c r="D54" s="4">
        <v>344</v>
      </c>
      <c r="E54" t="s">
        <v>22</v>
      </c>
      <c r="F54" t="s">
        <v>31</v>
      </c>
      <c r="G54" t="str">
        <f t="shared" si="0"/>
        <v>Other</v>
      </c>
    </row>
    <row r="55" spans="1:7" x14ac:dyDescent="0.3">
      <c r="A55">
        <v>54</v>
      </c>
      <c r="B55" t="s">
        <v>75</v>
      </c>
      <c r="C55" s="2">
        <v>768622</v>
      </c>
      <c r="D55" s="4">
        <v>786</v>
      </c>
      <c r="E55" t="s">
        <v>19</v>
      </c>
      <c r="F55" t="s">
        <v>15</v>
      </c>
      <c r="G55" t="str">
        <f t="shared" si="0"/>
        <v>Other</v>
      </c>
    </row>
    <row r="56" spans="1:7" x14ac:dyDescent="0.3">
      <c r="A56">
        <v>55</v>
      </c>
      <c r="B56" t="s">
        <v>76</v>
      </c>
      <c r="C56" s="2">
        <v>753340</v>
      </c>
      <c r="D56" s="4">
        <v>433</v>
      </c>
      <c r="E56" t="s">
        <v>3</v>
      </c>
      <c r="F56" t="s">
        <v>15</v>
      </c>
      <c r="G56" t="str">
        <f t="shared" si="0"/>
        <v>Other</v>
      </c>
    </row>
    <row r="57" spans="1:7" x14ac:dyDescent="0.3">
      <c r="A57">
        <v>56</v>
      </c>
      <c r="B57" t="s">
        <v>77</v>
      </c>
      <c r="C57" s="2">
        <v>744943</v>
      </c>
      <c r="D57" s="4">
        <v>670</v>
      </c>
      <c r="E57" t="s">
        <v>19</v>
      </c>
      <c r="F57" t="s">
        <v>10</v>
      </c>
      <c r="G57" t="str">
        <f t="shared" si="0"/>
        <v>Other</v>
      </c>
    </row>
    <row r="58" spans="1:7" x14ac:dyDescent="0.3">
      <c r="A58">
        <v>57</v>
      </c>
      <c r="B58" t="s">
        <v>78</v>
      </c>
      <c r="C58" s="2">
        <v>742500</v>
      </c>
      <c r="D58" s="4">
        <v>228</v>
      </c>
      <c r="E58" t="s">
        <v>22</v>
      </c>
      <c r="F58" t="s">
        <v>29</v>
      </c>
      <c r="G58" t="str">
        <f t="shared" si="0"/>
        <v>Other</v>
      </c>
    </row>
    <row r="59" spans="1:7" x14ac:dyDescent="0.3">
      <c r="A59">
        <v>58</v>
      </c>
      <c r="B59" t="s">
        <v>79</v>
      </c>
      <c r="C59" s="2">
        <v>729000</v>
      </c>
      <c r="D59" s="4">
        <v>247</v>
      </c>
      <c r="E59" t="s">
        <v>22</v>
      </c>
      <c r="F59" t="s">
        <v>29</v>
      </c>
      <c r="G59" t="str">
        <f t="shared" si="0"/>
        <v>Other</v>
      </c>
    </row>
    <row r="60" spans="1:7" x14ac:dyDescent="0.3">
      <c r="A60">
        <v>59</v>
      </c>
      <c r="B60" t="s">
        <v>80</v>
      </c>
      <c r="C60" s="2">
        <v>708143</v>
      </c>
      <c r="D60" s="4">
        <v>294</v>
      </c>
      <c r="E60" t="s">
        <v>3</v>
      </c>
      <c r="F60" t="s">
        <v>81</v>
      </c>
      <c r="G60" t="str">
        <f t="shared" si="0"/>
        <v>Other</v>
      </c>
    </row>
    <row r="61" spans="1:7" x14ac:dyDescent="0.3">
      <c r="A61">
        <v>60</v>
      </c>
      <c r="B61" t="s">
        <v>82</v>
      </c>
      <c r="C61" s="2">
        <v>707000</v>
      </c>
      <c r="D61" s="4">
        <v>256</v>
      </c>
      <c r="E61" t="s">
        <v>22</v>
      </c>
      <c r="F61" t="s">
        <v>43</v>
      </c>
      <c r="G61" t="str">
        <f t="shared" si="0"/>
        <v>Other</v>
      </c>
    </row>
    <row r="62" spans="1:7" x14ac:dyDescent="0.3">
      <c r="A62">
        <v>61</v>
      </c>
      <c r="B62" t="s">
        <v>83</v>
      </c>
      <c r="C62" s="2">
        <v>706900</v>
      </c>
      <c r="D62" s="4">
        <v>168</v>
      </c>
      <c r="E62" t="s">
        <v>22</v>
      </c>
      <c r="F62" t="s">
        <v>23</v>
      </c>
      <c r="G62" t="str">
        <f t="shared" si="0"/>
        <v>Other</v>
      </c>
    </row>
    <row r="63" spans="1:7" x14ac:dyDescent="0.3">
      <c r="A63">
        <v>62</v>
      </c>
      <c r="B63" t="s">
        <v>84</v>
      </c>
      <c r="C63" s="2">
        <v>700166</v>
      </c>
      <c r="D63" s="4">
        <v>543</v>
      </c>
      <c r="E63" t="s">
        <v>3</v>
      </c>
      <c r="F63" t="s">
        <v>10</v>
      </c>
      <c r="G63" t="str">
        <f t="shared" si="0"/>
        <v>Other</v>
      </c>
    </row>
    <row r="64" spans="1:7" x14ac:dyDescent="0.3">
      <c r="A64">
        <v>63</v>
      </c>
      <c r="B64" t="s">
        <v>85</v>
      </c>
      <c r="C64" s="2">
        <v>675000</v>
      </c>
      <c r="D64" s="4">
        <v>1046</v>
      </c>
      <c r="E64" t="s">
        <v>19</v>
      </c>
      <c r="F64" t="s">
        <v>8</v>
      </c>
      <c r="G64" t="str">
        <f t="shared" si="0"/>
        <v>Other</v>
      </c>
    </row>
    <row r="65" spans="1:7" x14ac:dyDescent="0.3">
      <c r="A65">
        <v>64</v>
      </c>
      <c r="B65" t="s">
        <v>86</v>
      </c>
      <c r="C65" s="2">
        <v>668960</v>
      </c>
      <c r="D65" s="4">
        <v>650</v>
      </c>
      <c r="E65" t="s">
        <v>3</v>
      </c>
      <c r="F65" t="s">
        <v>6</v>
      </c>
      <c r="G65" t="str">
        <f t="shared" si="0"/>
        <v>Other</v>
      </c>
    </row>
    <row r="66" spans="1:7" x14ac:dyDescent="0.3">
      <c r="A66">
        <v>65</v>
      </c>
      <c r="B66" t="s">
        <v>87</v>
      </c>
      <c r="C66" s="2">
        <v>654300</v>
      </c>
      <c r="D66" s="4">
        <v>262</v>
      </c>
      <c r="E66" t="s">
        <v>19</v>
      </c>
      <c r="F66" t="s">
        <v>8</v>
      </c>
      <c r="G66" t="str">
        <f t="shared" si="0"/>
        <v>Other</v>
      </c>
    </row>
    <row r="67" spans="1:7" x14ac:dyDescent="0.3">
      <c r="A67">
        <v>66</v>
      </c>
      <c r="B67" t="s">
        <v>88</v>
      </c>
      <c r="C67" s="2">
        <v>648528</v>
      </c>
      <c r="D67" s="4">
        <v>943</v>
      </c>
      <c r="E67" t="s">
        <v>19</v>
      </c>
      <c r="F67" t="s">
        <v>8</v>
      </c>
      <c r="G67" t="str">
        <f t="shared" ref="G67:G130" si="1">IF(F67= "Pizza","Pizza","Other")</f>
        <v>Other</v>
      </c>
    </row>
    <row r="68" spans="1:7" x14ac:dyDescent="0.3">
      <c r="A68">
        <v>67</v>
      </c>
      <c r="B68" t="s">
        <v>89</v>
      </c>
      <c r="C68" s="2">
        <v>644152</v>
      </c>
      <c r="D68" s="4">
        <v>386</v>
      </c>
      <c r="E68" t="s">
        <v>39</v>
      </c>
      <c r="F68" t="s">
        <v>40</v>
      </c>
      <c r="G68" t="str">
        <f t="shared" si="1"/>
        <v>Other</v>
      </c>
    </row>
    <row r="69" spans="1:7" x14ac:dyDescent="0.3">
      <c r="A69">
        <v>68</v>
      </c>
      <c r="B69" t="s">
        <v>90</v>
      </c>
      <c r="C69" s="2">
        <v>638120</v>
      </c>
      <c r="D69" s="4">
        <v>637</v>
      </c>
      <c r="E69" t="s">
        <v>19</v>
      </c>
      <c r="F69" t="s">
        <v>10</v>
      </c>
      <c r="G69" t="str">
        <f t="shared" si="1"/>
        <v>Other</v>
      </c>
    </row>
    <row r="70" spans="1:7" x14ac:dyDescent="0.3">
      <c r="A70">
        <v>69</v>
      </c>
      <c r="B70" t="s">
        <v>91</v>
      </c>
      <c r="C70" s="2">
        <v>635000</v>
      </c>
      <c r="D70" s="4">
        <v>215</v>
      </c>
      <c r="E70" t="s">
        <v>22</v>
      </c>
      <c r="F70" t="s">
        <v>48</v>
      </c>
      <c r="G70" t="str">
        <f t="shared" si="1"/>
        <v>Other</v>
      </c>
    </row>
    <row r="71" spans="1:7" x14ac:dyDescent="0.3">
      <c r="A71">
        <v>70</v>
      </c>
      <c r="B71" t="s">
        <v>92</v>
      </c>
      <c r="C71" s="2">
        <v>614500</v>
      </c>
      <c r="D71" s="4">
        <v>313</v>
      </c>
      <c r="E71" t="s">
        <v>3</v>
      </c>
      <c r="F71" t="s">
        <v>4</v>
      </c>
      <c r="G71" t="str">
        <f t="shared" si="1"/>
        <v>Other</v>
      </c>
    </row>
    <row r="72" spans="1:7" x14ac:dyDescent="0.3">
      <c r="A72">
        <v>71</v>
      </c>
      <c r="B72" t="s">
        <v>93</v>
      </c>
      <c r="C72" s="2">
        <v>610000</v>
      </c>
      <c r="D72" s="4">
        <v>452</v>
      </c>
      <c r="E72" t="s">
        <v>19</v>
      </c>
      <c r="F72" t="s">
        <v>15</v>
      </c>
      <c r="G72" t="str">
        <f t="shared" si="1"/>
        <v>Other</v>
      </c>
    </row>
    <row r="73" spans="1:7" x14ac:dyDescent="0.3">
      <c r="A73">
        <v>72</v>
      </c>
      <c r="B73" t="s">
        <v>94</v>
      </c>
      <c r="C73" s="2">
        <v>592000</v>
      </c>
      <c r="D73" s="4">
        <v>127</v>
      </c>
      <c r="E73" t="s">
        <v>95</v>
      </c>
      <c r="F73" t="s">
        <v>43</v>
      </c>
      <c r="G73" t="str">
        <f t="shared" si="1"/>
        <v>Other</v>
      </c>
    </row>
    <row r="74" spans="1:7" x14ac:dyDescent="0.3">
      <c r="A74">
        <v>73</v>
      </c>
      <c r="B74" t="s">
        <v>96</v>
      </c>
      <c r="C74" s="2">
        <v>587518</v>
      </c>
      <c r="D74" s="4">
        <v>2503</v>
      </c>
      <c r="E74" t="s">
        <v>3</v>
      </c>
      <c r="F74" t="s">
        <v>33</v>
      </c>
      <c r="G74" t="str">
        <f t="shared" si="1"/>
        <v>Other</v>
      </c>
    </row>
    <row r="75" spans="1:7" x14ac:dyDescent="0.3">
      <c r="A75">
        <v>74</v>
      </c>
      <c r="B75" t="s">
        <v>97</v>
      </c>
      <c r="C75" s="2">
        <v>567269</v>
      </c>
      <c r="D75" s="4">
        <v>249</v>
      </c>
      <c r="E75" t="s">
        <v>19</v>
      </c>
      <c r="F75" t="s">
        <v>15</v>
      </c>
      <c r="G75" t="str">
        <f t="shared" si="1"/>
        <v>Other</v>
      </c>
    </row>
    <row r="76" spans="1:7" x14ac:dyDescent="0.3">
      <c r="A76">
        <v>75</v>
      </c>
      <c r="B76" t="s">
        <v>98</v>
      </c>
      <c r="C76" s="2">
        <v>559700</v>
      </c>
      <c r="D76" s="4">
        <v>1060</v>
      </c>
      <c r="E76" t="s">
        <v>3</v>
      </c>
      <c r="F76" t="s">
        <v>81</v>
      </c>
      <c r="G76" t="str">
        <f t="shared" si="1"/>
        <v>Other</v>
      </c>
    </row>
    <row r="77" spans="1:7" x14ac:dyDescent="0.3">
      <c r="A77">
        <v>76</v>
      </c>
      <c r="B77" t="s">
        <v>99</v>
      </c>
      <c r="C77" s="2">
        <v>547787</v>
      </c>
      <c r="D77" s="4">
        <v>390</v>
      </c>
      <c r="E77" t="s">
        <v>3</v>
      </c>
      <c r="F77" t="s">
        <v>4</v>
      </c>
      <c r="G77" t="str">
        <f t="shared" si="1"/>
        <v>Other</v>
      </c>
    </row>
    <row r="78" spans="1:7" x14ac:dyDescent="0.3">
      <c r="A78">
        <v>77</v>
      </c>
      <c r="B78" t="s">
        <v>100</v>
      </c>
      <c r="C78" s="2">
        <v>547701</v>
      </c>
      <c r="D78" s="4">
        <v>361</v>
      </c>
      <c r="E78" t="s">
        <v>19</v>
      </c>
      <c r="F78" t="s">
        <v>8</v>
      </c>
      <c r="G78" t="str">
        <f t="shared" si="1"/>
        <v>Other</v>
      </c>
    </row>
    <row r="79" spans="1:7" x14ac:dyDescent="0.3">
      <c r="A79">
        <v>78</v>
      </c>
      <c r="B79" t="s">
        <v>101</v>
      </c>
      <c r="C79" s="2">
        <v>539000</v>
      </c>
      <c r="D79" s="4">
        <v>818</v>
      </c>
      <c r="E79" t="s">
        <v>3</v>
      </c>
      <c r="F79" t="s">
        <v>81</v>
      </c>
      <c r="G79" t="str">
        <f t="shared" si="1"/>
        <v>Other</v>
      </c>
    </row>
    <row r="80" spans="1:7" x14ac:dyDescent="0.3">
      <c r="A80">
        <v>79</v>
      </c>
      <c r="B80" t="s">
        <v>102</v>
      </c>
      <c r="C80" s="2">
        <v>531668</v>
      </c>
      <c r="D80" s="4">
        <v>510</v>
      </c>
      <c r="E80" t="s">
        <v>3</v>
      </c>
      <c r="F80" t="s">
        <v>81</v>
      </c>
      <c r="G80" t="str">
        <f t="shared" si="1"/>
        <v>Other</v>
      </c>
    </row>
    <row r="81" spans="1:7" x14ac:dyDescent="0.3">
      <c r="A81">
        <v>80</v>
      </c>
      <c r="B81" t="s">
        <v>103</v>
      </c>
      <c r="C81" s="2">
        <v>525800</v>
      </c>
      <c r="D81" s="4">
        <v>212</v>
      </c>
      <c r="E81" t="s">
        <v>22</v>
      </c>
      <c r="F81" t="s">
        <v>23</v>
      </c>
      <c r="G81" t="str">
        <f t="shared" si="1"/>
        <v>Other</v>
      </c>
    </row>
    <row r="82" spans="1:7" x14ac:dyDescent="0.3">
      <c r="A82">
        <v>81</v>
      </c>
      <c r="B82" t="s">
        <v>104</v>
      </c>
      <c r="C82" s="2">
        <v>522441</v>
      </c>
      <c r="D82" s="4">
        <v>1248</v>
      </c>
      <c r="E82" t="s">
        <v>3</v>
      </c>
      <c r="F82" t="s">
        <v>81</v>
      </c>
      <c r="G82" t="str">
        <f t="shared" si="1"/>
        <v>Other</v>
      </c>
    </row>
    <row r="83" spans="1:7" x14ac:dyDescent="0.3">
      <c r="A83">
        <v>82</v>
      </c>
      <c r="B83" t="s">
        <v>105</v>
      </c>
      <c r="C83" s="2">
        <v>519600</v>
      </c>
      <c r="D83" s="4">
        <v>530</v>
      </c>
      <c r="E83" t="s">
        <v>19</v>
      </c>
      <c r="F83" t="s">
        <v>81</v>
      </c>
      <c r="G83" t="str">
        <f t="shared" si="1"/>
        <v>Other</v>
      </c>
    </row>
    <row r="84" spans="1:7" x14ac:dyDescent="0.3">
      <c r="A84">
        <v>83</v>
      </c>
      <c r="B84" t="s">
        <v>106</v>
      </c>
      <c r="C84" s="2">
        <v>517943</v>
      </c>
      <c r="D84" s="4">
        <v>491</v>
      </c>
      <c r="E84" t="s">
        <v>19</v>
      </c>
      <c r="F84" t="s">
        <v>45</v>
      </c>
      <c r="G84" t="str">
        <f t="shared" si="1"/>
        <v>Other</v>
      </c>
    </row>
    <row r="85" spans="1:7" x14ac:dyDescent="0.3">
      <c r="A85">
        <v>84</v>
      </c>
      <c r="B85" t="s">
        <v>107</v>
      </c>
      <c r="C85" s="2">
        <v>511900</v>
      </c>
      <c r="D85" s="4">
        <v>742</v>
      </c>
      <c r="E85" t="s">
        <v>19</v>
      </c>
      <c r="F85" t="s">
        <v>20</v>
      </c>
      <c r="G85" t="str">
        <f t="shared" si="1"/>
        <v>Other</v>
      </c>
    </row>
    <row r="86" spans="1:7" x14ac:dyDescent="0.3">
      <c r="A86">
        <v>85</v>
      </c>
      <c r="B86" t="s">
        <v>108</v>
      </c>
      <c r="C86" s="2">
        <v>508632</v>
      </c>
      <c r="D86" s="4">
        <v>531</v>
      </c>
      <c r="E86" t="s">
        <v>3</v>
      </c>
      <c r="F86" t="s">
        <v>4</v>
      </c>
      <c r="G86" t="str">
        <f t="shared" si="1"/>
        <v>Other</v>
      </c>
    </row>
    <row r="87" spans="1:7" x14ac:dyDescent="0.3">
      <c r="A87">
        <v>86</v>
      </c>
      <c r="B87" t="s">
        <v>109</v>
      </c>
      <c r="C87" s="2">
        <v>476600</v>
      </c>
      <c r="D87" s="4">
        <v>160</v>
      </c>
      <c r="E87" t="s">
        <v>3</v>
      </c>
      <c r="F87" t="s">
        <v>56</v>
      </c>
      <c r="G87" t="str">
        <f t="shared" si="1"/>
        <v>Other</v>
      </c>
    </row>
    <row r="88" spans="1:7" x14ac:dyDescent="0.3">
      <c r="A88">
        <v>87</v>
      </c>
      <c r="B88" t="s">
        <v>110</v>
      </c>
      <c r="C88" s="2">
        <v>473300</v>
      </c>
      <c r="D88" s="4">
        <v>61</v>
      </c>
      <c r="E88" t="s">
        <v>22</v>
      </c>
      <c r="F88" t="s">
        <v>23</v>
      </c>
      <c r="G88" t="str">
        <f t="shared" si="1"/>
        <v>Other</v>
      </c>
    </row>
    <row r="89" spans="1:7" x14ac:dyDescent="0.3">
      <c r="A89">
        <v>88</v>
      </c>
      <c r="B89" t="s">
        <v>111</v>
      </c>
      <c r="C89" s="2">
        <v>457330</v>
      </c>
      <c r="D89" s="4">
        <v>176</v>
      </c>
      <c r="E89" t="s">
        <v>22</v>
      </c>
      <c r="F89" t="s">
        <v>81</v>
      </c>
      <c r="G89" t="str">
        <f t="shared" si="1"/>
        <v>Other</v>
      </c>
    </row>
    <row r="90" spans="1:7" x14ac:dyDescent="0.3">
      <c r="A90">
        <v>89</v>
      </c>
      <c r="B90" t="s">
        <v>112</v>
      </c>
      <c r="C90" s="2">
        <v>430000</v>
      </c>
      <c r="D90" s="4">
        <v>445</v>
      </c>
      <c r="E90" t="s">
        <v>3</v>
      </c>
      <c r="F90" t="s">
        <v>17</v>
      </c>
      <c r="G90" t="str">
        <f t="shared" si="1"/>
        <v>Pizza</v>
      </c>
    </row>
    <row r="91" spans="1:7" x14ac:dyDescent="0.3">
      <c r="A91">
        <v>90</v>
      </c>
      <c r="B91" t="s">
        <v>113</v>
      </c>
      <c r="C91" s="2">
        <v>424107</v>
      </c>
      <c r="D91" s="4">
        <v>437</v>
      </c>
      <c r="E91" t="s">
        <v>3</v>
      </c>
      <c r="F91" t="s">
        <v>17</v>
      </c>
      <c r="G91" t="str">
        <f t="shared" si="1"/>
        <v>Pizza</v>
      </c>
    </row>
    <row r="92" spans="1:7" x14ac:dyDescent="0.3">
      <c r="A92">
        <v>91</v>
      </c>
      <c r="B92" t="s">
        <v>114</v>
      </c>
      <c r="C92" s="2">
        <v>421203</v>
      </c>
      <c r="D92" s="4">
        <v>354</v>
      </c>
      <c r="E92" t="s">
        <v>3</v>
      </c>
      <c r="F92" t="s">
        <v>4</v>
      </c>
      <c r="G92" t="str">
        <f t="shared" si="1"/>
        <v>Other</v>
      </c>
    </row>
    <row r="93" spans="1:7" x14ac:dyDescent="0.3">
      <c r="A93">
        <v>92</v>
      </c>
      <c r="B93" t="s">
        <v>115</v>
      </c>
      <c r="C93" s="2">
        <v>417632</v>
      </c>
      <c r="D93" s="4">
        <v>667</v>
      </c>
      <c r="E93" t="s">
        <v>3</v>
      </c>
      <c r="F93" t="s">
        <v>17</v>
      </c>
      <c r="G93" t="str">
        <f t="shared" si="1"/>
        <v>Pizza</v>
      </c>
    </row>
    <row r="94" spans="1:7" x14ac:dyDescent="0.3">
      <c r="A94">
        <v>93</v>
      </c>
      <c r="B94" t="s">
        <v>116</v>
      </c>
      <c r="C94" s="2">
        <v>414335</v>
      </c>
      <c r="D94" s="4">
        <v>130</v>
      </c>
      <c r="E94" t="s">
        <v>22</v>
      </c>
      <c r="F94" t="s">
        <v>48</v>
      </c>
      <c r="G94" t="str">
        <f t="shared" si="1"/>
        <v>Other</v>
      </c>
    </row>
    <row r="95" spans="1:7" x14ac:dyDescent="0.3">
      <c r="A95">
        <v>94</v>
      </c>
      <c r="B95" t="s">
        <v>117</v>
      </c>
      <c r="C95" s="2">
        <v>401100</v>
      </c>
      <c r="D95" s="4">
        <v>51</v>
      </c>
      <c r="E95" t="s">
        <v>22</v>
      </c>
      <c r="F95" t="s">
        <v>29</v>
      </c>
      <c r="G95" t="str">
        <f t="shared" si="1"/>
        <v>Other</v>
      </c>
    </row>
    <row r="96" spans="1:7" x14ac:dyDescent="0.3">
      <c r="A96">
        <v>95</v>
      </c>
      <c r="B96" t="s">
        <v>118</v>
      </c>
      <c r="C96" s="2">
        <v>401000</v>
      </c>
      <c r="D96" s="4">
        <v>80</v>
      </c>
      <c r="E96" t="s">
        <v>22</v>
      </c>
      <c r="F96" t="s">
        <v>31</v>
      </c>
      <c r="G96" t="str">
        <f t="shared" si="1"/>
        <v>Other</v>
      </c>
    </row>
    <row r="97" spans="1:7" x14ac:dyDescent="0.3">
      <c r="A97">
        <v>96</v>
      </c>
      <c r="B97" t="s">
        <v>119</v>
      </c>
      <c r="C97" s="2">
        <v>397000</v>
      </c>
      <c r="D97" s="4">
        <v>54</v>
      </c>
      <c r="E97" t="s">
        <v>95</v>
      </c>
      <c r="F97" t="s">
        <v>43</v>
      </c>
      <c r="G97" t="str">
        <f t="shared" si="1"/>
        <v>Other</v>
      </c>
    </row>
    <row r="98" spans="1:7" x14ac:dyDescent="0.3">
      <c r="A98">
        <v>97</v>
      </c>
      <c r="B98" t="s">
        <v>120</v>
      </c>
      <c r="C98" s="2">
        <v>380969</v>
      </c>
      <c r="D98" s="4">
        <v>197</v>
      </c>
      <c r="E98" t="s">
        <v>19</v>
      </c>
      <c r="F98" t="s">
        <v>20</v>
      </c>
      <c r="G98" t="str">
        <f t="shared" si="1"/>
        <v>Other</v>
      </c>
    </row>
    <row r="99" spans="1:7" x14ac:dyDescent="0.3">
      <c r="A99">
        <v>98</v>
      </c>
      <c r="B99" t="s">
        <v>121</v>
      </c>
      <c r="C99" s="2">
        <v>379835</v>
      </c>
      <c r="D99" s="4">
        <v>396</v>
      </c>
      <c r="E99" t="s">
        <v>3</v>
      </c>
      <c r="F99" t="s">
        <v>8</v>
      </c>
      <c r="G99" t="str">
        <f t="shared" si="1"/>
        <v>Other</v>
      </c>
    </row>
    <row r="100" spans="1:7" x14ac:dyDescent="0.3">
      <c r="A100">
        <v>99</v>
      </c>
      <c r="B100" t="s">
        <v>122</v>
      </c>
      <c r="C100" s="2">
        <v>368175</v>
      </c>
      <c r="D100" s="4">
        <v>160</v>
      </c>
      <c r="E100" t="s">
        <v>19</v>
      </c>
      <c r="F100" t="s">
        <v>15</v>
      </c>
      <c r="G100" t="str">
        <f t="shared" si="1"/>
        <v>Other</v>
      </c>
    </row>
    <row r="101" spans="1:7" x14ac:dyDescent="0.3">
      <c r="A101">
        <v>100</v>
      </c>
      <c r="B101" t="s">
        <v>123</v>
      </c>
      <c r="C101" s="2">
        <v>365000</v>
      </c>
      <c r="D101" s="4">
        <v>926</v>
      </c>
      <c r="E101" t="s">
        <v>3</v>
      </c>
      <c r="F101" t="s">
        <v>33</v>
      </c>
      <c r="G101" t="str">
        <f t="shared" si="1"/>
        <v>Other</v>
      </c>
    </row>
    <row r="102" spans="1:7" x14ac:dyDescent="0.3">
      <c r="A102">
        <v>101</v>
      </c>
      <c r="B102" t="s">
        <v>125</v>
      </c>
      <c r="C102" s="2">
        <v>364294</v>
      </c>
      <c r="D102" s="4">
        <v>553</v>
      </c>
      <c r="E102" t="s">
        <v>3</v>
      </c>
      <c r="F102" t="s">
        <v>17</v>
      </c>
      <c r="G102" t="str">
        <f t="shared" si="1"/>
        <v>Pizza</v>
      </c>
    </row>
    <row r="103" spans="1:7" x14ac:dyDescent="0.3">
      <c r="A103">
        <v>102</v>
      </c>
      <c r="B103" t="s">
        <v>139</v>
      </c>
      <c r="C103" s="2">
        <v>363300</v>
      </c>
      <c r="D103" s="4">
        <v>207</v>
      </c>
      <c r="E103" t="s">
        <v>19</v>
      </c>
      <c r="F103" t="s">
        <v>20</v>
      </c>
      <c r="G103" t="str">
        <f t="shared" si="1"/>
        <v>Other</v>
      </c>
    </row>
    <row r="104" spans="1:7" x14ac:dyDescent="0.3">
      <c r="A104">
        <v>103</v>
      </c>
      <c r="B104" t="s">
        <v>140</v>
      </c>
      <c r="C104" s="2">
        <v>361100</v>
      </c>
      <c r="D104" s="4">
        <v>143</v>
      </c>
      <c r="E104" t="s">
        <v>22</v>
      </c>
      <c r="F104" t="s">
        <v>10</v>
      </c>
      <c r="G104" t="str">
        <f t="shared" si="1"/>
        <v>Other</v>
      </c>
    </row>
    <row r="105" spans="1:7" x14ac:dyDescent="0.3">
      <c r="A105">
        <v>104</v>
      </c>
      <c r="B105" t="s">
        <v>141</v>
      </c>
      <c r="C105" s="2">
        <v>359000</v>
      </c>
      <c r="D105" s="4">
        <v>213</v>
      </c>
      <c r="E105" t="s">
        <v>39</v>
      </c>
      <c r="F105" t="s">
        <v>40</v>
      </c>
      <c r="G105" t="str">
        <f t="shared" si="1"/>
        <v>Other</v>
      </c>
    </row>
    <row r="106" spans="1:7" x14ac:dyDescent="0.3">
      <c r="A106">
        <v>105</v>
      </c>
      <c r="B106" t="s">
        <v>142</v>
      </c>
      <c r="C106" s="2">
        <v>358860</v>
      </c>
      <c r="D106" s="4">
        <v>386</v>
      </c>
      <c r="E106" t="s">
        <v>3</v>
      </c>
      <c r="F106" t="s">
        <v>10</v>
      </c>
      <c r="G106" t="str">
        <f t="shared" si="1"/>
        <v>Other</v>
      </c>
    </row>
    <row r="107" spans="1:7" x14ac:dyDescent="0.3">
      <c r="A107">
        <v>106</v>
      </c>
      <c r="B107" t="s">
        <v>143</v>
      </c>
      <c r="C107" s="2">
        <v>350343</v>
      </c>
      <c r="D107" s="4">
        <v>213</v>
      </c>
      <c r="E107" t="s">
        <v>19</v>
      </c>
      <c r="F107" t="s">
        <v>45</v>
      </c>
      <c r="G107" t="str">
        <f t="shared" si="1"/>
        <v>Other</v>
      </c>
    </row>
    <row r="108" spans="1:7" x14ac:dyDescent="0.3">
      <c r="A108">
        <v>107</v>
      </c>
      <c r="B108" t="s">
        <v>126</v>
      </c>
      <c r="C108" s="2">
        <v>342478</v>
      </c>
      <c r="D108" s="4">
        <v>548</v>
      </c>
      <c r="E108" t="s">
        <v>3</v>
      </c>
      <c r="F108" t="s">
        <v>17</v>
      </c>
      <c r="G108" t="str">
        <f t="shared" si="1"/>
        <v>Pizza</v>
      </c>
    </row>
    <row r="109" spans="1:7" x14ac:dyDescent="0.3">
      <c r="A109">
        <v>108</v>
      </c>
      <c r="B109" t="s">
        <v>127</v>
      </c>
      <c r="C109" s="2">
        <v>339500</v>
      </c>
      <c r="D109" s="4">
        <v>384</v>
      </c>
      <c r="E109" t="s">
        <v>3</v>
      </c>
      <c r="F109" t="s">
        <v>17</v>
      </c>
      <c r="G109" t="str">
        <f t="shared" si="1"/>
        <v>Pizza</v>
      </c>
    </row>
    <row r="110" spans="1:7" x14ac:dyDescent="0.3">
      <c r="A110">
        <v>109</v>
      </c>
      <c r="B110" t="s">
        <v>144</v>
      </c>
      <c r="C110" s="2">
        <v>338900</v>
      </c>
      <c r="D110" s="4">
        <v>820</v>
      </c>
      <c r="E110" t="s">
        <v>3</v>
      </c>
      <c r="F110" t="s">
        <v>8</v>
      </c>
      <c r="G110" t="str">
        <f t="shared" si="1"/>
        <v>Other</v>
      </c>
    </row>
    <row r="111" spans="1:7" x14ac:dyDescent="0.3">
      <c r="A111">
        <v>110</v>
      </c>
      <c r="B111" t="s">
        <v>145</v>
      </c>
      <c r="C111" s="2">
        <v>338315</v>
      </c>
      <c r="D111" s="4">
        <v>72</v>
      </c>
      <c r="E111" t="s">
        <v>22</v>
      </c>
      <c r="F111" t="s">
        <v>31</v>
      </c>
      <c r="G111" t="str">
        <f t="shared" si="1"/>
        <v>Other</v>
      </c>
    </row>
    <row r="112" spans="1:7" x14ac:dyDescent="0.3">
      <c r="A112">
        <v>111</v>
      </c>
      <c r="B112" t="s">
        <v>146</v>
      </c>
      <c r="C112" s="2">
        <v>334128</v>
      </c>
      <c r="D112" s="4">
        <v>471</v>
      </c>
      <c r="E112" t="s">
        <v>3</v>
      </c>
      <c r="F112" t="s">
        <v>8</v>
      </c>
      <c r="G112" t="str">
        <f t="shared" si="1"/>
        <v>Other</v>
      </c>
    </row>
    <row r="113" spans="1:7" x14ac:dyDescent="0.3">
      <c r="A113">
        <v>112</v>
      </c>
      <c r="B113" t="s">
        <v>147</v>
      </c>
      <c r="C113" s="2">
        <v>331431</v>
      </c>
      <c r="D113" s="4">
        <v>166</v>
      </c>
      <c r="E113" t="s">
        <v>19</v>
      </c>
      <c r="F113" t="s">
        <v>10</v>
      </c>
      <c r="G113" t="str">
        <f t="shared" si="1"/>
        <v>Other</v>
      </c>
    </row>
    <row r="114" spans="1:7" x14ac:dyDescent="0.3">
      <c r="A114">
        <v>113</v>
      </c>
      <c r="B114" t="s">
        <v>148</v>
      </c>
      <c r="C114" s="2">
        <v>330400</v>
      </c>
      <c r="D114" s="4">
        <v>220</v>
      </c>
      <c r="E114" t="s">
        <v>39</v>
      </c>
      <c r="F114" t="s">
        <v>40</v>
      </c>
      <c r="G114" t="str">
        <f t="shared" si="1"/>
        <v>Other</v>
      </c>
    </row>
    <row r="115" spans="1:7" x14ac:dyDescent="0.3">
      <c r="A115">
        <v>114</v>
      </c>
      <c r="B115" t="s">
        <v>149</v>
      </c>
      <c r="C115" s="2">
        <v>319638</v>
      </c>
      <c r="D115" s="4">
        <v>350</v>
      </c>
      <c r="E115" t="s">
        <v>19</v>
      </c>
      <c r="F115" t="s">
        <v>8</v>
      </c>
      <c r="G115" t="str">
        <f t="shared" si="1"/>
        <v>Other</v>
      </c>
    </row>
    <row r="116" spans="1:7" x14ac:dyDescent="0.3">
      <c r="A116">
        <v>115</v>
      </c>
      <c r="B116" t="s">
        <v>150</v>
      </c>
      <c r="C116" s="2">
        <v>317800</v>
      </c>
      <c r="D116" s="4">
        <v>280</v>
      </c>
      <c r="E116" t="s">
        <v>3</v>
      </c>
      <c r="F116" t="s">
        <v>33</v>
      </c>
      <c r="G116" t="str">
        <f t="shared" si="1"/>
        <v>Other</v>
      </c>
    </row>
    <row r="117" spans="1:7" x14ac:dyDescent="0.3">
      <c r="A117">
        <v>116</v>
      </c>
      <c r="B117" t="s">
        <v>151</v>
      </c>
      <c r="C117" s="2">
        <v>312989</v>
      </c>
      <c r="D117" s="4">
        <v>73</v>
      </c>
      <c r="E117" t="s">
        <v>22</v>
      </c>
      <c r="F117" t="s">
        <v>71</v>
      </c>
      <c r="G117" t="str">
        <f t="shared" si="1"/>
        <v>Other</v>
      </c>
    </row>
    <row r="118" spans="1:7" x14ac:dyDescent="0.3">
      <c r="A118">
        <v>117</v>
      </c>
      <c r="B118" t="s">
        <v>152</v>
      </c>
      <c r="C118" s="2">
        <v>310700</v>
      </c>
      <c r="D118" s="4">
        <v>265</v>
      </c>
      <c r="E118" t="s">
        <v>39</v>
      </c>
      <c r="F118" t="s">
        <v>40</v>
      </c>
      <c r="G118" t="str">
        <f t="shared" si="1"/>
        <v>Other</v>
      </c>
    </row>
    <row r="119" spans="1:7" x14ac:dyDescent="0.3">
      <c r="A119">
        <v>118</v>
      </c>
      <c r="B119" t="s">
        <v>153</v>
      </c>
      <c r="C119" s="2">
        <v>309700</v>
      </c>
      <c r="D119" s="4">
        <v>35</v>
      </c>
      <c r="E119" t="s">
        <v>22</v>
      </c>
      <c r="F119" t="s">
        <v>48</v>
      </c>
      <c r="G119" t="str">
        <f t="shared" si="1"/>
        <v>Other</v>
      </c>
    </row>
    <row r="120" spans="1:7" x14ac:dyDescent="0.3">
      <c r="A120">
        <v>119</v>
      </c>
      <c r="B120" t="s">
        <v>154</v>
      </c>
      <c r="C120" s="2">
        <v>306517</v>
      </c>
      <c r="D120" s="4">
        <v>328</v>
      </c>
      <c r="E120" t="s">
        <v>19</v>
      </c>
      <c r="F120" t="s">
        <v>4</v>
      </c>
      <c r="G120" t="str">
        <f t="shared" si="1"/>
        <v>Other</v>
      </c>
    </row>
    <row r="121" spans="1:7" x14ac:dyDescent="0.3">
      <c r="A121">
        <v>120</v>
      </c>
      <c r="B121" t="s">
        <v>155</v>
      </c>
      <c r="C121" s="2">
        <v>304000</v>
      </c>
      <c r="D121" s="4">
        <v>125</v>
      </c>
      <c r="E121" t="s">
        <v>3</v>
      </c>
      <c r="F121" t="s">
        <v>56</v>
      </c>
      <c r="G121" t="str">
        <f t="shared" si="1"/>
        <v>Other</v>
      </c>
    </row>
    <row r="122" spans="1:7" x14ac:dyDescent="0.3">
      <c r="A122">
        <v>121</v>
      </c>
      <c r="B122" t="s">
        <v>156</v>
      </c>
      <c r="C122" s="2">
        <v>300500</v>
      </c>
      <c r="D122" s="4">
        <v>47</v>
      </c>
      <c r="E122" t="s">
        <v>22</v>
      </c>
      <c r="F122" t="s">
        <v>23</v>
      </c>
      <c r="G122" t="str">
        <f t="shared" si="1"/>
        <v>Other</v>
      </c>
    </row>
    <row r="123" spans="1:7" x14ac:dyDescent="0.3">
      <c r="A123">
        <v>122</v>
      </c>
      <c r="B123" t="s">
        <v>128</v>
      </c>
      <c r="C123" s="2">
        <v>299200</v>
      </c>
      <c r="D123" s="4">
        <v>550</v>
      </c>
      <c r="E123" t="s">
        <v>3</v>
      </c>
      <c r="F123" t="s">
        <v>17</v>
      </c>
      <c r="G123" t="str">
        <f t="shared" si="1"/>
        <v>Pizza</v>
      </c>
    </row>
    <row r="124" spans="1:7" x14ac:dyDescent="0.3">
      <c r="A124">
        <v>123</v>
      </c>
      <c r="B124" t="s">
        <v>157</v>
      </c>
      <c r="C124" s="2">
        <v>298400</v>
      </c>
      <c r="D124" s="4">
        <v>145</v>
      </c>
      <c r="E124" t="s">
        <v>22</v>
      </c>
      <c r="F124" t="s">
        <v>29</v>
      </c>
      <c r="G124" t="str">
        <f t="shared" si="1"/>
        <v>Other</v>
      </c>
    </row>
    <row r="125" spans="1:7" x14ac:dyDescent="0.3">
      <c r="A125">
        <v>124</v>
      </c>
      <c r="B125" t="s">
        <v>158</v>
      </c>
      <c r="C125" s="2">
        <v>293300</v>
      </c>
      <c r="D125" s="4">
        <v>105</v>
      </c>
      <c r="E125" t="s">
        <v>22</v>
      </c>
      <c r="F125" t="s">
        <v>23</v>
      </c>
      <c r="G125" t="str">
        <f t="shared" si="1"/>
        <v>Other</v>
      </c>
    </row>
    <row r="126" spans="1:7" x14ac:dyDescent="0.3">
      <c r="A126">
        <v>125</v>
      </c>
      <c r="B126" t="s">
        <v>159</v>
      </c>
      <c r="C126" s="2">
        <v>291100</v>
      </c>
      <c r="D126" s="4">
        <v>73</v>
      </c>
      <c r="E126" t="s">
        <v>22</v>
      </c>
      <c r="F126" t="s">
        <v>31</v>
      </c>
      <c r="G126" t="str">
        <f t="shared" si="1"/>
        <v>Other</v>
      </c>
    </row>
    <row r="127" spans="1:7" x14ac:dyDescent="0.3">
      <c r="A127">
        <v>126</v>
      </c>
      <c r="B127" t="s">
        <v>160</v>
      </c>
      <c r="C127" s="2">
        <v>287062</v>
      </c>
      <c r="D127" s="4">
        <v>70</v>
      </c>
      <c r="E127" t="s">
        <v>22</v>
      </c>
      <c r="F127" t="s">
        <v>10</v>
      </c>
      <c r="G127" t="str">
        <f t="shared" si="1"/>
        <v>Other</v>
      </c>
    </row>
    <row r="128" spans="1:7" x14ac:dyDescent="0.3">
      <c r="A128">
        <v>127</v>
      </c>
      <c r="B128" t="s">
        <v>161</v>
      </c>
      <c r="C128" s="2">
        <v>280400</v>
      </c>
      <c r="D128" s="4">
        <v>127</v>
      </c>
      <c r="E128" t="s">
        <v>22</v>
      </c>
      <c r="F128" t="s">
        <v>23</v>
      </c>
      <c r="G128" t="str">
        <f t="shared" si="1"/>
        <v>Other</v>
      </c>
    </row>
    <row r="129" spans="1:7" x14ac:dyDescent="0.3">
      <c r="A129">
        <v>128</v>
      </c>
      <c r="B129" t="s">
        <v>162</v>
      </c>
      <c r="C129" s="2">
        <v>280000</v>
      </c>
      <c r="D129" s="4">
        <v>66</v>
      </c>
      <c r="E129" t="s">
        <v>95</v>
      </c>
      <c r="F129" t="s">
        <v>43</v>
      </c>
      <c r="G129" t="str">
        <f t="shared" si="1"/>
        <v>Other</v>
      </c>
    </row>
    <row r="130" spans="1:7" x14ac:dyDescent="0.3">
      <c r="A130">
        <v>129</v>
      </c>
      <c r="B130" t="s">
        <v>163</v>
      </c>
      <c r="C130" s="2">
        <v>275300</v>
      </c>
      <c r="D130" s="4">
        <v>41</v>
      </c>
      <c r="E130" t="s">
        <v>19</v>
      </c>
      <c r="F130" t="s">
        <v>8</v>
      </c>
      <c r="G130" t="str">
        <f t="shared" si="1"/>
        <v>Other</v>
      </c>
    </row>
    <row r="131" spans="1:7" x14ac:dyDescent="0.3">
      <c r="A131">
        <v>130</v>
      </c>
      <c r="B131" t="s">
        <v>164</v>
      </c>
      <c r="C131" s="2">
        <v>268300</v>
      </c>
      <c r="D131" s="4">
        <v>67</v>
      </c>
      <c r="E131" t="s">
        <v>95</v>
      </c>
      <c r="F131" t="s">
        <v>43</v>
      </c>
      <c r="G131" t="str">
        <f t="shared" ref="G131:G194" si="2">IF(F131= "Pizza","Pizza","Other")</f>
        <v>Other</v>
      </c>
    </row>
    <row r="132" spans="1:7" x14ac:dyDescent="0.3">
      <c r="A132">
        <v>131</v>
      </c>
      <c r="B132" t="s">
        <v>165</v>
      </c>
      <c r="C132" s="2">
        <v>267465</v>
      </c>
      <c r="D132" s="4">
        <v>299</v>
      </c>
      <c r="E132" t="s">
        <v>3</v>
      </c>
      <c r="F132" t="s">
        <v>4</v>
      </c>
      <c r="G132" t="str">
        <f t="shared" si="2"/>
        <v>Other</v>
      </c>
    </row>
    <row r="133" spans="1:7" x14ac:dyDescent="0.3">
      <c r="A133">
        <v>132</v>
      </c>
      <c r="B133" t="s">
        <v>166</v>
      </c>
      <c r="C133" s="2">
        <v>267077</v>
      </c>
      <c r="D133" s="4">
        <v>177</v>
      </c>
      <c r="E133" t="s">
        <v>3</v>
      </c>
      <c r="F133" t="s">
        <v>4</v>
      </c>
      <c r="G133" t="str">
        <f t="shared" si="2"/>
        <v>Other</v>
      </c>
    </row>
    <row r="134" spans="1:7" x14ac:dyDescent="0.3">
      <c r="A134">
        <v>133</v>
      </c>
      <c r="B134" t="s">
        <v>167</v>
      </c>
      <c r="C134" s="2">
        <v>267000</v>
      </c>
      <c r="D134" s="4">
        <v>236</v>
      </c>
      <c r="E134" t="s">
        <v>3</v>
      </c>
      <c r="F134" t="s">
        <v>6</v>
      </c>
      <c r="G134" t="str">
        <f t="shared" si="2"/>
        <v>Other</v>
      </c>
    </row>
    <row r="135" spans="1:7" x14ac:dyDescent="0.3">
      <c r="A135">
        <v>134</v>
      </c>
      <c r="B135" t="s">
        <v>168</v>
      </c>
      <c r="C135" s="2">
        <v>261700</v>
      </c>
      <c r="D135" s="4">
        <v>63</v>
      </c>
      <c r="E135" t="s">
        <v>22</v>
      </c>
      <c r="F135" t="s">
        <v>29</v>
      </c>
      <c r="G135" t="str">
        <f t="shared" si="2"/>
        <v>Other</v>
      </c>
    </row>
    <row r="136" spans="1:7" x14ac:dyDescent="0.3">
      <c r="A136">
        <v>135</v>
      </c>
      <c r="B136" t="s">
        <v>169</v>
      </c>
      <c r="C136" s="2">
        <v>261000</v>
      </c>
      <c r="D136" s="4">
        <v>466</v>
      </c>
      <c r="E136" t="s">
        <v>3</v>
      </c>
      <c r="F136" t="s">
        <v>81</v>
      </c>
      <c r="G136" t="str">
        <f t="shared" si="2"/>
        <v>Other</v>
      </c>
    </row>
    <row r="137" spans="1:7" x14ac:dyDescent="0.3">
      <c r="A137">
        <v>136</v>
      </c>
      <c r="B137" t="s">
        <v>170</v>
      </c>
      <c r="C137" s="2">
        <v>256700</v>
      </c>
      <c r="D137" s="4">
        <v>415</v>
      </c>
      <c r="E137" t="s">
        <v>3</v>
      </c>
      <c r="F137" t="s">
        <v>6</v>
      </c>
      <c r="G137" t="str">
        <f t="shared" si="2"/>
        <v>Other</v>
      </c>
    </row>
    <row r="138" spans="1:7" x14ac:dyDescent="0.3">
      <c r="A138">
        <v>137</v>
      </c>
      <c r="B138" t="s">
        <v>171</v>
      </c>
      <c r="C138" s="2">
        <v>253000</v>
      </c>
      <c r="D138" s="4">
        <v>173</v>
      </c>
      <c r="E138" t="s">
        <v>19</v>
      </c>
      <c r="F138" t="s">
        <v>4</v>
      </c>
      <c r="G138" t="str">
        <f t="shared" si="2"/>
        <v>Other</v>
      </c>
    </row>
    <row r="139" spans="1:7" x14ac:dyDescent="0.3">
      <c r="A139">
        <v>138</v>
      </c>
      <c r="B139" t="s">
        <v>172</v>
      </c>
      <c r="C139" s="2">
        <v>252800</v>
      </c>
      <c r="D139" s="4">
        <v>35</v>
      </c>
      <c r="E139" t="s">
        <v>95</v>
      </c>
      <c r="F139" t="s">
        <v>43</v>
      </c>
      <c r="G139" t="str">
        <f t="shared" si="2"/>
        <v>Other</v>
      </c>
    </row>
    <row r="140" spans="1:7" x14ac:dyDescent="0.3">
      <c r="A140">
        <v>139</v>
      </c>
      <c r="B140" t="s">
        <v>173</v>
      </c>
      <c r="C140" s="2">
        <v>251366</v>
      </c>
      <c r="D140" s="4">
        <v>142</v>
      </c>
      <c r="E140" t="s">
        <v>19</v>
      </c>
      <c r="F140" t="s">
        <v>4</v>
      </c>
      <c r="G140" t="str">
        <f t="shared" si="2"/>
        <v>Other</v>
      </c>
    </row>
    <row r="141" spans="1:7" x14ac:dyDescent="0.3">
      <c r="A141">
        <v>140</v>
      </c>
      <c r="B141" t="s">
        <v>129</v>
      </c>
      <c r="C141" s="2">
        <v>250900</v>
      </c>
      <c r="D141" s="4">
        <v>305</v>
      </c>
      <c r="E141" t="s">
        <v>3</v>
      </c>
      <c r="F141" t="s">
        <v>17</v>
      </c>
      <c r="G141" t="str">
        <f t="shared" si="2"/>
        <v>Pizza</v>
      </c>
    </row>
    <row r="142" spans="1:7" x14ac:dyDescent="0.3">
      <c r="A142">
        <v>141</v>
      </c>
      <c r="B142" t="s">
        <v>174</v>
      </c>
      <c r="C142" s="2">
        <v>249276</v>
      </c>
      <c r="D142" s="4">
        <v>103</v>
      </c>
      <c r="E142" t="s">
        <v>22</v>
      </c>
      <c r="F142" t="s">
        <v>23</v>
      </c>
      <c r="G142" t="str">
        <f t="shared" si="2"/>
        <v>Other</v>
      </c>
    </row>
    <row r="143" spans="1:7" x14ac:dyDescent="0.3">
      <c r="A143">
        <v>142</v>
      </c>
      <c r="B143" t="s">
        <v>175</v>
      </c>
      <c r="C143" s="2">
        <v>249000</v>
      </c>
      <c r="D143" s="4">
        <v>122</v>
      </c>
      <c r="E143" t="s">
        <v>39</v>
      </c>
      <c r="F143" t="s">
        <v>81</v>
      </c>
      <c r="G143" t="str">
        <f t="shared" si="2"/>
        <v>Other</v>
      </c>
    </row>
    <row r="144" spans="1:7" x14ac:dyDescent="0.3">
      <c r="A144">
        <v>143</v>
      </c>
      <c r="B144" t="s">
        <v>176</v>
      </c>
      <c r="C144" s="2">
        <v>246900</v>
      </c>
      <c r="D144" s="4">
        <v>60</v>
      </c>
      <c r="E144" t="s">
        <v>22</v>
      </c>
      <c r="F144" t="s">
        <v>48</v>
      </c>
      <c r="G144" t="str">
        <f t="shared" si="2"/>
        <v>Other</v>
      </c>
    </row>
    <row r="145" spans="1:7" x14ac:dyDescent="0.3">
      <c r="A145">
        <v>144</v>
      </c>
      <c r="B145" t="s">
        <v>177</v>
      </c>
      <c r="C145" s="2">
        <v>244900</v>
      </c>
      <c r="D145" s="4">
        <v>650</v>
      </c>
      <c r="E145" t="s">
        <v>3</v>
      </c>
      <c r="F145" t="s">
        <v>81</v>
      </c>
      <c r="G145" t="str">
        <f t="shared" si="2"/>
        <v>Other</v>
      </c>
    </row>
    <row r="146" spans="1:7" x14ac:dyDescent="0.3">
      <c r="A146">
        <v>145</v>
      </c>
      <c r="B146" t="s">
        <v>178</v>
      </c>
      <c r="C146" s="2">
        <v>243900</v>
      </c>
      <c r="D146" s="4">
        <v>42</v>
      </c>
      <c r="E146" t="s">
        <v>22</v>
      </c>
      <c r="F146" t="s">
        <v>23</v>
      </c>
      <c r="G146" t="str">
        <f t="shared" si="2"/>
        <v>Other</v>
      </c>
    </row>
    <row r="147" spans="1:7" x14ac:dyDescent="0.3">
      <c r="A147">
        <v>146</v>
      </c>
      <c r="B147" t="s">
        <v>179</v>
      </c>
      <c r="C147" s="2">
        <v>241334</v>
      </c>
      <c r="D147" s="4">
        <v>321</v>
      </c>
      <c r="E147" t="s">
        <v>3</v>
      </c>
      <c r="F147" t="s">
        <v>8</v>
      </c>
      <c r="G147" t="str">
        <f t="shared" si="2"/>
        <v>Other</v>
      </c>
    </row>
    <row r="148" spans="1:7" x14ac:dyDescent="0.3">
      <c r="A148">
        <v>147</v>
      </c>
      <c r="B148" t="s">
        <v>180</v>
      </c>
      <c r="C148" s="2">
        <v>239900</v>
      </c>
      <c r="D148" s="4">
        <v>108</v>
      </c>
      <c r="E148" t="s">
        <v>22</v>
      </c>
      <c r="F148" t="s">
        <v>23</v>
      </c>
      <c r="G148" t="str">
        <f t="shared" si="2"/>
        <v>Other</v>
      </c>
    </row>
    <row r="149" spans="1:7" x14ac:dyDescent="0.3">
      <c r="A149">
        <v>148</v>
      </c>
      <c r="B149" t="s">
        <v>181</v>
      </c>
      <c r="C149" s="2">
        <v>238320</v>
      </c>
      <c r="D149" s="4">
        <v>125</v>
      </c>
      <c r="E149" t="s">
        <v>3</v>
      </c>
      <c r="F149" t="s">
        <v>56</v>
      </c>
      <c r="G149" t="str">
        <f t="shared" si="2"/>
        <v>Other</v>
      </c>
    </row>
    <row r="150" spans="1:7" x14ac:dyDescent="0.3">
      <c r="A150">
        <v>149</v>
      </c>
      <c r="B150" t="s">
        <v>182</v>
      </c>
      <c r="C150" s="2">
        <v>237300</v>
      </c>
      <c r="D150" s="4">
        <v>102</v>
      </c>
      <c r="E150" t="s">
        <v>22</v>
      </c>
      <c r="F150" t="s">
        <v>23</v>
      </c>
      <c r="G150" t="str">
        <f t="shared" si="2"/>
        <v>Other</v>
      </c>
    </row>
    <row r="151" spans="1:7" x14ac:dyDescent="0.3">
      <c r="A151">
        <v>150</v>
      </c>
      <c r="B151" t="s">
        <v>183</v>
      </c>
      <c r="C151" s="2">
        <v>237114</v>
      </c>
      <c r="D151" s="4">
        <v>368</v>
      </c>
      <c r="E151" t="s">
        <v>39</v>
      </c>
      <c r="F151" t="s">
        <v>40</v>
      </c>
      <c r="G151" t="str">
        <f t="shared" si="2"/>
        <v>Other</v>
      </c>
    </row>
    <row r="152" spans="1:7" x14ac:dyDescent="0.3">
      <c r="A152">
        <v>151</v>
      </c>
      <c r="B152" t="s">
        <v>184</v>
      </c>
      <c r="C152" s="2">
        <v>234300</v>
      </c>
      <c r="D152" s="4">
        <v>90</v>
      </c>
      <c r="E152" t="s">
        <v>3</v>
      </c>
      <c r="F152" t="s">
        <v>56</v>
      </c>
      <c r="G152" t="str">
        <f t="shared" si="2"/>
        <v>Other</v>
      </c>
    </row>
    <row r="153" spans="1:7" x14ac:dyDescent="0.3">
      <c r="A153">
        <v>152</v>
      </c>
      <c r="B153" t="s">
        <v>185</v>
      </c>
      <c r="C153" s="2">
        <v>233800</v>
      </c>
      <c r="D153" s="4">
        <v>103</v>
      </c>
      <c r="E153" t="s">
        <v>22</v>
      </c>
      <c r="F153" t="s">
        <v>29</v>
      </c>
      <c r="G153" t="str">
        <f t="shared" si="2"/>
        <v>Other</v>
      </c>
    </row>
    <row r="154" spans="1:7" x14ac:dyDescent="0.3">
      <c r="A154">
        <v>153</v>
      </c>
      <c r="B154" t="s">
        <v>186</v>
      </c>
      <c r="C154" s="2">
        <v>232700</v>
      </c>
      <c r="D154" s="4">
        <v>54</v>
      </c>
      <c r="E154" t="s">
        <v>22</v>
      </c>
      <c r="F154" t="s">
        <v>43</v>
      </c>
      <c r="G154" t="str">
        <f t="shared" si="2"/>
        <v>Other</v>
      </c>
    </row>
    <row r="155" spans="1:7" x14ac:dyDescent="0.3">
      <c r="A155">
        <v>154</v>
      </c>
      <c r="B155" t="s">
        <v>187</v>
      </c>
      <c r="C155" s="2">
        <v>231300</v>
      </c>
      <c r="D155" s="4">
        <v>93</v>
      </c>
      <c r="E155" t="s">
        <v>3</v>
      </c>
      <c r="F155" t="s">
        <v>56</v>
      </c>
      <c r="G155" t="str">
        <f t="shared" si="2"/>
        <v>Other</v>
      </c>
    </row>
    <row r="156" spans="1:7" x14ac:dyDescent="0.3">
      <c r="A156">
        <v>155</v>
      </c>
      <c r="B156" t="s">
        <v>188</v>
      </c>
      <c r="C156" s="2">
        <v>230835</v>
      </c>
      <c r="D156" s="4">
        <v>166</v>
      </c>
      <c r="E156" t="s">
        <v>19</v>
      </c>
      <c r="F156" t="s">
        <v>81</v>
      </c>
      <c r="G156" t="str">
        <f t="shared" si="2"/>
        <v>Other</v>
      </c>
    </row>
    <row r="157" spans="1:7" x14ac:dyDescent="0.3">
      <c r="A157">
        <v>156</v>
      </c>
      <c r="B157" t="s">
        <v>130</v>
      </c>
      <c r="C157" s="2">
        <v>228618</v>
      </c>
      <c r="D157" s="4">
        <v>192</v>
      </c>
      <c r="E157" t="s">
        <v>3</v>
      </c>
      <c r="F157" t="s">
        <v>17</v>
      </c>
      <c r="G157" t="str">
        <f t="shared" si="2"/>
        <v>Pizza</v>
      </c>
    </row>
    <row r="158" spans="1:7" x14ac:dyDescent="0.3">
      <c r="A158">
        <v>157</v>
      </c>
      <c r="B158" t="s">
        <v>189</v>
      </c>
      <c r="C158" s="2">
        <v>228600</v>
      </c>
      <c r="D158" s="4">
        <v>214</v>
      </c>
      <c r="E158" t="s">
        <v>19</v>
      </c>
      <c r="F158" t="s">
        <v>81</v>
      </c>
      <c r="G158" t="str">
        <f t="shared" si="2"/>
        <v>Other</v>
      </c>
    </row>
    <row r="159" spans="1:7" x14ac:dyDescent="0.3">
      <c r="A159">
        <v>158</v>
      </c>
      <c r="B159" t="s">
        <v>190</v>
      </c>
      <c r="C159" s="2">
        <v>226500</v>
      </c>
      <c r="D159" s="4">
        <v>235</v>
      </c>
      <c r="E159" t="s">
        <v>3</v>
      </c>
      <c r="F159" t="s">
        <v>45</v>
      </c>
      <c r="G159" t="str">
        <f t="shared" si="2"/>
        <v>Other</v>
      </c>
    </row>
    <row r="160" spans="1:7" x14ac:dyDescent="0.3">
      <c r="A160">
        <v>159</v>
      </c>
      <c r="B160" t="s">
        <v>191</v>
      </c>
      <c r="C160" s="2">
        <v>223243</v>
      </c>
      <c r="D160" s="4">
        <v>29</v>
      </c>
      <c r="E160" t="s">
        <v>95</v>
      </c>
      <c r="F160" t="s">
        <v>43</v>
      </c>
      <c r="G160" t="str">
        <f t="shared" si="2"/>
        <v>Other</v>
      </c>
    </row>
    <row r="161" spans="1:7" x14ac:dyDescent="0.3">
      <c r="A161">
        <v>160</v>
      </c>
      <c r="B161" t="s">
        <v>192</v>
      </c>
      <c r="C161" s="2">
        <v>221973</v>
      </c>
      <c r="D161" s="4">
        <v>192</v>
      </c>
      <c r="E161" t="s">
        <v>19</v>
      </c>
      <c r="F161" t="s">
        <v>10</v>
      </c>
      <c r="G161" t="str">
        <f t="shared" si="2"/>
        <v>Other</v>
      </c>
    </row>
    <row r="162" spans="1:7" x14ac:dyDescent="0.3">
      <c r="A162">
        <v>161</v>
      </c>
      <c r="B162" t="s">
        <v>193</v>
      </c>
      <c r="C162" s="2">
        <v>219700</v>
      </c>
      <c r="D162" s="4">
        <v>23</v>
      </c>
      <c r="E162" t="s">
        <v>22</v>
      </c>
      <c r="F162" t="s">
        <v>23</v>
      </c>
      <c r="G162" t="str">
        <f t="shared" si="2"/>
        <v>Other</v>
      </c>
    </row>
    <row r="163" spans="1:7" x14ac:dyDescent="0.3">
      <c r="A163">
        <v>162</v>
      </c>
      <c r="B163" t="s">
        <v>194</v>
      </c>
      <c r="C163" s="2">
        <v>219200</v>
      </c>
      <c r="D163" s="4">
        <v>144</v>
      </c>
      <c r="E163" t="s">
        <v>39</v>
      </c>
      <c r="F163" t="s">
        <v>40</v>
      </c>
      <c r="G163" t="str">
        <f t="shared" si="2"/>
        <v>Other</v>
      </c>
    </row>
    <row r="164" spans="1:7" x14ac:dyDescent="0.3">
      <c r="A164">
        <v>163</v>
      </c>
      <c r="B164" t="s">
        <v>195</v>
      </c>
      <c r="C164" s="2">
        <v>219000</v>
      </c>
      <c r="D164" s="4">
        <v>43</v>
      </c>
      <c r="E164" t="s">
        <v>22</v>
      </c>
      <c r="F164" t="s">
        <v>23</v>
      </c>
      <c r="G164" t="str">
        <f t="shared" si="2"/>
        <v>Other</v>
      </c>
    </row>
    <row r="165" spans="1:7" x14ac:dyDescent="0.3">
      <c r="A165">
        <v>164</v>
      </c>
      <c r="B165" t="s">
        <v>196</v>
      </c>
      <c r="C165" s="2">
        <v>214400</v>
      </c>
      <c r="D165" s="4">
        <v>375</v>
      </c>
      <c r="E165" t="s">
        <v>19</v>
      </c>
      <c r="F165" t="s">
        <v>8</v>
      </c>
      <c r="G165" t="str">
        <f t="shared" si="2"/>
        <v>Other</v>
      </c>
    </row>
    <row r="166" spans="1:7" x14ac:dyDescent="0.3">
      <c r="A166">
        <v>165</v>
      </c>
      <c r="B166" t="s">
        <v>197</v>
      </c>
      <c r="C166" s="2">
        <v>211900</v>
      </c>
      <c r="D166" s="4">
        <v>198</v>
      </c>
      <c r="E166" t="s">
        <v>22</v>
      </c>
      <c r="F166" t="s">
        <v>31</v>
      </c>
      <c r="G166" t="str">
        <f t="shared" si="2"/>
        <v>Other</v>
      </c>
    </row>
    <row r="167" spans="1:7" x14ac:dyDescent="0.3">
      <c r="A167">
        <v>166</v>
      </c>
      <c r="B167" t="s">
        <v>198</v>
      </c>
      <c r="C167" s="2">
        <v>211800</v>
      </c>
      <c r="D167" s="4">
        <v>35</v>
      </c>
      <c r="E167" t="s">
        <v>22</v>
      </c>
      <c r="F167" t="s">
        <v>48</v>
      </c>
      <c r="G167" t="str">
        <f t="shared" si="2"/>
        <v>Other</v>
      </c>
    </row>
    <row r="168" spans="1:7" x14ac:dyDescent="0.3">
      <c r="A168">
        <v>167</v>
      </c>
      <c r="B168" t="s">
        <v>199</v>
      </c>
      <c r="C168" s="2">
        <v>209174</v>
      </c>
      <c r="D168" s="4">
        <v>73</v>
      </c>
      <c r="E168" t="s">
        <v>22</v>
      </c>
      <c r="F168" t="s">
        <v>23</v>
      </c>
      <c r="G168" t="str">
        <f t="shared" si="2"/>
        <v>Other</v>
      </c>
    </row>
    <row r="169" spans="1:7" x14ac:dyDescent="0.3">
      <c r="A169">
        <v>168</v>
      </c>
      <c r="B169" t="s">
        <v>200</v>
      </c>
      <c r="C169" s="2">
        <v>209000</v>
      </c>
      <c r="D169" s="4">
        <v>280</v>
      </c>
      <c r="E169" t="s">
        <v>19</v>
      </c>
      <c r="F169" t="s">
        <v>20</v>
      </c>
      <c r="G169" t="str">
        <f t="shared" si="2"/>
        <v>Other</v>
      </c>
    </row>
    <row r="170" spans="1:7" x14ac:dyDescent="0.3">
      <c r="A170">
        <v>169</v>
      </c>
      <c r="B170" t="s">
        <v>201</v>
      </c>
      <c r="C170" s="2">
        <v>208000</v>
      </c>
      <c r="D170" s="4">
        <v>28</v>
      </c>
      <c r="E170" t="s">
        <v>22</v>
      </c>
      <c r="F170" t="s">
        <v>48</v>
      </c>
      <c r="G170" t="str">
        <f t="shared" si="2"/>
        <v>Other</v>
      </c>
    </row>
    <row r="171" spans="1:7" x14ac:dyDescent="0.3">
      <c r="A171">
        <v>170</v>
      </c>
      <c r="B171" t="s">
        <v>202</v>
      </c>
      <c r="C171" s="2">
        <v>206700</v>
      </c>
      <c r="D171" s="4">
        <v>166</v>
      </c>
      <c r="E171" t="s">
        <v>19</v>
      </c>
      <c r="F171" t="s">
        <v>10</v>
      </c>
      <c r="G171" t="str">
        <f t="shared" si="2"/>
        <v>Other</v>
      </c>
    </row>
    <row r="172" spans="1:7" x14ac:dyDescent="0.3">
      <c r="A172">
        <v>171</v>
      </c>
      <c r="B172" t="s">
        <v>203</v>
      </c>
      <c r="C172" s="2">
        <v>205900</v>
      </c>
      <c r="D172" s="4">
        <v>190</v>
      </c>
      <c r="E172" t="s">
        <v>22</v>
      </c>
      <c r="F172" t="s">
        <v>23</v>
      </c>
      <c r="G172" t="str">
        <f t="shared" si="2"/>
        <v>Other</v>
      </c>
    </row>
    <row r="173" spans="1:7" x14ac:dyDescent="0.3">
      <c r="A173">
        <v>172</v>
      </c>
      <c r="B173" t="s">
        <v>204</v>
      </c>
      <c r="C173" s="2">
        <v>203800</v>
      </c>
      <c r="D173" s="4">
        <v>37</v>
      </c>
      <c r="E173" t="s">
        <v>22</v>
      </c>
      <c r="F173" t="s">
        <v>81</v>
      </c>
      <c r="G173" t="str">
        <f t="shared" si="2"/>
        <v>Other</v>
      </c>
    </row>
    <row r="174" spans="1:7" x14ac:dyDescent="0.3">
      <c r="A174">
        <v>173</v>
      </c>
      <c r="B174" t="s">
        <v>205</v>
      </c>
      <c r="C174" s="2">
        <v>200900</v>
      </c>
      <c r="D174" s="4">
        <v>312</v>
      </c>
      <c r="E174" t="s">
        <v>3</v>
      </c>
      <c r="F174" t="s">
        <v>6</v>
      </c>
      <c r="G174" t="str">
        <f t="shared" si="2"/>
        <v>Other</v>
      </c>
    </row>
    <row r="175" spans="1:7" x14ac:dyDescent="0.3">
      <c r="A175">
        <v>174</v>
      </c>
      <c r="B175" t="s">
        <v>206</v>
      </c>
      <c r="C175" s="2">
        <v>199377</v>
      </c>
      <c r="D175" s="4">
        <v>49</v>
      </c>
      <c r="E175" t="s">
        <v>19</v>
      </c>
      <c r="F175" t="s">
        <v>4</v>
      </c>
      <c r="G175" t="str">
        <f t="shared" si="2"/>
        <v>Other</v>
      </c>
    </row>
    <row r="176" spans="1:7" x14ac:dyDescent="0.3">
      <c r="A176">
        <v>175</v>
      </c>
      <c r="B176" t="s">
        <v>207</v>
      </c>
      <c r="C176" s="2">
        <v>198700</v>
      </c>
      <c r="D176" s="4">
        <v>126</v>
      </c>
      <c r="E176" t="s">
        <v>22</v>
      </c>
      <c r="F176" t="s">
        <v>81</v>
      </c>
      <c r="G176" t="str">
        <f t="shared" si="2"/>
        <v>Other</v>
      </c>
    </row>
    <row r="177" spans="1:7" x14ac:dyDescent="0.3">
      <c r="A177">
        <v>176</v>
      </c>
      <c r="B177" t="s">
        <v>208</v>
      </c>
      <c r="C177" s="2">
        <v>197676</v>
      </c>
      <c r="D177" s="4">
        <v>75</v>
      </c>
      <c r="E177" t="s">
        <v>39</v>
      </c>
      <c r="F177" t="s">
        <v>40</v>
      </c>
      <c r="G177" t="str">
        <f t="shared" si="2"/>
        <v>Other</v>
      </c>
    </row>
    <row r="178" spans="1:7" x14ac:dyDescent="0.3">
      <c r="A178">
        <v>177</v>
      </c>
      <c r="B178" t="s">
        <v>209</v>
      </c>
      <c r="C178" s="2">
        <v>196200</v>
      </c>
      <c r="D178" s="4">
        <v>89</v>
      </c>
      <c r="E178" t="s">
        <v>19</v>
      </c>
      <c r="F178" t="s">
        <v>10</v>
      </c>
      <c r="G178" t="str">
        <f t="shared" si="2"/>
        <v>Other</v>
      </c>
    </row>
    <row r="179" spans="1:7" x14ac:dyDescent="0.3">
      <c r="A179">
        <v>178</v>
      </c>
      <c r="B179" t="s">
        <v>210</v>
      </c>
      <c r="C179" s="2">
        <v>191800</v>
      </c>
      <c r="D179" s="4">
        <v>86</v>
      </c>
      <c r="E179" t="s">
        <v>22</v>
      </c>
      <c r="F179" t="s">
        <v>29</v>
      </c>
      <c r="G179" t="str">
        <f t="shared" si="2"/>
        <v>Other</v>
      </c>
    </row>
    <row r="180" spans="1:7" x14ac:dyDescent="0.3">
      <c r="A180">
        <v>179</v>
      </c>
      <c r="B180" t="s">
        <v>131</v>
      </c>
      <c r="C180" s="2">
        <v>190500</v>
      </c>
      <c r="D180" s="4">
        <v>94</v>
      </c>
      <c r="E180" t="s">
        <v>3</v>
      </c>
      <c r="F180" t="s">
        <v>17</v>
      </c>
      <c r="G180" t="str">
        <f t="shared" si="2"/>
        <v>Pizza</v>
      </c>
    </row>
    <row r="181" spans="1:7" x14ac:dyDescent="0.3">
      <c r="A181">
        <v>180</v>
      </c>
      <c r="B181" t="s">
        <v>211</v>
      </c>
      <c r="C181" s="2">
        <v>187600</v>
      </c>
      <c r="D181" s="4">
        <v>92</v>
      </c>
      <c r="E181" t="s">
        <v>22</v>
      </c>
      <c r="F181" t="s">
        <v>31</v>
      </c>
      <c r="G181" t="str">
        <f t="shared" si="2"/>
        <v>Other</v>
      </c>
    </row>
    <row r="182" spans="1:7" x14ac:dyDescent="0.3">
      <c r="A182">
        <v>181</v>
      </c>
      <c r="B182" t="s">
        <v>212</v>
      </c>
      <c r="C182" s="2">
        <v>185300</v>
      </c>
      <c r="D182" s="4">
        <v>22</v>
      </c>
      <c r="E182" t="s">
        <v>22</v>
      </c>
      <c r="F182" t="s">
        <v>81</v>
      </c>
      <c r="G182" t="str">
        <f t="shared" si="2"/>
        <v>Other</v>
      </c>
    </row>
    <row r="183" spans="1:7" x14ac:dyDescent="0.3">
      <c r="A183">
        <v>182</v>
      </c>
      <c r="B183" t="s">
        <v>213</v>
      </c>
      <c r="C183" s="2">
        <v>185000</v>
      </c>
      <c r="D183" s="4">
        <v>175</v>
      </c>
      <c r="E183" t="s">
        <v>19</v>
      </c>
      <c r="F183" t="s">
        <v>10</v>
      </c>
      <c r="G183" t="str">
        <f t="shared" si="2"/>
        <v>Other</v>
      </c>
    </row>
    <row r="184" spans="1:7" x14ac:dyDescent="0.3">
      <c r="A184">
        <v>183</v>
      </c>
      <c r="B184" t="s">
        <v>132</v>
      </c>
      <c r="C184" s="2">
        <v>183600</v>
      </c>
      <c r="D184" s="4">
        <v>153</v>
      </c>
      <c r="E184" t="s">
        <v>19</v>
      </c>
      <c r="F184" t="s">
        <v>17</v>
      </c>
      <c r="G184" t="str">
        <f t="shared" si="2"/>
        <v>Pizza</v>
      </c>
    </row>
    <row r="185" spans="1:7" x14ac:dyDescent="0.3">
      <c r="A185">
        <v>184</v>
      </c>
      <c r="B185" t="s">
        <v>214</v>
      </c>
      <c r="C185" s="2">
        <v>183200</v>
      </c>
      <c r="D185" s="4">
        <v>95</v>
      </c>
      <c r="E185" t="s">
        <v>19</v>
      </c>
      <c r="F185" t="s">
        <v>8</v>
      </c>
      <c r="G185" t="str">
        <f t="shared" si="2"/>
        <v>Other</v>
      </c>
    </row>
    <row r="186" spans="1:7" x14ac:dyDescent="0.3">
      <c r="A186">
        <v>185</v>
      </c>
      <c r="B186" t="s">
        <v>215</v>
      </c>
      <c r="C186" s="2">
        <v>183100</v>
      </c>
      <c r="D186" s="4">
        <v>13</v>
      </c>
      <c r="E186" t="s">
        <v>95</v>
      </c>
      <c r="F186" t="s">
        <v>43</v>
      </c>
      <c r="G186" t="str">
        <f t="shared" si="2"/>
        <v>Other</v>
      </c>
    </row>
    <row r="187" spans="1:7" x14ac:dyDescent="0.3">
      <c r="A187">
        <v>186</v>
      </c>
      <c r="B187" t="s">
        <v>216</v>
      </c>
      <c r="C187" s="2">
        <v>182800</v>
      </c>
      <c r="D187" s="4">
        <v>66</v>
      </c>
      <c r="E187" t="s">
        <v>22</v>
      </c>
      <c r="F187" t="s">
        <v>81</v>
      </c>
      <c r="G187" t="str">
        <f t="shared" si="2"/>
        <v>Other</v>
      </c>
    </row>
    <row r="188" spans="1:7" x14ac:dyDescent="0.3">
      <c r="A188">
        <v>187</v>
      </c>
      <c r="B188" t="s">
        <v>217</v>
      </c>
      <c r="C188" s="2">
        <v>182700</v>
      </c>
      <c r="D188" s="4">
        <v>88</v>
      </c>
      <c r="E188" t="s">
        <v>19</v>
      </c>
      <c r="F188" t="s">
        <v>20</v>
      </c>
      <c r="G188" t="str">
        <f t="shared" si="2"/>
        <v>Other</v>
      </c>
    </row>
    <row r="189" spans="1:7" x14ac:dyDescent="0.3">
      <c r="A189">
        <v>188</v>
      </c>
      <c r="B189" t="s">
        <v>218</v>
      </c>
      <c r="C189" s="2">
        <v>182000</v>
      </c>
      <c r="D189" s="4">
        <v>17</v>
      </c>
      <c r="E189" t="s">
        <v>22</v>
      </c>
      <c r="F189" t="s">
        <v>23</v>
      </c>
      <c r="G189" t="str">
        <f t="shared" si="2"/>
        <v>Other</v>
      </c>
    </row>
    <row r="190" spans="1:7" x14ac:dyDescent="0.3">
      <c r="A190">
        <v>189</v>
      </c>
      <c r="B190" t="s">
        <v>219</v>
      </c>
      <c r="C190" s="2">
        <v>181300</v>
      </c>
      <c r="D190" s="4">
        <v>257</v>
      </c>
      <c r="E190" t="s">
        <v>3</v>
      </c>
      <c r="F190" t="s">
        <v>6</v>
      </c>
      <c r="G190" t="str">
        <f t="shared" si="2"/>
        <v>Other</v>
      </c>
    </row>
    <row r="191" spans="1:7" x14ac:dyDescent="0.3">
      <c r="A191">
        <v>190</v>
      </c>
      <c r="B191" t="s">
        <v>220</v>
      </c>
      <c r="C191" s="2">
        <v>180100</v>
      </c>
      <c r="D191" s="4">
        <v>638</v>
      </c>
      <c r="E191" t="s">
        <v>3</v>
      </c>
      <c r="F191" t="s">
        <v>4</v>
      </c>
      <c r="G191" t="str">
        <f t="shared" si="2"/>
        <v>Other</v>
      </c>
    </row>
    <row r="192" spans="1:7" x14ac:dyDescent="0.3">
      <c r="A192">
        <v>191</v>
      </c>
      <c r="B192" t="s">
        <v>221</v>
      </c>
      <c r="C192" s="2">
        <v>180000</v>
      </c>
      <c r="D192" s="4">
        <v>275</v>
      </c>
      <c r="E192" t="s">
        <v>3</v>
      </c>
      <c r="F192" t="s">
        <v>33</v>
      </c>
      <c r="G192" t="str">
        <f t="shared" si="2"/>
        <v>Other</v>
      </c>
    </row>
    <row r="193" spans="1:7" x14ac:dyDescent="0.3">
      <c r="A193">
        <v>192</v>
      </c>
      <c r="B193" t="s">
        <v>222</v>
      </c>
      <c r="C193" s="2">
        <v>176700</v>
      </c>
      <c r="D193" s="4">
        <v>295</v>
      </c>
      <c r="E193" t="s">
        <v>19</v>
      </c>
      <c r="F193" t="s">
        <v>8</v>
      </c>
      <c r="G193" t="str">
        <f t="shared" si="2"/>
        <v>Other</v>
      </c>
    </row>
    <row r="194" spans="1:7" x14ac:dyDescent="0.3">
      <c r="A194">
        <v>193</v>
      </c>
      <c r="B194" t="s">
        <v>223</v>
      </c>
      <c r="C194" s="2">
        <v>174200</v>
      </c>
      <c r="D194" s="4">
        <v>390</v>
      </c>
      <c r="E194" t="s">
        <v>3</v>
      </c>
      <c r="F194" t="s">
        <v>33</v>
      </c>
      <c r="G194" t="str">
        <f t="shared" si="2"/>
        <v>Other</v>
      </c>
    </row>
    <row r="195" spans="1:7" x14ac:dyDescent="0.3">
      <c r="A195">
        <v>194</v>
      </c>
      <c r="B195" t="s">
        <v>224</v>
      </c>
      <c r="C195" s="2">
        <v>168700</v>
      </c>
      <c r="D195" s="4">
        <v>95</v>
      </c>
      <c r="E195" t="s">
        <v>19</v>
      </c>
      <c r="F195" t="s">
        <v>10</v>
      </c>
      <c r="G195" t="str">
        <f t="shared" ref="G195:G251" si="3">IF(F195= "Pizza","Pizza","Other")</f>
        <v>Other</v>
      </c>
    </row>
    <row r="196" spans="1:7" x14ac:dyDescent="0.3">
      <c r="A196">
        <v>195</v>
      </c>
      <c r="B196" t="s">
        <v>225</v>
      </c>
      <c r="C196" s="2">
        <v>167593</v>
      </c>
      <c r="D196" s="4">
        <v>69</v>
      </c>
      <c r="E196" t="s">
        <v>39</v>
      </c>
      <c r="F196" t="s">
        <v>40</v>
      </c>
      <c r="G196" t="str">
        <f t="shared" si="3"/>
        <v>Other</v>
      </c>
    </row>
    <row r="197" spans="1:7" x14ac:dyDescent="0.3">
      <c r="A197">
        <v>196</v>
      </c>
      <c r="B197" t="s">
        <v>226</v>
      </c>
      <c r="C197" s="2">
        <v>166500</v>
      </c>
      <c r="D197" s="4">
        <v>55</v>
      </c>
      <c r="E197" t="s">
        <v>22</v>
      </c>
      <c r="F197" t="s">
        <v>23</v>
      </c>
      <c r="G197" t="str">
        <f t="shared" si="3"/>
        <v>Other</v>
      </c>
    </row>
    <row r="198" spans="1:7" x14ac:dyDescent="0.3">
      <c r="A198">
        <v>197</v>
      </c>
      <c r="B198" t="s">
        <v>227</v>
      </c>
      <c r="C198" s="2">
        <v>165400</v>
      </c>
      <c r="D198" s="4">
        <v>76</v>
      </c>
      <c r="E198" t="s">
        <v>19</v>
      </c>
      <c r="F198" t="s">
        <v>20</v>
      </c>
      <c r="G198" t="str">
        <f t="shared" si="3"/>
        <v>Other</v>
      </c>
    </row>
    <row r="199" spans="1:7" x14ac:dyDescent="0.3">
      <c r="A199">
        <v>198</v>
      </c>
      <c r="B199" t="s">
        <v>228</v>
      </c>
      <c r="C199" s="2">
        <v>164000</v>
      </c>
      <c r="D199" s="4">
        <v>78</v>
      </c>
      <c r="E199" t="s">
        <v>22</v>
      </c>
      <c r="F199" t="s">
        <v>29</v>
      </c>
      <c r="G199" t="str">
        <f t="shared" si="3"/>
        <v>Other</v>
      </c>
    </row>
    <row r="200" spans="1:7" x14ac:dyDescent="0.3">
      <c r="A200">
        <v>199</v>
      </c>
      <c r="B200" t="s">
        <v>229</v>
      </c>
      <c r="C200" s="2">
        <v>162900</v>
      </c>
      <c r="D200" s="4">
        <v>164</v>
      </c>
      <c r="E200" t="s">
        <v>22</v>
      </c>
      <c r="F200" t="s">
        <v>29</v>
      </c>
      <c r="G200" t="str">
        <f t="shared" si="3"/>
        <v>Other</v>
      </c>
    </row>
    <row r="201" spans="1:7" x14ac:dyDescent="0.3">
      <c r="A201">
        <v>200</v>
      </c>
      <c r="B201" t="s">
        <v>230</v>
      </c>
      <c r="C201" s="2">
        <v>161809</v>
      </c>
      <c r="D201" s="4">
        <v>12</v>
      </c>
      <c r="E201" t="s">
        <v>95</v>
      </c>
      <c r="F201" t="s">
        <v>43</v>
      </c>
      <c r="G201" t="str">
        <f t="shared" si="3"/>
        <v>Other</v>
      </c>
    </row>
    <row r="202" spans="1:7" x14ac:dyDescent="0.3">
      <c r="A202">
        <v>201</v>
      </c>
      <c r="B202" t="s">
        <v>231</v>
      </c>
      <c r="C202" s="2">
        <v>160500</v>
      </c>
      <c r="D202" s="4">
        <v>52</v>
      </c>
      <c r="E202" t="s">
        <v>22</v>
      </c>
      <c r="F202" t="s">
        <v>29</v>
      </c>
      <c r="G202" t="str">
        <f t="shared" si="3"/>
        <v>Other</v>
      </c>
    </row>
    <row r="203" spans="1:7" x14ac:dyDescent="0.3">
      <c r="A203">
        <v>202</v>
      </c>
      <c r="B203" t="s">
        <v>232</v>
      </c>
      <c r="C203" s="2">
        <v>160500</v>
      </c>
      <c r="D203" s="4">
        <v>96</v>
      </c>
      <c r="E203" t="s">
        <v>39</v>
      </c>
      <c r="F203" t="s">
        <v>40</v>
      </c>
      <c r="G203" t="str">
        <f t="shared" si="3"/>
        <v>Other</v>
      </c>
    </row>
    <row r="204" spans="1:7" x14ac:dyDescent="0.3">
      <c r="A204">
        <v>203</v>
      </c>
      <c r="B204" t="s">
        <v>233</v>
      </c>
      <c r="C204" s="2">
        <v>158300</v>
      </c>
      <c r="D204" s="4">
        <v>137</v>
      </c>
      <c r="E204" t="s">
        <v>39</v>
      </c>
      <c r="F204" t="s">
        <v>40</v>
      </c>
      <c r="G204" t="str">
        <f t="shared" si="3"/>
        <v>Other</v>
      </c>
    </row>
    <row r="205" spans="1:7" x14ac:dyDescent="0.3">
      <c r="A205">
        <v>204</v>
      </c>
      <c r="B205" t="s">
        <v>234</v>
      </c>
      <c r="C205" s="2">
        <v>154000</v>
      </c>
      <c r="D205" s="4">
        <v>54</v>
      </c>
      <c r="E205" t="s">
        <v>22</v>
      </c>
      <c r="F205" t="s">
        <v>31</v>
      </c>
      <c r="G205" t="str">
        <f t="shared" si="3"/>
        <v>Other</v>
      </c>
    </row>
    <row r="206" spans="1:7" x14ac:dyDescent="0.3">
      <c r="A206">
        <v>205</v>
      </c>
      <c r="B206" t="s">
        <v>235</v>
      </c>
      <c r="C206" s="2">
        <v>153000</v>
      </c>
      <c r="D206" s="4">
        <v>23</v>
      </c>
      <c r="E206" t="s">
        <v>22</v>
      </c>
      <c r="F206" t="s">
        <v>10</v>
      </c>
      <c r="G206" t="str">
        <f t="shared" si="3"/>
        <v>Other</v>
      </c>
    </row>
    <row r="207" spans="1:7" x14ac:dyDescent="0.3">
      <c r="A207">
        <v>206</v>
      </c>
      <c r="B207" t="s">
        <v>236</v>
      </c>
      <c r="C207" s="2">
        <v>151600</v>
      </c>
      <c r="D207" s="4">
        <v>31</v>
      </c>
      <c r="E207" t="s">
        <v>22</v>
      </c>
      <c r="F207" t="s">
        <v>23</v>
      </c>
      <c r="G207" t="str">
        <f t="shared" si="3"/>
        <v>Other</v>
      </c>
    </row>
    <row r="208" spans="1:7" x14ac:dyDescent="0.3">
      <c r="A208">
        <v>207</v>
      </c>
      <c r="B208" t="s">
        <v>237</v>
      </c>
      <c r="C208" s="2">
        <v>150693</v>
      </c>
      <c r="D208" s="4">
        <v>93</v>
      </c>
      <c r="E208" t="s">
        <v>3</v>
      </c>
      <c r="F208" t="s">
        <v>56</v>
      </c>
      <c r="G208" t="str">
        <f t="shared" si="3"/>
        <v>Other</v>
      </c>
    </row>
    <row r="209" spans="1:7" x14ac:dyDescent="0.3">
      <c r="A209">
        <v>208</v>
      </c>
      <c r="B209" t="s">
        <v>238</v>
      </c>
      <c r="C209" s="2">
        <v>150200</v>
      </c>
      <c r="D209" s="4">
        <v>46</v>
      </c>
      <c r="E209" t="s">
        <v>22</v>
      </c>
      <c r="F209" t="s">
        <v>43</v>
      </c>
      <c r="G209" t="str">
        <f t="shared" si="3"/>
        <v>Other</v>
      </c>
    </row>
    <row r="210" spans="1:7" x14ac:dyDescent="0.3">
      <c r="A210">
        <v>209</v>
      </c>
      <c r="B210" t="s">
        <v>239</v>
      </c>
      <c r="C210" s="2">
        <v>149980</v>
      </c>
      <c r="D210" s="4">
        <v>250</v>
      </c>
      <c r="E210" t="s">
        <v>3</v>
      </c>
      <c r="F210" t="s">
        <v>8</v>
      </c>
      <c r="G210" t="str">
        <f t="shared" si="3"/>
        <v>Other</v>
      </c>
    </row>
    <row r="211" spans="1:7" x14ac:dyDescent="0.3">
      <c r="A211">
        <v>210</v>
      </c>
      <c r="B211" t="s">
        <v>240</v>
      </c>
      <c r="C211" s="2">
        <v>149600</v>
      </c>
      <c r="D211" s="4">
        <v>24</v>
      </c>
      <c r="E211" t="s">
        <v>22</v>
      </c>
      <c r="F211" t="s">
        <v>10</v>
      </c>
      <c r="G211" t="str">
        <f t="shared" si="3"/>
        <v>Other</v>
      </c>
    </row>
    <row r="212" spans="1:7" x14ac:dyDescent="0.3">
      <c r="A212">
        <v>211</v>
      </c>
      <c r="B212" t="s">
        <v>133</v>
      </c>
      <c r="C212" s="2">
        <v>148612</v>
      </c>
      <c r="D212" s="4">
        <v>245</v>
      </c>
      <c r="E212" t="s">
        <v>3</v>
      </c>
      <c r="F212" t="s">
        <v>17</v>
      </c>
      <c r="G212" t="str">
        <f t="shared" si="3"/>
        <v>Pizza</v>
      </c>
    </row>
    <row r="213" spans="1:7" x14ac:dyDescent="0.3">
      <c r="A213">
        <v>212</v>
      </c>
      <c r="B213" t="s">
        <v>241</v>
      </c>
      <c r="C213" s="2">
        <v>148500</v>
      </c>
      <c r="D213" s="4">
        <v>130</v>
      </c>
      <c r="E213" t="s">
        <v>39</v>
      </c>
      <c r="F213" t="s">
        <v>40</v>
      </c>
      <c r="G213" t="str">
        <f t="shared" si="3"/>
        <v>Other</v>
      </c>
    </row>
    <row r="214" spans="1:7" x14ac:dyDescent="0.3">
      <c r="A214">
        <v>213</v>
      </c>
      <c r="B214" t="s">
        <v>242</v>
      </c>
      <c r="C214" s="2">
        <v>148231</v>
      </c>
      <c r="D214" s="4">
        <v>68</v>
      </c>
      <c r="E214" t="s">
        <v>39</v>
      </c>
      <c r="F214" t="s">
        <v>40</v>
      </c>
      <c r="G214" t="str">
        <f t="shared" si="3"/>
        <v>Other</v>
      </c>
    </row>
    <row r="215" spans="1:7" x14ac:dyDescent="0.3">
      <c r="A215">
        <v>214</v>
      </c>
      <c r="B215" t="s">
        <v>243</v>
      </c>
      <c r="C215" s="2">
        <v>147856</v>
      </c>
      <c r="D215" s="4">
        <v>20</v>
      </c>
      <c r="E215" t="s">
        <v>22</v>
      </c>
      <c r="F215" t="s">
        <v>23</v>
      </c>
      <c r="G215" t="str">
        <f t="shared" si="3"/>
        <v>Other</v>
      </c>
    </row>
    <row r="216" spans="1:7" x14ac:dyDescent="0.3">
      <c r="A216">
        <v>215</v>
      </c>
      <c r="B216" t="s">
        <v>244</v>
      </c>
      <c r="C216" s="2">
        <v>147600</v>
      </c>
      <c r="D216" s="4">
        <v>64</v>
      </c>
      <c r="E216" t="s">
        <v>19</v>
      </c>
      <c r="F216" t="s">
        <v>8</v>
      </c>
      <c r="G216" t="str">
        <f t="shared" si="3"/>
        <v>Other</v>
      </c>
    </row>
    <row r="217" spans="1:7" x14ac:dyDescent="0.3">
      <c r="A217">
        <v>216</v>
      </c>
      <c r="B217" t="s">
        <v>245</v>
      </c>
      <c r="C217" s="2">
        <v>145505</v>
      </c>
      <c r="D217" s="4">
        <v>66</v>
      </c>
      <c r="E217" t="s">
        <v>39</v>
      </c>
      <c r="F217" t="s">
        <v>29</v>
      </c>
      <c r="G217" t="str">
        <f t="shared" si="3"/>
        <v>Other</v>
      </c>
    </row>
    <row r="218" spans="1:7" x14ac:dyDescent="0.3">
      <c r="A218">
        <v>217</v>
      </c>
      <c r="B218" t="s">
        <v>134</v>
      </c>
      <c r="C218" s="2">
        <v>144680</v>
      </c>
      <c r="D218" s="4">
        <v>163</v>
      </c>
      <c r="E218" t="s">
        <v>3</v>
      </c>
      <c r="F218" t="s">
        <v>17</v>
      </c>
      <c r="G218" t="str">
        <f t="shared" si="3"/>
        <v>Pizza</v>
      </c>
    </row>
    <row r="219" spans="1:7" x14ac:dyDescent="0.3">
      <c r="A219">
        <v>218</v>
      </c>
      <c r="B219" t="s">
        <v>246</v>
      </c>
      <c r="C219" s="2">
        <v>143300</v>
      </c>
      <c r="D219" s="4">
        <v>148</v>
      </c>
      <c r="E219" t="s">
        <v>39</v>
      </c>
      <c r="F219" t="s">
        <v>40</v>
      </c>
      <c r="G219" t="str">
        <f t="shared" si="3"/>
        <v>Other</v>
      </c>
    </row>
    <row r="220" spans="1:7" x14ac:dyDescent="0.3">
      <c r="A220">
        <v>219</v>
      </c>
      <c r="B220" t="s">
        <v>247</v>
      </c>
      <c r="C220" s="2">
        <v>143200</v>
      </c>
      <c r="D220" s="4">
        <v>54</v>
      </c>
      <c r="E220" t="s">
        <v>22</v>
      </c>
      <c r="F220" t="s">
        <v>10</v>
      </c>
      <c r="G220" t="str">
        <f t="shared" si="3"/>
        <v>Other</v>
      </c>
    </row>
    <row r="221" spans="1:7" x14ac:dyDescent="0.3">
      <c r="A221">
        <v>220</v>
      </c>
      <c r="B221" t="s">
        <v>248</v>
      </c>
      <c r="C221" s="2">
        <v>143105</v>
      </c>
      <c r="D221" s="4">
        <v>747</v>
      </c>
      <c r="E221" t="s">
        <v>3</v>
      </c>
      <c r="F221" t="s">
        <v>81</v>
      </c>
      <c r="G221" t="str">
        <f t="shared" si="3"/>
        <v>Other</v>
      </c>
    </row>
    <row r="222" spans="1:7" x14ac:dyDescent="0.3">
      <c r="A222">
        <v>221</v>
      </c>
      <c r="B222" t="s">
        <v>249</v>
      </c>
      <c r="C222" s="2">
        <v>143023</v>
      </c>
      <c r="D222" s="4">
        <v>37</v>
      </c>
      <c r="E222" t="s">
        <v>22</v>
      </c>
      <c r="F222" t="s">
        <v>23</v>
      </c>
      <c r="G222" t="str">
        <f t="shared" si="3"/>
        <v>Other</v>
      </c>
    </row>
    <row r="223" spans="1:7" x14ac:dyDescent="0.3">
      <c r="A223">
        <v>222</v>
      </c>
      <c r="B223" t="s">
        <v>250</v>
      </c>
      <c r="C223" s="2">
        <v>143000</v>
      </c>
      <c r="D223" s="4">
        <v>325</v>
      </c>
      <c r="E223" t="s">
        <v>3</v>
      </c>
      <c r="F223" t="s">
        <v>33</v>
      </c>
      <c r="G223" t="str">
        <f t="shared" si="3"/>
        <v>Other</v>
      </c>
    </row>
    <row r="224" spans="1:7" x14ac:dyDescent="0.3">
      <c r="A224">
        <v>223</v>
      </c>
      <c r="B224" t="s">
        <v>251</v>
      </c>
      <c r="C224" s="2">
        <v>142500</v>
      </c>
      <c r="D224" s="4">
        <v>650</v>
      </c>
      <c r="E224" t="s">
        <v>3</v>
      </c>
      <c r="F224" t="s">
        <v>33</v>
      </c>
      <c r="G224" t="str">
        <f t="shared" si="3"/>
        <v>Other</v>
      </c>
    </row>
    <row r="225" spans="1:7" x14ac:dyDescent="0.3">
      <c r="A225">
        <v>224</v>
      </c>
      <c r="B225" t="s">
        <v>252</v>
      </c>
      <c r="C225" s="2">
        <v>137800</v>
      </c>
      <c r="D225" s="4">
        <v>155</v>
      </c>
      <c r="E225" t="s">
        <v>3</v>
      </c>
      <c r="F225" t="s">
        <v>33</v>
      </c>
      <c r="G225" t="str">
        <f t="shared" si="3"/>
        <v>Other</v>
      </c>
    </row>
    <row r="226" spans="1:7" x14ac:dyDescent="0.3">
      <c r="A226">
        <v>225</v>
      </c>
      <c r="B226" t="s">
        <v>253</v>
      </c>
      <c r="C226" s="2">
        <v>137700</v>
      </c>
      <c r="D226" s="4">
        <v>71</v>
      </c>
      <c r="E226" t="s">
        <v>39</v>
      </c>
      <c r="F226" t="s">
        <v>40</v>
      </c>
      <c r="G226" t="str">
        <f t="shared" si="3"/>
        <v>Other</v>
      </c>
    </row>
    <row r="227" spans="1:7" x14ac:dyDescent="0.3">
      <c r="A227">
        <v>226</v>
      </c>
      <c r="B227" t="s">
        <v>254</v>
      </c>
      <c r="C227" s="2">
        <v>137000</v>
      </c>
      <c r="D227" s="4">
        <v>250</v>
      </c>
      <c r="E227" t="s">
        <v>3</v>
      </c>
      <c r="F227" t="s">
        <v>33</v>
      </c>
      <c r="G227" t="str">
        <f t="shared" si="3"/>
        <v>Other</v>
      </c>
    </row>
    <row r="228" spans="1:7" x14ac:dyDescent="0.3">
      <c r="A228">
        <v>227</v>
      </c>
      <c r="B228" t="s">
        <v>255</v>
      </c>
      <c r="C228" s="2">
        <v>136400</v>
      </c>
      <c r="D228" s="4">
        <v>18</v>
      </c>
      <c r="E228" t="s">
        <v>22</v>
      </c>
      <c r="F228" t="s">
        <v>23</v>
      </c>
      <c r="G228" t="str">
        <f t="shared" si="3"/>
        <v>Other</v>
      </c>
    </row>
    <row r="229" spans="1:7" x14ac:dyDescent="0.3">
      <c r="A229">
        <v>228</v>
      </c>
      <c r="B229" t="s">
        <v>256</v>
      </c>
      <c r="C229" s="2">
        <v>135586</v>
      </c>
      <c r="D229" s="4">
        <v>38</v>
      </c>
      <c r="E229" t="s">
        <v>22</v>
      </c>
      <c r="F229" t="s">
        <v>23</v>
      </c>
      <c r="G229" t="str">
        <f t="shared" si="3"/>
        <v>Other</v>
      </c>
    </row>
    <row r="230" spans="1:7" x14ac:dyDescent="0.3">
      <c r="A230">
        <v>229</v>
      </c>
      <c r="B230" t="s">
        <v>257</v>
      </c>
      <c r="C230" s="2">
        <v>133700</v>
      </c>
      <c r="D230" s="4">
        <v>70</v>
      </c>
      <c r="E230" t="s">
        <v>22</v>
      </c>
      <c r="F230" t="s">
        <v>43</v>
      </c>
      <c r="G230" t="str">
        <f t="shared" si="3"/>
        <v>Other</v>
      </c>
    </row>
    <row r="231" spans="1:7" x14ac:dyDescent="0.3">
      <c r="A231">
        <v>230</v>
      </c>
      <c r="B231" t="s">
        <v>258</v>
      </c>
      <c r="C231" s="2">
        <v>132998</v>
      </c>
      <c r="D231" s="4">
        <v>33</v>
      </c>
      <c r="E231" t="s">
        <v>22</v>
      </c>
      <c r="F231" t="s">
        <v>23</v>
      </c>
      <c r="G231" t="str">
        <f t="shared" si="3"/>
        <v>Other</v>
      </c>
    </row>
    <row r="232" spans="1:7" x14ac:dyDescent="0.3">
      <c r="A232">
        <v>231</v>
      </c>
      <c r="B232" t="s">
        <v>259</v>
      </c>
      <c r="C232" s="2">
        <v>132500</v>
      </c>
      <c r="D232" s="4">
        <v>132</v>
      </c>
      <c r="E232" t="s">
        <v>3</v>
      </c>
      <c r="F232" t="s">
        <v>4</v>
      </c>
      <c r="G232" t="str">
        <f t="shared" si="3"/>
        <v>Other</v>
      </c>
    </row>
    <row r="233" spans="1:7" x14ac:dyDescent="0.3">
      <c r="A233">
        <v>232</v>
      </c>
      <c r="B233" t="s">
        <v>260</v>
      </c>
      <c r="C233" s="2">
        <v>132400</v>
      </c>
      <c r="D233" s="4">
        <v>152</v>
      </c>
      <c r="E233" t="s">
        <v>3</v>
      </c>
      <c r="F233" t="s">
        <v>15</v>
      </c>
      <c r="G233" t="str">
        <f t="shared" si="3"/>
        <v>Other</v>
      </c>
    </row>
    <row r="234" spans="1:7" x14ac:dyDescent="0.3">
      <c r="A234">
        <v>233</v>
      </c>
      <c r="B234" t="s">
        <v>261</v>
      </c>
      <c r="C234" s="2">
        <v>131633</v>
      </c>
      <c r="D234" s="4">
        <v>41</v>
      </c>
      <c r="E234" t="s">
        <v>22</v>
      </c>
      <c r="F234" t="s">
        <v>23</v>
      </c>
      <c r="G234" t="str">
        <f t="shared" si="3"/>
        <v>Other</v>
      </c>
    </row>
    <row r="235" spans="1:7" x14ac:dyDescent="0.3">
      <c r="A235">
        <v>234</v>
      </c>
      <c r="B235" t="s">
        <v>262</v>
      </c>
      <c r="C235" s="2">
        <v>129717</v>
      </c>
      <c r="D235" s="4">
        <v>104</v>
      </c>
      <c r="E235" t="s">
        <v>19</v>
      </c>
      <c r="F235" t="s">
        <v>8</v>
      </c>
      <c r="G235" t="str">
        <f t="shared" si="3"/>
        <v>Other</v>
      </c>
    </row>
    <row r="236" spans="1:7" x14ac:dyDescent="0.3">
      <c r="A236">
        <v>235</v>
      </c>
      <c r="B236" t="s">
        <v>263</v>
      </c>
      <c r="C236" s="2">
        <v>127641</v>
      </c>
      <c r="D236" s="4">
        <v>34</v>
      </c>
      <c r="E236" t="s">
        <v>22</v>
      </c>
      <c r="F236" t="s">
        <v>23</v>
      </c>
      <c r="G236" t="str">
        <f t="shared" si="3"/>
        <v>Other</v>
      </c>
    </row>
    <row r="237" spans="1:7" x14ac:dyDescent="0.3">
      <c r="A237">
        <v>236</v>
      </c>
      <c r="B237" t="s">
        <v>264</v>
      </c>
      <c r="C237" s="2">
        <v>125400</v>
      </c>
      <c r="D237" s="4">
        <v>29</v>
      </c>
      <c r="E237" t="s">
        <v>22</v>
      </c>
      <c r="F237" t="s">
        <v>48</v>
      </c>
      <c r="G237" t="str">
        <f t="shared" si="3"/>
        <v>Other</v>
      </c>
    </row>
    <row r="238" spans="1:7" x14ac:dyDescent="0.3">
      <c r="A238">
        <v>237</v>
      </c>
      <c r="B238" t="s">
        <v>135</v>
      </c>
      <c r="C238" s="2">
        <v>124600</v>
      </c>
      <c r="D238" s="4">
        <v>133</v>
      </c>
      <c r="E238" t="s">
        <v>3</v>
      </c>
      <c r="F238" t="s">
        <v>17</v>
      </c>
      <c r="G238" t="str">
        <f t="shared" si="3"/>
        <v>Pizza</v>
      </c>
    </row>
    <row r="239" spans="1:7" x14ac:dyDescent="0.3">
      <c r="A239">
        <v>238</v>
      </c>
      <c r="B239" t="s">
        <v>136</v>
      </c>
      <c r="C239" s="2">
        <v>124200</v>
      </c>
      <c r="D239" s="4">
        <v>242</v>
      </c>
      <c r="E239" t="s">
        <v>3</v>
      </c>
      <c r="F239" t="s">
        <v>17</v>
      </c>
      <c r="G239" t="str">
        <f t="shared" si="3"/>
        <v>Pizza</v>
      </c>
    </row>
    <row r="240" spans="1:7" x14ac:dyDescent="0.3">
      <c r="A240">
        <v>239</v>
      </c>
      <c r="B240" t="s">
        <v>265</v>
      </c>
      <c r="C240" s="2">
        <v>124200</v>
      </c>
      <c r="D240" s="4">
        <v>12</v>
      </c>
      <c r="E240" t="s">
        <v>22</v>
      </c>
      <c r="F240" t="s">
        <v>23</v>
      </c>
      <c r="G240" t="str">
        <f t="shared" si="3"/>
        <v>Other</v>
      </c>
    </row>
    <row r="241" spans="1:7" x14ac:dyDescent="0.3">
      <c r="A241">
        <v>240</v>
      </c>
      <c r="B241" t="s">
        <v>266</v>
      </c>
      <c r="C241" s="2">
        <v>124000</v>
      </c>
      <c r="D241" s="4">
        <v>86</v>
      </c>
      <c r="E241" t="s">
        <v>22</v>
      </c>
      <c r="F241" t="s">
        <v>71</v>
      </c>
      <c r="G241" t="str">
        <f t="shared" si="3"/>
        <v>Other</v>
      </c>
    </row>
    <row r="242" spans="1:7" x14ac:dyDescent="0.3">
      <c r="A242">
        <v>241</v>
      </c>
      <c r="B242" t="s">
        <v>267</v>
      </c>
      <c r="C242" s="2">
        <v>123200</v>
      </c>
      <c r="D242" s="4">
        <v>52</v>
      </c>
      <c r="E242" t="s">
        <v>22</v>
      </c>
      <c r="F242" t="s">
        <v>31</v>
      </c>
      <c r="G242" t="str">
        <f t="shared" si="3"/>
        <v>Other</v>
      </c>
    </row>
    <row r="243" spans="1:7" x14ac:dyDescent="0.3">
      <c r="A243">
        <v>242</v>
      </c>
      <c r="B243" t="s">
        <v>268</v>
      </c>
      <c r="C243" s="2">
        <v>123100</v>
      </c>
      <c r="D243" s="4">
        <v>64</v>
      </c>
      <c r="E243" t="s">
        <v>22</v>
      </c>
      <c r="F243" t="s">
        <v>23</v>
      </c>
      <c r="G243" t="str">
        <f t="shared" si="3"/>
        <v>Other</v>
      </c>
    </row>
    <row r="244" spans="1:7" x14ac:dyDescent="0.3">
      <c r="A244">
        <v>243</v>
      </c>
      <c r="B244" t="s">
        <v>269</v>
      </c>
      <c r="C244" s="2">
        <v>122800</v>
      </c>
      <c r="D244" s="4">
        <v>78</v>
      </c>
      <c r="E244" t="s">
        <v>19</v>
      </c>
      <c r="F244" t="s">
        <v>4</v>
      </c>
      <c r="G244" t="str">
        <f t="shared" si="3"/>
        <v>Other</v>
      </c>
    </row>
    <row r="245" spans="1:7" x14ac:dyDescent="0.3">
      <c r="A245">
        <v>244</v>
      </c>
      <c r="B245" t="s">
        <v>270</v>
      </c>
      <c r="C245" s="2">
        <v>122200</v>
      </c>
      <c r="D245" s="4">
        <v>328</v>
      </c>
      <c r="E245" t="s">
        <v>3</v>
      </c>
      <c r="F245" t="s">
        <v>81</v>
      </c>
      <c r="G245" t="str">
        <f t="shared" si="3"/>
        <v>Other</v>
      </c>
    </row>
    <row r="246" spans="1:7" x14ac:dyDescent="0.3">
      <c r="A246">
        <v>245</v>
      </c>
      <c r="B246" t="s">
        <v>271</v>
      </c>
      <c r="C246" s="2">
        <v>122100</v>
      </c>
      <c r="D246" s="4">
        <v>39</v>
      </c>
      <c r="E246" t="s">
        <v>22</v>
      </c>
      <c r="F246" t="s">
        <v>10</v>
      </c>
      <c r="G246" t="str">
        <f t="shared" si="3"/>
        <v>Other</v>
      </c>
    </row>
    <row r="247" spans="1:7" x14ac:dyDescent="0.3">
      <c r="A247">
        <v>246</v>
      </c>
      <c r="B247" t="s">
        <v>137</v>
      </c>
      <c r="C247" s="2">
        <v>122054</v>
      </c>
      <c r="D247" s="4">
        <v>164</v>
      </c>
      <c r="E247" t="s">
        <v>3</v>
      </c>
      <c r="F247" t="s">
        <v>17</v>
      </c>
      <c r="G247" t="str">
        <f t="shared" si="3"/>
        <v>Pizza</v>
      </c>
    </row>
    <row r="248" spans="1:7" x14ac:dyDescent="0.3">
      <c r="A248">
        <v>247</v>
      </c>
      <c r="B248" t="s">
        <v>272</v>
      </c>
      <c r="C248" s="2">
        <v>122015</v>
      </c>
      <c r="D248" s="4">
        <v>34</v>
      </c>
      <c r="E248" t="s">
        <v>22</v>
      </c>
      <c r="F248" t="s">
        <v>23</v>
      </c>
      <c r="G248" t="str">
        <f t="shared" si="3"/>
        <v>Other</v>
      </c>
    </row>
    <row r="249" spans="1:7" x14ac:dyDescent="0.3">
      <c r="A249">
        <v>248</v>
      </c>
      <c r="B249" t="s">
        <v>273</v>
      </c>
      <c r="C249" s="2">
        <v>122000</v>
      </c>
      <c r="D249" s="4">
        <v>70</v>
      </c>
      <c r="E249" t="s">
        <v>39</v>
      </c>
      <c r="F249" t="s">
        <v>40</v>
      </c>
      <c r="G249" t="str">
        <f t="shared" si="3"/>
        <v>Other</v>
      </c>
    </row>
    <row r="250" spans="1:7" x14ac:dyDescent="0.3">
      <c r="A250">
        <v>249</v>
      </c>
      <c r="B250" t="s">
        <v>274</v>
      </c>
      <c r="C250" s="2">
        <v>122000</v>
      </c>
      <c r="D250" s="4">
        <v>70</v>
      </c>
      <c r="E250" t="s">
        <v>3</v>
      </c>
      <c r="F250" t="s">
        <v>56</v>
      </c>
      <c r="G250" t="str">
        <f t="shared" si="3"/>
        <v>Other</v>
      </c>
    </row>
    <row r="251" spans="1:7" x14ac:dyDescent="0.3">
      <c r="A251">
        <v>250</v>
      </c>
      <c r="B251" t="s">
        <v>275</v>
      </c>
      <c r="C251" s="2">
        <v>120000</v>
      </c>
      <c r="D251" s="4">
        <v>115</v>
      </c>
      <c r="E251" t="s">
        <v>19</v>
      </c>
      <c r="F251" t="s">
        <v>10</v>
      </c>
      <c r="G251" t="str">
        <f t="shared" si="3"/>
        <v>Other</v>
      </c>
    </row>
  </sheetData>
  <conditionalFormatting sqref="G2:G251">
    <cfRule type="cellIs" dxfId="0" priority="1" operator="equal">
      <formula>"Pizza"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tabSelected="1" topLeftCell="A5" workbookViewId="0">
      <selection activeCell="D23" sqref="D23:D26"/>
    </sheetView>
  </sheetViews>
  <sheetFormatPr defaultColWidth="11.19921875" defaultRowHeight="15.6" x14ac:dyDescent="0.3"/>
  <cols>
    <col min="1" max="1" width="12.69921875" bestFit="1" customWidth="1"/>
    <col min="2" max="2" width="21.5" bestFit="1" customWidth="1"/>
    <col min="3" max="3" width="25.5" bestFit="1" customWidth="1"/>
    <col min="4" max="4" width="18" bestFit="1" customWidth="1"/>
    <col min="5" max="5" width="24.19921875" bestFit="1" customWidth="1"/>
    <col min="6" max="6" width="25.69921875" bestFit="1" customWidth="1"/>
  </cols>
  <sheetData>
    <row r="1" spans="1:6" ht="21" x14ac:dyDescent="0.4">
      <c r="A1" s="1" t="s">
        <v>282</v>
      </c>
      <c r="B1" s="1" t="s">
        <v>124</v>
      </c>
      <c r="C1" s="1" t="s">
        <v>283</v>
      </c>
      <c r="D1" s="1" t="s">
        <v>284</v>
      </c>
      <c r="E1" s="1" t="s">
        <v>280</v>
      </c>
      <c r="F1" s="1" t="s">
        <v>285</v>
      </c>
    </row>
    <row r="2" spans="1:6" x14ac:dyDescent="0.3">
      <c r="A2">
        <v>9</v>
      </c>
      <c r="B2" t="s">
        <v>16</v>
      </c>
      <c r="C2" s="2">
        <v>5510000</v>
      </c>
      <c r="D2" s="5">
        <v>7799</v>
      </c>
      <c r="E2" t="str">
        <f t="shared" ref="E2:E22" si="0">IF(C2&gt;$C$24*1.2,"Top Performer", IF(C2&lt;$C$24*0.8, "Low Performer", "Average"))</f>
        <v>Top Performer</v>
      </c>
      <c r="F2" t="str">
        <f t="shared" ref="F2:F22" si="1">IF(D2&gt;$D$24*1.2,"Top Performer", IF(D2&lt;$D$24*0.8, "Low Performer", "Average"))</f>
        <v>Top Performer</v>
      </c>
    </row>
    <row r="3" spans="1:6" x14ac:dyDescent="0.3">
      <c r="A3">
        <v>12</v>
      </c>
      <c r="B3" t="s">
        <v>24</v>
      </c>
      <c r="C3" s="2">
        <v>4708587</v>
      </c>
      <c r="D3" s="5">
        <v>5200</v>
      </c>
      <c r="E3" t="str">
        <f t="shared" si="0"/>
        <v>Top Performer</v>
      </c>
      <c r="F3" t="str">
        <f t="shared" si="1"/>
        <v>Top Performer</v>
      </c>
    </row>
    <row r="4" spans="1:6" x14ac:dyDescent="0.3">
      <c r="A4">
        <v>19</v>
      </c>
      <c r="B4" t="s">
        <v>34</v>
      </c>
      <c r="C4" s="2">
        <v>3500000</v>
      </c>
      <c r="D4" s="5">
        <v>4250</v>
      </c>
      <c r="E4" t="str">
        <f t="shared" si="0"/>
        <v>Top Performer</v>
      </c>
      <c r="F4" t="str">
        <f t="shared" si="1"/>
        <v>Top Performer</v>
      </c>
    </row>
    <row r="5" spans="1:6" x14ac:dyDescent="0.3">
      <c r="A5">
        <v>24</v>
      </c>
      <c r="B5" t="s">
        <v>41</v>
      </c>
      <c r="C5" s="2">
        <v>2816017</v>
      </c>
      <c r="D5" s="5">
        <v>3290</v>
      </c>
      <c r="E5" t="str">
        <f t="shared" si="0"/>
        <v>Top Performer</v>
      </c>
      <c r="F5" t="str">
        <f t="shared" si="1"/>
        <v>Top Performer</v>
      </c>
    </row>
    <row r="6" spans="1:6" x14ac:dyDescent="0.3">
      <c r="A6">
        <v>51</v>
      </c>
      <c r="B6" t="s">
        <v>72</v>
      </c>
      <c r="C6" s="2">
        <v>880429</v>
      </c>
      <c r="D6" s="5">
        <v>1496</v>
      </c>
      <c r="E6" t="str">
        <f t="shared" si="0"/>
        <v>Average</v>
      </c>
      <c r="F6" t="str">
        <f t="shared" si="1"/>
        <v>Average</v>
      </c>
    </row>
    <row r="7" spans="1:6" x14ac:dyDescent="0.3">
      <c r="A7">
        <v>89</v>
      </c>
      <c r="B7" t="s">
        <v>112</v>
      </c>
      <c r="C7" s="2">
        <v>430000</v>
      </c>
      <c r="D7" s="5">
        <v>445</v>
      </c>
      <c r="E7" t="str">
        <f t="shared" si="0"/>
        <v>Low Performer</v>
      </c>
      <c r="F7" t="str">
        <f t="shared" si="1"/>
        <v>Low Performer</v>
      </c>
    </row>
    <row r="8" spans="1:6" x14ac:dyDescent="0.3">
      <c r="A8">
        <v>90</v>
      </c>
      <c r="B8" t="s">
        <v>113</v>
      </c>
      <c r="C8" s="2">
        <v>424107</v>
      </c>
      <c r="D8" s="5">
        <v>437</v>
      </c>
      <c r="E8" t="str">
        <f t="shared" si="0"/>
        <v>Low Performer</v>
      </c>
      <c r="F8" t="str">
        <f t="shared" si="1"/>
        <v>Low Performer</v>
      </c>
    </row>
    <row r="9" spans="1:6" x14ac:dyDescent="0.3">
      <c r="A9">
        <v>92</v>
      </c>
      <c r="B9" t="s">
        <v>115</v>
      </c>
      <c r="C9" s="2">
        <v>417632</v>
      </c>
      <c r="D9" s="5">
        <v>667</v>
      </c>
      <c r="E9" t="str">
        <f t="shared" si="0"/>
        <v>Low Performer</v>
      </c>
      <c r="F9" t="str">
        <f t="shared" si="1"/>
        <v>Low Performer</v>
      </c>
    </row>
    <row r="10" spans="1:6" x14ac:dyDescent="0.3">
      <c r="A10">
        <v>101</v>
      </c>
      <c r="B10" t="s">
        <v>125</v>
      </c>
      <c r="C10" s="2">
        <v>364294</v>
      </c>
      <c r="D10" s="5">
        <v>553</v>
      </c>
      <c r="E10" t="str">
        <f t="shared" si="0"/>
        <v>Low Performer</v>
      </c>
      <c r="F10" t="str">
        <f t="shared" si="1"/>
        <v>Low Performer</v>
      </c>
    </row>
    <row r="11" spans="1:6" x14ac:dyDescent="0.3">
      <c r="A11">
        <v>107</v>
      </c>
      <c r="B11" t="s">
        <v>126</v>
      </c>
      <c r="C11" s="2">
        <v>342478</v>
      </c>
      <c r="D11" s="5">
        <v>548</v>
      </c>
      <c r="E11" t="str">
        <f t="shared" si="0"/>
        <v>Low Performer</v>
      </c>
      <c r="F11" t="str">
        <f t="shared" si="1"/>
        <v>Low Performer</v>
      </c>
    </row>
    <row r="12" spans="1:6" x14ac:dyDescent="0.3">
      <c r="A12">
        <v>108</v>
      </c>
      <c r="B12" t="s">
        <v>127</v>
      </c>
      <c r="C12" s="2">
        <v>339500</v>
      </c>
      <c r="D12" s="5">
        <v>384</v>
      </c>
      <c r="E12" t="str">
        <f t="shared" si="0"/>
        <v>Low Performer</v>
      </c>
      <c r="F12" t="str">
        <f t="shared" si="1"/>
        <v>Low Performer</v>
      </c>
    </row>
    <row r="13" spans="1:6" x14ac:dyDescent="0.3">
      <c r="A13">
        <v>122</v>
      </c>
      <c r="B13" t="s">
        <v>128</v>
      </c>
      <c r="C13" s="2">
        <v>299200</v>
      </c>
      <c r="D13" s="5">
        <v>550</v>
      </c>
      <c r="E13" t="str">
        <f t="shared" si="0"/>
        <v>Low Performer</v>
      </c>
      <c r="F13" t="str">
        <f t="shared" si="1"/>
        <v>Low Performer</v>
      </c>
    </row>
    <row r="14" spans="1:6" x14ac:dyDescent="0.3">
      <c r="A14">
        <v>140</v>
      </c>
      <c r="B14" t="s">
        <v>129</v>
      </c>
      <c r="C14" s="2">
        <v>250900</v>
      </c>
      <c r="D14" s="5">
        <v>550</v>
      </c>
      <c r="E14" t="str">
        <f t="shared" si="0"/>
        <v>Low Performer</v>
      </c>
      <c r="F14" t="str">
        <f t="shared" si="1"/>
        <v>Low Performer</v>
      </c>
    </row>
    <row r="15" spans="1:6" x14ac:dyDescent="0.3">
      <c r="A15">
        <v>156</v>
      </c>
      <c r="B15" t="s">
        <v>130</v>
      </c>
      <c r="C15" s="2">
        <v>228618</v>
      </c>
      <c r="D15" s="5">
        <v>192</v>
      </c>
      <c r="E15" t="str">
        <f t="shared" si="0"/>
        <v>Low Performer</v>
      </c>
      <c r="F15" t="str">
        <f t="shared" si="1"/>
        <v>Low Performer</v>
      </c>
    </row>
    <row r="16" spans="1:6" x14ac:dyDescent="0.3">
      <c r="A16">
        <v>179</v>
      </c>
      <c r="B16" t="s">
        <v>131</v>
      </c>
      <c r="C16" s="2">
        <v>190500</v>
      </c>
      <c r="D16" s="5">
        <v>94</v>
      </c>
      <c r="E16" t="str">
        <f t="shared" si="0"/>
        <v>Low Performer</v>
      </c>
      <c r="F16" t="str">
        <f t="shared" si="1"/>
        <v>Low Performer</v>
      </c>
    </row>
    <row r="17" spans="1:6" x14ac:dyDescent="0.3">
      <c r="A17">
        <v>183</v>
      </c>
      <c r="B17" t="s">
        <v>132</v>
      </c>
      <c r="C17" s="2">
        <v>183600</v>
      </c>
      <c r="D17" s="5">
        <v>153</v>
      </c>
      <c r="E17" t="str">
        <f t="shared" si="0"/>
        <v>Low Performer</v>
      </c>
      <c r="F17" t="str">
        <f t="shared" si="1"/>
        <v>Low Performer</v>
      </c>
    </row>
    <row r="18" spans="1:6" x14ac:dyDescent="0.3">
      <c r="A18">
        <v>211</v>
      </c>
      <c r="B18" t="s">
        <v>133</v>
      </c>
      <c r="C18" s="2">
        <v>148612</v>
      </c>
      <c r="D18" s="5">
        <v>245</v>
      </c>
      <c r="E18" t="str">
        <f t="shared" si="0"/>
        <v>Low Performer</v>
      </c>
      <c r="F18" t="str">
        <f t="shared" si="1"/>
        <v>Low Performer</v>
      </c>
    </row>
    <row r="19" spans="1:6" x14ac:dyDescent="0.3">
      <c r="A19">
        <v>217</v>
      </c>
      <c r="B19" t="s">
        <v>134</v>
      </c>
      <c r="C19" s="2">
        <v>144680</v>
      </c>
      <c r="D19" s="5">
        <v>163</v>
      </c>
      <c r="E19" t="str">
        <f t="shared" si="0"/>
        <v>Low Performer</v>
      </c>
      <c r="F19" t="str">
        <f t="shared" si="1"/>
        <v>Low Performer</v>
      </c>
    </row>
    <row r="20" spans="1:6" x14ac:dyDescent="0.3">
      <c r="A20">
        <v>237</v>
      </c>
      <c r="B20" t="s">
        <v>135</v>
      </c>
      <c r="C20" s="2">
        <v>124600</v>
      </c>
      <c r="D20" s="5">
        <v>133</v>
      </c>
      <c r="E20" t="str">
        <f t="shared" si="0"/>
        <v>Low Performer</v>
      </c>
      <c r="F20" t="str">
        <f t="shared" si="1"/>
        <v>Low Performer</v>
      </c>
    </row>
    <row r="21" spans="1:6" x14ac:dyDescent="0.3">
      <c r="A21">
        <v>238</v>
      </c>
      <c r="B21" t="s">
        <v>136</v>
      </c>
      <c r="C21" s="2">
        <v>124200</v>
      </c>
      <c r="D21" s="5">
        <v>242</v>
      </c>
      <c r="E21" t="str">
        <f t="shared" si="0"/>
        <v>Low Performer</v>
      </c>
      <c r="F21" t="str">
        <f t="shared" si="1"/>
        <v>Low Performer</v>
      </c>
    </row>
    <row r="22" spans="1:6" x14ac:dyDescent="0.3">
      <c r="A22">
        <v>246</v>
      </c>
      <c r="B22" t="s">
        <v>137</v>
      </c>
      <c r="C22" s="2">
        <v>122054</v>
      </c>
      <c r="D22" s="5">
        <v>164</v>
      </c>
      <c r="E22" t="str">
        <f t="shared" si="0"/>
        <v>Low Performer</v>
      </c>
      <c r="F22" t="str">
        <f t="shared" si="1"/>
        <v>Low Performer</v>
      </c>
    </row>
    <row r="23" spans="1:6" ht="18" x14ac:dyDescent="0.35">
      <c r="A23" s="3" t="s">
        <v>276</v>
      </c>
      <c r="C23" s="2">
        <f>SUM(C2:C22)</f>
        <v>21550008</v>
      </c>
      <c r="D23" s="5">
        <f>SUM(D2:D22)</f>
        <v>27555</v>
      </c>
    </row>
    <row r="24" spans="1:6" ht="18" x14ac:dyDescent="0.35">
      <c r="A24" s="3" t="s">
        <v>277</v>
      </c>
      <c r="C24" s="2">
        <f>AVERAGE(C2:C22)</f>
        <v>1026190.8571428572</v>
      </c>
      <c r="D24" s="5">
        <f>AVERAGE(D2:D22)</f>
        <v>1312.1428571428571</v>
      </c>
    </row>
    <row r="25" spans="1:6" ht="18" x14ac:dyDescent="0.35">
      <c r="A25" s="3" t="s">
        <v>278</v>
      </c>
      <c r="C25" s="2">
        <f>MIN(C2:C22)</f>
        <v>122054</v>
      </c>
      <c r="D25" s="5">
        <f>MIN(D2:D22)</f>
        <v>94</v>
      </c>
    </row>
    <row r="26" spans="1:6" ht="18" x14ac:dyDescent="0.35">
      <c r="A26" s="3" t="s">
        <v>279</v>
      </c>
      <c r="C26" s="2">
        <f>MAX(C2:C22)</f>
        <v>5510000</v>
      </c>
      <c r="D26" s="5">
        <f>MAX(D2:D22)</f>
        <v>7799</v>
      </c>
    </row>
    <row r="27" spans="1:6" x14ac:dyDescent="0.3">
      <c r="C27" s="2"/>
    </row>
    <row r="28" spans="1:6" x14ac:dyDescent="0.3">
      <c r="C28" s="2"/>
    </row>
    <row r="29" spans="1:6" x14ac:dyDescent="0.3">
      <c r="C29" s="2"/>
    </row>
    <row r="30" spans="1:6" x14ac:dyDescent="0.3">
      <c r="C30" s="2"/>
    </row>
    <row r="31" spans="1:6" x14ac:dyDescent="0.3">
      <c r="C31" s="2"/>
    </row>
    <row r="32" spans="1:6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Chains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2017-03-14T17:27:13Z</dcterms:created>
  <dcterms:modified xsi:type="dcterms:W3CDTF">2020-08-26T09:07:37Z</dcterms:modified>
</cp:coreProperties>
</file>