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joaquinrodriguez/Downloads/"/>
    </mc:Choice>
  </mc:AlternateContent>
  <xr:revisionPtr revIDLastSave="0" documentId="13_ncr:1_{4596E420-DEFF-1040-891E-C183BBAB4948}" xr6:coauthVersionLast="45" xr6:coauthVersionMax="45" xr10:uidLastSave="{00000000-0000-0000-0000-000000000000}"/>
  <workbookProtection lockStructure="1"/>
  <bookViews>
    <workbookView xWindow="14400" yWindow="460" windowWidth="14400" windowHeight="17540" tabRatio="500" activeTab="1" xr2:uid="{00000000-000D-0000-FFFF-FFFF00000000}"/>
  </bookViews>
  <sheets>
    <sheet name="Calculations" sheetId="6" r:id="rId1"/>
    <sheet name="Advanced Calculations" sheetId="8" r:id="rId2"/>
  </sheets>
  <definedNames>
    <definedName name="_xlnm._FilterDatabase" localSheetId="0" hidden="1">Calculations!$A$1:$F$500</definedName>
  </definedNames>
  <calcPr calcId="191029" iterate="1" iterateDelta="9.9999999999999995E-7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1" i="8" l="1"/>
  <c r="B50" i="8"/>
  <c r="J5" i="8"/>
  <c r="J4" i="8"/>
  <c r="D46" i="8" l="1"/>
  <c r="G6" i="8" s="1"/>
  <c r="G5" i="8"/>
  <c r="G10" i="8"/>
  <c r="G11" i="8"/>
  <c r="G12" i="8"/>
  <c r="G13" i="8"/>
  <c r="G18" i="8"/>
  <c r="G20" i="8"/>
  <c r="G21" i="8"/>
  <c r="G26" i="8"/>
  <c r="G27" i="8"/>
  <c r="G28" i="8"/>
  <c r="G29" i="8"/>
  <c r="G34" i="8"/>
  <c r="G36" i="8"/>
  <c r="G37" i="8"/>
  <c r="G42" i="8"/>
  <c r="G43" i="8"/>
  <c r="G2" i="8"/>
  <c r="F35" i="8"/>
  <c r="F43" i="8"/>
  <c r="D45" i="8"/>
  <c r="D47" i="8"/>
  <c r="D48" i="8"/>
  <c r="C48" i="8"/>
  <c r="C47" i="8"/>
  <c r="C46" i="8"/>
  <c r="F4" i="8" s="1"/>
  <c r="C45" i="8"/>
  <c r="D502" i="6"/>
  <c r="D503" i="6"/>
  <c r="D504" i="6"/>
  <c r="D505" i="6"/>
  <c r="C505" i="6"/>
  <c r="C504" i="6"/>
  <c r="C503" i="6"/>
  <c r="C502" i="6"/>
  <c r="F27" i="8" l="1"/>
  <c r="G4" i="8"/>
  <c r="F19" i="8"/>
  <c r="G35" i="8"/>
  <c r="G19" i="8"/>
  <c r="G3" i="8"/>
  <c r="F11" i="8"/>
  <c r="F3" i="8"/>
  <c r="F41" i="8"/>
  <c r="F17" i="8"/>
  <c r="F16" i="8"/>
  <c r="F42" i="8"/>
  <c r="F26" i="8"/>
  <c r="F10" i="8"/>
  <c r="F40" i="8"/>
  <c r="F32" i="8"/>
  <c r="F8" i="8"/>
  <c r="F38" i="8"/>
  <c r="F30" i="8"/>
  <c r="F22" i="8"/>
  <c r="F14" i="8"/>
  <c r="F6" i="8"/>
  <c r="G40" i="8"/>
  <c r="G32" i="8"/>
  <c r="G24" i="8"/>
  <c r="G16" i="8"/>
  <c r="G8" i="8"/>
  <c r="F37" i="8"/>
  <c r="F29" i="8"/>
  <c r="F21" i="8"/>
  <c r="F13" i="8"/>
  <c r="F5" i="8"/>
  <c r="G39" i="8"/>
  <c r="G31" i="8"/>
  <c r="G23" i="8"/>
  <c r="G15" i="8"/>
  <c r="G7" i="8"/>
  <c r="F34" i="8"/>
  <c r="F18" i="8"/>
  <c r="F33" i="8"/>
  <c r="F25" i="8"/>
  <c r="F9" i="8"/>
  <c r="F24" i="8"/>
  <c r="F39" i="8"/>
  <c r="F31" i="8"/>
  <c r="F23" i="8"/>
  <c r="F15" i="8"/>
  <c r="F7" i="8"/>
  <c r="G41" i="8"/>
  <c r="G33" i="8"/>
  <c r="G25" i="8"/>
  <c r="G17" i="8"/>
  <c r="G9" i="8"/>
  <c r="F2" i="8"/>
  <c r="F36" i="8"/>
  <c r="F28" i="8"/>
  <c r="F20" i="8"/>
  <c r="F12" i="8"/>
  <c r="G38" i="8"/>
  <c r="G30" i="8"/>
  <c r="G22" i="8"/>
  <c r="G14" i="8"/>
</calcChain>
</file>

<file path=xl/sharedStrings.xml><?xml version="1.0" encoding="utf-8"?>
<sst xmlns="http://schemas.openxmlformats.org/spreadsheetml/2006/main" count="1606" uniqueCount="539">
  <si>
    <t>Ranksort descending</t>
  </si>
  <si>
    <t>Chain</t>
  </si>
  <si>
    <t>2015 US Sales ($000)</t>
  </si>
  <si>
    <t>2015 US Units</t>
  </si>
  <si>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</si>
  <si>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</si>
  <si>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</si>
  <si>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</si>
  <si>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</si>
  <si>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</si>
  <si>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</si>
  <si>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</si>
  <si>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</si>
  <si>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</si>
  <si>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</si>
  <si>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</si>
  <si>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</si>
  <si>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</si>
  <si>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</si>
  <si>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</si>
  <si>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</si>
  <si>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</si>
  <si>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</si>
  <si>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</si>
  <si>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</si>
  <si>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</si>
  <si>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</si>
  <si>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</si>
  <si>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</si>
  <si>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</si>
  <si>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</si>
  <si>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</si>
  <si>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</si>
  <si>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</si>
  <si>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</si>
  <si>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</si>
  <si>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</si>
  <si>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</si>
  <si>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</si>
  <si>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</si>
  <si>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</si>
  <si>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</si>
  <si>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</si>
  <si>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</si>
  <si>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</si>
  <si>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</si>
  <si>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</si>
  <si>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</si>
  <si>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</si>
  <si>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</si>
  <si>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</si>
  <si>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</si>
  <si>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</si>
  <si>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</si>
  <si>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</si>
  <si>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</si>
  <si>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</si>
  <si>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</si>
  <si>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</si>
  <si>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</si>
  <si>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</si>
  <si>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</si>
  <si>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</si>
  <si>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</si>
  <si>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</si>
  <si>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</si>
  <si>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</si>
  <si>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</si>
  <si>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</si>
  <si>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</si>
  <si>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</si>
  <si>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</si>
  <si>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</si>
  <si>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</si>
  <si>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</si>
  <si>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</si>
  <si>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</si>
  <si>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</si>
  <si>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</si>
  <si>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</si>
  <si>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</si>
  <si>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</si>
  <si>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</si>
  <si>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</si>
  <si>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</si>
  <si>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</si>
  <si>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</si>
  <si>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</si>
  <si>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</si>
  <si>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</si>
  <si>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</si>
  <si>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</si>
  <si>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</si>
  <si>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</si>
  <si>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</si>
  <si>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</si>
  <si>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</si>
  <si>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</si>
  <si>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</si>
  <si>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</si>
  <si>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</si>
  <si>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</si>
  <si>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</si>
  <si>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</si>
  <si>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</si>
  <si>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</si>
  <si>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</si>
  <si>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</si>
  <si>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</si>
  <si>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</si>
  <si>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</si>
  <si>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</si>
  <si>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</si>
  <si>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</si>
  <si>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</si>
  <si>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</si>
  <si>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</si>
  <si>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</si>
  <si>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</si>
  <si>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</si>
  <si>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</si>
  <si>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</si>
  <si>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</si>
  <si>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</si>
  <si>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</si>
  <si>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</si>
  <si>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</si>
  <si>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</si>
  <si>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</si>
  <si>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</si>
  <si>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</si>
  <si>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</si>
  <si>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</si>
  <si>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</si>
  <si>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</si>
  <si>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</si>
  <si>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</si>
  <si>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</si>
  <si>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</si>
  <si>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</si>
  <si>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</si>
  <si>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</si>
  <si>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</si>
  <si>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</si>
  <si>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</si>
  <si>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</si>
  <si>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</si>
  <si>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</si>
  <si>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</si>
  <si>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</si>
  <si>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</si>
  <si>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</si>
  <si>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</si>
  <si>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</si>
  <si>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</si>
  <si>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</si>
  <si>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</si>
  <si>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</si>
  <si>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</si>
  <si>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</si>
  <si>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</si>
  <si>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</si>
  <si>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</si>
  <si>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</si>
  <si>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</si>
  <si>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</si>
  <si>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</si>
  <si>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</si>
  <si>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</si>
  <si>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</si>
  <si>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</si>
  <si>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</si>
  <si>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</si>
  <si>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</si>
  <si>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</si>
  <si>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</si>
  <si>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</si>
  <si>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</si>
  <si>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</si>
  <si>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</si>
  <si>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</si>
  <si>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</si>
  <si>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</si>
  <si>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</si>
  <si>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</si>
  <si>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</si>
  <si>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</si>
  <si>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</si>
  <si>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</si>
  <si>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</si>
  <si>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</si>
  <si>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</si>
  <si>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</si>
  <si>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</si>
  <si>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</si>
  <si>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</si>
  <si>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</si>
  <si>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</si>
  <si>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</si>
  <si>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</si>
  <si>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</si>
  <si>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</si>
  <si>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</si>
  <si>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</si>
  <si>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</si>
  <si>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</si>
  <si>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</si>
  <si>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</si>
  <si>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</si>
  <si>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</si>
  <si>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</si>
  <si>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</si>
  <si>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</si>
  <si>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</si>
  <si>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</si>
  <si>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</si>
  <si>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</si>
  <si>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</si>
  <si>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</si>
  <si>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</si>
  <si>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</si>
  <si>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</si>
  <si>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</si>
  <si>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</si>
  <si>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</si>
  <si>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</si>
  <si>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</si>
  <si>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</si>
  <si>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</si>
  <si>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</si>
  <si>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</si>
  <si>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</si>
  <si>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</si>
  <si>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</si>
  <si>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</si>
  <si>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</si>
  <si>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</si>
  <si>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</si>
  <si>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</si>
  <si>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</si>
  <si>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</si>
  <si>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</si>
  <si>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</si>
  <si>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</si>
  <si>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</si>
  <si>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</si>
  <si>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</si>
  <si>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</si>
  <si>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</si>
  <si>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</si>
  <si>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</si>
  <si>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</si>
  <si>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</si>
  <si>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</si>
  <si>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</si>
  <si>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</si>
  <si>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</si>
  <si>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</si>
  <si>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</si>
  <si>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</si>
  <si>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</si>
  <si>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</si>
  <si>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</si>
  <si>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</si>
  <si>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</si>
  <si>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</si>
  <si>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</si>
  <si>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</si>
  <si>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</si>
  <si>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</si>
  <si>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</si>
  <si>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</si>
  <si>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</si>
  <si>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</si>
  <si>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</si>
  <si>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</si>
  <si>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</si>
  <si>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</si>
  <si>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</si>
  <si>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</si>
  <si>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</si>
  <si>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</si>
  <si>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</si>
  <si>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</si>
  <si>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</si>
  <si>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</si>
  <si>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</si>
  <si>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</si>
  <si>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</si>
  <si>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</si>
  <si>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</si>
  <si>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</si>
  <si>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</si>
  <si>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</si>
  <si>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</si>
  <si>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</si>
  <si>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</si>
  <si>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</si>
  <si>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</si>
  <si>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</si>
  <si>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</si>
  <si>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</si>
  <si>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</si>
  <si>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</si>
  <si>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</si>
  <si>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</si>
  <si>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</si>
  <si>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</si>
  <si>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</si>
  <si>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</si>
  <si>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</si>
  <si>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</si>
  <si>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</si>
  <si>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</si>
  <si>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</si>
  <si>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</si>
  <si>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</si>
  <si>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</si>
  <si>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</si>
  <si>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</si>
  <si>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</si>
  <si>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</si>
  <si>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</si>
  <si>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</si>
  <si>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</si>
  <si>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</si>
  <si>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</si>
  <si>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</si>
  <si>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</si>
  <si>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</si>
  <si>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</si>
  <si>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</si>
  <si>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</si>
  <si>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</si>
  <si>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</si>
  <si>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</si>
  <si>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</si>
  <si>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</si>
  <si>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</si>
  <si>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</si>
  <si>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</si>
  <si>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</si>
  <si>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</si>
  <si>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</si>
  <si>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</si>
  <si>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</si>
  <si>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</si>
  <si>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</si>
  <si>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</si>
  <si>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</si>
  <si>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</si>
  <si>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</si>
  <si>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</si>
  <si>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</si>
  <si>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</si>
  <si>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</si>
  <si>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</si>
  <si>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</si>
  <si>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</si>
  <si>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</si>
  <si>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</si>
  <si>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</si>
  <si>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</si>
  <si>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</si>
  <si>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</si>
  <si>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</si>
  <si>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</si>
  <si>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</si>
  <si>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</si>
  <si>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</si>
  <si>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</si>
  <si>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</si>
  <si>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</si>
  <si>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</si>
  <si>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</si>
  <si>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</si>
  <si>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</si>
  <si>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</si>
  <si>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</si>
  <si>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</si>
  <si>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</si>
  <si>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</si>
  <si>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</si>
  <si>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</si>
  <si>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</si>
  <si>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</si>
  <si>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</si>
  <si>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</si>
  <si>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</si>
  <si>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</si>
  <si>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</si>
  <si>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</si>
  <si>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</si>
  <si>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</si>
  <si>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</si>
  <si>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</si>
  <si>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</si>
  <si>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</si>
  <si>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</si>
  <si>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</si>
  <si>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</si>
  <si>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</si>
  <si>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</si>
  <si>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</si>
  <si>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</si>
  <si>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</si>
  <si>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</si>
  <si>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</si>
  <si>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</si>
  <si>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</si>
  <si>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</si>
  <si>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</si>
  <si>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</si>
  <si>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</si>
  <si>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</si>
  <si>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</si>
  <si>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</si>
  <si>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</si>
  <si>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</si>
  <si>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</si>
  <si>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</si>
  <si>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</si>
  <si>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</si>
  <si>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</si>
  <si>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</si>
  <si>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</si>
  <si>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</si>
  <si>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</si>
  <si>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</si>
  <si>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</si>
  <si>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</si>
  <si>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</si>
  <si>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</si>
  <si>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</si>
  <si>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</si>
  <si>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</si>
  <si>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</si>
  <si>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</si>
  <si>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</si>
  <si>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</si>
  <si>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</si>
  <si>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</si>
  <si>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</si>
  <si>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</si>
  <si>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</si>
  <si>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</si>
  <si>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</si>
  <si>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</si>
  <si>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</si>
  <si>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</si>
  <si>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</si>
  <si>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</si>
  <si>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</si>
  <si>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</si>
  <si>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</si>
  <si>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</si>
  <si>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</si>
  <si>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</si>
  <si>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</si>
  <si>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</si>
  <si>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</si>
  <si>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</si>
  <si>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</si>
  <si>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</si>
  <si>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</si>
  <si>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</si>
  <si>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</si>
  <si>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</si>
  <si>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</si>
  <si>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</si>
  <si>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</si>
  <si>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</si>
  <si>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</si>
  <si>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</si>
  <si>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</si>
  <si>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</si>
  <si>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</si>
  <si>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</si>
  <si>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</si>
  <si>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</si>
  <si>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</si>
  <si>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</si>
  <si>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</si>
  <si>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</si>
  <si>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</si>
  <si>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</si>
  <si>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</si>
  <si>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</si>
  <si>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</si>
  <si>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</si>
  <si>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</si>
  <si>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</si>
  <si>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</si>
  <si>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</si>
  <si>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</si>
  <si>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</si>
  <si>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</si>
  <si>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</si>
  <si>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</si>
  <si>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</si>
  <si>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</si>
  <si>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</si>
  <si>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</si>
  <si>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</si>
  <si>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</si>
  <si>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</si>
  <si>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</si>
  <si>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</si>
  <si>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</si>
  <si>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</si>
  <si>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</si>
  <si>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</si>
  <si>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</si>
  <si>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</si>
  <si>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</si>
  <si>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</si>
  <si>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</si>
  <si>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</si>
  <si>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</si>
  <si>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</si>
  <si>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</si>
  <si>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</si>
  <si>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</si>
  <si>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</si>
  <si>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</si>
  <si>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</si>
  <si>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</si>
  <si>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</si>
  <si>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Total</t>
  </si>
  <si>
    <t>Average</t>
  </si>
  <si>
    <t>Min</t>
  </si>
  <si>
    <t>Max</t>
  </si>
  <si>
    <t>Above Average Sales</t>
  </si>
  <si>
    <t>Alluvia's number of unts</t>
  </si>
  <si>
    <t>Sbarro's number of unts</t>
  </si>
  <si>
    <t>Row of the chain with the lowest number of units</t>
  </si>
  <si>
    <t>Chain Name</t>
  </si>
  <si>
    <t>Name of the chain in row 23</t>
  </si>
  <si>
    <t>Above Average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</si>
</sst>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500AC-0FC0-7244-AE0B-7622C9CD8C8A}" name="Table1" displayName="Table1" ref="A1:F500" totalsRowShown="0" headerRowDxfId="2">
  <autoFilter ref="A1:F500" xr:uid="{309F672C-BAF8-A342-BA15-4A0E957D2E61}">
    <filterColumn colId="5">
      <filters>
        <filter val="Pizza"/>
      </filters>
    </filterColumn>
  </autoFilter>
  <tableColumns count="6">
    <tableColumn id="1" xr3:uid="{E00610B3-08CC-BD4D-B4CF-2666C6469085}" name="Ranksort descending"/>
    <tableColumn id="2" xr3:uid="{38F8AE4D-C393-2D49-BE31-24F3ED69AC19}" name="Chain"/>
    <tableColumn id="3" xr3:uid="{7438B225-89DB-EE40-A423-5584A34B0D86}" name="2015 US Sales ($000)" dataDxfId="1"/>
    <tableColumn id="4" xr3:uid="{07E2412E-833D-5641-B094-6ADB04A16288}" name="2015 US Units" dataDxfId="0"/>
    <tableColumn id="5" xr3:uid="{B4F64A58-50DC-9644-82F4-B7CEF8B92153}" name="Segment"/>
    <tableColumn id="6" xr3:uid="{CB176E6F-21E1-FF40-828C-C7A93E2E6017}" name="Menu 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workbookViewId="0">
      <selection activeCell="F1" sqref="F1"/>
    </sheetView>
  </sheetViews>
  <sheetFormatPr baseColWidth="10" defaultRowHeight="16" x14ac:dyDescent="0.2"/>
  <cols>
    <col min="1" max="1" width="27.1640625" customWidth="1"/>
    <col min="2" max="2" width="38.5" bestFit="1" customWidth="1"/>
    <col min="3" max="3" width="26.5" customWidth="1"/>
    <col min="4" max="4" width="19" customWidth="1"/>
    <col min="5" max="5" width="13.5" customWidth="1"/>
    <col min="6" max="6" width="21" customWidth="1"/>
  </cols>
  <sheetData>
    <row r="1" spans="1:6" ht="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idden="1" x14ac:dyDescent="0.2">
      <c r="A2">
        <v>1</v>
      </c>
      <c r="B2" t="s">
        <v>6</v>
      </c>
      <c r="C2" s="2">
        <v>35837200</v>
      </c>
      <c r="D2">
        <v>14259</v>
      </c>
      <c r="E2" t="s">
        <v>7</v>
      </c>
      <c r="F2" t="s">
        <v>8</v>
      </c>
    </row>
    <row r="3" spans="1:6" hidden="1" x14ac:dyDescent="0.2">
      <c r="A3">
        <v>2</v>
      </c>
      <c r="B3" t="s">
        <v>9</v>
      </c>
      <c r="C3" s="2">
        <v>13936114</v>
      </c>
      <c r="D3">
        <v>13066</v>
      </c>
      <c r="E3" t="s">
        <v>7</v>
      </c>
      <c r="F3" t="s">
        <v>10</v>
      </c>
    </row>
    <row r="4" spans="1:6" hidden="1" x14ac:dyDescent="0.2">
      <c r="A4">
        <v>3</v>
      </c>
      <c r="B4" t="s">
        <v>11</v>
      </c>
      <c r="C4" s="2">
        <v>11500000</v>
      </c>
      <c r="D4">
        <v>27103</v>
      </c>
      <c r="E4" t="s">
        <v>7</v>
      </c>
      <c r="F4" t="s">
        <v>12</v>
      </c>
    </row>
    <row r="5" spans="1:6" hidden="1" x14ac:dyDescent="0.2">
      <c r="A5">
        <v>4</v>
      </c>
      <c r="B5" t="s">
        <v>13</v>
      </c>
      <c r="C5" s="2">
        <v>9100000</v>
      </c>
      <c r="D5">
        <v>6121</v>
      </c>
      <c r="E5" t="s">
        <v>7</v>
      </c>
      <c r="F5" t="s">
        <v>14</v>
      </c>
    </row>
    <row r="6" spans="1:6" hidden="1" x14ac:dyDescent="0.2">
      <c r="A6">
        <v>5</v>
      </c>
      <c r="B6" t="s">
        <v>15</v>
      </c>
      <c r="C6" s="2">
        <v>9000000</v>
      </c>
      <c r="D6">
        <v>7086</v>
      </c>
      <c r="E6" t="s">
        <v>7</v>
      </c>
      <c r="F6" t="s">
        <v>8</v>
      </c>
    </row>
    <row r="7" spans="1:6" hidden="1" x14ac:dyDescent="0.2">
      <c r="A7">
        <v>6</v>
      </c>
      <c r="B7" t="s">
        <v>16</v>
      </c>
      <c r="C7" s="2">
        <v>8777400</v>
      </c>
      <c r="D7">
        <v>5722</v>
      </c>
      <c r="E7" t="s">
        <v>7</v>
      </c>
      <c r="F7" t="s">
        <v>8</v>
      </c>
    </row>
    <row r="8" spans="1:6" hidden="1" x14ac:dyDescent="0.2">
      <c r="A8">
        <v>7</v>
      </c>
      <c r="B8" t="s">
        <v>17</v>
      </c>
      <c r="C8" s="2">
        <v>7624140</v>
      </c>
      <c r="D8">
        <v>8431</v>
      </c>
      <c r="E8" t="s">
        <v>7</v>
      </c>
      <c r="F8" t="s">
        <v>10</v>
      </c>
    </row>
    <row r="9" spans="1:6" hidden="1" x14ac:dyDescent="0.2">
      <c r="A9">
        <v>8</v>
      </c>
      <c r="B9" t="s">
        <v>18</v>
      </c>
      <c r="C9" s="2">
        <v>6291000</v>
      </c>
      <c r="D9">
        <v>1950</v>
      </c>
      <c r="E9" t="s">
        <v>7</v>
      </c>
      <c r="F9" t="s">
        <v>19</v>
      </c>
    </row>
    <row r="10" spans="1:6" x14ac:dyDescent="0.2">
      <c r="A10">
        <v>9</v>
      </c>
      <c r="B10" t="s">
        <v>20</v>
      </c>
      <c r="C10" s="2">
        <v>5510000</v>
      </c>
      <c r="D10">
        <v>7799</v>
      </c>
      <c r="E10" t="s">
        <v>7</v>
      </c>
      <c r="F10" t="s">
        <v>21</v>
      </c>
    </row>
    <row r="11" spans="1:6" hidden="1" x14ac:dyDescent="0.2">
      <c r="A11">
        <v>10</v>
      </c>
      <c r="B11" t="s">
        <v>22</v>
      </c>
      <c r="C11" s="2">
        <v>4795900</v>
      </c>
      <c r="D11">
        <v>1955</v>
      </c>
      <c r="E11" t="s">
        <v>23</v>
      </c>
      <c r="F11" t="s">
        <v>24</v>
      </c>
    </row>
    <row r="12" spans="1:6" hidden="1" x14ac:dyDescent="0.2">
      <c r="A12">
        <v>11</v>
      </c>
      <c r="B12" t="s">
        <v>25</v>
      </c>
      <c r="C12" s="2">
        <v>4739442</v>
      </c>
      <c r="D12">
        <v>1878</v>
      </c>
      <c r="E12" t="s">
        <v>26</v>
      </c>
      <c r="F12" t="s">
        <v>27</v>
      </c>
    </row>
    <row r="13" spans="1:6" x14ac:dyDescent="0.2">
      <c r="A13">
        <v>12</v>
      </c>
      <c r="B13" t="s">
        <v>28</v>
      </c>
      <c r="C13" s="2">
        <v>4708587</v>
      </c>
      <c r="D13">
        <v>5200</v>
      </c>
      <c r="E13" t="s">
        <v>7</v>
      </c>
      <c r="F13" t="s">
        <v>21</v>
      </c>
    </row>
    <row r="14" spans="1:6" hidden="1" x14ac:dyDescent="0.2">
      <c r="A14">
        <v>13</v>
      </c>
      <c r="B14" t="s">
        <v>29</v>
      </c>
      <c r="C14" s="2">
        <v>4419590</v>
      </c>
      <c r="D14">
        <v>1987</v>
      </c>
      <c r="E14" t="s">
        <v>23</v>
      </c>
      <c r="F14" t="s">
        <v>14</v>
      </c>
    </row>
    <row r="15" spans="1:6" hidden="1" x14ac:dyDescent="0.2">
      <c r="A15">
        <v>14</v>
      </c>
      <c r="B15" t="s">
        <v>30</v>
      </c>
      <c r="C15" s="2">
        <v>4413661</v>
      </c>
      <c r="D15">
        <v>3529</v>
      </c>
      <c r="E15" t="s">
        <v>7</v>
      </c>
      <c r="F15" t="s">
        <v>8</v>
      </c>
    </row>
    <row r="16" spans="1:6" hidden="1" x14ac:dyDescent="0.2">
      <c r="A16">
        <v>15</v>
      </c>
      <c r="B16" t="s">
        <v>31</v>
      </c>
      <c r="C16" s="2">
        <v>4001490</v>
      </c>
      <c r="D16">
        <v>4270</v>
      </c>
      <c r="E16" t="s">
        <v>7</v>
      </c>
      <c r="F16" t="s">
        <v>19</v>
      </c>
    </row>
    <row r="17" spans="1:6" hidden="1" x14ac:dyDescent="0.2">
      <c r="A17">
        <v>16</v>
      </c>
      <c r="B17" t="s">
        <v>32</v>
      </c>
      <c r="C17" s="2">
        <v>3743000</v>
      </c>
      <c r="D17">
        <v>841</v>
      </c>
      <c r="E17" t="s">
        <v>26</v>
      </c>
      <c r="F17" t="s">
        <v>33</v>
      </c>
    </row>
    <row r="18" spans="1:6" hidden="1" x14ac:dyDescent="0.2">
      <c r="A18">
        <v>17</v>
      </c>
      <c r="B18" t="s">
        <v>34</v>
      </c>
      <c r="C18" s="2">
        <v>3567155</v>
      </c>
      <c r="D18">
        <v>1145</v>
      </c>
      <c r="E18" t="s">
        <v>26</v>
      </c>
      <c r="F18" t="s">
        <v>35</v>
      </c>
    </row>
    <row r="19" spans="1:6" hidden="1" x14ac:dyDescent="0.2">
      <c r="A19">
        <v>18</v>
      </c>
      <c r="B19" t="s">
        <v>36</v>
      </c>
      <c r="C19" s="2">
        <v>3531186</v>
      </c>
      <c r="D19">
        <v>4506</v>
      </c>
      <c r="E19" t="s">
        <v>7</v>
      </c>
      <c r="F19" t="s">
        <v>37</v>
      </c>
    </row>
    <row r="20" spans="1:6" x14ac:dyDescent="0.2">
      <c r="A20">
        <v>19</v>
      </c>
      <c r="B20" t="s">
        <v>38</v>
      </c>
      <c r="C20" s="2">
        <v>3500000</v>
      </c>
      <c r="D20" s="1">
        <v>4250</v>
      </c>
      <c r="E20" t="s">
        <v>7</v>
      </c>
      <c r="F20" t="s">
        <v>21</v>
      </c>
    </row>
    <row r="21" spans="1:6" hidden="1" x14ac:dyDescent="0.2">
      <c r="A21">
        <v>20</v>
      </c>
      <c r="B21" t="s">
        <v>39</v>
      </c>
      <c r="C21" s="2">
        <v>3450855</v>
      </c>
      <c r="D21">
        <v>3214</v>
      </c>
      <c r="E21" t="s">
        <v>7</v>
      </c>
      <c r="F21" t="s">
        <v>12</v>
      </c>
    </row>
    <row r="22" spans="1:6" hidden="1" x14ac:dyDescent="0.2">
      <c r="A22">
        <v>21</v>
      </c>
      <c r="B22" t="s">
        <v>40</v>
      </c>
      <c r="C22" s="2">
        <v>3405547</v>
      </c>
      <c r="D22">
        <v>1261</v>
      </c>
      <c r="E22" t="s">
        <v>26</v>
      </c>
      <c r="F22" t="s">
        <v>27</v>
      </c>
    </row>
    <row r="23" spans="1:6" hidden="1" x14ac:dyDescent="0.2">
      <c r="A23">
        <v>22</v>
      </c>
      <c r="B23" t="s">
        <v>41</v>
      </c>
      <c r="C23" s="2">
        <v>3338150</v>
      </c>
      <c r="D23">
        <v>2252</v>
      </c>
      <c r="E23" t="s">
        <v>7</v>
      </c>
      <c r="F23" t="s">
        <v>8</v>
      </c>
    </row>
    <row r="24" spans="1:6" hidden="1" x14ac:dyDescent="0.2">
      <c r="A24">
        <v>23</v>
      </c>
      <c r="B24" t="s">
        <v>42</v>
      </c>
      <c r="C24" s="2">
        <v>3255000</v>
      </c>
      <c r="D24">
        <v>1604</v>
      </c>
      <c r="E24" t="s">
        <v>43</v>
      </c>
      <c r="F24" t="s">
        <v>44</v>
      </c>
    </row>
    <row r="25" spans="1:6" x14ac:dyDescent="0.2">
      <c r="A25">
        <v>24</v>
      </c>
      <c r="B25" t="s">
        <v>45</v>
      </c>
      <c r="C25" s="2">
        <v>2816017</v>
      </c>
      <c r="D25">
        <v>3290</v>
      </c>
      <c r="E25" t="s">
        <v>7</v>
      </c>
      <c r="F25" t="s">
        <v>21</v>
      </c>
    </row>
    <row r="26" spans="1:6" hidden="1" x14ac:dyDescent="0.2">
      <c r="A26">
        <v>25</v>
      </c>
      <c r="B26" t="s">
        <v>141</v>
      </c>
      <c r="C26" s="2">
        <v>2720250</v>
      </c>
      <c r="D26">
        <v>1970</v>
      </c>
      <c r="E26" t="s">
        <v>7</v>
      </c>
      <c r="F26" t="s">
        <v>19</v>
      </c>
    </row>
    <row r="27" spans="1:6" hidden="1" x14ac:dyDescent="0.2">
      <c r="A27">
        <v>26</v>
      </c>
      <c r="B27" t="s">
        <v>46</v>
      </c>
      <c r="C27" s="2">
        <v>2566000</v>
      </c>
      <c r="D27">
        <v>755</v>
      </c>
      <c r="E27" t="s">
        <v>26</v>
      </c>
      <c r="F27" t="s">
        <v>47</v>
      </c>
    </row>
    <row r="28" spans="1:6" hidden="1" x14ac:dyDescent="0.2">
      <c r="A28">
        <v>27</v>
      </c>
      <c r="B28" t="s">
        <v>48</v>
      </c>
      <c r="C28" s="2">
        <v>2550184</v>
      </c>
      <c r="D28">
        <v>1790</v>
      </c>
      <c r="E28" t="s">
        <v>23</v>
      </c>
      <c r="F28" t="s">
        <v>49</v>
      </c>
    </row>
    <row r="29" spans="1:6" hidden="1" x14ac:dyDescent="0.2">
      <c r="A29">
        <v>28</v>
      </c>
      <c r="B29" t="s">
        <v>50</v>
      </c>
      <c r="C29" s="2">
        <v>2548000</v>
      </c>
      <c r="D29">
        <v>1599</v>
      </c>
      <c r="E29" t="s">
        <v>43</v>
      </c>
      <c r="F29" t="s">
        <v>44</v>
      </c>
    </row>
    <row r="30" spans="1:6" hidden="1" x14ac:dyDescent="0.2">
      <c r="A30">
        <v>29</v>
      </c>
      <c r="B30" t="s">
        <v>51</v>
      </c>
      <c r="C30" s="2">
        <v>2410900</v>
      </c>
      <c r="D30">
        <v>662</v>
      </c>
      <c r="E30" t="s">
        <v>26</v>
      </c>
      <c r="F30" t="s">
        <v>52</v>
      </c>
    </row>
    <row r="31" spans="1:6" hidden="1" x14ac:dyDescent="0.2">
      <c r="A31">
        <v>30</v>
      </c>
      <c r="B31" t="s">
        <v>53</v>
      </c>
      <c r="C31" s="2">
        <v>2288542</v>
      </c>
      <c r="D31">
        <v>635</v>
      </c>
      <c r="E31" t="s">
        <v>43</v>
      </c>
      <c r="F31" t="s">
        <v>44</v>
      </c>
    </row>
    <row r="32" spans="1:6" hidden="1" x14ac:dyDescent="0.2">
      <c r="A32">
        <v>31</v>
      </c>
      <c r="B32" t="s">
        <v>54</v>
      </c>
      <c r="C32" s="2">
        <v>2164807</v>
      </c>
      <c r="D32">
        <v>1805</v>
      </c>
      <c r="E32" t="s">
        <v>7</v>
      </c>
      <c r="F32" t="s">
        <v>8</v>
      </c>
    </row>
    <row r="33" spans="1:6" hidden="1" x14ac:dyDescent="0.2">
      <c r="A33">
        <v>32</v>
      </c>
      <c r="B33" t="s">
        <v>55</v>
      </c>
      <c r="C33" s="2">
        <v>2145385</v>
      </c>
      <c r="D33">
        <v>473</v>
      </c>
      <c r="E33" t="s">
        <v>26</v>
      </c>
      <c r="F33" t="s">
        <v>47</v>
      </c>
    </row>
    <row r="34" spans="1:6" hidden="1" x14ac:dyDescent="0.2">
      <c r="A34">
        <v>33</v>
      </c>
      <c r="B34" t="s">
        <v>56</v>
      </c>
      <c r="C34" s="2">
        <v>2018700</v>
      </c>
      <c r="D34" s="1">
        <v>2450</v>
      </c>
      <c r="E34" t="s">
        <v>23</v>
      </c>
      <c r="F34" t="s">
        <v>12</v>
      </c>
    </row>
    <row r="35" spans="1:6" hidden="1" x14ac:dyDescent="0.2">
      <c r="A35">
        <v>34</v>
      </c>
      <c r="B35" t="s">
        <v>57</v>
      </c>
      <c r="C35" s="2">
        <v>2001306</v>
      </c>
      <c r="D35">
        <v>791</v>
      </c>
      <c r="E35" t="s">
        <v>7</v>
      </c>
      <c r="F35" t="s">
        <v>8</v>
      </c>
    </row>
    <row r="36" spans="1:6" hidden="1" x14ac:dyDescent="0.2">
      <c r="A36">
        <v>35</v>
      </c>
      <c r="B36" t="s">
        <v>58</v>
      </c>
      <c r="C36" s="2">
        <v>1913758</v>
      </c>
      <c r="D36">
        <v>187</v>
      </c>
      <c r="E36" t="s">
        <v>26</v>
      </c>
      <c r="F36" t="s">
        <v>27</v>
      </c>
    </row>
    <row r="37" spans="1:6" hidden="1" x14ac:dyDescent="0.2">
      <c r="A37">
        <v>36</v>
      </c>
      <c r="B37" t="s">
        <v>59</v>
      </c>
      <c r="C37" s="2">
        <v>1740189</v>
      </c>
      <c r="D37">
        <v>484</v>
      </c>
      <c r="E37" t="s">
        <v>7</v>
      </c>
      <c r="F37" t="s">
        <v>60</v>
      </c>
    </row>
    <row r="38" spans="1:6" hidden="1" x14ac:dyDescent="0.2">
      <c r="A38">
        <v>37</v>
      </c>
      <c r="B38" t="s">
        <v>61</v>
      </c>
      <c r="C38" s="2">
        <v>1570000</v>
      </c>
      <c r="D38">
        <v>487</v>
      </c>
      <c r="E38" t="s">
        <v>26</v>
      </c>
      <c r="F38" t="s">
        <v>47</v>
      </c>
    </row>
    <row r="39" spans="1:6" hidden="1" x14ac:dyDescent="0.2">
      <c r="A39">
        <v>38</v>
      </c>
      <c r="B39" t="s">
        <v>62</v>
      </c>
      <c r="C39" s="2">
        <v>1567000</v>
      </c>
      <c r="D39">
        <v>485</v>
      </c>
      <c r="E39" t="s">
        <v>26</v>
      </c>
      <c r="F39" t="s">
        <v>27</v>
      </c>
    </row>
    <row r="40" spans="1:6" hidden="1" x14ac:dyDescent="0.2">
      <c r="A40">
        <v>39</v>
      </c>
      <c r="B40" t="s">
        <v>63</v>
      </c>
      <c r="C40" s="2">
        <v>1501080</v>
      </c>
      <c r="D40">
        <v>510</v>
      </c>
      <c r="E40" t="s">
        <v>26</v>
      </c>
      <c r="F40" t="s">
        <v>27</v>
      </c>
    </row>
    <row r="41" spans="1:6" hidden="1" x14ac:dyDescent="0.2">
      <c r="A41">
        <v>40</v>
      </c>
      <c r="B41" t="s">
        <v>64</v>
      </c>
      <c r="C41" s="2">
        <v>1496489</v>
      </c>
      <c r="D41">
        <v>1153</v>
      </c>
      <c r="E41" t="s">
        <v>7</v>
      </c>
      <c r="F41" t="s">
        <v>8</v>
      </c>
    </row>
    <row r="42" spans="1:6" hidden="1" x14ac:dyDescent="0.2">
      <c r="A42">
        <v>41</v>
      </c>
      <c r="B42" t="s">
        <v>65</v>
      </c>
      <c r="C42" s="2">
        <v>1478400</v>
      </c>
      <c r="D42">
        <v>748</v>
      </c>
      <c r="E42" t="s">
        <v>23</v>
      </c>
      <c r="F42" t="s">
        <v>19</v>
      </c>
    </row>
    <row r="43" spans="1:6" hidden="1" x14ac:dyDescent="0.2">
      <c r="A43">
        <v>42</v>
      </c>
      <c r="B43" t="s">
        <v>66</v>
      </c>
      <c r="C43" s="2">
        <v>1319491</v>
      </c>
      <c r="D43">
        <v>1215</v>
      </c>
      <c r="E43" t="s">
        <v>23</v>
      </c>
      <c r="F43" t="s">
        <v>8</v>
      </c>
    </row>
    <row r="44" spans="1:6" hidden="1" x14ac:dyDescent="0.2">
      <c r="A44">
        <v>43</v>
      </c>
      <c r="B44" t="s">
        <v>67</v>
      </c>
      <c r="C44" s="2">
        <v>1196038</v>
      </c>
      <c r="D44">
        <v>559</v>
      </c>
      <c r="E44" t="s">
        <v>7</v>
      </c>
      <c r="F44" t="s">
        <v>8</v>
      </c>
    </row>
    <row r="45" spans="1:6" hidden="1" x14ac:dyDescent="0.2">
      <c r="A45">
        <v>44</v>
      </c>
      <c r="B45" t="s">
        <v>68</v>
      </c>
      <c r="C45" s="2">
        <v>1179029</v>
      </c>
      <c r="D45">
        <v>684</v>
      </c>
      <c r="E45" t="s">
        <v>26</v>
      </c>
      <c r="F45" t="s">
        <v>27</v>
      </c>
    </row>
    <row r="46" spans="1:6" hidden="1" x14ac:dyDescent="0.2">
      <c r="A46">
        <v>45</v>
      </c>
      <c r="B46" t="s">
        <v>69</v>
      </c>
      <c r="C46" s="2">
        <v>1150651</v>
      </c>
      <c r="D46">
        <v>659</v>
      </c>
      <c r="E46" t="s">
        <v>7</v>
      </c>
      <c r="F46" t="s">
        <v>19</v>
      </c>
    </row>
    <row r="47" spans="1:6" hidden="1" x14ac:dyDescent="0.2">
      <c r="A47">
        <v>46</v>
      </c>
      <c r="B47" t="s">
        <v>70</v>
      </c>
      <c r="C47" s="2">
        <v>1035637</v>
      </c>
      <c r="D47">
        <v>557</v>
      </c>
      <c r="E47" t="s">
        <v>7</v>
      </c>
      <c r="F47" t="s">
        <v>8</v>
      </c>
    </row>
    <row r="48" spans="1:6" hidden="1" x14ac:dyDescent="0.2">
      <c r="A48">
        <v>47</v>
      </c>
      <c r="B48" t="s">
        <v>71</v>
      </c>
      <c r="C48" s="2">
        <v>1030700</v>
      </c>
      <c r="D48" s="1">
        <v>1805</v>
      </c>
      <c r="E48" t="s">
        <v>43</v>
      </c>
      <c r="F48" t="s">
        <v>44</v>
      </c>
    </row>
    <row r="49" spans="1:6" hidden="1" x14ac:dyDescent="0.2">
      <c r="A49">
        <v>48</v>
      </c>
      <c r="B49" t="s">
        <v>72</v>
      </c>
      <c r="C49" s="2">
        <v>946205</v>
      </c>
      <c r="D49">
        <v>548</v>
      </c>
      <c r="E49" t="s">
        <v>43</v>
      </c>
      <c r="F49" t="s">
        <v>44</v>
      </c>
    </row>
    <row r="50" spans="1:6" hidden="1" x14ac:dyDescent="0.2">
      <c r="A50">
        <v>49</v>
      </c>
      <c r="B50" t="s">
        <v>73</v>
      </c>
      <c r="C50" s="2">
        <v>919597</v>
      </c>
      <c r="D50">
        <v>171</v>
      </c>
      <c r="E50" t="s">
        <v>26</v>
      </c>
      <c r="F50" t="s">
        <v>27</v>
      </c>
    </row>
    <row r="51" spans="1:6" hidden="1" x14ac:dyDescent="0.2">
      <c r="A51">
        <v>50</v>
      </c>
      <c r="B51" t="s">
        <v>74</v>
      </c>
      <c r="C51" s="2">
        <v>892300</v>
      </c>
      <c r="D51">
        <v>214</v>
      </c>
      <c r="E51" t="s">
        <v>26</v>
      </c>
      <c r="F51" t="s">
        <v>75</v>
      </c>
    </row>
    <row r="52" spans="1:6" x14ac:dyDescent="0.2">
      <c r="A52">
        <v>51</v>
      </c>
      <c r="B52" t="s">
        <v>76</v>
      </c>
      <c r="C52" s="2">
        <v>880429</v>
      </c>
      <c r="D52">
        <v>1496</v>
      </c>
      <c r="E52" t="s">
        <v>7</v>
      </c>
      <c r="F52" t="s">
        <v>21</v>
      </c>
    </row>
    <row r="53" spans="1:6" hidden="1" x14ac:dyDescent="0.2">
      <c r="A53">
        <v>52</v>
      </c>
      <c r="B53" t="s">
        <v>77</v>
      </c>
      <c r="C53" s="2">
        <v>855800</v>
      </c>
      <c r="D53" s="1">
        <v>1145</v>
      </c>
      <c r="E53" t="s">
        <v>7</v>
      </c>
      <c r="F53" t="s">
        <v>19</v>
      </c>
    </row>
    <row r="54" spans="1:6" hidden="1" x14ac:dyDescent="0.2">
      <c r="A54">
        <v>53</v>
      </c>
      <c r="B54" t="s">
        <v>78</v>
      </c>
      <c r="C54" s="2">
        <v>829300</v>
      </c>
      <c r="D54">
        <v>344</v>
      </c>
      <c r="E54" t="s">
        <v>26</v>
      </c>
      <c r="F54" t="s">
        <v>35</v>
      </c>
    </row>
    <row r="55" spans="1:6" hidden="1" x14ac:dyDescent="0.2">
      <c r="A55">
        <v>54</v>
      </c>
      <c r="B55" t="s">
        <v>79</v>
      </c>
      <c r="C55" s="2">
        <v>768622</v>
      </c>
      <c r="D55">
        <v>786</v>
      </c>
      <c r="E55" t="s">
        <v>23</v>
      </c>
      <c r="F55" t="s">
        <v>19</v>
      </c>
    </row>
    <row r="56" spans="1:6" hidden="1" x14ac:dyDescent="0.2">
      <c r="A56">
        <v>55</v>
      </c>
      <c r="B56" t="s">
        <v>80</v>
      </c>
      <c r="C56" s="2">
        <v>753340</v>
      </c>
      <c r="D56">
        <v>433</v>
      </c>
      <c r="E56" t="s">
        <v>7</v>
      </c>
      <c r="F56" t="s">
        <v>19</v>
      </c>
    </row>
    <row r="57" spans="1:6" hidden="1" x14ac:dyDescent="0.2">
      <c r="A57">
        <v>56</v>
      </c>
      <c r="B57" t="s">
        <v>81</v>
      </c>
      <c r="C57" s="2">
        <v>744943</v>
      </c>
      <c r="D57">
        <v>670</v>
      </c>
      <c r="E57" t="s">
        <v>23</v>
      </c>
      <c r="F57" t="s">
        <v>14</v>
      </c>
    </row>
    <row r="58" spans="1:6" hidden="1" x14ac:dyDescent="0.2">
      <c r="A58">
        <v>57</v>
      </c>
      <c r="B58" t="s">
        <v>82</v>
      </c>
      <c r="C58" s="2">
        <v>742500</v>
      </c>
      <c r="D58">
        <v>228</v>
      </c>
      <c r="E58" t="s">
        <v>26</v>
      </c>
      <c r="F58" t="s">
        <v>33</v>
      </c>
    </row>
    <row r="59" spans="1:6" hidden="1" x14ac:dyDescent="0.2">
      <c r="A59">
        <v>58</v>
      </c>
      <c r="B59" t="s">
        <v>83</v>
      </c>
      <c r="C59" s="2">
        <v>729000</v>
      </c>
      <c r="D59">
        <v>247</v>
      </c>
      <c r="E59" t="s">
        <v>26</v>
      </c>
      <c r="F59" t="s">
        <v>33</v>
      </c>
    </row>
    <row r="60" spans="1:6" hidden="1" x14ac:dyDescent="0.2">
      <c r="A60">
        <v>59</v>
      </c>
      <c r="B60" t="s">
        <v>84</v>
      </c>
      <c r="C60" s="2">
        <v>708143</v>
      </c>
      <c r="D60">
        <v>294</v>
      </c>
      <c r="E60" t="s">
        <v>7</v>
      </c>
      <c r="F60" t="s">
        <v>85</v>
      </c>
    </row>
    <row r="61" spans="1:6" hidden="1" x14ac:dyDescent="0.2">
      <c r="A61">
        <v>60</v>
      </c>
      <c r="B61" t="s">
        <v>86</v>
      </c>
      <c r="C61" s="2">
        <v>707000</v>
      </c>
      <c r="D61">
        <v>256</v>
      </c>
      <c r="E61" t="s">
        <v>26</v>
      </c>
      <c r="F61" t="s">
        <v>47</v>
      </c>
    </row>
    <row r="62" spans="1:6" hidden="1" x14ac:dyDescent="0.2">
      <c r="A62">
        <v>61</v>
      </c>
      <c r="B62" t="s">
        <v>87</v>
      </c>
      <c r="C62" s="2">
        <v>706900</v>
      </c>
      <c r="D62">
        <v>168</v>
      </c>
      <c r="E62" t="s">
        <v>26</v>
      </c>
      <c r="F62" t="s">
        <v>27</v>
      </c>
    </row>
    <row r="63" spans="1:6" hidden="1" x14ac:dyDescent="0.2">
      <c r="A63">
        <v>62</v>
      </c>
      <c r="B63" t="s">
        <v>88</v>
      </c>
      <c r="C63" s="2">
        <v>700166</v>
      </c>
      <c r="D63">
        <v>543</v>
      </c>
      <c r="E63" t="s">
        <v>7</v>
      </c>
      <c r="F63" t="s">
        <v>14</v>
      </c>
    </row>
    <row r="64" spans="1:6" hidden="1" x14ac:dyDescent="0.2">
      <c r="A64">
        <v>63</v>
      </c>
      <c r="B64" t="s">
        <v>89</v>
      </c>
      <c r="C64" s="2">
        <v>675000</v>
      </c>
      <c r="D64">
        <v>1046</v>
      </c>
      <c r="E64" t="s">
        <v>23</v>
      </c>
      <c r="F64" t="s">
        <v>12</v>
      </c>
    </row>
    <row r="65" spans="1:6" hidden="1" x14ac:dyDescent="0.2">
      <c r="A65">
        <v>64</v>
      </c>
      <c r="B65" t="s">
        <v>90</v>
      </c>
      <c r="C65" s="2">
        <v>668960</v>
      </c>
      <c r="D65">
        <v>650</v>
      </c>
      <c r="E65" t="s">
        <v>7</v>
      </c>
      <c r="F65" t="s">
        <v>10</v>
      </c>
    </row>
    <row r="66" spans="1:6" hidden="1" x14ac:dyDescent="0.2">
      <c r="A66">
        <v>65</v>
      </c>
      <c r="B66" t="s">
        <v>91</v>
      </c>
      <c r="C66" s="2">
        <v>654300</v>
      </c>
      <c r="D66">
        <v>262</v>
      </c>
      <c r="E66" t="s">
        <v>23</v>
      </c>
      <c r="F66" t="s">
        <v>12</v>
      </c>
    </row>
    <row r="67" spans="1:6" hidden="1" x14ac:dyDescent="0.2">
      <c r="A67">
        <v>66</v>
      </c>
      <c r="B67" t="s">
        <v>92</v>
      </c>
      <c r="C67" s="2">
        <v>648528</v>
      </c>
      <c r="D67">
        <v>943</v>
      </c>
      <c r="E67" t="s">
        <v>23</v>
      </c>
      <c r="F67" t="s">
        <v>12</v>
      </c>
    </row>
    <row r="68" spans="1:6" hidden="1" x14ac:dyDescent="0.2">
      <c r="A68">
        <v>67</v>
      </c>
      <c r="B68" t="s">
        <v>93</v>
      </c>
      <c r="C68" s="2">
        <v>644152</v>
      </c>
      <c r="D68">
        <v>386</v>
      </c>
      <c r="E68" t="s">
        <v>43</v>
      </c>
      <c r="F68" t="s">
        <v>44</v>
      </c>
    </row>
    <row r="69" spans="1:6" hidden="1" x14ac:dyDescent="0.2">
      <c r="A69">
        <v>68</v>
      </c>
      <c r="B69" t="s">
        <v>94</v>
      </c>
      <c r="C69" s="2">
        <v>638120</v>
      </c>
      <c r="D69">
        <v>637</v>
      </c>
      <c r="E69" t="s">
        <v>23</v>
      </c>
      <c r="F69" t="s">
        <v>14</v>
      </c>
    </row>
    <row r="70" spans="1:6" hidden="1" x14ac:dyDescent="0.2">
      <c r="A70">
        <v>69</v>
      </c>
      <c r="B70" t="s">
        <v>95</v>
      </c>
      <c r="C70" s="2">
        <v>635000</v>
      </c>
      <c r="D70">
        <v>215</v>
      </c>
      <c r="E70" t="s">
        <v>26</v>
      </c>
      <c r="F70" t="s">
        <v>52</v>
      </c>
    </row>
    <row r="71" spans="1:6" hidden="1" x14ac:dyDescent="0.2">
      <c r="A71">
        <v>70</v>
      </c>
      <c r="B71" t="s">
        <v>96</v>
      </c>
      <c r="C71" s="2">
        <v>614500</v>
      </c>
      <c r="D71">
        <v>313</v>
      </c>
      <c r="E71" t="s">
        <v>7</v>
      </c>
      <c r="F71" t="s">
        <v>8</v>
      </c>
    </row>
    <row r="72" spans="1:6" hidden="1" x14ac:dyDescent="0.2">
      <c r="A72">
        <v>71</v>
      </c>
      <c r="B72" t="s">
        <v>97</v>
      </c>
      <c r="C72" s="2">
        <v>610000</v>
      </c>
      <c r="D72">
        <v>452</v>
      </c>
      <c r="E72" t="s">
        <v>23</v>
      </c>
      <c r="F72" t="s">
        <v>19</v>
      </c>
    </row>
    <row r="73" spans="1:6" hidden="1" x14ac:dyDescent="0.2">
      <c r="A73">
        <v>72</v>
      </c>
      <c r="B73" t="s">
        <v>98</v>
      </c>
      <c r="C73" s="2">
        <v>592000</v>
      </c>
      <c r="D73">
        <v>127</v>
      </c>
      <c r="E73" t="s">
        <v>99</v>
      </c>
      <c r="F73" t="s">
        <v>47</v>
      </c>
    </row>
    <row r="74" spans="1:6" hidden="1" x14ac:dyDescent="0.2">
      <c r="A74">
        <v>73</v>
      </c>
      <c r="B74" t="s">
        <v>100</v>
      </c>
      <c r="C74" s="2">
        <v>587518</v>
      </c>
      <c r="D74">
        <v>2503</v>
      </c>
      <c r="E74" t="s">
        <v>7</v>
      </c>
      <c r="F74" t="s">
        <v>37</v>
      </c>
    </row>
    <row r="75" spans="1:6" hidden="1" x14ac:dyDescent="0.2">
      <c r="A75">
        <v>74</v>
      </c>
      <c r="B75" t="s">
        <v>101</v>
      </c>
      <c r="C75" s="2">
        <v>567269</v>
      </c>
      <c r="D75">
        <v>249</v>
      </c>
      <c r="E75" t="s">
        <v>23</v>
      </c>
      <c r="F75" t="s">
        <v>19</v>
      </c>
    </row>
    <row r="76" spans="1:6" hidden="1" x14ac:dyDescent="0.2">
      <c r="A76">
        <v>75</v>
      </c>
      <c r="B76" t="s">
        <v>102</v>
      </c>
      <c r="C76" s="2">
        <v>559700</v>
      </c>
      <c r="D76" s="1">
        <v>1060</v>
      </c>
      <c r="E76" t="s">
        <v>7</v>
      </c>
      <c r="F76" t="s">
        <v>85</v>
      </c>
    </row>
    <row r="77" spans="1:6" hidden="1" x14ac:dyDescent="0.2">
      <c r="A77">
        <v>76</v>
      </c>
      <c r="B77" t="s">
        <v>103</v>
      </c>
      <c r="C77" s="2">
        <v>547787</v>
      </c>
      <c r="D77">
        <v>390</v>
      </c>
      <c r="E77" t="s">
        <v>7</v>
      </c>
      <c r="F77" t="s">
        <v>8</v>
      </c>
    </row>
    <row r="78" spans="1:6" hidden="1" x14ac:dyDescent="0.2">
      <c r="A78">
        <v>77</v>
      </c>
      <c r="B78" t="s">
        <v>104</v>
      </c>
      <c r="C78" s="2">
        <v>547701</v>
      </c>
      <c r="D78">
        <v>361</v>
      </c>
      <c r="E78" t="s">
        <v>23</v>
      </c>
      <c r="F78" t="s">
        <v>12</v>
      </c>
    </row>
    <row r="79" spans="1:6" hidden="1" x14ac:dyDescent="0.2">
      <c r="A79">
        <v>78</v>
      </c>
      <c r="B79" t="s">
        <v>105</v>
      </c>
      <c r="C79" s="2">
        <v>539000</v>
      </c>
      <c r="D79">
        <v>818</v>
      </c>
      <c r="E79" t="s">
        <v>7</v>
      </c>
      <c r="F79" t="s">
        <v>85</v>
      </c>
    </row>
    <row r="80" spans="1:6" hidden="1" x14ac:dyDescent="0.2">
      <c r="A80">
        <v>79</v>
      </c>
      <c r="B80" t="s">
        <v>106</v>
      </c>
      <c r="C80" s="2">
        <v>531668</v>
      </c>
      <c r="D80">
        <v>510</v>
      </c>
      <c r="E80" t="s">
        <v>7</v>
      </c>
      <c r="F80" t="s">
        <v>85</v>
      </c>
    </row>
    <row r="81" spans="1:6" hidden="1" x14ac:dyDescent="0.2">
      <c r="A81">
        <v>80</v>
      </c>
      <c r="B81" t="s">
        <v>107</v>
      </c>
      <c r="C81" s="2">
        <v>525800</v>
      </c>
      <c r="D81">
        <v>212</v>
      </c>
      <c r="E81" t="s">
        <v>26</v>
      </c>
      <c r="F81" t="s">
        <v>27</v>
      </c>
    </row>
    <row r="82" spans="1:6" hidden="1" x14ac:dyDescent="0.2">
      <c r="A82">
        <v>81</v>
      </c>
      <c r="B82" t="s">
        <v>108</v>
      </c>
      <c r="C82" s="2">
        <v>522441</v>
      </c>
      <c r="D82">
        <v>1248</v>
      </c>
      <c r="E82" t="s">
        <v>7</v>
      </c>
      <c r="F82" t="s">
        <v>85</v>
      </c>
    </row>
    <row r="83" spans="1:6" hidden="1" x14ac:dyDescent="0.2">
      <c r="A83">
        <v>82</v>
      </c>
      <c r="B83" t="s">
        <v>109</v>
      </c>
      <c r="C83" s="2">
        <v>519600</v>
      </c>
      <c r="D83">
        <v>530</v>
      </c>
      <c r="E83" t="s">
        <v>23</v>
      </c>
      <c r="F83" t="s">
        <v>85</v>
      </c>
    </row>
    <row r="84" spans="1:6" hidden="1" x14ac:dyDescent="0.2">
      <c r="A84">
        <v>83</v>
      </c>
      <c r="B84" t="s">
        <v>110</v>
      </c>
      <c r="C84" s="2">
        <v>517943</v>
      </c>
      <c r="D84">
        <v>491</v>
      </c>
      <c r="E84" t="s">
        <v>23</v>
      </c>
      <c r="F84" t="s">
        <v>49</v>
      </c>
    </row>
    <row r="85" spans="1:6" hidden="1" x14ac:dyDescent="0.2">
      <c r="A85">
        <v>84</v>
      </c>
      <c r="B85" t="s">
        <v>111</v>
      </c>
      <c r="C85" s="2">
        <v>511900</v>
      </c>
      <c r="D85">
        <v>742</v>
      </c>
      <c r="E85" t="s">
        <v>23</v>
      </c>
      <c r="F85" t="s">
        <v>24</v>
      </c>
    </row>
    <row r="86" spans="1:6" hidden="1" x14ac:dyDescent="0.2">
      <c r="A86">
        <v>85</v>
      </c>
      <c r="B86" t="s">
        <v>112</v>
      </c>
      <c r="C86" s="2">
        <v>508632</v>
      </c>
      <c r="D86">
        <v>531</v>
      </c>
      <c r="E86" t="s">
        <v>7</v>
      </c>
      <c r="F86" t="s">
        <v>8</v>
      </c>
    </row>
    <row r="87" spans="1:6" hidden="1" x14ac:dyDescent="0.2">
      <c r="A87">
        <v>86</v>
      </c>
      <c r="B87" t="s">
        <v>113</v>
      </c>
      <c r="C87" s="2">
        <v>476600</v>
      </c>
      <c r="D87">
        <v>160</v>
      </c>
      <c r="E87" t="s">
        <v>7</v>
      </c>
      <c r="F87" t="s">
        <v>60</v>
      </c>
    </row>
    <row r="88" spans="1:6" hidden="1" x14ac:dyDescent="0.2">
      <c r="A88">
        <v>87</v>
      </c>
      <c r="B88" t="s">
        <v>114</v>
      </c>
      <c r="C88" s="2">
        <v>473300</v>
      </c>
      <c r="D88">
        <v>61</v>
      </c>
      <c r="E88" t="s">
        <v>26</v>
      </c>
      <c r="F88" t="s">
        <v>27</v>
      </c>
    </row>
    <row r="89" spans="1:6" hidden="1" x14ac:dyDescent="0.2">
      <c r="A89">
        <v>88</v>
      </c>
      <c r="B89" t="s">
        <v>115</v>
      </c>
      <c r="C89" s="2">
        <v>457330</v>
      </c>
      <c r="D89">
        <v>176</v>
      </c>
      <c r="E89" t="s">
        <v>26</v>
      </c>
      <c r="F89" t="s">
        <v>85</v>
      </c>
    </row>
    <row r="90" spans="1:6" x14ac:dyDescent="0.2">
      <c r="A90">
        <v>89</v>
      </c>
      <c r="B90" t="s">
        <v>116</v>
      </c>
      <c r="C90" s="2">
        <v>430000</v>
      </c>
      <c r="D90">
        <v>445</v>
      </c>
      <c r="E90" t="s">
        <v>7</v>
      </c>
      <c r="F90" t="s">
        <v>21</v>
      </c>
    </row>
    <row r="91" spans="1:6" x14ac:dyDescent="0.2">
      <c r="A91">
        <v>90</v>
      </c>
      <c r="B91" t="s">
        <v>117</v>
      </c>
      <c r="C91" s="2">
        <v>424107</v>
      </c>
      <c r="D91">
        <v>437</v>
      </c>
      <c r="E91" t="s">
        <v>7</v>
      </c>
      <c r="F91" t="s">
        <v>21</v>
      </c>
    </row>
    <row r="92" spans="1:6" hidden="1" x14ac:dyDescent="0.2">
      <c r="A92">
        <v>91</v>
      </c>
      <c r="B92" t="s">
        <v>118</v>
      </c>
      <c r="C92" s="2">
        <v>421203</v>
      </c>
      <c r="D92">
        <v>354</v>
      </c>
      <c r="E92" t="s">
        <v>7</v>
      </c>
      <c r="F92" t="s">
        <v>8</v>
      </c>
    </row>
    <row r="93" spans="1:6" x14ac:dyDescent="0.2">
      <c r="A93">
        <v>92</v>
      </c>
      <c r="B93" t="s">
        <v>119</v>
      </c>
      <c r="C93" s="2">
        <v>417632</v>
      </c>
      <c r="D93">
        <v>667</v>
      </c>
      <c r="E93" t="s">
        <v>7</v>
      </c>
      <c r="F93" t="s">
        <v>21</v>
      </c>
    </row>
    <row r="94" spans="1:6" hidden="1" x14ac:dyDescent="0.2">
      <c r="A94">
        <v>93</v>
      </c>
      <c r="B94" t="s">
        <v>120</v>
      </c>
      <c r="C94" s="2">
        <v>414335</v>
      </c>
      <c r="D94">
        <v>130</v>
      </c>
      <c r="E94" t="s">
        <v>26</v>
      </c>
      <c r="F94" t="s">
        <v>52</v>
      </c>
    </row>
    <row r="95" spans="1:6" hidden="1" x14ac:dyDescent="0.2">
      <c r="A95">
        <v>94</v>
      </c>
      <c r="B95" t="s">
        <v>121</v>
      </c>
      <c r="C95" s="2">
        <v>401100</v>
      </c>
      <c r="D95">
        <v>51</v>
      </c>
      <c r="E95" t="s">
        <v>26</v>
      </c>
      <c r="F95" t="s">
        <v>33</v>
      </c>
    </row>
    <row r="96" spans="1:6" hidden="1" x14ac:dyDescent="0.2">
      <c r="A96">
        <v>95</v>
      </c>
      <c r="B96" t="s">
        <v>122</v>
      </c>
      <c r="C96" s="2">
        <v>401000</v>
      </c>
      <c r="D96">
        <v>80</v>
      </c>
      <c r="E96" t="s">
        <v>26</v>
      </c>
      <c r="F96" t="s">
        <v>35</v>
      </c>
    </row>
    <row r="97" spans="1:6" hidden="1" x14ac:dyDescent="0.2">
      <c r="A97">
        <v>96</v>
      </c>
      <c r="B97" t="s">
        <v>123</v>
      </c>
      <c r="C97" s="2">
        <v>397000</v>
      </c>
      <c r="D97">
        <v>54</v>
      </c>
      <c r="E97" t="s">
        <v>99</v>
      </c>
      <c r="F97" t="s">
        <v>47</v>
      </c>
    </row>
    <row r="98" spans="1:6" hidden="1" x14ac:dyDescent="0.2">
      <c r="A98">
        <v>97</v>
      </c>
      <c r="B98" t="s">
        <v>124</v>
      </c>
      <c r="C98" s="2">
        <v>380969</v>
      </c>
      <c r="D98">
        <v>197</v>
      </c>
      <c r="E98" t="s">
        <v>23</v>
      </c>
      <c r="F98" t="s">
        <v>24</v>
      </c>
    </row>
    <row r="99" spans="1:6" hidden="1" x14ac:dyDescent="0.2">
      <c r="A99">
        <v>98</v>
      </c>
      <c r="B99" t="s">
        <v>125</v>
      </c>
      <c r="C99" s="2">
        <v>379835</v>
      </c>
      <c r="D99">
        <v>396</v>
      </c>
      <c r="E99" t="s">
        <v>7</v>
      </c>
      <c r="F99" t="s">
        <v>12</v>
      </c>
    </row>
    <row r="100" spans="1:6" hidden="1" x14ac:dyDescent="0.2">
      <c r="A100">
        <v>99</v>
      </c>
      <c r="B100" t="s">
        <v>126</v>
      </c>
      <c r="C100" s="2">
        <v>368175</v>
      </c>
      <c r="D100">
        <v>160</v>
      </c>
      <c r="E100" t="s">
        <v>23</v>
      </c>
      <c r="F100" t="s">
        <v>19</v>
      </c>
    </row>
    <row r="101" spans="1:6" hidden="1" x14ac:dyDescent="0.2">
      <c r="A101">
        <v>100</v>
      </c>
      <c r="B101" t="s">
        <v>127</v>
      </c>
      <c r="C101" s="2">
        <v>365000</v>
      </c>
      <c r="D101">
        <v>926</v>
      </c>
      <c r="E101" t="s">
        <v>7</v>
      </c>
      <c r="F101" t="s">
        <v>37</v>
      </c>
    </row>
    <row r="102" spans="1:6" x14ac:dyDescent="0.2">
      <c r="A102">
        <v>101</v>
      </c>
      <c r="B102" t="s">
        <v>128</v>
      </c>
      <c r="C102" s="2">
        <v>364294</v>
      </c>
      <c r="D102">
        <v>553</v>
      </c>
      <c r="E102" t="s">
        <v>7</v>
      </c>
      <c r="F102" t="s">
        <v>21</v>
      </c>
    </row>
    <row r="103" spans="1:6" hidden="1" x14ac:dyDescent="0.2">
      <c r="A103">
        <v>102</v>
      </c>
      <c r="B103" t="s">
        <v>142</v>
      </c>
      <c r="C103" s="2">
        <v>363300</v>
      </c>
      <c r="D103">
        <v>207</v>
      </c>
      <c r="E103" t="s">
        <v>23</v>
      </c>
      <c r="F103" t="s">
        <v>24</v>
      </c>
    </row>
    <row r="104" spans="1:6" hidden="1" x14ac:dyDescent="0.2">
      <c r="A104">
        <v>103</v>
      </c>
      <c r="B104" t="s">
        <v>143</v>
      </c>
      <c r="C104" s="2">
        <v>361100</v>
      </c>
      <c r="D104">
        <v>143</v>
      </c>
      <c r="E104" t="s">
        <v>26</v>
      </c>
      <c r="F104" t="s">
        <v>14</v>
      </c>
    </row>
    <row r="105" spans="1:6" hidden="1" x14ac:dyDescent="0.2">
      <c r="A105">
        <v>104</v>
      </c>
      <c r="B105" t="s">
        <v>144</v>
      </c>
      <c r="C105" s="2">
        <v>359000</v>
      </c>
      <c r="D105">
        <v>213</v>
      </c>
      <c r="E105" t="s">
        <v>43</v>
      </c>
      <c r="F105" t="s">
        <v>44</v>
      </c>
    </row>
    <row r="106" spans="1:6" hidden="1" x14ac:dyDescent="0.2">
      <c r="A106">
        <v>105</v>
      </c>
      <c r="B106" t="s">
        <v>145</v>
      </c>
      <c r="C106" s="2">
        <v>358860</v>
      </c>
      <c r="D106">
        <v>386</v>
      </c>
      <c r="E106" t="s">
        <v>7</v>
      </c>
      <c r="F106" t="s">
        <v>14</v>
      </c>
    </row>
    <row r="107" spans="1:6" hidden="1" x14ac:dyDescent="0.2">
      <c r="A107">
        <v>106</v>
      </c>
      <c r="B107" t="s">
        <v>146</v>
      </c>
      <c r="C107" s="2">
        <v>350343</v>
      </c>
      <c r="D107">
        <v>213</v>
      </c>
      <c r="E107" t="s">
        <v>23</v>
      </c>
      <c r="F107" t="s">
        <v>49</v>
      </c>
    </row>
    <row r="108" spans="1:6" x14ac:dyDescent="0.2">
      <c r="A108">
        <v>107</v>
      </c>
      <c r="B108" t="s">
        <v>129</v>
      </c>
      <c r="C108" s="2">
        <v>342478</v>
      </c>
      <c r="D108">
        <v>548</v>
      </c>
      <c r="E108" t="s">
        <v>7</v>
      </c>
      <c r="F108" t="s">
        <v>21</v>
      </c>
    </row>
    <row r="109" spans="1:6" x14ac:dyDescent="0.2">
      <c r="A109">
        <v>108</v>
      </c>
      <c r="B109" t="s">
        <v>130</v>
      </c>
      <c r="C109" s="2">
        <v>339500</v>
      </c>
      <c r="D109">
        <v>384</v>
      </c>
      <c r="E109" t="s">
        <v>7</v>
      </c>
      <c r="F109" t="s">
        <v>21</v>
      </c>
    </row>
    <row r="110" spans="1:6" hidden="1" x14ac:dyDescent="0.2">
      <c r="A110">
        <v>109</v>
      </c>
      <c r="B110" t="s">
        <v>147</v>
      </c>
      <c r="C110" s="2">
        <v>338900</v>
      </c>
      <c r="D110">
        <v>820</v>
      </c>
      <c r="E110" t="s">
        <v>7</v>
      </c>
      <c r="F110" t="s">
        <v>12</v>
      </c>
    </row>
    <row r="111" spans="1:6" hidden="1" x14ac:dyDescent="0.2">
      <c r="A111">
        <v>110</v>
      </c>
      <c r="B111" t="s">
        <v>148</v>
      </c>
      <c r="C111" s="2">
        <v>338315</v>
      </c>
      <c r="D111">
        <v>72</v>
      </c>
      <c r="E111" t="s">
        <v>26</v>
      </c>
      <c r="F111" t="s">
        <v>35</v>
      </c>
    </row>
    <row r="112" spans="1:6" hidden="1" x14ac:dyDescent="0.2">
      <c r="A112">
        <v>111</v>
      </c>
      <c r="B112" t="s">
        <v>149</v>
      </c>
      <c r="C112" s="2">
        <v>334128</v>
      </c>
      <c r="D112">
        <v>471</v>
      </c>
      <c r="E112" t="s">
        <v>7</v>
      </c>
      <c r="F112" t="s">
        <v>12</v>
      </c>
    </row>
    <row r="113" spans="1:6" hidden="1" x14ac:dyDescent="0.2">
      <c r="A113">
        <v>112</v>
      </c>
      <c r="B113" t="s">
        <v>150</v>
      </c>
      <c r="C113" s="2">
        <v>331431</v>
      </c>
      <c r="D113">
        <v>166</v>
      </c>
      <c r="E113" t="s">
        <v>23</v>
      </c>
      <c r="F113" t="s">
        <v>14</v>
      </c>
    </row>
    <row r="114" spans="1:6" hidden="1" x14ac:dyDescent="0.2">
      <c r="A114">
        <v>113</v>
      </c>
      <c r="B114" t="s">
        <v>151</v>
      </c>
      <c r="C114" s="2">
        <v>330400</v>
      </c>
      <c r="D114">
        <v>220</v>
      </c>
      <c r="E114" t="s">
        <v>43</v>
      </c>
      <c r="F114" t="s">
        <v>44</v>
      </c>
    </row>
    <row r="115" spans="1:6" hidden="1" x14ac:dyDescent="0.2">
      <c r="A115">
        <v>114</v>
      </c>
      <c r="B115" t="s">
        <v>152</v>
      </c>
      <c r="C115" s="2">
        <v>319638</v>
      </c>
      <c r="D115">
        <v>350</v>
      </c>
      <c r="E115" t="s">
        <v>23</v>
      </c>
      <c r="F115" t="s">
        <v>12</v>
      </c>
    </row>
    <row r="116" spans="1:6" hidden="1" x14ac:dyDescent="0.2">
      <c r="A116">
        <v>115</v>
      </c>
      <c r="B116" t="s">
        <v>153</v>
      </c>
      <c r="C116" s="2">
        <v>317800</v>
      </c>
      <c r="D116">
        <v>280</v>
      </c>
      <c r="E116" t="s">
        <v>7</v>
      </c>
      <c r="F116" t="s">
        <v>37</v>
      </c>
    </row>
    <row r="117" spans="1:6" hidden="1" x14ac:dyDescent="0.2">
      <c r="A117">
        <v>116</v>
      </c>
      <c r="B117" t="s">
        <v>154</v>
      </c>
      <c r="C117" s="2">
        <v>312989</v>
      </c>
      <c r="D117">
        <v>73</v>
      </c>
      <c r="E117" t="s">
        <v>26</v>
      </c>
      <c r="F117" t="s">
        <v>75</v>
      </c>
    </row>
    <row r="118" spans="1:6" hidden="1" x14ac:dyDescent="0.2">
      <c r="A118">
        <v>117</v>
      </c>
      <c r="B118" t="s">
        <v>155</v>
      </c>
      <c r="C118" s="2">
        <v>310700</v>
      </c>
      <c r="D118">
        <v>265</v>
      </c>
      <c r="E118" t="s">
        <v>43</v>
      </c>
      <c r="F118" t="s">
        <v>44</v>
      </c>
    </row>
    <row r="119" spans="1:6" hidden="1" x14ac:dyDescent="0.2">
      <c r="A119">
        <v>118</v>
      </c>
      <c r="B119" t="s">
        <v>156</v>
      </c>
      <c r="C119" s="2">
        <v>309700</v>
      </c>
      <c r="D119">
        <v>35</v>
      </c>
      <c r="E119" t="s">
        <v>26</v>
      </c>
      <c r="F119" t="s">
        <v>52</v>
      </c>
    </row>
    <row r="120" spans="1:6" hidden="1" x14ac:dyDescent="0.2">
      <c r="A120">
        <v>119</v>
      </c>
      <c r="B120" t="s">
        <v>157</v>
      </c>
      <c r="C120" s="2">
        <v>306517</v>
      </c>
      <c r="D120">
        <v>328</v>
      </c>
      <c r="E120" t="s">
        <v>23</v>
      </c>
      <c r="F120" t="s">
        <v>8</v>
      </c>
    </row>
    <row r="121" spans="1:6" hidden="1" x14ac:dyDescent="0.2">
      <c r="A121">
        <v>120</v>
      </c>
      <c r="B121" t="s">
        <v>158</v>
      </c>
      <c r="C121" s="2">
        <v>304000</v>
      </c>
      <c r="D121">
        <v>125</v>
      </c>
      <c r="E121" t="s">
        <v>7</v>
      </c>
      <c r="F121" t="s">
        <v>60</v>
      </c>
    </row>
    <row r="122" spans="1:6" hidden="1" x14ac:dyDescent="0.2">
      <c r="A122">
        <v>121</v>
      </c>
      <c r="B122" t="s">
        <v>159</v>
      </c>
      <c r="C122" s="2">
        <v>300500</v>
      </c>
      <c r="D122">
        <v>47</v>
      </c>
      <c r="E122" t="s">
        <v>26</v>
      </c>
      <c r="F122" t="s">
        <v>27</v>
      </c>
    </row>
    <row r="123" spans="1:6" x14ac:dyDescent="0.2">
      <c r="A123">
        <v>122</v>
      </c>
      <c r="B123" t="s">
        <v>131</v>
      </c>
      <c r="C123" s="2">
        <v>299200</v>
      </c>
      <c r="D123">
        <v>550</v>
      </c>
      <c r="E123" t="s">
        <v>7</v>
      </c>
      <c r="F123" t="s">
        <v>21</v>
      </c>
    </row>
    <row r="124" spans="1:6" hidden="1" x14ac:dyDescent="0.2">
      <c r="A124">
        <v>123</v>
      </c>
      <c r="B124" t="s">
        <v>160</v>
      </c>
      <c r="C124" s="2">
        <v>298400</v>
      </c>
      <c r="D124">
        <v>145</v>
      </c>
      <c r="E124" t="s">
        <v>26</v>
      </c>
      <c r="F124" t="s">
        <v>33</v>
      </c>
    </row>
    <row r="125" spans="1:6" hidden="1" x14ac:dyDescent="0.2">
      <c r="A125">
        <v>124</v>
      </c>
      <c r="B125" t="s">
        <v>161</v>
      </c>
      <c r="C125" s="2">
        <v>293300</v>
      </c>
      <c r="D125">
        <v>105</v>
      </c>
      <c r="E125" t="s">
        <v>26</v>
      </c>
      <c r="F125" t="s">
        <v>27</v>
      </c>
    </row>
    <row r="126" spans="1:6" hidden="1" x14ac:dyDescent="0.2">
      <c r="A126">
        <v>125</v>
      </c>
      <c r="B126" t="s">
        <v>162</v>
      </c>
      <c r="C126" s="2">
        <v>291100</v>
      </c>
      <c r="D126">
        <v>73</v>
      </c>
      <c r="E126" t="s">
        <v>26</v>
      </c>
      <c r="F126" t="s">
        <v>35</v>
      </c>
    </row>
    <row r="127" spans="1:6" hidden="1" x14ac:dyDescent="0.2">
      <c r="A127">
        <v>126</v>
      </c>
      <c r="B127" t="s">
        <v>163</v>
      </c>
      <c r="C127" s="2">
        <v>287062</v>
      </c>
      <c r="D127">
        <v>70</v>
      </c>
      <c r="E127" t="s">
        <v>26</v>
      </c>
      <c r="F127" t="s">
        <v>14</v>
      </c>
    </row>
    <row r="128" spans="1:6" hidden="1" x14ac:dyDescent="0.2">
      <c r="A128">
        <v>127</v>
      </c>
      <c r="B128" t="s">
        <v>164</v>
      </c>
      <c r="C128" s="2">
        <v>280400</v>
      </c>
      <c r="D128">
        <v>127</v>
      </c>
      <c r="E128" t="s">
        <v>26</v>
      </c>
      <c r="F128" t="s">
        <v>27</v>
      </c>
    </row>
    <row r="129" spans="1:6" hidden="1" x14ac:dyDescent="0.2">
      <c r="A129">
        <v>128</v>
      </c>
      <c r="B129" t="s">
        <v>165</v>
      </c>
      <c r="C129" s="2">
        <v>280000</v>
      </c>
      <c r="D129">
        <v>66</v>
      </c>
      <c r="E129" t="s">
        <v>99</v>
      </c>
      <c r="F129" t="s">
        <v>47</v>
      </c>
    </row>
    <row r="130" spans="1:6" hidden="1" x14ac:dyDescent="0.2">
      <c r="A130">
        <v>129</v>
      </c>
      <c r="B130" t="s">
        <v>166</v>
      </c>
      <c r="C130" s="2">
        <v>275300</v>
      </c>
      <c r="D130">
        <v>41</v>
      </c>
      <c r="E130" t="s">
        <v>23</v>
      </c>
      <c r="F130" t="s">
        <v>12</v>
      </c>
    </row>
    <row r="131" spans="1:6" hidden="1" x14ac:dyDescent="0.2">
      <c r="A131">
        <v>130</v>
      </c>
      <c r="B131" t="s">
        <v>167</v>
      </c>
      <c r="C131" s="2">
        <v>268300</v>
      </c>
      <c r="D131">
        <v>67</v>
      </c>
      <c r="E131" t="s">
        <v>99</v>
      </c>
      <c r="F131" t="s">
        <v>47</v>
      </c>
    </row>
    <row r="132" spans="1:6" hidden="1" x14ac:dyDescent="0.2">
      <c r="A132">
        <v>131</v>
      </c>
      <c r="B132" t="s">
        <v>168</v>
      </c>
      <c r="C132" s="2">
        <v>267465</v>
      </c>
      <c r="D132">
        <v>299</v>
      </c>
      <c r="E132" t="s">
        <v>7</v>
      </c>
      <c r="F132" t="s">
        <v>8</v>
      </c>
    </row>
    <row r="133" spans="1:6" hidden="1" x14ac:dyDescent="0.2">
      <c r="A133">
        <v>132</v>
      </c>
      <c r="B133" t="s">
        <v>169</v>
      </c>
      <c r="C133" s="2">
        <v>267077</v>
      </c>
      <c r="D133">
        <v>177</v>
      </c>
      <c r="E133" t="s">
        <v>7</v>
      </c>
      <c r="F133" t="s">
        <v>8</v>
      </c>
    </row>
    <row r="134" spans="1:6" hidden="1" x14ac:dyDescent="0.2">
      <c r="A134">
        <v>133</v>
      </c>
      <c r="B134" t="s">
        <v>170</v>
      </c>
      <c r="C134" s="2">
        <v>267000</v>
      </c>
      <c r="D134">
        <v>236</v>
      </c>
      <c r="E134" t="s">
        <v>7</v>
      </c>
      <c r="F134" t="s">
        <v>10</v>
      </c>
    </row>
    <row r="135" spans="1:6" hidden="1" x14ac:dyDescent="0.2">
      <c r="A135">
        <v>134</v>
      </c>
      <c r="B135" t="s">
        <v>171</v>
      </c>
      <c r="C135" s="2">
        <v>261700</v>
      </c>
      <c r="D135">
        <v>63</v>
      </c>
      <c r="E135" t="s">
        <v>26</v>
      </c>
      <c r="F135" t="s">
        <v>33</v>
      </c>
    </row>
    <row r="136" spans="1:6" hidden="1" x14ac:dyDescent="0.2">
      <c r="A136">
        <v>135</v>
      </c>
      <c r="B136" t="s">
        <v>172</v>
      </c>
      <c r="C136" s="2">
        <v>261000</v>
      </c>
      <c r="D136">
        <v>466</v>
      </c>
      <c r="E136" t="s">
        <v>7</v>
      </c>
      <c r="F136" t="s">
        <v>85</v>
      </c>
    </row>
    <row r="137" spans="1:6" hidden="1" x14ac:dyDescent="0.2">
      <c r="A137">
        <v>136</v>
      </c>
      <c r="B137" t="s">
        <v>173</v>
      </c>
      <c r="C137" s="2">
        <v>256700</v>
      </c>
      <c r="D137">
        <v>415</v>
      </c>
      <c r="E137" t="s">
        <v>7</v>
      </c>
      <c r="F137" t="s">
        <v>10</v>
      </c>
    </row>
    <row r="138" spans="1:6" hidden="1" x14ac:dyDescent="0.2">
      <c r="A138">
        <v>137</v>
      </c>
      <c r="B138" t="s">
        <v>174</v>
      </c>
      <c r="C138" s="2">
        <v>253000</v>
      </c>
      <c r="D138">
        <v>173</v>
      </c>
      <c r="E138" t="s">
        <v>23</v>
      </c>
      <c r="F138" t="s">
        <v>8</v>
      </c>
    </row>
    <row r="139" spans="1:6" hidden="1" x14ac:dyDescent="0.2">
      <c r="A139">
        <v>138</v>
      </c>
      <c r="B139" t="s">
        <v>175</v>
      </c>
      <c r="C139" s="2">
        <v>252800</v>
      </c>
      <c r="D139">
        <v>35</v>
      </c>
      <c r="E139" t="s">
        <v>99</v>
      </c>
      <c r="F139" t="s">
        <v>47</v>
      </c>
    </row>
    <row r="140" spans="1:6" hidden="1" x14ac:dyDescent="0.2">
      <c r="A140">
        <v>139</v>
      </c>
      <c r="B140" t="s">
        <v>176</v>
      </c>
      <c r="C140" s="2">
        <v>251366</v>
      </c>
      <c r="D140">
        <v>142</v>
      </c>
      <c r="E140" t="s">
        <v>23</v>
      </c>
      <c r="F140" t="s">
        <v>8</v>
      </c>
    </row>
    <row r="141" spans="1:6" x14ac:dyDescent="0.2">
      <c r="A141">
        <v>140</v>
      </c>
      <c r="B141" t="s">
        <v>132</v>
      </c>
      <c r="C141" s="2">
        <v>250900</v>
      </c>
      <c r="D141">
        <v>305</v>
      </c>
      <c r="E141" t="s">
        <v>7</v>
      </c>
      <c r="F141" t="s">
        <v>21</v>
      </c>
    </row>
    <row r="142" spans="1:6" hidden="1" x14ac:dyDescent="0.2">
      <c r="A142">
        <v>141</v>
      </c>
      <c r="B142" t="s">
        <v>177</v>
      </c>
      <c r="C142" s="2">
        <v>249276</v>
      </c>
      <c r="D142">
        <v>103</v>
      </c>
      <c r="E142" t="s">
        <v>26</v>
      </c>
      <c r="F142" t="s">
        <v>27</v>
      </c>
    </row>
    <row r="143" spans="1:6" hidden="1" x14ac:dyDescent="0.2">
      <c r="A143">
        <v>142</v>
      </c>
      <c r="B143" t="s">
        <v>178</v>
      </c>
      <c r="C143" s="2">
        <v>249000</v>
      </c>
      <c r="D143">
        <v>122</v>
      </c>
      <c r="E143" t="s">
        <v>43</v>
      </c>
      <c r="F143" t="s">
        <v>85</v>
      </c>
    </row>
    <row r="144" spans="1:6" hidden="1" x14ac:dyDescent="0.2">
      <c r="A144">
        <v>143</v>
      </c>
      <c r="B144" t="s">
        <v>179</v>
      </c>
      <c r="C144" s="2">
        <v>246900</v>
      </c>
      <c r="D144">
        <v>60</v>
      </c>
      <c r="E144" t="s">
        <v>26</v>
      </c>
      <c r="F144" t="s">
        <v>52</v>
      </c>
    </row>
    <row r="145" spans="1:6" hidden="1" x14ac:dyDescent="0.2">
      <c r="A145">
        <v>144</v>
      </c>
      <c r="B145" t="s">
        <v>180</v>
      </c>
      <c r="C145" s="2">
        <v>244900</v>
      </c>
      <c r="D145">
        <v>650</v>
      </c>
      <c r="E145" t="s">
        <v>7</v>
      </c>
      <c r="F145" t="s">
        <v>85</v>
      </c>
    </row>
    <row r="146" spans="1:6" hidden="1" x14ac:dyDescent="0.2">
      <c r="A146">
        <v>145</v>
      </c>
      <c r="B146" t="s">
        <v>181</v>
      </c>
      <c r="C146" s="2">
        <v>243900</v>
      </c>
      <c r="D146">
        <v>42</v>
      </c>
      <c r="E146" t="s">
        <v>26</v>
      </c>
      <c r="F146" t="s">
        <v>27</v>
      </c>
    </row>
    <row r="147" spans="1:6" hidden="1" x14ac:dyDescent="0.2">
      <c r="A147">
        <v>146</v>
      </c>
      <c r="B147" t="s">
        <v>182</v>
      </c>
      <c r="C147" s="2">
        <v>241334</v>
      </c>
      <c r="D147">
        <v>321</v>
      </c>
      <c r="E147" t="s">
        <v>7</v>
      </c>
      <c r="F147" t="s">
        <v>12</v>
      </c>
    </row>
    <row r="148" spans="1:6" hidden="1" x14ac:dyDescent="0.2">
      <c r="A148">
        <v>147</v>
      </c>
      <c r="B148" t="s">
        <v>183</v>
      </c>
      <c r="C148" s="2">
        <v>239900</v>
      </c>
      <c r="D148">
        <v>108</v>
      </c>
      <c r="E148" t="s">
        <v>26</v>
      </c>
      <c r="F148" t="s">
        <v>27</v>
      </c>
    </row>
    <row r="149" spans="1:6" hidden="1" x14ac:dyDescent="0.2">
      <c r="A149">
        <v>148</v>
      </c>
      <c r="B149" t="s">
        <v>184</v>
      </c>
      <c r="C149" s="2">
        <v>238320</v>
      </c>
      <c r="D149">
        <v>125</v>
      </c>
      <c r="E149" t="s">
        <v>7</v>
      </c>
      <c r="F149" t="s">
        <v>60</v>
      </c>
    </row>
    <row r="150" spans="1:6" hidden="1" x14ac:dyDescent="0.2">
      <c r="A150">
        <v>149</v>
      </c>
      <c r="B150" t="s">
        <v>185</v>
      </c>
      <c r="C150" s="2">
        <v>237300</v>
      </c>
      <c r="D150">
        <v>102</v>
      </c>
      <c r="E150" t="s">
        <v>26</v>
      </c>
      <c r="F150" t="s">
        <v>27</v>
      </c>
    </row>
    <row r="151" spans="1:6" hidden="1" x14ac:dyDescent="0.2">
      <c r="A151">
        <v>150</v>
      </c>
      <c r="B151" t="s">
        <v>186</v>
      </c>
      <c r="C151" s="2">
        <v>237114</v>
      </c>
      <c r="D151">
        <v>368</v>
      </c>
      <c r="E151" t="s">
        <v>43</v>
      </c>
      <c r="F151" t="s">
        <v>44</v>
      </c>
    </row>
    <row r="152" spans="1:6" hidden="1" x14ac:dyDescent="0.2">
      <c r="A152">
        <v>151</v>
      </c>
      <c r="B152" t="s">
        <v>187</v>
      </c>
      <c r="C152" s="2">
        <v>234300</v>
      </c>
      <c r="D152">
        <v>90</v>
      </c>
      <c r="E152" t="s">
        <v>7</v>
      </c>
      <c r="F152" t="s">
        <v>60</v>
      </c>
    </row>
    <row r="153" spans="1:6" hidden="1" x14ac:dyDescent="0.2">
      <c r="A153">
        <v>152</v>
      </c>
      <c r="B153" t="s">
        <v>188</v>
      </c>
      <c r="C153" s="2">
        <v>233800</v>
      </c>
      <c r="D153">
        <v>103</v>
      </c>
      <c r="E153" t="s">
        <v>26</v>
      </c>
      <c r="F153" t="s">
        <v>33</v>
      </c>
    </row>
    <row r="154" spans="1:6" hidden="1" x14ac:dyDescent="0.2">
      <c r="A154">
        <v>153</v>
      </c>
      <c r="B154" t="s">
        <v>189</v>
      </c>
      <c r="C154" s="2">
        <v>232700</v>
      </c>
      <c r="D154">
        <v>54</v>
      </c>
      <c r="E154" t="s">
        <v>26</v>
      </c>
      <c r="F154" t="s">
        <v>47</v>
      </c>
    </row>
    <row r="155" spans="1:6" hidden="1" x14ac:dyDescent="0.2">
      <c r="A155">
        <v>154</v>
      </c>
      <c r="B155" t="s">
        <v>190</v>
      </c>
      <c r="C155" s="2">
        <v>231300</v>
      </c>
      <c r="D155">
        <v>93</v>
      </c>
      <c r="E155" t="s">
        <v>7</v>
      </c>
      <c r="F155" t="s">
        <v>60</v>
      </c>
    </row>
    <row r="156" spans="1:6" hidden="1" x14ac:dyDescent="0.2">
      <c r="A156">
        <v>155</v>
      </c>
      <c r="B156" t="s">
        <v>191</v>
      </c>
      <c r="C156" s="2">
        <v>230835</v>
      </c>
      <c r="D156">
        <v>166</v>
      </c>
      <c r="E156" t="s">
        <v>23</v>
      </c>
      <c r="F156" t="s">
        <v>85</v>
      </c>
    </row>
    <row r="157" spans="1:6" x14ac:dyDescent="0.2">
      <c r="A157">
        <v>156</v>
      </c>
      <c r="B157" t="s">
        <v>133</v>
      </c>
      <c r="C157" s="2">
        <v>228618</v>
      </c>
      <c r="D157">
        <v>192</v>
      </c>
      <c r="E157" t="s">
        <v>7</v>
      </c>
      <c r="F157" t="s">
        <v>21</v>
      </c>
    </row>
    <row r="158" spans="1:6" hidden="1" x14ac:dyDescent="0.2">
      <c r="A158">
        <v>157</v>
      </c>
      <c r="B158" t="s">
        <v>192</v>
      </c>
      <c r="C158" s="2">
        <v>228600</v>
      </c>
      <c r="D158">
        <v>214</v>
      </c>
      <c r="E158" t="s">
        <v>23</v>
      </c>
      <c r="F158" t="s">
        <v>85</v>
      </c>
    </row>
    <row r="159" spans="1:6" hidden="1" x14ac:dyDescent="0.2">
      <c r="A159">
        <v>158</v>
      </c>
      <c r="B159" t="s">
        <v>193</v>
      </c>
      <c r="C159" s="2">
        <v>226500</v>
      </c>
      <c r="D159">
        <v>235</v>
      </c>
      <c r="E159" t="s">
        <v>7</v>
      </c>
      <c r="F159" t="s">
        <v>49</v>
      </c>
    </row>
    <row r="160" spans="1:6" hidden="1" x14ac:dyDescent="0.2">
      <c r="A160">
        <v>159</v>
      </c>
      <c r="B160" t="s">
        <v>194</v>
      </c>
      <c r="C160" s="2">
        <v>223243</v>
      </c>
      <c r="D160">
        <v>29</v>
      </c>
      <c r="E160" t="s">
        <v>99</v>
      </c>
      <c r="F160" t="s">
        <v>47</v>
      </c>
    </row>
    <row r="161" spans="1:6" hidden="1" x14ac:dyDescent="0.2">
      <c r="A161">
        <v>160</v>
      </c>
      <c r="B161" t="s">
        <v>195</v>
      </c>
      <c r="C161" s="2">
        <v>221973</v>
      </c>
      <c r="D161">
        <v>192</v>
      </c>
      <c r="E161" t="s">
        <v>23</v>
      </c>
      <c r="F161" t="s">
        <v>14</v>
      </c>
    </row>
    <row r="162" spans="1:6" hidden="1" x14ac:dyDescent="0.2">
      <c r="A162">
        <v>161</v>
      </c>
      <c r="B162" t="s">
        <v>196</v>
      </c>
      <c r="C162" s="2">
        <v>219700</v>
      </c>
      <c r="D162">
        <v>23</v>
      </c>
      <c r="E162" t="s">
        <v>26</v>
      </c>
      <c r="F162" t="s">
        <v>27</v>
      </c>
    </row>
    <row r="163" spans="1:6" hidden="1" x14ac:dyDescent="0.2">
      <c r="A163">
        <v>162</v>
      </c>
      <c r="B163" t="s">
        <v>197</v>
      </c>
      <c r="C163" s="2">
        <v>219200</v>
      </c>
      <c r="D163">
        <v>144</v>
      </c>
      <c r="E163" t="s">
        <v>43</v>
      </c>
      <c r="F163" t="s">
        <v>44</v>
      </c>
    </row>
    <row r="164" spans="1:6" hidden="1" x14ac:dyDescent="0.2">
      <c r="A164">
        <v>163</v>
      </c>
      <c r="B164" t="s">
        <v>198</v>
      </c>
      <c r="C164" s="2">
        <v>219000</v>
      </c>
      <c r="D164">
        <v>43</v>
      </c>
      <c r="E164" t="s">
        <v>26</v>
      </c>
      <c r="F164" t="s">
        <v>27</v>
      </c>
    </row>
    <row r="165" spans="1:6" hidden="1" x14ac:dyDescent="0.2">
      <c r="A165">
        <v>164</v>
      </c>
      <c r="B165" t="s">
        <v>199</v>
      </c>
      <c r="C165" s="2">
        <v>214400</v>
      </c>
      <c r="D165">
        <v>375</v>
      </c>
      <c r="E165" t="s">
        <v>23</v>
      </c>
      <c r="F165" t="s">
        <v>12</v>
      </c>
    </row>
    <row r="166" spans="1:6" hidden="1" x14ac:dyDescent="0.2">
      <c r="A166">
        <v>165</v>
      </c>
      <c r="B166" t="s">
        <v>200</v>
      </c>
      <c r="C166" s="2">
        <v>211900</v>
      </c>
      <c r="D166">
        <v>198</v>
      </c>
      <c r="E166" t="s">
        <v>26</v>
      </c>
      <c r="F166" t="s">
        <v>35</v>
      </c>
    </row>
    <row r="167" spans="1:6" hidden="1" x14ac:dyDescent="0.2">
      <c r="A167">
        <v>166</v>
      </c>
      <c r="B167" t="s">
        <v>201</v>
      </c>
      <c r="C167" s="2">
        <v>211800</v>
      </c>
      <c r="D167">
        <v>35</v>
      </c>
      <c r="E167" t="s">
        <v>26</v>
      </c>
      <c r="F167" t="s">
        <v>52</v>
      </c>
    </row>
    <row r="168" spans="1:6" hidden="1" x14ac:dyDescent="0.2">
      <c r="A168">
        <v>167</v>
      </c>
      <c r="B168" t="s">
        <v>202</v>
      </c>
      <c r="C168" s="2">
        <v>209174</v>
      </c>
      <c r="D168">
        <v>73</v>
      </c>
      <c r="E168" t="s">
        <v>26</v>
      </c>
      <c r="F168" t="s">
        <v>27</v>
      </c>
    </row>
    <row r="169" spans="1:6" hidden="1" x14ac:dyDescent="0.2">
      <c r="A169">
        <v>168</v>
      </c>
      <c r="B169" t="s">
        <v>203</v>
      </c>
      <c r="C169" s="2">
        <v>209000</v>
      </c>
      <c r="D169">
        <v>280</v>
      </c>
      <c r="E169" t="s">
        <v>23</v>
      </c>
      <c r="F169" t="s">
        <v>24</v>
      </c>
    </row>
    <row r="170" spans="1:6" hidden="1" x14ac:dyDescent="0.2">
      <c r="A170">
        <v>169</v>
      </c>
      <c r="B170" t="s">
        <v>204</v>
      </c>
      <c r="C170" s="2">
        <v>208000</v>
      </c>
      <c r="D170">
        <v>28</v>
      </c>
      <c r="E170" t="s">
        <v>26</v>
      </c>
      <c r="F170" t="s">
        <v>52</v>
      </c>
    </row>
    <row r="171" spans="1:6" hidden="1" x14ac:dyDescent="0.2">
      <c r="A171">
        <v>170</v>
      </c>
      <c r="B171" t="s">
        <v>205</v>
      </c>
      <c r="C171" s="2">
        <v>206700</v>
      </c>
      <c r="D171">
        <v>166</v>
      </c>
      <c r="E171" t="s">
        <v>23</v>
      </c>
      <c r="F171" t="s">
        <v>14</v>
      </c>
    </row>
    <row r="172" spans="1:6" hidden="1" x14ac:dyDescent="0.2">
      <c r="A172">
        <v>171</v>
      </c>
      <c r="B172" t="s">
        <v>206</v>
      </c>
      <c r="C172" s="2">
        <v>205900</v>
      </c>
      <c r="D172">
        <v>190</v>
      </c>
      <c r="E172" t="s">
        <v>26</v>
      </c>
      <c r="F172" t="s">
        <v>27</v>
      </c>
    </row>
    <row r="173" spans="1:6" hidden="1" x14ac:dyDescent="0.2">
      <c r="A173">
        <v>172</v>
      </c>
      <c r="B173" t="s">
        <v>207</v>
      </c>
      <c r="C173" s="2">
        <v>203800</v>
      </c>
      <c r="D173">
        <v>37</v>
      </c>
      <c r="E173" t="s">
        <v>26</v>
      </c>
      <c r="F173" t="s">
        <v>85</v>
      </c>
    </row>
    <row r="174" spans="1:6" hidden="1" x14ac:dyDescent="0.2">
      <c r="A174">
        <v>173</v>
      </c>
      <c r="B174" t="s">
        <v>208</v>
      </c>
      <c r="C174" s="2">
        <v>200900</v>
      </c>
      <c r="D174">
        <v>312</v>
      </c>
      <c r="E174" t="s">
        <v>7</v>
      </c>
      <c r="F174" t="s">
        <v>10</v>
      </c>
    </row>
    <row r="175" spans="1:6" hidden="1" x14ac:dyDescent="0.2">
      <c r="A175">
        <v>174</v>
      </c>
      <c r="B175" t="s">
        <v>209</v>
      </c>
      <c r="C175" s="2">
        <v>199377</v>
      </c>
      <c r="D175">
        <v>49</v>
      </c>
      <c r="E175" t="s">
        <v>23</v>
      </c>
      <c r="F175" t="s">
        <v>8</v>
      </c>
    </row>
    <row r="176" spans="1:6" hidden="1" x14ac:dyDescent="0.2">
      <c r="A176">
        <v>175</v>
      </c>
      <c r="B176" t="s">
        <v>210</v>
      </c>
      <c r="C176" s="2">
        <v>198700</v>
      </c>
      <c r="D176">
        <v>126</v>
      </c>
      <c r="E176" t="s">
        <v>26</v>
      </c>
      <c r="F176" t="s">
        <v>85</v>
      </c>
    </row>
    <row r="177" spans="1:6" hidden="1" x14ac:dyDescent="0.2">
      <c r="A177">
        <v>176</v>
      </c>
      <c r="B177" t="s">
        <v>211</v>
      </c>
      <c r="C177" s="2">
        <v>197676</v>
      </c>
      <c r="D177">
        <v>75</v>
      </c>
      <c r="E177" t="s">
        <v>43</v>
      </c>
      <c r="F177" t="s">
        <v>44</v>
      </c>
    </row>
    <row r="178" spans="1:6" hidden="1" x14ac:dyDescent="0.2">
      <c r="A178">
        <v>177</v>
      </c>
      <c r="B178" t="s">
        <v>212</v>
      </c>
      <c r="C178" s="2">
        <v>196200</v>
      </c>
      <c r="D178">
        <v>89</v>
      </c>
      <c r="E178" t="s">
        <v>23</v>
      </c>
      <c r="F178" t="s">
        <v>14</v>
      </c>
    </row>
    <row r="179" spans="1:6" hidden="1" x14ac:dyDescent="0.2">
      <c r="A179">
        <v>178</v>
      </c>
      <c r="B179" t="s">
        <v>213</v>
      </c>
      <c r="C179" s="2">
        <v>191800</v>
      </c>
      <c r="D179">
        <v>86</v>
      </c>
      <c r="E179" t="s">
        <v>26</v>
      </c>
      <c r="F179" t="s">
        <v>33</v>
      </c>
    </row>
    <row r="180" spans="1:6" x14ac:dyDescent="0.2">
      <c r="A180">
        <v>179</v>
      </c>
      <c r="B180" t="s">
        <v>134</v>
      </c>
      <c r="C180" s="2">
        <v>190500</v>
      </c>
      <c r="D180">
        <v>94</v>
      </c>
      <c r="E180" t="s">
        <v>7</v>
      </c>
      <c r="F180" t="s">
        <v>21</v>
      </c>
    </row>
    <row r="181" spans="1:6" hidden="1" x14ac:dyDescent="0.2">
      <c r="A181">
        <v>180</v>
      </c>
      <c r="B181" t="s">
        <v>214</v>
      </c>
      <c r="C181" s="2">
        <v>187600</v>
      </c>
      <c r="D181">
        <v>92</v>
      </c>
      <c r="E181" t="s">
        <v>26</v>
      </c>
      <c r="F181" t="s">
        <v>35</v>
      </c>
    </row>
    <row r="182" spans="1:6" hidden="1" x14ac:dyDescent="0.2">
      <c r="A182">
        <v>181</v>
      </c>
      <c r="B182" t="s">
        <v>215</v>
      </c>
      <c r="C182" s="2">
        <v>185300</v>
      </c>
      <c r="D182">
        <v>22</v>
      </c>
      <c r="E182" t="s">
        <v>26</v>
      </c>
      <c r="F182" t="s">
        <v>85</v>
      </c>
    </row>
    <row r="183" spans="1:6" hidden="1" x14ac:dyDescent="0.2">
      <c r="A183">
        <v>182</v>
      </c>
      <c r="B183" t="s">
        <v>216</v>
      </c>
      <c r="C183" s="2">
        <v>185000</v>
      </c>
      <c r="D183">
        <v>175</v>
      </c>
      <c r="E183" t="s">
        <v>23</v>
      </c>
      <c r="F183" t="s">
        <v>14</v>
      </c>
    </row>
    <row r="184" spans="1:6" x14ac:dyDescent="0.2">
      <c r="A184">
        <v>183</v>
      </c>
      <c r="B184" t="s">
        <v>135</v>
      </c>
      <c r="C184" s="2">
        <v>183600</v>
      </c>
      <c r="D184">
        <v>153</v>
      </c>
      <c r="E184" t="s">
        <v>23</v>
      </c>
      <c r="F184" t="s">
        <v>21</v>
      </c>
    </row>
    <row r="185" spans="1:6" hidden="1" x14ac:dyDescent="0.2">
      <c r="A185">
        <v>184</v>
      </c>
      <c r="B185" t="s">
        <v>217</v>
      </c>
      <c r="C185" s="2">
        <v>183200</v>
      </c>
      <c r="D185">
        <v>95</v>
      </c>
      <c r="E185" t="s">
        <v>23</v>
      </c>
      <c r="F185" t="s">
        <v>12</v>
      </c>
    </row>
    <row r="186" spans="1:6" hidden="1" x14ac:dyDescent="0.2">
      <c r="A186">
        <v>185</v>
      </c>
      <c r="B186" t="s">
        <v>218</v>
      </c>
      <c r="C186" s="2">
        <v>183100</v>
      </c>
      <c r="D186">
        <v>13</v>
      </c>
      <c r="E186" t="s">
        <v>99</v>
      </c>
      <c r="F186" t="s">
        <v>47</v>
      </c>
    </row>
    <row r="187" spans="1:6" hidden="1" x14ac:dyDescent="0.2">
      <c r="A187">
        <v>186</v>
      </c>
      <c r="B187" t="s">
        <v>219</v>
      </c>
      <c r="C187" s="2">
        <v>182800</v>
      </c>
      <c r="D187">
        <v>66</v>
      </c>
      <c r="E187" t="s">
        <v>26</v>
      </c>
      <c r="F187" t="s">
        <v>85</v>
      </c>
    </row>
    <row r="188" spans="1:6" hidden="1" x14ac:dyDescent="0.2">
      <c r="A188">
        <v>187</v>
      </c>
      <c r="B188" t="s">
        <v>220</v>
      </c>
      <c r="C188" s="2">
        <v>182700</v>
      </c>
      <c r="D188">
        <v>88</v>
      </c>
      <c r="E188" t="s">
        <v>23</v>
      </c>
      <c r="F188" t="s">
        <v>24</v>
      </c>
    </row>
    <row r="189" spans="1:6" hidden="1" x14ac:dyDescent="0.2">
      <c r="A189">
        <v>188</v>
      </c>
      <c r="B189" t="s">
        <v>221</v>
      </c>
      <c r="C189" s="2">
        <v>182000</v>
      </c>
      <c r="D189">
        <v>17</v>
      </c>
      <c r="E189" t="s">
        <v>26</v>
      </c>
      <c r="F189" t="s">
        <v>27</v>
      </c>
    </row>
    <row r="190" spans="1:6" hidden="1" x14ac:dyDescent="0.2">
      <c r="A190">
        <v>189</v>
      </c>
      <c r="B190" t="s">
        <v>222</v>
      </c>
      <c r="C190" s="2">
        <v>181300</v>
      </c>
      <c r="D190">
        <v>257</v>
      </c>
      <c r="E190" t="s">
        <v>7</v>
      </c>
      <c r="F190" t="s">
        <v>10</v>
      </c>
    </row>
    <row r="191" spans="1:6" hidden="1" x14ac:dyDescent="0.2">
      <c r="A191">
        <v>190</v>
      </c>
      <c r="B191" t="s">
        <v>223</v>
      </c>
      <c r="C191" s="2">
        <v>180100</v>
      </c>
      <c r="D191">
        <v>638</v>
      </c>
      <c r="E191" t="s">
        <v>7</v>
      </c>
      <c r="F191" t="s">
        <v>8</v>
      </c>
    </row>
    <row r="192" spans="1:6" hidden="1" x14ac:dyDescent="0.2">
      <c r="A192">
        <v>191</v>
      </c>
      <c r="B192" t="s">
        <v>224</v>
      </c>
      <c r="C192" s="2">
        <v>180000</v>
      </c>
      <c r="D192">
        <v>275</v>
      </c>
      <c r="E192" t="s">
        <v>7</v>
      </c>
      <c r="F192" t="s">
        <v>37</v>
      </c>
    </row>
    <row r="193" spans="1:6" hidden="1" x14ac:dyDescent="0.2">
      <c r="A193">
        <v>192</v>
      </c>
      <c r="B193" t="s">
        <v>225</v>
      </c>
      <c r="C193" s="2">
        <v>176700</v>
      </c>
      <c r="D193">
        <v>295</v>
      </c>
      <c r="E193" t="s">
        <v>23</v>
      </c>
      <c r="F193" t="s">
        <v>12</v>
      </c>
    </row>
    <row r="194" spans="1:6" hidden="1" x14ac:dyDescent="0.2">
      <c r="A194">
        <v>193</v>
      </c>
      <c r="B194" t="s">
        <v>226</v>
      </c>
      <c r="C194" s="2">
        <v>174200</v>
      </c>
      <c r="D194">
        <v>390</v>
      </c>
      <c r="E194" t="s">
        <v>7</v>
      </c>
      <c r="F194" t="s">
        <v>37</v>
      </c>
    </row>
    <row r="195" spans="1:6" hidden="1" x14ac:dyDescent="0.2">
      <c r="A195">
        <v>194</v>
      </c>
      <c r="B195" t="s">
        <v>227</v>
      </c>
      <c r="C195" s="2">
        <v>168700</v>
      </c>
      <c r="D195">
        <v>95</v>
      </c>
      <c r="E195" t="s">
        <v>23</v>
      </c>
      <c r="F195" t="s">
        <v>14</v>
      </c>
    </row>
    <row r="196" spans="1:6" hidden="1" x14ac:dyDescent="0.2">
      <c r="A196">
        <v>195</v>
      </c>
      <c r="B196" t="s">
        <v>228</v>
      </c>
      <c r="C196" s="2">
        <v>167593</v>
      </c>
      <c r="D196">
        <v>69</v>
      </c>
      <c r="E196" t="s">
        <v>43</v>
      </c>
      <c r="F196" t="s">
        <v>44</v>
      </c>
    </row>
    <row r="197" spans="1:6" hidden="1" x14ac:dyDescent="0.2">
      <c r="A197">
        <v>196</v>
      </c>
      <c r="B197" t="s">
        <v>229</v>
      </c>
      <c r="C197" s="2">
        <v>166500</v>
      </c>
      <c r="D197">
        <v>55</v>
      </c>
      <c r="E197" t="s">
        <v>26</v>
      </c>
      <c r="F197" t="s">
        <v>27</v>
      </c>
    </row>
    <row r="198" spans="1:6" hidden="1" x14ac:dyDescent="0.2">
      <c r="A198">
        <v>197</v>
      </c>
      <c r="B198" t="s">
        <v>230</v>
      </c>
      <c r="C198" s="2">
        <v>165400</v>
      </c>
      <c r="D198">
        <v>76</v>
      </c>
      <c r="E198" t="s">
        <v>23</v>
      </c>
      <c r="F198" t="s">
        <v>24</v>
      </c>
    </row>
    <row r="199" spans="1:6" hidden="1" x14ac:dyDescent="0.2">
      <c r="A199">
        <v>198</v>
      </c>
      <c r="B199" t="s">
        <v>231</v>
      </c>
      <c r="C199" s="2">
        <v>164000</v>
      </c>
      <c r="D199">
        <v>78</v>
      </c>
      <c r="E199" t="s">
        <v>26</v>
      </c>
      <c r="F199" t="s">
        <v>33</v>
      </c>
    </row>
    <row r="200" spans="1:6" hidden="1" x14ac:dyDescent="0.2">
      <c r="A200">
        <v>199</v>
      </c>
      <c r="B200" t="s">
        <v>232</v>
      </c>
      <c r="C200" s="2">
        <v>162900</v>
      </c>
      <c r="D200">
        <v>164</v>
      </c>
      <c r="E200" t="s">
        <v>26</v>
      </c>
      <c r="F200" t="s">
        <v>33</v>
      </c>
    </row>
    <row r="201" spans="1:6" hidden="1" x14ac:dyDescent="0.2">
      <c r="A201">
        <v>200</v>
      </c>
      <c r="B201" t="s">
        <v>233</v>
      </c>
      <c r="C201" s="2">
        <v>161809</v>
      </c>
      <c r="D201">
        <v>12</v>
      </c>
      <c r="E201" t="s">
        <v>99</v>
      </c>
      <c r="F201" t="s">
        <v>47</v>
      </c>
    </row>
    <row r="202" spans="1:6" hidden="1" x14ac:dyDescent="0.2">
      <c r="A202">
        <v>201</v>
      </c>
      <c r="B202" t="s">
        <v>234</v>
      </c>
      <c r="C202" s="2">
        <v>160500</v>
      </c>
      <c r="D202">
        <v>52</v>
      </c>
      <c r="E202" t="s">
        <v>26</v>
      </c>
      <c r="F202" t="s">
        <v>33</v>
      </c>
    </row>
    <row r="203" spans="1:6" hidden="1" x14ac:dyDescent="0.2">
      <c r="A203">
        <v>202</v>
      </c>
      <c r="B203" t="s">
        <v>235</v>
      </c>
      <c r="C203" s="2">
        <v>160500</v>
      </c>
      <c r="D203">
        <v>96</v>
      </c>
      <c r="E203" t="s">
        <v>43</v>
      </c>
      <c r="F203" t="s">
        <v>44</v>
      </c>
    </row>
    <row r="204" spans="1:6" hidden="1" x14ac:dyDescent="0.2">
      <c r="A204">
        <v>203</v>
      </c>
      <c r="B204" t="s">
        <v>236</v>
      </c>
      <c r="C204" s="2">
        <v>158300</v>
      </c>
      <c r="D204">
        <v>137</v>
      </c>
      <c r="E204" t="s">
        <v>43</v>
      </c>
      <c r="F204" t="s">
        <v>44</v>
      </c>
    </row>
    <row r="205" spans="1:6" hidden="1" x14ac:dyDescent="0.2">
      <c r="A205">
        <v>204</v>
      </c>
      <c r="B205" t="s">
        <v>237</v>
      </c>
      <c r="C205" s="2">
        <v>154000</v>
      </c>
      <c r="D205">
        <v>54</v>
      </c>
      <c r="E205" t="s">
        <v>26</v>
      </c>
      <c r="F205" t="s">
        <v>35</v>
      </c>
    </row>
    <row r="206" spans="1:6" hidden="1" x14ac:dyDescent="0.2">
      <c r="A206">
        <v>205</v>
      </c>
      <c r="B206" t="s">
        <v>238</v>
      </c>
      <c r="C206" s="2">
        <v>153000</v>
      </c>
      <c r="D206">
        <v>23</v>
      </c>
      <c r="E206" t="s">
        <v>26</v>
      </c>
      <c r="F206" t="s">
        <v>14</v>
      </c>
    </row>
    <row r="207" spans="1:6" hidden="1" x14ac:dyDescent="0.2">
      <c r="A207">
        <v>206</v>
      </c>
      <c r="B207" t="s">
        <v>239</v>
      </c>
      <c r="C207" s="2">
        <v>151600</v>
      </c>
      <c r="D207">
        <v>31</v>
      </c>
      <c r="E207" t="s">
        <v>26</v>
      </c>
      <c r="F207" t="s">
        <v>27</v>
      </c>
    </row>
    <row r="208" spans="1:6" hidden="1" x14ac:dyDescent="0.2">
      <c r="A208">
        <v>207</v>
      </c>
      <c r="B208" t="s">
        <v>240</v>
      </c>
      <c r="C208" s="2">
        <v>150693</v>
      </c>
      <c r="D208">
        <v>93</v>
      </c>
      <c r="E208" t="s">
        <v>7</v>
      </c>
      <c r="F208" t="s">
        <v>60</v>
      </c>
    </row>
    <row r="209" spans="1:6" hidden="1" x14ac:dyDescent="0.2">
      <c r="A209">
        <v>208</v>
      </c>
      <c r="B209" t="s">
        <v>241</v>
      </c>
      <c r="C209" s="2">
        <v>150200</v>
      </c>
      <c r="D209">
        <v>46</v>
      </c>
      <c r="E209" t="s">
        <v>26</v>
      </c>
      <c r="F209" t="s">
        <v>47</v>
      </c>
    </row>
    <row r="210" spans="1:6" hidden="1" x14ac:dyDescent="0.2">
      <c r="A210">
        <v>209</v>
      </c>
      <c r="B210" t="s">
        <v>242</v>
      </c>
      <c r="C210" s="2">
        <v>149980</v>
      </c>
      <c r="D210">
        <v>250</v>
      </c>
      <c r="E210" t="s">
        <v>7</v>
      </c>
      <c r="F210" t="s">
        <v>12</v>
      </c>
    </row>
    <row r="211" spans="1:6" hidden="1" x14ac:dyDescent="0.2">
      <c r="A211">
        <v>210</v>
      </c>
      <c r="B211" t="s">
        <v>243</v>
      </c>
      <c r="C211" s="2">
        <v>149600</v>
      </c>
      <c r="D211">
        <v>24</v>
      </c>
      <c r="E211" t="s">
        <v>26</v>
      </c>
      <c r="F211" t="s">
        <v>14</v>
      </c>
    </row>
    <row r="212" spans="1:6" x14ac:dyDescent="0.2">
      <c r="A212">
        <v>211</v>
      </c>
      <c r="B212" t="s">
        <v>136</v>
      </c>
      <c r="C212" s="2">
        <v>148612</v>
      </c>
      <c r="D212">
        <v>245</v>
      </c>
      <c r="E212" t="s">
        <v>7</v>
      </c>
      <c r="F212" t="s">
        <v>21</v>
      </c>
    </row>
    <row r="213" spans="1:6" hidden="1" x14ac:dyDescent="0.2">
      <c r="A213">
        <v>212</v>
      </c>
      <c r="B213" t="s">
        <v>244</v>
      </c>
      <c r="C213" s="2">
        <v>148500</v>
      </c>
      <c r="D213">
        <v>130</v>
      </c>
      <c r="E213" t="s">
        <v>43</v>
      </c>
      <c r="F213" t="s">
        <v>44</v>
      </c>
    </row>
    <row r="214" spans="1:6" hidden="1" x14ac:dyDescent="0.2">
      <c r="A214">
        <v>213</v>
      </c>
      <c r="B214" t="s">
        <v>245</v>
      </c>
      <c r="C214" s="2">
        <v>148231</v>
      </c>
      <c r="D214">
        <v>68</v>
      </c>
      <c r="E214" t="s">
        <v>43</v>
      </c>
      <c r="F214" t="s">
        <v>44</v>
      </c>
    </row>
    <row r="215" spans="1:6" hidden="1" x14ac:dyDescent="0.2">
      <c r="A215">
        <v>214</v>
      </c>
      <c r="B215" t="s">
        <v>246</v>
      </c>
      <c r="C215" s="2">
        <v>147856</v>
      </c>
      <c r="D215">
        <v>20</v>
      </c>
      <c r="E215" t="s">
        <v>26</v>
      </c>
      <c r="F215" t="s">
        <v>27</v>
      </c>
    </row>
    <row r="216" spans="1:6" hidden="1" x14ac:dyDescent="0.2">
      <c r="A216">
        <v>215</v>
      </c>
      <c r="B216" t="s">
        <v>247</v>
      </c>
      <c r="C216" s="2">
        <v>147600</v>
      </c>
      <c r="D216">
        <v>64</v>
      </c>
      <c r="E216" t="s">
        <v>23</v>
      </c>
      <c r="F216" t="s">
        <v>12</v>
      </c>
    </row>
    <row r="217" spans="1:6" hidden="1" x14ac:dyDescent="0.2">
      <c r="A217">
        <v>216</v>
      </c>
      <c r="B217" t="s">
        <v>248</v>
      </c>
      <c r="C217" s="2">
        <v>145505</v>
      </c>
      <c r="D217">
        <v>66</v>
      </c>
      <c r="E217" t="s">
        <v>43</v>
      </c>
      <c r="F217" t="s">
        <v>33</v>
      </c>
    </row>
    <row r="218" spans="1:6" x14ac:dyDescent="0.2">
      <c r="A218">
        <v>217</v>
      </c>
      <c r="B218" t="s">
        <v>137</v>
      </c>
      <c r="C218" s="2">
        <v>144680</v>
      </c>
      <c r="D218">
        <v>163</v>
      </c>
      <c r="E218" t="s">
        <v>7</v>
      </c>
      <c r="F218" t="s">
        <v>21</v>
      </c>
    </row>
    <row r="219" spans="1:6" hidden="1" x14ac:dyDescent="0.2">
      <c r="A219">
        <v>218</v>
      </c>
      <c r="B219" t="s">
        <v>249</v>
      </c>
      <c r="C219" s="2">
        <v>143300</v>
      </c>
      <c r="D219">
        <v>148</v>
      </c>
      <c r="E219" t="s">
        <v>43</v>
      </c>
      <c r="F219" t="s">
        <v>44</v>
      </c>
    </row>
    <row r="220" spans="1:6" hidden="1" x14ac:dyDescent="0.2">
      <c r="A220">
        <v>219</v>
      </c>
      <c r="B220" t="s">
        <v>250</v>
      </c>
      <c r="C220" s="2">
        <v>143200</v>
      </c>
      <c r="D220">
        <v>54</v>
      </c>
      <c r="E220" t="s">
        <v>26</v>
      </c>
      <c r="F220" t="s">
        <v>14</v>
      </c>
    </row>
    <row r="221" spans="1:6" hidden="1" x14ac:dyDescent="0.2">
      <c r="A221">
        <v>220</v>
      </c>
      <c r="B221" t="s">
        <v>251</v>
      </c>
      <c r="C221" s="2">
        <v>143105</v>
      </c>
      <c r="D221">
        <v>747</v>
      </c>
      <c r="E221" t="s">
        <v>7</v>
      </c>
      <c r="F221" t="s">
        <v>85</v>
      </c>
    </row>
    <row r="222" spans="1:6" hidden="1" x14ac:dyDescent="0.2">
      <c r="A222">
        <v>221</v>
      </c>
      <c r="B222" t="s">
        <v>252</v>
      </c>
      <c r="C222" s="2">
        <v>143023</v>
      </c>
      <c r="D222">
        <v>37</v>
      </c>
      <c r="E222" t="s">
        <v>26</v>
      </c>
      <c r="F222" t="s">
        <v>27</v>
      </c>
    </row>
    <row r="223" spans="1:6" hidden="1" x14ac:dyDescent="0.2">
      <c r="A223">
        <v>222</v>
      </c>
      <c r="B223" t="s">
        <v>253</v>
      </c>
      <c r="C223" s="2">
        <v>143000</v>
      </c>
      <c r="D223">
        <v>325</v>
      </c>
      <c r="E223" t="s">
        <v>7</v>
      </c>
      <c r="F223" t="s">
        <v>37</v>
      </c>
    </row>
    <row r="224" spans="1:6" hidden="1" x14ac:dyDescent="0.2">
      <c r="A224">
        <v>223</v>
      </c>
      <c r="B224" t="s">
        <v>254</v>
      </c>
      <c r="C224" s="2">
        <v>142500</v>
      </c>
      <c r="D224">
        <v>650</v>
      </c>
      <c r="E224" t="s">
        <v>7</v>
      </c>
      <c r="F224" t="s">
        <v>37</v>
      </c>
    </row>
    <row r="225" spans="1:6" hidden="1" x14ac:dyDescent="0.2">
      <c r="A225">
        <v>224</v>
      </c>
      <c r="B225" t="s">
        <v>255</v>
      </c>
      <c r="C225" s="2">
        <v>137800</v>
      </c>
      <c r="D225">
        <v>155</v>
      </c>
      <c r="E225" t="s">
        <v>7</v>
      </c>
      <c r="F225" t="s">
        <v>37</v>
      </c>
    </row>
    <row r="226" spans="1:6" hidden="1" x14ac:dyDescent="0.2">
      <c r="A226">
        <v>225</v>
      </c>
      <c r="B226" t="s">
        <v>256</v>
      </c>
      <c r="C226" s="2">
        <v>137700</v>
      </c>
      <c r="D226">
        <v>71</v>
      </c>
      <c r="E226" t="s">
        <v>43</v>
      </c>
      <c r="F226" t="s">
        <v>44</v>
      </c>
    </row>
    <row r="227" spans="1:6" hidden="1" x14ac:dyDescent="0.2">
      <c r="A227">
        <v>226</v>
      </c>
      <c r="B227" t="s">
        <v>257</v>
      </c>
      <c r="C227" s="2">
        <v>137000</v>
      </c>
      <c r="D227">
        <v>250</v>
      </c>
      <c r="E227" t="s">
        <v>7</v>
      </c>
      <c r="F227" t="s">
        <v>37</v>
      </c>
    </row>
    <row r="228" spans="1:6" hidden="1" x14ac:dyDescent="0.2">
      <c r="A228">
        <v>227</v>
      </c>
      <c r="B228" t="s">
        <v>258</v>
      </c>
      <c r="C228" s="2">
        <v>136400</v>
      </c>
      <c r="D228">
        <v>18</v>
      </c>
      <c r="E228" t="s">
        <v>26</v>
      </c>
      <c r="F228" t="s">
        <v>27</v>
      </c>
    </row>
    <row r="229" spans="1:6" hidden="1" x14ac:dyDescent="0.2">
      <c r="A229">
        <v>228</v>
      </c>
      <c r="B229" t="s">
        <v>259</v>
      </c>
      <c r="C229" s="2">
        <v>135586</v>
      </c>
      <c r="D229">
        <v>38</v>
      </c>
      <c r="E229" t="s">
        <v>26</v>
      </c>
      <c r="F229" t="s">
        <v>27</v>
      </c>
    </row>
    <row r="230" spans="1:6" hidden="1" x14ac:dyDescent="0.2">
      <c r="A230">
        <v>229</v>
      </c>
      <c r="B230" t="s">
        <v>260</v>
      </c>
      <c r="C230" s="2">
        <v>133700</v>
      </c>
      <c r="D230">
        <v>70</v>
      </c>
      <c r="E230" t="s">
        <v>26</v>
      </c>
      <c r="F230" t="s">
        <v>47</v>
      </c>
    </row>
    <row r="231" spans="1:6" hidden="1" x14ac:dyDescent="0.2">
      <c r="A231">
        <v>230</v>
      </c>
      <c r="B231" t="s">
        <v>261</v>
      </c>
      <c r="C231" s="2">
        <v>132998</v>
      </c>
      <c r="D231">
        <v>33</v>
      </c>
      <c r="E231" t="s">
        <v>26</v>
      </c>
      <c r="F231" t="s">
        <v>27</v>
      </c>
    </row>
    <row r="232" spans="1:6" hidden="1" x14ac:dyDescent="0.2">
      <c r="A232">
        <v>231</v>
      </c>
      <c r="B232" t="s">
        <v>262</v>
      </c>
      <c r="C232" s="2">
        <v>132500</v>
      </c>
      <c r="D232">
        <v>132</v>
      </c>
      <c r="E232" t="s">
        <v>7</v>
      </c>
      <c r="F232" t="s">
        <v>8</v>
      </c>
    </row>
    <row r="233" spans="1:6" hidden="1" x14ac:dyDescent="0.2">
      <c r="A233">
        <v>232</v>
      </c>
      <c r="B233" t="s">
        <v>263</v>
      </c>
      <c r="C233" s="2">
        <v>132400</v>
      </c>
      <c r="D233">
        <v>152</v>
      </c>
      <c r="E233" t="s">
        <v>7</v>
      </c>
      <c r="F233" t="s">
        <v>19</v>
      </c>
    </row>
    <row r="234" spans="1:6" hidden="1" x14ac:dyDescent="0.2">
      <c r="A234">
        <v>233</v>
      </c>
      <c r="B234" t="s">
        <v>264</v>
      </c>
      <c r="C234" s="2">
        <v>131633</v>
      </c>
      <c r="D234">
        <v>41</v>
      </c>
      <c r="E234" t="s">
        <v>26</v>
      </c>
      <c r="F234" t="s">
        <v>27</v>
      </c>
    </row>
    <row r="235" spans="1:6" hidden="1" x14ac:dyDescent="0.2">
      <c r="A235">
        <v>234</v>
      </c>
      <c r="B235" t="s">
        <v>265</v>
      </c>
      <c r="C235" s="2">
        <v>129717</v>
      </c>
      <c r="D235">
        <v>104</v>
      </c>
      <c r="E235" t="s">
        <v>23</v>
      </c>
      <c r="F235" t="s">
        <v>12</v>
      </c>
    </row>
    <row r="236" spans="1:6" hidden="1" x14ac:dyDescent="0.2">
      <c r="A236">
        <v>235</v>
      </c>
      <c r="B236" t="s">
        <v>266</v>
      </c>
      <c r="C236" s="2">
        <v>127641</v>
      </c>
      <c r="D236">
        <v>34</v>
      </c>
      <c r="E236" t="s">
        <v>26</v>
      </c>
      <c r="F236" t="s">
        <v>27</v>
      </c>
    </row>
    <row r="237" spans="1:6" hidden="1" x14ac:dyDescent="0.2">
      <c r="A237">
        <v>236</v>
      </c>
      <c r="B237" t="s">
        <v>267</v>
      </c>
      <c r="C237" s="2">
        <v>125400</v>
      </c>
      <c r="D237">
        <v>29</v>
      </c>
      <c r="E237" t="s">
        <v>26</v>
      </c>
      <c r="F237" t="s">
        <v>52</v>
      </c>
    </row>
    <row r="238" spans="1:6" x14ac:dyDescent="0.2">
      <c r="A238">
        <v>237</v>
      </c>
      <c r="B238" t="s">
        <v>138</v>
      </c>
      <c r="C238" s="2">
        <v>124600</v>
      </c>
      <c r="D238">
        <v>133</v>
      </c>
      <c r="E238" t="s">
        <v>7</v>
      </c>
      <c r="F238" t="s">
        <v>21</v>
      </c>
    </row>
    <row r="239" spans="1:6" x14ac:dyDescent="0.2">
      <c r="A239">
        <v>238</v>
      </c>
      <c r="B239" t="s">
        <v>139</v>
      </c>
      <c r="C239" s="2">
        <v>124200</v>
      </c>
      <c r="D239">
        <v>242</v>
      </c>
      <c r="E239" t="s">
        <v>7</v>
      </c>
      <c r="F239" t="s">
        <v>21</v>
      </c>
    </row>
    <row r="240" spans="1:6" hidden="1" x14ac:dyDescent="0.2">
      <c r="A240">
        <v>239</v>
      </c>
      <c r="B240" t="s">
        <v>268</v>
      </c>
      <c r="C240" s="2">
        <v>124200</v>
      </c>
      <c r="D240">
        <v>12</v>
      </c>
      <c r="E240" t="s">
        <v>26</v>
      </c>
      <c r="F240" t="s">
        <v>27</v>
      </c>
    </row>
    <row r="241" spans="1:6" hidden="1" x14ac:dyDescent="0.2">
      <c r="A241">
        <v>240</v>
      </c>
      <c r="B241" t="s">
        <v>269</v>
      </c>
      <c r="C241" s="2">
        <v>124000</v>
      </c>
      <c r="D241">
        <v>86</v>
      </c>
      <c r="E241" t="s">
        <v>26</v>
      </c>
      <c r="F241" t="s">
        <v>75</v>
      </c>
    </row>
    <row r="242" spans="1:6" hidden="1" x14ac:dyDescent="0.2">
      <c r="A242">
        <v>241</v>
      </c>
      <c r="B242" t="s">
        <v>270</v>
      </c>
      <c r="C242" s="2">
        <v>123200</v>
      </c>
      <c r="D242">
        <v>52</v>
      </c>
      <c r="E242" t="s">
        <v>26</v>
      </c>
      <c r="F242" t="s">
        <v>35</v>
      </c>
    </row>
    <row r="243" spans="1:6" hidden="1" x14ac:dyDescent="0.2">
      <c r="A243">
        <v>242</v>
      </c>
      <c r="B243" t="s">
        <v>271</v>
      </c>
      <c r="C243" s="2">
        <v>123100</v>
      </c>
      <c r="D243">
        <v>64</v>
      </c>
      <c r="E243" t="s">
        <v>26</v>
      </c>
      <c r="F243" t="s">
        <v>27</v>
      </c>
    </row>
    <row r="244" spans="1:6" hidden="1" x14ac:dyDescent="0.2">
      <c r="A244">
        <v>243</v>
      </c>
      <c r="B244" t="s">
        <v>272</v>
      </c>
      <c r="C244" s="2">
        <v>122800</v>
      </c>
      <c r="D244">
        <v>78</v>
      </c>
      <c r="E244" t="s">
        <v>23</v>
      </c>
      <c r="F244" t="s">
        <v>8</v>
      </c>
    </row>
    <row r="245" spans="1:6" hidden="1" x14ac:dyDescent="0.2">
      <c r="A245">
        <v>244</v>
      </c>
      <c r="B245" t="s">
        <v>273</v>
      </c>
      <c r="C245" s="2">
        <v>122200</v>
      </c>
      <c r="D245">
        <v>328</v>
      </c>
      <c r="E245" t="s">
        <v>7</v>
      </c>
      <c r="F245" t="s">
        <v>85</v>
      </c>
    </row>
    <row r="246" spans="1:6" hidden="1" x14ac:dyDescent="0.2">
      <c r="A246">
        <v>245</v>
      </c>
      <c r="B246" t="s">
        <v>274</v>
      </c>
      <c r="C246" s="2">
        <v>122100</v>
      </c>
      <c r="D246">
        <v>39</v>
      </c>
      <c r="E246" t="s">
        <v>26</v>
      </c>
      <c r="F246" t="s">
        <v>14</v>
      </c>
    </row>
    <row r="247" spans="1:6" x14ac:dyDescent="0.2">
      <c r="A247">
        <v>246</v>
      </c>
      <c r="B247" t="s">
        <v>140</v>
      </c>
      <c r="C247" s="2">
        <v>122054</v>
      </c>
      <c r="D247">
        <v>164</v>
      </c>
      <c r="E247" t="s">
        <v>7</v>
      </c>
      <c r="F247" t="s">
        <v>21</v>
      </c>
    </row>
    <row r="248" spans="1:6" hidden="1" x14ac:dyDescent="0.2">
      <c r="A248">
        <v>247</v>
      </c>
      <c r="B248" t="s">
        <v>275</v>
      </c>
      <c r="C248" s="2">
        <v>122015</v>
      </c>
      <c r="D248">
        <v>34</v>
      </c>
      <c r="E248" t="s">
        <v>26</v>
      </c>
      <c r="F248" t="s">
        <v>27</v>
      </c>
    </row>
    <row r="249" spans="1:6" hidden="1" x14ac:dyDescent="0.2">
      <c r="A249">
        <v>248</v>
      </c>
      <c r="B249" t="s">
        <v>276</v>
      </c>
      <c r="C249" s="2">
        <v>122000</v>
      </c>
      <c r="D249">
        <v>70</v>
      </c>
      <c r="E249" t="s">
        <v>43</v>
      </c>
      <c r="F249" t="s">
        <v>44</v>
      </c>
    </row>
    <row r="250" spans="1:6" hidden="1" x14ac:dyDescent="0.2">
      <c r="A250">
        <v>249</v>
      </c>
      <c r="B250" t="s">
        <v>277</v>
      </c>
      <c r="C250" s="2">
        <v>122000</v>
      </c>
      <c r="D250">
        <v>70</v>
      </c>
      <c r="E250" t="s">
        <v>7</v>
      </c>
      <c r="F250" t="s">
        <v>60</v>
      </c>
    </row>
    <row r="251" spans="1:6" hidden="1" x14ac:dyDescent="0.2">
      <c r="A251">
        <v>250</v>
      </c>
      <c r="B251" t="s">
        <v>278</v>
      </c>
      <c r="C251" s="2">
        <v>120000</v>
      </c>
      <c r="D251">
        <v>115</v>
      </c>
      <c r="E251" t="s">
        <v>23</v>
      </c>
      <c r="F251" t="s">
        <v>14</v>
      </c>
    </row>
    <row r="252" spans="1:6" hidden="1" x14ac:dyDescent="0.2">
      <c r="A252">
        <v>251</v>
      </c>
      <c r="B252" t="s">
        <v>279</v>
      </c>
      <c r="C252" s="2">
        <v>118803</v>
      </c>
      <c r="D252" s="3">
        <v>576.20000000000005</v>
      </c>
      <c r="E252" t="s">
        <v>7</v>
      </c>
      <c r="F252" t="s">
        <v>8</v>
      </c>
    </row>
    <row r="253" spans="1:6" hidden="1" x14ac:dyDescent="0.2">
      <c r="A253">
        <v>252</v>
      </c>
      <c r="B253" t="s">
        <v>280</v>
      </c>
      <c r="C253" s="2">
        <v>117617.97</v>
      </c>
      <c r="D253" s="3">
        <v>249.5</v>
      </c>
      <c r="E253" t="s">
        <v>7</v>
      </c>
      <c r="F253" t="s">
        <v>10</v>
      </c>
    </row>
    <row r="254" spans="1:6" hidden="1" x14ac:dyDescent="0.2">
      <c r="A254">
        <v>253</v>
      </c>
      <c r="B254" t="s">
        <v>281</v>
      </c>
      <c r="C254" s="2">
        <v>116444.79029999999</v>
      </c>
      <c r="D254" s="3">
        <v>267.5</v>
      </c>
      <c r="E254" t="s">
        <v>7</v>
      </c>
      <c r="F254" t="s">
        <v>12</v>
      </c>
    </row>
    <row r="255" spans="1:6" hidden="1" x14ac:dyDescent="0.2">
      <c r="A255">
        <v>254</v>
      </c>
      <c r="B255" t="s">
        <v>282</v>
      </c>
      <c r="C255" s="2">
        <v>115283.34239699999</v>
      </c>
      <c r="D255" s="3">
        <v>267.5</v>
      </c>
      <c r="E255" t="s">
        <v>7</v>
      </c>
      <c r="F255" t="s">
        <v>14</v>
      </c>
    </row>
    <row r="256" spans="1:6" hidden="1" x14ac:dyDescent="0.2">
      <c r="A256">
        <v>255</v>
      </c>
      <c r="B256" t="s">
        <v>283</v>
      </c>
      <c r="C256" s="2">
        <v>114133.50897302998</v>
      </c>
      <c r="D256" s="3">
        <v>87.5</v>
      </c>
      <c r="E256" t="s">
        <v>7</v>
      </c>
      <c r="F256" t="s">
        <v>8</v>
      </c>
    </row>
    <row r="257" spans="1:6" hidden="1" x14ac:dyDescent="0.2">
      <c r="A257">
        <v>256</v>
      </c>
      <c r="B257" t="s">
        <v>284</v>
      </c>
      <c r="C257" s="2">
        <v>112995.17388329968</v>
      </c>
      <c r="D257" s="3">
        <v>64.099999999999994</v>
      </c>
      <c r="E257" t="s">
        <v>7</v>
      </c>
      <c r="F257" t="s">
        <v>8</v>
      </c>
    </row>
    <row r="258" spans="1:6" hidden="1" x14ac:dyDescent="0.2">
      <c r="A258">
        <v>257</v>
      </c>
      <c r="B258" t="s">
        <v>285</v>
      </c>
      <c r="C258" s="2">
        <v>111868.22214446668</v>
      </c>
      <c r="D258" s="3">
        <v>51.5</v>
      </c>
      <c r="E258" t="s">
        <v>7</v>
      </c>
      <c r="F258" t="s">
        <v>10</v>
      </c>
    </row>
    <row r="259" spans="1:6" hidden="1" x14ac:dyDescent="0.2">
      <c r="A259">
        <v>258</v>
      </c>
      <c r="B259" t="s">
        <v>286</v>
      </c>
      <c r="C259" s="2">
        <v>110752.53992302201</v>
      </c>
      <c r="D259" s="3">
        <v>70.400000000000006</v>
      </c>
      <c r="E259" t="s">
        <v>7</v>
      </c>
      <c r="F259" t="s">
        <v>19</v>
      </c>
    </row>
    <row r="260" spans="1:6" x14ac:dyDescent="0.2">
      <c r="A260">
        <v>259</v>
      </c>
      <c r="B260" t="s">
        <v>287</v>
      </c>
      <c r="C260" s="2">
        <v>109648.01452379179</v>
      </c>
      <c r="D260" s="3">
        <v>72.2</v>
      </c>
      <c r="E260" t="s">
        <v>7</v>
      </c>
      <c r="F260" t="s">
        <v>21</v>
      </c>
    </row>
    <row r="261" spans="1:6" hidden="1" x14ac:dyDescent="0.2">
      <c r="A261">
        <v>260</v>
      </c>
      <c r="B261" t="s">
        <v>288</v>
      </c>
      <c r="C261" s="2">
        <v>108554.53437855387</v>
      </c>
      <c r="D261" s="3">
        <v>149.6</v>
      </c>
      <c r="E261" t="s">
        <v>23</v>
      </c>
      <c r="F261" t="s">
        <v>24</v>
      </c>
    </row>
    <row r="262" spans="1:6" hidden="1" x14ac:dyDescent="0.2">
      <c r="A262">
        <v>261</v>
      </c>
      <c r="B262" t="s">
        <v>289</v>
      </c>
      <c r="C262" s="2">
        <v>107471.98903476832</v>
      </c>
      <c r="D262" s="3">
        <v>12.8</v>
      </c>
      <c r="E262" t="s">
        <v>26</v>
      </c>
      <c r="F262" t="s">
        <v>27</v>
      </c>
    </row>
    <row r="263" spans="1:6" x14ac:dyDescent="0.2">
      <c r="A263">
        <v>262</v>
      </c>
      <c r="B263" t="s">
        <v>290</v>
      </c>
      <c r="C263" s="2">
        <v>106400.26914442064</v>
      </c>
      <c r="D263" s="3">
        <v>48.800000000000004</v>
      </c>
      <c r="E263" t="s">
        <v>7</v>
      </c>
      <c r="F263" t="s">
        <v>21</v>
      </c>
    </row>
    <row r="264" spans="1:6" hidden="1" x14ac:dyDescent="0.2">
      <c r="A264">
        <v>263</v>
      </c>
      <c r="B264" t="s">
        <v>291</v>
      </c>
      <c r="C264" s="2">
        <v>105339.26645297643</v>
      </c>
      <c r="D264" s="3">
        <v>88.4</v>
      </c>
      <c r="E264" t="s">
        <v>23</v>
      </c>
      <c r="F264" t="s">
        <v>14</v>
      </c>
    </row>
    <row r="265" spans="1:6" hidden="1" x14ac:dyDescent="0.2">
      <c r="A265">
        <v>264</v>
      </c>
      <c r="B265" t="s">
        <v>292</v>
      </c>
      <c r="C265" s="2">
        <v>104288.87378844667</v>
      </c>
      <c r="D265" s="3">
        <v>125.3</v>
      </c>
      <c r="E265" t="s">
        <v>7</v>
      </c>
      <c r="F265" t="s">
        <v>8</v>
      </c>
    </row>
    <row r="266" spans="1:6" hidden="1" x14ac:dyDescent="0.2">
      <c r="A266">
        <v>265</v>
      </c>
      <c r="B266" t="s">
        <v>293</v>
      </c>
      <c r="C266" s="2">
        <v>103248.9850505622</v>
      </c>
      <c r="D266" s="3">
        <v>50.6</v>
      </c>
      <c r="E266" t="s">
        <v>7</v>
      </c>
      <c r="F266" t="s">
        <v>19</v>
      </c>
    </row>
    <row r="267" spans="1:6" hidden="1" x14ac:dyDescent="0.2">
      <c r="A267">
        <v>266</v>
      </c>
      <c r="B267" t="s">
        <v>294</v>
      </c>
      <c r="C267" s="2">
        <v>102219.49520005658</v>
      </c>
      <c r="D267" s="3">
        <v>22.7</v>
      </c>
      <c r="E267" t="s">
        <v>26</v>
      </c>
      <c r="F267" t="s">
        <v>33</v>
      </c>
    </row>
    <row r="268" spans="1:6" hidden="1" x14ac:dyDescent="0.2">
      <c r="A268">
        <v>267</v>
      </c>
      <c r="B268" t="s">
        <v>295</v>
      </c>
      <c r="C268" s="2">
        <v>101200.30024805601</v>
      </c>
      <c r="D268" s="3">
        <v>29.900000000000002</v>
      </c>
      <c r="E268" t="s">
        <v>26</v>
      </c>
      <c r="F268" t="s">
        <v>35</v>
      </c>
    </row>
    <row r="269" spans="1:6" hidden="1" x14ac:dyDescent="0.2">
      <c r="A269">
        <v>268</v>
      </c>
      <c r="B269" t="s">
        <v>296</v>
      </c>
      <c r="C269" s="2">
        <v>100191.29724557545</v>
      </c>
      <c r="D269" s="3">
        <v>85.7</v>
      </c>
      <c r="E269" t="s">
        <v>7</v>
      </c>
      <c r="F269" t="s">
        <v>37</v>
      </c>
    </row>
    <row r="270" spans="1:6" x14ac:dyDescent="0.2">
      <c r="A270">
        <v>269</v>
      </c>
      <c r="B270" t="s">
        <v>297</v>
      </c>
      <c r="C270" s="2">
        <v>99192.384273119693</v>
      </c>
      <c r="D270" s="3">
        <v>43.4</v>
      </c>
      <c r="E270" t="s">
        <v>7</v>
      </c>
      <c r="F270" t="s">
        <v>21</v>
      </c>
    </row>
    <row r="271" spans="1:6" hidden="1" x14ac:dyDescent="0.2">
      <c r="A271">
        <v>270</v>
      </c>
      <c r="B271" t="s">
        <v>298</v>
      </c>
      <c r="C271" s="2">
        <v>98203.460430388499</v>
      </c>
      <c r="D271" s="3">
        <v>227</v>
      </c>
      <c r="E271" t="s">
        <v>7</v>
      </c>
      <c r="F271" t="s">
        <v>12</v>
      </c>
    </row>
    <row r="272" spans="1:6" hidden="1" x14ac:dyDescent="0.2">
      <c r="A272">
        <v>271</v>
      </c>
      <c r="B272" t="s">
        <v>299</v>
      </c>
      <c r="C272" s="2">
        <v>97224.425826084611</v>
      </c>
      <c r="D272" s="3">
        <v>23.6</v>
      </c>
      <c r="E272" t="s">
        <v>26</v>
      </c>
      <c r="F272" t="s">
        <v>27</v>
      </c>
    </row>
    <row r="273" spans="1:6" hidden="1" x14ac:dyDescent="0.2">
      <c r="A273">
        <v>272</v>
      </c>
      <c r="B273" t="s">
        <v>300</v>
      </c>
      <c r="C273" s="2">
        <v>96255.181567823762</v>
      </c>
      <c r="D273" s="3">
        <v>222.5</v>
      </c>
      <c r="E273" t="s">
        <v>7</v>
      </c>
      <c r="F273" t="s">
        <v>8</v>
      </c>
    </row>
    <row r="274" spans="1:6" hidden="1" x14ac:dyDescent="0.2">
      <c r="A274">
        <v>273</v>
      </c>
      <c r="B274" t="s">
        <v>301</v>
      </c>
      <c r="C274" s="2">
        <v>95295.629752145527</v>
      </c>
      <c r="D274" s="3">
        <v>222.5</v>
      </c>
      <c r="E274" t="s">
        <v>43</v>
      </c>
      <c r="F274" t="s">
        <v>44</v>
      </c>
    </row>
    <row r="275" spans="1:6" x14ac:dyDescent="0.2">
      <c r="A275">
        <v>274</v>
      </c>
      <c r="B275" t="s">
        <v>302</v>
      </c>
      <c r="C275" s="2">
        <v>94345.673454624077</v>
      </c>
      <c r="D275" s="3">
        <v>63.2</v>
      </c>
      <c r="E275" t="s">
        <v>7</v>
      </c>
      <c r="F275" t="s">
        <v>21</v>
      </c>
    </row>
    <row r="276" spans="1:6" hidden="1" x14ac:dyDescent="0.2">
      <c r="A276">
        <v>275</v>
      </c>
      <c r="B276" t="s">
        <v>303</v>
      </c>
      <c r="C276" s="2">
        <v>93405.216720077835</v>
      </c>
      <c r="D276" s="3">
        <v>20</v>
      </c>
      <c r="E276" t="s">
        <v>7</v>
      </c>
      <c r="F276" t="s">
        <v>19</v>
      </c>
    </row>
    <row r="277" spans="1:6" hidden="1" x14ac:dyDescent="0.2">
      <c r="A277">
        <v>276</v>
      </c>
      <c r="B277" t="s">
        <v>304</v>
      </c>
      <c r="C277" s="2">
        <v>92474.16455287706</v>
      </c>
      <c r="D277" s="3">
        <v>59.6</v>
      </c>
      <c r="E277" t="s">
        <v>26</v>
      </c>
      <c r="F277" t="s">
        <v>47</v>
      </c>
    </row>
    <row r="278" spans="1:6" hidden="1" x14ac:dyDescent="0.2">
      <c r="A278">
        <v>277</v>
      </c>
      <c r="B278" t="s">
        <v>305</v>
      </c>
      <c r="C278" s="2">
        <v>91552.422907348286</v>
      </c>
      <c r="D278" s="3">
        <v>61.4</v>
      </c>
      <c r="E278" t="s">
        <v>23</v>
      </c>
      <c r="F278" t="s">
        <v>49</v>
      </c>
    </row>
    <row r="279" spans="1:6" hidden="1" x14ac:dyDescent="0.2">
      <c r="A279">
        <v>278</v>
      </c>
      <c r="B279" t="s">
        <v>306</v>
      </c>
      <c r="C279" s="2">
        <v>90639.898678274796</v>
      </c>
      <c r="D279" s="3">
        <v>148.70000000000002</v>
      </c>
      <c r="E279" t="s">
        <v>43</v>
      </c>
      <c r="F279" t="s">
        <v>44</v>
      </c>
    </row>
    <row r="280" spans="1:6" hidden="1" x14ac:dyDescent="0.2">
      <c r="A280">
        <v>279</v>
      </c>
      <c r="B280" t="s">
        <v>307</v>
      </c>
      <c r="C280" s="2">
        <v>89736.499691492048</v>
      </c>
      <c r="D280" s="3">
        <v>61.4</v>
      </c>
      <c r="E280" t="s">
        <v>26</v>
      </c>
      <c r="F280" t="s">
        <v>52</v>
      </c>
    </row>
    <row r="281" spans="1:6" hidden="1" x14ac:dyDescent="0.2">
      <c r="A281">
        <v>280</v>
      </c>
      <c r="B281" t="s">
        <v>308</v>
      </c>
      <c r="C281" s="2">
        <v>88842.134694577122</v>
      </c>
      <c r="D281" s="3">
        <v>50.6</v>
      </c>
      <c r="E281" t="s">
        <v>43</v>
      </c>
      <c r="F281" t="s">
        <v>44</v>
      </c>
    </row>
    <row r="282" spans="1:6" hidden="1" x14ac:dyDescent="0.2">
      <c r="A282">
        <v>281</v>
      </c>
      <c r="B282" t="s">
        <v>309</v>
      </c>
      <c r="C282" s="2">
        <v>87956.713347631347</v>
      </c>
      <c r="D282" s="3">
        <v>674.30000000000007</v>
      </c>
      <c r="E282" t="s">
        <v>7</v>
      </c>
      <c r="F282" t="s">
        <v>8</v>
      </c>
    </row>
    <row r="283" spans="1:6" hidden="1" x14ac:dyDescent="0.2">
      <c r="A283">
        <v>282</v>
      </c>
      <c r="B283" t="s">
        <v>310</v>
      </c>
      <c r="C283" s="2">
        <v>87080.146214155029</v>
      </c>
      <c r="D283" s="3">
        <v>35.300000000000004</v>
      </c>
      <c r="E283" t="s">
        <v>26</v>
      </c>
      <c r="F283" t="s">
        <v>47</v>
      </c>
    </row>
    <row r="284" spans="1:6" hidden="1" x14ac:dyDescent="0.2">
      <c r="A284">
        <v>283</v>
      </c>
      <c r="B284" t="s">
        <v>311</v>
      </c>
      <c r="C284" s="2">
        <v>86212.34475201348</v>
      </c>
      <c r="D284" s="3">
        <v>294.5</v>
      </c>
      <c r="E284" t="s">
        <v>23</v>
      </c>
      <c r="F284" t="s">
        <v>12</v>
      </c>
    </row>
    <row r="285" spans="1:6" hidden="1" x14ac:dyDescent="0.2">
      <c r="A285">
        <v>284</v>
      </c>
      <c r="B285" t="s">
        <v>312</v>
      </c>
      <c r="C285" s="2">
        <v>85353.221304493345</v>
      </c>
      <c r="D285" s="3">
        <v>63.2</v>
      </c>
      <c r="E285" t="s">
        <v>7</v>
      </c>
      <c r="F285" t="s">
        <v>8</v>
      </c>
    </row>
    <row r="286" spans="1:6" hidden="1" x14ac:dyDescent="0.2">
      <c r="A286">
        <v>285</v>
      </c>
      <c r="B286" t="s">
        <v>313</v>
      </c>
      <c r="C286" s="2">
        <v>84502.68909144841</v>
      </c>
      <c r="D286" s="3">
        <v>20</v>
      </c>
      <c r="E286" t="s">
        <v>26</v>
      </c>
      <c r="F286" t="s">
        <v>27</v>
      </c>
    </row>
    <row r="287" spans="1:6" hidden="1" x14ac:dyDescent="0.2">
      <c r="A287">
        <v>286</v>
      </c>
      <c r="B287" t="s">
        <v>314</v>
      </c>
      <c r="C287" s="2">
        <v>83660.66220053393</v>
      </c>
      <c r="D287" s="3">
        <v>65.900000000000006</v>
      </c>
      <c r="E287" t="s">
        <v>7</v>
      </c>
      <c r="F287" t="s">
        <v>60</v>
      </c>
    </row>
    <row r="288" spans="1:6" hidden="1" x14ac:dyDescent="0.2">
      <c r="A288">
        <v>287</v>
      </c>
      <c r="B288" t="s">
        <v>315</v>
      </c>
      <c r="C288" s="2">
        <v>82827.055578528583</v>
      </c>
      <c r="D288" s="3">
        <v>61.4</v>
      </c>
      <c r="E288" t="s">
        <v>26</v>
      </c>
      <c r="F288" t="s">
        <v>47</v>
      </c>
    </row>
    <row r="289" spans="1:6" hidden="1" x14ac:dyDescent="0.2">
      <c r="A289">
        <v>288</v>
      </c>
      <c r="B289" t="s">
        <v>316</v>
      </c>
      <c r="C289" s="2">
        <v>82001.785022743294</v>
      </c>
      <c r="D289" s="3">
        <v>18.2</v>
      </c>
      <c r="E289" t="s">
        <v>26</v>
      </c>
      <c r="F289" t="s">
        <v>27</v>
      </c>
    </row>
    <row r="290" spans="1:6" hidden="1" x14ac:dyDescent="0.2">
      <c r="A290">
        <v>289</v>
      </c>
      <c r="B290" t="s">
        <v>317</v>
      </c>
      <c r="C290" s="2">
        <v>81184.767172515858</v>
      </c>
      <c r="D290" s="3">
        <v>36.200000000000003</v>
      </c>
      <c r="E290" t="s">
        <v>26</v>
      </c>
      <c r="F290" t="s">
        <v>27</v>
      </c>
    </row>
    <row r="291" spans="1:6" hidden="1" x14ac:dyDescent="0.2">
      <c r="A291">
        <v>290</v>
      </c>
      <c r="B291" t="s">
        <v>318</v>
      </c>
      <c r="C291" s="2">
        <v>80375.919500790696</v>
      </c>
      <c r="D291" s="3">
        <v>65</v>
      </c>
      <c r="E291" t="s">
        <v>7</v>
      </c>
      <c r="F291" t="s">
        <v>8</v>
      </c>
    </row>
    <row r="292" spans="1:6" hidden="1" x14ac:dyDescent="0.2">
      <c r="A292">
        <v>291</v>
      </c>
      <c r="B292" t="s">
        <v>319</v>
      </c>
      <c r="C292" s="2">
        <v>79575.160305782789</v>
      </c>
      <c r="D292" s="3">
        <v>31.7</v>
      </c>
      <c r="E292" t="s">
        <v>23</v>
      </c>
      <c r="F292" t="s">
        <v>19</v>
      </c>
    </row>
    <row r="293" spans="1:6" hidden="1" x14ac:dyDescent="0.2">
      <c r="A293">
        <v>292</v>
      </c>
      <c r="B293" t="s">
        <v>320</v>
      </c>
      <c r="C293" s="2">
        <v>78782.408702724962</v>
      </c>
      <c r="D293" s="3">
        <v>120.8</v>
      </c>
      <c r="E293" t="s">
        <v>23</v>
      </c>
      <c r="F293" t="s">
        <v>8</v>
      </c>
    </row>
    <row r="294" spans="1:6" hidden="1" x14ac:dyDescent="0.2">
      <c r="A294">
        <v>293</v>
      </c>
      <c r="B294" t="s">
        <v>321</v>
      </c>
      <c r="C294" s="2">
        <v>77997.584615697706</v>
      </c>
      <c r="D294" s="3">
        <v>138.80000000000001</v>
      </c>
      <c r="E294" t="s">
        <v>7</v>
      </c>
      <c r="F294" t="s">
        <v>8</v>
      </c>
    </row>
    <row r="295" spans="1:6" hidden="1" x14ac:dyDescent="0.2">
      <c r="A295">
        <v>294</v>
      </c>
      <c r="B295" t="s">
        <v>322</v>
      </c>
      <c r="C295" s="2">
        <v>77220.608769540733</v>
      </c>
      <c r="D295" s="3">
        <v>38.9</v>
      </c>
      <c r="E295" t="s">
        <v>26</v>
      </c>
      <c r="F295" t="s">
        <v>27</v>
      </c>
    </row>
    <row r="296" spans="1:6" hidden="1" x14ac:dyDescent="0.2">
      <c r="A296">
        <v>295</v>
      </c>
      <c r="B296" t="s">
        <v>323</v>
      </c>
      <c r="C296" s="2">
        <v>76451.402681845328</v>
      </c>
      <c r="D296" s="3">
        <v>95.600000000000009</v>
      </c>
      <c r="E296" t="s">
        <v>7</v>
      </c>
      <c r="F296" t="s">
        <v>19</v>
      </c>
    </row>
    <row r="297" spans="1:6" hidden="1" x14ac:dyDescent="0.2">
      <c r="A297">
        <v>296</v>
      </c>
      <c r="B297" t="s">
        <v>324</v>
      </c>
      <c r="C297" s="2">
        <v>75689.88865502688</v>
      </c>
      <c r="D297" s="3">
        <v>32.6</v>
      </c>
      <c r="E297" t="s">
        <v>7</v>
      </c>
      <c r="F297" t="s">
        <v>8</v>
      </c>
    </row>
    <row r="298" spans="1:6" hidden="1" x14ac:dyDescent="0.2">
      <c r="A298">
        <v>297</v>
      </c>
      <c r="B298" t="s">
        <v>325</v>
      </c>
      <c r="C298" s="2">
        <v>74935.989768476604</v>
      </c>
      <c r="D298" s="3">
        <v>28.1</v>
      </c>
      <c r="E298" t="s">
        <v>43</v>
      </c>
      <c r="F298" t="s">
        <v>44</v>
      </c>
    </row>
    <row r="299" spans="1:6" hidden="1" x14ac:dyDescent="0.2">
      <c r="A299">
        <v>298</v>
      </c>
      <c r="B299" t="s">
        <v>326</v>
      </c>
      <c r="C299" s="2">
        <v>74189.629870791832</v>
      </c>
      <c r="D299" s="3">
        <v>18.2</v>
      </c>
      <c r="E299" t="s">
        <v>43</v>
      </c>
      <c r="F299" t="s">
        <v>44</v>
      </c>
    </row>
    <row r="300" spans="1:6" hidden="1" x14ac:dyDescent="0.2">
      <c r="A300">
        <v>299</v>
      </c>
      <c r="B300" t="s">
        <v>327</v>
      </c>
      <c r="C300" s="2">
        <v>73450.733572083918</v>
      </c>
      <c r="D300" s="3">
        <v>219.8</v>
      </c>
      <c r="E300" t="s">
        <v>26</v>
      </c>
      <c r="F300" t="s">
        <v>27</v>
      </c>
    </row>
    <row r="301" spans="1:6" hidden="1" x14ac:dyDescent="0.2">
      <c r="A301">
        <v>300</v>
      </c>
      <c r="B301" t="s">
        <v>328</v>
      </c>
      <c r="C301" s="2">
        <v>72719.226236363073</v>
      </c>
      <c r="D301" s="3">
        <v>12.8</v>
      </c>
      <c r="E301" t="s">
        <v>26</v>
      </c>
      <c r="F301" t="s">
        <v>75</v>
      </c>
    </row>
    <row r="302" spans="1:6" x14ac:dyDescent="0.2">
      <c r="A302">
        <v>301</v>
      </c>
      <c r="B302" t="s">
        <v>329</v>
      </c>
      <c r="C302" s="2">
        <v>71995.033973999438</v>
      </c>
      <c r="D302" s="3">
        <v>31.7</v>
      </c>
      <c r="E302" t="s">
        <v>7</v>
      </c>
      <c r="F302" t="s">
        <v>21</v>
      </c>
    </row>
    <row r="303" spans="1:6" hidden="1" x14ac:dyDescent="0.2">
      <c r="A303">
        <v>302</v>
      </c>
      <c r="B303" t="s">
        <v>330</v>
      </c>
      <c r="C303" s="2">
        <v>71278.083634259441</v>
      </c>
      <c r="D303" s="3">
        <v>48.800000000000004</v>
      </c>
      <c r="E303" t="s">
        <v>7</v>
      </c>
      <c r="F303" t="s">
        <v>19</v>
      </c>
    </row>
    <row r="304" spans="1:6" hidden="1" x14ac:dyDescent="0.2">
      <c r="A304">
        <v>303</v>
      </c>
      <c r="B304" t="s">
        <v>331</v>
      </c>
      <c r="C304" s="2">
        <v>70568.30279791684</v>
      </c>
      <c r="D304" s="3">
        <v>59.6</v>
      </c>
      <c r="E304" t="s">
        <v>26</v>
      </c>
      <c r="F304" t="s">
        <v>35</v>
      </c>
    </row>
    <row r="305" spans="1:6" hidden="1" x14ac:dyDescent="0.2">
      <c r="A305">
        <v>304</v>
      </c>
      <c r="B305" t="s">
        <v>332</v>
      </c>
      <c r="C305" s="2">
        <v>69865.619769937664</v>
      </c>
      <c r="D305" s="3">
        <v>72.2</v>
      </c>
      <c r="E305" t="s">
        <v>23</v>
      </c>
      <c r="F305" t="s">
        <v>19</v>
      </c>
    </row>
    <row r="306" spans="1:6" hidden="1" x14ac:dyDescent="0.2">
      <c r="A306">
        <v>305</v>
      </c>
      <c r="B306" t="s">
        <v>333</v>
      </c>
      <c r="C306" s="2">
        <v>69169.963572238281</v>
      </c>
      <c r="D306" s="3">
        <v>297.2</v>
      </c>
      <c r="E306" t="s">
        <v>7</v>
      </c>
      <c r="F306" t="s">
        <v>19</v>
      </c>
    </row>
    <row r="307" spans="1:6" hidden="1" x14ac:dyDescent="0.2">
      <c r="A307">
        <v>306</v>
      </c>
      <c r="B307" t="s">
        <v>334</v>
      </c>
      <c r="C307" s="2">
        <v>68481.263936515898</v>
      </c>
      <c r="D307" s="3">
        <v>37.1</v>
      </c>
      <c r="E307" t="s">
        <v>23</v>
      </c>
      <c r="F307" t="s">
        <v>14</v>
      </c>
    </row>
    <row r="308" spans="1:6" hidden="1" x14ac:dyDescent="0.2">
      <c r="A308">
        <v>307</v>
      </c>
      <c r="B308" t="s">
        <v>335</v>
      </c>
      <c r="C308" s="2">
        <v>67799.451297150736</v>
      </c>
      <c r="D308" s="3">
        <v>149.6</v>
      </c>
      <c r="E308" t="s">
        <v>26</v>
      </c>
      <c r="F308" t="s">
        <v>33</v>
      </c>
    </row>
    <row r="309" spans="1:6" hidden="1" x14ac:dyDescent="0.2">
      <c r="A309">
        <v>308</v>
      </c>
      <c r="B309" t="s">
        <v>336</v>
      </c>
      <c r="C309" s="2">
        <v>67124.45678417923</v>
      </c>
      <c r="D309" s="3">
        <v>32.6</v>
      </c>
      <c r="E309" t="s">
        <v>26</v>
      </c>
      <c r="F309" t="s">
        <v>33</v>
      </c>
    </row>
    <row r="310" spans="1:6" hidden="1" x14ac:dyDescent="0.2">
      <c r="A310">
        <v>309</v>
      </c>
      <c r="B310" t="s">
        <v>337</v>
      </c>
      <c r="C310" s="2">
        <v>66456.212216337444</v>
      </c>
      <c r="D310" s="3">
        <v>219.8</v>
      </c>
      <c r="E310" t="s">
        <v>7</v>
      </c>
      <c r="F310" t="s">
        <v>85</v>
      </c>
    </row>
    <row r="311" spans="1:6" hidden="1" x14ac:dyDescent="0.2">
      <c r="A311">
        <v>310</v>
      </c>
      <c r="B311" t="s">
        <v>338</v>
      </c>
      <c r="C311" s="2">
        <v>65794.650094174067</v>
      </c>
      <c r="D311" s="3">
        <v>65</v>
      </c>
      <c r="E311" t="s">
        <v>26</v>
      </c>
      <c r="F311" t="s">
        <v>47</v>
      </c>
    </row>
    <row r="312" spans="1:6" hidden="1" x14ac:dyDescent="0.2">
      <c r="A312">
        <v>311</v>
      </c>
      <c r="B312" t="s">
        <v>339</v>
      </c>
      <c r="C312" s="2">
        <v>65139.703593232327</v>
      </c>
      <c r="D312" s="3">
        <v>105.5</v>
      </c>
      <c r="E312" t="s">
        <v>26</v>
      </c>
      <c r="F312" t="s">
        <v>27</v>
      </c>
    </row>
    <row r="313" spans="1:6" hidden="1" x14ac:dyDescent="0.2">
      <c r="A313">
        <v>312</v>
      </c>
      <c r="B313" t="s">
        <v>340</v>
      </c>
      <c r="C313" s="2">
        <v>64491.306557300006</v>
      </c>
      <c r="D313" s="3">
        <v>520.58000000000004</v>
      </c>
      <c r="E313" t="s">
        <v>7</v>
      </c>
      <c r="F313" t="s">
        <v>14</v>
      </c>
    </row>
    <row r="314" spans="1:6" hidden="1" x14ac:dyDescent="0.2">
      <c r="A314">
        <v>313</v>
      </c>
      <c r="B314" t="s">
        <v>341</v>
      </c>
      <c r="C314" s="2">
        <v>63849.393491727002</v>
      </c>
      <c r="D314" s="3">
        <v>226.55</v>
      </c>
      <c r="E314" t="s">
        <v>23</v>
      </c>
      <c r="F314" t="s">
        <v>12</v>
      </c>
    </row>
    <row r="315" spans="1:6" hidden="1" x14ac:dyDescent="0.2">
      <c r="A315">
        <v>314</v>
      </c>
      <c r="B315" t="s">
        <v>342</v>
      </c>
      <c r="C315" s="2">
        <v>63213.899556809731</v>
      </c>
      <c r="D315" s="3">
        <v>242.75</v>
      </c>
      <c r="E315" t="s">
        <v>7</v>
      </c>
      <c r="F315" t="s">
        <v>10</v>
      </c>
    </row>
    <row r="316" spans="1:6" hidden="1" x14ac:dyDescent="0.2">
      <c r="A316">
        <v>315</v>
      </c>
      <c r="B316" t="s">
        <v>343</v>
      </c>
      <c r="C316" s="2">
        <v>62584.76056124163</v>
      </c>
      <c r="D316" s="3">
        <v>242.75</v>
      </c>
      <c r="E316" t="s">
        <v>23</v>
      </c>
      <c r="F316" t="s">
        <v>12</v>
      </c>
    </row>
    <row r="317" spans="1:6" hidden="1" x14ac:dyDescent="0.2">
      <c r="A317">
        <v>316</v>
      </c>
      <c r="B317" t="s">
        <v>344</v>
      </c>
      <c r="C317" s="2">
        <v>61961.91295562921</v>
      </c>
      <c r="D317" s="3">
        <v>80.75</v>
      </c>
      <c r="E317" t="s">
        <v>23</v>
      </c>
      <c r="F317" t="s">
        <v>12</v>
      </c>
    </row>
    <row r="318" spans="1:6" hidden="1" x14ac:dyDescent="0.2">
      <c r="A318">
        <v>317</v>
      </c>
      <c r="B318" t="s">
        <v>345</v>
      </c>
      <c r="C318" s="2">
        <v>61345.293826072921</v>
      </c>
      <c r="D318" s="3">
        <v>59.69</v>
      </c>
      <c r="E318" t="s">
        <v>43</v>
      </c>
      <c r="F318" t="s">
        <v>44</v>
      </c>
    </row>
    <row r="319" spans="1:6" hidden="1" x14ac:dyDescent="0.2">
      <c r="A319">
        <v>318</v>
      </c>
      <c r="B319" t="s">
        <v>346</v>
      </c>
      <c r="C319" s="2">
        <v>60734.840887812192</v>
      </c>
      <c r="D319" s="3">
        <v>48.35</v>
      </c>
      <c r="E319" t="s">
        <v>23</v>
      </c>
      <c r="F319" t="s">
        <v>14</v>
      </c>
    </row>
    <row r="320" spans="1:6" hidden="1" x14ac:dyDescent="0.2">
      <c r="A320">
        <v>319</v>
      </c>
      <c r="B320" t="s">
        <v>347</v>
      </c>
      <c r="C320" s="2">
        <v>60130.492478934066</v>
      </c>
      <c r="D320" s="3">
        <v>65.360000000000014</v>
      </c>
      <c r="E320" t="s">
        <v>26</v>
      </c>
      <c r="F320" t="s">
        <v>52</v>
      </c>
    </row>
    <row r="321" spans="1:6" hidden="1" x14ac:dyDescent="0.2">
      <c r="A321">
        <v>320</v>
      </c>
      <c r="B321" t="s">
        <v>348</v>
      </c>
      <c r="C321" s="2">
        <v>59532.187554144723</v>
      </c>
      <c r="D321" s="3">
        <v>66.98</v>
      </c>
      <c r="E321" t="s">
        <v>7</v>
      </c>
      <c r="F321" t="s">
        <v>8</v>
      </c>
    </row>
    <row r="322" spans="1:6" hidden="1" x14ac:dyDescent="0.2">
      <c r="A322">
        <v>321</v>
      </c>
      <c r="B322" t="s">
        <v>349</v>
      </c>
      <c r="C322" s="2">
        <v>58939.865678603273</v>
      </c>
      <c r="D322" s="3">
        <v>136.63999999999999</v>
      </c>
      <c r="E322" t="s">
        <v>23</v>
      </c>
      <c r="F322" t="s">
        <v>19</v>
      </c>
    </row>
    <row r="323" spans="1:6" hidden="1" x14ac:dyDescent="0.2">
      <c r="A323">
        <v>322</v>
      </c>
      <c r="B323" t="s">
        <v>350</v>
      </c>
      <c r="C323" s="2">
        <v>58353.46702181724</v>
      </c>
      <c r="D323" s="3">
        <v>13.520000000000001</v>
      </c>
      <c r="E323" t="s">
        <v>99</v>
      </c>
      <c r="F323" t="s">
        <v>47</v>
      </c>
    </row>
    <row r="324" spans="1:6" hidden="1" x14ac:dyDescent="0.2">
      <c r="A324">
        <v>323</v>
      </c>
      <c r="B324" t="s">
        <v>351</v>
      </c>
      <c r="C324" s="2">
        <v>57772.932351599069</v>
      </c>
      <c r="D324" s="3">
        <v>45.92</v>
      </c>
      <c r="E324" t="s">
        <v>7</v>
      </c>
      <c r="F324" t="s">
        <v>37</v>
      </c>
    </row>
    <row r="325" spans="1:6" hidden="1" x14ac:dyDescent="0.2">
      <c r="A325">
        <v>324</v>
      </c>
      <c r="B325" t="s">
        <v>352</v>
      </c>
      <c r="C325" s="2">
        <v>57198.20302808308</v>
      </c>
      <c r="D325" s="3">
        <v>81.56</v>
      </c>
      <c r="E325" t="s">
        <v>23</v>
      </c>
      <c r="F325" t="s">
        <v>19</v>
      </c>
    </row>
    <row r="326" spans="1:6" hidden="1" x14ac:dyDescent="0.2">
      <c r="A326">
        <v>325</v>
      </c>
      <c r="B326" t="s">
        <v>353</v>
      </c>
      <c r="C326" s="2">
        <v>56629.220997802251</v>
      </c>
      <c r="D326" s="3">
        <v>114.77</v>
      </c>
      <c r="E326" t="s">
        <v>7</v>
      </c>
      <c r="F326" t="s">
        <v>85</v>
      </c>
    </row>
    <row r="327" spans="1:6" hidden="1" x14ac:dyDescent="0.2">
      <c r="A327">
        <v>326</v>
      </c>
      <c r="B327" t="s">
        <v>354</v>
      </c>
      <c r="C327" s="2">
        <v>56065.928787824225</v>
      </c>
      <c r="D327" s="3">
        <v>47.54</v>
      </c>
      <c r="E327" t="s">
        <v>7</v>
      </c>
      <c r="F327" t="s">
        <v>8</v>
      </c>
    </row>
    <row r="328" spans="1:6" hidden="1" x14ac:dyDescent="0.2">
      <c r="A328">
        <v>327</v>
      </c>
      <c r="B328" t="s">
        <v>355</v>
      </c>
      <c r="C328" s="2">
        <v>55508.269499945985</v>
      </c>
      <c r="D328" s="3">
        <v>22.43</v>
      </c>
      <c r="E328" t="s">
        <v>23</v>
      </c>
      <c r="F328" t="s">
        <v>12</v>
      </c>
    </row>
    <row r="329" spans="1:6" hidden="1" x14ac:dyDescent="0.2">
      <c r="A329">
        <v>328</v>
      </c>
      <c r="B329" t="s">
        <v>356</v>
      </c>
      <c r="C329" s="2">
        <v>54956.186804946527</v>
      </c>
      <c r="D329" s="3">
        <v>28.910000000000004</v>
      </c>
      <c r="E329" t="s">
        <v>7</v>
      </c>
      <c r="F329" t="s">
        <v>85</v>
      </c>
    </row>
    <row r="330" spans="1:6" hidden="1" x14ac:dyDescent="0.2">
      <c r="A330">
        <v>329</v>
      </c>
      <c r="B330" t="s">
        <v>357</v>
      </c>
      <c r="C330" s="2">
        <v>54409.62493689706</v>
      </c>
      <c r="D330" s="3">
        <v>79.13000000000001</v>
      </c>
      <c r="E330" t="s">
        <v>7</v>
      </c>
      <c r="F330" t="s">
        <v>85</v>
      </c>
    </row>
    <row r="331" spans="1:6" hidden="1" x14ac:dyDescent="0.2">
      <c r="A331">
        <v>330</v>
      </c>
      <c r="B331" t="s">
        <v>358</v>
      </c>
      <c r="C331" s="2">
        <v>53868.528687528087</v>
      </c>
      <c r="D331" s="3">
        <v>41.06</v>
      </c>
      <c r="E331" t="s">
        <v>26</v>
      </c>
      <c r="F331" t="s">
        <v>27</v>
      </c>
    </row>
    <row r="332" spans="1:6" hidden="1" x14ac:dyDescent="0.2">
      <c r="A332">
        <v>331</v>
      </c>
      <c r="B332" t="s">
        <v>359</v>
      </c>
      <c r="C332" s="2">
        <v>53332.843400652804</v>
      </c>
      <c r="D332" s="3">
        <v>206.3</v>
      </c>
      <c r="E332" t="s">
        <v>7</v>
      </c>
      <c r="F332" t="s">
        <v>85</v>
      </c>
    </row>
    <row r="333" spans="1:6" hidden="1" x14ac:dyDescent="0.2">
      <c r="A333">
        <v>332</v>
      </c>
      <c r="B333" t="s">
        <v>360</v>
      </c>
      <c r="C333" s="2">
        <v>52802.514966646275</v>
      </c>
      <c r="D333" s="3">
        <v>23.240000000000002</v>
      </c>
      <c r="E333" t="s">
        <v>23</v>
      </c>
      <c r="F333" t="s">
        <v>85</v>
      </c>
    </row>
    <row r="334" spans="1:6" hidden="1" x14ac:dyDescent="0.2">
      <c r="A334">
        <v>333</v>
      </c>
      <c r="B334" t="s">
        <v>361</v>
      </c>
      <c r="C334" s="2">
        <v>52277.489816979811</v>
      </c>
      <c r="D334" s="3">
        <v>202.25</v>
      </c>
      <c r="E334" t="s">
        <v>23</v>
      </c>
      <c r="F334" t="s">
        <v>49</v>
      </c>
    </row>
    <row r="335" spans="1:6" hidden="1" x14ac:dyDescent="0.2">
      <c r="A335">
        <v>334</v>
      </c>
      <c r="B335" t="s">
        <v>362</v>
      </c>
      <c r="C335" s="2">
        <v>51757.714918810016</v>
      </c>
      <c r="D335" s="3">
        <v>202.25</v>
      </c>
      <c r="E335" t="s">
        <v>23</v>
      </c>
      <c r="F335" t="s">
        <v>24</v>
      </c>
    </row>
    <row r="336" spans="1:6" hidden="1" x14ac:dyDescent="0.2">
      <c r="A336">
        <v>335</v>
      </c>
      <c r="B336" t="s">
        <v>363</v>
      </c>
      <c r="C336" s="2">
        <v>51243.137769621913</v>
      </c>
      <c r="D336" s="3">
        <v>58.88</v>
      </c>
      <c r="E336" t="s">
        <v>7</v>
      </c>
      <c r="F336" t="s">
        <v>8</v>
      </c>
    </row>
    <row r="337" spans="1:6" hidden="1" x14ac:dyDescent="0.2">
      <c r="A337">
        <v>336</v>
      </c>
      <c r="B337" t="s">
        <v>364</v>
      </c>
      <c r="C337" s="2">
        <v>50733.706391925691</v>
      </c>
      <c r="D337" s="3">
        <v>20</v>
      </c>
      <c r="E337" t="s">
        <v>7</v>
      </c>
      <c r="F337" t="s">
        <v>60</v>
      </c>
    </row>
    <row r="338" spans="1:6" hidden="1" x14ac:dyDescent="0.2">
      <c r="A338">
        <v>337</v>
      </c>
      <c r="B338" t="s">
        <v>365</v>
      </c>
      <c r="C338" s="2">
        <v>50229.369328006433</v>
      </c>
      <c r="D338" s="3">
        <v>55.64</v>
      </c>
      <c r="E338" t="s">
        <v>26</v>
      </c>
      <c r="F338" t="s">
        <v>27</v>
      </c>
    </row>
    <row r="339" spans="1:6" hidden="1" x14ac:dyDescent="0.2">
      <c r="A339">
        <v>338</v>
      </c>
      <c r="B339" t="s">
        <v>366</v>
      </c>
      <c r="C339" s="2">
        <v>49730.075634726367</v>
      </c>
      <c r="D339" s="3">
        <v>57.26</v>
      </c>
      <c r="E339" t="s">
        <v>26</v>
      </c>
      <c r="F339" t="s">
        <v>85</v>
      </c>
    </row>
    <row r="340" spans="1:6" x14ac:dyDescent="0.2">
      <c r="A340">
        <v>339</v>
      </c>
      <c r="B340" t="s">
        <v>367</v>
      </c>
      <c r="C340" s="2">
        <v>49235.774878379103</v>
      </c>
      <c r="D340" s="3">
        <v>135.83000000000001</v>
      </c>
      <c r="E340" t="s">
        <v>7</v>
      </c>
      <c r="F340" t="s">
        <v>21</v>
      </c>
    </row>
    <row r="341" spans="1:6" x14ac:dyDescent="0.2">
      <c r="A341">
        <v>340</v>
      </c>
      <c r="B341" t="s">
        <v>368</v>
      </c>
      <c r="C341" s="2">
        <v>48746.417129595313</v>
      </c>
      <c r="D341" s="3">
        <v>57.26</v>
      </c>
      <c r="E341" t="s">
        <v>7</v>
      </c>
      <c r="F341" t="s">
        <v>21</v>
      </c>
    </row>
    <row r="342" spans="1:6" hidden="1" x14ac:dyDescent="0.2">
      <c r="A342">
        <v>341</v>
      </c>
      <c r="B342" t="s">
        <v>369</v>
      </c>
      <c r="C342" s="2">
        <v>48261.952958299356</v>
      </c>
      <c r="D342" s="3">
        <v>47.54</v>
      </c>
      <c r="E342" t="s">
        <v>7</v>
      </c>
      <c r="F342" t="s">
        <v>8</v>
      </c>
    </row>
    <row r="343" spans="1:6" x14ac:dyDescent="0.2">
      <c r="A343">
        <v>342</v>
      </c>
      <c r="B343" t="s">
        <v>370</v>
      </c>
      <c r="C343" s="2">
        <v>47782.33342871636</v>
      </c>
      <c r="D343" s="3">
        <v>608.87000000000012</v>
      </c>
      <c r="E343" t="s">
        <v>7</v>
      </c>
      <c r="F343" t="s">
        <v>21</v>
      </c>
    </row>
    <row r="344" spans="1:6" hidden="1" x14ac:dyDescent="0.2">
      <c r="A344">
        <v>343</v>
      </c>
      <c r="B344" t="s">
        <v>371</v>
      </c>
      <c r="C344" s="2">
        <v>47307.510094429199</v>
      </c>
      <c r="D344" s="3">
        <v>33.770000000000003</v>
      </c>
      <c r="E344" t="s">
        <v>26</v>
      </c>
      <c r="F344" t="s">
        <v>52</v>
      </c>
    </row>
    <row r="345" spans="1:6" hidden="1" x14ac:dyDescent="0.2">
      <c r="A345">
        <v>344</v>
      </c>
      <c r="B345" t="s">
        <v>372</v>
      </c>
      <c r="C345" s="2">
        <v>46837.434993484909</v>
      </c>
      <c r="D345" s="3">
        <v>267.05</v>
      </c>
      <c r="E345" t="s">
        <v>26</v>
      </c>
      <c r="F345" t="s">
        <v>33</v>
      </c>
    </row>
    <row r="346" spans="1:6" hidden="1" x14ac:dyDescent="0.2">
      <c r="A346">
        <v>345</v>
      </c>
      <c r="B346" t="s">
        <v>373</v>
      </c>
      <c r="C346" s="2">
        <v>46372.060643550059</v>
      </c>
      <c r="D346" s="3">
        <v>58.88</v>
      </c>
      <c r="E346" t="s">
        <v>26</v>
      </c>
      <c r="F346" t="s">
        <v>35</v>
      </c>
    </row>
    <row r="347" spans="1:6" hidden="1" x14ac:dyDescent="0.2">
      <c r="A347">
        <v>346</v>
      </c>
      <c r="B347" t="s">
        <v>374</v>
      </c>
      <c r="C347" s="2">
        <v>45911.340037114562</v>
      </c>
      <c r="D347" s="3">
        <v>20</v>
      </c>
      <c r="E347" t="s">
        <v>99</v>
      </c>
      <c r="F347" t="s">
        <v>47</v>
      </c>
    </row>
    <row r="348" spans="1:6" hidden="1" x14ac:dyDescent="0.2">
      <c r="A348">
        <v>347</v>
      </c>
      <c r="B348" t="s">
        <v>375</v>
      </c>
      <c r="C348" s="2">
        <v>45455.226636743413</v>
      </c>
      <c r="D348" s="3">
        <v>61.310000000000009</v>
      </c>
      <c r="E348" t="s">
        <v>23</v>
      </c>
      <c r="F348" t="s">
        <v>24</v>
      </c>
    </row>
    <row r="349" spans="1:6" hidden="1" x14ac:dyDescent="0.2">
      <c r="A349">
        <v>348</v>
      </c>
      <c r="B349" t="s">
        <v>376</v>
      </c>
      <c r="C349" s="2">
        <v>45003.674370375978</v>
      </c>
      <c r="D349" s="3">
        <v>57.26</v>
      </c>
      <c r="E349" t="s">
        <v>7</v>
      </c>
      <c r="F349" t="s">
        <v>12</v>
      </c>
    </row>
    <row r="350" spans="1:6" hidden="1" x14ac:dyDescent="0.2">
      <c r="A350">
        <v>349</v>
      </c>
      <c r="B350" t="s">
        <v>377</v>
      </c>
      <c r="C350" s="2">
        <v>44556.637626672222</v>
      </c>
      <c r="D350" s="3">
        <v>18.38</v>
      </c>
      <c r="E350" t="s">
        <v>23</v>
      </c>
      <c r="F350" t="s">
        <v>19</v>
      </c>
    </row>
    <row r="351" spans="1:6" hidden="1" x14ac:dyDescent="0.2">
      <c r="A351">
        <v>350</v>
      </c>
      <c r="B351" t="s">
        <v>378</v>
      </c>
      <c r="C351" s="2">
        <v>44114.071250405497</v>
      </c>
      <c r="D351" s="3">
        <v>34.580000000000005</v>
      </c>
      <c r="E351" t="s">
        <v>7</v>
      </c>
      <c r="F351" t="s">
        <v>37</v>
      </c>
    </row>
    <row r="352" spans="1:6" x14ac:dyDescent="0.2">
      <c r="A352">
        <v>351</v>
      </c>
      <c r="B352" t="s">
        <v>379</v>
      </c>
      <c r="C352" s="2">
        <v>43675.93053790144</v>
      </c>
      <c r="D352" s="3">
        <v>60.5</v>
      </c>
      <c r="E352" t="s">
        <v>7</v>
      </c>
      <c r="F352" t="s">
        <v>21</v>
      </c>
    </row>
    <row r="353" spans="1:6" hidden="1" x14ac:dyDescent="0.2">
      <c r="A353">
        <v>352</v>
      </c>
      <c r="B353" t="s">
        <v>380</v>
      </c>
      <c r="C353" s="2">
        <v>43242.171232522429</v>
      </c>
      <c r="D353" s="3">
        <v>30.53</v>
      </c>
      <c r="E353" t="s">
        <v>23</v>
      </c>
      <c r="F353" t="s">
        <v>24</v>
      </c>
    </row>
    <row r="354" spans="1:6" hidden="1" x14ac:dyDescent="0.2">
      <c r="A354">
        <v>353</v>
      </c>
      <c r="B354" t="s">
        <v>381</v>
      </c>
      <c r="C354" s="2">
        <v>42812.749520197205</v>
      </c>
      <c r="D354" s="3">
        <v>110.72</v>
      </c>
      <c r="E354" t="s">
        <v>26</v>
      </c>
      <c r="F354" t="s">
        <v>14</v>
      </c>
    </row>
    <row r="355" spans="1:6" hidden="1" x14ac:dyDescent="0.2">
      <c r="A355">
        <v>354</v>
      </c>
      <c r="B355" t="s">
        <v>382</v>
      </c>
      <c r="C355" s="2">
        <v>42387.622024995231</v>
      </c>
      <c r="D355" s="3">
        <v>126.92000000000002</v>
      </c>
      <c r="E355" t="s">
        <v>43</v>
      </c>
      <c r="F355" t="s">
        <v>44</v>
      </c>
    </row>
    <row r="356" spans="1:6" hidden="1" x14ac:dyDescent="0.2">
      <c r="A356">
        <v>355</v>
      </c>
      <c r="B356" t="s">
        <v>383</v>
      </c>
      <c r="C356" s="2">
        <v>41966.745804745282</v>
      </c>
      <c r="D356" s="3">
        <v>37.01</v>
      </c>
      <c r="E356" t="s">
        <v>7</v>
      </c>
      <c r="F356" t="s">
        <v>14</v>
      </c>
    </row>
    <row r="357" spans="1:6" hidden="1" x14ac:dyDescent="0.2">
      <c r="A357">
        <v>356</v>
      </c>
      <c r="B357" t="s">
        <v>384</v>
      </c>
      <c r="C357" s="2">
        <v>41550.078346697832</v>
      </c>
      <c r="D357" s="3">
        <v>88.04</v>
      </c>
      <c r="E357" t="s">
        <v>23</v>
      </c>
      <c r="F357" t="s">
        <v>49</v>
      </c>
    </row>
    <row r="358" spans="1:6" x14ac:dyDescent="0.2">
      <c r="A358">
        <v>357</v>
      </c>
      <c r="B358" t="s">
        <v>385</v>
      </c>
      <c r="C358" s="2">
        <v>41137.577563230851</v>
      </c>
      <c r="D358" s="3">
        <v>31.340000000000003</v>
      </c>
      <c r="E358" t="s">
        <v>7</v>
      </c>
      <c r="F358" t="s">
        <v>21</v>
      </c>
    </row>
    <row r="359" spans="1:6" x14ac:dyDescent="0.2">
      <c r="A359">
        <v>358</v>
      </c>
      <c r="B359" t="s">
        <v>386</v>
      </c>
      <c r="C359" s="2">
        <v>40729.20178759854</v>
      </c>
      <c r="D359" s="3">
        <v>27.290000000000003</v>
      </c>
      <c r="E359" t="s">
        <v>7</v>
      </c>
      <c r="F359" t="s">
        <v>21</v>
      </c>
    </row>
    <row r="360" spans="1:6" hidden="1" x14ac:dyDescent="0.2">
      <c r="A360">
        <v>359</v>
      </c>
      <c r="B360" t="s">
        <v>387</v>
      </c>
      <c r="C360" s="2">
        <v>40324.909769722552</v>
      </c>
      <c r="D360" s="3">
        <v>18.38</v>
      </c>
      <c r="E360" t="s">
        <v>7</v>
      </c>
      <c r="F360" t="s">
        <v>12</v>
      </c>
    </row>
    <row r="361" spans="1:6" hidden="1" x14ac:dyDescent="0.2">
      <c r="A361">
        <v>360</v>
      </c>
      <c r="B361" t="s">
        <v>388</v>
      </c>
      <c r="C361" s="2">
        <v>39924.660672025326</v>
      </c>
      <c r="D361" s="3">
        <v>199.82000000000002</v>
      </c>
      <c r="E361" t="s">
        <v>26</v>
      </c>
      <c r="F361" t="s">
        <v>35</v>
      </c>
    </row>
    <row r="362" spans="1:6" hidden="1" x14ac:dyDescent="0.2">
      <c r="A362">
        <v>361</v>
      </c>
      <c r="B362" t="s">
        <v>389</v>
      </c>
      <c r="C362" s="2">
        <v>39528.414065305071</v>
      </c>
      <c r="D362" s="3">
        <v>13.520000000000001</v>
      </c>
      <c r="E362" t="s">
        <v>7</v>
      </c>
      <c r="F362" t="s">
        <v>12</v>
      </c>
    </row>
    <row r="363" spans="1:6" hidden="1" x14ac:dyDescent="0.2">
      <c r="A363">
        <v>362</v>
      </c>
      <c r="B363" t="s">
        <v>390</v>
      </c>
      <c r="C363" s="2">
        <v>39136.129924652021</v>
      </c>
      <c r="D363" s="3">
        <v>30.53</v>
      </c>
      <c r="E363" t="s">
        <v>23</v>
      </c>
      <c r="F363" t="s">
        <v>14</v>
      </c>
    </row>
    <row r="364" spans="1:6" hidden="1" x14ac:dyDescent="0.2">
      <c r="A364">
        <v>363</v>
      </c>
      <c r="B364" t="s">
        <v>391</v>
      </c>
      <c r="C364" s="2">
        <v>38747.768625405501</v>
      </c>
      <c r="D364" s="3">
        <v>45.92</v>
      </c>
      <c r="E364" t="s">
        <v>43</v>
      </c>
      <c r="F364" t="s">
        <v>44</v>
      </c>
    </row>
    <row r="365" spans="1:6" hidden="1" x14ac:dyDescent="0.2">
      <c r="A365">
        <v>364</v>
      </c>
      <c r="B365" t="s">
        <v>392</v>
      </c>
      <c r="C365" s="2">
        <v>38363.290939151448</v>
      </c>
      <c r="D365" s="3">
        <v>55.64</v>
      </c>
      <c r="E365" t="s">
        <v>23</v>
      </c>
      <c r="F365" t="s">
        <v>12</v>
      </c>
    </row>
    <row r="366" spans="1:6" hidden="1" x14ac:dyDescent="0.2">
      <c r="A366">
        <v>365</v>
      </c>
      <c r="B366" t="s">
        <v>393</v>
      </c>
      <c r="C366" s="2">
        <v>37982.658029759936</v>
      </c>
      <c r="D366" s="3">
        <v>66.98</v>
      </c>
      <c r="E366" t="s">
        <v>7</v>
      </c>
      <c r="F366" t="s">
        <v>37</v>
      </c>
    </row>
    <row r="367" spans="1:6" hidden="1" x14ac:dyDescent="0.2">
      <c r="A367">
        <v>366</v>
      </c>
      <c r="B367" t="s">
        <v>394</v>
      </c>
      <c r="C367" s="2">
        <v>37605.831449462334</v>
      </c>
      <c r="D367" s="3">
        <v>269.48</v>
      </c>
      <c r="E367" t="s">
        <v>26</v>
      </c>
      <c r="F367" t="s">
        <v>75</v>
      </c>
    </row>
    <row r="368" spans="1:6" hidden="1" x14ac:dyDescent="0.2">
      <c r="A368">
        <v>367</v>
      </c>
      <c r="B368" t="s">
        <v>395</v>
      </c>
      <c r="C368" s="2">
        <v>37232.773134967712</v>
      </c>
      <c r="D368" s="3">
        <v>35.39</v>
      </c>
      <c r="E368" t="s">
        <v>43</v>
      </c>
      <c r="F368" t="s">
        <v>44</v>
      </c>
    </row>
    <row r="369" spans="1:6" hidden="1" x14ac:dyDescent="0.2">
      <c r="A369">
        <v>368</v>
      </c>
      <c r="B369" t="s">
        <v>396</v>
      </c>
      <c r="C369" s="2">
        <v>36863.445403618032</v>
      </c>
      <c r="D369" s="3">
        <v>136.63999999999999</v>
      </c>
      <c r="E369" t="s">
        <v>26</v>
      </c>
      <c r="F369" t="s">
        <v>52</v>
      </c>
    </row>
    <row r="370" spans="1:6" hidden="1" x14ac:dyDescent="0.2">
      <c r="A370">
        <v>369</v>
      </c>
      <c r="B370" t="s">
        <v>397</v>
      </c>
      <c r="C370" s="2">
        <v>36497.81094958185</v>
      </c>
      <c r="D370" s="3">
        <v>31.340000000000003</v>
      </c>
      <c r="E370" t="s">
        <v>23</v>
      </c>
      <c r="F370" t="s">
        <v>8</v>
      </c>
    </row>
    <row r="371" spans="1:6" hidden="1" x14ac:dyDescent="0.2">
      <c r="A371">
        <v>370</v>
      </c>
      <c r="B371" t="s">
        <v>398</v>
      </c>
      <c r="C371" s="2">
        <v>36135.832840086034</v>
      </c>
      <c r="D371" s="3">
        <v>199.82000000000002</v>
      </c>
      <c r="E371" t="s">
        <v>7</v>
      </c>
      <c r="F371" t="s">
        <v>60</v>
      </c>
    </row>
    <row r="372" spans="1:6" hidden="1" x14ac:dyDescent="0.2">
      <c r="A372">
        <v>371</v>
      </c>
      <c r="B372" t="s">
        <v>399</v>
      </c>
      <c r="C372" s="2">
        <v>35777.47451168517</v>
      </c>
      <c r="D372" s="3">
        <v>60.5</v>
      </c>
      <c r="E372" t="s">
        <v>26</v>
      </c>
      <c r="F372" t="s">
        <v>27</v>
      </c>
    </row>
    <row r="373" spans="1:6" x14ac:dyDescent="0.2">
      <c r="A373">
        <v>372</v>
      </c>
      <c r="B373" t="s">
        <v>400</v>
      </c>
      <c r="C373" s="2">
        <v>35422.699766568316</v>
      </c>
      <c r="D373" s="3">
        <v>96.95</v>
      </c>
      <c r="E373" t="s">
        <v>7</v>
      </c>
      <c r="F373" t="s">
        <v>21</v>
      </c>
    </row>
    <row r="374" spans="1:6" hidden="1" x14ac:dyDescent="0.2">
      <c r="A374">
        <v>373</v>
      </c>
      <c r="B374" t="s">
        <v>401</v>
      </c>
      <c r="C374" s="2">
        <v>35071.472768902633</v>
      </c>
      <c r="D374" s="3">
        <v>470.52200000000005</v>
      </c>
      <c r="E374" t="s">
        <v>26</v>
      </c>
      <c r="F374" t="s">
        <v>33</v>
      </c>
    </row>
    <row r="375" spans="1:6" hidden="1" x14ac:dyDescent="0.2">
      <c r="A375">
        <v>374</v>
      </c>
      <c r="B375" t="s">
        <v>402</v>
      </c>
      <c r="C375" s="2">
        <v>34723.758041213609</v>
      </c>
      <c r="D375" s="3">
        <v>205.89500000000001</v>
      </c>
      <c r="E375" t="s">
        <v>26</v>
      </c>
      <c r="F375" t="s">
        <v>27</v>
      </c>
    </row>
    <row r="376" spans="1:6" hidden="1" x14ac:dyDescent="0.2">
      <c r="A376">
        <v>375</v>
      </c>
      <c r="B376" t="s">
        <v>403</v>
      </c>
      <c r="C376" s="2">
        <v>34379.520460801476</v>
      </c>
      <c r="D376" s="3">
        <v>220.47499999999999</v>
      </c>
      <c r="E376" t="s">
        <v>26</v>
      </c>
      <c r="F376" t="s">
        <v>35</v>
      </c>
    </row>
    <row r="377" spans="1:6" hidden="1" x14ac:dyDescent="0.2">
      <c r="A377">
        <v>376</v>
      </c>
      <c r="B377" t="s">
        <v>404</v>
      </c>
      <c r="C377" s="2">
        <v>34038.725256193458</v>
      </c>
      <c r="D377" s="3">
        <v>220.47499999999999</v>
      </c>
      <c r="E377" t="s">
        <v>26</v>
      </c>
      <c r="F377" t="s">
        <v>14</v>
      </c>
    </row>
    <row r="378" spans="1:6" hidden="1" x14ac:dyDescent="0.2">
      <c r="A378">
        <v>377</v>
      </c>
      <c r="B378" t="s">
        <v>405</v>
      </c>
      <c r="C378" s="2">
        <v>33701.338003631521</v>
      </c>
      <c r="D378" s="3">
        <v>74.674999999999997</v>
      </c>
      <c r="E378" t="s">
        <v>26</v>
      </c>
      <c r="F378" t="s">
        <v>27</v>
      </c>
    </row>
    <row r="379" spans="1:6" hidden="1" x14ac:dyDescent="0.2">
      <c r="A379">
        <v>378</v>
      </c>
      <c r="B379" t="s">
        <v>406</v>
      </c>
      <c r="C379" s="2">
        <v>33367.324623595203</v>
      </c>
      <c r="D379" s="3">
        <v>55.720999999999997</v>
      </c>
      <c r="E379" t="s">
        <v>99</v>
      </c>
      <c r="F379" t="s">
        <v>47</v>
      </c>
    </row>
    <row r="380" spans="1:6" hidden="1" x14ac:dyDescent="0.2">
      <c r="A380">
        <v>379</v>
      </c>
      <c r="B380" t="s">
        <v>407</v>
      </c>
      <c r="C380" s="2">
        <v>33036.651377359252</v>
      </c>
      <c r="D380" s="3">
        <v>45.515000000000001</v>
      </c>
      <c r="E380" t="s">
        <v>23</v>
      </c>
      <c r="F380" t="s">
        <v>12</v>
      </c>
    </row>
    <row r="381" spans="1:6" hidden="1" x14ac:dyDescent="0.2">
      <c r="A381">
        <v>380</v>
      </c>
      <c r="B381" t="s">
        <v>408</v>
      </c>
      <c r="C381" s="2">
        <v>32709.284863585661</v>
      </c>
      <c r="D381" s="3">
        <v>60.824000000000012</v>
      </c>
      <c r="E381" t="s">
        <v>99</v>
      </c>
      <c r="F381" t="s">
        <v>47</v>
      </c>
    </row>
    <row r="382" spans="1:6" hidden="1" x14ac:dyDescent="0.2">
      <c r="A382">
        <v>381</v>
      </c>
      <c r="B382" t="s">
        <v>409</v>
      </c>
      <c r="C382" s="2">
        <v>32385.192014949804</v>
      </c>
      <c r="D382" s="3">
        <v>62.282000000000004</v>
      </c>
      <c r="E382" t="s">
        <v>7</v>
      </c>
      <c r="F382" t="s">
        <v>8</v>
      </c>
    </row>
    <row r="383" spans="1:6" hidden="1" x14ac:dyDescent="0.2">
      <c r="A383">
        <v>382</v>
      </c>
      <c r="B383" t="s">
        <v>410</v>
      </c>
      <c r="C383" s="2">
        <v>32064.340094800304</v>
      </c>
      <c r="D383" s="3">
        <v>124.97599999999998</v>
      </c>
      <c r="E383" t="s">
        <v>7</v>
      </c>
      <c r="F383" t="s">
        <v>8</v>
      </c>
    </row>
    <row r="384" spans="1:6" hidden="1" x14ac:dyDescent="0.2">
      <c r="A384">
        <v>383</v>
      </c>
      <c r="B384" t="s">
        <v>411</v>
      </c>
      <c r="C384" s="2">
        <v>31746.6966938523</v>
      </c>
      <c r="D384" s="3">
        <v>14.168000000000001</v>
      </c>
      <c r="E384" t="s">
        <v>7</v>
      </c>
      <c r="F384" t="s">
        <v>10</v>
      </c>
    </row>
    <row r="385" spans="1:6" hidden="1" x14ac:dyDescent="0.2">
      <c r="A385">
        <v>384</v>
      </c>
      <c r="B385" t="s">
        <v>412</v>
      </c>
      <c r="C385" s="2">
        <v>31432.229726913778</v>
      </c>
      <c r="D385" s="3">
        <v>43.328000000000003</v>
      </c>
      <c r="E385" t="s">
        <v>26</v>
      </c>
      <c r="F385" t="s">
        <v>33</v>
      </c>
    </row>
    <row r="386" spans="1:6" hidden="1" x14ac:dyDescent="0.2">
      <c r="A386">
        <v>385</v>
      </c>
      <c r="B386" t="s">
        <v>413</v>
      </c>
      <c r="C386" s="2">
        <v>31120.907429644642</v>
      </c>
      <c r="D386" s="3">
        <v>75.404000000000011</v>
      </c>
      <c r="E386" t="s">
        <v>7</v>
      </c>
      <c r="F386" t="s">
        <v>85</v>
      </c>
    </row>
    <row r="387" spans="1:6" hidden="1" x14ac:dyDescent="0.2">
      <c r="A387">
        <v>386</v>
      </c>
      <c r="B387" t="s">
        <v>414</v>
      </c>
      <c r="C387" s="2">
        <v>30812.698355348195</v>
      </c>
      <c r="D387" s="3">
        <v>105.29299999999999</v>
      </c>
      <c r="E387" t="s">
        <v>7</v>
      </c>
      <c r="F387" t="s">
        <v>10</v>
      </c>
    </row>
    <row r="388" spans="1:6" hidden="1" x14ac:dyDescent="0.2">
      <c r="A388">
        <v>387</v>
      </c>
      <c r="B388" t="s">
        <v>415</v>
      </c>
      <c r="C388" s="2">
        <v>30507.571371794711</v>
      </c>
      <c r="D388" s="3">
        <v>44.786000000000001</v>
      </c>
      <c r="E388" t="s">
        <v>23</v>
      </c>
      <c r="F388" t="s">
        <v>8</v>
      </c>
    </row>
    <row r="389" spans="1:6" hidden="1" x14ac:dyDescent="0.2">
      <c r="A389">
        <v>388</v>
      </c>
      <c r="B389" t="s">
        <v>416</v>
      </c>
      <c r="C389" s="2">
        <v>30205.495658076765</v>
      </c>
      <c r="D389" s="3">
        <v>22.187000000000001</v>
      </c>
      <c r="E389" t="s">
        <v>99</v>
      </c>
      <c r="F389" t="s">
        <v>47</v>
      </c>
    </row>
    <row r="390" spans="1:6" hidden="1" x14ac:dyDescent="0.2">
      <c r="A390">
        <v>389</v>
      </c>
      <c r="B390" t="s">
        <v>417</v>
      </c>
      <c r="C390" s="2">
        <v>29906.440701495998</v>
      </c>
      <c r="D390" s="3">
        <v>28.019000000000005</v>
      </c>
      <c r="E390" t="s">
        <v>23</v>
      </c>
      <c r="F390" t="s">
        <v>8</v>
      </c>
    </row>
    <row r="391" spans="1:6" x14ac:dyDescent="0.2">
      <c r="A391">
        <v>390</v>
      </c>
      <c r="B391" t="s">
        <v>418</v>
      </c>
      <c r="C391" s="2">
        <v>29610.376294481037</v>
      </c>
      <c r="D391" s="3">
        <v>73.217000000000013</v>
      </c>
      <c r="E391" t="s">
        <v>7</v>
      </c>
      <c r="F391" t="s">
        <v>21</v>
      </c>
    </row>
    <row r="392" spans="1:6" hidden="1" x14ac:dyDescent="0.2">
      <c r="A392">
        <v>391</v>
      </c>
      <c r="B392" t="s">
        <v>419</v>
      </c>
      <c r="C392" s="2">
        <v>29317.272531536226</v>
      </c>
      <c r="D392" s="3">
        <v>38.954000000000001</v>
      </c>
      <c r="E392" t="s">
        <v>26</v>
      </c>
      <c r="F392" t="s">
        <v>27</v>
      </c>
    </row>
    <row r="393" spans="1:6" hidden="1" x14ac:dyDescent="0.2">
      <c r="A393">
        <v>392</v>
      </c>
      <c r="B393" t="s">
        <v>420</v>
      </c>
      <c r="C393" s="2">
        <v>29027.099806220864</v>
      </c>
      <c r="D393" s="3">
        <v>187.67000000000002</v>
      </c>
      <c r="E393" t="s">
        <v>43</v>
      </c>
      <c r="F393" t="s">
        <v>85</v>
      </c>
    </row>
    <row r="394" spans="1:6" hidden="1" x14ac:dyDescent="0.2">
      <c r="A394">
        <v>393</v>
      </c>
      <c r="B394" t="s">
        <v>421</v>
      </c>
      <c r="C394" s="2">
        <v>28739.828808158654</v>
      </c>
      <c r="D394" s="3">
        <v>22.916000000000004</v>
      </c>
      <c r="E394" t="s">
        <v>26</v>
      </c>
      <c r="F394" t="s">
        <v>52</v>
      </c>
    </row>
    <row r="395" spans="1:6" hidden="1" x14ac:dyDescent="0.2">
      <c r="A395">
        <v>394</v>
      </c>
      <c r="B395" t="s">
        <v>422</v>
      </c>
      <c r="C395" s="2">
        <v>28455.430520077069</v>
      </c>
      <c r="D395" s="3">
        <v>184.02500000000001</v>
      </c>
      <c r="E395" t="s">
        <v>7</v>
      </c>
      <c r="F395" t="s">
        <v>85</v>
      </c>
    </row>
    <row r="396" spans="1:6" hidden="1" x14ac:dyDescent="0.2">
      <c r="A396">
        <v>395</v>
      </c>
      <c r="B396" t="s">
        <v>423</v>
      </c>
      <c r="C396" s="2">
        <v>28173.876214876298</v>
      </c>
      <c r="D396" s="3">
        <v>184.02500000000001</v>
      </c>
      <c r="E396" t="s">
        <v>26</v>
      </c>
      <c r="F396" t="s">
        <v>27</v>
      </c>
    </row>
    <row r="397" spans="1:6" hidden="1" x14ac:dyDescent="0.2">
      <c r="A397">
        <v>396</v>
      </c>
      <c r="B397" t="s">
        <v>424</v>
      </c>
      <c r="C397" s="2">
        <v>27895.137452727537</v>
      </c>
      <c r="D397" s="3">
        <v>54.992000000000004</v>
      </c>
      <c r="E397" t="s">
        <v>7</v>
      </c>
      <c r="F397" t="s">
        <v>12</v>
      </c>
    </row>
    <row r="398" spans="1:6" hidden="1" x14ac:dyDescent="0.2">
      <c r="A398">
        <v>397</v>
      </c>
      <c r="B398" t="s">
        <v>425</v>
      </c>
      <c r="C398" s="2">
        <v>27619.186078200262</v>
      </c>
      <c r="D398" s="3">
        <v>20</v>
      </c>
      <c r="E398" t="s">
        <v>26</v>
      </c>
      <c r="F398" t="s">
        <v>27</v>
      </c>
    </row>
    <row r="399" spans="1:6" hidden="1" x14ac:dyDescent="0.2">
      <c r="A399">
        <v>398</v>
      </c>
      <c r="B399" t="s">
        <v>426</v>
      </c>
      <c r="C399" s="2">
        <v>27345.994217418258</v>
      </c>
      <c r="D399" s="3">
        <v>52.076000000000001</v>
      </c>
      <c r="E399" t="s">
        <v>7</v>
      </c>
      <c r="F399" t="s">
        <v>60</v>
      </c>
    </row>
    <row r="400" spans="1:6" hidden="1" x14ac:dyDescent="0.2">
      <c r="A400">
        <v>399</v>
      </c>
      <c r="B400" t="s">
        <v>427</v>
      </c>
      <c r="C400" s="2">
        <v>27075.534275244074</v>
      </c>
      <c r="D400" s="3">
        <v>53.533999999999999</v>
      </c>
      <c r="E400" t="s">
        <v>26</v>
      </c>
      <c r="F400" t="s">
        <v>27</v>
      </c>
    </row>
    <row r="401" spans="1:6" hidden="1" x14ac:dyDescent="0.2">
      <c r="A401">
        <v>400</v>
      </c>
      <c r="B401" t="s">
        <v>428</v>
      </c>
      <c r="C401" s="2">
        <v>26807.778932491634</v>
      </c>
      <c r="D401" s="3">
        <v>124.24700000000001</v>
      </c>
      <c r="E401" t="s">
        <v>43</v>
      </c>
      <c r="F401" t="s">
        <v>44</v>
      </c>
    </row>
    <row r="402" spans="1:6" hidden="1" x14ac:dyDescent="0.2">
      <c r="A402">
        <v>401</v>
      </c>
      <c r="B402" t="s">
        <v>429</v>
      </c>
      <c r="C402" s="2">
        <v>26542.701143166716</v>
      </c>
      <c r="D402" s="3">
        <v>53.533999999999999</v>
      </c>
      <c r="E402" t="s">
        <v>7</v>
      </c>
      <c r="F402" t="s">
        <v>60</v>
      </c>
    </row>
    <row r="403" spans="1:6" hidden="1" x14ac:dyDescent="0.2">
      <c r="A403">
        <v>402</v>
      </c>
      <c r="B403" t="s">
        <v>430</v>
      </c>
      <c r="C403" s="2">
        <v>26280.274131735048</v>
      </c>
      <c r="D403" s="3">
        <v>44.786000000000001</v>
      </c>
      <c r="E403" t="s">
        <v>26</v>
      </c>
      <c r="F403" t="s">
        <v>33</v>
      </c>
    </row>
    <row r="404" spans="1:6" hidden="1" x14ac:dyDescent="0.2">
      <c r="A404">
        <v>403</v>
      </c>
      <c r="B404" t="s">
        <v>431</v>
      </c>
      <c r="C404" s="2">
        <v>26020.471390417697</v>
      </c>
      <c r="D404" s="3">
        <v>549.98300000000017</v>
      </c>
      <c r="E404" t="s">
        <v>26</v>
      </c>
      <c r="F404" t="s">
        <v>47</v>
      </c>
    </row>
    <row r="405" spans="1:6" hidden="1" x14ac:dyDescent="0.2">
      <c r="A405">
        <v>404</v>
      </c>
      <c r="B405" t="s">
        <v>432</v>
      </c>
      <c r="C405" s="2">
        <v>25763.266676513518</v>
      </c>
      <c r="D405" s="3">
        <v>32.393000000000001</v>
      </c>
      <c r="E405" t="s">
        <v>7</v>
      </c>
      <c r="F405" t="s">
        <v>60</v>
      </c>
    </row>
    <row r="406" spans="1:6" hidden="1" x14ac:dyDescent="0.2">
      <c r="A406">
        <v>405</v>
      </c>
      <c r="B406" t="s">
        <v>433</v>
      </c>
      <c r="C406" s="2">
        <v>25508.634009748384</v>
      </c>
      <c r="D406" s="3">
        <v>242.34500000000003</v>
      </c>
      <c r="E406" t="s">
        <v>23</v>
      </c>
      <c r="F406" t="s">
        <v>85</v>
      </c>
    </row>
    <row r="407" spans="1:6" x14ac:dyDescent="0.2">
      <c r="A407">
        <v>406</v>
      </c>
      <c r="B407" t="s">
        <v>434</v>
      </c>
      <c r="C407" s="2">
        <v>25256.547669650899</v>
      </c>
      <c r="D407" s="3">
        <v>54.992000000000004</v>
      </c>
      <c r="E407" t="s">
        <v>7</v>
      </c>
      <c r="F407" t="s">
        <v>21</v>
      </c>
    </row>
    <row r="408" spans="1:6" hidden="1" x14ac:dyDescent="0.2">
      <c r="A408">
        <v>407</v>
      </c>
      <c r="B408" t="s">
        <v>435</v>
      </c>
      <c r="C408" s="2">
        <v>25006.98219295439</v>
      </c>
      <c r="D408" s="3">
        <v>20</v>
      </c>
      <c r="E408" t="s">
        <v>23</v>
      </c>
      <c r="F408" t="s">
        <v>85</v>
      </c>
    </row>
    <row r="409" spans="1:6" hidden="1" x14ac:dyDescent="0.2">
      <c r="A409">
        <v>408</v>
      </c>
      <c r="B409" t="s">
        <v>436</v>
      </c>
      <c r="C409" s="2">
        <v>24759.912371024846</v>
      </c>
      <c r="D409" s="3">
        <v>57.179000000000009</v>
      </c>
      <c r="E409" t="s">
        <v>7</v>
      </c>
      <c r="F409" t="s">
        <v>49</v>
      </c>
    </row>
    <row r="410" spans="1:6" hidden="1" x14ac:dyDescent="0.2">
      <c r="A410">
        <v>409</v>
      </c>
      <c r="B410" t="s">
        <v>437</v>
      </c>
      <c r="C410" s="2">
        <v>24515.313247314596</v>
      </c>
      <c r="D410" s="3">
        <v>53.533999999999999</v>
      </c>
      <c r="E410" t="s">
        <v>99</v>
      </c>
      <c r="F410" t="s">
        <v>47</v>
      </c>
    </row>
    <row r="411" spans="1:6" hidden="1" x14ac:dyDescent="0.2">
      <c r="A411">
        <v>410</v>
      </c>
      <c r="B411" t="s">
        <v>438</v>
      </c>
      <c r="C411" s="2">
        <v>24273.160114841448</v>
      </c>
      <c r="D411" s="3">
        <v>18.541999999999998</v>
      </c>
      <c r="E411" t="s">
        <v>23</v>
      </c>
      <c r="F411" t="s">
        <v>14</v>
      </c>
    </row>
    <row r="412" spans="1:6" hidden="1" x14ac:dyDescent="0.2">
      <c r="A412">
        <v>411</v>
      </c>
      <c r="B412" t="s">
        <v>439</v>
      </c>
      <c r="C412" s="2">
        <v>24033.428513693034</v>
      </c>
      <c r="D412" s="3">
        <v>33.122000000000007</v>
      </c>
      <c r="E412" t="s">
        <v>26</v>
      </c>
      <c r="F412" t="s">
        <v>27</v>
      </c>
    </row>
    <row r="413" spans="1:6" hidden="1" x14ac:dyDescent="0.2">
      <c r="A413">
        <v>412</v>
      </c>
      <c r="B413" t="s">
        <v>440</v>
      </c>
      <c r="C413" s="2">
        <v>23796.094228556103</v>
      </c>
      <c r="D413" s="3">
        <v>56.45</v>
      </c>
      <c r="E413" t="s">
        <v>43</v>
      </c>
      <c r="F413" t="s">
        <v>44</v>
      </c>
    </row>
    <row r="414" spans="1:6" hidden="1" x14ac:dyDescent="0.2">
      <c r="A414">
        <v>413</v>
      </c>
      <c r="B414" t="s">
        <v>441</v>
      </c>
      <c r="C414" s="2">
        <v>23561.133286270542</v>
      </c>
      <c r="D414" s="3">
        <v>29.477</v>
      </c>
      <c r="E414" t="s">
        <v>26</v>
      </c>
      <c r="F414" t="s">
        <v>27</v>
      </c>
    </row>
    <row r="415" spans="1:6" hidden="1" x14ac:dyDescent="0.2">
      <c r="A415">
        <v>414</v>
      </c>
      <c r="B415" t="s">
        <v>442</v>
      </c>
      <c r="C415" s="2">
        <v>23328.521953407835</v>
      </c>
      <c r="D415" s="3">
        <v>101.648</v>
      </c>
      <c r="E415" t="s">
        <v>23</v>
      </c>
      <c r="F415" t="s">
        <v>12</v>
      </c>
    </row>
    <row r="416" spans="1:6" hidden="1" x14ac:dyDescent="0.2">
      <c r="A416">
        <v>415</v>
      </c>
      <c r="B416" t="s">
        <v>443</v>
      </c>
      <c r="C416" s="2">
        <v>23098.236733873757</v>
      </c>
      <c r="D416" s="3">
        <v>116.22800000000002</v>
      </c>
      <c r="E416" t="s">
        <v>26</v>
      </c>
      <c r="F416" t="s">
        <v>35</v>
      </c>
    </row>
    <row r="417" spans="1:6" hidden="1" x14ac:dyDescent="0.2">
      <c r="A417">
        <v>416</v>
      </c>
      <c r="B417" t="s">
        <v>444</v>
      </c>
      <c r="C417" s="2">
        <v>22870.25436653502</v>
      </c>
      <c r="D417" s="3">
        <v>35.308999999999997</v>
      </c>
      <c r="E417" t="s">
        <v>26</v>
      </c>
      <c r="F417" t="s">
        <v>52</v>
      </c>
    </row>
    <row r="418" spans="1:6" hidden="1" x14ac:dyDescent="0.2">
      <c r="A418">
        <v>417</v>
      </c>
      <c r="B418" t="s">
        <v>445</v>
      </c>
      <c r="C418" s="2">
        <v>22644.551822869671</v>
      </c>
      <c r="D418" s="3">
        <v>81.236000000000004</v>
      </c>
      <c r="E418" t="s">
        <v>26</v>
      </c>
      <c r="F418" t="s">
        <v>27</v>
      </c>
    </row>
    <row r="419" spans="1:6" hidden="1" x14ac:dyDescent="0.2">
      <c r="A419">
        <v>418</v>
      </c>
      <c r="B419" t="s">
        <v>446</v>
      </c>
      <c r="C419" s="2">
        <v>22421.106304640973</v>
      </c>
      <c r="D419" s="3">
        <v>30.206000000000003</v>
      </c>
      <c r="E419" t="s">
        <v>23</v>
      </c>
      <c r="F419" t="s">
        <v>24</v>
      </c>
    </row>
    <row r="420" spans="1:6" hidden="1" x14ac:dyDescent="0.2">
      <c r="A420">
        <v>419</v>
      </c>
      <c r="B420" t="s">
        <v>447</v>
      </c>
      <c r="C420" s="2">
        <v>22199.895241594564</v>
      </c>
      <c r="D420" s="3">
        <v>26.561000000000003</v>
      </c>
      <c r="E420" t="s">
        <v>26</v>
      </c>
      <c r="F420" t="s">
        <v>52</v>
      </c>
    </row>
    <row r="421" spans="1:6" hidden="1" x14ac:dyDescent="0.2">
      <c r="A421">
        <v>420</v>
      </c>
      <c r="B421" t="s">
        <v>448</v>
      </c>
      <c r="C421" s="2">
        <v>21980.896289178618</v>
      </c>
      <c r="D421" s="3">
        <v>18.541999999999998</v>
      </c>
      <c r="E421" t="s">
        <v>23</v>
      </c>
      <c r="F421" t="s">
        <v>14</v>
      </c>
    </row>
    <row r="422" spans="1:6" hidden="1" x14ac:dyDescent="0.2">
      <c r="A422">
        <v>421</v>
      </c>
      <c r="B422" t="s">
        <v>449</v>
      </c>
      <c r="C422" s="2">
        <v>21764.08732628683</v>
      </c>
      <c r="D422" s="3">
        <v>181.83800000000002</v>
      </c>
      <c r="E422" t="s">
        <v>26</v>
      </c>
      <c r="F422" t="s">
        <v>27</v>
      </c>
    </row>
    <row r="423" spans="1:6" hidden="1" x14ac:dyDescent="0.2">
      <c r="A423">
        <v>422</v>
      </c>
      <c r="B423" t="s">
        <v>450</v>
      </c>
      <c r="C423" s="2">
        <v>21549.44645302396</v>
      </c>
      <c r="D423" s="3">
        <v>14.168000000000001</v>
      </c>
      <c r="E423" t="s">
        <v>26</v>
      </c>
      <c r="F423" t="s">
        <v>85</v>
      </c>
    </row>
    <row r="424" spans="1:6" hidden="1" x14ac:dyDescent="0.2">
      <c r="A424">
        <v>423</v>
      </c>
      <c r="B424" t="s">
        <v>451</v>
      </c>
      <c r="C424" s="2">
        <v>21336.951988493722</v>
      </c>
      <c r="D424" s="3">
        <v>29.477</v>
      </c>
      <c r="E424" t="s">
        <v>7</v>
      </c>
      <c r="F424" t="s">
        <v>10</v>
      </c>
    </row>
    <row r="425" spans="1:6" hidden="1" x14ac:dyDescent="0.2">
      <c r="A425">
        <v>424</v>
      </c>
      <c r="B425" t="s">
        <v>452</v>
      </c>
      <c r="C425" s="2">
        <v>21126.582468608784</v>
      </c>
      <c r="D425" s="3">
        <v>43.328000000000003</v>
      </c>
      <c r="E425" t="s">
        <v>23</v>
      </c>
      <c r="F425" t="s">
        <v>8</v>
      </c>
    </row>
    <row r="426" spans="1:6" hidden="1" x14ac:dyDescent="0.2">
      <c r="A426">
        <v>425</v>
      </c>
      <c r="B426" t="s">
        <v>453</v>
      </c>
      <c r="C426" s="2">
        <v>20918.316643922695</v>
      </c>
      <c r="D426" s="3">
        <v>52.076000000000001</v>
      </c>
      <c r="E426" t="s">
        <v>26</v>
      </c>
      <c r="F426" t="s">
        <v>85</v>
      </c>
    </row>
    <row r="427" spans="1:6" hidden="1" x14ac:dyDescent="0.2">
      <c r="A427">
        <v>426</v>
      </c>
      <c r="B427" t="s">
        <v>454</v>
      </c>
      <c r="C427" s="2">
        <v>20712.133477483469</v>
      </c>
      <c r="D427" s="3">
        <v>62.282000000000004</v>
      </c>
      <c r="E427" t="s">
        <v>43</v>
      </c>
      <c r="F427" t="s">
        <v>44</v>
      </c>
    </row>
    <row r="428" spans="1:6" hidden="1" x14ac:dyDescent="0.2">
      <c r="A428">
        <v>427</v>
      </c>
      <c r="B428" t="s">
        <v>455</v>
      </c>
      <c r="C428" s="2">
        <v>20508.012142708634</v>
      </c>
      <c r="D428" s="3">
        <v>244.53200000000001</v>
      </c>
      <c r="E428" t="s">
        <v>23</v>
      </c>
      <c r="F428" t="s">
        <v>14</v>
      </c>
    </row>
    <row r="429" spans="1:6" hidden="1" x14ac:dyDescent="0.2">
      <c r="A429">
        <v>428</v>
      </c>
      <c r="B429" t="s">
        <v>456</v>
      </c>
      <c r="C429" s="2">
        <v>20305.932021281547</v>
      </c>
      <c r="D429" s="3">
        <v>33.850999999999999</v>
      </c>
      <c r="E429" t="s">
        <v>26</v>
      </c>
      <c r="F429" t="s">
        <v>33</v>
      </c>
    </row>
    <row r="430" spans="1:6" x14ac:dyDescent="0.2">
      <c r="A430">
        <v>429</v>
      </c>
      <c r="B430" t="s">
        <v>457</v>
      </c>
      <c r="C430" s="2">
        <v>20105.872701068733</v>
      </c>
      <c r="D430" s="3">
        <v>124.97599999999998</v>
      </c>
      <c r="E430" t="s">
        <v>7</v>
      </c>
      <c r="F430" t="s">
        <v>21</v>
      </c>
    </row>
    <row r="431" spans="1:6" hidden="1" x14ac:dyDescent="0.2">
      <c r="A431">
        <v>430</v>
      </c>
      <c r="B431" t="s">
        <v>458</v>
      </c>
      <c r="C431" s="2">
        <v>19907.813974058045</v>
      </c>
      <c r="D431" s="3">
        <v>30.206000000000003</v>
      </c>
      <c r="E431" t="s">
        <v>26</v>
      </c>
      <c r="F431" t="s">
        <v>35</v>
      </c>
    </row>
    <row r="432" spans="1:6" hidden="1" x14ac:dyDescent="0.2">
      <c r="A432">
        <v>431</v>
      </c>
      <c r="B432" t="s">
        <v>459</v>
      </c>
      <c r="C432" s="2">
        <v>19711.735834317464</v>
      </c>
      <c r="D432" s="3">
        <v>181.83800000000002</v>
      </c>
      <c r="E432" t="s">
        <v>26</v>
      </c>
      <c r="F432" t="s">
        <v>85</v>
      </c>
    </row>
    <row r="433" spans="1:6" hidden="1" x14ac:dyDescent="0.2">
      <c r="A433">
        <v>432</v>
      </c>
      <c r="B433" t="s">
        <v>460</v>
      </c>
      <c r="C433" s="2">
        <v>19517.61847597429</v>
      </c>
      <c r="D433" s="3">
        <v>56.45</v>
      </c>
      <c r="E433" t="s">
        <v>23</v>
      </c>
      <c r="F433" t="s">
        <v>14</v>
      </c>
    </row>
    <row r="434" spans="1:6" x14ac:dyDescent="0.2">
      <c r="A434">
        <v>433</v>
      </c>
      <c r="B434" t="s">
        <v>461</v>
      </c>
      <c r="C434" s="2">
        <v>19325.442291214546</v>
      </c>
      <c r="D434" s="3">
        <v>89.25500000000001</v>
      </c>
      <c r="E434" t="s">
        <v>23</v>
      </c>
      <c r="F434" t="s">
        <v>21</v>
      </c>
    </row>
    <row r="435" spans="1:6" hidden="1" x14ac:dyDescent="0.2">
      <c r="A435">
        <v>434</v>
      </c>
      <c r="B435" t="s">
        <v>462</v>
      </c>
      <c r="C435" s="2">
        <v>19135.187868302401</v>
      </c>
      <c r="D435" s="3">
        <v>425.46980000000008</v>
      </c>
      <c r="E435" t="s">
        <v>23</v>
      </c>
      <c r="F435" t="s">
        <v>12</v>
      </c>
    </row>
    <row r="436" spans="1:6" hidden="1" x14ac:dyDescent="0.2">
      <c r="A436">
        <v>435</v>
      </c>
      <c r="B436" t="s">
        <v>463</v>
      </c>
      <c r="C436" s="2">
        <v>18946.835989619376</v>
      </c>
      <c r="D436" s="3">
        <v>187.30550000000002</v>
      </c>
      <c r="E436" t="s">
        <v>99</v>
      </c>
      <c r="F436" t="s">
        <v>47</v>
      </c>
    </row>
    <row r="437" spans="1:6" hidden="1" x14ac:dyDescent="0.2">
      <c r="A437">
        <v>436</v>
      </c>
      <c r="B437" t="s">
        <v>464</v>
      </c>
      <c r="C437" s="2">
        <v>18760.367629723183</v>
      </c>
      <c r="D437" s="3">
        <v>200.42750000000001</v>
      </c>
      <c r="E437" t="s">
        <v>26</v>
      </c>
      <c r="F437" t="s">
        <v>85</v>
      </c>
    </row>
    <row r="438" spans="1:6" hidden="1" x14ac:dyDescent="0.2">
      <c r="A438">
        <v>437</v>
      </c>
      <c r="B438" t="s">
        <v>465</v>
      </c>
      <c r="C438" s="2">
        <v>18575.763953425951</v>
      </c>
      <c r="D438" s="3">
        <v>200.42750000000001</v>
      </c>
      <c r="E438" t="s">
        <v>23</v>
      </c>
      <c r="F438" t="s">
        <v>24</v>
      </c>
    </row>
    <row r="439" spans="1:6" hidden="1" x14ac:dyDescent="0.2">
      <c r="A439">
        <v>438</v>
      </c>
      <c r="B439" t="s">
        <v>466</v>
      </c>
      <c r="C439" s="2">
        <v>18393.006313891692</v>
      </c>
      <c r="D439" s="3">
        <v>69.207499999999996</v>
      </c>
      <c r="E439" t="s">
        <v>26</v>
      </c>
      <c r="F439" t="s">
        <v>27</v>
      </c>
    </row>
    <row r="440" spans="1:6" hidden="1" x14ac:dyDescent="0.2">
      <c r="A440">
        <v>439</v>
      </c>
      <c r="B440" t="s">
        <v>467</v>
      </c>
      <c r="C440" s="2">
        <v>18212.076250752776</v>
      </c>
      <c r="D440" s="3">
        <v>52.148899999999998</v>
      </c>
      <c r="E440" t="s">
        <v>7</v>
      </c>
      <c r="F440" t="s">
        <v>10</v>
      </c>
    </row>
    <row r="441" spans="1:6" hidden="1" x14ac:dyDescent="0.2">
      <c r="A441">
        <v>440</v>
      </c>
      <c r="B441" t="s">
        <v>468</v>
      </c>
      <c r="C441" s="2">
        <v>18032.955488245247</v>
      </c>
      <c r="D441" s="3">
        <v>42.963500000000003</v>
      </c>
      <c r="E441" t="s">
        <v>7</v>
      </c>
      <c r="F441" t="s">
        <v>8</v>
      </c>
    </row>
    <row r="442" spans="1:6" hidden="1" x14ac:dyDescent="0.2">
      <c r="A442">
        <v>441</v>
      </c>
      <c r="B442" t="s">
        <v>469</v>
      </c>
      <c r="C442" s="2">
        <v>17855.625933362793</v>
      </c>
      <c r="D442" s="3">
        <v>56.741600000000012</v>
      </c>
      <c r="E442" t="s">
        <v>7</v>
      </c>
      <c r="F442" t="s">
        <v>37</v>
      </c>
    </row>
    <row r="443" spans="1:6" hidden="1" x14ac:dyDescent="0.2">
      <c r="A443">
        <v>442</v>
      </c>
      <c r="B443" t="s">
        <v>470</v>
      </c>
      <c r="C443" s="2">
        <v>17680.069674029164</v>
      </c>
      <c r="D443" s="3">
        <v>58.053800000000003</v>
      </c>
      <c r="E443" t="s">
        <v>23</v>
      </c>
      <c r="F443" t="s">
        <v>12</v>
      </c>
    </row>
    <row r="444" spans="1:6" hidden="1" x14ac:dyDescent="0.2">
      <c r="A444">
        <v>443</v>
      </c>
      <c r="B444" t="s">
        <v>471</v>
      </c>
      <c r="C444" s="2">
        <v>17506.268977288873</v>
      </c>
      <c r="D444" s="3">
        <v>114.47839999999999</v>
      </c>
      <c r="E444" t="s">
        <v>7</v>
      </c>
      <c r="F444" t="s">
        <v>37</v>
      </c>
    </row>
    <row r="445" spans="1:6" hidden="1" x14ac:dyDescent="0.2">
      <c r="A445">
        <v>444</v>
      </c>
      <c r="B445" t="s">
        <v>472</v>
      </c>
      <c r="C445" s="2">
        <v>17334.206287515986</v>
      </c>
      <c r="D445" s="3">
        <v>14.751200000000001</v>
      </c>
      <c r="E445" t="s">
        <v>23</v>
      </c>
      <c r="F445" t="s">
        <v>14</v>
      </c>
    </row>
    <row r="446" spans="1:6" hidden="1" x14ac:dyDescent="0.2">
      <c r="A446">
        <v>445</v>
      </c>
      <c r="B446" t="s">
        <v>473</v>
      </c>
      <c r="C446" s="2">
        <v>17163.864224640827</v>
      </c>
      <c r="D446" s="3">
        <v>40.995200000000004</v>
      </c>
      <c r="E446" t="s">
        <v>43</v>
      </c>
      <c r="F446" t="s">
        <v>44</v>
      </c>
    </row>
    <row r="447" spans="1:6" hidden="1" x14ac:dyDescent="0.2">
      <c r="A447">
        <v>446</v>
      </c>
      <c r="B447" t="s">
        <v>474</v>
      </c>
      <c r="C447" s="2">
        <v>16995.225582394418</v>
      </c>
      <c r="D447" s="3">
        <v>69.863600000000005</v>
      </c>
      <c r="E447" t="s">
        <v>26</v>
      </c>
      <c r="F447" t="s">
        <v>27</v>
      </c>
    </row>
    <row r="448" spans="1:6" hidden="1" x14ac:dyDescent="0.2">
      <c r="A448">
        <v>447</v>
      </c>
      <c r="B448" t="s">
        <v>475</v>
      </c>
      <c r="C448" s="2">
        <v>16828.273326570474</v>
      </c>
      <c r="D448" s="3">
        <v>96.7637</v>
      </c>
      <c r="E448" t="s">
        <v>23</v>
      </c>
      <c r="F448" t="s">
        <v>24</v>
      </c>
    </row>
    <row r="449" spans="1:6" hidden="1" x14ac:dyDescent="0.2">
      <c r="A449">
        <v>448</v>
      </c>
      <c r="B449" t="s">
        <v>476</v>
      </c>
      <c r="C449" s="2">
        <v>16662.99059330477</v>
      </c>
      <c r="D449" s="3">
        <v>42.307400000000001</v>
      </c>
      <c r="E449" t="s">
        <v>26</v>
      </c>
      <c r="F449" t="s">
        <v>33</v>
      </c>
    </row>
    <row r="450" spans="1:6" hidden="1" x14ac:dyDescent="0.2">
      <c r="A450">
        <v>449</v>
      </c>
      <c r="B450" t="s">
        <v>477</v>
      </c>
      <c r="C450" s="2">
        <v>16499.360687371722</v>
      </c>
      <c r="D450" s="3">
        <v>21.968300000000003</v>
      </c>
      <c r="E450" t="s">
        <v>26</v>
      </c>
      <c r="F450" t="s">
        <v>33</v>
      </c>
    </row>
    <row r="451" spans="1:6" hidden="1" x14ac:dyDescent="0.2">
      <c r="A451">
        <v>450</v>
      </c>
      <c r="B451" t="s">
        <v>478</v>
      </c>
      <c r="C451" s="2">
        <v>16337.367080498005</v>
      </c>
      <c r="D451" s="3">
        <v>27.217100000000006</v>
      </c>
      <c r="E451" t="s">
        <v>99</v>
      </c>
      <c r="F451" t="s">
        <v>47</v>
      </c>
    </row>
    <row r="452" spans="1:6" hidden="1" x14ac:dyDescent="0.2">
      <c r="A452">
        <v>451</v>
      </c>
      <c r="B452" t="s">
        <v>479</v>
      </c>
      <c r="C452" s="2">
        <v>16176.993409693025</v>
      </c>
      <c r="D452" s="3">
        <v>67.89530000000002</v>
      </c>
      <c r="E452" t="s">
        <v>26</v>
      </c>
      <c r="F452" t="s">
        <v>33</v>
      </c>
    </row>
    <row r="453" spans="1:6" hidden="1" x14ac:dyDescent="0.2">
      <c r="A453">
        <v>452</v>
      </c>
      <c r="B453" t="s">
        <v>480</v>
      </c>
      <c r="C453" s="2">
        <v>16018.223475596094</v>
      </c>
      <c r="D453" s="3">
        <v>37.058599999999998</v>
      </c>
      <c r="E453" t="s">
        <v>43</v>
      </c>
      <c r="F453" t="s">
        <v>44</v>
      </c>
    </row>
    <row r="454" spans="1:6" hidden="1" x14ac:dyDescent="0.2">
      <c r="A454">
        <v>453</v>
      </c>
      <c r="B454" t="s">
        <v>481</v>
      </c>
      <c r="C454" s="2">
        <v>15861.041240840133</v>
      </c>
      <c r="D454" s="3">
        <v>170.90300000000002</v>
      </c>
      <c r="E454" t="s">
        <v>43</v>
      </c>
      <c r="F454" t="s">
        <v>44</v>
      </c>
    </row>
    <row r="455" spans="1:6" hidden="1" x14ac:dyDescent="0.2">
      <c r="A455">
        <v>454</v>
      </c>
      <c r="B455" t="s">
        <v>482</v>
      </c>
      <c r="C455" s="2">
        <v>15705.430828431732</v>
      </c>
      <c r="D455" s="3">
        <v>22.624400000000005</v>
      </c>
      <c r="E455" t="s">
        <v>26</v>
      </c>
      <c r="F455" t="s">
        <v>35</v>
      </c>
    </row>
    <row r="456" spans="1:6" hidden="1" x14ac:dyDescent="0.2">
      <c r="A456">
        <v>455</v>
      </c>
      <c r="B456" t="s">
        <v>483</v>
      </c>
      <c r="C456" s="2">
        <v>15551.376520147414</v>
      </c>
      <c r="D456" s="3">
        <v>167.6225</v>
      </c>
      <c r="E456" t="s">
        <v>26</v>
      </c>
      <c r="F456" t="s">
        <v>14</v>
      </c>
    </row>
    <row r="457" spans="1:6" hidden="1" x14ac:dyDescent="0.2">
      <c r="A457">
        <v>456</v>
      </c>
      <c r="B457" t="s">
        <v>484</v>
      </c>
      <c r="C457" s="2">
        <v>15398.86275494594</v>
      </c>
      <c r="D457" s="3">
        <v>167.6225</v>
      </c>
      <c r="E457" t="s">
        <v>26</v>
      </c>
      <c r="F457" t="s">
        <v>27</v>
      </c>
    </row>
    <row r="458" spans="1:6" hidden="1" x14ac:dyDescent="0.2">
      <c r="A458">
        <v>457</v>
      </c>
      <c r="B458" t="s">
        <v>485</v>
      </c>
      <c r="C458" s="2">
        <v>15247.874127396481</v>
      </c>
      <c r="D458" s="3">
        <v>51.492800000000003</v>
      </c>
      <c r="E458" t="s">
        <v>7</v>
      </c>
      <c r="F458" t="s">
        <v>60</v>
      </c>
    </row>
    <row r="459" spans="1:6" hidden="1" x14ac:dyDescent="0.2">
      <c r="A459">
        <v>458</v>
      </c>
      <c r="B459" t="s">
        <v>486</v>
      </c>
      <c r="C459" s="2">
        <v>15098.395386122516</v>
      </c>
      <c r="D459" s="3">
        <v>20</v>
      </c>
      <c r="E459" t="s">
        <v>26</v>
      </c>
      <c r="F459" t="s">
        <v>47</v>
      </c>
    </row>
    <row r="460" spans="1:6" hidden="1" x14ac:dyDescent="0.2">
      <c r="A460">
        <v>459</v>
      </c>
      <c r="B460" t="s">
        <v>487</v>
      </c>
      <c r="C460" s="2">
        <v>14950.411432261291</v>
      </c>
      <c r="D460" s="3">
        <v>48.868400000000001</v>
      </c>
      <c r="E460" t="s">
        <v>7</v>
      </c>
      <c r="F460" t="s">
        <v>12</v>
      </c>
    </row>
    <row r="461" spans="1:6" x14ac:dyDescent="0.2">
      <c r="A461">
        <v>461</v>
      </c>
      <c r="B461" t="s">
        <v>488</v>
      </c>
      <c r="C461" s="2">
        <v>14803.907317938678</v>
      </c>
      <c r="D461" s="3">
        <v>113.82230000000001</v>
      </c>
      <c r="E461" t="s">
        <v>7</v>
      </c>
      <c r="F461" t="s">
        <v>21</v>
      </c>
    </row>
    <row r="462" spans="1:6" hidden="1" x14ac:dyDescent="0.2">
      <c r="A462">
        <v>462</v>
      </c>
      <c r="B462" t="s">
        <v>489</v>
      </c>
      <c r="C462" s="2">
        <v>14658.868244759291</v>
      </c>
      <c r="D462" s="3">
        <v>50.180599999999998</v>
      </c>
      <c r="E462" t="s">
        <v>43</v>
      </c>
      <c r="F462" t="s">
        <v>44</v>
      </c>
    </row>
    <row r="463" spans="1:6" hidden="1" x14ac:dyDescent="0.2">
      <c r="A463">
        <v>463</v>
      </c>
      <c r="B463" t="s">
        <v>490</v>
      </c>
      <c r="C463" s="2">
        <v>14515.279562311698</v>
      </c>
      <c r="D463" s="3">
        <v>42.307400000000001</v>
      </c>
      <c r="E463" t="s">
        <v>43</v>
      </c>
      <c r="F463" t="s">
        <v>44</v>
      </c>
    </row>
    <row r="464" spans="1:6" hidden="1" x14ac:dyDescent="0.2">
      <c r="A464">
        <v>464</v>
      </c>
      <c r="B464" t="s">
        <v>491</v>
      </c>
      <c r="C464" s="2">
        <v>14373.126766688581</v>
      </c>
      <c r="D464" s="3">
        <v>496.98470000000015</v>
      </c>
      <c r="E464" t="s">
        <v>26</v>
      </c>
      <c r="F464" t="s">
        <v>27</v>
      </c>
    </row>
    <row r="465" spans="1:6" hidden="1" x14ac:dyDescent="0.2">
      <c r="A465">
        <v>465</v>
      </c>
      <c r="B465" t="s">
        <v>492</v>
      </c>
      <c r="C465" s="2">
        <v>14232.395499021695</v>
      </c>
      <c r="D465" s="3">
        <v>31.153700000000001</v>
      </c>
      <c r="E465" t="s">
        <v>23</v>
      </c>
      <c r="F465" t="s">
        <v>12</v>
      </c>
    </row>
    <row r="466" spans="1:6" hidden="1" x14ac:dyDescent="0.2">
      <c r="A466">
        <v>466</v>
      </c>
      <c r="B466" t="s">
        <v>493</v>
      </c>
      <c r="C466" s="2">
        <v>14093.071544031478</v>
      </c>
      <c r="D466" s="3">
        <v>220.11050000000003</v>
      </c>
      <c r="E466" t="s">
        <v>43</v>
      </c>
      <c r="F466" t="s">
        <v>33</v>
      </c>
    </row>
    <row r="467" spans="1:6" x14ac:dyDescent="0.2">
      <c r="A467">
        <v>467</v>
      </c>
      <c r="B467" t="s">
        <v>494</v>
      </c>
      <c r="C467" s="2">
        <v>13955.140828591164</v>
      </c>
      <c r="D467" s="3">
        <v>51.492800000000003</v>
      </c>
      <c r="E467" t="s">
        <v>7</v>
      </c>
      <c r="F467" t="s">
        <v>21</v>
      </c>
    </row>
    <row r="468" spans="1:6" hidden="1" x14ac:dyDescent="0.2">
      <c r="A468">
        <v>468</v>
      </c>
      <c r="B468" t="s">
        <v>495</v>
      </c>
      <c r="C468" s="2">
        <v>13818.589420305252</v>
      </c>
      <c r="D468" s="3">
        <v>20</v>
      </c>
      <c r="E468" t="s">
        <v>43</v>
      </c>
      <c r="F468" t="s">
        <v>44</v>
      </c>
    </row>
    <row r="469" spans="1:6" hidden="1" x14ac:dyDescent="0.2">
      <c r="A469">
        <v>469</v>
      </c>
      <c r="B469" t="s">
        <v>496</v>
      </c>
      <c r="C469" s="2">
        <v>13683.4035261022</v>
      </c>
      <c r="D469" s="3">
        <v>53.461100000000009</v>
      </c>
      <c r="E469" t="s">
        <v>26</v>
      </c>
      <c r="F469" t="s">
        <v>14</v>
      </c>
    </row>
    <row r="470" spans="1:6" hidden="1" x14ac:dyDescent="0.2">
      <c r="A470">
        <v>470</v>
      </c>
      <c r="B470" t="s">
        <v>497</v>
      </c>
      <c r="C470" s="2">
        <v>13549.569490841177</v>
      </c>
      <c r="D470" s="3">
        <v>50.180599999999998</v>
      </c>
      <c r="E470" t="s">
        <v>7</v>
      </c>
      <c r="F470" t="s">
        <v>85</v>
      </c>
    </row>
    <row r="471" spans="1:6" hidden="1" x14ac:dyDescent="0.2">
      <c r="A471">
        <v>471</v>
      </c>
      <c r="B471" t="s">
        <v>498</v>
      </c>
      <c r="C471" s="2">
        <v>13417.073795932765</v>
      </c>
      <c r="D471" s="3">
        <v>18.687799999999999</v>
      </c>
      <c r="E471" t="s">
        <v>26</v>
      </c>
      <c r="F471" t="s">
        <v>27</v>
      </c>
    </row>
    <row r="472" spans="1:6" hidden="1" x14ac:dyDescent="0.2">
      <c r="A472">
        <v>472</v>
      </c>
      <c r="B472" t="s">
        <v>499</v>
      </c>
      <c r="C472" s="2">
        <v>13285.903057973437</v>
      </c>
      <c r="D472" s="3">
        <v>31.809800000000006</v>
      </c>
      <c r="E472" t="s">
        <v>7</v>
      </c>
      <c r="F472" t="s">
        <v>37</v>
      </c>
    </row>
    <row r="473" spans="1:6" hidden="1" x14ac:dyDescent="0.2">
      <c r="A473">
        <v>473</v>
      </c>
      <c r="B473" t="s">
        <v>500</v>
      </c>
      <c r="C473" s="2">
        <v>13156.044027393702</v>
      </c>
      <c r="D473" s="3">
        <v>52.805000000000007</v>
      </c>
      <c r="E473" t="s">
        <v>7</v>
      </c>
      <c r="F473" t="s">
        <v>37</v>
      </c>
    </row>
    <row r="474" spans="1:6" hidden="1" x14ac:dyDescent="0.2">
      <c r="A474">
        <v>474</v>
      </c>
      <c r="B474" t="s">
        <v>501</v>
      </c>
      <c r="C474" s="2">
        <v>13027.483587119765</v>
      </c>
      <c r="D474" s="3">
        <v>28.529299999999999</v>
      </c>
      <c r="E474" t="s">
        <v>7</v>
      </c>
      <c r="F474" t="s">
        <v>37</v>
      </c>
    </row>
    <row r="475" spans="1:6" hidden="1" x14ac:dyDescent="0.2">
      <c r="A475">
        <v>475</v>
      </c>
      <c r="B475" t="s">
        <v>502</v>
      </c>
      <c r="C475" s="2">
        <v>12900.208751248567</v>
      </c>
      <c r="D475" s="3">
        <v>93.483199999999997</v>
      </c>
      <c r="E475" t="s">
        <v>43</v>
      </c>
      <c r="F475" t="s">
        <v>44</v>
      </c>
    </row>
    <row r="476" spans="1:6" hidden="1" x14ac:dyDescent="0.2">
      <c r="A476">
        <v>476</v>
      </c>
      <c r="B476" t="s">
        <v>503</v>
      </c>
      <c r="C476" s="2">
        <v>12774.20666373608</v>
      </c>
      <c r="D476" s="3">
        <v>106.60520000000002</v>
      </c>
      <c r="E476" t="s">
        <v>7</v>
      </c>
      <c r="F476" t="s">
        <v>37</v>
      </c>
    </row>
    <row r="477" spans="1:6" hidden="1" x14ac:dyDescent="0.2">
      <c r="A477">
        <v>477</v>
      </c>
      <c r="B477" t="s">
        <v>504</v>
      </c>
      <c r="C477" s="2">
        <v>12649.46459709872</v>
      </c>
      <c r="D477" s="3">
        <v>33.778099999999995</v>
      </c>
      <c r="E477" t="s">
        <v>26</v>
      </c>
      <c r="F477" t="s">
        <v>27</v>
      </c>
    </row>
    <row r="478" spans="1:6" hidden="1" x14ac:dyDescent="0.2">
      <c r="A478">
        <v>478</v>
      </c>
      <c r="B478" t="s">
        <v>505</v>
      </c>
      <c r="C478" s="2">
        <v>12525.969951127732</v>
      </c>
      <c r="D478" s="3">
        <v>75.112400000000008</v>
      </c>
      <c r="E478" t="s">
        <v>26</v>
      </c>
      <c r="F478" t="s">
        <v>27</v>
      </c>
    </row>
    <row r="479" spans="1:6" hidden="1" x14ac:dyDescent="0.2">
      <c r="A479">
        <v>479</v>
      </c>
      <c r="B479" t="s">
        <v>506</v>
      </c>
      <c r="C479" s="2">
        <v>12403.710251616454</v>
      </c>
      <c r="D479" s="3">
        <v>29.185400000000005</v>
      </c>
      <c r="E479" t="s">
        <v>26</v>
      </c>
      <c r="F479" t="s">
        <v>47</v>
      </c>
    </row>
    <row r="480" spans="1:6" hidden="1" x14ac:dyDescent="0.2">
      <c r="A480">
        <v>480</v>
      </c>
      <c r="B480" t="s">
        <v>507</v>
      </c>
      <c r="C480" s="2">
        <v>12282.67314910029</v>
      </c>
      <c r="D480" s="3">
        <v>25.904900000000005</v>
      </c>
      <c r="E480" t="s">
        <v>26</v>
      </c>
      <c r="F480" t="s">
        <v>27</v>
      </c>
    </row>
    <row r="481" spans="1:6" hidden="1" x14ac:dyDescent="0.2">
      <c r="A481">
        <v>481</v>
      </c>
      <c r="B481" t="s">
        <v>508</v>
      </c>
      <c r="C481" s="2">
        <v>12162.846417609288</v>
      </c>
      <c r="D481" s="3">
        <v>18.687799999999999</v>
      </c>
      <c r="E481" t="s">
        <v>7</v>
      </c>
      <c r="F481" t="s">
        <v>8</v>
      </c>
    </row>
    <row r="482" spans="1:6" hidden="1" x14ac:dyDescent="0.2">
      <c r="A482">
        <v>482</v>
      </c>
      <c r="B482" t="s">
        <v>509</v>
      </c>
      <c r="C482" s="2">
        <v>12044.217953433195</v>
      </c>
      <c r="D482" s="3">
        <v>165.65420000000003</v>
      </c>
      <c r="E482" t="s">
        <v>7</v>
      </c>
      <c r="F482" t="s">
        <v>19</v>
      </c>
    </row>
    <row r="483" spans="1:6" hidden="1" x14ac:dyDescent="0.2">
      <c r="A483">
        <v>483</v>
      </c>
      <c r="B483" t="s">
        <v>510</v>
      </c>
      <c r="C483" s="2">
        <v>11926.775773898864</v>
      </c>
      <c r="D483" s="3">
        <v>14.751200000000001</v>
      </c>
      <c r="E483" t="s">
        <v>26</v>
      </c>
      <c r="F483" t="s">
        <v>27</v>
      </c>
    </row>
    <row r="484" spans="1:6" hidden="1" x14ac:dyDescent="0.2">
      <c r="A484">
        <v>484</v>
      </c>
      <c r="B484" t="s">
        <v>511</v>
      </c>
      <c r="C484" s="2">
        <v>11810.508016159874</v>
      </c>
      <c r="D484" s="3">
        <v>28.529299999999999</v>
      </c>
      <c r="E484" t="s">
        <v>23</v>
      </c>
      <c r="F484" t="s">
        <v>12</v>
      </c>
    </row>
    <row r="485" spans="1:6" hidden="1" x14ac:dyDescent="0.2">
      <c r="A485">
        <v>485</v>
      </c>
      <c r="B485" t="s">
        <v>512</v>
      </c>
      <c r="C485" s="2">
        <v>11695.402935998276</v>
      </c>
      <c r="D485" s="3">
        <v>40.995200000000004</v>
      </c>
      <c r="E485" t="s">
        <v>26</v>
      </c>
      <c r="F485" t="s">
        <v>27</v>
      </c>
    </row>
    <row r="486" spans="1:6" hidden="1" x14ac:dyDescent="0.2">
      <c r="A486">
        <v>486</v>
      </c>
      <c r="B486" t="s">
        <v>513</v>
      </c>
      <c r="C486" s="2">
        <v>11581.448906638294</v>
      </c>
      <c r="D486" s="3">
        <v>48.868400000000001</v>
      </c>
      <c r="E486" t="s">
        <v>26</v>
      </c>
      <c r="F486" t="s">
        <v>52</v>
      </c>
    </row>
    <row r="487" spans="1:6" x14ac:dyDescent="0.2">
      <c r="A487">
        <v>487</v>
      </c>
      <c r="B487" t="s">
        <v>514</v>
      </c>
      <c r="C487" s="2">
        <v>11468.634417571911</v>
      </c>
      <c r="D487" s="3">
        <v>58.053800000000003</v>
      </c>
      <c r="E487" t="s">
        <v>7</v>
      </c>
      <c r="F487" t="s">
        <v>21</v>
      </c>
    </row>
    <row r="488" spans="1:6" x14ac:dyDescent="0.2">
      <c r="A488">
        <v>488</v>
      </c>
      <c r="B488" t="s">
        <v>515</v>
      </c>
      <c r="C488" s="2">
        <v>11356.948073396192</v>
      </c>
      <c r="D488" s="3">
        <v>222.0788</v>
      </c>
      <c r="E488" t="s">
        <v>7</v>
      </c>
      <c r="F488" t="s">
        <v>21</v>
      </c>
    </row>
    <row r="489" spans="1:6" hidden="1" x14ac:dyDescent="0.2">
      <c r="A489">
        <v>489</v>
      </c>
      <c r="B489" t="s">
        <v>516</v>
      </c>
      <c r="C489" s="2">
        <v>11246.378592662229</v>
      </c>
      <c r="D489" s="3">
        <v>32.465900000000005</v>
      </c>
      <c r="E489" t="s">
        <v>26</v>
      </c>
      <c r="F489" t="s">
        <v>27</v>
      </c>
    </row>
    <row r="490" spans="1:6" hidden="1" x14ac:dyDescent="0.2">
      <c r="A490">
        <v>490</v>
      </c>
      <c r="B490" t="s">
        <v>517</v>
      </c>
      <c r="C490" s="2">
        <v>11136.914806735607</v>
      </c>
      <c r="D490" s="3">
        <v>114.47839999999999</v>
      </c>
      <c r="E490" t="s">
        <v>26</v>
      </c>
      <c r="F490" t="s">
        <v>75</v>
      </c>
    </row>
    <row r="491" spans="1:6" hidden="1" x14ac:dyDescent="0.2">
      <c r="A491">
        <v>491</v>
      </c>
      <c r="B491" t="s">
        <v>518</v>
      </c>
      <c r="C491" s="2">
        <v>11028.54565866825</v>
      </c>
      <c r="D491" s="3">
        <v>29.185400000000005</v>
      </c>
      <c r="E491" t="s">
        <v>26</v>
      </c>
      <c r="F491" t="s">
        <v>35</v>
      </c>
    </row>
    <row r="492" spans="1:6" hidden="1" x14ac:dyDescent="0.2">
      <c r="A492">
        <v>492</v>
      </c>
      <c r="B492" t="s">
        <v>519</v>
      </c>
      <c r="C492" s="2">
        <v>10921.260202081568</v>
      </c>
      <c r="D492" s="3">
        <v>165.65420000000003</v>
      </c>
      <c r="E492" t="s">
        <v>26</v>
      </c>
      <c r="F492" t="s">
        <v>27</v>
      </c>
    </row>
    <row r="493" spans="1:6" hidden="1" x14ac:dyDescent="0.2">
      <c r="A493">
        <v>493</v>
      </c>
      <c r="B493" t="s">
        <v>520</v>
      </c>
      <c r="C493" s="2">
        <v>10815.047600060752</v>
      </c>
      <c r="D493" s="3">
        <v>52.805000000000007</v>
      </c>
      <c r="E493" t="s">
        <v>23</v>
      </c>
      <c r="F493" t="s">
        <v>8</v>
      </c>
    </row>
    <row r="494" spans="1:6" hidden="1" x14ac:dyDescent="0.2">
      <c r="A494">
        <v>494</v>
      </c>
      <c r="B494" t="s">
        <v>521</v>
      </c>
      <c r="C494" s="2">
        <v>10709.897124060144</v>
      </c>
      <c r="D494" s="3">
        <v>82.32950000000001</v>
      </c>
      <c r="E494" t="s">
        <v>7</v>
      </c>
      <c r="F494" t="s">
        <v>85</v>
      </c>
    </row>
    <row r="495" spans="1:6" hidden="1" x14ac:dyDescent="0.2">
      <c r="A495">
        <v>495</v>
      </c>
      <c r="B495" t="s">
        <v>522</v>
      </c>
      <c r="C495" s="2">
        <v>10605.798152819543</v>
      </c>
      <c r="D495" s="3">
        <v>384.92282000000006</v>
      </c>
      <c r="E495" t="s">
        <v>26</v>
      </c>
      <c r="F495" t="s">
        <v>14</v>
      </c>
    </row>
    <row r="496" spans="1:6" x14ac:dyDescent="0.2">
      <c r="A496">
        <v>496</v>
      </c>
      <c r="B496" t="s">
        <v>523</v>
      </c>
      <c r="C496" s="2">
        <v>10502.740171291347</v>
      </c>
      <c r="D496" s="3">
        <v>170.57495000000003</v>
      </c>
      <c r="E496" t="s">
        <v>7</v>
      </c>
      <c r="F496" t="s">
        <v>21</v>
      </c>
    </row>
    <row r="497" spans="1:6" hidden="1" x14ac:dyDescent="0.2">
      <c r="A497">
        <v>497</v>
      </c>
      <c r="B497" t="s">
        <v>524</v>
      </c>
      <c r="C497" s="2">
        <v>10400.712769578433</v>
      </c>
      <c r="D497" s="3">
        <v>182.38475000000003</v>
      </c>
      <c r="E497" t="s">
        <v>26</v>
      </c>
      <c r="F497" t="s">
        <v>27</v>
      </c>
    </row>
    <row r="498" spans="1:6" hidden="1" x14ac:dyDescent="0.2">
      <c r="A498">
        <v>498</v>
      </c>
      <c r="B498" t="s">
        <v>525</v>
      </c>
      <c r="C498" s="2">
        <v>10299.705641882649</v>
      </c>
      <c r="D498" s="3">
        <v>182.38475000000003</v>
      </c>
      <c r="E498" t="s">
        <v>43</v>
      </c>
      <c r="F498" t="s">
        <v>44</v>
      </c>
    </row>
    <row r="499" spans="1:6" hidden="1" x14ac:dyDescent="0.2">
      <c r="A499">
        <v>499</v>
      </c>
      <c r="B499" t="s">
        <v>526</v>
      </c>
      <c r="C499" s="2">
        <v>10199.708585463823</v>
      </c>
      <c r="D499" s="3">
        <v>64.286749999999998</v>
      </c>
      <c r="E499" t="s">
        <v>7</v>
      </c>
      <c r="F499" t="s">
        <v>60</v>
      </c>
    </row>
    <row r="500" spans="1:6" hidden="1" x14ac:dyDescent="0.2">
      <c r="A500">
        <v>500</v>
      </c>
      <c r="B500" t="s">
        <v>527</v>
      </c>
      <c r="C500" s="2">
        <v>10100.711499609184</v>
      </c>
      <c r="D500" s="3">
        <v>48.934010000000001</v>
      </c>
      <c r="E500" t="s">
        <v>23</v>
      </c>
      <c r="F500" t="s">
        <v>14</v>
      </c>
    </row>
    <row r="502" spans="1:6" x14ac:dyDescent="0.2">
      <c r="A502" s="4" t="s">
        <v>528</v>
      </c>
      <c r="C502" s="2">
        <f>SUM(C2:C501)</f>
        <v>280638483.56153828</v>
      </c>
      <c r="D502" s="3">
        <f>SUM(D2:D501)</f>
        <v>230961.89293000015</v>
      </c>
    </row>
    <row r="503" spans="1:6" x14ac:dyDescent="0.2">
      <c r="A503" s="4" t="s">
        <v>529</v>
      </c>
      <c r="C503" s="2">
        <f>AVERAGE(C2:C501)</f>
        <v>562401.77066440543</v>
      </c>
      <c r="D503" s="3">
        <f>AVERAGE(D2:D501)</f>
        <v>462.84948482965962</v>
      </c>
    </row>
    <row r="504" spans="1:6" x14ac:dyDescent="0.2">
      <c r="A504" s="4" t="s">
        <v>530</v>
      </c>
      <c r="C504" s="2">
        <f>MIN(C2:C501)</f>
        <v>10100.711499609184</v>
      </c>
      <c r="D504" s="3">
        <f>MIN(D2:D501)</f>
        <v>12</v>
      </c>
    </row>
    <row r="505" spans="1:6" x14ac:dyDescent="0.2">
      <c r="A505" s="4" t="s">
        <v>531</v>
      </c>
      <c r="C505" s="2">
        <f>MAX(C2:C501)</f>
        <v>35837200</v>
      </c>
      <c r="D505" s="3">
        <f>MAX(D2:D501)</f>
        <v>27103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abSelected="1" topLeftCell="F1" zoomScale="101" workbookViewId="0">
      <selection activeCell="J5" sqref="J5"/>
    </sheetView>
  </sheetViews>
  <sheetFormatPr baseColWidth="10" defaultRowHeight="16" x14ac:dyDescent="0.2"/>
  <cols>
    <col min="1" max="1" width="27.5" bestFit="1" customWidth="1"/>
    <col min="2" max="2" width="21.5" bestFit="1" customWidth="1"/>
    <col min="3" max="3" width="24" bestFit="1" customWidth="1"/>
    <col min="4" max="4" width="16.5" bestFit="1" customWidth="1"/>
    <col min="5" max="5" width="12" bestFit="1" customWidth="1"/>
    <col min="6" max="6" width="24.1640625" bestFit="1" customWidth="1"/>
    <col min="7" max="7" width="24.33203125" bestFit="1" customWidth="1"/>
    <col min="9" max="9" width="41.33203125" bestFit="1" customWidth="1"/>
  </cols>
  <sheetData>
    <row r="1" spans="1:10" ht="21" x14ac:dyDescent="0.25">
      <c r="A1" s="5" t="s">
        <v>0</v>
      </c>
      <c r="B1" s="5" t="s">
        <v>536</v>
      </c>
      <c r="C1" s="5" t="s">
        <v>2</v>
      </c>
      <c r="D1" s="5" t="s">
        <v>3</v>
      </c>
      <c r="E1" s="5" t="s">
        <v>4</v>
      </c>
      <c r="F1" s="5" t="s">
        <v>532</v>
      </c>
      <c r="G1" s="5" t="s">
        <v>538</v>
      </c>
    </row>
    <row r="2" spans="1:10" x14ac:dyDescent="0.2">
      <c r="A2">
        <v>9</v>
      </c>
      <c r="B2" t="s">
        <v>20</v>
      </c>
      <c r="C2" s="2">
        <v>5510000</v>
      </c>
      <c r="D2" s="3">
        <v>7799</v>
      </c>
      <c r="E2" t="s">
        <v>7</v>
      </c>
      <c r="F2" t="str">
        <f>IF(C2&gt;$C$46*1.2,"High Sales",IF(C2&lt;$C$46*0.8,"Low Sales", "Average Sales"))</f>
        <v>High Sales</v>
      </c>
      <c r="G2" t="str">
        <f>IF(D2&gt;$D$46*1.2,"Large Chain",IF(D2&lt;$D$46*0.8,"Small Chain", "Medium Chain"))</f>
        <v>Large Chain</v>
      </c>
    </row>
    <row r="3" spans="1:10" x14ac:dyDescent="0.2">
      <c r="A3">
        <v>12</v>
      </c>
      <c r="B3" t="s">
        <v>28</v>
      </c>
      <c r="C3" s="2">
        <v>4708587</v>
      </c>
      <c r="D3" s="3">
        <v>5200</v>
      </c>
      <c r="E3" t="s">
        <v>7</v>
      </c>
      <c r="F3" t="str">
        <f t="shared" ref="F3:F43" si="0">IF(C3&gt;$C$46*1.2,"High Sales",IF(C3&lt;$C$46*0.8,"Low Sales", "Average Sales"))</f>
        <v>High Sales</v>
      </c>
      <c r="G3" t="str">
        <f t="shared" ref="G3:G43" si="1">IF(D3&gt;$D$46*1.2,"Large Chain",IF(D3&lt;$D$46*0.8,"Small Chain", "Medium Chain"))</f>
        <v>Large Chain</v>
      </c>
    </row>
    <row r="4" spans="1:10" x14ac:dyDescent="0.2">
      <c r="A4">
        <v>19</v>
      </c>
      <c r="B4" t="s">
        <v>38</v>
      </c>
      <c r="C4" s="2">
        <v>3500000</v>
      </c>
      <c r="D4" s="3">
        <v>4250</v>
      </c>
      <c r="E4" t="s">
        <v>7</v>
      </c>
      <c r="F4" t="str">
        <f t="shared" si="0"/>
        <v>High Sales</v>
      </c>
      <c r="G4" t="str">
        <f t="shared" si="1"/>
        <v>Large Chain</v>
      </c>
      <c r="I4" t="s">
        <v>535</v>
      </c>
      <c r="J4">
        <f>MATCH(D47,D2:D43,0)</f>
        <v>32</v>
      </c>
    </row>
    <row r="5" spans="1:10" x14ac:dyDescent="0.2">
      <c r="A5">
        <v>24</v>
      </c>
      <c r="B5" t="s">
        <v>45</v>
      </c>
      <c r="C5" s="2">
        <v>2816017</v>
      </c>
      <c r="D5" s="3">
        <v>3290</v>
      </c>
      <c r="E5" t="s">
        <v>7</v>
      </c>
      <c r="F5" t="str">
        <f t="shared" si="0"/>
        <v>High Sales</v>
      </c>
      <c r="G5" t="str">
        <f t="shared" si="1"/>
        <v>Large Chain</v>
      </c>
      <c r="I5" t="s">
        <v>537</v>
      </c>
      <c r="J5" t="str">
        <f>INDEX(A2:G43,23,2)</f>
        <v>After Giggle</v>
      </c>
    </row>
    <row r="6" spans="1:10" x14ac:dyDescent="0.2">
      <c r="A6">
        <v>51</v>
      </c>
      <c r="B6" t="s">
        <v>76</v>
      </c>
      <c r="C6" s="2">
        <v>880429</v>
      </c>
      <c r="D6" s="3">
        <v>1496</v>
      </c>
      <c r="E6" t="s">
        <v>7</v>
      </c>
      <c r="F6" t="str">
        <f t="shared" si="0"/>
        <v>High Sales</v>
      </c>
      <c r="G6" t="str">
        <f t="shared" si="1"/>
        <v>Large Chain</v>
      </c>
    </row>
    <row r="7" spans="1:10" x14ac:dyDescent="0.2">
      <c r="A7">
        <v>89</v>
      </c>
      <c r="B7" t="s">
        <v>116</v>
      </c>
      <c r="C7" s="2">
        <v>430000</v>
      </c>
      <c r="D7" s="3">
        <v>445</v>
      </c>
      <c r="E7" t="s">
        <v>7</v>
      </c>
      <c r="F7" t="str">
        <f t="shared" si="0"/>
        <v>Average Sales</v>
      </c>
      <c r="G7" t="str">
        <f t="shared" si="1"/>
        <v>Small Chain</v>
      </c>
    </row>
    <row r="8" spans="1:10" x14ac:dyDescent="0.2">
      <c r="A8">
        <v>90</v>
      </c>
      <c r="B8" t="s">
        <v>117</v>
      </c>
      <c r="C8" s="2">
        <v>424107</v>
      </c>
      <c r="D8" s="3">
        <v>437</v>
      </c>
      <c r="E8" t="s">
        <v>7</v>
      </c>
      <c r="F8" t="str">
        <f t="shared" si="0"/>
        <v>Low Sales</v>
      </c>
      <c r="G8" t="str">
        <f t="shared" si="1"/>
        <v>Small Chain</v>
      </c>
    </row>
    <row r="9" spans="1:10" x14ac:dyDescent="0.2">
      <c r="A9">
        <v>92</v>
      </c>
      <c r="B9" t="s">
        <v>119</v>
      </c>
      <c r="C9" s="2">
        <v>417632</v>
      </c>
      <c r="D9" s="3">
        <v>667</v>
      </c>
      <c r="E9" t="s">
        <v>7</v>
      </c>
      <c r="F9" t="str">
        <f t="shared" si="0"/>
        <v>Low Sales</v>
      </c>
      <c r="G9" t="str">
        <f t="shared" si="1"/>
        <v>Medium Chain</v>
      </c>
    </row>
    <row r="10" spans="1:10" x14ac:dyDescent="0.2">
      <c r="A10">
        <v>101</v>
      </c>
      <c r="B10" t="s">
        <v>128</v>
      </c>
      <c r="C10" s="2">
        <v>364294</v>
      </c>
      <c r="D10" s="3">
        <v>553</v>
      </c>
      <c r="E10" t="s">
        <v>7</v>
      </c>
      <c r="F10" t="str">
        <f t="shared" si="0"/>
        <v>Low Sales</v>
      </c>
      <c r="G10" t="str">
        <f t="shared" si="1"/>
        <v>Small Chain</v>
      </c>
    </row>
    <row r="11" spans="1:10" x14ac:dyDescent="0.2">
      <c r="A11">
        <v>107</v>
      </c>
      <c r="B11" t="s">
        <v>129</v>
      </c>
      <c r="C11" s="2">
        <v>342478</v>
      </c>
      <c r="D11" s="3">
        <v>548</v>
      </c>
      <c r="E11" t="s">
        <v>7</v>
      </c>
      <c r="F11" t="str">
        <f t="shared" si="0"/>
        <v>Low Sales</v>
      </c>
      <c r="G11" t="str">
        <f t="shared" si="1"/>
        <v>Small Chain</v>
      </c>
    </row>
    <row r="12" spans="1:10" x14ac:dyDescent="0.2">
      <c r="A12">
        <v>108</v>
      </c>
      <c r="B12" t="s">
        <v>130</v>
      </c>
      <c r="C12" s="2">
        <v>339500</v>
      </c>
      <c r="D12" s="3">
        <v>384</v>
      </c>
      <c r="E12" t="s">
        <v>7</v>
      </c>
      <c r="F12" t="str">
        <f t="shared" si="0"/>
        <v>Low Sales</v>
      </c>
      <c r="G12" t="str">
        <f t="shared" si="1"/>
        <v>Small Chain</v>
      </c>
    </row>
    <row r="13" spans="1:10" x14ac:dyDescent="0.2">
      <c r="A13">
        <v>122</v>
      </c>
      <c r="B13" t="s">
        <v>131</v>
      </c>
      <c r="C13" s="2">
        <v>299200</v>
      </c>
      <c r="D13" s="3">
        <v>550</v>
      </c>
      <c r="E13" t="s">
        <v>7</v>
      </c>
      <c r="F13" t="str">
        <f t="shared" si="0"/>
        <v>Low Sales</v>
      </c>
      <c r="G13" t="str">
        <f t="shared" si="1"/>
        <v>Small Chain</v>
      </c>
    </row>
    <row r="14" spans="1:10" x14ac:dyDescent="0.2">
      <c r="A14">
        <v>140</v>
      </c>
      <c r="B14" t="s">
        <v>132</v>
      </c>
      <c r="C14" s="2">
        <v>250900</v>
      </c>
      <c r="D14" s="3">
        <v>305</v>
      </c>
      <c r="E14" t="s">
        <v>7</v>
      </c>
      <c r="F14" t="str">
        <f t="shared" si="0"/>
        <v>Low Sales</v>
      </c>
      <c r="G14" t="str">
        <f t="shared" si="1"/>
        <v>Small Chain</v>
      </c>
    </row>
    <row r="15" spans="1:10" x14ac:dyDescent="0.2">
      <c r="A15">
        <v>156</v>
      </c>
      <c r="B15" t="s">
        <v>133</v>
      </c>
      <c r="C15" s="2">
        <v>228618</v>
      </c>
      <c r="D15" s="3">
        <v>192</v>
      </c>
      <c r="E15" t="s">
        <v>7</v>
      </c>
      <c r="F15" t="str">
        <f t="shared" si="0"/>
        <v>Low Sales</v>
      </c>
      <c r="G15" t="str">
        <f t="shared" si="1"/>
        <v>Small Chain</v>
      </c>
    </row>
    <row r="16" spans="1:10" x14ac:dyDescent="0.2">
      <c r="A16">
        <v>179</v>
      </c>
      <c r="B16" t="s">
        <v>134</v>
      </c>
      <c r="C16" s="2">
        <v>190500</v>
      </c>
      <c r="D16" s="3">
        <v>94</v>
      </c>
      <c r="E16" t="s">
        <v>7</v>
      </c>
      <c r="F16" t="str">
        <f t="shared" si="0"/>
        <v>Low Sales</v>
      </c>
      <c r="G16" t="str">
        <f t="shared" si="1"/>
        <v>Small Chain</v>
      </c>
    </row>
    <row r="17" spans="1:7" x14ac:dyDescent="0.2">
      <c r="A17">
        <v>183</v>
      </c>
      <c r="B17" t="s">
        <v>135</v>
      </c>
      <c r="C17" s="2">
        <v>183600</v>
      </c>
      <c r="D17" s="3">
        <v>153</v>
      </c>
      <c r="E17" t="s">
        <v>23</v>
      </c>
      <c r="F17" t="str">
        <f t="shared" si="0"/>
        <v>Low Sales</v>
      </c>
      <c r="G17" t="str">
        <f t="shared" si="1"/>
        <v>Small Chain</v>
      </c>
    </row>
    <row r="18" spans="1:7" x14ac:dyDescent="0.2">
      <c r="A18">
        <v>211</v>
      </c>
      <c r="B18" t="s">
        <v>136</v>
      </c>
      <c r="C18" s="2">
        <v>148612</v>
      </c>
      <c r="D18" s="3">
        <v>245</v>
      </c>
      <c r="E18" t="s">
        <v>7</v>
      </c>
      <c r="F18" t="str">
        <f t="shared" si="0"/>
        <v>Low Sales</v>
      </c>
      <c r="G18" t="str">
        <f t="shared" si="1"/>
        <v>Small Chain</v>
      </c>
    </row>
    <row r="19" spans="1:7" x14ac:dyDescent="0.2">
      <c r="A19">
        <v>217</v>
      </c>
      <c r="B19" t="s">
        <v>137</v>
      </c>
      <c r="C19" s="2">
        <v>144680</v>
      </c>
      <c r="D19" s="3">
        <v>163</v>
      </c>
      <c r="E19" t="s">
        <v>7</v>
      </c>
      <c r="F19" t="str">
        <f t="shared" si="0"/>
        <v>Low Sales</v>
      </c>
      <c r="G19" t="str">
        <f t="shared" si="1"/>
        <v>Small Chain</v>
      </c>
    </row>
    <row r="20" spans="1:7" x14ac:dyDescent="0.2">
      <c r="A20">
        <v>237</v>
      </c>
      <c r="B20" t="s">
        <v>138</v>
      </c>
      <c r="C20" s="2">
        <v>124600</v>
      </c>
      <c r="D20" s="3">
        <v>133</v>
      </c>
      <c r="E20" t="s">
        <v>7</v>
      </c>
      <c r="F20" t="str">
        <f t="shared" si="0"/>
        <v>Low Sales</v>
      </c>
      <c r="G20" t="str">
        <f t="shared" si="1"/>
        <v>Small Chain</v>
      </c>
    </row>
    <row r="21" spans="1:7" x14ac:dyDescent="0.2">
      <c r="A21">
        <v>238</v>
      </c>
      <c r="B21" t="s">
        <v>139</v>
      </c>
      <c r="C21" s="2">
        <v>124200</v>
      </c>
      <c r="D21" s="3">
        <v>242</v>
      </c>
      <c r="E21" t="s">
        <v>7</v>
      </c>
      <c r="F21" t="str">
        <f t="shared" si="0"/>
        <v>Low Sales</v>
      </c>
      <c r="G21" t="str">
        <f t="shared" si="1"/>
        <v>Small Chain</v>
      </c>
    </row>
    <row r="22" spans="1:7" x14ac:dyDescent="0.2">
      <c r="A22">
        <v>246</v>
      </c>
      <c r="B22" t="s">
        <v>140</v>
      </c>
      <c r="C22" s="2">
        <v>122054</v>
      </c>
      <c r="D22" s="3">
        <v>164</v>
      </c>
      <c r="E22" t="s">
        <v>7</v>
      </c>
      <c r="F22" t="str">
        <f t="shared" si="0"/>
        <v>Low Sales</v>
      </c>
      <c r="G22" t="str">
        <f t="shared" si="1"/>
        <v>Small Chain</v>
      </c>
    </row>
    <row r="23" spans="1:7" x14ac:dyDescent="0.2">
      <c r="A23">
        <v>259</v>
      </c>
      <c r="B23" t="s">
        <v>287</v>
      </c>
      <c r="C23" s="2">
        <v>109648.01452379179</v>
      </c>
      <c r="D23" s="3">
        <v>72.2</v>
      </c>
      <c r="E23" t="s">
        <v>7</v>
      </c>
      <c r="F23" t="str">
        <f t="shared" si="0"/>
        <v>Low Sales</v>
      </c>
      <c r="G23" t="str">
        <f t="shared" si="1"/>
        <v>Small Chain</v>
      </c>
    </row>
    <row r="24" spans="1:7" x14ac:dyDescent="0.2">
      <c r="A24">
        <v>262</v>
      </c>
      <c r="B24" t="s">
        <v>290</v>
      </c>
      <c r="C24" s="2">
        <v>106400.26914442064</v>
      </c>
      <c r="D24" s="3">
        <v>48.800000000000004</v>
      </c>
      <c r="E24" t="s">
        <v>7</v>
      </c>
      <c r="F24" t="str">
        <f t="shared" si="0"/>
        <v>Low Sales</v>
      </c>
      <c r="G24" t="str">
        <f t="shared" si="1"/>
        <v>Small Chain</v>
      </c>
    </row>
    <row r="25" spans="1:7" x14ac:dyDescent="0.2">
      <c r="A25">
        <v>269</v>
      </c>
      <c r="B25" t="s">
        <v>297</v>
      </c>
      <c r="C25" s="2">
        <v>99192.384273119693</v>
      </c>
      <c r="D25" s="3">
        <v>43.4</v>
      </c>
      <c r="E25" t="s">
        <v>7</v>
      </c>
      <c r="F25" t="str">
        <f t="shared" si="0"/>
        <v>Low Sales</v>
      </c>
      <c r="G25" t="str">
        <f t="shared" si="1"/>
        <v>Small Chain</v>
      </c>
    </row>
    <row r="26" spans="1:7" x14ac:dyDescent="0.2">
      <c r="A26">
        <v>274</v>
      </c>
      <c r="B26" t="s">
        <v>302</v>
      </c>
      <c r="C26" s="2">
        <v>94345.673454624077</v>
      </c>
      <c r="D26" s="3">
        <v>63.2</v>
      </c>
      <c r="E26" t="s">
        <v>7</v>
      </c>
      <c r="F26" t="str">
        <f t="shared" si="0"/>
        <v>Low Sales</v>
      </c>
      <c r="G26" t="str">
        <f t="shared" si="1"/>
        <v>Small Chain</v>
      </c>
    </row>
    <row r="27" spans="1:7" x14ac:dyDescent="0.2">
      <c r="A27">
        <v>301</v>
      </c>
      <c r="B27" t="s">
        <v>329</v>
      </c>
      <c r="C27" s="2">
        <v>71995.033973999438</v>
      </c>
      <c r="D27" s="3">
        <v>31.7</v>
      </c>
      <c r="E27" t="s">
        <v>7</v>
      </c>
      <c r="F27" t="str">
        <f t="shared" si="0"/>
        <v>Low Sales</v>
      </c>
      <c r="G27" t="str">
        <f t="shared" si="1"/>
        <v>Small Chain</v>
      </c>
    </row>
    <row r="28" spans="1:7" x14ac:dyDescent="0.2">
      <c r="A28">
        <v>339</v>
      </c>
      <c r="B28" t="s">
        <v>367</v>
      </c>
      <c r="C28" s="2">
        <v>49235.774878379103</v>
      </c>
      <c r="D28" s="3">
        <v>135.83000000000001</v>
      </c>
      <c r="E28" t="s">
        <v>7</v>
      </c>
      <c r="F28" t="str">
        <f t="shared" si="0"/>
        <v>Low Sales</v>
      </c>
      <c r="G28" t="str">
        <f t="shared" si="1"/>
        <v>Small Chain</v>
      </c>
    </row>
    <row r="29" spans="1:7" x14ac:dyDescent="0.2">
      <c r="A29">
        <v>340</v>
      </c>
      <c r="B29" t="s">
        <v>368</v>
      </c>
      <c r="C29" s="2">
        <v>48746.417129595313</v>
      </c>
      <c r="D29" s="3">
        <v>57.26</v>
      </c>
      <c r="E29" t="s">
        <v>7</v>
      </c>
      <c r="F29" t="str">
        <f t="shared" si="0"/>
        <v>Low Sales</v>
      </c>
      <c r="G29" t="str">
        <f t="shared" si="1"/>
        <v>Small Chain</v>
      </c>
    </row>
    <row r="30" spans="1:7" x14ac:dyDescent="0.2">
      <c r="A30">
        <v>342</v>
      </c>
      <c r="B30" t="s">
        <v>370</v>
      </c>
      <c r="C30" s="2">
        <v>47782.33342871636</v>
      </c>
      <c r="D30" s="3">
        <v>608.87000000000012</v>
      </c>
      <c r="E30" t="s">
        <v>7</v>
      </c>
      <c r="F30" t="str">
        <f t="shared" si="0"/>
        <v>Low Sales</v>
      </c>
      <c r="G30" t="str">
        <f t="shared" si="1"/>
        <v>Medium Chain</v>
      </c>
    </row>
    <row r="31" spans="1:7" x14ac:dyDescent="0.2">
      <c r="A31">
        <v>351</v>
      </c>
      <c r="B31" t="s">
        <v>379</v>
      </c>
      <c r="C31" s="2">
        <v>43675.93053790144</v>
      </c>
      <c r="D31" s="3">
        <v>60.5</v>
      </c>
      <c r="E31" t="s">
        <v>7</v>
      </c>
      <c r="F31" t="str">
        <f t="shared" si="0"/>
        <v>Low Sales</v>
      </c>
      <c r="G31" t="str">
        <f t="shared" si="1"/>
        <v>Small Chain</v>
      </c>
    </row>
    <row r="32" spans="1:7" x14ac:dyDescent="0.2">
      <c r="A32">
        <v>357</v>
      </c>
      <c r="B32" t="s">
        <v>385</v>
      </c>
      <c r="C32" s="2">
        <v>41137.577563230851</v>
      </c>
      <c r="D32" s="3">
        <v>31.340000000000003</v>
      </c>
      <c r="E32" t="s">
        <v>7</v>
      </c>
      <c r="F32" t="str">
        <f t="shared" si="0"/>
        <v>Low Sales</v>
      </c>
      <c r="G32" t="str">
        <f t="shared" si="1"/>
        <v>Small Chain</v>
      </c>
    </row>
    <row r="33" spans="1:7" x14ac:dyDescent="0.2">
      <c r="A33">
        <v>358</v>
      </c>
      <c r="B33" t="s">
        <v>386</v>
      </c>
      <c r="C33" s="2">
        <v>40729.20178759854</v>
      </c>
      <c r="D33" s="3">
        <v>27.290000000000003</v>
      </c>
      <c r="E33" t="s">
        <v>7</v>
      </c>
      <c r="F33" t="str">
        <f t="shared" si="0"/>
        <v>Low Sales</v>
      </c>
      <c r="G33" t="str">
        <f t="shared" si="1"/>
        <v>Small Chain</v>
      </c>
    </row>
    <row r="34" spans="1:7" x14ac:dyDescent="0.2">
      <c r="A34">
        <v>372</v>
      </c>
      <c r="B34" t="s">
        <v>400</v>
      </c>
      <c r="C34" s="2">
        <v>35422.699766568316</v>
      </c>
      <c r="D34" s="3">
        <v>96.95</v>
      </c>
      <c r="E34" t="s">
        <v>7</v>
      </c>
      <c r="F34" t="str">
        <f t="shared" si="0"/>
        <v>Low Sales</v>
      </c>
      <c r="G34" t="str">
        <f t="shared" si="1"/>
        <v>Small Chain</v>
      </c>
    </row>
    <row r="35" spans="1:7" x14ac:dyDescent="0.2">
      <c r="A35">
        <v>390</v>
      </c>
      <c r="B35" t="s">
        <v>418</v>
      </c>
      <c r="C35" s="2">
        <v>29610.376294481037</v>
      </c>
      <c r="D35" s="3">
        <v>73.217000000000013</v>
      </c>
      <c r="E35" t="s">
        <v>7</v>
      </c>
      <c r="F35" t="str">
        <f t="shared" si="0"/>
        <v>Low Sales</v>
      </c>
      <c r="G35" t="str">
        <f t="shared" si="1"/>
        <v>Small Chain</v>
      </c>
    </row>
    <row r="36" spans="1:7" x14ac:dyDescent="0.2">
      <c r="A36">
        <v>406</v>
      </c>
      <c r="B36" t="s">
        <v>434</v>
      </c>
      <c r="C36" s="2">
        <v>25256.547669650899</v>
      </c>
      <c r="D36" s="3">
        <v>54.992000000000004</v>
      </c>
      <c r="E36" t="s">
        <v>7</v>
      </c>
      <c r="F36" t="str">
        <f t="shared" si="0"/>
        <v>Low Sales</v>
      </c>
      <c r="G36" t="str">
        <f t="shared" si="1"/>
        <v>Small Chain</v>
      </c>
    </row>
    <row r="37" spans="1:7" x14ac:dyDescent="0.2">
      <c r="A37">
        <v>429</v>
      </c>
      <c r="B37" t="s">
        <v>457</v>
      </c>
      <c r="C37" s="2">
        <v>20105.872701068733</v>
      </c>
      <c r="D37" s="3">
        <v>124.97599999999998</v>
      </c>
      <c r="E37" t="s">
        <v>7</v>
      </c>
      <c r="F37" t="str">
        <f t="shared" si="0"/>
        <v>Low Sales</v>
      </c>
      <c r="G37" t="str">
        <f t="shared" si="1"/>
        <v>Small Chain</v>
      </c>
    </row>
    <row r="38" spans="1:7" x14ac:dyDescent="0.2">
      <c r="A38">
        <v>433</v>
      </c>
      <c r="B38" t="s">
        <v>461</v>
      </c>
      <c r="C38" s="2">
        <v>19325.442291214546</v>
      </c>
      <c r="D38" s="3">
        <v>89.25500000000001</v>
      </c>
      <c r="E38" t="s">
        <v>23</v>
      </c>
      <c r="F38" t="str">
        <f t="shared" si="0"/>
        <v>Low Sales</v>
      </c>
      <c r="G38" t="str">
        <f t="shared" si="1"/>
        <v>Small Chain</v>
      </c>
    </row>
    <row r="39" spans="1:7" x14ac:dyDescent="0.2">
      <c r="A39">
        <v>461</v>
      </c>
      <c r="B39" t="s">
        <v>488</v>
      </c>
      <c r="C39" s="2">
        <v>14803.907317938678</v>
      </c>
      <c r="D39" s="3">
        <v>113.82230000000001</v>
      </c>
      <c r="E39" t="s">
        <v>7</v>
      </c>
      <c r="F39" t="str">
        <f t="shared" si="0"/>
        <v>Low Sales</v>
      </c>
      <c r="G39" t="str">
        <f t="shared" si="1"/>
        <v>Small Chain</v>
      </c>
    </row>
    <row r="40" spans="1:7" x14ac:dyDescent="0.2">
      <c r="A40">
        <v>467</v>
      </c>
      <c r="B40" t="s">
        <v>494</v>
      </c>
      <c r="C40" s="2">
        <v>13955.140828591164</v>
      </c>
      <c r="D40" s="3">
        <v>51.492800000000003</v>
      </c>
      <c r="E40" t="s">
        <v>7</v>
      </c>
      <c r="F40" t="str">
        <f t="shared" si="0"/>
        <v>Low Sales</v>
      </c>
      <c r="G40" t="str">
        <f t="shared" si="1"/>
        <v>Small Chain</v>
      </c>
    </row>
    <row r="41" spans="1:7" x14ac:dyDescent="0.2">
      <c r="A41">
        <v>487</v>
      </c>
      <c r="B41" t="s">
        <v>514</v>
      </c>
      <c r="C41" s="2">
        <v>11468.634417571911</v>
      </c>
      <c r="D41" s="3">
        <v>58.053800000000003</v>
      </c>
      <c r="E41" t="s">
        <v>7</v>
      </c>
      <c r="F41" t="str">
        <f t="shared" si="0"/>
        <v>Low Sales</v>
      </c>
      <c r="G41" t="str">
        <f t="shared" si="1"/>
        <v>Small Chain</v>
      </c>
    </row>
    <row r="42" spans="1:7" x14ac:dyDescent="0.2">
      <c r="A42">
        <v>488</v>
      </c>
      <c r="B42" t="s">
        <v>515</v>
      </c>
      <c r="C42" s="2">
        <v>11356.948073396192</v>
      </c>
      <c r="D42" s="3">
        <v>222.0788</v>
      </c>
      <c r="E42" t="s">
        <v>7</v>
      </c>
      <c r="F42" t="str">
        <f t="shared" si="0"/>
        <v>Low Sales</v>
      </c>
      <c r="G42" t="str">
        <f t="shared" si="1"/>
        <v>Small Chain</v>
      </c>
    </row>
    <row r="43" spans="1:7" x14ac:dyDescent="0.2">
      <c r="A43">
        <v>496</v>
      </c>
      <c r="B43" t="s">
        <v>523</v>
      </c>
      <c r="C43" s="2">
        <v>10502.740171291347</v>
      </c>
      <c r="D43" s="3">
        <v>170.57495000000003</v>
      </c>
      <c r="E43" t="s">
        <v>7</v>
      </c>
      <c r="F43" t="str">
        <f t="shared" si="0"/>
        <v>Low Sales</v>
      </c>
      <c r="G43" t="str">
        <f t="shared" si="1"/>
        <v>Small Chain</v>
      </c>
    </row>
    <row r="44" spans="1:7" x14ac:dyDescent="0.2">
      <c r="D44" s="6"/>
    </row>
    <row r="45" spans="1:7" x14ac:dyDescent="0.2">
      <c r="A45" s="4" t="s">
        <v>528</v>
      </c>
      <c r="C45" s="2">
        <f>SUM(C2:C43)</f>
        <v>22494704.920227148</v>
      </c>
      <c r="D45" s="3">
        <f>SUM(D2:D43)</f>
        <v>29545.802650000001</v>
      </c>
    </row>
    <row r="46" spans="1:7" x14ac:dyDescent="0.2">
      <c r="A46" s="4" t="s">
        <v>529</v>
      </c>
      <c r="C46" s="2">
        <f>AVERAGE(C2:C43)</f>
        <v>535588.21238636062</v>
      </c>
      <c r="D46" s="3">
        <f>AVERAGE(D2:D43)</f>
        <v>703.47149166666668</v>
      </c>
    </row>
    <row r="47" spans="1:7" x14ac:dyDescent="0.2">
      <c r="A47" s="4" t="s">
        <v>530</v>
      </c>
      <c r="C47" s="2">
        <f>MIN(C2:C43)</f>
        <v>10502.740171291347</v>
      </c>
      <c r="D47" s="3">
        <f>MIN(D2:D43)</f>
        <v>27.290000000000003</v>
      </c>
    </row>
    <row r="48" spans="1:7" x14ac:dyDescent="0.2">
      <c r="A48" s="4" t="s">
        <v>531</v>
      </c>
      <c r="C48" s="2">
        <f>MAX(C2:C43)</f>
        <v>5510000</v>
      </c>
      <c r="D48" s="3">
        <f>MAX(D2:D43)</f>
        <v>7799</v>
      </c>
    </row>
    <row r="50" spans="1:2" x14ac:dyDescent="0.2">
      <c r="A50" t="s">
        <v>534</v>
      </c>
      <c r="B50">
        <f>VLOOKUP(B14,B$2:D$43,3,FALSE)</f>
        <v>305</v>
      </c>
    </row>
    <row r="51" spans="1:2" x14ac:dyDescent="0.2">
      <c r="A51" t="s">
        <v>533</v>
      </c>
      <c r="B51" s="3">
        <f>VLOOKUP(B25,B$2:D$43,3,FALSE)</f>
        <v>43.4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Advanced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Joaquin</cp:lastModifiedBy>
  <dcterms:created xsi:type="dcterms:W3CDTF">2017-03-14T17:27:13Z</dcterms:created>
  <dcterms:modified xsi:type="dcterms:W3CDTF">2019-11-11T18:59:31Z</dcterms:modified>
</cp:coreProperties>
</file>