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biagiopalese/Downloads/"/>
    </mc:Choice>
  </mc:AlternateContent>
  <xr:revisionPtr revIDLastSave="0" documentId="13_ncr:1_{A3AA66D5-9412-B448-B7DE-4568615FBC0A}" xr6:coauthVersionLast="45" xr6:coauthVersionMax="45" xr10:uidLastSave="{00000000-0000-0000-0000-000000000000}"/>
  <bookViews>
    <workbookView xWindow="12220" yWindow="460" windowWidth="27340" windowHeight="17540" tabRatio="500" xr2:uid="{00000000-000D-0000-FFFF-FFFF00000000}"/>
  </bookViews>
  <sheets>
    <sheet name="Data" sheetId="1" r:id="rId1"/>
    <sheet name="Calculations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7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28" i="2"/>
  <c r="B28" i="2"/>
  <c r="B2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</calcChain>
</file>

<file path=xl/sharedStrings.xml><?xml version="1.0" encoding="utf-8"?>
<sst xmlns="http://schemas.openxmlformats.org/spreadsheetml/2006/main" count="113" uniqueCount="84">
  <si>
    <t>Restaurant Name</t>
  </si>
  <si>
    <t>Principle Executive</t>
  </si>
  <si>
    <t>City &amp; State</t>
  </si>
  <si>
    <t>Pizza Hut*</t>
  </si>
  <si>
    <t>David W. Gibbs</t>
  </si>
  <si>
    <t>Plano, TX</t>
  </si>
  <si>
    <t>Domino's*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</si>
  <si>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</si>
  <si>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</si>
  <si>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</si>
  <si>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</si>
  <si>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</si>
  <si>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</si>
  <si>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</si>
  <si>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</si>
  <si>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Papa Murphy’s International*</t>
  </si>
  <si>
    <t>Ken Calwell</t>
  </si>
  <si>
    <t>Vancouver, WA</t>
  </si>
  <si>
    <t>California Pizza Kitchen*</t>
  </si>
  <si>
    <t>G. J. Hart</t>
  </si>
  <si>
    <t>Playa Vista, CA</t>
  </si>
  <si>
    <t>Sbarro*</t>
  </si>
  <si>
    <t>J. David Karam</t>
  </si>
  <si>
    <t>Columbus, OH</t>
  </si>
  <si>
    <t>CiCi’s Pizza*</t>
  </si>
  <si>
    <t>Darin Harris</t>
  </si>
  <si>
    <t>Coppell, TX</t>
  </si>
  <si>
    <t>Chuck E. Cheese’s*</t>
  </si>
  <si>
    <t>Thomas Leverton</t>
  </si>
  <si>
    <t>Irving, TX</t>
  </si>
  <si>
    <t>Marco’s Pizza</t>
  </si>
  <si>
    <t>John Butorac</t>
  </si>
  <si>
    <t>Toledo, OH</t>
  </si>
  <si>
    <t>Round Table Pizza*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</si>
  <si>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</si>
  <si>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</si>
  <si>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</si>
  <si>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</si>
  <si>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</si>
  <si>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</si>
  <si>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</si>
  <si>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</si>
  <si>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Godfather’s Pizza*</t>
  </si>
  <si>
    <t>Robert Gartlan</t>
  </si>
  <si>
    <t>Omaha, NE</t>
  </si>
  <si>
    <t>Old Chicago/Rock Bottom Restaurant*</t>
  </si>
  <si>
    <t>Mike Mrlik</t>
  </si>
  <si>
    <t>Louisville, CO</t>
  </si>
  <si>
    <t>Pizza Ranch</t>
  </si>
  <si>
    <t>Adrie Groeneweg</t>
  </si>
  <si>
    <t>Orange City, IA</t>
  </si>
  <si>
    <t>Uno Chicago Grill*</t>
  </si>
  <si>
    <t>Aaron D. Spencer</t>
  </si>
  <si>
    <t>West Roxbury, MA</t>
  </si>
  <si>
    <t>Peter Piper Pizza*</t>
  </si>
  <si>
    <t>Charles Bruce</t>
  </si>
  <si>
    <t>Phoenix, AZ</t>
  </si>
  <si>
    <t>Mellow Mushroom*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</si>
  <si>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</si>
  <si>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</si>
  <si>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</si>
  <si>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</si>
  <si>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</si>
  <si>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</si>
  <si>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</si>
  <si>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</si>
  <si>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</si>
  <si>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</si>
  <si>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Gatti’s Pizza*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</si>
  <si>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</si>
  <si>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</si>
  <si>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</si>
  <si>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</si>
  <si>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</si>
  <si>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</si>
  <si>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</si>
  <si>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</si>
  <si>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Date</t>
  </si>
  <si>
    <t>Total</t>
  </si>
  <si>
    <t>Average</t>
  </si>
  <si>
    <t>Unit Sales</t>
  </si>
  <si>
    <t>Sales Percentage</t>
  </si>
  <si>
    <t>Units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</si>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</sst>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F800]dddd\,\ mmmm\ dd\,\ yyyy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6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8" fontId="0" fillId="0" borderId="0" xfId="0" applyNumberFormat="1"/>
    <xf numFmtId="0" fontId="2" fillId="0" borderId="1" xfId="0" applyFont="1" applyBorder="1"/>
    <xf numFmtId="3" fontId="0" fillId="0" borderId="1" xfId="0" applyNumberFormat="1" applyBorder="1"/>
    <xf numFmtId="6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baseColWidth="10" defaultColWidth="11.1640625" defaultRowHeight="16" x14ac:dyDescent="0.2"/>
  <cols>
    <col min="1" max="1" width="6.5" bestFit="1" customWidth="1"/>
    <col min="2" max="2" width="32.33203125" bestFit="1" customWidth="1"/>
    <col min="3" max="3" width="6.5" bestFit="1" customWidth="1"/>
    <col min="4" max="4" width="16.6640625" bestFit="1" customWidth="1"/>
    <col min="5" max="5" width="17.83203125" bestFit="1" customWidth="1"/>
    <col min="6" max="6" width="6.6640625" bestFit="1" customWidth="1"/>
    <col min="7" max="7" width="19.5" bestFit="1" customWidth="1"/>
    <col min="8" max="8" width="25.33203125" bestFit="1" customWidth="1"/>
  </cols>
  <sheetData>
    <row r="1" spans="1:8" ht="21" x14ac:dyDescent="0.25">
      <c r="A1" s="4">
        <v>2015</v>
      </c>
      <c r="B1" s="4" t="s">
        <v>0</v>
      </c>
      <c r="C1" s="4">
        <v>2014</v>
      </c>
      <c r="D1" s="4" t="s">
        <v>1</v>
      </c>
      <c r="E1" s="4" t="s">
        <v>2</v>
      </c>
      <c r="F1" s="4" t="s">
        <v>82</v>
      </c>
      <c r="G1" s="4" t="s">
        <v>83</v>
      </c>
      <c r="H1" s="4" t="s">
        <v>77</v>
      </c>
    </row>
    <row r="2" spans="1:8" x14ac:dyDescent="0.2">
      <c r="A2">
        <v>1</v>
      </c>
      <c r="B2" t="s">
        <v>3</v>
      </c>
      <c r="C2">
        <v>1</v>
      </c>
      <c r="D2" t="s">
        <v>4</v>
      </c>
      <c r="E2" t="s">
        <v>5</v>
      </c>
      <c r="F2" s="1">
        <v>15605</v>
      </c>
      <c r="G2" s="2">
        <v>13400000000</v>
      </c>
      <c r="H2" s="5">
        <v>42369</v>
      </c>
    </row>
    <row r="3" spans="1:8" x14ac:dyDescent="0.2">
      <c r="A3">
        <v>2</v>
      </c>
      <c r="B3" t="s">
        <v>6</v>
      </c>
      <c r="C3">
        <v>2</v>
      </c>
      <c r="D3" t="s">
        <v>7</v>
      </c>
      <c r="E3" t="s">
        <v>8</v>
      </c>
      <c r="F3" s="1">
        <v>11629</v>
      </c>
      <c r="G3" s="2">
        <v>8900000000</v>
      </c>
      <c r="H3" s="5">
        <v>42369</v>
      </c>
    </row>
    <row r="4" spans="1:8" x14ac:dyDescent="0.2">
      <c r="A4">
        <v>3</v>
      </c>
      <c r="B4" t="s">
        <v>9</v>
      </c>
      <c r="C4">
        <v>3</v>
      </c>
      <c r="D4" t="s">
        <v>10</v>
      </c>
      <c r="E4" t="s">
        <v>11</v>
      </c>
      <c r="F4" s="1">
        <v>4059</v>
      </c>
      <c r="G4" s="2">
        <v>3400000000</v>
      </c>
      <c r="H4" s="5">
        <v>42369</v>
      </c>
    </row>
    <row r="5" spans="1:8" x14ac:dyDescent="0.2">
      <c r="A5">
        <v>4</v>
      </c>
      <c r="B5" t="s">
        <v>12</v>
      </c>
      <c r="C5">
        <v>4</v>
      </c>
      <c r="D5" t="s">
        <v>13</v>
      </c>
      <c r="E5" t="s">
        <v>14</v>
      </c>
      <c r="F5">
        <v>4708</v>
      </c>
      <c r="G5" s="2">
        <v>3332000000</v>
      </c>
      <c r="H5" s="5">
        <v>42369</v>
      </c>
    </row>
    <row r="6" spans="1:8" x14ac:dyDescent="0.2">
      <c r="A6">
        <v>5</v>
      </c>
      <c r="B6" t="s">
        <v>15</v>
      </c>
      <c r="C6">
        <v>5</v>
      </c>
      <c r="D6" t="s">
        <v>16</v>
      </c>
      <c r="E6" t="s">
        <v>17</v>
      </c>
      <c r="F6">
        <v>1425</v>
      </c>
      <c r="G6" s="2">
        <v>785360000</v>
      </c>
      <c r="H6" s="5">
        <v>42369</v>
      </c>
    </row>
    <row r="7" spans="1:8" x14ac:dyDescent="0.2">
      <c r="A7">
        <v>6</v>
      </c>
      <c r="B7" t="s">
        <v>18</v>
      </c>
      <c r="C7">
        <v>6</v>
      </c>
      <c r="D7" t="s">
        <v>19</v>
      </c>
      <c r="E7" t="s">
        <v>20</v>
      </c>
      <c r="F7">
        <v>290</v>
      </c>
      <c r="G7" s="2">
        <v>745000000</v>
      </c>
      <c r="H7" s="5">
        <v>42369</v>
      </c>
    </row>
    <row r="8" spans="1:8" x14ac:dyDescent="0.2">
      <c r="A8">
        <v>7</v>
      </c>
      <c r="B8" t="s">
        <v>21</v>
      </c>
      <c r="C8">
        <v>7</v>
      </c>
      <c r="D8" t="s">
        <v>22</v>
      </c>
      <c r="E8" t="s">
        <v>23</v>
      </c>
      <c r="F8">
        <v>820</v>
      </c>
      <c r="G8" s="2">
        <v>602000000</v>
      </c>
      <c r="H8" s="5">
        <v>42369</v>
      </c>
    </row>
    <row r="9" spans="1:8" x14ac:dyDescent="0.2">
      <c r="A9">
        <v>8</v>
      </c>
      <c r="B9" t="s">
        <v>24</v>
      </c>
      <c r="C9">
        <v>8</v>
      </c>
      <c r="D9" t="s">
        <v>25</v>
      </c>
      <c r="E9" t="s">
        <v>26</v>
      </c>
      <c r="F9">
        <v>519</v>
      </c>
      <c r="G9" s="2">
        <v>475000000</v>
      </c>
      <c r="H9" s="5">
        <v>42369</v>
      </c>
    </row>
    <row r="10" spans="1:8" x14ac:dyDescent="0.2">
      <c r="A10">
        <v>9</v>
      </c>
      <c r="B10" t="s">
        <v>27</v>
      </c>
      <c r="C10">
        <v>9</v>
      </c>
      <c r="D10" t="s">
        <v>28</v>
      </c>
      <c r="E10" t="s">
        <v>29</v>
      </c>
      <c r="F10">
        <v>577</v>
      </c>
      <c r="G10" s="2">
        <v>405000000</v>
      </c>
      <c r="H10" s="5">
        <v>42369</v>
      </c>
    </row>
    <row r="11" spans="1:8" x14ac:dyDescent="0.2">
      <c r="A11">
        <v>10</v>
      </c>
      <c r="B11" t="s">
        <v>30</v>
      </c>
      <c r="C11">
        <v>12</v>
      </c>
      <c r="D11" t="s">
        <v>31</v>
      </c>
      <c r="E11" t="s">
        <v>32</v>
      </c>
      <c r="F11">
        <v>640</v>
      </c>
      <c r="G11" s="2">
        <v>380000000</v>
      </c>
      <c r="H11" s="5">
        <v>42369</v>
      </c>
    </row>
    <row r="12" spans="1:8" x14ac:dyDescent="0.2">
      <c r="A12">
        <v>11</v>
      </c>
      <c r="B12" t="s">
        <v>33</v>
      </c>
      <c r="C12">
        <v>10</v>
      </c>
      <c r="D12" t="s">
        <v>34</v>
      </c>
      <c r="E12" t="s">
        <v>35</v>
      </c>
      <c r="F12">
        <v>439</v>
      </c>
      <c r="G12" s="2">
        <v>378000000</v>
      </c>
      <c r="H12" s="5">
        <v>42369</v>
      </c>
    </row>
    <row r="13" spans="1:8" x14ac:dyDescent="0.2">
      <c r="A13">
        <v>12</v>
      </c>
      <c r="B13" t="s">
        <v>36</v>
      </c>
      <c r="C13">
        <v>14</v>
      </c>
      <c r="D13" t="s">
        <v>37</v>
      </c>
      <c r="E13" t="s">
        <v>38</v>
      </c>
      <c r="F13">
        <v>375</v>
      </c>
      <c r="G13" s="2">
        <v>350000000</v>
      </c>
      <c r="H13" s="5">
        <v>42369</v>
      </c>
    </row>
    <row r="14" spans="1:8" x14ac:dyDescent="0.2">
      <c r="A14">
        <v>13</v>
      </c>
      <c r="B14" t="s">
        <v>39</v>
      </c>
      <c r="C14">
        <v>13</v>
      </c>
      <c r="D14" t="s">
        <v>40</v>
      </c>
      <c r="E14" t="s">
        <v>41</v>
      </c>
      <c r="F14">
        <v>551</v>
      </c>
      <c r="G14" s="2">
        <v>337069011</v>
      </c>
      <c r="H14" s="5">
        <v>42369</v>
      </c>
    </row>
    <row r="15" spans="1:8" x14ac:dyDescent="0.2">
      <c r="A15">
        <v>14</v>
      </c>
      <c r="B15" t="s">
        <v>42</v>
      </c>
      <c r="C15">
        <v>11</v>
      </c>
      <c r="D15" t="s">
        <v>43</v>
      </c>
      <c r="E15" t="s">
        <v>44</v>
      </c>
      <c r="F15">
        <v>620</v>
      </c>
      <c r="G15" s="2">
        <v>325600000</v>
      </c>
      <c r="H15" s="5">
        <v>42369</v>
      </c>
    </row>
    <row r="16" spans="1:8" x14ac:dyDescent="0.2">
      <c r="A16">
        <v>15</v>
      </c>
      <c r="B16" t="s">
        <v>45</v>
      </c>
      <c r="C16">
        <v>15</v>
      </c>
      <c r="D16" t="s">
        <v>46</v>
      </c>
      <c r="E16" t="s">
        <v>47</v>
      </c>
      <c r="F16">
        <v>96</v>
      </c>
      <c r="G16" s="2">
        <v>320000000</v>
      </c>
      <c r="H16" s="5">
        <v>42369</v>
      </c>
    </row>
    <row r="17" spans="1:8" x14ac:dyDescent="0.2">
      <c r="A17">
        <v>16</v>
      </c>
      <c r="B17" t="s">
        <v>48</v>
      </c>
      <c r="C17">
        <v>17</v>
      </c>
      <c r="D17" t="s">
        <v>49</v>
      </c>
      <c r="E17" t="s">
        <v>50</v>
      </c>
      <c r="F17">
        <v>190</v>
      </c>
      <c r="G17" s="2">
        <v>222274500</v>
      </c>
      <c r="H17" s="5">
        <v>42369</v>
      </c>
    </row>
    <row r="18" spans="1:8" x14ac:dyDescent="0.2">
      <c r="A18">
        <v>17</v>
      </c>
      <c r="B18" t="s">
        <v>51</v>
      </c>
      <c r="C18">
        <v>16</v>
      </c>
      <c r="D18" t="s">
        <v>52</v>
      </c>
      <c r="E18" t="s">
        <v>53</v>
      </c>
      <c r="F18">
        <v>149</v>
      </c>
      <c r="G18" s="2">
        <v>210500000</v>
      </c>
      <c r="H18" s="5">
        <v>42369</v>
      </c>
    </row>
    <row r="19" spans="1:8" x14ac:dyDescent="0.2">
      <c r="A19">
        <v>18</v>
      </c>
      <c r="B19" t="s">
        <v>54</v>
      </c>
      <c r="C19">
        <v>18</v>
      </c>
      <c r="D19" t="s">
        <v>55</v>
      </c>
      <c r="E19" t="s">
        <v>56</v>
      </c>
      <c r="F19">
        <v>142</v>
      </c>
      <c r="G19" s="2">
        <v>198000000</v>
      </c>
      <c r="H19" s="5">
        <v>42369</v>
      </c>
    </row>
    <row r="20" spans="1:8" x14ac:dyDescent="0.2">
      <c r="A20">
        <v>19</v>
      </c>
      <c r="B20" t="s">
        <v>57</v>
      </c>
      <c r="C20">
        <v>20</v>
      </c>
      <c r="D20" t="s">
        <v>58</v>
      </c>
      <c r="E20" t="s">
        <v>59</v>
      </c>
      <c r="F20">
        <v>175</v>
      </c>
      <c r="G20" s="2">
        <v>191000000</v>
      </c>
      <c r="H20" s="5">
        <v>42369</v>
      </c>
    </row>
    <row r="21" spans="1:8" x14ac:dyDescent="0.2">
      <c r="A21">
        <v>20</v>
      </c>
      <c r="B21" t="s">
        <v>60</v>
      </c>
      <c r="C21">
        <v>19</v>
      </c>
      <c r="D21" t="s">
        <v>61</v>
      </c>
      <c r="E21" t="s">
        <v>62</v>
      </c>
      <c r="F21">
        <v>88</v>
      </c>
      <c r="G21" s="2">
        <v>188000000</v>
      </c>
      <c r="H21" s="5">
        <v>42369</v>
      </c>
    </row>
    <row r="22" spans="1:8" x14ac:dyDescent="0.2">
      <c r="A22">
        <v>21</v>
      </c>
      <c r="B22" t="s">
        <v>63</v>
      </c>
      <c r="C22">
        <v>21</v>
      </c>
      <c r="D22" t="s">
        <v>64</v>
      </c>
      <c r="E22" t="s">
        <v>65</v>
      </c>
      <c r="F22">
        <v>126</v>
      </c>
      <c r="G22" s="2">
        <v>188000000</v>
      </c>
      <c r="H22" s="5">
        <v>42369</v>
      </c>
    </row>
    <row r="23" spans="1:8" x14ac:dyDescent="0.2">
      <c r="A23">
        <v>22</v>
      </c>
      <c r="B23" t="s">
        <v>66</v>
      </c>
      <c r="C23">
        <v>22</v>
      </c>
      <c r="D23" t="s">
        <v>67</v>
      </c>
      <c r="E23" t="s">
        <v>23</v>
      </c>
      <c r="F23">
        <v>153</v>
      </c>
      <c r="G23" s="2">
        <v>175000000</v>
      </c>
      <c r="H23" s="5">
        <v>42369</v>
      </c>
    </row>
    <row r="24" spans="1:8" x14ac:dyDescent="0.2">
      <c r="A24">
        <v>23</v>
      </c>
      <c r="B24" t="s">
        <v>68</v>
      </c>
      <c r="C24">
        <v>23</v>
      </c>
      <c r="D24" t="s">
        <v>69</v>
      </c>
      <c r="E24" t="s">
        <v>70</v>
      </c>
      <c r="F24">
        <v>110</v>
      </c>
      <c r="G24" s="2">
        <v>145000000</v>
      </c>
      <c r="H24" s="5">
        <v>42369</v>
      </c>
    </row>
    <row r="25" spans="1:8" x14ac:dyDescent="0.2">
      <c r="A25">
        <v>24</v>
      </c>
      <c r="B25" t="s">
        <v>71</v>
      </c>
      <c r="C25">
        <v>24</v>
      </c>
      <c r="D25" t="s">
        <v>72</v>
      </c>
      <c r="E25" t="s">
        <v>73</v>
      </c>
      <c r="F25">
        <v>66</v>
      </c>
      <c r="G25" s="2">
        <v>143599000</v>
      </c>
      <c r="H25" s="5">
        <v>42369</v>
      </c>
    </row>
    <row r="26" spans="1:8" x14ac:dyDescent="0.2">
      <c r="A26">
        <v>25</v>
      </c>
      <c r="B26" t="s">
        <v>74</v>
      </c>
      <c r="C26">
        <v>25</v>
      </c>
      <c r="D26" t="s">
        <v>75</v>
      </c>
      <c r="E26" t="s">
        <v>76</v>
      </c>
      <c r="F26">
        <v>250</v>
      </c>
      <c r="G26" s="2">
        <v>131250000</v>
      </c>
      <c r="H26" s="5">
        <v>42369</v>
      </c>
    </row>
    <row r="27" spans="1:8" x14ac:dyDescent="0.2">
      <c r="F27" s="1"/>
      <c r="G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baseColWidth="10" defaultColWidth="11.1640625" defaultRowHeight="16" x14ac:dyDescent="0.2"/>
  <cols>
    <col min="1" max="1" width="32.33203125" bestFit="1" customWidth="1"/>
    <col min="2" max="2" width="8.1640625" bestFit="1" customWidth="1"/>
    <col min="3" max="3" width="19.5" bestFit="1" customWidth="1"/>
    <col min="4" max="4" width="23.1640625" bestFit="1" customWidth="1"/>
    <col min="5" max="5" width="26.1640625" bestFit="1" customWidth="1"/>
  </cols>
  <sheetData>
    <row r="1" spans="1:5" ht="21" x14ac:dyDescent="0.25">
      <c r="A1" s="4" t="s">
        <v>0</v>
      </c>
      <c r="B1" s="4" t="s">
        <v>82</v>
      </c>
      <c r="C1" s="4" t="s">
        <v>83</v>
      </c>
      <c r="D1" s="4" t="s">
        <v>80</v>
      </c>
      <c r="E1" s="4" t="s">
        <v>81</v>
      </c>
    </row>
    <row r="2" spans="1:5" x14ac:dyDescent="0.2">
      <c r="A2" t="s">
        <v>3</v>
      </c>
      <c r="B2" s="1">
        <v>15605</v>
      </c>
      <c r="C2" s="2">
        <v>13400000000</v>
      </c>
      <c r="D2" s="6">
        <f>C2/B2</f>
        <v>858699.13489266264</v>
      </c>
      <c r="E2" s="10">
        <f>C2/$C$27</f>
        <v>0.37297176585353886</v>
      </c>
    </row>
    <row r="3" spans="1:5" x14ac:dyDescent="0.2">
      <c r="A3" t="s">
        <v>6</v>
      </c>
      <c r="B3" s="1">
        <v>11629</v>
      </c>
      <c r="C3" s="2">
        <v>8900000000</v>
      </c>
      <c r="D3" s="6">
        <f t="shared" ref="D3:D26" si="0">C3/B3</f>
        <v>765328.05916243873</v>
      </c>
      <c r="E3" s="10">
        <f t="shared" ref="E3:E26" si="1">C3/$C$27</f>
        <v>0.247720053440037</v>
      </c>
    </row>
    <row r="4" spans="1:5" x14ac:dyDescent="0.2">
      <c r="A4" t="s">
        <v>9</v>
      </c>
      <c r="B4" s="1">
        <v>4059</v>
      </c>
      <c r="C4" s="2">
        <v>3400000000</v>
      </c>
      <c r="D4" s="6">
        <f t="shared" si="0"/>
        <v>837644.74008376442</v>
      </c>
      <c r="E4" s="10">
        <f t="shared" si="1"/>
        <v>9.4634627156868073E-2</v>
      </c>
    </row>
    <row r="5" spans="1:5" x14ac:dyDescent="0.2">
      <c r="A5" t="s">
        <v>12</v>
      </c>
      <c r="B5">
        <v>4708</v>
      </c>
      <c r="C5" s="2">
        <v>3332000000</v>
      </c>
      <c r="D5" s="6">
        <f t="shared" si="0"/>
        <v>707731.520815633</v>
      </c>
      <c r="E5" s="10">
        <f t="shared" si="1"/>
        <v>9.2741934613730717E-2</v>
      </c>
    </row>
    <row r="6" spans="1:5" x14ac:dyDescent="0.2">
      <c r="A6" t="s">
        <v>15</v>
      </c>
      <c r="B6">
        <v>1425</v>
      </c>
      <c r="C6" s="2">
        <v>785360000</v>
      </c>
      <c r="D6" s="6">
        <f t="shared" si="0"/>
        <v>551129.82456140348</v>
      </c>
      <c r="E6" s="10">
        <f t="shared" si="1"/>
        <v>2.1859485524681737E-2</v>
      </c>
    </row>
    <row r="7" spans="1:5" x14ac:dyDescent="0.2">
      <c r="A7" t="s">
        <v>18</v>
      </c>
      <c r="B7">
        <v>290</v>
      </c>
      <c r="C7" s="2">
        <v>745000000</v>
      </c>
      <c r="D7" s="6">
        <f t="shared" si="0"/>
        <v>2568965.5172413792</v>
      </c>
      <c r="E7" s="10">
        <f t="shared" si="1"/>
        <v>2.0736116832901975E-2</v>
      </c>
    </row>
    <row r="8" spans="1:5" x14ac:dyDescent="0.2">
      <c r="A8" t="s">
        <v>21</v>
      </c>
      <c r="B8">
        <v>820</v>
      </c>
      <c r="C8" s="2">
        <v>602000000</v>
      </c>
      <c r="D8" s="6">
        <f t="shared" si="0"/>
        <v>734146.3414634146</v>
      </c>
      <c r="E8" s="10">
        <f t="shared" si="1"/>
        <v>1.6755895749539583E-2</v>
      </c>
    </row>
    <row r="9" spans="1:5" x14ac:dyDescent="0.2">
      <c r="A9" t="s">
        <v>24</v>
      </c>
      <c r="B9">
        <v>519</v>
      </c>
      <c r="C9" s="2">
        <v>475000000</v>
      </c>
      <c r="D9" s="6">
        <f t="shared" si="0"/>
        <v>915221.57996146439</v>
      </c>
      <c r="E9" s="10">
        <f t="shared" si="1"/>
        <v>1.3221014088091863E-2</v>
      </c>
    </row>
    <row r="10" spans="1:5" x14ac:dyDescent="0.2">
      <c r="A10" t="s">
        <v>27</v>
      </c>
      <c r="B10">
        <v>577</v>
      </c>
      <c r="C10" s="2">
        <v>405000000</v>
      </c>
      <c r="D10" s="6">
        <f t="shared" si="0"/>
        <v>701906.41247833625</v>
      </c>
      <c r="E10" s="10">
        <f t="shared" si="1"/>
        <v>1.1272654117215168E-2</v>
      </c>
    </row>
    <row r="11" spans="1:5" x14ac:dyDescent="0.2">
      <c r="A11" t="s">
        <v>30</v>
      </c>
      <c r="B11">
        <v>640</v>
      </c>
      <c r="C11" s="2">
        <v>380000000</v>
      </c>
      <c r="D11" s="6">
        <f t="shared" si="0"/>
        <v>593750</v>
      </c>
      <c r="E11" s="10">
        <f t="shared" si="1"/>
        <v>1.0576811270473491E-2</v>
      </c>
    </row>
    <row r="12" spans="1:5" x14ac:dyDescent="0.2">
      <c r="A12" t="s">
        <v>33</v>
      </c>
      <c r="B12">
        <v>439</v>
      </c>
      <c r="C12" s="2">
        <v>378000000</v>
      </c>
      <c r="D12" s="6">
        <f t="shared" si="0"/>
        <v>861047.83599088842</v>
      </c>
      <c r="E12" s="10">
        <f t="shared" si="1"/>
        <v>1.0521143842734157E-2</v>
      </c>
    </row>
    <row r="13" spans="1:5" x14ac:dyDescent="0.2">
      <c r="A13" t="s">
        <v>36</v>
      </c>
      <c r="B13">
        <v>375</v>
      </c>
      <c r="C13" s="2">
        <v>350000000</v>
      </c>
      <c r="D13" s="6">
        <f t="shared" si="0"/>
        <v>933333.33333333337</v>
      </c>
      <c r="E13" s="10">
        <f t="shared" si="1"/>
        <v>9.7417998543834778E-3</v>
      </c>
    </row>
    <row r="14" spans="1:5" x14ac:dyDescent="0.2">
      <c r="A14" t="s">
        <v>39</v>
      </c>
      <c r="B14">
        <v>551</v>
      </c>
      <c r="C14" s="2">
        <v>337069011</v>
      </c>
      <c r="D14" s="6">
        <f t="shared" si="0"/>
        <v>611740.49183303083</v>
      </c>
      <c r="E14" s="10">
        <f t="shared" si="1"/>
        <v>9.3818824065056653E-3</v>
      </c>
    </row>
    <row r="15" spans="1:5" x14ac:dyDescent="0.2">
      <c r="A15" t="s">
        <v>42</v>
      </c>
      <c r="B15">
        <v>620</v>
      </c>
      <c r="C15" s="2">
        <v>325600000</v>
      </c>
      <c r="D15" s="6">
        <f t="shared" si="0"/>
        <v>525161.29032258061</v>
      </c>
      <c r="E15" s="10">
        <f t="shared" si="1"/>
        <v>9.0626572359636011E-3</v>
      </c>
    </row>
    <row r="16" spans="1:5" x14ac:dyDescent="0.2">
      <c r="A16" t="s">
        <v>45</v>
      </c>
      <c r="B16">
        <v>96</v>
      </c>
      <c r="C16" s="2">
        <v>320000000</v>
      </c>
      <c r="D16" s="6">
        <f t="shared" si="0"/>
        <v>3333333.3333333335</v>
      </c>
      <c r="E16" s="10">
        <f t="shared" si="1"/>
        <v>8.9067884382934663E-3</v>
      </c>
    </row>
    <row r="17" spans="1:5" x14ac:dyDescent="0.2">
      <c r="A17" t="s">
        <v>48</v>
      </c>
      <c r="B17">
        <v>190</v>
      </c>
      <c r="C17" s="2">
        <v>222274500</v>
      </c>
      <c r="D17" s="6">
        <f t="shared" si="0"/>
        <v>1169865.7894736843</v>
      </c>
      <c r="E17" s="10">
        <f t="shared" si="1"/>
        <v>6.1867248335233157E-3</v>
      </c>
    </row>
    <row r="18" spans="1:5" x14ac:dyDescent="0.2">
      <c r="A18" t="s">
        <v>51</v>
      </c>
      <c r="B18">
        <v>149</v>
      </c>
      <c r="C18" s="2">
        <v>210500000</v>
      </c>
      <c r="D18" s="6">
        <f t="shared" si="0"/>
        <v>1412751.6778523489</v>
      </c>
      <c r="E18" s="10">
        <f t="shared" si="1"/>
        <v>5.8589967695649205E-3</v>
      </c>
    </row>
    <row r="19" spans="1:5" x14ac:dyDescent="0.2">
      <c r="A19" t="s">
        <v>54</v>
      </c>
      <c r="B19">
        <v>142</v>
      </c>
      <c r="C19" s="2">
        <v>198000000</v>
      </c>
      <c r="D19" s="6">
        <f t="shared" si="0"/>
        <v>1394366.1971830986</v>
      </c>
      <c r="E19" s="10">
        <f t="shared" si="1"/>
        <v>5.5110753461940819E-3</v>
      </c>
    </row>
    <row r="20" spans="1:5" x14ac:dyDescent="0.2">
      <c r="A20" t="s">
        <v>57</v>
      </c>
      <c r="B20">
        <v>175</v>
      </c>
      <c r="C20" s="2">
        <v>191000000</v>
      </c>
      <c r="D20" s="6">
        <f t="shared" si="0"/>
        <v>1091428.5714285714</v>
      </c>
      <c r="E20" s="10">
        <f t="shared" si="1"/>
        <v>5.3162393491064126E-3</v>
      </c>
    </row>
    <row r="21" spans="1:5" x14ac:dyDescent="0.2">
      <c r="A21" t="s">
        <v>60</v>
      </c>
      <c r="B21">
        <v>88</v>
      </c>
      <c r="C21" s="2">
        <v>188000000</v>
      </c>
      <c r="D21" s="6">
        <f t="shared" si="0"/>
        <v>2136363.6363636362</v>
      </c>
      <c r="E21" s="10">
        <f t="shared" si="1"/>
        <v>5.2327382074974114E-3</v>
      </c>
    </row>
    <row r="22" spans="1:5" x14ac:dyDescent="0.2">
      <c r="A22" t="s">
        <v>63</v>
      </c>
      <c r="B22">
        <v>126</v>
      </c>
      <c r="C22" s="2">
        <v>188000000</v>
      </c>
      <c r="D22" s="6">
        <f t="shared" si="0"/>
        <v>1492063.4920634921</v>
      </c>
      <c r="E22" s="10">
        <f t="shared" si="1"/>
        <v>5.2327382074974114E-3</v>
      </c>
    </row>
    <row r="23" spans="1:5" x14ac:dyDescent="0.2">
      <c r="A23" t="s">
        <v>66</v>
      </c>
      <c r="B23">
        <v>153</v>
      </c>
      <c r="C23" s="2">
        <v>175000000</v>
      </c>
      <c r="D23" s="6">
        <f t="shared" si="0"/>
        <v>1143790.8496732027</v>
      </c>
      <c r="E23" s="10">
        <f t="shared" si="1"/>
        <v>4.8708999271917389E-3</v>
      </c>
    </row>
    <row r="24" spans="1:5" x14ac:dyDescent="0.2">
      <c r="A24" t="s">
        <v>68</v>
      </c>
      <c r="B24">
        <v>110</v>
      </c>
      <c r="C24" s="2">
        <v>145000000</v>
      </c>
      <c r="D24" s="6">
        <f t="shared" si="0"/>
        <v>1318181.8181818181</v>
      </c>
      <c r="E24" s="10">
        <f t="shared" si="1"/>
        <v>4.0358885111017265E-3</v>
      </c>
    </row>
    <row r="25" spans="1:5" x14ac:dyDescent="0.2">
      <c r="A25" t="s">
        <v>71</v>
      </c>
      <c r="B25">
        <v>66</v>
      </c>
      <c r="C25" s="2">
        <v>143599000</v>
      </c>
      <c r="D25" s="6">
        <f t="shared" si="0"/>
        <v>2175742.4242424243</v>
      </c>
      <c r="E25" s="10">
        <f t="shared" si="1"/>
        <v>3.9968934779703227E-3</v>
      </c>
    </row>
    <row r="26" spans="1:5" x14ac:dyDescent="0.2">
      <c r="A26" t="s">
        <v>74</v>
      </c>
      <c r="B26">
        <v>250</v>
      </c>
      <c r="C26" s="2">
        <v>131250000</v>
      </c>
      <c r="D26" s="6">
        <f t="shared" si="0"/>
        <v>525000</v>
      </c>
      <c r="E26" s="10">
        <f t="shared" si="1"/>
        <v>3.6531749453938044E-3</v>
      </c>
    </row>
    <row r="27" spans="1:5" x14ac:dyDescent="0.2">
      <c r="A27" s="7" t="s">
        <v>78</v>
      </c>
      <c r="B27" s="8">
        <f>SUM(B2:B26)</f>
        <v>43802</v>
      </c>
      <c r="C27" s="9">
        <f>SUM(C2:C26)</f>
        <v>35927652511</v>
      </c>
    </row>
    <row r="28" spans="1:5" x14ac:dyDescent="0.2">
      <c r="A28" s="3" t="s">
        <v>79</v>
      </c>
      <c r="B28" s="1">
        <f>AVERAGE(B2:B26)</f>
        <v>1752.08</v>
      </c>
      <c r="C28" s="1">
        <f>AVERAGE(C2:C26)</f>
        <v>1437106100.4400001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2017-12-27T17:46:58Z</dcterms:created>
  <dcterms:modified xsi:type="dcterms:W3CDTF">2019-10-19T17:34:57Z</dcterms:modified>
</cp:coreProperties>
</file>