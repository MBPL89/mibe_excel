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9005"/>
  <workbookPr/>
  <mc:AlternateContent xmlns:mc="http://schemas.openxmlformats.org/markup-compatibility/2006">
    <mc:Choice Requires="x15">
      <x15ac:absPath xmlns:x15ac="http://schemas.microsoft.com/office/spreadsheetml/2010/11/ac" url="/Users/Biagio/Desktop/isds1001website/views/media/datafiles/excel/excel32018/"/>
    </mc:Choice>
  </mc:AlternateContent>
  <bookViews>
    <workbookView xWindow="0" yWindow="460" windowWidth="28800" windowHeight="16420" tabRatio="500"/>
  </bookViews>
  <sheets>
    <sheet name="Advanced Calculations" sheetId="5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5" i="5" l="1"/>
  <c r="G4" i="5"/>
  <c r="G3" i="5"/>
  <c r="G2" i="5"/>
  <c r="C24" i="5"/>
  <c r="D24" i="5"/>
  <c r="D23" i="5"/>
  <c r="D25" i="5"/>
  <c r="D26" i="5"/>
  <c r="C26" i="5"/>
  <c r="C25" i="5"/>
  <c r="C23" i="5"/>
</calcChain>
</file>

<file path=xl/sharedStrings.xml><?xml version="1.0" encoding="utf-8"?>
<sst xmlns="http://schemas.openxmlformats.org/spreadsheetml/2006/main" count="55" uniqueCount="33">
  <si>
    <t>Pizza Hut</t>
  </si>
  <si>
    <t>Domino's</t>
  </si>
  <si>
    <t>Little Caesars</t>
  </si>
  <si>
    <t>Papa John's</t>
  </si>
  <si>
    <t>Papa Murphy's Pizza</t>
  </si>
  <si>
    <t>Cicis Pizza</t>
  </si>
  <si>
    <t>Round Table Pizza</t>
  </si>
  <si>
    <t>Marco's Pizza</t>
  </si>
  <si>
    <t>2016 Rank</t>
  </si>
  <si>
    <t>Chain Name</t>
  </si>
  <si>
    <t>2015 U.S. Sales ($000)</t>
  </si>
  <si>
    <t>2015 U.S. Units</t>
  </si>
  <si>
    <t>Chuck E. Cheese's</t>
  </si>
  <si>
    <t>Hungry Howie's Pizza</t>
  </si>
  <si>
    <t>Jet's Pizza</t>
  </si>
  <si>
    <t>Godfather's Pizza</t>
  </si>
  <si>
    <t>Sbarro</t>
  </si>
  <si>
    <t>Pizza Ranch</t>
  </si>
  <si>
    <t>Peter Piper Pizza</t>
  </si>
  <si>
    <t>Donatos Pizza</t>
  </si>
  <si>
    <t>Villa Fresh Italian Kitchen</t>
  </si>
  <si>
    <t>Papa Gino's Pizzeria</t>
  </si>
  <si>
    <t>Mazzio's Italian Eatery</t>
  </si>
  <si>
    <t>Fox's Pizza Den</t>
  </si>
  <si>
    <t>Mountain Mike's Pizza</t>
  </si>
  <si>
    <t>Total</t>
  </si>
  <si>
    <t>Average</t>
  </si>
  <si>
    <t>Min</t>
  </si>
  <si>
    <t>Max</t>
  </si>
  <si>
    <t>Pizza chain with lowest number of units</t>
  </si>
  <si>
    <t>Pizza chain with highest number of units</t>
  </si>
  <si>
    <t>Pizza chain with lowest revenue in 2015</t>
  </si>
  <si>
    <t>Pizza chain with highest revenue in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</si>
</sst>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0" xfId="0" applyFont="1"/>
    <xf numFmtId="4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1"/>
  <sheetViews>
    <sheetView tabSelected="1" workbookViewId="0">
      <selection activeCell="G5" sqref="G5"/>
    </sheetView>
  </sheetViews>
  <sheetFormatPr baseColWidth="10" defaultRowHeight="16" x14ac:dyDescent="0.2"/>
  <cols>
    <col min="1" max="1" width="12.6640625" bestFit="1" customWidth="1"/>
    <col min="2" max="2" width="34" bestFit="1" customWidth="1"/>
    <col min="3" max="3" width="25.5" bestFit="1" customWidth="1"/>
    <col min="4" max="4" width="18" bestFit="1" customWidth="1"/>
    <col min="5" max="5" width="21.5" bestFit="1" customWidth="1"/>
    <col min="6" max="6" width="34" bestFit="1" customWidth="1"/>
    <col min="7" max="7" width="19.33203125" bestFit="1" customWidth="1"/>
  </cols>
  <sheetData>
    <row r="1" spans="1:7" ht="21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9</v>
      </c>
    </row>
    <row r="2" spans="1:7" x14ac:dyDescent="0.2">
      <c r="A2">
        <v>9</v>
      </c>
      <c r="B2" t="s">
        <v>0</v>
      </c>
      <c r="C2" s="3">
        <v>5510000</v>
      </c>
      <c r="D2" s="1">
        <v>7799</v>
      </c>
      <c r="E2" t="s">
        <v>0</v>
      </c>
      <c r="F2" t="s">
        <v>29</v>
      </c>
      <c r="G2" t="str">
        <f>VLOOKUP(D25,$D$2:$E$22,2,FALSE)</f>
        <v>Peter Piper Pizza</v>
      </c>
    </row>
    <row r="3" spans="1:7" x14ac:dyDescent="0.2">
      <c r="A3">
        <v>12</v>
      </c>
      <c r="B3" t="s">
        <v>1</v>
      </c>
      <c r="C3" s="3">
        <v>4708587</v>
      </c>
      <c r="D3" s="1">
        <v>5200</v>
      </c>
      <c r="E3" t="s">
        <v>1</v>
      </c>
      <c r="F3" t="s">
        <v>30</v>
      </c>
      <c r="G3" t="str">
        <f>VLOOKUP(D26,$D$2:$E$22,2,FALSE)</f>
        <v>Pizza Hut</v>
      </c>
    </row>
    <row r="4" spans="1:7" x14ac:dyDescent="0.2">
      <c r="A4">
        <v>19</v>
      </c>
      <c r="B4" t="s">
        <v>2</v>
      </c>
      <c r="C4" s="3">
        <v>3500000</v>
      </c>
      <c r="D4" s="1">
        <v>4250</v>
      </c>
      <c r="E4" t="s">
        <v>2</v>
      </c>
      <c r="F4" t="s">
        <v>31</v>
      </c>
      <c r="G4" t="str">
        <f>VLOOKUP(C25,$C$2:$E$22,3,FALSE)</f>
        <v>Mountain Mike's Pizza</v>
      </c>
    </row>
    <row r="5" spans="1:7" x14ac:dyDescent="0.2">
      <c r="A5">
        <v>24</v>
      </c>
      <c r="B5" t="s">
        <v>3</v>
      </c>
      <c r="C5" s="3">
        <v>2816017</v>
      </c>
      <c r="D5" s="1">
        <v>3290</v>
      </c>
      <c r="E5" t="s">
        <v>3</v>
      </c>
      <c r="F5" t="s">
        <v>32</v>
      </c>
      <c r="G5" t="str">
        <f>VLOOKUP(C26,$C$2:$E$22,3,FALSE)</f>
        <v>Pizza Hut</v>
      </c>
    </row>
    <row r="6" spans="1:7" x14ac:dyDescent="0.2">
      <c r="A6">
        <v>51</v>
      </c>
      <c r="B6" t="s">
        <v>4</v>
      </c>
      <c r="C6" s="3">
        <v>880429</v>
      </c>
      <c r="D6" s="1">
        <v>1496</v>
      </c>
      <c r="E6" t="s">
        <v>4</v>
      </c>
    </row>
    <row r="7" spans="1:7" x14ac:dyDescent="0.2">
      <c r="A7">
        <v>89</v>
      </c>
      <c r="B7" t="s">
        <v>5</v>
      </c>
      <c r="C7" s="3">
        <v>430000</v>
      </c>
      <c r="D7">
        <v>445</v>
      </c>
      <c r="E7" t="s">
        <v>5</v>
      </c>
    </row>
    <row r="8" spans="1:7" x14ac:dyDescent="0.2">
      <c r="A8">
        <v>90</v>
      </c>
      <c r="B8" t="s">
        <v>6</v>
      </c>
      <c r="C8" s="3">
        <v>424107</v>
      </c>
      <c r="D8">
        <v>437</v>
      </c>
      <c r="E8" t="s">
        <v>6</v>
      </c>
    </row>
    <row r="9" spans="1:7" x14ac:dyDescent="0.2">
      <c r="A9">
        <v>92</v>
      </c>
      <c r="B9" t="s">
        <v>7</v>
      </c>
      <c r="C9" s="3">
        <v>417632</v>
      </c>
      <c r="D9">
        <v>667</v>
      </c>
      <c r="E9" t="s">
        <v>7</v>
      </c>
    </row>
    <row r="10" spans="1:7" x14ac:dyDescent="0.2">
      <c r="A10">
        <v>101</v>
      </c>
      <c r="B10" t="s">
        <v>12</v>
      </c>
      <c r="C10" s="3">
        <v>364294</v>
      </c>
      <c r="D10">
        <v>553</v>
      </c>
      <c r="E10" t="s">
        <v>12</v>
      </c>
    </row>
    <row r="11" spans="1:7" x14ac:dyDescent="0.2">
      <c r="A11">
        <v>107</v>
      </c>
      <c r="B11" t="s">
        <v>13</v>
      </c>
      <c r="C11" s="3">
        <v>342478</v>
      </c>
      <c r="D11">
        <v>548</v>
      </c>
      <c r="E11" t="s">
        <v>13</v>
      </c>
    </row>
    <row r="12" spans="1:7" x14ac:dyDescent="0.2">
      <c r="A12">
        <v>108</v>
      </c>
      <c r="B12" t="s">
        <v>14</v>
      </c>
      <c r="C12" s="3">
        <v>339500</v>
      </c>
      <c r="D12">
        <v>384</v>
      </c>
      <c r="E12" t="s">
        <v>14</v>
      </c>
    </row>
    <row r="13" spans="1:7" x14ac:dyDescent="0.2">
      <c r="A13">
        <v>122</v>
      </c>
      <c r="B13" t="s">
        <v>15</v>
      </c>
      <c r="C13" s="3">
        <v>299200</v>
      </c>
      <c r="D13">
        <v>550</v>
      </c>
      <c r="E13" t="s">
        <v>15</v>
      </c>
    </row>
    <row r="14" spans="1:7" x14ac:dyDescent="0.2">
      <c r="A14">
        <v>140</v>
      </c>
      <c r="B14" t="s">
        <v>16</v>
      </c>
      <c r="C14" s="3">
        <v>250900</v>
      </c>
      <c r="D14">
        <v>550</v>
      </c>
      <c r="E14" t="s">
        <v>16</v>
      </c>
    </row>
    <row r="15" spans="1:7" x14ac:dyDescent="0.2">
      <c r="A15">
        <v>156</v>
      </c>
      <c r="B15" t="s">
        <v>17</v>
      </c>
      <c r="C15" s="3">
        <v>228618</v>
      </c>
      <c r="D15">
        <v>192</v>
      </c>
      <c r="E15" t="s">
        <v>17</v>
      </c>
    </row>
    <row r="16" spans="1:7" x14ac:dyDescent="0.2">
      <c r="A16">
        <v>179</v>
      </c>
      <c r="B16" t="s">
        <v>18</v>
      </c>
      <c r="C16" s="3">
        <v>190500</v>
      </c>
      <c r="D16">
        <v>94</v>
      </c>
      <c r="E16" t="s">
        <v>18</v>
      </c>
    </row>
    <row r="17" spans="1:5" x14ac:dyDescent="0.2">
      <c r="A17">
        <v>183</v>
      </c>
      <c r="B17" t="s">
        <v>19</v>
      </c>
      <c r="C17" s="3">
        <v>183600</v>
      </c>
      <c r="D17">
        <v>153</v>
      </c>
      <c r="E17" t="s">
        <v>19</v>
      </c>
    </row>
    <row r="18" spans="1:5" x14ac:dyDescent="0.2">
      <c r="A18">
        <v>211</v>
      </c>
      <c r="B18" t="s">
        <v>20</v>
      </c>
      <c r="C18" s="3">
        <v>148612</v>
      </c>
      <c r="D18">
        <v>245</v>
      </c>
      <c r="E18" t="s">
        <v>20</v>
      </c>
    </row>
    <row r="19" spans="1:5" x14ac:dyDescent="0.2">
      <c r="A19">
        <v>217</v>
      </c>
      <c r="B19" t="s">
        <v>21</v>
      </c>
      <c r="C19" s="3">
        <v>144680</v>
      </c>
      <c r="D19">
        <v>163</v>
      </c>
      <c r="E19" t="s">
        <v>21</v>
      </c>
    </row>
    <row r="20" spans="1:5" x14ac:dyDescent="0.2">
      <c r="A20">
        <v>237</v>
      </c>
      <c r="B20" t="s">
        <v>22</v>
      </c>
      <c r="C20" s="3">
        <v>124600</v>
      </c>
      <c r="D20">
        <v>133</v>
      </c>
      <c r="E20" t="s">
        <v>22</v>
      </c>
    </row>
    <row r="21" spans="1:5" x14ac:dyDescent="0.2">
      <c r="A21">
        <v>238</v>
      </c>
      <c r="B21" t="s">
        <v>23</v>
      </c>
      <c r="C21" s="3">
        <v>124200</v>
      </c>
      <c r="D21">
        <v>242</v>
      </c>
      <c r="E21" t="s">
        <v>23</v>
      </c>
    </row>
    <row r="22" spans="1:5" x14ac:dyDescent="0.2">
      <c r="A22">
        <v>246</v>
      </c>
      <c r="B22" t="s">
        <v>24</v>
      </c>
      <c r="C22" s="3">
        <v>122054</v>
      </c>
      <c r="D22">
        <v>164</v>
      </c>
      <c r="E22" t="s">
        <v>24</v>
      </c>
    </row>
    <row r="23" spans="1:5" ht="19" x14ac:dyDescent="0.25">
      <c r="A23" s="4" t="s">
        <v>25</v>
      </c>
      <c r="C23" s="3">
        <f>SUM(C2:C22)</f>
        <v>21550008</v>
      </c>
      <c r="D23">
        <f>SUM(D2:D22)</f>
        <v>27555</v>
      </c>
    </row>
    <row r="24" spans="1:5" ht="19" x14ac:dyDescent="0.25">
      <c r="A24" s="4" t="s">
        <v>26</v>
      </c>
      <c r="C24" s="3">
        <f>AVERAGE(C2:C22)</f>
        <v>1026190.8571428572</v>
      </c>
      <c r="D24">
        <f>AVERAGE(D2:D22)</f>
        <v>1312.1428571428571</v>
      </c>
    </row>
    <row r="25" spans="1:5" ht="19" x14ac:dyDescent="0.25">
      <c r="A25" s="4" t="s">
        <v>27</v>
      </c>
      <c r="C25" s="3">
        <f>MIN(C2:C22)</f>
        <v>122054</v>
      </c>
      <c r="D25">
        <f>MIN(D2:D22)</f>
        <v>94</v>
      </c>
    </row>
    <row r="26" spans="1:5" ht="19" x14ac:dyDescent="0.25">
      <c r="A26" s="4" t="s">
        <v>28</v>
      </c>
      <c r="C26" s="3">
        <f>MAX(C2:C22)</f>
        <v>5510000</v>
      </c>
      <c r="D26">
        <f>MAX(D2:D22)</f>
        <v>7799</v>
      </c>
    </row>
    <row r="27" spans="1:5" x14ac:dyDescent="0.2">
      <c r="C27" s="3"/>
    </row>
    <row r="28" spans="1:5" x14ac:dyDescent="0.2">
      <c r="C28" s="3"/>
    </row>
    <row r="29" spans="1:5" x14ac:dyDescent="0.2">
      <c r="C29" s="3"/>
    </row>
    <row r="30" spans="1:5" x14ac:dyDescent="0.2">
      <c r="C30" s="3"/>
    </row>
    <row r="31" spans="1:5" x14ac:dyDescent="0.2">
      <c r="C31" s="3"/>
    </row>
    <row r="32" spans="1:5" x14ac:dyDescent="0.2">
      <c r="C32" s="3"/>
    </row>
    <row r="33" spans="3:3" x14ac:dyDescent="0.2">
      <c r="C33" s="3"/>
    </row>
    <row r="34" spans="3:3" x14ac:dyDescent="0.2">
      <c r="C34" s="3"/>
    </row>
    <row r="35" spans="3:3" x14ac:dyDescent="0.2">
      <c r="C35" s="3"/>
    </row>
    <row r="36" spans="3:3" x14ac:dyDescent="0.2">
      <c r="C36" s="3"/>
    </row>
    <row r="37" spans="3:3" x14ac:dyDescent="0.2">
      <c r="C37" s="3"/>
    </row>
    <row r="38" spans="3:3" x14ac:dyDescent="0.2">
      <c r="C38" s="3"/>
    </row>
    <row r="39" spans="3:3" x14ac:dyDescent="0.2">
      <c r="C39" s="3"/>
    </row>
    <row r="40" spans="3:3" x14ac:dyDescent="0.2">
      <c r="C40" s="3"/>
    </row>
    <row r="41" spans="3:3" x14ac:dyDescent="0.2">
      <c r="C41" s="3"/>
    </row>
    <row r="42" spans="3:3" x14ac:dyDescent="0.2">
      <c r="C42" s="3"/>
    </row>
    <row r="43" spans="3:3" x14ac:dyDescent="0.2">
      <c r="C43" s="3"/>
    </row>
    <row r="44" spans="3:3" x14ac:dyDescent="0.2">
      <c r="C44" s="3"/>
    </row>
    <row r="45" spans="3:3" x14ac:dyDescent="0.2">
      <c r="C45" s="3"/>
    </row>
    <row r="46" spans="3:3" x14ac:dyDescent="0.2">
      <c r="C46" s="3"/>
    </row>
    <row r="47" spans="3:3" x14ac:dyDescent="0.2">
      <c r="C47" s="3"/>
    </row>
    <row r="48" spans="3:3" x14ac:dyDescent="0.2">
      <c r="C48" s="3"/>
    </row>
    <row r="49" spans="3:3" x14ac:dyDescent="0.2">
      <c r="C49" s="3"/>
    </row>
    <row r="50" spans="3:3" x14ac:dyDescent="0.2">
      <c r="C50" s="3"/>
    </row>
    <row r="51" spans="3:3" x14ac:dyDescent="0.2">
      <c r="C51" s="3"/>
    </row>
    <row r="52" spans="3:3" x14ac:dyDescent="0.2">
      <c r="C52" s="3"/>
    </row>
    <row r="53" spans="3:3" x14ac:dyDescent="0.2">
      <c r="C53" s="3"/>
    </row>
    <row r="54" spans="3:3" x14ac:dyDescent="0.2">
      <c r="C54" s="3"/>
    </row>
    <row r="55" spans="3:3" x14ac:dyDescent="0.2">
      <c r="C55" s="3"/>
    </row>
    <row r="56" spans="3:3" x14ac:dyDescent="0.2">
      <c r="C56" s="3"/>
    </row>
    <row r="57" spans="3:3" x14ac:dyDescent="0.2">
      <c r="C57" s="3"/>
    </row>
    <row r="58" spans="3:3" x14ac:dyDescent="0.2">
      <c r="C58" s="3"/>
    </row>
    <row r="59" spans="3:3" x14ac:dyDescent="0.2">
      <c r="C59" s="3"/>
    </row>
    <row r="60" spans="3:3" x14ac:dyDescent="0.2">
      <c r="C60" s="3"/>
    </row>
    <row r="61" spans="3:3" x14ac:dyDescent="0.2">
      <c r="C61" s="3"/>
    </row>
    <row r="62" spans="3:3" x14ac:dyDescent="0.2">
      <c r="C62" s="3"/>
    </row>
    <row r="63" spans="3:3" x14ac:dyDescent="0.2">
      <c r="C63" s="3"/>
    </row>
    <row r="64" spans="3:3" x14ac:dyDescent="0.2">
      <c r="C64" s="3"/>
    </row>
    <row r="65" spans="3:3" x14ac:dyDescent="0.2">
      <c r="C65" s="3"/>
    </row>
    <row r="66" spans="3:3" x14ac:dyDescent="0.2">
      <c r="C66" s="3"/>
    </row>
    <row r="67" spans="3:3" x14ac:dyDescent="0.2">
      <c r="C67" s="3"/>
    </row>
    <row r="68" spans="3:3" x14ac:dyDescent="0.2">
      <c r="C68" s="3"/>
    </row>
    <row r="69" spans="3:3" x14ac:dyDescent="0.2">
      <c r="C69" s="3"/>
    </row>
    <row r="70" spans="3:3" x14ac:dyDescent="0.2">
      <c r="C70" s="3"/>
    </row>
    <row r="71" spans="3:3" x14ac:dyDescent="0.2">
      <c r="C71" s="3"/>
    </row>
    <row r="72" spans="3:3" x14ac:dyDescent="0.2">
      <c r="C72" s="3"/>
    </row>
    <row r="73" spans="3:3" x14ac:dyDescent="0.2">
      <c r="C73" s="3"/>
    </row>
    <row r="74" spans="3:3" x14ac:dyDescent="0.2">
      <c r="C74" s="3"/>
    </row>
    <row r="75" spans="3:3" x14ac:dyDescent="0.2">
      <c r="C75" s="3"/>
    </row>
    <row r="76" spans="3:3" x14ac:dyDescent="0.2">
      <c r="C76" s="3"/>
    </row>
    <row r="77" spans="3:3" x14ac:dyDescent="0.2">
      <c r="C77" s="3"/>
    </row>
    <row r="78" spans="3:3" x14ac:dyDescent="0.2">
      <c r="C78" s="3"/>
    </row>
    <row r="79" spans="3:3" x14ac:dyDescent="0.2">
      <c r="C79" s="3"/>
    </row>
    <row r="80" spans="3:3" x14ac:dyDescent="0.2">
      <c r="C80" s="3"/>
    </row>
    <row r="81" spans="3:3" x14ac:dyDescent="0.2">
      <c r="C81" s="3"/>
    </row>
    <row r="82" spans="3:3" x14ac:dyDescent="0.2">
      <c r="C82" s="3"/>
    </row>
    <row r="83" spans="3:3" x14ac:dyDescent="0.2">
      <c r="C83" s="3"/>
    </row>
    <row r="84" spans="3:3" x14ac:dyDescent="0.2">
      <c r="C84" s="3"/>
    </row>
    <row r="85" spans="3:3" x14ac:dyDescent="0.2">
      <c r="C85" s="3"/>
    </row>
    <row r="86" spans="3:3" x14ac:dyDescent="0.2">
      <c r="C86" s="3"/>
    </row>
    <row r="87" spans="3:3" x14ac:dyDescent="0.2">
      <c r="C87" s="3"/>
    </row>
    <row r="88" spans="3:3" x14ac:dyDescent="0.2">
      <c r="C88" s="3"/>
    </row>
    <row r="89" spans="3:3" x14ac:dyDescent="0.2">
      <c r="C89" s="3"/>
    </row>
    <row r="90" spans="3:3" x14ac:dyDescent="0.2">
      <c r="C90" s="3"/>
    </row>
    <row r="91" spans="3:3" x14ac:dyDescent="0.2">
      <c r="C91" s="3"/>
    </row>
    <row r="92" spans="3:3" x14ac:dyDescent="0.2">
      <c r="C92" s="3"/>
    </row>
    <row r="93" spans="3:3" x14ac:dyDescent="0.2">
      <c r="C93" s="3"/>
    </row>
    <row r="94" spans="3:3" x14ac:dyDescent="0.2">
      <c r="C94" s="3"/>
    </row>
    <row r="95" spans="3:3" x14ac:dyDescent="0.2">
      <c r="C95" s="3"/>
    </row>
    <row r="96" spans="3:3" x14ac:dyDescent="0.2">
      <c r="C96" s="3"/>
    </row>
    <row r="97" spans="3:3" x14ac:dyDescent="0.2">
      <c r="C97" s="3"/>
    </row>
    <row r="98" spans="3:3" x14ac:dyDescent="0.2">
      <c r="C98" s="3"/>
    </row>
    <row r="99" spans="3:3" x14ac:dyDescent="0.2">
      <c r="C99" s="3"/>
    </row>
    <row r="100" spans="3:3" x14ac:dyDescent="0.2">
      <c r="C100" s="3"/>
    </row>
    <row r="101" spans="3:3" x14ac:dyDescent="0.2">
      <c r="C101" s="3"/>
    </row>
    <row r="102" spans="3:3" x14ac:dyDescent="0.2">
      <c r="C102" s="3"/>
    </row>
    <row r="103" spans="3:3" x14ac:dyDescent="0.2">
      <c r="C103" s="3"/>
    </row>
    <row r="104" spans="3:3" x14ac:dyDescent="0.2">
      <c r="C104" s="3"/>
    </row>
    <row r="105" spans="3:3" x14ac:dyDescent="0.2">
      <c r="C105" s="3"/>
    </row>
    <row r="106" spans="3:3" x14ac:dyDescent="0.2">
      <c r="C106" s="3"/>
    </row>
    <row r="107" spans="3:3" x14ac:dyDescent="0.2">
      <c r="C107" s="3"/>
    </row>
    <row r="108" spans="3:3" x14ac:dyDescent="0.2">
      <c r="C108" s="3"/>
    </row>
    <row r="109" spans="3:3" x14ac:dyDescent="0.2">
      <c r="C109" s="3"/>
    </row>
    <row r="110" spans="3:3" x14ac:dyDescent="0.2">
      <c r="C110" s="3"/>
    </row>
    <row r="111" spans="3:3" x14ac:dyDescent="0.2">
      <c r="C111" s="3"/>
    </row>
    <row r="112" spans="3:3" x14ac:dyDescent="0.2">
      <c r="C112" s="3"/>
    </row>
    <row r="113" spans="3:3" x14ac:dyDescent="0.2">
      <c r="C113" s="3"/>
    </row>
    <row r="114" spans="3:3" x14ac:dyDescent="0.2">
      <c r="C114" s="3"/>
    </row>
    <row r="115" spans="3:3" x14ac:dyDescent="0.2">
      <c r="C115" s="3"/>
    </row>
    <row r="116" spans="3:3" x14ac:dyDescent="0.2">
      <c r="C116" s="3"/>
    </row>
    <row r="117" spans="3:3" x14ac:dyDescent="0.2">
      <c r="C117" s="3"/>
    </row>
    <row r="118" spans="3:3" x14ac:dyDescent="0.2">
      <c r="C118" s="3"/>
    </row>
    <row r="119" spans="3:3" x14ac:dyDescent="0.2">
      <c r="C119" s="3"/>
    </row>
    <row r="120" spans="3:3" x14ac:dyDescent="0.2">
      <c r="C120" s="3"/>
    </row>
    <row r="121" spans="3:3" x14ac:dyDescent="0.2">
      <c r="C121" s="3"/>
    </row>
    <row r="122" spans="3:3" x14ac:dyDescent="0.2">
      <c r="C122" s="3"/>
    </row>
    <row r="123" spans="3:3" x14ac:dyDescent="0.2">
      <c r="C123" s="3"/>
    </row>
    <row r="124" spans="3:3" x14ac:dyDescent="0.2">
      <c r="C124" s="3"/>
    </row>
    <row r="125" spans="3:3" x14ac:dyDescent="0.2">
      <c r="C125" s="3"/>
    </row>
    <row r="126" spans="3:3" x14ac:dyDescent="0.2">
      <c r="C126" s="3"/>
    </row>
    <row r="127" spans="3:3" x14ac:dyDescent="0.2">
      <c r="C127" s="3"/>
    </row>
    <row r="128" spans="3:3" x14ac:dyDescent="0.2">
      <c r="C128" s="3"/>
    </row>
    <row r="129" spans="3:3" x14ac:dyDescent="0.2">
      <c r="C129" s="3"/>
    </row>
    <row r="130" spans="3:3" x14ac:dyDescent="0.2">
      <c r="C130" s="3"/>
    </row>
    <row r="131" spans="3:3" x14ac:dyDescent="0.2">
      <c r="C131" s="3"/>
    </row>
    <row r="132" spans="3:3" x14ac:dyDescent="0.2">
      <c r="C132" s="3"/>
    </row>
    <row r="133" spans="3:3" x14ac:dyDescent="0.2">
      <c r="C133" s="3"/>
    </row>
    <row r="134" spans="3:3" x14ac:dyDescent="0.2">
      <c r="C134" s="3"/>
    </row>
    <row r="135" spans="3:3" x14ac:dyDescent="0.2">
      <c r="C135" s="3"/>
    </row>
    <row r="136" spans="3:3" x14ac:dyDescent="0.2">
      <c r="C136" s="3"/>
    </row>
    <row r="137" spans="3:3" x14ac:dyDescent="0.2">
      <c r="C137" s="3"/>
    </row>
    <row r="138" spans="3:3" x14ac:dyDescent="0.2">
      <c r="C138" s="3"/>
    </row>
    <row r="139" spans="3:3" x14ac:dyDescent="0.2">
      <c r="C139" s="3"/>
    </row>
    <row r="140" spans="3:3" x14ac:dyDescent="0.2">
      <c r="C140" s="3"/>
    </row>
    <row r="141" spans="3:3" x14ac:dyDescent="0.2">
      <c r="C141" s="3"/>
    </row>
    <row r="142" spans="3:3" x14ac:dyDescent="0.2">
      <c r="C142" s="3"/>
    </row>
    <row r="143" spans="3:3" x14ac:dyDescent="0.2">
      <c r="C143" s="3"/>
    </row>
    <row r="144" spans="3:3" x14ac:dyDescent="0.2">
      <c r="C144" s="3"/>
    </row>
    <row r="145" spans="3:3" x14ac:dyDescent="0.2">
      <c r="C145" s="3"/>
    </row>
    <row r="146" spans="3:3" x14ac:dyDescent="0.2">
      <c r="C146" s="3"/>
    </row>
    <row r="147" spans="3:3" x14ac:dyDescent="0.2">
      <c r="C147" s="3"/>
    </row>
    <row r="148" spans="3:3" x14ac:dyDescent="0.2">
      <c r="C148" s="3"/>
    </row>
    <row r="149" spans="3:3" x14ac:dyDescent="0.2">
      <c r="C149" s="3"/>
    </row>
    <row r="150" spans="3:3" x14ac:dyDescent="0.2">
      <c r="C150" s="3"/>
    </row>
    <row r="151" spans="3:3" x14ac:dyDescent="0.2">
      <c r="C151" s="3"/>
    </row>
    <row r="152" spans="3:3" x14ac:dyDescent="0.2">
      <c r="C152" s="3"/>
    </row>
    <row r="153" spans="3:3" x14ac:dyDescent="0.2">
      <c r="C153" s="3"/>
    </row>
    <row r="154" spans="3:3" x14ac:dyDescent="0.2">
      <c r="C154" s="3"/>
    </row>
    <row r="155" spans="3:3" x14ac:dyDescent="0.2">
      <c r="C155" s="3"/>
    </row>
    <row r="156" spans="3:3" x14ac:dyDescent="0.2">
      <c r="C156" s="3"/>
    </row>
    <row r="157" spans="3:3" x14ac:dyDescent="0.2">
      <c r="C157" s="3"/>
    </row>
    <row r="158" spans="3:3" x14ac:dyDescent="0.2">
      <c r="C158" s="3"/>
    </row>
    <row r="159" spans="3:3" x14ac:dyDescent="0.2">
      <c r="C159" s="3"/>
    </row>
    <row r="160" spans="3:3" x14ac:dyDescent="0.2">
      <c r="C160" s="3"/>
    </row>
    <row r="161" spans="3:3" x14ac:dyDescent="0.2">
      <c r="C161" s="3"/>
    </row>
    <row r="162" spans="3:3" x14ac:dyDescent="0.2">
      <c r="C162" s="3"/>
    </row>
    <row r="163" spans="3:3" x14ac:dyDescent="0.2">
      <c r="C163" s="3"/>
    </row>
    <row r="164" spans="3:3" x14ac:dyDescent="0.2">
      <c r="C164" s="3"/>
    </row>
    <row r="165" spans="3:3" x14ac:dyDescent="0.2">
      <c r="C165" s="3"/>
    </row>
    <row r="166" spans="3:3" x14ac:dyDescent="0.2">
      <c r="C166" s="3"/>
    </row>
    <row r="167" spans="3:3" x14ac:dyDescent="0.2">
      <c r="C167" s="3"/>
    </row>
    <row r="168" spans="3:3" x14ac:dyDescent="0.2">
      <c r="C168" s="3"/>
    </row>
    <row r="169" spans="3:3" x14ac:dyDescent="0.2">
      <c r="C169" s="3"/>
    </row>
    <row r="170" spans="3:3" x14ac:dyDescent="0.2">
      <c r="C170" s="3"/>
    </row>
    <row r="171" spans="3:3" x14ac:dyDescent="0.2">
      <c r="C171" s="3"/>
    </row>
    <row r="172" spans="3:3" x14ac:dyDescent="0.2">
      <c r="C172" s="3"/>
    </row>
    <row r="173" spans="3:3" x14ac:dyDescent="0.2">
      <c r="C173" s="3"/>
    </row>
    <row r="174" spans="3:3" x14ac:dyDescent="0.2">
      <c r="C174" s="3"/>
    </row>
    <row r="175" spans="3:3" x14ac:dyDescent="0.2">
      <c r="C175" s="3"/>
    </row>
    <row r="176" spans="3:3" x14ac:dyDescent="0.2">
      <c r="C176" s="3"/>
    </row>
    <row r="177" spans="3:3" x14ac:dyDescent="0.2">
      <c r="C177" s="3"/>
    </row>
    <row r="178" spans="3:3" x14ac:dyDescent="0.2">
      <c r="C178" s="3"/>
    </row>
    <row r="179" spans="3:3" x14ac:dyDescent="0.2">
      <c r="C179" s="3"/>
    </row>
    <row r="180" spans="3:3" x14ac:dyDescent="0.2">
      <c r="C180" s="3"/>
    </row>
    <row r="181" spans="3:3" x14ac:dyDescent="0.2">
      <c r="C181" s="3"/>
    </row>
    <row r="182" spans="3:3" x14ac:dyDescent="0.2">
      <c r="C182" s="3"/>
    </row>
    <row r="183" spans="3:3" x14ac:dyDescent="0.2">
      <c r="C183" s="3"/>
    </row>
    <row r="184" spans="3:3" x14ac:dyDescent="0.2">
      <c r="C184" s="3"/>
    </row>
    <row r="185" spans="3:3" x14ac:dyDescent="0.2">
      <c r="C185" s="3"/>
    </row>
    <row r="186" spans="3:3" x14ac:dyDescent="0.2">
      <c r="C186" s="3"/>
    </row>
    <row r="187" spans="3:3" x14ac:dyDescent="0.2">
      <c r="C187" s="3"/>
    </row>
    <row r="188" spans="3:3" x14ac:dyDescent="0.2">
      <c r="C188" s="3"/>
    </row>
    <row r="189" spans="3:3" x14ac:dyDescent="0.2">
      <c r="C189" s="3"/>
    </row>
    <row r="190" spans="3:3" x14ac:dyDescent="0.2">
      <c r="C190" s="3"/>
    </row>
    <row r="191" spans="3:3" x14ac:dyDescent="0.2">
      <c r="C191" s="3"/>
    </row>
    <row r="192" spans="3:3" x14ac:dyDescent="0.2">
      <c r="C192" s="3"/>
    </row>
    <row r="193" spans="3:3" x14ac:dyDescent="0.2">
      <c r="C193" s="3"/>
    </row>
    <row r="194" spans="3:3" x14ac:dyDescent="0.2">
      <c r="C194" s="3"/>
    </row>
    <row r="195" spans="3:3" x14ac:dyDescent="0.2">
      <c r="C195" s="3"/>
    </row>
    <row r="196" spans="3:3" x14ac:dyDescent="0.2">
      <c r="C196" s="3"/>
    </row>
    <row r="197" spans="3:3" x14ac:dyDescent="0.2">
      <c r="C197" s="3"/>
    </row>
    <row r="198" spans="3:3" x14ac:dyDescent="0.2">
      <c r="C198" s="3"/>
    </row>
    <row r="199" spans="3:3" x14ac:dyDescent="0.2">
      <c r="C199" s="3"/>
    </row>
    <row r="200" spans="3:3" x14ac:dyDescent="0.2">
      <c r="C200" s="3"/>
    </row>
    <row r="201" spans="3:3" x14ac:dyDescent="0.2">
      <c r="C201" s="3"/>
    </row>
    <row r="202" spans="3:3" x14ac:dyDescent="0.2">
      <c r="C202" s="3"/>
    </row>
    <row r="203" spans="3:3" x14ac:dyDescent="0.2">
      <c r="C203" s="3"/>
    </row>
    <row r="204" spans="3:3" x14ac:dyDescent="0.2">
      <c r="C204" s="3"/>
    </row>
    <row r="205" spans="3:3" x14ac:dyDescent="0.2">
      <c r="C205" s="3"/>
    </row>
    <row r="206" spans="3:3" x14ac:dyDescent="0.2">
      <c r="C206" s="3"/>
    </row>
    <row r="207" spans="3:3" x14ac:dyDescent="0.2">
      <c r="C207" s="3"/>
    </row>
    <row r="208" spans="3:3" x14ac:dyDescent="0.2">
      <c r="C208" s="3"/>
    </row>
    <row r="209" spans="3:3" x14ac:dyDescent="0.2">
      <c r="C209" s="3"/>
    </row>
    <row r="210" spans="3:3" x14ac:dyDescent="0.2">
      <c r="C210" s="3"/>
    </row>
    <row r="211" spans="3:3" x14ac:dyDescent="0.2">
      <c r="C211" s="3"/>
    </row>
    <row r="212" spans="3:3" x14ac:dyDescent="0.2">
      <c r="C212" s="3"/>
    </row>
    <row r="213" spans="3:3" x14ac:dyDescent="0.2">
      <c r="C213" s="3"/>
    </row>
    <row r="214" spans="3:3" x14ac:dyDescent="0.2">
      <c r="C214" s="3"/>
    </row>
    <row r="215" spans="3:3" x14ac:dyDescent="0.2">
      <c r="C215" s="3"/>
    </row>
    <row r="216" spans="3:3" x14ac:dyDescent="0.2">
      <c r="C216" s="3"/>
    </row>
    <row r="217" spans="3:3" x14ac:dyDescent="0.2">
      <c r="C217" s="3"/>
    </row>
    <row r="218" spans="3:3" x14ac:dyDescent="0.2">
      <c r="C218" s="3"/>
    </row>
    <row r="219" spans="3:3" x14ac:dyDescent="0.2">
      <c r="C219" s="3"/>
    </row>
    <row r="220" spans="3:3" x14ac:dyDescent="0.2">
      <c r="C220" s="3"/>
    </row>
    <row r="221" spans="3:3" x14ac:dyDescent="0.2">
      <c r="C221" s="3"/>
    </row>
    <row r="222" spans="3:3" x14ac:dyDescent="0.2">
      <c r="C222" s="3"/>
    </row>
    <row r="223" spans="3:3" x14ac:dyDescent="0.2">
      <c r="C223" s="3"/>
    </row>
    <row r="224" spans="3:3" x14ac:dyDescent="0.2">
      <c r="C224" s="3"/>
    </row>
    <row r="225" spans="3:3" x14ac:dyDescent="0.2">
      <c r="C225" s="3"/>
    </row>
    <row r="226" spans="3:3" x14ac:dyDescent="0.2">
      <c r="C226" s="3"/>
    </row>
    <row r="227" spans="3:3" x14ac:dyDescent="0.2">
      <c r="C227" s="3"/>
    </row>
    <row r="228" spans="3:3" x14ac:dyDescent="0.2">
      <c r="C228" s="3"/>
    </row>
    <row r="229" spans="3:3" x14ac:dyDescent="0.2">
      <c r="C229" s="3"/>
    </row>
    <row r="230" spans="3:3" x14ac:dyDescent="0.2">
      <c r="C230" s="3"/>
    </row>
    <row r="231" spans="3:3" x14ac:dyDescent="0.2">
      <c r="C231" s="3"/>
    </row>
    <row r="232" spans="3:3" x14ac:dyDescent="0.2">
      <c r="C232" s="3"/>
    </row>
    <row r="233" spans="3:3" x14ac:dyDescent="0.2">
      <c r="C233" s="3"/>
    </row>
    <row r="234" spans="3:3" x14ac:dyDescent="0.2">
      <c r="C234" s="3"/>
    </row>
    <row r="235" spans="3:3" x14ac:dyDescent="0.2">
      <c r="C235" s="3"/>
    </row>
    <row r="236" spans="3:3" x14ac:dyDescent="0.2">
      <c r="C236" s="3"/>
    </row>
    <row r="237" spans="3:3" x14ac:dyDescent="0.2">
      <c r="C237" s="3"/>
    </row>
    <row r="238" spans="3:3" x14ac:dyDescent="0.2">
      <c r="C238" s="3"/>
    </row>
    <row r="239" spans="3:3" x14ac:dyDescent="0.2">
      <c r="C239" s="3"/>
    </row>
    <row r="240" spans="3:3" x14ac:dyDescent="0.2">
      <c r="C240" s="3"/>
    </row>
    <row r="241" spans="3:3" x14ac:dyDescent="0.2">
      <c r="C241" s="3"/>
    </row>
    <row r="242" spans="3:3" x14ac:dyDescent="0.2">
      <c r="C242" s="3"/>
    </row>
    <row r="243" spans="3:3" x14ac:dyDescent="0.2">
      <c r="C243" s="3"/>
    </row>
    <row r="244" spans="3:3" x14ac:dyDescent="0.2">
      <c r="C244" s="3"/>
    </row>
    <row r="245" spans="3:3" x14ac:dyDescent="0.2">
      <c r="C245" s="3"/>
    </row>
    <row r="246" spans="3:3" x14ac:dyDescent="0.2">
      <c r="C246" s="3"/>
    </row>
    <row r="247" spans="3:3" x14ac:dyDescent="0.2">
      <c r="C247" s="3"/>
    </row>
    <row r="248" spans="3:3" x14ac:dyDescent="0.2">
      <c r="C248" s="3"/>
    </row>
    <row r="249" spans="3:3" x14ac:dyDescent="0.2">
      <c r="C249" s="3"/>
    </row>
    <row r="250" spans="3:3" x14ac:dyDescent="0.2">
      <c r="C250" s="3"/>
    </row>
    <row r="251" spans="3:3" x14ac:dyDescent="0.2">
      <c r="C2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Advanced Calculations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2017-03-14T17:27:13Z</dcterms:created>
  <dcterms:modified xsi:type="dcterms:W3CDTF">2018-01-17T00:10:36Z</dcterms:modified>
</cp:coreProperties>
</file>