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01ed0f4ecfdbb64/Working/Teaching/Business analytcis with Excel/Quarto/reimage2/_files/"/>
    </mc:Choice>
  </mc:AlternateContent>
  <xr:revisionPtr revIDLastSave="139" documentId="11_F5F80E9B0FA7AD05B69FC9A75D04EFFFDD1B31B7" xr6:coauthVersionLast="47" xr6:coauthVersionMax="47" xr10:uidLastSave="{6B173556-90E8-42DD-8D21-735972DD2877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4" i="1"/>
  <c r="B2" i="1"/>
  <c r="B3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16" i="1"/>
  <c r="C17" i="1"/>
  <c r="C18" i="1"/>
  <c r="C19" i="1"/>
  <c r="C21" i="1"/>
  <c r="C20" i="1"/>
  <c r="C26" i="1"/>
  <c r="C25" i="1"/>
  <c r="C24" i="1"/>
  <c r="C23" i="1"/>
  <c r="C22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H1" i="1"/>
  <c r="G1" i="1"/>
  <c r="F1" i="1"/>
  <c r="E1" i="1"/>
  <c r="D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F800]dddd\,\ mmmm\ dd\,\ yyyy"/>
  </numFmts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Formulas="1" tabSelected="1" workbookViewId="0">
      <selection activeCell="C1" sqref="C1"/>
    </sheetView>
  </sheetViews>
  <sheetFormatPr defaultColWidth="11" defaultRowHeight="15.75" x14ac:dyDescent="0.25"/>
  <cols>
    <col min="1" max="1" width="6.5" bestFit="1" customWidth="1"/>
    <col min="2" max="2" width="32.375" bestFit="1" customWidth="1"/>
    <col min="3" max="3" width="6.5" bestFit="1" customWidth="1"/>
    <col min="4" max="4" width="16.625" bestFit="1" customWidth="1"/>
    <col min="5" max="5" width="17.875" bestFit="1" customWidth="1"/>
    <col min="6" max="6" width="6.625" bestFit="1" customWidth="1"/>
    <col min="7" max="7" width="19.5" bestFit="1" customWidth="1"/>
    <col min="8" max="8" width="25.375" bestFit="1" customWidth="1"/>
  </cols>
  <sheetData>
    <row r="1" spans="1:8" ht="21" x14ac:dyDescent="0.35">
      <c r="A1" s="3">
        <f>2015</f>
        <v>2015</v>
      </c>
      <c r="B1" s="3" t="str">
        <f>"Restaurant Name"</f>
        <v>Restaurant Name</v>
      </c>
      <c r="C1" s="3">
        <f>2014</f>
        <v>2014</v>
      </c>
      <c r="D1" s="3" t="str">
        <f>"Principle Executive"</f>
        <v>Principle Executive</v>
      </c>
      <c r="E1" s="3" t="str">
        <f>"City &amp; State"</f>
        <v>City &amp; State</v>
      </c>
      <c r="F1" s="3" t="str">
        <f>"#Units"</f>
        <v>#Units</v>
      </c>
      <c r="G1" s="3" t="str">
        <f>"2015 Gross Sales"</f>
        <v>2015 Gross Sales</v>
      </c>
      <c r="H1" s="3" t="str">
        <f>"Date"</f>
        <v>Date</v>
      </c>
    </row>
    <row r="2" spans="1:8" x14ac:dyDescent="0.25">
      <c r="A2">
        <f>1</f>
        <v>1</v>
      </c>
      <c r="B2" t="str">
        <f>"Pizza Hut*"</f>
        <v>Pizza Hut*</v>
      </c>
      <c r="C2">
        <f>1</f>
        <v>1</v>
      </c>
      <c r="D2" t="str">
        <f>"David W. Gibbs"</f>
        <v>David W. Gibbs</v>
      </c>
      <c r="E2" t="str">
        <f>"Plano, TX"</f>
        <v>Plano, TX</v>
      </c>
      <c r="F2" s="1">
        <f>15605</f>
        <v>15605</v>
      </c>
      <c r="G2" s="2">
        <f>13400000000</f>
        <v>13400000000</v>
      </c>
      <c r="H2" s="4">
        <f t="shared" ref="H2:H26" si="0">12/31/2015</f>
        <v>1.9210758024493715E-4</v>
      </c>
    </row>
    <row r="3" spans="1:8" x14ac:dyDescent="0.25">
      <c r="A3">
        <f>2</f>
        <v>2</v>
      </c>
      <c r="B3" t="str">
        <f>"Domino's*"</f>
        <v>Domino's*</v>
      </c>
      <c r="C3">
        <f>2</f>
        <v>2</v>
      </c>
      <c r="D3" t="str">
        <f>"J. Patrick Doyle"</f>
        <v>J. Patrick Doyle</v>
      </c>
      <c r="E3" t="str">
        <f>"Ann Arbor, MI"</f>
        <v>Ann Arbor, MI</v>
      </c>
      <c r="F3" s="1">
        <f>11629</f>
        <v>11629</v>
      </c>
      <c r="G3" s="2">
        <f>8900000000</f>
        <v>8900000000</v>
      </c>
      <c r="H3" s="4">
        <f t="shared" si="0"/>
        <v>1.9210758024493715E-4</v>
      </c>
    </row>
    <row r="4" spans="1:8" x14ac:dyDescent="0.25">
      <c r="A4">
        <f>3</f>
        <v>3</v>
      </c>
      <c r="B4" t="str">
        <f>"Little Caesars Pizza"</f>
        <v>Little Caesars Pizza</v>
      </c>
      <c r="C4">
        <f>3</f>
        <v>3</v>
      </c>
      <c r="D4" t="str">
        <f>"Michael Ilitch"</f>
        <v>Michael Ilitch</v>
      </c>
      <c r="E4" t="str">
        <f>"Detroit, MI"</f>
        <v>Detroit, MI</v>
      </c>
      <c r="F4" s="1">
        <f>4059</f>
        <v>4059</v>
      </c>
      <c r="G4" s="2">
        <f>3400000000</f>
        <v>3400000000</v>
      </c>
      <c r="H4" s="4">
        <f t="shared" si="0"/>
        <v>1.9210758024493715E-4</v>
      </c>
    </row>
    <row r="5" spans="1:8" x14ac:dyDescent="0.25">
      <c r="A5">
        <f>4</f>
        <v>4</v>
      </c>
      <c r="B5" t="str">
        <f>"Papa Johns' International"</f>
        <v>Papa Johns' International</v>
      </c>
      <c r="C5">
        <f>4</f>
        <v>4</v>
      </c>
      <c r="D5" t="str">
        <f>"John Schnatter"</f>
        <v>John Schnatter</v>
      </c>
      <c r="E5" t="str">
        <f>"Louisville,KY"</f>
        <v>Louisville,KY</v>
      </c>
      <c r="F5">
        <f>4708</f>
        <v>4708</v>
      </c>
      <c r="G5" s="2">
        <f>3332000000</f>
        <v>3332000000</v>
      </c>
      <c r="H5" s="4">
        <f t="shared" si="0"/>
        <v>1.9210758024493715E-4</v>
      </c>
    </row>
    <row r="6" spans="1:8" x14ac:dyDescent="0.25">
      <c r="A6">
        <f>5</f>
        <v>5</v>
      </c>
      <c r="B6" t="str">
        <f>"Papa Murphy’s International*"</f>
        <v>Papa Murphy’s International*</v>
      </c>
      <c r="C6">
        <f>5</f>
        <v>5</v>
      </c>
      <c r="D6" t="str">
        <f>"Ken Calwell"</f>
        <v>Ken Calwell</v>
      </c>
      <c r="E6" t="str">
        <f>"Vancouver, WA"</f>
        <v>Vancouver, WA</v>
      </c>
      <c r="F6">
        <f>1425</f>
        <v>1425</v>
      </c>
      <c r="G6" s="2">
        <f>785360000</f>
        <v>785360000</v>
      </c>
      <c r="H6" s="4">
        <f t="shared" si="0"/>
        <v>1.9210758024493715E-4</v>
      </c>
    </row>
    <row r="7" spans="1:8" x14ac:dyDescent="0.25">
      <c r="A7">
        <f>6</f>
        <v>6</v>
      </c>
      <c r="B7" t="str">
        <f>"California Pizza Kitchen*"</f>
        <v>California Pizza Kitchen*</v>
      </c>
      <c r="C7">
        <f>6</f>
        <v>6</v>
      </c>
      <c r="D7" t="str">
        <f>"G. J. Hart"</f>
        <v>G. J. Hart</v>
      </c>
      <c r="E7" t="str">
        <f>"Playa Vista, CA"</f>
        <v>Playa Vista, CA</v>
      </c>
      <c r="F7">
        <f>290</f>
        <v>290</v>
      </c>
      <c r="G7" s="2">
        <f>745000000</f>
        <v>745000000</v>
      </c>
      <c r="H7" s="4">
        <f t="shared" si="0"/>
        <v>1.9210758024493715E-4</v>
      </c>
    </row>
    <row r="8" spans="1:8" x14ac:dyDescent="0.25">
      <c r="A8">
        <f>7</f>
        <v>7</v>
      </c>
      <c r="B8" t="str">
        <f>"Sbarro*"</f>
        <v>Sbarro*</v>
      </c>
      <c r="C8">
        <f>7</f>
        <v>7</v>
      </c>
      <c r="D8" t="str">
        <f>"J. David Karam"</f>
        <v>J. David Karam</v>
      </c>
      <c r="E8" t="str">
        <f>"Columbus, OH"</f>
        <v>Columbus, OH</v>
      </c>
      <c r="F8">
        <f>820</f>
        <v>820</v>
      </c>
      <c r="G8" s="2">
        <f>602000000</f>
        <v>602000000</v>
      </c>
      <c r="H8" s="4">
        <f t="shared" si="0"/>
        <v>1.9210758024493715E-4</v>
      </c>
    </row>
    <row r="9" spans="1:8" x14ac:dyDescent="0.25">
      <c r="A9">
        <f>8</f>
        <v>8</v>
      </c>
      <c r="B9" t="str">
        <f>"CiCi’s Pizza*"</f>
        <v>CiCi’s Pizza*</v>
      </c>
      <c r="C9">
        <f>8</f>
        <v>8</v>
      </c>
      <c r="D9" t="str">
        <f>"Darin Harris"</f>
        <v>Darin Harris</v>
      </c>
      <c r="E9" t="str">
        <f>"Coppell, TX"</f>
        <v>Coppell, TX</v>
      </c>
      <c r="F9">
        <f>519</f>
        <v>519</v>
      </c>
      <c r="G9" s="2">
        <f>475000000</f>
        <v>475000000</v>
      </c>
      <c r="H9" s="4">
        <f t="shared" si="0"/>
        <v>1.9210758024493715E-4</v>
      </c>
    </row>
    <row r="10" spans="1:8" x14ac:dyDescent="0.25">
      <c r="A10">
        <f>9</f>
        <v>9</v>
      </c>
      <c r="B10" t="str">
        <f>"Chuck E. Cheese’s*"</f>
        <v>Chuck E. Cheese’s*</v>
      </c>
      <c r="C10">
        <f>9</f>
        <v>9</v>
      </c>
      <c r="D10" t="str">
        <f>"Thomas Leverton"</f>
        <v>Thomas Leverton</v>
      </c>
      <c r="E10" t="str">
        <f>"Irving, TX"</f>
        <v>Irving, TX</v>
      </c>
      <c r="F10">
        <f>577</f>
        <v>577</v>
      </c>
      <c r="G10" s="2">
        <f>405000000</f>
        <v>405000000</v>
      </c>
      <c r="H10" s="4">
        <f t="shared" si="0"/>
        <v>1.9210758024493715E-4</v>
      </c>
    </row>
    <row r="11" spans="1:8" x14ac:dyDescent="0.25">
      <c r="A11">
        <f>10</f>
        <v>10</v>
      </c>
      <c r="B11" t="str">
        <f>"Marco’s Pizza"</f>
        <v>Marco’s Pizza</v>
      </c>
      <c r="C11">
        <f>12</f>
        <v>12</v>
      </c>
      <c r="D11" t="str">
        <f>"John Butorac"</f>
        <v>John Butorac</v>
      </c>
      <c r="E11" t="str">
        <f>"Toledo, OH"</f>
        <v>Toledo, OH</v>
      </c>
      <c r="F11">
        <f>640</f>
        <v>640</v>
      </c>
      <c r="G11" s="2">
        <f>380000000</f>
        <v>380000000</v>
      </c>
      <c r="H11" s="4">
        <f t="shared" si="0"/>
        <v>1.9210758024493715E-4</v>
      </c>
    </row>
    <row r="12" spans="1:8" x14ac:dyDescent="0.25">
      <c r="A12">
        <f>11</f>
        <v>11</v>
      </c>
      <c r="B12" t="str">
        <f>"Round Table Pizza*"</f>
        <v>Round Table Pizza*</v>
      </c>
      <c r="C12">
        <f>10</f>
        <v>10</v>
      </c>
      <c r="D12" t="str">
        <f>"Rob McCourt"</f>
        <v>Rob McCourt</v>
      </c>
      <c r="E12" t="str">
        <f>"Concord, CA"</f>
        <v>Concord, CA</v>
      </c>
      <c r="F12">
        <f>439</f>
        <v>439</v>
      </c>
      <c r="G12" s="2">
        <f>378000000</f>
        <v>378000000</v>
      </c>
      <c r="H12" s="4">
        <f t="shared" si="0"/>
        <v>1.9210758024493715E-4</v>
      </c>
    </row>
    <row r="13" spans="1:8" x14ac:dyDescent="0.25">
      <c r="A13">
        <f>12</f>
        <v>12</v>
      </c>
      <c r="B13" t="str">
        <f>"Jet’s Pizza"</f>
        <v>Jet’s Pizza</v>
      </c>
      <c r="C13">
        <f>14</f>
        <v>14</v>
      </c>
      <c r="D13" t="str">
        <f>"John Jetts"</f>
        <v>John Jetts</v>
      </c>
      <c r="E13" t="str">
        <f>"Sterling Heights, MI"</f>
        <v>Sterling Heights, MI</v>
      </c>
      <c r="F13">
        <f>375</f>
        <v>375</v>
      </c>
      <c r="G13" s="2">
        <f>350000000</f>
        <v>350000000</v>
      </c>
      <c r="H13" s="4">
        <f t="shared" si="0"/>
        <v>1.9210758024493715E-4</v>
      </c>
    </row>
    <row r="14" spans="1:8" x14ac:dyDescent="0.25">
      <c r="A14">
        <f>13</f>
        <v>13</v>
      </c>
      <c r="B14" t="str">
        <f>"Hungry Howie’s Pizza"</f>
        <v>Hungry Howie’s Pizza</v>
      </c>
      <c r="C14">
        <f>13</f>
        <v>13</v>
      </c>
      <c r="D14" t="str">
        <f>"Steven E. Jackson"</f>
        <v>Steven E. Jackson</v>
      </c>
      <c r="E14" t="str">
        <f>"Madison Heights, MI"</f>
        <v>Madison Heights, MI</v>
      </c>
      <c r="F14">
        <f>551</f>
        <v>551</v>
      </c>
      <c r="G14" s="2">
        <f>337069011</f>
        <v>337069011</v>
      </c>
      <c r="H14" s="4">
        <f t="shared" si="0"/>
        <v>1.9210758024493715E-4</v>
      </c>
    </row>
    <row r="15" spans="1:8" x14ac:dyDescent="0.25">
      <c r="A15">
        <f>14</f>
        <v>14</v>
      </c>
      <c r="B15" t="str">
        <f>"Godfather’s Pizza*"</f>
        <v>Godfather’s Pizza*</v>
      </c>
      <c r="C15">
        <f>11</f>
        <v>11</v>
      </c>
      <c r="D15" t="str">
        <f>"Robert Gartlan"</f>
        <v>Robert Gartlan</v>
      </c>
      <c r="E15" t="str">
        <f>"Omaha, NE"</f>
        <v>Omaha, NE</v>
      </c>
      <c r="F15">
        <f>620</f>
        <v>620</v>
      </c>
      <c r="G15" s="2">
        <f>325600000</f>
        <v>325600000</v>
      </c>
      <c r="H15" s="4">
        <f t="shared" si="0"/>
        <v>1.9210758024493715E-4</v>
      </c>
    </row>
    <row r="16" spans="1:8" x14ac:dyDescent="0.25">
      <c r="A16">
        <f>15</f>
        <v>15</v>
      </c>
      <c r="B16" t="str">
        <f>"Old Chicago/Rock Bottom Restaurant*"</f>
        <v>Old Chicago/Rock Bottom Restaurant*</v>
      </c>
      <c r="C16">
        <f>15</f>
        <v>15</v>
      </c>
      <c r="D16" t="str">
        <f>"Mike Mrlik"</f>
        <v>Mike Mrlik</v>
      </c>
      <c r="E16" t="str">
        <f>"Louisville, CO"</f>
        <v>Louisville, CO</v>
      </c>
      <c r="F16">
        <f>96</f>
        <v>96</v>
      </c>
      <c r="G16" s="2">
        <f>320000000</f>
        <v>320000000</v>
      </c>
      <c r="H16" s="4">
        <f t="shared" si="0"/>
        <v>1.9210758024493715E-4</v>
      </c>
    </row>
    <row r="17" spans="1:8" x14ac:dyDescent="0.25">
      <c r="A17">
        <f>16</f>
        <v>16</v>
      </c>
      <c r="B17" t="str">
        <f>"Pizza Ranch"</f>
        <v>Pizza Ranch</v>
      </c>
      <c r="C17">
        <f>17</f>
        <v>17</v>
      </c>
      <c r="D17" t="str">
        <f>"Adrie Groeneweg"</f>
        <v>Adrie Groeneweg</v>
      </c>
      <c r="E17" t="str">
        <f>"Orange City, IA"</f>
        <v>Orange City, IA</v>
      </c>
      <c r="F17">
        <f>190</f>
        <v>190</v>
      </c>
      <c r="G17" s="2">
        <f>222274500</f>
        <v>222274500</v>
      </c>
      <c r="H17" s="4">
        <f t="shared" si="0"/>
        <v>1.9210758024493715E-4</v>
      </c>
    </row>
    <row r="18" spans="1:8" x14ac:dyDescent="0.25">
      <c r="A18">
        <f>17</f>
        <v>17</v>
      </c>
      <c r="B18" t="str">
        <f>"Uno Chicago Grill*"</f>
        <v>Uno Chicago Grill*</v>
      </c>
      <c r="C18">
        <f>16</f>
        <v>16</v>
      </c>
      <c r="D18" t="str">
        <f>"Aaron D. Spencer"</f>
        <v>Aaron D. Spencer</v>
      </c>
      <c r="E18" t="str">
        <f>"West Roxbury, MA"</f>
        <v>West Roxbury, MA</v>
      </c>
      <c r="F18">
        <f>149</f>
        <v>149</v>
      </c>
      <c r="G18" s="2">
        <f>210500000</f>
        <v>210500000</v>
      </c>
      <c r="H18" s="4">
        <f t="shared" si="0"/>
        <v>1.9210758024493715E-4</v>
      </c>
    </row>
    <row r="19" spans="1:8" x14ac:dyDescent="0.25">
      <c r="A19">
        <f>18</f>
        <v>18</v>
      </c>
      <c r="B19" t="str">
        <f>"Peter Piper Pizza*"</f>
        <v>Peter Piper Pizza*</v>
      </c>
      <c r="C19">
        <f>18</f>
        <v>18</v>
      </c>
      <c r="D19" t="str">
        <f>"Charles Bruce"</f>
        <v>Charles Bruce</v>
      </c>
      <c r="E19" t="str">
        <f>"Phoenix, AZ"</f>
        <v>Phoenix, AZ</v>
      </c>
      <c r="F19">
        <f>142</f>
        <v>142</v>
      </c>
      <c r="G19" s="2">
        <f>198000000</f>
        <v>198000000</v>
      </c>
      <c r="H19" s="4">
        <f t="shared" si="0"/>
        <v>1.9210758024493715E-4</v>
      </c>
    </row>
    <row r="20" spans="1:8" x14ac:dyDescent="0.25">
      <c r="A20">
        <f>19</f>
        <v>19</v>
      </c>
      <c r="B20" t="str">
        <f>"Mellow Mushroom*"</f>
        <v>Mellow Mushroom*</v>
      </c>
      <c r="C20">
        <f>20</f>
        <v>20</v>
      </c>
      <c r="D20" t="str">
        <f>"Richard Brasch"</f>
        <v>Richard Brasch</v>
      </c>
      <c r="E20" t="str">
        <f>"Atlanta, GA"</f>
        <v>Atlanta, GA</v>
      </c>
      <c r="F20">
        <f>175</f>
        <v>175</v>
      </c>
      <c r="G20" s="2">
        <f>191000000</f>
        <v>191000000</v>
      </c>
      <c r="H20" s="4">
        <f t="shared" si="0"/>
        <v>1.9210758024493715E-4</v>
      </c>
    </row>
    <row r="21" spans="1:8" x14ac:dyDescent="0.25">
      <c r="A21">
        <f>20</f>
        <v>20</v>
      </c>
      <c r="B21" t="str">
        <f>"Bertucci’s Italian"</f>
        <v>Bertucci’s Italian</v>
      </c>
      <c r="C21">
        <f>19</f>
        <v>19</v>
      </c>
      <c r="D21" t="str">
        <f>"Stuart Davies"</f>
        <v>Stuart Davies</v>
      </c>
      <c r="E21" t="str">
        <f>"Northborough, MA"</f>
        <v>Northborough, MA</v>
      </c>
      <c r="F21">
        <f>88</f>
        <v>88</v>
      </c>
      <c r="G21" s="2">
        <f>188000000</f>
        <v>188000000</v>
      </c>
      <c r="H21" s="4">
        <f t="shared" si="0"/>
        <v>1.9210758024493715E-4</v>
      </c>
    </row>
    <row r="22" spans="1:8" x14ac:dyDescent="0.25">
      <c r="A22">
        <f>21</f>
        <v>21</v>
      </c>
      <c r="B22" t="str">
        <f>"Rosati's Pizza"</f>
        <v>Rosati's Pizza</v>
      </c>
      <c r="C22">
        <f>21</f>
        <v>21</v>
      </c>
      <c r="D22" t="str">
        <f>"Marla Topliff"</f>
        <v>Marla Topliff</v>
      </c>
      <c r="E22" t="str">
        <f>"Elgin, IL"</f>
        <v>Elgin, IL</v>
      </c>
      <c r="F22">
        <f>126</f>
        <v>126</v>
      </c>
      <c r="G22" s="2">
        <f>188000000</f>
        <v>188000000</v>
      </c>
      <c r="H22" s="4">
        <f t="shared" si="0"/>
        <v>1.9210758024493715E-4</v>
      </c>
    </row>
    <row r="23" spans="1:8" x14ac:dyDescent="0.25">
      <c r="A23">
        <f>22</f>
        <v>22</v>
      </c>
      <c r="B23" t="str">
        <f>"Donatos Pizza"</f>
        <v>Donatos Pizza</v>
      </c>
      <c r="C23">
        <f>22</f>
        <v>22</v>
      </c>
      <c r="D23" t="str">
        <f>"Tom Krouse"</f>
        <v>Tom Krouse</v>
      </c>
      <c r="E23" t="str">
        <f>"Columbus, OH"</f>
        <v>Columbus, OH</v>
      </c>
      <c r="F23">
        <f>153</f>
        <v>153</v>
      </c>
      <c r="G23" s="2">
        <f>175000000</f>
        <v>175000000</v>
      </c>
      <c r="H23" s="4">
        <f t="shared" si="0"/>
        <v>1.9210758024493715E-4</v>
      </c>
    </row>
    <row r="24" spans="1:8" x14ac:dyDescent="0.25">
      <c r="A24">
        <f>23</f>
        <v>23</v>
      </c>
      <c r="B24" t="str">
        <f>"Gatti’s Pizza*"</f>
        <v>Gatti’s Pizza*</v>
      </c>
      <c r="C24">
        <f>23</f>
        <v>23</v>
      </c>
      <c r="D24" t="str">
        <f>"Steve Burt"</f>
        <v>Steve Burt</v>
      </c>
      <c r="E24" t="str">
        <f>"Austin, TX"</f>
        <v>Austin, TX</v>
      </c>
      <c r="F24">
        <f>110</f>
        <v>110</v>
      </c>
      <c r="G24" s="2">
        <f>145000000</f>
        <v>145000000</v>
      </c>
      <c r="H24" s="4">
        <f t="shared" si="0"/>
        <v>1.9210758024493715E-4</v>
      </c>
    </row>
    <row r="25" spans="1:8" x14ac:dyDescent="0.25">
      <c r="A25">
        <f>24</f>
        <v>24</v>
      </c>
      <c r="B25" t="str">
        <f>"LaRosa’s Pizzeria"</f>
        <v>LaRosa’s Pizzeria</v>
      </c>
      <c r="C25">
        <f>24</f>
        <v>24</v>
      </c>
      <c r="D25" t="str">
        <f>"Michael LaRosa"</f>
        <v>Michael LaRosa</v>
      </c>
      <c r="E25" t="str">
        <f>"Cincinnati, OH"</f>
        <v>Cincinnati, OH</v>
      </c>
      <c r="F25">
        <f>66</f>
        <v>66</v>
      </c>
      <c r="G25" s="2">
        <f>143599000</f>
        <v>143599000</v>
      </c>
      <c r="H25" s="4">
        <f t="shared" si="0"/>
        <v>1.9210758024493715E-4</v>
      </c>
    </row>
    <row r="26" spans="1:8" x14ac:dyDescent="0.25">
      <c r="A26">
        <f>25</f>
        <v>25</v>
      </c>
      <c r="B26" t="str">
        <f>"Fox's Pizza Den"</f>
        <v>Fox's Pizza Den</v>
      </c>
      <c r="C26">
        <f>25</f>
        <v>25</v>
      </c>
      <c r="D26" t="str">
        <f>"James R. Fox"</f>
        <v>James R. Fox</v>
      </c>
      <c r="E26" t="str">
        <f>"Murrysville, PA"</f>
        <v>Murrysville, PA</v>
      </c>
      <c r="F26">
        <f>250</f>
        <v>250</v>
      </c>
      <c r="G26" s="2">
        <f>131250000</f>
        <v>131250000</v>
      </c>
      <c r="H26" s="4">
        <f t="shared" si="0"/>
        <v>1.9210758024493715E-4</v>
      </c>
    </row>
    <row r="27" spans="1:8" x14ac:dyDescent="0.25">
      <c r="F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Marcin Bartosiak</cp:lastModifiedBy>
  <dcterms:created xsi:type="dcterms:W3CDTF">2017-12-27T17:46:58Z</dcterms:created>
  <dcterms:modified xsi:type="dcterms:W3CDTF">2025-11-25T18:16:56Z</dcterms:modified>
</cp:coreProperties>
</file>